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26e5ef5cd69a787/ESCRITORIO/"/>
    </mc:Choice>
  </mc:AlternateContent>
  <xr:revisionPtr revIDLastSave="6" documentId="11_E361659A009F13C8EC9B87A883B2DBE2846A59C2" xr6:coauthVersionLast="47" xr6:coauthVersionMax="47" xr10:uidLastSave="{A63C8E47-546C-4092-8827-61CD90C1EE61}"/>
  <bookViews>
    <workbookView xWindow="-109" yWindow="-109" windowWidth="26301" windowHeight="14169" xr2:uid="{00000000-000D-0000-FFFF-FFFF00000000}"/>
  </bookViews>
  <sheets>
    <sheet name="Ventas" sheetId="1" r:id="rId1"/>
    <sheet name="Compras" sheetId="2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98" i="2" l="1"/>
  <c r="P298" i="2"/>
  <c r="Y298" i="2"/>
  <c r="AA298" i="2"/>
  <c r="AB298" i="2"/>
  <c r="AC298" i="2"/>
  <c r="S298" i="2"/>
  <c r="J298" i="2"/>
  <c r="G297" i="2"/>
  <c r="P297" i="2"/>
  <c r="Y297" i="2"/>
  <c r="AA297" i="2"/>
  <c r="AB297" i="2"/>
  <c r="AC297" i="2"/>
  <c r="AF297" i="2"/>
  <c r="AG297" i="2"/>
  <c r="Z297" i="2"/>
  <c r="S297" i="2"/>
  <c r="Q297" i="2"/>
  <c r="J297" i="2"/>
  <c r="H297" i="2"/>
  <c r="G296" i="2"/>
  <c r="P296" i="2"/>
  <c r="Y296" i="2"/>
  <c r="AA296" i="2"/>
  <c r="AB296" i="2"/>
  <c r="AC296" i="2"/>
  <c r="AF296" i="2"/>
  <c r="AG296" i="2"/>
  <c r="Z296" i="2"/>
  <c r="S296" i="2"/>
  <c r="Q296" i="2"/>
  <c r="J296" i="2"/>
  <c r="H296" i="2"/>
  <c r="G295" i="2"/>
  <c r="P295" i="2"/>
  <c r="Y295" i="2"/>
  <c r="AA295" i="2"/>
  <c r="AB295" i="2"/>
  <c r="AC295" i="2"/>
  <c r="AF295" i="2"/>
  <c r="AG295" i="2"/>
  <c r="Z295" i="2"/>
  <c r="S295" i="2"/>
  <c r="Q295" i="2"/>
  <c r="J295" i="2"/>
  <c r="H295" i="2"/>
  <c r="G294" i="2"/>
  <c r="P294" i="2"/>
  <c r="Y294" i="2"/>
  <c r="AA294" i="2"/>
  <c r="AB294" i="2"/>
  <c r="AC294" i="2"/>
  <c r="AF294" i="2"/>
  <c r="AG294" i="2"/>
  <c r="Z294" i="2"/>
  <c r="S294" i="2"/>
  <c r="Q294" i="2"/>
  <c r="J294" i="2"/>
  <c r="H294" i="2"/>
  <c r="G293" i="2"/>
  <c r="P293" i="2"/>
  <c r="Y293" i="2"/>
  <c r="AA293" i="2"/>
  <c r="AB293" i="2"/>
  <c r="AC293" i="2"/>
  <c r="S293" i="2"/>
  <c r="J293" i="2"/>
  <c r="G292" i="2"/>
  <c r="P292" i="2"/>
  <c r="Y292" i="2"/>
  <c r="AA292" i="2"/>
  <c r="AB292" i="2"/>
  <c r="AC292" i="2"/>
  <c r="S292" i="2"/>
  <c r="J292" i="2"/>
  <c r="G291" i="2"/>
  <c r="P291" i="2"/>
  <c r="Y291" i="2"/>
  <c r="AA291" i="2"/>
  <c r="AB291" i="2"/>
  <c r="AC291" i="2"/>
  <c r="S291" i="2"/>
  <c r="J291" i="2"/>
  <c r="G290" i="2"/>
  <c r="P290" i="2"/>
  <c r="Y290" i="2"/>
  <c r="AA290" i="2"/>
  <c r="AB290" i="2"/>
  <c r="AC290" i="2"/>
  <c r="S290" i="2"/>
  <c r="J290" i="2"/>
  <c r="G289" i="2"/>
  <c r="P289" i="2"/>
  <c r="Y289" i="2"/>
  <c r="AA289" i="2"/>
  <c r="AB289" i="2"/>
  <c r="AC289" i="2"/>
  <c r="S289" i="2"/>
  <c r="J289" i="2"/>
  <c r="G288" i="2"/>
  <c r="P288" i="2"/>
  <c r="Y288" i="2"/>
  <c r="AA288" i="2"/>
  <c r="AB288" i="2"/>
  <c r="AC288" i="2"/>
  <c r="S288" i="2"/>
  <c r="J288" i="2"/>
  <c r="G287" i="2"/>
  <c r="P287" i="2"/>
  <c r="Y287" i="2"/>
  <c r="AA287" i="2"/>
  <c r="AB287" i="2"/>
  <c r="AC287" i="2"/>
  <c r="S287" i="2"/>
  <c r="J287" i="2"/>
  <c r="G286" i="2"/>
  <c r="P286" i="2"/>
  <c r="Y286" i="2"/>
  <c r="AA286" i="2"/>
  <c r="AB286" i="2"/>
  <c r="AC286" i="2"/>
  <c r="S286" i="2"/>
  <c r="J286" i="2"/>
  <c r="G285" i="2"/>
  <c r="P285" i="2"/>
  <c r="Y285" i="2"/>
  <c r="AA285" i="2"/>
  <c r="AB285" i="2"/>
  <c r="AC285" i="2"/>
  <c r="S285" i="2"/>
  <c r="J285" i="2"/>
  <c r="G284" i="2"/>
  <c r="P284" i="2"/>
  <c r="Y284" i="2"/>
  <c r="AA284" i="2"/>
  <c r="AB284" i="2"/>
  <c r="AC284" i="2"/>
  <c r="S284" i="2"/>
  <c r="J284" i="2"/>
  <c r="G283" i="2"/>
  <c r="P283" i="2"/>
  <c r="Y283" i="2"/>
  <c r="AA283" i="2"/>
  <c r="AB283" i="2"/>
  <c r="AC283" i="2"/>
  <c r="S283" i="2"/>
  <c r="J283" i="2"/>
  <c r="G282" i="2"/>
  <c r="P282" i="2"/>
  <c r="Y282" i="2"/>
  <c r="AA282" i="2"/>
  <c r="AB282" i="2"/>
  <c r="AC282" i="2"/>
  <c r="S282" i="2"/>
  <c r="J282" i="2"/>
  <c r="G281" i="2"/>
  <c r="P281" i="2"/>
  <c r="Y281" i="2"/>
  <c r="AA281" i="2"/>
  <c r="AB281" i="2"/>
  <c r="AC281" i="2"/>
  <c r="S281" i="2"/>
  <c r="J281" i="2"/>
  <c r="G280" i="2"/>
  <c r="P280" i="2"/>
  <c r="Y280" i="2"/>
  <c r="AA280" i="2"/>
  <c r="AB280" i="2"/>
  <c r="AC280" i="2"/>
  <c r="AF280" i="2"/>
  <c r="AG280" i="2"/>
  <c r="Z280" i="2"/>
  <c r="S280" i="2"/>
  <c r="Q280" i="2"/>
  <c r="J280" i="2"/>
  <c r="H280" i="2"/>
  <c r="G279" i="2"/>
  <c r="P279" i="2"/>
  <c r="Y279" i="2"/>
  <c r="AA279" i="2"/>
  <c r="AB279" i="2"/>
  <c r="AC279" i="2"/>
  <c r="AF279" i="2"/>
  <c r="AG279" i="2"/>
  <c r="Z279" i="2"/>
  <c r="S279" i="2"/>
  <c r="Q279" i="2"/>
  <c r="J279" i="2"/>
  <c r="H279" i="2"/>
  <c r="G278" i="2"/>
  <c r="P278" i="2"/>
  <c r="Y278" i="2"/>
  <c r="AA278" i="2"/>
  <c r="AB278" i="2"/>
  <c r="AC278" i="2"/>
  <c r="AF278" i="2"/>
  <c r="AG278" i="2"/>
  <c r="Z278" i="2"/>
  <c r="S278" i="2"/>
  <c r="Q278" i="2"/>
  <c r="J278" i="2"/>
  <c r="H278" i="2"/>
  <c r="G277" i="2"/>
  <c r="P277" i="2"/>
  <c r="Y277" i="2"/>
  <c r="AA277" i="2"/>
  <c r="AB277" i="2"/>
  <c r="AC277" i="2"/>
  <c r="AF277" i="2"/>
  <c r="AG277" i="2"/>
  <c r="Z277" i="2"/>
  <c r="S277" i="2"/>
  <c r="Q277" i="2"/>
  <c r="J277" i="2"/>
  <c r="H277" i="2"/>
  <c r="G276" i="2"/>
  <c r="P276" i="2"/>
  <c r="Y276" i="2"/>
  <c r="AA276" i="2"/>
  <c r="AB276" i="2"/>
  <c r="AC276" i="2"/>
  <c r="S276" i="2"/>
  <c r="J276" i="2"/>
  <c r="G275" i="2"/>
  <c r="P275" i="2"/>
  <c r="Y275" i="2"/>
  <c r="AA275" i="2"/>
  <c r="AB275" i="2"/>
  <c r="AC275" i="2"/>
  <c r="S275" i="2"/>
  <c r="J275" i="2"/>
  <c r="G274" i="2"/>
  <c r="P274" i="2"/>
  <c r="Y274" i="2"/>
  <c r="AA274" i="2"/>
  <c r="AB274" i="2"/>
  <c r="AC274" i="2"/>
  <c r="S274" i="2"/>
  <c r="J274" i="2"/>
  <c r="G273" i="2"/>
  <c r="P273" i="2"/>
  <c r="Y273" i="2"/>
  <c r="AA273" i="2"/>
  <c r="AB273" i="2"/>
  <c r="AC273" i="2"/>
  <c r="S273" i="2"/>
  <c r="J273" i="2"/>
  <c r="G272" i="2"/>
  <c r="P272" i="2"/>
  <c r="Y272" i="2"/>
  <c r="AA272" i="2"/>
  <c r="AB272" i="2"/>
  <c r="AC272" i="2"/>
  <c r="S272" i="2"/>
  <c r="J272" i="2"/>
  <c r="G271" i="2"/>
  <c r="P271" i="2"/>
  <c r="Y271" i="2"/>
  <c r="AA271" i="2"/>
  <c r="AB271" i="2"/>
  <c r="AC271" i="2"/>
  <c r="S271" i="2"/>
  <c r="J271" i="2"/>
  <c r="G270" i="2"/>
  <c r="P270" i="2"/>
  <c r="Y270" i="2"/>
  <c r="AA270" i="2"/>
  <c r="AB270" i="2"/>
  <c r="AC270" i="2"/>
  <c r="S270" i="2"/>
  <c r="J270" i="2"/>
  <c r="G269" i="2"/>
  <c r="P269" i="2"/>
  <c r="Y269" i="2"/>
  <c r="AA269" i="2"/>
  <c r="AB269" i="2"/>
  <c r="AC269" i="2"/>
  <c r="AF269" i="2"/>
  <c r="AG269" i="2"/>
  <c r="Z269" i="2"/>
  <c r="S269" i="2"/>
  <c r="Q269" i="2"/>
  <c r="J269" i="2"/>
  <c r="H269" i="2"/>
  <c r="G268" i="2"/>
  <c r="P268" i="2"/>
  <c r="Y268" i="2"/>
  <c r="AA268" i="2"/>
  <c r="AB268" i="2"/>
  <c r="AC268" i="2"/>
  <c r="AF268" i="2"/>
  <c r="AG268" i="2"/>
  <c r="Z268" i="2"/>
  <c r="S268" i="2"/>
  <c r="Q268" i="2"/>
  <c r="J268" i="2"/>
  <c r="H268" i="2"/>
  <c r="G267" i="2"/>
  <c r="P267" i="2"/>
  <c r="Y267" i="2"/>
  <c r="AA267" i="2"/>
  <c r="AB267" i="2"/>
  <c r="AC267" i="2"/>
  <c r="AF267" i="2"/>
  <c r="AG267" i="2"/>
  <c r="Z267" i="2"/>
  <c r="S267" i="2"/>
  <c r="Q267" i="2"/>
  <c r="J267" i="2"/>
  <c r="H267" i="2"/>
  <c r="G266" i="2"/>
  <c r="P266" i="2"/>
  <c r="Y266" i="2"/>
  <c r="AA266" i="2"/>
  <c r="AB266" i="2"/>
  <c r="AC266" i="2"/>
  <c r="AF266" i="2"/>
  <c r="AG266" i="2"/>
  <c r="Z266" i="2"/>
  <c r="S266" i="2"/>
  <c r="Q266" i="2"/>
  <c r="J266" i="2"/>
  <c r="H266" i="2"/>
  <c r="G265" i="2"/>
  <c r="P265" i="2"/>
  <c r="Y265" i="2"/>
  <c r="AA265" i="2"/>
  <c r="AB265" i="2"/>
  <c r="AC265" i="2"/>
  <c r="AF265" i="2"/>
  <c r="AG265" i="2"/>
  <c r="Z265" i="2"/>
  <c r="S265" i="2"/>
  <c r="Q265" i="2"/>
  <c r="J265" i="2"/>
  <c r="H265" i="2"/>
  <c r="G264" i="2"/>
  <c r="P264" i="2"/>
  <c r="Y264" i="2"/>
  <c r="AA264" i="2"/>
  <c r="AB264" i="2"/>
  <c r="AC264" i="2"/>
  <c r="AF264" i="2"/>
  <c r="AG264" i="2"/>
  <c r="Z264" i="2"/>
  <c r="S264" i="2"/>
  <c r="Q264" i="2"/>
  <c r="J264" i="2"/>
  <c r="H264" i="2"/>
  <c r="G263" i="2"/>
  <c r="P263" i="2"/>
  <c r="Y263" i="2"/>
  <c r="AA263" i="2"/>
  <c r="AB263" i="2"/>
  <c r="AC263" i="2"/>
  <c r="AF263" i="2"/>
  <c r="AG263" i="2"/>
  <c r="Z263" i="2"/>
  <c r="S263" i="2"/>
  <c r="Q263" i="2"/>
  <c r="J263" i="2"/>
  <c r="H263" i="2"/>
  <c r="G262" i="2"/>
  <c r="P262" i="2"/>
  <c r="Y262" i="2"/>
  <c r="AA262" i="2"/>
  <c r="AB262" i="2"/>
  <c r="AC262" i="2"/>
  <c r="AF262" i="2"/>
  <c r="AG262" i="2"/>
  <c r="Z262" i="2"/>
  <c r="S262" i="2"/>
  <c r="Q262" i="2"/>
  <c r="J262" i="2"/>
  <c r="H262" i="2"/>
  <c r="G261" i="2"/>
  <c r="P261" i="2"/>
  <c r="Y261" i="2"/>
  <c r="AA261" i="2"/>
  <c r="AB261" i="2"/>
  <c r="AC261" i="2"/>
  <c r="AF261" i="2"/>
  <c r="AG261" i="2"/>
  <c r="Z261" i="2"/>
  <c r="S261" i="2"/>
  <c r="Q261" i="2"/>
  <c r="J261" i="2"/>
  <c r="H261" i="2"/>
  <c r="G260" i="2"/>
  <c r="P260" i="2"/>
  <c r="Y260" i="2"/>
  <c r="AA260" i="2"/>
  <c r="AB260" i="2"/>
  <c r="AC260" i="2"/>
  <c r="AF260" i="2"/>
  <c r="AG260" i="2"/>
  <c r="Z260" i="2"/>
  <c r="S260" i="2"/>
  <c r="Q260" i="2"/>
  <c r="J260" i="2"/>
  <c r="H260" i="2"/>
  <c r="G259" i="2"/>
  <c r="P259" i="2"/>
  <c r="Y259" i="2"/>
  <c r="AA259" i="2"/>
  <c r="AB259" i="2"/>
  <c r="AC259" i="2"/>
  <c r="AF259" i="2"/>
  <c r="AG259" i="2"/>
  <c r="Z259" i="2"/>
  <c r="S259" i="2"/>
  <c r="Q259" i="2"/>
  <c r="J259" i="2"/>
  <c r="H259" i="2"/>
  <c r="G258" i="2"/>
  <c r="P258" i="2"/>
  <c r="Y258" i="2"/>
  <c r="AA258" i="2"/>
  <c r="AB258" i="2"/>
  <c r="AC258" i="2"/>
  <c r="AF258" i="2"/>
  <c r="AG258" i="2"/>
  <c r="Z258" i="2"/>
  <c r="S258" i="2"/>
  <c r="Q258" i="2"/>
  <c r="J258" i="2"/>
  <c r="H258" i="2"/>
  <c r="G257" i="2"/>
  <c r="P257" i="2"/>
  <c r="Y257" i="2"/>
  <c r="AA257" i="2"/>
  <c r="AB257" i="2"/>
  <c r="AC257" i="2"/>
  <c r="S257" i="2"/>
  <c r="J257" i="2"/>
  <c r="G256" i="2"/>
  <c r="P256" i="2"/>
  <c r="Y256" i="2"/>
  <c r="AA256" i="2"/>
  <c r="AB256" i="2"/>
  <c r="AC256" i="2"/>
  <c r="S256" i="2"/>
  <c r="J256" i="2"/>
  <c r="G255" i="2"/>
  <c r="P255" i="2"/>
  <c r="Y255" i="2"/>
  <c r="AA255" i="2"/>
  <c r="AB255" i="2"/>
  <c r="AC255" i="2"/>
  <c r="AF255" i="2"/>
  <c r="AG255" i="2"/>
  <c r="Z255" i="2"/>
  <c r="S255" i="2"/>
  <c r="Q255" i="2"/>
  <c r="J255" i="2"/>
  <c r="H255" i="2"/>
  <c r="G254" i="2"/>
  <c r="P254" i="2"/>
  <c r="Y254" i="2"/>
  <c r="AA254" i="2"/>
  <c r="AB254" i="2"/>
  <c r="AC254" i="2"/>
  <c r="AF254" i="2"/>
  <c r="AG254" i="2"/>
  <c r="Z254" i="2"/>
  <c r="S254" i="2"/>
  <c r="Q254" i="2"/>
  <c r="J254" i="2"/>
  <c r="H254" i="2"/>
  <c r="G253" i="2"/>
  <c r="P253" i="2"/>
  <c r="Y253" i="2"/>
  <c r="AA253" i="2"/>
  <c r="AB253" i="2"/>
  <c r="AC253" i="2"/>
  <c r="AF253" i="2"/>
  <c r="AG253" i="2"/>
  <c r="Z253" i="2"/>
  <c r="S253" i="2"/>
  <c r="Q253" i="2"/>
  <c r="J253" i="2"/>
  <c r="H253" i="2"/>
  <c r="G252" i="2"/>
  <c r="P252" i="2"/>
  <c r="Y252" i="2"/>
  <c r="AA252" i="2"/>
  <c r="AB252" i="2"/>
  <c r="AC252" i="2"/>
  <c r="S252" i="2"/>
  <c r="J252" i="2"/>
  <c r="G251" i="2"/>
  <c r="P251" i="2"/>
  <c r="Y251" i="2"/>
  <c r="AA251" i="2"/>
  <c r="AB251" i="2"/>
  <c r="AC251" i="2"/>
  <c r="AF251" i="2"/>
  <c r="AG251" i="2"/>
  <c r="Z251" i="2"/>
  <c r="S251" i="2"/>
  <c r="Q251" i="2"/>
  <c r="J251" i="2"/>
  <c r="H251" i="2"/>
  <c r="G250" i="2"/>
  <c r="P250" i="2"/>
  <c r="Y250" i="2"/>
  <c r="AA250" i="2"/>
  <c r="AB250" i="2"/>
  <c r="AC250" i="2"/>
  <c r="AF250" i="2"/>
  <c r="AG250" i="2"/>
  <c r="Z250" i="2"/>
  <c r="S250" i="2"/>
  <c r="Q250" i="2"/>
  <c r="J250" i="2"/>
  <c r="H250" i="2"/>
  <c r="G249" i="2"/>
  <c r="P249" i="2"/>
  <c r="Y249" i="2"/>
  <c r="AA249" i="2"/>
  <c r="AB249" i="2"/>
  <c r="AC249" i="2"/>
  <c r="AF249" i="2"/>
  <c r="AG249" i="2"/>
  <c r="Z249" i="2"/>
  <c r="S249" i="2"/>
  <c r="Q249" i="2"/>
  <c r="J249" i="2"/>
  <c r="H249" i="2"/>
  <c r="G248" i="2"/>
  <c r="P248" i="2"/>
  <c r="Y248" i="2"/>
  <c r="AA248" i="2"/>
  <c r="AB248" i="2"/>
  <c r="AC248" i="2"/>
  <c r="AF248" i="2"/>
  <c r="AG248" i="2"/>
  <c r="Z248" i="2"/>
  <c r="S248" i="2"/>
  <c r="Q248" i="2"/>
  <c r="J248" i="2"/>
  <c r="H248" i="2"/>
  <c r="G247" i="2"/>
  <c r="P247" i="2"/>
  <c r="Y247" i="2"/>
  <c r="AA247" i="2"/>
  <c r="AB247" i="2"/>
  <c r="AC247" i="2"/>
  <c r="AF247" i="2"/>
  <c r="AG247" i="2"/>
  <c r="Z247" i="2"/>
  <c r="S247" i="2"/>
  <c r="Q247" i="2"/>
  <c r="J247" i="2"/>
  <c r="H247" i="2"/>
  <c r="G246" i="2"/>
  <c r="P246" i="2"/>
  <c r="Y246" i="2"/>
  <c r="AA246" i="2"/>
  <c r="AB246" i="2"/>
  <c r="AC246" i="2"/>
  <c r="AF246" i="2"/>
  <c r="AG246" i="2"/>
  <c r="Z246" i="2"/>
  <c r="S246" i="2"/>
  <c r="Q246" i="2"/>
  <c r="J246" i="2"/>
  <c r="H246" i="2"/>
  <c r="G245" i="2"/>
  <c r="P245" i="2"/>
  <c r="Y245" i="2"/>
  <c r="AA245" i="2"/>
  <c r="AB245" i="2"/>
  <c r="AC245" i="2"/>
  <c r="AF245" i="2"/>
  <c r="AG245" i="2"/>
  <c r="Z245" i="2"/>
  <c r="S245" i="2"/>
  <c r="Q245" i="2"/>
  <c r="J245" i="2"/>
  <c r="H245" i="2"/>
  <c r="G244" i="2"/>
  <c r="P244" i="2"/>
  <c r="Y244" i="2"/>
  <c r="AA244" i="2"/>
  <c r="AB244" i="2"/>
  <c r="AC244" i="2"/>
  <c r="AF244" i="2"/>
  <c r="AG244" i="2"/>
  <c r="Z244" i="2"/>
  <c r="S244" i="2"/>
  <c r="Q244" i="2"/>
  <c r="J244" i="2"/>
  <c r="H244" i="2"/>
  <c r="G243" i="2"/>
  <c r="P243" i="2"/>
  <c r="Y243" i="2"/>
  <c r="AA243" i="2"/>
  <c r="AB243" i="2"/>
  <c r="AC243" i="2"/>
  <c r="AF243" i="2"/>
  <c r="AG243" i="2"/>
  <c r="Z243" i="2"/>
  <c r="S243" i="2"/>
  <c r="Q243" i="2"/>
  <c r="J243" i="2"/>
  <c r="H243" i="2"/>
  <c r="G242" i="2"/>
  <c r="P242" i="2"/>
  <c r="Y242" i="2"/>
  <c r="AA242" i="2"/>
  <c r="AB242" i="2"/>
  <c r="AC242" i="2"/>
  <c r="AF242" i="2"/>
  <c r="AG242" i="2"/>
  <c r="Z242" i="2"/>
  <c r="S242" i="2"/>
  <c r="Q242" i="2"/>
  <c r="J242" i="2"/>
  <c r="H242" i="2"/>
  <c r="G241" i="2"/>
  <c r="P241" i="2"/>
  <c r="Y241" i="2"/>
  <c r="AA241" i="2"/>
  <c r="AB241" i="2"/>
  <c r="AC241" i="2"/>
  <c r="AF241" i="2"/>
  <c r="AG241" i="2"/>
  <c r="Z241" i="2"/>
  <c r="S241" i="2"/>
  <c r="Q241" i="2"/>
  <c r="J241" i="2"/>
  <c r="H241" i="2"/>
  <c r="G240" i="2"/>
  <c r="P240" i="2"/>
  <c r="Y240" i="2"/>
  <c r="AA240" i="2"/>
  <c r="AB240" i="2"/>
  <c r="AC240" i="2"/>
  <c r="S240" i="2"/>
  <c r="J240" i="2"/>
  <c r="G239" i="2"/>
  <c r="P239" i="2"/>
  <c r="Y239" i="2"/>
  <c r="AA239" i="2"/>
  <c r="AB239" i="2"/>
  <c r="AC239" i="2"/>
  <c r="S239" i="2"/>
  <c r="J239" i="2"/>
  <c r="G238" i="2"/>
  <c r="P238" i="2"/>
  <c r="Y238" i="2"/>
  <c r="AA238" i="2"/>
  <c r="AB238" i="2"/>
  <c r="AC238" i="2"/>
  <c r="AF238" i="2"/>
  <c r="AG238" i="2"/>
  <c r="Z238" i="2"/>
  <c r="S238" i="2"/>
  <c r="Q238" i="2"/>
  <c r="J238" i="2"/>
  <c r="H238" i="2"/>
  <c r="G237" i="2"/>
  <c r="P237" i="2"/>
  <c r="Y237" i="2"/>
  <c r="AA237" i="2"/>
  <c r="AB237" i="2"/>
  <c r="AC237" i="2"/>
  <c r="AF237" i="2"/>
  <c r="AG237" i="2"/>
  <c r="Z237" i="2"/>
  <c r="S237" i="2"/>
  <c r="Q237" i="2"/>
  <c r="J237" i="2"/>
  <c r="H237" i="2"/>
  <c r="G236" i="2"/>
  <c r="P236" i="2"/>
  <c r="Y236" i="2"/>
  <c r="AA236" i="2"/>
  <c r="AB236" i="2"/>
  <c r="AC236" i="2"/>
  <c r="S236" i="2"/>
  <c r="J236" i="2"/>
  <c r="G235" i="2"/>
  <c r="P235" i="2"/>
  <c r="Y235" i="2"/>
  <c r="AA235" i="2"/>
  <c r="AB235" i="2"/>
  <c r="AC235" i="2"/>
  <c r="S235" i="2"/>
  <c r="J235" i="2"/>
  <c r="G234" i="2"/>
  <c r="P234" i="2"/>
  <c r="Y234" i="2"/>
  <c r="AA234" i="2"/>
  <c r="AB234" i="2"/>
  <c r="AC234" i="2"/>
  <c r="S234" i="2"/>
  <c r="J234" i="2"/>
  <c r="G233" i="2"/>
  <c r="P233" i="2"/>
  <c r="Y233" i="2"/>
  <c r="AA233" i="2"/>
  <c r="AB233" i="2"/>
  <c r="AC233" i="2"/>
  <c r="S233" i="2"/>
  <c r="J233" i="2"/>
  <c r="G232" i="2"/>
  <c r="P232" i="2"/>
  <c r="Y232" i="2"/>
  <c r="AA232" i="2"/>
  <c r="AB232" i="2"/>
  <c r="AC232" i="2"/>
  <c r="AF232" i="2"/>
  <c r="AG232" i="2"/>
  <c r="Z232" i="2"/>
  <c r="S232" i="2"/>
  <c r="Q232" i="2"/>
  <c r="J232" i="2"/>
  <c r="H232" i="2"/>
  <c r="G231" i="2"/>
  <c r="P231" i="2"/>
  <c r="Y231" i="2"/>
  <c r="AA231" i="2"/>
  <c r="AB231" i="2"/>
  <c r="AC231" i="2"/>
  <c r="S231" i="2"/>
  <c r="J231" i="2"/>
  <c r="G230" i="2"/>
  <c r="P230" i="2"/>
  <c r="Y230" i="2"/>
  <c r="AA230" i="2"/>
  <c r="AB230" i="2"/>
  <c r="AC230" i="2"/>
  <c r="S230" i="2"/>
  <c r="J230" i="2"/>
  <c r="G229" i="2"/>
  <c r="P229" i="2"/>
  <c r="Y229" i="2"/>
  <c r="AA229" i="2"/>
  <c r="AB229" i="2"/>
  <c r="AC229" i="2"/>
  <c r="AF229" i="2"/>
  <c r="AG229" i="2"/>
  <c r="Z229" i="2"/>
  <c r="S229" i="2"/>
  <c r="Q229" i="2"/>
  <c r="J229" i="2"/>
  <c r="H229" i="2"/>
  <c r="G228" i="2"/>
  <c r="P228" i="2"/>
  <c r="Y228" i="2"/>
  <c r="AA228" i="2"/>
  <c r="AB228" i="2"/>
  <c r="AC228" i="2"/>
  <c r="AF228" i="2"/>
  <c r="AG228" i="2"/>
  <c r="Z228" i="2"/>
  <c r="S228" i="2"/>
  <c r="Q228" i="2"/>
  <c r="J228" i="2"/>
  <c r="H228" i="2"/>
  <c r="G227" i="2"/>
  <c r="P227" i="2"/>
  <c r="Y227" i="2"/>
  <c r="AA227" i="2"/>
  <c r="AB227" i="2"/>
  <c r="AC227" i="2"/>
  <c r="AF227" i="2"/>
  <c r="AG227" i="2"/>
  <c r="Z227" i="2"/>
  <c r="S227" i="2"/>
  <c r="Q227" i="2"/>
  <c r="J227" i="2"/>
  <c r="H227" i="2"/>
  <c r="G226" i="2"/>
  <c r="P226" i="2"/>
  <c r="Y226" i="2"/>
  <c r="AA226" i="2"/>
  <c r="AB226" i="2"/>
  <c r="AC226" i="2"/>
  <c r="AF226" i="2"/>
  <c r="AG226" i="2"/>
  <c r="Z226" i="2"/>
  <c r="S226" i="2"/>
  <c r="Q226" i="2"/>
  <c r="J226" i="2"/>
  <c r="H226" i="2"/>
  <c r="G225" i="2"/>
  <c r="P225" i="2"/>
  <c r="Y225" i="2"/>
  <c r="AA225" i="2"/>
  <c r="AB225" i="2"/>
  <c r="AC225" i="2"/>
  <c r="AF225" i="2"/>
  <c r="AG225" i="2"/>
  <c r="Z225" i="2"/>
  <c r="S225" i="2"/>
  <c r="Q225" i="2"/>
  <c r="J225" i="2"/>
  <c r="H225" i="2"/>
  <c r="G224" i="2"/>
  <c r="P224" i="2"/>
  <c r="Y224" i="2"/>
  <c r="AA224" i="2"/>
  <c r="AB224" i="2"/>
  <c r="AC224" i="2"/>
  <c r="AF224" i="2"/>
  <c r="AG224" i="2"/>
  <c r="Z224" i="2"/>
  <c r="S224" i="2"/>
  <c r="Q224" i="2"/>
  <c r="J224" i="2"/>
  <c r="H224" i="2"/>
  <c r="G223" i="2"/>
  <c r="P223" i="2"/>
  <c r="Y223" i="2"/>
  <c r="AA223" i="2"/>
  <c r="AB223" i="2"/>
  <c r="AC223" i="2"/>
  <c r="S223" i="2"/>
  <c r="J223" i="2"/>
  <c r="G222" i="2"/>
  <c r="P222" i="2"/>
  <c r="Y222" i="2"/>
  <c r="AA222" i="2"/>
  <c r="AB222" i="2"/>
  <c r="AC222" i="2"/>
  <c r="S222" i="2"/>
  <c r="J222" i="2"/>
  <c r="G221" i="2"/>
  <c r="P221" i="2"/>
  <c r="Y221" i="2"/>
  <c r="AA221" i="2"/>
  <c r="AB221" i="2"/>
  <c r="AC221" i="2"/>
  <c r="S221" i="2"/>
  <c r="J221" i="2"/>
  <c r="G220" i="2"/>
  <c r="P220" i="2"/>
  <c r="Y220" i="2"/>
  <c r="AA220" i="2"/>
  <c r="AB220" i="2"/>
  <c r="AC220" i="2"/>
  <c r="S220" i="2"/>
  <c r="J220" i="2"/>
  <c r="G219" i="2"/>
  <c r="P219" i="2"/>
  <c r="Y219" i="2"/>
  <c r="AA219" i="2"/>
  <c r="AB219" i="2"/>
  <c r="AC219" i="2"/>
  <c r="S219" i="2"/>
  <c r="J219" i="2"/>
  <c r="G218" i="2"/>
  <c r="P218" i="2"/>
  <c r="Y218" i="2"/>
  <c r="AA218" i="2"/>
  <c r="AB218" i="2"/>
  <c r="AC218" i="2"/>
  <c r="S218" i="2"/>
  <c r="J218" i="2"/>
  <c r="G217" i="2"/>
  <c r="P217" i="2"/>
  <c r="Y217" i="2"/>
  <c r="AA217" i="2"/>
  <c r="AB217" i="2"/>
  <c r="AC217" i="2"/>
  <c r="S217" i="2"/>
  <c r="J217" i="2"/>
  <c r="G216" i="2"/>
  <c r="P216" i="2"/>
  <c r="Y216" i="2"/>
  <c r="AA216" i="2"/>
  <c r="AB216" i="2"/>
  <c r="AC216" i="2"/>
  <c r="S216" i="2"/>
  <c r="J216" i="2"/>
  <c r="G215" i="2"/>
  <c r="P215" i="2"/>
  <c r="Y215" i="2"/>
  <c r="AA215" i="2"/>
  <c r="AB215" i="2"/>
  <c r="AC215" i="2"/>
  <c r="S215" i="2"/>
  <c r="J215" i="2"/>
  <c r="G214" i="2"/>
  <c r="P214" i="2"/>
  <c r="Y214" i="2"/>
  <c r="AA214" i="2"/>
  <c r="AB214" i="2"/>
  <c r="AC214" i="2"/>
  <c r="S214" i="2"/>
  <c r="J214" i="2"/>
  <c r="G213" i="2"/>
  <c r="P213" i="2"/>
  <c r="Y213" i="2"/>
  <c r="AA213" i="2"/>
  <c r="AB213" i="2"/>
  <c r="AC213" i="2"/>
  <c r="S213" i="2"/>
  <c r="J213" i="2"/>
  <c r="G212" i="2"/>
  <c r="P212" i="2"/>
  <c r="Y212" i="2"/>
  <c r="AA212" i="2"/>
  <c r="AB212" i="2"/>
  <c r="AC212" i="2"/>
  <c r="S212" i="2"/>
  <c r="J212" i="2"/>
  <c r="G211" i="2"/>
  <c r="P211" i="2"/>
  <c r="Y211" i="2"/>
  <c r="AA211" i="2"/>
  <c r="AB211" i="2"/>
  <c r="AC211" i="2"/>
  <c r="S211" i="2"/>
  <c r="J211" i="2"/>
  <c r="G210" i="2"/>
  <c r="P210" i="2"/>
  <c r="Y210" i="2"/>
  <c r="AA210" i="2"/>
  <c r="AB210" i="2"/>
  <c r="AC210" i="2"/>
  <c r="S210" i="2"/>
  <c r="J210" i="2"/>
  <c r="G209" i="2"/>
  <c r="P209" i="2"/>
  <c r="Y209" i="2"/>
  <c r="AA209" i="2"/>
  <c r="AB209" i="2"/>
  <c r="AC209" i="2"/>
  <c r="S209" i="2"/>
  <c r="J209" i="2"/>
  <c r="G208" i="2"/>
  <c r="P208" i="2"/>
  <c r="Y208" i="2"/>
  <c r="AA208" i="2"/>
  <c r="AB208" i="2"/>
  <c r="AC208" i="2"/>
  <c r="S208" i="2"/>
  <c r="J208" i="2"/>
  <c r="G207" i="2"/>
  <c r="P207" i="2"/>
  <c r="Y207" i="2"/>
  <c r="AA207" i="2"/>
  <c r="AB207" i="2"/>
  <c r="AC207" i="2"/>
  <c r="S207" i="2"/>
  <c r="J207" i="2"/>
  <c r="G206" i="2"/>
  <c r="P206" i="2"/>
  <c r="Y206" i="2"/>
  <c r="AA206" i="2"/>
  <c r="AB206" i="2"/>
  <c r="AC206" i="2"/>
  <c r="S206" i="2"/>
  <c r="J206" i="2"/>
  <c r="G205" i="2"/>
  <c r="P205" i="2"/>
  <c r="Y205" i="2"/>
  <c r="AA205" i="2"/>
  <c r="AB205" i="2"/>
  <c r="AC205" i="2"/>
  <c r="S205" i="2"/>
  <c r="J205" i="2"/>
  <c r="G204" i="2"/>
  <c r="P204" i="2"/>
  <c r="Y204" i="2"/>
  <c r="AA204" i="2"/>
  <c r="AB204" i="2"/>
  <c r="AC204" i="2"/>
  <c r="S204" i="2"/>
  <c r="J204" i="2"/>
  <c r="G203" i="2"/>
  <c r="P203" i="2"/>
  <c r="Y203" i="2"/>
  <c r="AA203" i="2"/>
  <c r="AB203" i="2"/>
  <c r="AC203" i="2"/>
  <c r="S203" i="2"/>
  <c r="J203" i="2"/>
  <c r="G202" i="2"/>
  <c r="P202" i="2"/>
  <c r="Y202" i="2"/>
  <c r="AA202" i="2"/>
  <c r="AB202" i="2"/>
  <c r="AC202" i="2"/>
  <c r="S202" i="2"/>
  <c r="J202" i="2"/>
  <c r="G201" i="2"/>
  <c r="P201" i="2"/>
  <c r="Y201" i="2"/>
  <c r="AA201" i="2"/>
  <c r="AB201" i="2"/>
  <c r="AC201" i="2"/>
  <c r="AF201" i="2"/>
  <c r="AG201" i="2"/>
  <c r="Z201" i="2"/>
  <c r="S201" i="2"/>
  <c r="Q201" i="2"/>
  <c r="J201" i="2"/>
  <c r="H201" i="2"/>
  <c r="G200" i="2"/>
  <c r="P200" i="2"/>
  <c r="Y200" i="2"/>
  <c r="AA200" i="2"/>
  <c r="AB200" i="2"/>
  <c r="AC200" i="2"/>
  <c r="AF200" i="2"/>
  <c r="AG200" i="2"/>
  <c r="Z200" i="2"/>
  <c r="S200" i="2"/>
  <c r="Q200" i="2"/>
  <c r="J200" i="2"/>
  <c r="H200" i="2"/>
  <c r="G199" i="2"/>
  <c r="P199" i="2"/>
  <c r="Y199" i="2"/>
  <c r="AA199" i="2"/>
  <c r="AB199" i="2"/>
  <c r="AC199" i="2"/>
  <c r="AF199" i="2"/>
  <c r="AG199" i="2"/>
  <c r="Z199" i="2"/>
  <c r="S199" i="2"/>
  <c r="Q199" i="2"/>
  <c r="J199" i="2"/>
  <c r="H199" i="2"/>
  <c r="G198" i="2"/>
  <c r="P198" i="2"/>
  <c r="Y198" i="2"/>
  <c r="AA198" i="2"/>
  <c r="AB198" i="2"/>
  <c r="AC198" i="2"/>
  <c r="AF198" i="2"/>
  <c r="AG198" i="2"/>
  <c r="Z198" i="2"/>
  <c r="S198" i="2"/>
  <c r="Q198" i="2"/>
  <c r="J198" i="2"/>
  <c r="H198" i="2"/>
  <c r="G197" i="2"/>
  <c r="P197" i="2"/>
  <c r="Y197" i="2"/>
  <c r="AA197" i="2"/>
  <c r="AB197" i="2"/>
  <c r="AC197" i="2"/>
  <c r="AF197" i="2"/>
  <c r="AG197" i="2"/>
  <c r="Z197" i="2"/>
  <c r="S197" i="2"/>
  <c r="Q197" i="2"/>
  <c r="J197" i="2"/>
  <c r="H197" i="2"/>
  <c r="G196" i="2"/>
  <c r="P196" i="2"/>
  <c r="Y196" i="2"/>
  <c r="AA196" i="2"/>
  <c r="AB196" i="2"/>
  <c r="AC196" i="2"/>
  <c r="S196" i="2"/>
  <c r="J196" i="2"/>
  <c r="G195" i="2"/>
  <c r="P195" i="2"/>
  <c r="Y195" i="2"/>
  <c r="AA195" i="2"/>
  <c r="AB195" i="2"/>
  <c r="AC195" i="2"/>
  <c r="S195" i="2"/>
  <c r="J195" i="2"/>
  <c r="G194" i="2"/>
  <c r="P194" i="2"/>
  <c r="Y194" i="2"/>
  <c r="AA194" i="2"/>
  <c r="AB194" i="2"/>
  <c r="AC194" i="2"/>
  <c r="S194" i="2"/>
  <c r="J194" i="2"/>
  <c r="G193" i="2"/>
  <c r="P193" i="2"/>
  <c r="Y193" i="2"/>
  <c r="AA193" i="2"/>
  <c r="AB193" i="2"/>
  <c r="AC193" i="2"/>
  <c r="AF193" i="2"/>
  <c r="AG193" i="2"/>
  <c r="Z193" i="2"/>
  <c r="S193" i="2"/>
  <c r="Q193" i="2"/>
  <c r="J193" i="2"/>
  <c r="H193" i="2"/>
  <c r="G192" i="2"/>
  <c r="P192" i="2"/>
  <c r="Y192" i="2"/>
  <c r="AA192" i="2"/>
  <c r="AB192" i="2"/>
  <c r="AC192" i="2"/>
  <c r="AF192" i="2"/>
  <c r="AG192" i="2"/>
  <c r="Z192" i="2"/>
  <c r="S192" i="2"/>
  <c r="Q192" i="2"/>
  <c r="J192" i="2"/>
  <c r="H192" i="2"/>
  <c r="G191" i="2"/>
  <c r="P191" i="2"/>
  <c r="Y191" i="2"/>
  <c r="AA191" i="2"/>
  <c r="AB191" i="2"/>
  <c r="AC191" i="2"/>
  <c r="AF191" i="2"/>
  <c r="AG191" i="2"/>
  <c r="Z191" i="2"/>
  <c r="S191" i="2"/>
  <c r="Q191" i="2"/>
  <c r="J191" i="2"/>
  <c r="H191" i="2"/>
  <c r="G190" i="2"/>
  <c r="P190" i="2"/>
  <c r="Y190" i="2"/>
  <c r="AA190" i="2"/>
  <c r="AB190" i="2"/>
  <c r="AC190" i="2"/>
  <c r="AF190" i="2"/>
  <c r="AG190" i="2"/>
  <c r="Z190" i="2"/>
  <c r="S190" i="2"/>
  <c r="Q190" i="2"/>
  <c r="J190" i="2"/>
  <c r="H190" i="2"/>
  <c r="G189" i="2"/>
  <c r="P189" i="2"/>
  <c r="Y189" i="2"/>
  <c r="AA189" i="2"/>
  <c r="AB189" i="2"/>
  <c r="AC189" i="2"/>
  <c r="AF189" i="2"/>
  <c r="AG189" i="2"/>
  <c r="Z189" i="2"/>
  <c r="S189" i="2"/>
  <c r="Q189" i="2"/>
  <c r="J189" i="2"/>
  <c r="H189" i="2"/>
  <c r="G188" i="2"/>
  <c r="P188" i="2"/>
  <c r="Y188" i="2"/>
  <c r="AA188" i="2"/>
  <c r="AB188" i="2"/>
  <c r="AC188" i="2"/>
  <c r="AF188" i="2"/>
  <c r="AG188" i="2"/>
  <c r="Z188" i="2"/>
  <c r="S188" i="2"/>
  <c r="Q188" i="2"/>
  <c r="J188" i="2"/>
  <c r="H188" i="2"/>
  <c r="G187" i="2"/>
  <c r="P187" i="2"/>
  <c r="Y187" i="2"/>
  <c r="AA187" i="2"/>
  <c r="AB187" i="2"/>
  <c r="AC187" i="2"/>
  <c r="AF187" i="2"/>
  <c r="AG187" i="2"/>
  <c r="Z187" i="2"/>
  <c r="S187" i="2"/>
  <c r="Q187" i="2"/>
  <c r="J187" i="2"/>
  <c r="H187" i="2"/>
  <c r="G186" i="2"/>
  <c r="P186" i="2"/>
  <c r="Y186" i="2"/>
  <c r="AA186" i="2"/>
  <c r="AB186" i="2"/>
  <c r="AC186" i="2"/>
  <c r="AF186" i="2"/>
  <c r="AG186" i="2"/>
  <c r="Z186" i="2"/>
  <c r="S186" i="2"/>
  <c r="Q186" i="2"/>
  <c r="J186" i="2"/>
  <c r="H186" i="2"/>
  <c r="G185" i="2"/>
  <c r="P185" i="2"/>
  <c r="Y185" i="2"/>
  <c r="AA185" i="2"/>
  <c r="AB185" i="2"/>
  <c r="AC185" i="2"/>
  <c r="AF185" i="2"/>
  <c r="AG185" i="2"/>
  <c r="Z185" i="2"/>
  <c r="S185" i="2"/>
  <c r="Q185" i="2"/>
  <c r="J185" i="2"/>
  <c r="H185" i="2"/>
  <c r="G184" i="2"/>
  <c r="P184" i="2"/>
  <c r="Y184" i="2"/>
  <c r="AA184" i="2"/>
  <c r="AB184" i="2"/>
  <c r="AC184" i="2"/>
  <c r="S184" i="2"/>
  <c r="J184" i="2"/>
  <c r="G183" i="2"/>
  <c r="P183" i="2"/>
  <c r="Y183" i="2"/>
  <c r="AA183" i="2"/>
  <c r="AB183" i="2"/>
  <c r="AC183" i="2"/>
  <c r="S183" i="2"/>
  <c r="J183" i="2"/>
  <c r="G182" i="2"/>
  <c r="P182" i="2"/>
  <c r="Y182" i="2"/>
  <c r="AA182" i="2"/>
  <c r="AB182" i="2"/>
  <c r="AC182" i="2"/>
  <c r="AF182" i="2"/>
  <c r="AG182" i="2"/>
  <c r="Z182" i="2"/>
  <c r="S182" i="2"/>
  <c r="Q182" i="2"/>
  <c r="J182" i="2"/>
  <c r="H182" i="2"/>
  <c r="G181" i="2"/>
  <c r="P181" i="2"/>
  <c r="Y181" i="2"/>
  <c r="AA181" i="2"/>
  <c r="AB181" i="2"/>
  <c r="AC181" i="2"/>
  <c r="AF181" i="2"/>
  <c r="AG181" i="2"/>
  <c r="Z181" i="2"/>
  <c r="S181" i="2"/>
  <c r="Q181" i="2"/>
  <c r="J181" i="2"/>
  <c r="H181" i="2"/>
  <c r="G180" i="2"/>
  <c r="P180" i="2"/>
  <c r="Y180" i="2"/>
  <c r="AA180" i="2"/>
  <c r="AB180" i="2"/>
  <c r="AC180" i="2"/>
  <c r="AF180" i="2"/>
  <c r="AG180" i="2"/>
  <c r="Z180" i="2"/>
  <c r="S180" i="2"/>
  <c r="Q180" i="2"/>
  <c r="J180" i="2"/>
  <c r="H180" i="2"/>
  <c r="G179" i="2"/>
  <c r="P179" i="2"/>
  <c r="Y179" i="2"/>
  <c r="AA179" i="2"/>
  <c r="AB179" i="2"/>
  <c r="AC179" i="2"/>
  <c r="AF179" i="2"/>
  <c r="AG179" i="2"/>
  <c r="Z179" i="2"/>
  <c r="S179" i="2"/>
  <c r="Q179" i="2"/>
  <c r="J179" i="2"/>
  <c r="H179" i="2"/>
  <c r="G178" i="2"/>
  <c r="P178" i="2"/>
  <c r="Y178" i="2"/>
  <c r="AA178" i="2"/>
  <c r="AB178" i="2"/>
  <c r="AC178" i="2"/>
  <c r="AF178" i="2"/>
  <c r="AG178" i="2"/>
  <c r="Z178" i="2"/>
  <c r="S178" i="2"/>
  <c r="Q178" i="2"/>
  <c r="J178" i="2"/>
  <c r="H178" i="2"/>
  <c r="G177" i="2"/>
  <c r="P177" i="2"/>
  <c r="Y177" i="2"/>
  <c r="AA177" i="2"/>
  <c r="AB177" i="2"/>
  <c r="AC177" i="2"/>
  <c r="S177" i="2"/>
  <c r="J177" i="2"/>
  <c r="G176" i="2"/>
  <c r="P176" i="2"/>
  <c r="Y176" i="2"/>
  <c r="AA176" i="2"/>
  <c r="AB176" i="2"/>
  <c r="AC176" i="2"/>
  <c r="S176" i="2"/>
  <c r="J176" i="2"/>
  <c r="G175" i="2"/>
  <c r="P175" i="2"/>
  <c r="Y175" i="2"/>
  <c r="AA175" i="2"/>
  <c r="AB175" i="2"/>
  <c r="AC175" i="2"/>
  <c r="S175" i="2"/>
  <c r="J175" i="2"/>
  <c r="G174" i="2"/>
  <c r="P174" i="2"/>
  <c r="Y174" i="2"/>
  <c r="AA174" i="2"/>
  <c r="AB174" i="2"/>
  <c r="AC174" i="2"/>
  <c r="S174" i="2"/>
  <c r="J174" i="2"/>
  <c r="G173" i="2"/>
  <c r="P173" i="2"/>
  <c r="Y173" i="2"/>
  <c r="AA173" i="2"/>
  <c r="AB173" i="2"/>
  <c r="AC173" i="2"/>
  <c r="AF173" i="2"/>
  <c r="AG173" i="2"/>
  <c r="Z173" i="2"/>
  <c r="S173" i="2"/>
  <c r="Q173" i="2"/>
  <c r="J173" i="2"/>
  <c r="H173" i="2"/>
  <c r="G172" i="2"/>
  <c r="P172" i="2"/>
  <c r="Y172" i="2"/>
  <c r="AA172" i="2"/>
  <c r="AB172" i="2"/>
  <c r="AC172" i="2"/>
  <c r="AF172" i="2"/>
  <c r="AG172" i="2"/>
  <c r="Z172" i="2"/>
  <c r="S172" i="2"/>
  <c r="Q172" i="2"/>
  <c r="J172" i="2"/>
  <c r="H172" i="2"/>
  <c r="G171" i="2"/>
  <c r="P171" i="2"/>
  <c r="Y171" i="2"/>
  <c r="AA171" i="2"/>
  <c r="AB171" i="2"/>
  <c r="AC171" i="2"/>
  <c r="AF171" i="2"/>
  <c r="AG171" i="2"/>
  <c r="Z171" i="2"/>
  <c r="S171" i="2"/>
  <c r="Q171" i="2"/>
  <c r="J171" i="2"/>
  <c r="H171" i="2"/>
  <c r="G170" i="2"/>
  <c r="P170" i="2"/>
  <c r="Y170" i="2"/>
  <c r="AA170" i="2"/>
  <c r="AB170" i="2"/>
  <c r="AC170" i="2"/>
  <c r="AF170" i="2"/>
  <c r="AG170" i="2"/>
  <c r="Z170" i="2"/>
  <c r="S170" i="2"/>
  <c r="Q170" i="2"/>
  <c r="J170" i="2"/>
  <c r="H170" i="2"/>
  <c r="G169" i="2"/>
  <c r="P169" i="2"/>
  <c r="Y169" i="2"/>
  <c r="AA169" i="2"/>
  <c r="AB169" i="2"/>
  <c r="AC169" i="2"/>
  <c r="AF169" i="2"/>
  <c r="AG169" i="2"/>
  <c r="Z169" i="2"/>
  <c r="S169" i="2"/>
  <c r="Q169" i="2"/>
  <c r="J169" i="2"/>
  <c r="H169" i="2"/>
  <c r="G168" i="2"/>
  <c r="P168" i="2"/>
  <c r="Y168" i="2"/>
  <c r="AA168" i="2"/>
  <c r="AB168" i="2"/>
  <c r="AC168" i="2"/>
  <c r="AF168" i="2"/>
  <c r="AG168" i="2"/>
  <c r="Z168" i="2"/>
  <c r="S168" i="2"/>
  <c r="Q168" i="2"/>
  <c r="J168" i="2"/>
  <c r="H168" i="2"/>
  <c r="G167" i="2"/>
  <c r="P167" i="2"/>
  <c r="Y167" i="2"/>
  <c r="AA167" i="2"/>
  <c r="AB167" i="2"/>
  <c r="AC167" i="2"/>
  <c r="AF167" i="2"/>
  <c r="AG167" i="2"/>
  <c r="Z167" i="2"/>
  <c r="S167" i="2"/>
  <c r="Q167" i="2"/>
  <c r="J167" i="2"/>
  <c r="H167" i="2"/>
  <c r="G166" i="2"/>
  <c r="P166" i="2"/>
  <c r="Y166" i="2"/>
  <c r="AA166" i="2"/>
  <c r="AB166" i="2"/>
  <c r="AC166" i="2"/>
  <c r="AF166" i="2"/>
  <c r="AG166" i="2"/>
  <c r="Z166" i="2"/>
  <c r="S166" i="2"/>
  <c r="Q166" i="2"/>
  <c r="J166" i="2"/>
  <c r="H166" i="2"/>
  <c r="G165" i="2"/>
  <c r="P165" i="2"/>
  <c r="Y165" i="2"/>
  <c r="AA165" i="2"/>
  <c r="AB165" i="2"/>
  <c r="AC165" i="2"/>
  <c r="AF165" i="2"/>
  <c r="AG165" i="2"/>
  <c r="Z165" i="2"/>
  <c r="S165" i="2"/>
  <c r="Q165" i="2"/>
  <c r="J165" i="2"/>
  <c r="H165" i="2"/>
  <c r="G164" i="2"/>
  <c r="P164" i="2"/>
  <c r="Y164" i="2"/>
  <c r="AA164" i="2"/>
  <c r="AB164" i="2"/>
  <c r="AC164" i="2"/>
  <c r="AF164" i="2"/>
  <c r="AG164" i="2"/>
  <c r="Z164" i="2"/>
  <c r="S164" i="2"/>
  <c r="Q164" i="2"/>
  <c r="J164" i="2"/>
  <c r="H164" i="2"/>
  <c r="G163" i="2"/>
  <c r="P163" i="2"/>
  <c r="Y163" i="2"/>
  <c r="AA163" i="2"/>
  <c r="AB163" i="2"/>
  <c r="AC163" i="2"/>
  <c r="AF163" i="2"/>
  <c r="AG163" i="2"/>
  <c r="Z163" i="2"/>
  <c r="S163" i="2"/>
  <c r="Q163" i="2"/>
  <c r="J163" i="2"/>
  <c r="H163" i="2"/>
  <c r="G162" i="2"/>
  <c r="P162" i="2"/>
  <c r="Y162" i="2"/>
  <c r="AA162" i="2"/>
  <c r="AB162" i="2"/>
  <c r="AC162" i="2"/>
  <c r="AF162" i="2"/>
  <c r="AG162" i="2"/>
  <c r="Z162" i="2"/>
  <c r="S162" i="2"/>
  <c r="Q162" i="2"/>
  <c r="J162" i="2"/>
  <c r="H162" i="2"/>
  <c r="G161" i="2"/>
  <c r="P161" i="2"/>
  <c r="Y161" i="2"/>
  <c r="AA161" i="2"/>
  <c r="AB161" i="2"/>
  <c r="AC161" i="2"/>
  <c r="AF161" i="2"/>
  <c r="AG161" i="2"/>
  <c r="Z161" i="2"/>
  <c r="S161" i="2"/>
  <c r="Q161" i="2"/>
  <c r="J161" i="2"/>
  <c r="H161" i="2"/>
  <c r="G160" i="2"/>
  <c r="P160" i="2"/>
  <c r="Y160" i="2"/>
  <c r="AA160" i="2"/>
  <c r="AB160" i="2"/>
  <c r="AC160" i="2"/>
  <c r="S160" i="2"/>
  <c r="J160" i="2"/>
  <c r="G159" i="2"/>
  <c r="P159" i="2"/>
  <c r="Y159" i="2"/>
  <c r="AA159" i="2"/>
  <c r="AB159" i="2"/>
  <c r="AC159" i="2"/>
  <c r="S159" i="2"/>
  <c r="J159" i="2"/>
  <c r="G158" i="2"/>
  <c r="P158" i="2"/>
  <c r="Y158" i="2"/>
  <c r="AA158" i="2"/>
  <c r="AB158" i="2"/>
  <c r="AC158" i="2"/>
  <c r="AF158" i="2"/>
  <c r="AG158" i="2"/>
  <c r="Z158" i="2"/>
  <c r="S158" i="2"/>
  <c r="Q158" i="2"/>
  <c r="J158" i="2"/>
  <c r="H158" i="2"/>
  <c r="G157" i="2"/>
  <c r="P157" i="2"/>
  <c r="Y157" i="2"/>
  <c r="AA157" i="2"/>
  <c r="AB157" i="2"/>
  <c r="AC157" i="2"/>
  <c r="S157" i="2"/>
  <c r="J157" i="2"/>
  <c r="G156" i="2"/>
  <c r="P156" i="2"/>
  <c r="Y156" i="2"/>
  <c r="AA156" i="2"/>
  <c r="AB156" i="2"/>
  <c r="AC156" i="2"/>
  <c r="S156" i="2"/>
  <c r="J156" i="2"/>
  <c r="G155" i="2"/>
  <c r="P155" i="2"/>
  <c r="Y155" i="2"/>
  <c r="AA155" i="2"/>
  <c r="AB155" i="2"/>
  <c r="AC155" i="2"/>
  <c r="S155" i="2"/>
  <c r="J155" i="2"/>
  <c r="G154" i="2"/>
  <c r="P154" i="2"/>
  <c r="Y154" i="2"/>
  <c r="AA154" i="2"/>
  <c r="AB154" i="2"/>
  <c r="AC154" i="2"/>
  <c r="S154" i="2"/>
  <c r="J154" i="2"/>
  <c r="G153" i="2"/>
  <c r="P153" i="2"/>
  <c r="Y153" i="2"/>
  <c r="AA153" i="2"/>
  <c r="AB153" i="2"/>
  <c r="AC153" i="2"/>
  <c r="S153" i="2"/>
  <c r="J153" i="2"/>
  <c r="G152" i="2"/>
  <c r="P152" i="2"/>
  <c r="Y152" i="2"/>
  <c r="AA152" i="2"/>
  <c r="AB152" i="2"/>
  <c r="AC152" i="2"/>
  <c r="AF152" i="2"/>
  <c r="AG152" i="2"/>
  <c r="Z152" i="2"/>
  <c r="S152" i="2"/>
  <c r="Q152" i="2"/>
  <c r="J152" i="2"/>
  <c r="H152" i="2"/>
  <c r="G151" i="2"/>
  <c r="P151" i="2"/>
  <c r="Y151" i="2"/>
  <c r="AA151" i="2"/>
  <c r="AB151" i="2"/>
  <c r="AC151" i="2"/>
  <c r="S151" i="2"/>
  <c r="J151" i="2"/>
  <c r="G150" i="2"/>
  <c r="P150" i="2"/>
  <c r="Y150" i="2"/>
  <c r="AA150" i="2"/>
  <c r="AB150" i="2"/>
  <c r="AC150" i="2"/>
  <c r="S150" i="2"/>
  <c r="J150" i="2"/>
  <c r="G149" i="2"/>
  <c r="P149" i="2"/>
  <c r="Y149" i="2"/>
  <c r="AA149" i="2"/>
  <c r="AB149" i="2"/>
  <c r="AC149" i="2"/>
  <c r="S149" i="2"/>
  <c r="J149" i="2"/>
  <c r="G148" i="2"/>
  <c r="P148" i="2"/>
  <c r="Y148" i="2"/>
  <c r="AA148" i="2"/>
  <c r="AB148" i="2"/>
  <c r="AC148" i="2"/>
  <c r="S148" i="2"/>
  <c r="J148" i="2"/>
  <c r="G147" i="2"/>
  <c r="P147" i="2"/>
  <c r="Y147" i="2"/>
  <c r="AA147" i="2"/>
  <c r="AB147" i="2"/>
  <c r="AC147" i="2"/>
  <c r="S147" i="2"/>
  <c r="J147" i="2"/>
  <c r="G146" i="2"/>
  <c r="P146" i="2"/>
  <c r="Y146" i="2"/>
  <c r="AA146" i="2"/>
  <c r="AB146" i="2"/>
  <c r="AC146" i="2"/>
  <c r="S146" i="2"/>
  <c r="J146" i="2"/>
  <c r="G145" i="2"/>
  <c r="P145" i="2"/>
  <c r="Y145" i="2"/>
  <c r="AA145" i="2"/>
  <c r="AB145" i="2"/>
  <c r="AC145" i="2"/>
  <c r="S145" i="2"/>
  <c r="J145" i="2"/>
  <c r="G144" i="2"/>
  <c r="P144" i="2"/>
  <c r="Y144" i="2"/>
  <c r="AA144" i="2"/>
  <c r="AB144" i="2"/>
  <c r="AC144" i="2"/>
  <c r="S144" i="2"/>
  <c r="J144" i="2"/>
  <c r="G143" i="2"/>
  <c r="P143" i="2"/>
  <c r="Y143" i="2"/>
  <c r="AA143" i="2"/>
  <c r="AB143" i="2"/>
  <c r="AC143" i="2"/>
  <c r="S143" i="2"/>
  <c r="J143" i="2"/>
  <c r="G142" i="2"/>
  <c r="P142" i="2"/>
  <c r="Y142" i="2"/>
  <c r="AA142" i="2"/>
  <c r="AB142" i="2"/>
  <c r="AC142" i="2"/>
  <c r="S142" i="2"/>
  <c r="J142" i="2"/>
  <c r="G141" i="2"/>
  <c r="P141" i="2"/>
  <c r="Y141" i="2"/>
  <c r="AA141" i="2"/>
  <c r="AB141" i="2"/>
  <c r="AC141" i="2"/>
  <c r="S141" i="2"/>
  <c r="J141" i="2"/>
  <c r="G140" i="2"/>
  <c r="P140" i="2"/>
  <c r="Y140" i="2"/>
  <c r="AA140" i="2"/>
  <c r="AB140" i="2"/>
  <c r="AC140" i="2"/>
  <c r="S140" i="2"/>
  <c r="J140" i="2"/>
  <c r="G139" i="2"/>
  <c r="P139" i="2"/>
  <c r="Y139" i="2"/>
  <c r="AA139" i="2"/>
  <c r="AB139" i="2"/>
  <c r="AC139" i="2"/>
  <c r="S139" i="2"/>
  <c r="J139" i="2"/>
  <c r="G138" i="2"/>
  <c r="P138" i="2"/>
  <c r="Y138" i="2"/>
  <c r="AA138" i="2"/>
  <c r="AB138" i="2"/>
  <c r="AC138" i="2"/>
  <c r="S138" i="2"/>
  <c r="J138" i="2"/>
  <c r="G137" i="2"/>
  <c r="P137" i="2"/>
  <c r="Y137" i="2"/>
  <c r="AA137" i="2"/>
  <c r="AB137" i="2"/>
  <c r="AC137" i="2"/>
  <c r="S137" i="2"/>
  <c r="J137" i="2"/>
  <c r="G136" i="2"/>
  <c r="P136" i="2"/>
  <c r="Y136" i="2"/>
  <c r="AA136" i="2"/>
  <c r="AB136" i="2"/>
  <c r="AC136" i="2"/>
  <c r="S136" i="2"/>
  <c r="J136" i="2"/>
  <c r="G135" i="2"/>
  <c r="P135" i="2"/>
  <c r="Y135" i="2"/>
  <c r="AA135" i="2"/>
  <c r="AB135" i="2"/>
  <c r="AC135" i="2"/>
  <c r="AF135" i="2"/>
  <c r="AG135" i="2"/>
  <c r="Z135" i="2"/>
  <c r="S135" i="2"/>
  <c r="Q135" i="2"/>
  <c r="J135" i="2"/>
  <c r="H135" i="2"/>
  <c r="G134" i="2"/>
  <c r="P134" i="2"/>
  <c r="Y134" i="2"/>
  <c r="AA134" i="2"/>
  <c r="AB134" i="2"/>
  <c r="AC134" i="2"/>
  <c r="AF134" i="2"/>
  <c r="AG134" i="2"/>
  <c r="Z134" i="2"/>
  <c r="S134" i="2"/>
  <c r="Q134" i="2"/>
  <c r="J134" i="2"/>
  <c r="H134" i="2"/>
  <c r="G133" i="2"/>
  <c r="P133" i="2"/>
  <c r="Y133" i="2"/>
  <c r="AA133" i="2"/>
  <c r="AB133" i="2"/>
  <c r="AC133" i="2"/>
  <c r="AF133" i="2"/>
  <c r="AG133" i="2"/>
  <c r="Z133" i="2"/>
  <c r="S133" i="2"/>
  <c r="Q133" i="2"/>
  <c r="J133" i="2"/>
  <c r="H133" i="2"/>
  <c r="G132" i="2"/>
  <c r="P132" i="2"/>
  <c r="Y132" i="2"/>
  <c r="AA132" i="2"/>
  <c r="AB132" i="2"/>
  <c r="AC132" i="2"/>
  <c r="AF132" i="2"/>
  <c r="AG132" i="2"/>
  <c r="Z132" i="2"/>
  <c r="S132" i="2"/>
  <c r="Q132" i="2"/>
  <c r="J132" i="2"/>
  <c r="H132" i="2"/>
  <c r="G131" i="2"/>
  <c r="P131" i="2"/>
  <c r="Y131" i="2"/>
  <c r="AA131" i="2"/>
  <c r="AB131" i="2"/>
  <c r="AC131" i="2"/>
  <c r="S131" i="2"/>
  <c r="J131" i="2"/>
  <c r="G130" i="2"/>
  <c r="P130" i="2"/>
  <c r="Y130" i="2"/>
  <c r="AA130" i="2"/>
  <c r="AB130" i="2"/>
  <c r="AC130" i="2"/>
  <c r="S130" i="2"/>
  <c r="J130" i="2"/>
  <c r="G129" i="2"/>
  <c r="P129" i="2"/>
  <c r="Y129" i="2"/>
  <c r="AA129" i="2"/>
  <c r="AB129" i="2"/>
  <c r="AC129" i="2"/>
  <c r="S129" i="2"/>
  <c r="J129" i="2"/>
  <c r="G128" i="2"/>
  <c r="P128" i="2"/>
  <c r="Y128" i="2"/>
  <c r="AA128" i="2"/>
  <c r="AB128" i="2"/>
  <c r="AC128" i="2"/>
  <c r="S128" i="2"/>
  <c r="J128" i="2"/>
  <c r="G127" i="2"/>
  <c r="P127" i="2"/>
  <c r="Y127" i="2"/>
  <c r="AA127" i="2"/>
  <c r="AB127" i="2"/>
  <c r="AC127" i="2"/>
  <c r="AF127" i="2"/>
  <c r="AG127" i="2"/>
  <c r="Z127" i="2"/>
  <c r="S127" i="2"/>
  <c r="Q127" i="2"/>
  <c r="J127" i="2"/>
  <c r="H127" i="2"/>
  <c r="G126" i="2"/>
  <c r="P126" i="2"/>
  <c r="Y126" i="2"/>
  <c r="AA126" i="2"/>
  <c r="AB126" i="2"/>
  <c r="AC126" i="2"/>
  <c r="AF126" i="2"/>
  <c r="AG126" i="2"/>
  <c r="Z126" i="2"/>
  <c r="S126" i="2"/>
  <c r="Q126" i="2"/>
  <c r="J126" i="2"/>
  <c r="H126" i="2"/>
  <c r="G125" i="2"/>
  <c r="P125" i="2"/>
  <c r="Y125" i="2"/>
  <c r="AA125" i="2"/>
  <c r="AB125" i="2"/>
  <c r="AC125" i="2"/>
  <c r="S125" i="2"/>
  <c r="J125" i="2"/>
  <c r="G124" i="2"/>
  <c r="P124" i="2"/>
  <c r="Y124" i="2"/>
  <c r="AA124" i="2"/>
  <c r="AB124" i="2"/>
  <c r="AC124" i="2"/>
  <c r="S124" i="2"/>
  <c r="J124" i="2"/>
  <c r="G123" i="2"/>
  <c r="P123" i="2"/>
  <c r="Y123" i="2"/>
  <c r="AA123" i="2"/>
  <c r="AB123" i="2"/>
  <c r="AC123" i="2"/>
  <c r="S123" i="2"/>
  <c r="J123" i="2"/>
  <c r="G122" i="2"/>
  <c r="P122" i="2"/>
  <c r="Y122" i="2"/>
  <c r="AA122" i="2"/>
  <c r="AB122" i="2"/>
  <c r="AC122" i="2"/>
  <c r="S122" i="2"/>
  <c r="J122" i="2"/>
  <c r="G121" i="2"/>
  <c r="P121" i="2"/>
  <c r="Y121" i="2"/>
  <c r="AA121" i="2"/>
  <c r="AB121" i="2"/>
  <c r="AC121" i="2"/>
  <c r="S121" i="2"/>
  <c r="J121" i="2"/>
  <c r="G120" i="2"/>
  <c r="P120" i="2"/>
  <c r="Y120" i="2"/>
  <c r="AA120" i="2"/>
  <c r="AB120" i="2"/>
  <c r="AC120" i="2"/>
  <c r="S120" i="2"/>
  <c r="J120" i="2"/>
  <c r="G119" i="2"/>
  <c r="P119" i="2"/>
  <c r="Y119" i="2"/>
  <c r="AA119" i="2"/>
  <c r="AB119" i="2"/>
  <c r="AC119" i="2"/>
  <c r="S119" i="2"/>
  <c r="J119" i="2"/>
  <c r="G118" i="2"/>
  <c r="P118" i="2"/>
  <c r="Y118" i="2"/>
  <c r="AA118" i="2"/>
  <c r="AB118" i="2"/>
  <c r="AC118" i="2"/>
  <c r="S118" i="2"/>
  <c r="J118" i="2"/>
  <c r="G117" i="2"/>
  <c r="P117" i="2"/>
  <c r="Y117" i="2"/>
  <c r="AA117" i="2"/>
  <c r="AB117" i="2"/>
  <c r="AC117" i="2"/>
  <c r="S117" i="2"/>
  <c r="J117" i="2"/>
  <c r="G116" i="2"/>
  <c r="P116" i="2"/>
  <c r="Y116" i="2"/>
  <c r="AA116" i="2"/>
  <c r="AB116" i="2"/>
  <c r="AC116" i="2"/>
  <c r="S116" i="2"/>
  <c r="J116" i="2"/>
  <c r="G115" i="2"/>
  <c r="P115" i="2"/>
  <c r="Y115" i="2"/>
  <c r="AA115" i="2"/>
  <c r="AB115" i="2"/>
  <c r="AC115" i="2"/>
  <c r="AF115" i="2"/>
  <c r="AG115" i="2"/>
  <c r="Z115" i="2"/>
  <c r="S115" i="2"/>
  <c r="Q115" i="2"/>
  <c r="J115" i="2"/>
  <c r="H115" i="2"/>
  <c r="G114" i="2"/>
  <c r="P114" i="2"/>
  <c r="Y114" i="2"/>
  <c r="AA114" i="2"/>
  <c r="AB114" i="2"/>
  <c r="AC114" i="2"/>
  <c r="AF114" i="2"/>
  <c r="AG114" i="2"/>
  <c r="Z114" i="2"/>
  <c r="S114" i="2"/>
  <c r="Q114" i="2"/>
  <c r="J114" i="2"/>
  <c r="H114" i="2"/>
  <c r="G113" i="2"/>
  <c r="P113" i="2"/>
  <c r="Y113" i="2"/>
  <c r="AA113" i="2"/>
  <c r="AB113" i="2"/>
  <c r="AC113" i="2"/>
  <c r="S113" i="2"/>
  <c r="J113" i="2"/>
  <c r="G112" i="2"/>
  <c r="P112" i="2"/>
  <c r="Y112" i="2"/>
  <c r="AA112" i="2"/>
  <c r="AB112" i="2"/>
  <c r="AC112" i="2"/>
  <c r="AF112" i="2"/>
  <c r="AG112" i="2"/>
  <c r="Z112" i="2"/>
  <c r="S112" i="2"/>
  <c r="Q112" i="2"/>
  <c r="J112" i="2"/>
  <c r="H112" i="2"/>
  <c r="G111" i="2"/>
  <c r="P111" i="2"/>
  <c r="Y111" i="2"/>
  <c r="AA111" i="2"/>
  <c r="AB111" i="2"/>
  <c r="AC111" i="2"/>
  <c r="AF111" i="2"/>
  <c r="AG111" i="2"/>
  <c r="Z111" i="2"/>
  <c r="S111" i="2"/>
  <c r="Q111" i="2"/>
  <c r="J111" i="2"/>
  <c r="H111" i="2"/>
  <c r="G110" i="2"/>
  <c r="P110" i="2"/>
  <c r="Y110" i="2"/>
  <c r="AA110" i="2"/>
  <c r="AB110" i="2"/>
  <c r="AC110" i="2"/>
  <c r="AF110" i="2"/>
  <c r="AG110" i="2"/>
  <c r="Z110" i="2"/>
  <c r="S110" i="2"/>
  <c r="Q110" i="2"/>
  <c r="J110" i="2"/>
  <c r="H110" i="2"/>
  <c r="G109" i="2"/>
  <c r="P109" i="2"/>
  <c r="Y109" i="2"/>
  <c r="AA109" i="2"/>
  <c r="AB109" i="2"/>
  <c r="AC109" i="2"/>
  <c r="AF109" i="2"/>
  <c r="AG109" i="2"/>
  <c r="Z109" i="2"/>
  <c r="S109" i="2"/>
  <c r="Q109" i="2"/>
  <c r="J109" i="2"/>
  <c r="H109" i="2"/>
  <c r="G108" i="2"/>
  <c r="P108" i="2"/>
  <c r="Y108" i="2"/>
  <c r="AA108" i="2"/>
  <c r="AB108" i="2"/>
  <c r="AC108" i="2"/>
  <c r="AF108" i="2"/>
  <c r="AG108" i="2"/>
  <c r="Z108" i="2"/>
  <c r="S108" i="2"/>
  <c r="Q108" i="2"/>
  <c r="J108" i="2"/>
  <c r="H108" i="2"/>
  <c r="G107" i="2"/>
  <c r="P107" i="2"/>
  <c r="Y107" i="2"/>
  <c r="AA107" i="2"/>
  <c r="AB107" i="2"/>
  <c r="AC107" i="2"/>
  <c r="AF107" i="2"/>
  <c r="AG107" i="2"/>
  <c r="Z107" i="2"/>
  <c r="S107" i="2"/>
  <c r="Q107" i="2"/>
  <c r="J107" i="2"/>
  <c r="H107" i="2"/>
  <c r="G106" i="2"/>
  <c r="P106" i="2"/>
  <c r="Y106" i="2"/>
  <c r="AA106" i="2"/>
  <c r="AB106" i="2"/>
  <c r="AC106" i="2"/>
  <c r="AF106" i="2"/>
  <c r="AG106" i="2"/>
  <c r="Z106" i="2"/>
  <c r="S106" i="2"/>
  <c r="Q106" i="2"/>
  <c r="J106" i="2"/>
  <c r="H106" i="2"/>
  <c r="G105" i="2"/>
  <c r="P105" i="2"/>
  <c r="Y105" i="2"/>
  <c r="AA105" i="2"/>
  <c r="AB105" i="2"/>
  <c r="AC105" i="2"/>
  <c r="AF105" i="2"/>
  <c r="AG105" i="2"/>
  <c r="Z105" i="2"/>
  <c r="S105" i="2"/>
  <c r="Q105" i="2"/>
  <c r="J105" i="2"/>
  <c r="H105" i="2"/>
  <c r="G104" i="2"/>
  <c r="P104" i="2"/>
  <c r="Y104" i="2"/>
  <c r="AA104" i="2"/>
  <c r="AB104" i="2"/>
  <c r="AC104" i="2"/>
  <c r="AF104" i="2"/>
  <c r="AG104" i="2"/>
  <c r="Z104" i="2"/>
  <c r="S104" i="2"/>
  <c r="Q104" i="2"/>
  <c r="J104" i="2"/>
  <c r="H104" i="2"/>
  <c r="G103" i="2"/>
  <c r="P103" i="2"/>
  <c r="Y103" i="2"/>
  <c r="AA103" i="2"/>
  <c r="AB103" i="2"/>
  <c r="AC103" i="2"/>
  <c r="AF103" i="2"/>
  <c r="AG103" i="2"/>
  <c r="Z103" i="2"/>
  <c r="S103" i="2"/>
  <c r="Q103" i="2"/>
  <c r="J103" i="2"/>
  <c r="H103" i="2"/>
  <c r="G102" i="2"/>
  <c r="P102" i="2"/>
  <c r="Y102" i="2"/>
  <c r="AA102" i="2"/>
  <c r="AB102" i="2"/>
  <c r="AC102" i="2"/>
  <c r="AF102" i="2"/>
  <c r="AG102" i="2"/>
  <c r="Z102" i="2"/>
  <c r="S102" i="2"/>
  <c r="Q102" i="2"/>
  <c r="J102" i="2"/>
  <c r="H102" i="2"/>
  <c r="G101" i="2"/>
  <c r="P101" i="2"/>
  <c r="Y101" i="2"/>
  <c r="AA101" i="2"/>
  <c r="AB101" i="2"/>
  <c r="AC101" i="2"/>
  <c r="AF101" i="2"/>
  <c r="AG101" i="2"/>
  <c r="Z101" i="2"/>
  <c r="S101" i="2"/>
  <c r="Q101" i="2"/>
  <c r="J101" i="2"/>
  <c r="H101" i="2"/>
  <c r="G100" i="2"/>
  <c r="P100" i="2"/>
  <c r="Y100" i="2"/>
  <c r="AA100" i="2"/>
  <c r="AB100" i="2"/>
  <c r="AC100" i="2"/>
  <c r="AF100" i="2"/>
  <c r="AG100" i="2"/>
  <c r="Z100" i="2"/>
  <c r="S100" i="2"/>
  <c r="Q100" i="2"/>
  <c r="J100" i="2"/>
  <c r="H100" i="2"/>
  <c r="G99" i="2"/>
  <c r="P99" i="2"/>
  <c r="Y99" i="2"/>
  <c r="AA99" i="2"/>
  <c r="AB99" i="2"/>
  <c r="AC99" i="2"/>
  <c r="AF99" i="2"/>
  <c r="AG99" i="2"/>
  <c r="Z99" i="2"/>
  <c r="S99" i="2"/>
  <c r="Q99" i="2"/>
  <c r="J99" i="2"/>
  <c r="H99" i="2"/>
  <c r="G98" i="2"/>
  <c r="P98" i="2"/>
  <c r="Y98" i="2"/>
  <c r="AA98" i="2"/>
  <c r="AB98" i="2"/>
  <c r="AC98" i="2"/>
  <c r="AF98" i="2"/>
  <c r="AG98" i="2"/>
  <c r="Z98" i="2"/>
  <c r="S98" i="2"/>
  <c r="Q98" i="2"/>
  <c r="J98" i="2"/>
  <c r="H98" i="2"/>
  <c r="G97" i="2"/>
  <c r="P97" i="2"/>
  <c r="Y97" i="2"/>
  <c r="AA97" i="2"/>
  <c r="AB97" i="2"/>
  <c r="AC97" i="2"/>
  <c r="S97" i="2"/>
  <c r="J97" i="2"/>
  <c r="G96" i="2"/>
  <c r="P96" i="2"/>
  <c r="Y96" i="2"/>
  <c r="AA96" i="2"/>
  <c r="AB96" i="2"/>
  <c r="AC96" i="2"/>
  <c r="S96" i="2"/>
  <c r="J96" i="2"/>
  <c r="G95" i="2"/>
  <c r="P95" i="2"/>
  <c r="Y95" i="2"/>
  <c r="AA95" i="2"/>
  <c r="AB95" i="2"/>
  <c r="AC95" i="2"/>
  <c r="S95" i="2"/>
  <c r="J95" i="2"/>
  <c r="G94" i="2"/>
  <c r="P94" i="2"/>
  <c r="Y94" i="2"/>
  <c r="AA94" i="2"/>
  <c r="AB94" i="2"/>
  <c r="AC94" i="2"/>
  <c r="S94" i="2"/>
  <c r="J94" i="2"/>
  <c r="G93" i="2"/>
  <c r="P93" i="2"/>
  <c r="Y93" i="2"/>
  <c r="AA93" i="2"/>
  <c r="AB93" i="2"/>
  <c r="AC93" i="2"/>
  <c r="S93" i="2"/>
  <c r="J93" i="2"/>
  <c r="G92" i="2"/>
  <c r="P92" i="2"/>
  <c r="Y92" i="2"/>
  <c r="AA92" i="2"/>
  <c r="AB92" i="2"/>
  <c r="AC92" i="2"/>
  <c r="S92" i="2"/>
  <c r="J92" i="2"/>
  <c r="G91" i="2"/>
  <c r="P91" i="2"/>
  <c r="Y91" i="2"/>
  <c r="AA91" i="2"/>
  <c r="AB91" i="2"/>
  <c r="AC91" i="2"/>
  <c r="S91" i="2"/>
  <c r="J91" i="2"/>
  <c r="G90" i="2"/>
  <c r="P90" i="2"/>
  <c r="Y90" i="2"/>
  <c r="AA90" i="2"/>
  <c r="AB90" i="2"/>
  <c r="AC90" i="2"/>
  <c r="S90" i="2"/>
  <c r="J90" i="2"/>
  <c r="G89" i="2"/>
  <c r="P89" i="2"/>
  <c r="Y89" i="2"/>
  <c r="AA89" i="2"/>
  <c r="AB89" i="2"/>
  <c r="AC89" i="2"/>
  <c r="S89" i="2"/>
  <c r="J89" i="2"/>
  <c r="G88" i="2"/>
  <c r="P88" i="2"/>
  <c r="Y88" i="2"/>
  <c r="AA88" i="2"/>
  <c r="AB88" i="2"/>
  <c r="AC88" i="2"/>
  <c r="S88" i="2"/>
  <c r="J88" i="2"/>
  <c r="G87" i="2"/>
  <c r="P87" i="2"/>
  <c r="Y87" i="2"/>
  <c r="AA87" i="2"/>
  <c r="AB87" i="2"/>
  <c r="AC87" i="2"/>
  <c r="S87" i="2"/>
  <c r="J87" i="2"/>
  <c r="G86" i="2"/>
  <c r="P86" i="2"/>
  <c r="Y86" i="2"/>
  <c r="AA86" i="2"/>
  <c r="AB86" i="2"/>
  <c r="AC86" i="2"/>
  <c r="S86" i="2"/>
  <c r="J86" i="2"/>
  <c r="G85" i="2"/>
  <c r="P85" i="2"/>
  <c r="Y85" i="2"/>
  <c r="AA85" i="2"/>
  <c r="AB85" i="2"/>
  <c r="AC85" i="2"/>
  <c r="AF85" i="2"/>
  <c r="AG85" i="2"/>
  <c r="Z85" i="2"/>
  <c r="S85" i="2"/>
  <c r="Q85" i="2"/>
  <c r="J85" i="2"/>
  <c r="H85" i="2"/>
  <c r="G84" i="2"/>
  <c r="P84" i="2"/>
  <c r="Y84" i="2"/>
  <c r="AA84" i="2"/>
  <c r="AB84" i="2"/>
  <c r="AC84" i="2"/>
  <c r="AF84" i="2"/>
  <c r="AG84" i="2"/>
  <c r="Z84" i="2"/>
  <c r="S84" i="2"/>
  <c r="Q84" i="2"/>
  <c r="J84" i="2"/>
  <c r="H84" i="2"/>
  <c r="G83" i="2"/>
  <c r="P83" i="2"/>
  <c r="Y83" i="2"/>
  <c r="AA83" i="2"/>
  <c r="AB83" i="2"/>
  <c r="AC83" i="2"/>
  <c r="AF83" i="2"/>
  <c r="AG83" i="2"/>
  <c r="Z83" i="2"/>
  <c r="S83" i="2"/>
  <c r="Q83" i="2"/>
  <c r="J83" i="2"/>
  <c r="H83" i="2"/>
  <c r="G82" i="2"/>
  <c r="P82" i="2"/>
  <c r="Y82" i="2"/>
  <c r="AA82" i="2"/>
  <c r="AB82" i="2"/>
  <c r="AC82" i="2"/>
  <c r="AF82" i="2"/>
  <c r="AG82" i="2"/>
  <c r="Z82" i="2"/>
  <c r="S82" i="2"/>
  <c r="Q82" i="2"/>
  <c r="J82" i="2"/>
  <c r="H82" i="2"/>
  <c r="G81" i="2"/>
  <c r="P81" i="2"/>
  <c r="Y81" i="2"/>
  <c r="AA81" i="2"/>
  <c r="AB81" i="2"/>
  <c r="AC81" i="2"/>
  <c r="S81" i="2"/>
  <c r="J81" i="2"/>
  <c r="G80" i="2"/>
  <c r="P80" i="2"/>
  <c r="Y80" i="2"/>
  <c r="AA80" i="2"/>
  <c r="AB80" i="2"/>
  <c r="AC80" i="2"/>
  <c r="AF80" i="2"/>
  <c r="AG80" i="2"/>
  <c r="Z80" i="2"/>
  <c r="S80" i="2"/>
  <c r="Q80" i="2"/>
  <c r="J80" i="2"/>
  <c r="H80" i="2"/>
  <c r="G79" i="2"/>
  <c r="P79" i="2"/>
  <c r="Y79" i="2"/>
  <c r="AA79" i="2"/>
  <c r="AB79" i="2"/>
  <c r="AC79" i="2"/>
  <c r="AF79" i="2"/>
  <c r="AG79" i="2"/>
  <c r="Z79" i="2"/>
  <c r="S79" i="2"/>
  <c r="Q79" i="2"/>
  <c r="J79" i="2"/>
  <c r="H79" i="2"/>
  <c r="G78" i="2"/>
  <c r="P78" i="2"/>
  <c r="Y78" i="2"/>
  <c r="AA78" i="2"/>
  <c r="AB78" i="2"/>
  <c r="AC78" i="2"/>
  <c r="AF78" i="2"/>
  <c r="AG78" i="2"/>
  <c r="Z78" i="2"/>
  <c r="S78" i="2"/>
  <c r="Q78" i="2"/>
  <c r="J78" i="2"/>
  <c r="H78" i="2"/>
  <c r="G77" i="2"/>
  <c r="P77" i="2"/>
  <c r="Y77" i="2"/>
  <c r="AA77" i="2"/>
  <c r="AB77" i="2"/>
  <c r="AC77" i="2"/>
  <c r="AF77" i="2"/>
  <c r="AG77" i="2"/>
  <c r="Z77" i="2"/>
  <c r="S77" i="2"/>
  <c r="Q77" i="2"/>
  <c r="J77" i="2"/>
  <c r="H77" i="2"/>
  <c r="G76" i="2"/>
  <c r="P76" i="2"/>
  <c r="Y76" i="2"/>
  <c r="AA76" i="2"/>
  <c r="AB76" i="2"/>
  <c r="AC76" i="2"/>
  <c r="AF76" i="2"/>
  <c r="AG76" i="2"/>
  <c r="Z76" i="2"/>
  <c r="S76" i="2"/>
  <c r="Q76" i="2"/>
  <c r="J76" i="2"/>
  <c r="H76" i="2"/>
  <c r="G75" i="2"/>
  <c r="P75" i="2"/>
  <c r="Y75" i="2"/>
  <c r="AA75" i="2"/>
  <c r="AB75" i="2"/>
  <c r="AC75" i="2"/>
  <c r="AF75" i="2"/>
  <c r="AG75" i="2"/>
  <c r="Z75" i="2"/>
  <c r="S75" i="2"/>
  <c r="Q75" i="2"/>
  <c r="J75" i="2"/>
  <c r="H75" i="2"/>
  <c r="G74" i="2"/>
  <c r="P74" i="2"/>
  <c r="Y74" i="2"/>
  <c r="AA74" i="2"/>
  <c r="AB74" i="2"/>
  <c r="AC74" i="2"/>
  <c r="AF74" i="2"/>
  <c r="AG74" i="2"/>
  <c r="Z74" i="2"/>
  <c r="S74" i="2"/>
  <c r="Q74" i="2"/>
  <c r="J74" i="2"/>
  <c r="H74" i="2"/>
  <c r="G73" i="2"/>
  <c r="P73" i="2"/>
  <c r="Y73" i="2"/>
  <c r="AA73" i="2"/>
  <c r="AB73" i="2"/>
  <c r="AC73" i="2"/>
  <c r="S73" i="2"/>
  <c r="J73" i="2"/>
  <c r="G72" i="2"/>
  <c r="P72" i="2"/>
  <c r="Y72" i="2"/>
  <c r="AA72" i="2"/>
  <c r="AB72" i="2"/>
  <c r="AC72" i="2"/>
  <c r="S72" i="2"/>
  <c r="J72" i="2"/>
  <c r="G71" i="2"/>
  <c r="P71" i="2"/>
  <c r="Y71" i="2"/>
  <c r="AA71" i="2"/>
  <c r="AB71" i="2"/>
  <c r="AC71" i="2"/>
  <c r="S71" i="2"/>
  <c r="J71" i="2"/>
  <c r="G70" i="2"/>
  <c r="P70" i="2"/>
  <c r="Y70" i="2"/>
  <c r="AA70" i="2"/>
  <c r="AB70" i="2"/>
  <c r="AC70" i="2"/>
  <c r="AF70" i="2"/>
  <c r="AG70" i="2"/>
  <c r="Z70" i="2"/>
  <c r="S70" i="2"/>
  <c r="Q70" i="2"/>
  <c r="J70" i="2"/>
  <c r="H70" i="2"/>
  <c r="G69" i="2"/>
  <c r="P69" i="2"/>
  <c r="Y69" i="2"/>
  <c r="AA69" i="2"/>
  <c r="AB69" i="2"/>
  <c r="AC69" i="2"/>
  <c r="AF69" i="2"/>
  <c r="AG69" i="2"/>
  <c r="Z69" i="2"/>
  <c r="S69" i="2"/>
  <c r="Q69" i="2"/>
  <c r="J69" i="2"/>
  <c r="H69" i="2"/>
  <c r="G68" i="2"/>
  <c r="P68" i="2"/>
  <c r="Y68" i="2"/>
  <c r="AA68" i="2"/>
  <c r="AB68" i="2"/>
  <c r="AC68" i="2"/>
  <c r="S68" i="2"/>
  <c r="J68" i="2"/>
  <c r="G67" i="2"/>
  <c r="P67" i="2"/>
  <c r="Y67" i="2"/>
  <c r="AA67" i="2"/>
  <c r="AB67" i="2"/>
  <c r="AC67" i="2"/>
  <c r="S67" i="2"/>
  <c r="J67" i="2"/>
  <c r="G66" i="2"/>
  <c r="P66" i="2"/>
  <c r="Y66" i="2"/>
  <c r="AA66" i="2"/>
  <c r="AB66" i="2"/>
  <c r="AC66" i="2"/>
  <c r="S66" i="2"/>
  <c r="J66" i="2"/>
  <c r="G65" i="2"/>
  <c r="P65" i="2"/>
  <c r="Y65" i="2"/>
  <c r="AA65" i="2"/>
  <c r="AB65" i="2"/>
  <c r="AC65" i="2"/>
  <c r="AF65" i="2"/>
  <c r="AG65" i="2"/>
  <c r="Z65" i="2"/>
  <c r="S65" i="2"/>
  <c r="Q65" i="2"/>
  <c r="J65" i="2"/>
  <c r="H65" i="2"/>
  <c r="G64" i="2"/>
  <c r="P64" i="2"/>
  <c r="Y64" i="2"/>
  <c r="AA64" i="2"/>
  <c r="AB64" i="2"/>
  <c r="AC64" i="2"/>
  <c r="AF64" i="2"/>
  <c r="AG64" i="2"/>
  <c r="Z64" i="2"/>
  <c r="S64" i="2"/>
  <c r="Q64" i="2"/>
  <c r="J64" i="2"/>
  <c r="H64" i="2"/>
  <c r="G63" i="2"/>
  <c r="P63" i="2"/>
  <c r="Y63" i="2"/>
  <c r="AA63" i="2"/>
  <c r="AB63" i="2"/>
  <c r="AC63" i="2"/>
  <c r="S63" i="2"/>
  <c r="J63" i="2"/>
  <c r="G62" i="2"/>
  <c r="P62" i="2"/>
  <c r="Y62" i="2"/>
  <c r="AA62" i="2"/>
  <c r="AB62" i="2"/>
  <c r="AC62" i="2"/>
  <c r="AF62" i="2"/>
  <c r="AG62" i="2"/>
  <c r="Z62" i="2"/>
  <c r="S62" i="2"/>
  <c r="Q62" i="2"/>
  <c r="J62" i="2"/>
  <c r="H62" i="2"/>
  <c r="G61" i="2"/>
  <c r="P61" i="2"/>
  <c r="Y61" i="2"/>
  <c r="AA61" i="2"/>
  <c r="AB61" i="2"/>
  <c r="AC61" i="2"/>
  <c r="AF61" i="2"/>
  <c r="AG61" i="2"/>
  <c r="Z61" i="2"/>
  <c r="S61" i="2"/>
  <c r="Q61" i="2"/>
  <c r="J61" i="2"/>
  <c r="H61" i="2"/>
  <c r="G60" i="2"/>
  <c r="P60" i="2"/>
  <c r="Y60" i="2"/>
  <c r="AA60" i="2"/>
  <c r="AB60" i="2"/>
  <c r="AC60" i="2"/>
  <c r="AF60" i="2"/>
  <c r="AG60" i="2"/>
  <c r="Z60" i="2"/>
  <c r="S60" i="2"/>
  <c r="Q60" i="2"/>
  <c r="J60" i="2"/>
  <c r="H60" i="2"/>
  <c r="G59" i="2"/>
  <c r="P59" i="2"/>
  <c r="Y59" i="2"/>
  <c r="AA59" i="2"/>
  <c r="AB59" i="2"/>
  <c r="AC59" i="2"/>
  <c r="AF59" i="2"/>
  <c r="AG59" i="2"/>
  <c r="Z59" i="2"/>
  <c r="S59" i="2"/>
  <c r="Q59" i="2"/>
  <c r="J59" i="2"/>
  <c r="H59" i="2"/>
  <c r="G58" i="2"/>
  <c r="P58" i="2"/>
  <c r="Y58" i="2"/>
  <c r="AA58" i="2"/>
  <c r="AB58" i="2"/>
  <c r="AC58" i="2"/>
  <c r="AF58" i="2"/>
  <c r="AG58" i="2"/>
  <c r="Z58" i="2"/>
  <c r="S58" i="2"/>
  <c r="Q58" i="2"/>
  <c r="J58" i="2"/>
  <c r="H58" i="2"/>
  <c r="G57" i="2"/>
  <c r="P57" i="2"/>
  <c r="Y57" i="2"/>
  <c r="AA57" i="2"/>
  <c r="AB57" i="2"/>
  <c r="AC57" i="2"/>
  <c r="AF57" i="2"/>
  <c r="AG57" i="2"/>
  <c r="Z57" i="2"/>
  <c r="S57" i="2"/>
  <c r="Q57" i="2"/>
  <c r="J57" i="2"/>
  <c r="H57" i="2"/>
  <c r="G56" i="2"/>
  <c r="P56" i="2"/>
  <c r="Y56" i="2"/>
  <c r="AA56" i="2"/>
  <c r="AB56" i="2"/>
  <c r="AC56" i="2"/>
  <c r="AF56" i="2"/>
  <c r="AG56" i="2"/>
  <c r="Z56" i="2"/>
  <c r="S56" i="2"/>
  <c r="Q56" i="2"/>
  <c r="J56" i="2"/>
  <c r="H56" i="2"/>
  <c r="G55" i="2"/>
  <c r="P55" i="2"/>
  <c r="Y55" i="2"/>
  <c r="AA55" i="2"/>
  <c r="AB55" i="2"/>
  <c r="AC55" i="2"/>
  <c r="S55" i="2"/>
  <c r="J55" i="2"/>
  <c r="G54" i="2"/>
  <c r="P54" i="2"/>
  <c r="Y54" i="2"/>
  <c r="AA54" i="2"/>
  <c r="AB54" i="2"/>
  <c r="AC54" i="2"/>
  <c r="AF54" i="2"/>
  <c r="AG54" i="2"/>
  <c r="Z54" i="2"/>
  <c r="S54" i="2"/>
  <c r="Q54" i="2"/>
  <c r="J54" i="2"/>
  <c r="H54" i="2"/>
  <c r="G53" i="2"/>
  <c r="P53" i="2"/>
  <c r="Y53" i="2"/>
  <c r="AA53" i="2"/>
  <c r="AB53" i="2"/>
  <c r="AC53" i="2"/>
  <c r="AF53" i="2"/>
  <c r="AG53" i="2"/>
  <c r="Z53" i="2"/>
  <c r="S53" i="2"/>
  <c r="Q53" i="2"/>
  <c r="J53" i="2"/>
  <c r="H53" i="2"/>
  <c r="G52" i="2"/>
  <c r="P52" i="2"/>
  <c r="Y52" i="2"/>
  <c r="AA52" i="2"/>
  <c r="AB52" i="2"/>
  <c r="AC52" i="2"/>
  <c r="AF52" i="2"/>
  <c r="AG52" i="2"/>
  <c r="Z52" i="2"/>
  <c r="S52" i="2"/>
  <c r="Q52" i="2"/>
  <c r="J52" i="2"/>
  <c r="H52" i="2"/>
  <c r="G51" i="2"/>
  <c r="P51" i="2"/>
  <c r="Y51" i="2"/>
  <c r="AA51" i="2"/>
  <c r="AB51" i="2"/>
  <c r="AC51" i="2"/>
  <c r="S51" i="2"/>
  <c r="J51" i="2"/>
  <c r="G50" i="2"/>
  <c r="P50" i="2"/>
  <c r="Y50" i="2"/>
  <c r="AA50" i="2"/>
  <c r="AB50" i="2"/>
  <c r="AC50" i="2"/>
  <c r="S50" i="2"/>
  <c r="J50" i="2"/>
  <c r="G49" i="2"/>
  <c r="P49" i="2"/>
  <c r="Y49" i="2"/>
  <c r="AA49" i="2"/>
  <c r="AB49" i="2"/>
  <c r="AC49" i="2"/>
  <c r="S49" i="2"/>
  <c r="J49" i="2"/>
  <c r="G48" i="2"/>
  <c r="P48" i="2"/>
  <c r="Y48" i="2"/>
  <c r="AA48" i="2"/>
  <c r="AB48" i="2"/>
  <c r="AC48" i="2"/>
  <c r="S48" i="2"/>
  <c r="J48" i="2"/>
  <c r="G47" i="2"/>
  <c r="P47" i="2"/>
  <c r="Y47" i="2"/>
  <c r="AA47" i="2"/>
  <c r="AB47" i="2"/>
  <c r="AC47" i="2"/>
  <c r="S47" i="2"/>
  <c r="J47" i="2"/>
  <c r="G46" i="2"/>
  <c r="P46" i="2"/>
  <c r="Y46" i="2"/>
  <c r="AA46" i="2"/>
  <c r="AB46" i="2"/>
  <c r="AC46" i="2"/>
  <c r="AF46" i="2"/>
  <c r="AG46" i="2"/>
  <c r="Z46" i="2"/>
  <c r="S46" i="2"/>
  <c r="Q46" i="2"/>
  <c r="J46" i="2"/>
  <c r="H46" i="2"/>
  <c r="G45" i="2"/>
  <c r="P45" i="2"/>
  <c r="Y45" i="2"/>
  <c r="AA45" i="2"/>
  <c r="AB45" i="2"/>
  <c r="AC45" i="2"/>
  <c r="AF45" i="2"/>
  <c r="AG45" i="2"/>
  <c r="Z45" i="2"/>
  <c r="S45" i="2"/>
  <c r="Q45" i="2"/>
  <c r="J45" i="2"/>
  <c r="H45" i="2"/>
  <c r="G44" i="2"/>
  <c r="P44" i="2"/>
  <c r="Y44" i="2"/>
  <c r="AA44" i="2"/>
  <c r="AB44" i="2"/>
  <c r="AC44" i="2"/>
  <c r="AF44" i="2"/>
  <c r="AG44" i="2"/>
  <c r="Z44" i="2"/>
  <c r="S44" i="2"/>
  <c r="Q44" i="2"/>
  <c r="J44" i="2"/>
  <c r="H44" i="2"/>
  <c r="G43" i="2"/>
  <c r="P43" i="2"/>
  <c r="Y43" i="2"/>
  <c r="AA43" i="2"/>
  <c r="AB43" i="2"/>
  <c r="AC43" i="2"/>
  <c r="AF43" i="2"/>
  <c r="AG43" i="2"/>
  <c r="Z43" i="2"/>
  <c r="S43" i="2"/>
  <c r="Q43" i="2"/>
  <c r="J43" i="2"/>
  <c r="H43" i="2"/>
  <c r="G42" i="2"/>
  <c r="P42" i="2"/>
  <c r="Y42" i="2"/>
  <c r="AA42" i="2"/>
  <c r="AB42" i="2"/>
  <c r="AC42" i="2"/>
  <c r="AF42" i="2"/>
  <c r="AG42" i="2"/>
  <c r="Z42" i="2"/>
  <c r="S42" i="2"/>
  <c r="Q42" i="2"/>
  <c r="J42" i="2"/>
  <c r="H42" i="2"/>
  <c r="G41" i="2"/>
  <c r="P41" i="2"/>
  <c r="Y41" i="2"/>
  <c r="AA41" i="2"/>
  <c r="AB41" i="2"/>
  <c r="AC41" i="2"/>
  <c r="S41" i="2"/>
  <c r="J41" i="2"/>
  <c r="G40" i="2"/>
  <c r="P40" i="2"/>
  <c r="Y40" i="2"/>
  <c r="AA40" i="2"/>
  <c r="AB40" i="2"/>
  <c r="AC40" i="2"/>
  <c r="S40" i="2"/>
  <c r="J40" i="2"/>
  <c r="G39" i="2"/>
  <c r="P39" i="2"/>
  <c r="Y39" i="2"/>
  <c r="AA39" i="2"/>
  <c r="AB39" i="2"/>
  <c r="AC39" i="2"/>
  <c r="S39" i="2"/>
  <c r="J39" i="2"/>
  <c r="G38" i="2"/>
  <c r="P38" i="2"/>
  <c r="Y38" i="2"/>
  <c r="AA38" i="2"/>
  <c r="AB38" i="2"/>
  <c r="AC38" i="2"/>
  <c r="S38" i="2"/>
  <c r="J38" i="2"/>
  <c r="G37" i="2"/>
  <c r="P37" i="2"/>
  <c r="Y37" i="2"/>
  <c r="AA37" i="2"/>
  <c r="AB37" i="2"/>
  <c r="AC37" i="2"/>
  <c r="AF37" i="2"/>
  <c r="AG37" i="2"/>
  <c r="Z37" i="2"/>
  <c r="S37" i="2"/>
  <c r="Q37" i="2"/>
  <c r="J37" i="2"/>
  <c r="H37" i="2"/>
  <c r="G36" i="2"/>
  <c r="P36" i="2"/>
  <c r="Y36" i="2"/>
  <c r="AA36" i="2"/>
  <c r="AB36" i="2"/>
  <c r="AC36" i="2"/>
  <c r="AF36" i="2"/>
  <c r="AG36" i="2"/>
  <c r="Z36" i="2"/>
  <c r="S36" i="2"/>
  <c r="Q36" i="2"/>
  <c r="J36" i="2"/>
  <c r="H36" i="2"/>
  <c r="G35" i="2"/>
  <c r="P35" i="2"/>
  <c r="Y35" i="2"/>
  <c r="AA35" i="2"/>
  <c r="AB35" i="2"/>
  <c r="AC35" i="2"/>
  <c r="AF35" i="2"/>
  <c r="AG35" i="2"/>
  <c r="Z35" i="2"/>
  <c r="S35" i="2"/>
  <c r="Q35" i="2"/>
  <c r="J35" i="2"/>
  <c r="H35" i="2"/>
  <c r="G34" i="2"/>
  <c r="P34" i="2"/>
  <c r="Y34" i="2"/>
  <c r="AA34" i="2"/>
  <c r="AB34" i="2"/>
  <c r="AC34" i="2"/>
  <c r="AF34" i="2"/>
  <c r="AG34" i="2"/>
  <c r="Z34" i="2"/>
  <c r="S34" i="2"/>
  <c r="Q34" i="2"/>
  <c r="J34" i="2"/>
  <c r="H34" i="2"/>
  <c r="G33" i="2"/>
  <c r="P33" i="2"/>
  <c r="Y33" i="2"/>
  <c r="AA33" i="2"/>
  <c r="AB33" i="2"/>
  <c r="AC33" i="2"/>
  <c r="AF33" i="2"/>
  <c r="AG33" i="2"/>
  <c r="Z33" i="2"/>
  <c r="S33" i="2"/>
  <c r="Q33" i="2"/>
  <c r="J33" i="2"/>
  <c r="H33" i="2"/>
  <c r="G32" i="2"/>
  <c r="P32" i="2"/>
  <c r="Y32" i="2"/>
  <c r="AA32" i="2"/>
  <c r="AB32" i="2"/>
  <c r="AC32" i="2"/>
  <c r="AF32" i="2"/>
  <c r="AG32" i="2"/>
  <c r="Z32" i="2"/>
  <c r="S32" i="2"/>
  <c r="Q32" i="2"/>
  <c r="J32" i="2"/>
  <c r="H32" i="2"/>
  <c r="G31" i="2"/>
  <c r="P31" i="2"/>
  <c r="Y31" i="2"/>
  <c r="AA31" i="2"/>
  <c r="AB31" i="2"/>
  <c r="AC31" i="2"/>
  <c r="AF31" i="2"/>
  <c r="AG31" i="2"/>
  <c r="Z31" i="2"/>
  <c r="S31" i="2"/>
  <c r="Q31" i="2"/>
  <c r="J31" i="2"/>
  <c r="H31" i="2"/>
  <c r="G30" i="2"/>
  <c r="P30" i="2"/>
  <c r="Y30" i="2"/>
  <c r="AA30" i="2"/>
  <c r="AB30" i="2"/>
  <c r="AC30" i="2"/>
  <c r="AF30" i="2"/>
  <c r="AG30" i="2"/>
  <c r="Z30" i="2"/>
  <c r="S30" i="2"/>
  <c r="Q30" i="2"/>
  <c r="J30" i="2"/>
  <c r="H30" i="2"/>
  <c r="G29" i="2"/>
  <c r="P29" i="2"/>
  <c r="Y29" i="2"/>
  <c r="AA29" i="2"/>
  <c r="AB29" i="2"/>
  <c r="AC29" i="2"/>
  <c r="AF29" i="2"/>
  <c r="AG29" i="2"/>
  <c r="Z29" i="2"/>
  <c r="S29" i="2"/>
  <c r="Q29" i="2"/>
  <c r="J29" i="2"/>
  <c r="H29" i="2"/>
  <c r="G28" i="2"/>
  <c r="P28" i="2"/>
  <c r="Y28" i="2"/>
  <c r="AA28" i="2"/>
  <c r="AB28" i="2"/>
  <c r="AC28" i="2"/>
  <c r="AF28" i="2"/>
  <c r="AG28" i="2"/>
  <c r="Z28" i="2"/>
  <c r="S28" i="2"/>
  <c r="Q28" i="2"/>
  <c r="J28" i="2"/>
  <c r="H28" i="2"/>
  <c r="G27" i="2"/>
  <c r="P27" i="2"/>
  <c r="Y27" i="2"/>
  <c r="AA27" i="2"/>
  <c r="AB27" i="2"/>
  <c r="AC27" i="2"/>
  <c r="S27" i="2"/>
  <c r="J27" i="2"/>
  <c r="G26" i="2"/>
  <c r="P26" i="2"/>
  <c r="Y26" i="2"/>
  <c r="AA26" i="2"/>
  <c r="AB26" i="2"/>
  <c r="AC26" i="2"/>
  <c r="AF26" i="2"/>
  <c r="AG26" i="2"/>
  <c r="Z26" i="2"/>
  <c r="S26" i="2"/>
  <c r="Q26" i="2"/>
  <c r="J26" i="2"/>
  <c r="H26" i="2"/>
  <c r="G25" i="2"/>
  <c r="P25" i="2"/>
  <c r="Y25" i="2"/>
  <c r="AA25" i="2"/>
  <c r="AB25" i="2"/>
  <c r="AC25" i="2"/>
  <c r="AF25" i="2"/>
  <c r="AG25" i="2"/>
  <c r="Z25" i="2"/>
  <c r="S25" i="2"/>
  <c r="Q25" i="2"/>
  <c r="J25" i="2"/>
  <c r="H25" i="2"/>
  <c r="G24" i="2"/>
  <c r="P24" i="2"/>
  <c r="Y24" i="2"/>
  <c r="AA24" i="2"/>
  <c r="AB24" i="2"/>
  <c r="AC24" i="2"/>
  <c r="S24" i="2"/>
  <c r="J24" i="2"/>
  <c r="G23" i="2"/>
  <c r="P23" i="2"/>
  <c r="Y23" i="2"/>
  <c r="AA23" i="2"/>
  <c r="AB23" i="2"/>
  <c r="AC23" i="2"/>
  <c r="S23" i="2"/>
  <c r="J23" i="2"/>
  <c r="G22" i="2"/>
  <c r="P22" i="2"/>
  <c r="Y22" i="2"/>
  <c r="AA22" i="2"/>
  <c r="AB22" i="2"/>
  <c r="AC22" i="2"/>
  <c r="S22" i="2"/>
  <c r="J22" i="2"/>
  <c r="G21" i="2"/>
  <c r="P21" i="2"/>
  <c r="Y21" i="2"/>
  <c r="AA21" i="2"/>
  <c r="AB21" i="2"/>
  <c r="AC21" i="2"/>
  <c r="S21" i="2"/>
  <c r="J21" i="2"/>
  <c r="G20" i="2"/>
  <c r="P20" i="2"/>
  <c r="Y20" i="2"/>
  <c r="AA20" i="2"/>
  <c r="AB20" i="2"/>
  <c r="AC20" i="2"/>
  <c r="S20" i="2"/>
  <c r="J20" i="2"/>
  <c r="G19" i="2"/>
  <c r="P19" i="2"/>
  <c r="Y19" i="2"/>
  <c r="AA19" i="2"/>
  <c r="AB19" i="2"/>
  <c r="AC19" i="2"/>
  <c r="AF19" i="2"/>
  <c r="AG19" i="2"/>
  <c r="Z19" i="2"/>
  <c r="S19" i="2"/>
  <c r="Q19" i="2"/>
  <c r="J19" i="2"/>
  <c r="H19" i="2"/>
  <c r="G18" i="2"/>
  <c r="P18" i="2"/>
  <c r="Y18" i="2"/>
  <c r="AA18" i="2"/>
  <c r="AB18" i="2"/>
  <c r="AC18" i="2"/>
  <c r="AF18" i="2"/>
  <c r="AG18" i="2"/>
  <c r="Z18" i="2"/>
  <c r="S18" i="2"/>
  <c r="Q18" i="2"/>
  <c r="J18" i="2"/>
  <c r="H18" i="2"/>
  <c r="G17" i="2"/>
  <c r="P17" i="2"/>
  <c r="Y17" i="2"/>
  <c r="AA17" i="2"/>
  <c r="AB17" i="2"/>
  <c r="AC17" i="2"/>
  <c r="S17" i="2"/>
  <c r="J17" i="2"/>
  <c r="G16" i="2"/>
  <c r="P16" i="2"/>
  <c r="Y16" i="2"/>
  <c r="AA16" i="2"/>
  <c r="AB16" i="2"/>
  <c r="AC16" i="2"/>
  <c r="S16" i="2"/>
  <c r="J16" i="2"/>
  <c r="G15" i="2"/>
  <c r="P15" i="2"/>
  <c r="Y15" i="2"/>
  <c r="AA15" i="2"/>
  <c r="AB15" i="2"/>
  <c r="AC15" i="2"/>
  <c r="S15" i="2"/>
  <c r="J15" i="2"/>
  <c r="G14" i="2"/>
  <c r="P14" i="2"/>
  <c r="Y14" i="2"/>
  <c r="AA14" i="2"/>
  <c r="AB14" i="2"/>
  <c r="AC14" i="2"/>
  <c r="S14" i="2"/>
  <c r="J14" i="2"/>
  <c r="G13" i="2"/>
  <c r="P13" i="2"/>
  <c r="Y13" i="2"/>
  <c r="AA13" i="2"/>
  <c r="AB13" i="2"/>
  <c r="AC13" i="2"/>
  <c r="S13" i="2"/>
  <c r="J13" i="2"/>
  <c r="G12" i="2"/>
  <c r="P12" i="2"/>
  <c r="Y12" i="2"/>
  <c r="AA12" i="2"/>
  <c r="AB12" i="2"/>
  <c r="AC12" i="2"/>
  <c r="S12" i="2"/>
  <c r="J12" i="2"/>
  <c r="G11" i="2"/>
  <c r="P11" i="2"/>
  <c r="Y11" i="2"/>
  <c r="AA11" i="2"/>
  <c r="AB11" i="2"/>
  <c r="AC11" i="2"/>
  <c r="S11" i="2"/>
  <c r="J11" i="2"/>
  <c r="G10" i="2"/>
  <c r="P10" i="2"/>
  <c r="Y10" i="2"/>
  <c r="AA10" i="2"/>
  <c r="AB10" i="2"/>
  <c r="AC10" i="2"/>
  <c r="S10" i="2"/>
  <c r="J10" i="2"/>
  <c r="G9" i="2"/>
  <c r="P9" i="2"/>
  <c r="Y9" i="2"/>
  <c r="AA9" i="2"/>
  <c r="AB9" i="2"/>
  <c r="AC9" i="2"/>
  <c r="S9" i="2"/>
  <c r="J9" i="2"/>
  <c r="G8" i="2"/>
  <c r="P8" i="2"/>
  <c r="Y8" i="2"/>
  <c r="AA8" i="2"/>
  <c r="AB8" i="2"/>
  <c r="AC8" i="2"/>
  <c r="S8" i="2"/>
  <c r="J8" i="2"/>
  <c r="G7" i="2"/>
  <c r="P7" i="2"/>
  <c r="Y7" i="2"/>
  <c r="AA7" i="2"/>
  <c r="AB7" i="2"/>
  <c r="AC7" i="2"/>
  <c r="S7" i="2"/>
  <c r="J7" i="2"/>
  <c r="G6" i="2"/>
  <c r="P6" i="2"/>
  <c r="Y6" i="2"/>
  <c r="AA6" i="2"/>
  <c r="AB6" i="2"/>
  <c r="AC6" i="2"/>
  <c r="S6" i="2"/>
  <c r="J6" i="2"/>
  <c r="G5" i="2"/>
  <c r="P5" i="2"/>
  <c r="Y5" i="2"/>
  <c r="AA5" i="2"/>
  <c r="AB5" i="2"/>
  <c r="AC5" i="2"/>
  <c r="S5" i="2"/>
  <c r="J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SpreadsheetLight</author>
  </authors>
  <commentList>
    <comment ref="D1" authorId="0" shapeId="0" xr:uid="{00000000-0006-0000-0000-000001000000}">
      <text>
        <r>
          <rPr>
            <sz val="11"/>
            <color theme="1"/>
            <rFont val="Calibri"/>
            <scheme val="minor"/>
          </rPr>
          <t>Unid. Vendidas del Mes 8 / Dias con Stk sobre el Quiebre / Estacionalidad del Mes</t>
        </r>
      </text>
    </comment>
    <comment ref="E1" authorId="0" shapeId="0" xr:uid="{00000000-0006-0000-0000-000002000000}">
      <text>
        <r>
          <rPr>
            <sz val="11"/>
            <color theme="1"/>
            <rFont val="Calibri"/>
            <scheme val="minor"/>
          </rPr>
          <t>Unid. Vendidas del Mes 9 / Dias con Stk sobre el Quiebre / Estacionalidad del Mes</t>
        </r>
      </text>
    </comment>
    <comment ref="F1" authorId="0" shapeId="0" xr:uid="{00000000-0006-0000-0000-000003000000}">
      <text>
        <r>
          <rPr>
            <sz val="11"/>
            <color theme="1"/>
            <rFont val="Calibri"/>
            <scheme val="minor"/>
          </rPr>
          <t>Unid. Vendidas del Mes 10 / Dias con Stk sobre el Quiebre / Estacionalidad del Mes</t>
        </r>
      </text>
    </comment>
    <comment ref="G1" authorId="0" shapeId="0" xr:uid="{00000000-0006-0000-0000-000004000000}">
      <text>
        <r>
          <rPr>
            <sz val="11"/>
            <color theme="1"/>
            <rFont val="Calibri"/>
            <scheme val="minor"/>
          </rPr>
          <t>Unid. Vendidas del Mes 11 / Dias con Stk sobre el Quiebre / Estacionalidad del Mes</t>
        </r>
      </text>
    </comment>
    <comment ref="H1" authorId="0" shapeId="0" xr:uid="{00000000-0006-0000-0000-000005000000}">
      <text>
        <r>
          <rPr>
            <sz val="11"/>
            <color theme="1"/>
            <rFont val="Calibri"/>
            <scheme val="minor"/>
          </rPr>
          <t>Unid. Vendidas del Mes 12 / Dias con Stk sobre el Quiebre / Estacionalidad del Mes</t>
        </r>
      </text>
    </comment>
    <comment ref="I1" authorId="0" shapeId="0" xr:uid="{00000000-0006-0000-0000-000006000000}">
      <text>
        <r>
          <rPr>
            <sz val="11"/>
            <color theme="1"/>
            <rFont val="Calibri"/>
            <scheme val="minor"/>
          </rPr>
          <t>Unid. Vendidas del Mes 1 / Dias con Stk sobre el Quiebre / Estacionalidad del Mes</t>
        </r>
      </text>
    </comment>
    <comment ref="J1" authorId="0" shapeId="0" xr:uid="{00000000-0006-0000-0000-000007000000}">
      <text>
        <r>
          <rPr>
            <sz val="11"/>
            <color theme="1"/>
            <rFont val="Calibri"/>
            <scheme val="minor"/>
          </rPr>
          <t>Unid. Vendidas del Mes 2 / Dias con Stk sobre el Quiebre / Estacionalidad del Mes</t>
        </r>
      </text>
    </comment>
    <comment ref="K1" authorId="0" shapeId="0" xr:uid="{00000000-0006-0000-0000-000008000000}">
      <text>
        <r>
          <rPr>
            <sz val="11"/>
            <color theme="1"/>
            <rFont val="Calibri"/>
            <scheme val="minor"/>
          </rPr>
          <t>Unid. Vendidas del Mes 3 / Dias con Stk sobre el Quiebre / Estacionalidad del Mes</t>
        </r>
      </text>
    </comment>
    <comment ref="L1" authorId="0" shapeId="0" xr:uid="{00000000-0006-0000-0000-000009000000}">
      <text>
        <r>
          <rPr>
            <sz val="11"/>
            <color theme="1"/>
            <rFont val="Calibri"/>
            <scheme val="minor"/>
          </rPr>
          <t>Unid. Vendidas del Mes 4 / Dias con Stk sobre el Quiebre / Estacionalidad del Mes</t>
        </r>
      </text>
    </comment>
    <comment ref="M1" authorId="0" shapeId="0" xr:uid="{00000000-0006-0000-0000-00000A000000}">
      <text>
        <r>
          <rPr>
            <sz val="11"/>
            <color theme="1"/>
            <rFont val="Calibri"/>
            <scheme val="minor"/>
          </rPr>
          <t>Unid. Vendidas del Mes 5 / Dias con Stk sobre el Quiebre / Estacionalidad del Mes</t>
        </r>
      </text>
    </comment>
    <comment ref="N1" authorId="0" shapeId="0" xr:uid="{00000000-0006-0000-0000-00000B000000}">
      <text>
        <r>
          <rPr>
            <sz val="11"/>
            <color theme="1"/>
            <rFont val="Calibri"/>
            <scheme val="minor"/>
          </rPr>
          <t>Unid. Vendidas del Mes 6 / Dias con Stk sobre el Quiebre / Estacionalidad del Mes</t>
        </r>
      </text>
    </comment>
    <comment ref="O1" authorId="0" shapeId="0" xr:uid="{00000000-0006-0000-0000-00000C000000}">
      <text>
        <r>
          <rPr>
            <sz val="11"/>
            <color theme="1"/>
            <rFont val="Calibri"/>
            <scheme val="minor"/>
          </rPr>
          <t>Unid. Vendidas del Mes 7 / Dias con Stk sobre el Quiebre / Estacionalidad del Mes</t>
        </r>
      </text>
    </comment>
    <comment ref="P1" authorId="0" shapeId="0" xr:uid="{00000000-0006-0000-0000-00000D000000}">
      <text>
        <r>
          <rPr>
            <sz val="11"/>
            <color theme="1"/>
            <rFont val="Calibri"/>
            <scheme val="minor"/>
          </rPr>
          <t>Unid. Vendidas del Mes 8 / Dias con Stk sobre el Quiebre / Estacionalidad del Mes</t>
        </r>
      </text>
    </comment>
    <comment ref="Q1" authorId="0" shapeId="0" xr:uid="{00000000-0006-0000-0000-00000E000000}">
      <text>
        <r>
          <rPr>
            <sz val="11"/>
            <color theme="1"/>
            <rFont val="Calibri"/>
            <scheme val="minor"/>
          </rPr>
          <t>Venta Estacionalizada Mes 8 / Dias con Stk sobre el Quiebre / Estacionalidad del Mes</t>
        </r>
      </text>
    </comment>
    <comment ref="R1" authorId="0" shapeId="0" xr:uid="{00000000-0006-0000-0000-00000F000000}">
      <text>
        <r>
          <rPr>
            <sz val="11"/>
            <color theme="1"/>
            <rFont val="Calibri"/>
            <scheme val="minor"/>
          </rPr>
          <t>Venta Estacionalizada Mes 9 / Dias con Stk sobre el Quiebre / Estacionalidad del Mes</t>
        </r>
      </text>
    </comment>
    <comment ref="S1" authorId="0" shapeId="0" xr:uid="{00000000-0006-0000-0000-000010000000}">
      <text>
        <r>
          <rPr>
            <sz val="11"/>
            <color theme="1"/>
            <rFont val="Calibri"/>
            <scheme val="minor"/>
          </rPr>
          <t>Venta Estacionalizada Mes 10 / Dias con Stk sobre el Quiebre / Estacionalidad del Mes</t>
        </r>
      </text>
    </comment>
    <comment ref="T1" authorId="0" shapeId="0" xr:uid="{00000000-0006-0000-0000-000011000000}">
      <text>
        <r>
          <rPr>
            <sz val="11"/>
            <color theme="1"/>
            <rFont val="Calibri"/>
            <scheme val="minor"/>
          </rPr>
          <t>Venta Estacionalizada Mes 11 / Dias con Stk sobre el Quiebre / Estacionalidad del Mes</t>
        </r>
      </text>
    </comment>
    <comment ref="U1" authorId="0" shapeId="0" xr:uid="{00000000-0006-0000-0000-000012000000}">
      <text>
        <r>
          <rPr>
            <sz val="11"/>
            <color theme="1"/>
            <rFont val="Calibri"/>
            <scheme val="minor"/>
          </rPr>
          <t>Venta Estacionalizada Mes 12 / Dias con Stk sobre el Quiebre / Estacionalidad del Mes</t>
        </r>
      </text>
    </comment>
    <comment ref="V1" authorId="0" shapeId="0" xr:uid="{00000000-0006-0000-0000-000013000000}">
      <text>
        <r>
          <rPr>
            <sz val="11"/>
            <color theme="1"/>
            <rFont val="Calibri"/>
            <scheme val="minor"/>
          </rPr>
          <t>Venta Estacionalizada Mes 1 / Dias con Stk sobre el Quiebre / Estacionalidad del Mes</t>
        </r>
      </text>
    </comment>
    <comment ref="W1" authorId="0" shapeId="0" xr:uid="{00000000-0006-0000-0000-000014000000}">
      <text>
        <r>
          <rPr>
            <sz val="11"/>
            <color theme="1"/>
            <rFont val="Calibri"/>
            <scheme val="minor"/>
          </rPr>
          <t>Venta Estacionalizada Mes 2 / Dias con Stk sobre el Quiebre / Estacionalidad del Mes</t>
        </r>
      </text>
    </comment>
    <comment ref="X1" authorId="0" shapeId="0" xr:uid="{00000000-0006-0000-0000-000015000000}">
      <text>
        <r>
          <rPr>
            <sz val="11"/>
            <color theme="1"/>
            <rFont val="Calibri"/>
            <scheme val="minor"/>
          </rPr>
          <t>Venta Estacionalizada Mes 3 / Dias con Stk sobre el Quiebre / Estacionalidad del Mes</t>
        </r>
      </text>
    </comment>
    <comment ref="Y1" authorId="0" shapeId="0" xr:uid="{00000000-0006-0000-0000-000016000000}">
      <text>
        <r>
          <rPr>
            <sz val="11"/>
            <color theme="1"/>
            <rFont val="Calibri"/>
            <scheme val="minor"/>
          </rPr>
          <t>Venta Estacionalizada Mes 4 / Dias con Stk sobre el Quiebre / Estacionalidad del Mes</t>
        </r>
      </text>
    </comment>
    <comment ref="Z1" authorId="0" shapeId="0" xr:uid="{00000000-0006-0000-0000-000017000000}">
      <text>
        <r>
          <rPr>
            <sz val="11"/>
            <color theme="1"/>
            <rFont val="Calibri"/>
            <scheme val="minor"/>
          </rPr>
          <t>Venta Estacionalizada Mes 5 / Dias con Stk sobre el Quiebre / Estacionalidad del Mes</t>
        </r>
      </text>
    </comment>
    <comment ref="AA1" authorId="0" shapeId="0" xr:uid="{00000000-0006-0000-0000-000018000000}">
      <text>
        <r>
          <rPr>
            <sz val="11"/>
            <color theme="1"/>
            <rFont val="Calibri"/>
            <scheme val="minor"/>
          </rPr>
          <t>Venta Estacionalizada Mes 6 / Dias con Stk sobre el Quiebre / Estacionalidad del Mes</t>
        </r>
      </text>
    </comment>
    <comment ref="AB1" authorId="0" shapeId="0" xr:uid="{00000000-0006-0000-0000-000019000000}">
      <text>
        <r>
          <rPr>
            <sz val="11"/>
            <color theme="1"/>
            <rFont val="Calibri"/>
            <scheme val="minor"/>
          </rPr>
          <t>Venta Estacionalizada Mes 7 / Dias con Stk sobre el Quiebre / Estacionalidad del Mes</t>
        </r>
      </text>
    </comment>
    <comment ref="AC1" authorId="0" shapeId="0" xr:uid="{00000000-0006-0000-0000-00001A000000}">
      <text>
        <r>
          <rPr>
            <sz val="11"/>
            <color theme="1"/>
            <rFont val="Calibri"/>
            <scheme val="minor"/>
          </rPr>
          <t>Venta Estacionalizada Mes 8 / Dias con Stk sobre el Quiebre / Estacionalidad del Mes</t>
        </r>
      </text>
    </comment>
    <comment ref="AD1" authorId="0" shapeId="0" xr:uid="{00000000-0006-0000-0000-00001B000000}">
      <text>
        <r>
          <rPr>
            <sz val="11"/>
            <color theme="1"/>
            <rFont val="Calibri"/>
            <scheme val="minor"/>
          </rPr>
          <t>Promedio de todos los Meses, menos el ultimo</t>
        </r>
      </text>
    </comment>
    <comment ref="AE1" authorId="0" shapeId="0" xr:uid="{00000000-0006-0000-0000-00001C000000}">
      <text>
        <r>
          <rPr>
            <sz val="11"/>
            <color theme="1"/>
            <rFont val="Calibri"/>
            <scheme val="minor"/>
          </rPr>
          <t>Valor Utilizado en la Hoja Compras (Rotacion DesEstacionalizada)</t>
        </r>
      </text>
    </comment>
    <comment ref="S3" authorId="0" shapeId="0" xr:uid="{00000000-0006-0000-0000-00001D000000}">
      <text>
        <r>
          <rPr>
            <sz val="11"/>
            <color theme="1"/>
            <rFont val="Calibri"/>
            <scheme val="minor"/>
          </rPr>
          <t>Dias de Quiebre 9</t>
        </r>
      </text>
    </comment>
    <comment ref="U3" authorId="0" shapeId="0" xr:uid="{00000000-0006-0000-0000-00001E000000}">
      <text>
        <r>
          <rPr>
            <sz val="11"/>
            <color theme="1"/>
            <rFont val="Calibri"/>
            <scheme val="minor"/>
          </rPr>
          <t>Dias de Quiebre 3</t>
        </r>
      </text>
    </comment>
    <comment ref="AA11" authorId="0" shapeId="0" xr:uid="{00000000-0006-0000-0000-00001F000000}">
      <text>
        <r>
          <rPr>
            <sz val="11"/>
            <color theme="1"/>
            <rFont val="Calibri"/>
            <scheme val="minor"/>
          </rPr>
          <t>Dias de Quiebre 27</t>
        </r>
      </text>
    </comment>
    <comment ref="R16" authorId="0" shapeId="0" xr:uid="{00000000-0006-0000-0000-000020000000}">
      <text>
        <r>
          <rPr>
            <sz val="11"/>
            <color theme="1"/>
            <rFont val="Calibri"/>
            <scheme val="minor"/>
          </rPr>
          <t>Dias de Quiebre 2</t>
        </r>
      </text>
    </comment>
    <comment ref="U16" authorId="0" shapeId="0" xr:uid="{00000000-0006-0000-0000-000021000000}">
      <text>
        <r>
          <rPr>
            <sz val="11"/>
            <color theme="1"/>
            <rFont val="Calibri"/>
            <scheme val="minor"/>
          </rPr>
          <t>Dias de Quiebre 22</t>
        </r>
      </text>
    </comment>
    <comment ref="X16" authorId="0" shapeId="0" xr:uid="{00000000-0006-0000-0000-000022000000}">
      <text>
        <r>
          <rPr>
            <sz val="11"/>
            <color theme="1"/>
            <rFont val="Calibri"/>
            <scheme val="minor"/>
          </rPr>
          <t>Dias de Quiebre 9</t>
        </r>
      </text>
    </comment>
    <comment ref="Y16" authorId="0" shapeId="0" xr:uid="{00000000-0006-0000-0000-000023000000}">
      <text>
        <r>
          <rPr>
            <sz val="11"/>
            <color theme="1"/>
            <rFont val="Calibri"/>
            <scheme val="minor"/>
          </rPr>
          <t>Dias de Quiebre 4</t>
        </r>
      </text>
    </comment>
    <comment ref="T20" authorId="0" shapeId="0" xr:uid="{00000000-0006-0000-0000-000024000000}">
      <text>
        <r>
          <rPr>
            <sz val="11"/>
            <color theme="1"/>
            <rFont val="Calibri"/>
            <scheme val="minor"/>
          </rPr>
          <t>Dias de Quiebre 14</t>
        </r>
      </text>
    </comment>
    <comment ref="U20" authorId="0" shapeId="0" xr:uid="{00000000-0006-0000-0000-000025000000}">
      <text>
        <r>
          <rPr>
            <sz val="11"/>
            <color theme="1"/>
            <rFont val="Calibri"/>
            <scheme val="minor"/>
          </rPr>
          <t>Dias de Quiebre 3</t>
        </r>
      </text>
    </comment>
    <comment ref="Y20" authorId="0" shapeId="0" xr:uid="{00000000-0006-0000-0000-000026000000}">
      <text>
        <r>
          <rPr>
            <sz val="11"/>
            <color theme="1"/>
            <rFont val="Calibri"/>
            <scheme val="minor"/>
          </rPr>
          <t>Dias de Quiebre 14</t>
        </r>
      </text>
    </comment>
    <comment ref="V26" authorId="0" shapeId="0" xr:uid="{00000000-0006-0000-0000-000027000000}">
      <text>
        <r>
          <rPr>
            <sz val="11"/>
            <color theme="1"/>
            <rFont val="Calibri"/>
            <scheme val="minor"/>
          </rPr>
          <t>Dias de Quiebre 25</t>
        </r>
      </text>
    </comment>
    <comment ref="Y30" authorId="0" shapeId="0" xr:uid="{00000000-0006-0000-0000-000028000000}">
      <text>
        <r>
          <rPr>
            <sz val="11"/>
            <color theme="1"/>
            <rFont val="Calibri"/>
            <scheme val="minor"/>
          </rPr>
          <t>Dias de Quiebre 4</t>
        </r>
      </text>
    </comment>
    <comment ref="U43" authorId="0" shapeId="0" xr:uid="{00000000-0006-0000-0000-000029000000}">
      <text>
        <r>
          <rPr>
            <sz val="11"/>
            <color theme="1"/>
            <rFont val="Calibri"/>
            <scheme val="minor"/>
          </rPr>
          <t>Dias de Quiebre 3</t>
        </r>
      </text>
    </comment>
    <comment ref="R44" authorId="0" shapeId="0" xr:uid="{00000000-0006-0000-0000-00002A000000}">
      <text>
        <r>
          <rPr>
            <sz val="11"/>
            <color theme="1"/>
            <rFont val="Calibri"/>
            <scheme val="minor"/>
          </rPr>
          <t>Dias de Quiebre 1</t>
        </r>
      </text>
    </comment>
    <comment ref="U44" authorId="0" shapeId="0" xr:uid="{00000000-0006-0000-0000-00002B000000}">
      <text>
        <r>
          <rPr>
            <sz val="11"/>
            <color theme="1"/>
            <rFont val="Calibri"/>
            <scheme val="minor"/>
          </rPr>
          <t>Dias de Quiebre 16</t>
        </r>
      </text>
    </comment>
    <comment ref="V44" authorId="0" shapeId="0" xr:uid="{00000000-0006-0000-0000-00002C000000}">
      <text>
        <r>
          <rPr>
            <sz val="11"/>
            <color theme="1"/>
            <rFont val="Calibri"/>
            <scheme val="minor"/>
          </rPr>
          <t>Dias de Quiebre 8</t>
        </r>
      </text>
    </comment>
    <comment ref="Q46" authorId="0" shapeId="0" xr:uid="{00000000-0006-0000-0000-00002D000000}">
      <text>
        <r>
          <rPr>
            <sz val="11"/>
            <color theme="1"/>
            <rFont val="Calibri"/>
            <scheme val="minor"/>
          </rPr>
          <t>Dias de Quiebre 26</t>
        </r>
      </text>
    </comment>
    <comment ref="Y47" authorId="0" shapeId="0" xr:uid="{00000000-0006-0000-0000-00002E000000}">
      <text>
        <r>
          <rPr>
            <sz val="11"/>
            <color theme="1"/>
            <rFont val="Calibri"/>
            <scheme val="minor"/>
          </rPr>
          <t>Dias de Quiebre 29</t>
        </r>
      </text>
    </comment>
    <comment ref="Y48" authorId="0" shapeId="0" xr:uid="{00000000-0006-0000-0000-00002F000000}">
      <text>
        <r>
          <rPr>
            <sz val="11"/>
            <color theme="1"/>
            <rFont val="Calibri"/>
            <scheme val="minor"/>
          </rPr>
          <t>Dias de Quiebre 29</t>
        </r>
      </text>
    </comment>
    <comment ref="Q49" authorId="0" shapeId="0" xr:uid="{00000000-0006-0000-0000-000030000000}">
      <text>
        <r>
          <rPr>
            <sz val="11"/>
            <color theme="1"/>
            <rFont val="Calibri"/>
            <scheme val="minor"/>
          </rPr>
          <t>Dias de Quiebre 25</t>
        </r>
      </text>
    </comment>
    <comment ref="R49" authorId="0" shapeId="0" xr:uid="{00000000-0006-0000-0000-000031000000}">
      <text>
        <r>
          <rPr>
            <sz val="11"/>
            <color theme="1"/>
            <rFont val="Calibri"/>
            <scheme val="minor"/>
          </rPr>
          <t>Dias de Quiebre 2</t>
        </r>
      </text>
    </comment>
    <comment ref="Q50" authorId="0" shapeId="0" xr:uid="{00000000-0006-0000-0000-000032000000}">
      <text>
        <r>
          <rPr>
            <sz val="11"/>
            <color theme="1"/>
            <rFont val="Calibri"/>
            <scheme val="minor"/>
          </rPr>
          <t>Dias de Quiebre 10</t>
        </r>
      </text>
    </comment>
    <comment ref="R50" authorId="0" shapeId="0" xr:uid="{00000000-0006-0000-0000-000033000000}">
      <text>
        <r>
          <rPr>
            <sz val="11"/>
            <color theme="1"/>
            <rFont val="Calibri"/>
            <scheme val="minor"/>
          </rPr>
          <t>Dias de Quiebre 28</t>
        </r>
      </text>
    </comment>
    <comment ref="U50" authorId="0" shapeId="0" xr:uid="{00000000-0006-0000-0000-000034000000}">
      <text>
        <r>
          <rPr>
            <sz val="11"/>
            <color theme="1"/>
            <rFont val="Calibri"/>
            <scheme val="minor"/>
          </rPr>
          <t>Dias de Quiebre 3</t>
        </r>
      </text>
    </comment>
    <comment ref="Y50" authorId="0" shapeId="0" xr:uid="{00000000-0006-0000-0000-000035000000}">
      <text>
        <r>
          <rPr>
            <sz val="11"/>
            <color theme="1"/>
            <rFont val="Calibri"/>
            <scheme val="minor"/>
          </rPr>
          <t>Dias de Quiebre 29</t>
        </r>
      </text>
    </comment>
    <comment ref="U51" authorId="0" shapeId="0" xr:uid="{00000000-0006-0000-0000-000036000000}">
      <text>
        <r>
          <rPr>
            <sz val="11"/>
            <color theme="1"/>
            <rFont val="Calibri"/>
            <scheme val="minor"/>
          </rPr>
          <t>Dias de Quiebre 3</t>
        </r>
      </text>
    </comment>
    <comment ref="U52" authorId="0" shapeId="0" xr:uid="{00000000-0006-0000-0000-000037000000}">
      <text>
        <r>
          <rPr>
            <sz val="11"/>
            <color theme="1"/>
            <rFont val="Calibri"/>
            <scheme val="minor"/>
          </rPr>
          <t>Dias de Quiebre 3</t>
        </r>
      </text>
    </comment>
    <comment ref="V53" authorId="0" shapeId="0" xr:uid="{00000000-0006-0000-0000-000038000000}">
      <text>
        <r>
          <rPr>
            <sz val="11"/>
            <color theme="1"/>
            <rFont val="Calibri"/>
            <scheme val="minor"/>
          </rPr>
          <t>Dias de Quiebre 8</t>
        </r>
      </text>
    </comment>
    <comment ref="V54" authorId="0" shapeId="0" xr:uid="{00000000-0006-0000-0000-000039000000}">
      <text>
        <r>
          <rPr>
            <sz val="11"/>
            <color theme="1"/>
            <rFont val="Calibri"/>
            <scheme val="minor"/>
          </rPr>
          <t>Dias de Quiebre 8</t>
        </r>
      </text>
    </comment>
    <comment ref="Y55" authorId="0" shapeId="0" xr:uid="{00000000-0006-0000-0000-00003A000000}">
      <text>
        <r>
          <rPr>
            <sz val="11"/>
            <color theme="1"/>
            <rFont val="Calibri"/>
            <scheme val="minor"/>
          </rPr>
          <t>Dias de Quiebre 29</t>
        </r>
      </text>
    </comment>
    <comment ref="R56" authorId="0" shapeId="0" xr:uid="{00000000-0006-0000-0000-00003B000000}">
      <text>
        <r>
          <rPr>
            <sz val="11"/>
            <color theme="1"/>
            <rFont val="Calibri"/>
            <scheme val="minor"/>
          </rPr>
          <t>Dias de Quiebre 19</t>
        </r>
      </text>
    </comment>
    <comment ref="U56" authorId="0" shapeId="0" xr:uid="{00000000-0006-0000-0000-00003C000000}">
      <text>
        <r>
          <rPr>
            <sz val="11"/>
            <color theme="1"/>
            <rFont val="Calibri"/>
            <scheme val="minor"/>
          </rPr>
          <t>Dias de Quiebre 3</t>
        </r>
      </text>
    </comment>
    <comment ref="Z63" authorId="0" shapeId="0" xr:uid="{00000000-0006-0000-0000-00003D000000}">
      <text>
        <r>
          <rPr>
            <sz val="11"/>
            <color theme="1"/>
            <rFont val="Calibri"/>
            <scheme val="minor"/>
          </rPr>
          <t>Dias de Quiebre 18</t>
        </r>
      </text>
    </comment>
    <comment ref="S64" authorId="0" shapeId="0" xr:uid="{00000000-0006-0000-0000-00003E000000}">
      <text>
        <r>
          <rPr>
            <sz val="11"/>
            <color theme="1"/>
            <rFont val="Calibri"/>
            <scheme val="minor"/>
          </rPr>
          <t>Dias de Quiebre 16</t>
        </r>
      </text>
    </comment>
    <comment ref="V64" authorId="0" shapeId="0" xr:uid="{00000000-0006-0000-0000-00003F000000}">
      <text>
        <r>
          <rPr>
            <sz val="11"/>
            <color theme="1"/>
            <rFont val="Calibri"/>
            <scheme val="minor"/>
          </rPr>
          <t>Dias de Quiebre 8</t>
        </r>
      </text>
    </comment>
    <comment ref="Y64" authorId="0" shapeId="0" xr:uid="{00000000-0006-0000-0000-000040000000}">
      <text>
        <r>
          <rPr>
            <sz val="11"/>
            <color theme="1"/>
            <rFont val="Calibri"/>
            <scheme val="minor"/>
          </rPr>
          <t>Dias de Quiebre 14</t>
        </r>
      </text>
    </comment>
    <comment ref="T67" authorId="0" shapeId="0" xr:uid="{00000000-0006-0000-0000-000041000000}">
      <text>
        <r>
          <rPr>
            <sz val="11"/>
            <color theme="1"/>
            <rFont val="Calibri"/>
            <scheme val="minor"/>
          </rPr>
          <t>Dias de Quiebre 19</t>
        </r>
      </text>
    </comment>
    <comment ref="U67" authorId="0" shapeId="0" xr:uid="{00000000-0006-0000-0000-000042000000}">
      <text>
        <r>
          <rPr>
            <sz val="11"/>
            <color theme="1"/>
            <rFont val="Calibri"/>
            <scheme val="minor"/>
          </rPr>
          <t>Dias de Quiebre 3</t>
        </r>
      </text>
    </comment>
    <comment ref="Q68" authorId="0" shapeId="0" xr:uid="{00000000-0006-0000-0000-000043000000}">
      <text>
        <r>
          <rPr>
            <sz val="11"/>
            <color theme="1"/>
            <rFont val="Calibri"/>
            <scheme val="minor"/>
          </rPr>
          <t>Dias de Quiebre 11</t>
        </r>
      </text>
    </comment>
    <comment ref="R68" authorId="0" shapeId="0" xr:uid="{00000000-0006-0000-0000-000044000000}">
      <text>
        <r>
          <rPr>
            <sz val="11"/>
            <color theme="1"/>
            <rFont val="Calibri"/>
            <scheme val="minor"/>
          </rPr>
          <t>Dias de Quiebre 2</t>
        </r>
      </text>
    </comment>
    <comment ref="T68" authorId="0" shapeId="0" xr:uid="{00000000-0006-0000-0000-000045000000}">
      <text>
        <r>
          <rPr>
            <sz val="11"/>
            <color theme="1"/>
            <rFont val="Calibri"/>
            <scheme val="minor"/>
          </rPr>
          <t>Dias de Quiebre 26</t>
        </r>
      </text>
    </comment>
    <comment ref="U68" authorId="0" shapeId="0" xr:uid="{00000000-0006-0000-0000-000046000000}">
      <text>
        <r>
          <rPr>
            <sz val="11"/>
            <color theme="1"/>
            <rFont val="Calibri"/>
            <scheme val="minor"/>
          </rPr>
          <t>Dias de Quiebre 3</t>
        </r>
      </text>
    </comment>
    <comment ref="T70" authorId="0" shapeId="0" xr:uid="{00000000-0006-0000-0000-000047000000}">
      <text>
        <r>
          <rPr>
            <sz val="11"/>
            <color theme="1"/>
            <rFont val="Calibri"/>
            <scheme val="minor"/>
          </rPr>
          <t>Dias de Quiebre 17</t>
        </r>
      </text>
    </comment>
    <comment ref="U70" authorId="0" shapeId="0" xr:uid="{00000000-0006-0000-0000-000048000000}">
      <text>
        <r>
          <rPr>
            <sz val="11"/>
            <color theme="1"/>
            <rFont val="Calibri"/>
            <scheme val="minor"/>
          </rPr>
          <t>Dias de Quiebre 3</t>
        </r>
      </text>
    </comment>
    <comment ref="R72" authorId="0" shapeId="0" xr:uid="{00000000-0006-0000-0000-000049000000}">
      <text>
        <r>
          <rPr>
            <sz val="11"/>
            <color theme="1"/>
            <rFont val="Calibri"/>
            <scheme val="minor"/>
          </rPr>
          <t>Dias de Quiebre 2</t>
        </r>
      </text>
    </comment>
    <comment ref="S72" authorId="0" shapeId="0" xr:uid="{00000000-0006-0000-0000-00004A000000}">
      <text>
        <r>
          <rPr>
            <sz val="11"/>
            <color theme="1"/>
            <rFont val="Calibri"/>
            <scheme val="minor"/>
          </rPr>
          <t>Dias de Quiebre 26</t>
        </r>
      </text>
    </comment>
    <comment ref="U72" authorId="0" shapeId="0" xr:uid="{00000000-0006-0000-0000-00004B000000}">
      <text>
        <r>
          <rPr>
            <sz val="11"/>
            <color theme="1"/>
            <rFont val="Calibri"/>
            <scheme val="minor"/>
          </rPr>
          <t>Dias de Quiebre 3</t>
        </r>
      </text>
    </comment>
    <comment ref="U73" authorId="0" shapeId="0" xr:uid="{00000000-0006-0000-0000-00004C000000}">
      <text>
        <r>
          <rPr>
            <sz val="11"/>
            <color theme="1"/>
            <rFont val="Calibri"/>
            <scheme val="minor"/>
          </rPr>
          <t>Dias de Quiebre 22</t>
        </r>
      </text>
    </comment>
    <comment ref="T74" authorId="0" shapeId="0" xr:uid="{00000000-0006-0000-0000-00004D000000}">
      <text>
        <r>
          <rPr>
            <sz val="11"/>
            <color theme="1"/>
            <rFont val="Calibri"/>
            <scheme val="minor"/>
          </rPr>
          <t>Dias de Quiebre 5</t>
        </r>
      </text>
    </comment>
    <comment ref="V74" authorId="0" shapeId="0" xr:uid="{00000000-0006-0000-0000-00004E000000}">
      <text>
        <r>
          <rPr>
            <sz val="11"/>
            <color theme="1"/>
            <rFont val="Calibri"/>
            <scheme val="minor"/>
          </rPr>
          <t>Dias de Quiebre 8</t>
        </r>
      </text>
    </comment>
    <comment ref="AA74" authorId="0" shapeId="0" xr:uid="{00000000-0006-0000-0000-00004F000000}">
      <text>
        <r>
          <rPr>
            <sz val="11"/>
            <color theme="1"/>
            <rFont val="Calibri"/>
            <scheme val="minor"/>
          </rPr>
          <t>Dias de Quiebre 8</t>
        </r>
      </text>
    </comment>
    <comment ref="Z75" authorId="0" shapeId="0" xr:uid="{00000000-0006-0000-0000-000050000000}">
      <text>
        <r>
          <rPr>
            <sz val="11"/>
            <color theme="1"/>
            <rFont val="Calibri"/>
            <scheme val="minor"/>
          </rPr>
          <t>Dias de Quiebre 26</t>
        </r>
      </text>
    </comment>
    <comment ref="Q78" authorId="0" shapeId="0" xr:uid="{00000000-0006-0000-0000-000051000000}">
      <text>
        <r>
          <rPr>
            <sz val="11"/>
            <color theme="1"/>
            <rFont val="Calibri"/>
            <scheme val="minor"/>
          </rPr>
          <t>Dias de Quiebre 27</t>
        </r>
      </text>
    </comment>
    <comment ref="U80" authorId="0" shapeId="0" xr:uid="{00000000-0006-0000-0000-000052000000}">
      <text>
        <r>
          <rPr>
            <sz val="11"/>
            <color theme="1"/>
            <rFont val="Calibri"/>
            <scheme val="minor"/>
          </rPr>
          <t>Dias de Quiebre 23</t>
        </r>
      </text>
    </comment>
    <comment ref="X90" authorId="0" shapeId="0" xr:uid="{00000000-0006-0000-0000-000053000000}">
      <text>
        <r>
          <rPr>
            <sz val="11"/>
            <color theme="1"/>
            <rFont val="Calibri"/>
            <scheme val="minor"/>
          </rPr>
          <t>Dias de Quiebre 6</t>
        </r>
      </text>
    </comment>
    <comment ref="W91" authorId="0" shapeId="0" xr:uid="{00000000-0006-0000-0000-000054000000}">
      <text>
        <r>
          <rPr>
            <sz val="11"/>
            <color theme="1"/>
            <rFont val="Calibri"/>
            <scheme val="minor"/>
          </rPr>
          <t>Dias de Quiebre 25</t>
        </r>
      </text>
    </comment>
    <comment ref="Y92" authorId="0" shapeId="0" xr:uid="{00000000-0006-0000-0000-000055000000}">
      <text>
        <r>
          <rPr>
            <sz val="11"/>
            <color theme="1"/>
            <rFont val="Calibri"/>
            <scheme val="minor"/>
          </rPr>
          <t>Dias de Quiebre 7</t>
        </r>
      </text>
    </comment>
    <comment ref="U95" authorId="0" shapeId="0" xr:uid="{00000000-0006-0000-0000-000056000000}">
      <text>
        <r>
          <rPr>
            <sz val="11"/>
            <color theme="1"/>
            <rFont val="Calibri"/>
            <scheme val="minor"/>
          </rPr>
          <t>Dias de Quiebre 29</t>
        </r>
      </text>
    </comment>
    <comment ref="U96" authorId="0" shapeId="0" xr:uid="{00000000-0006-0000-0000-000057000000}">
      <text>
        <r>
          <rPr>
            <sz val="11"/>
            <color theme="1"/>
            <rFont val="Calibri"/>
            <scheme val="minor"/>
          </rPr>
          <t>Dias de Quiebre 9</t>
        </r>
      </text>
    </comment>
    <comment ref="U99" authorId="0" shapeId="0" xr:uid="{00000000-0006-0000-0000-000058000000}">
      <text>
        <r>
          <rPr>
            <sz val="11"/>
            <color theme="1"/>
            <rFont val="Calibri"/>
            <scheme val="minor"/>
          </rPr>
          <t>Dias de Quiebre 29</t>
        </r>
      </text>
    </comment>
    <comment ref="X99" authorId="0" shapeId="0" xr:uid="{00000000-0006-0000-0000-000059000000}">
      <text>
        <r>
          <rPr>
            <sz val="11"/>
            <color theme="1"/>
            <rFont val="Calibri"/>
            <scheme val="minor"/>
          </rPr>
          <t>Dias de Quiebre 9</t>
        </r>
      </text>
    </comment>
    <comment ref="AB99" authorId="0" shapeId="0" xr:uid="{00000000-0006-0000-0000-00005A000000}">
      <text>
        <r>
          <rPr>
            <sz val="11"/>
            <color theme="1"/>
            <rFont val="Calibri"/>
            <scheme val="minor"/>
          </rPr>
          <t>Dias de Quiebre 10</t>
        </r>
      </text>
    </comment>
    <comment ref="U100" authorId="0" shapeId="0" xr:uid="{00000000-0006-0000-0000-00005B000000}">
      <text>
        <r>
          <rPr>
            <sz val="11"/>
            <color theme="1"/>
            <rFont val="Calibri"/>
            <scheme val="minor"/>
          </rPr>
          <t>Dias de Quiebre 29</t>
        </r>
      </text>
    </comment>
    <comment ref="R101" authorId="0" shapeId="0" xr:uid="{00000000-0006-0000-0000-00005C000000}">
      <text>
        <r>
          <rPr>
            <sz val="11"/>
            <color theme="1"/>
            <rFont val="Calibri"/>
            <scheme val="minor"/>
          </rPr>
          <t>Dias de Quiebre 9</t>
        </r>
      </text>
    </comment>
    <comment ref="S101" authorId="0" shapeId="0" xr:uid="{00000000-0006-0000-0000-00005D000000}">
      <text>
        <r>
          <rPr>
            <sz val="11"/>
            <color theme="1"/>
            <rFont val="Calibri"/>
            <scheme val="minor"/>
          </rPr>
          <t>Dias de Quiebre 15</t>
        </r>
      </text>
    </comment>
    <comment ref="U102" authorId="0" shapeId="0" xr:uid="{00000000-0006-0000-0000-00005E000000}">
      <text>
        <r>
          <rPr>
            <sz val="11"/>
            <color theme="1"/>
            <rFont val="Calibri"/>
            <scheme val="minor"/>
          </rPr>
          <t>Dias de Quiebre 29</t>
        </r>
      </text>
    </comment>
    <comment ref="R110" authorId="0" shapeId="0" xr:uid="{00000000-0006-0000-0000-00005F000000}">
      <text>
        <r>
          <rPr>
            <sz val="11"/>
            <color theme="1"/>
            <rFont val="Calibri"/>
            <scheme val="minor"/>
          </rPr>
          <t>Dias de Quiebre 2</t>
        </r>
      </text>
    </comment>
    <comment ref="AB110" authorId="0" shapeId="0" xr:uid="{00000000-0006-0000-0000-000060000000}">
      <text>
        <r>
          <rPr>
            <sz val="11"/>
            <color theme="1"/>
            <rFont val="Calibri"/>
            <scheme val="minor"/>
          </rPr>
          <t>Dias de Quiebre 2</t>
        </r>
      </text>
    </comment>
    <comment ref="S111" authorId="0" shapeId="0" xr:uid="{00000000-0006-0000-0000-000061000000}">
      <text>
        <r>
          <rPr>
            <sz val="11"/>
            <color theme="1"/>
            <rFont val="Calibri"/>
            <scheme val="minor"/>
          </rPr>
          <t>Dias de Quiebre 17</t>
        </r>
      </text>
    </comment>
    <comment ref="V111" authorId="0" shapeId="0" xr:uid="{00000000-0006-0000-0000-000062000000}">
      <text>
        <r>
          <rPr>
            <sz val="11"/>
            <color theme="1"/>
            <rFont val="Calibri"/>
            <scheme val="minor"/>
          </rPr>
          <t>Dias de Quiebre 8</t>
        </r>
      </text>
    </comment>
    <comment ref="W112" authorId="0" shapeId="0" xr:uid="{00000000-0006-0000-0000-000063000000}">
      <text>
        <r>
          <rPr>
            <sz val="11"/>
            <color theme="1"/>
            <rFont val="Calibri"/>
            <scheme val="minor"/>
          </rPr>
          <t>Dias de Quiebre 20</t>
        </r>
      </text>
    </comment>
    <comment ref="AA115" authorId="0" shapeId="0" xr:uid="{00000000-0006-0000-0000-000064000000}">
      <text>
        <r>
          <rPr>
            <sz val="11"/>
            <color theme="1"/>
            <rFont val="Calibri"/>
            <scheme val="minor"/>
          </rPr>
          <t>Dias de Quiebre 16</t>
        </r>
      </text>
    </comment>
    <comment ref="AB117" authorId="0" shapeId="0" xr:uid="{00000000-0006-0000-0000-000065000000}">
      <text>
        <r>
          <rPr>
            <sz val="11"/>
            <color theme="1"/>
            <rFont val="Calibri"/>
            <scheme val="minor"/>
          </rPr>
          <t>Dias de Quiebre 3</t>
        </r>
      </text>
    </comment>
    <comment ref="U118" authorId="0" shapeId="0" xr:uid="{00000000-0006-0000-0000-000066000000}">
      <text>
        <r>
          <rPr>
            <sz val="11"/>
            <color theme="1"/>
            <rFont val="Calibri"/>
            <scheme val="minor"/>
          </rPr>
          <t>Dias de Quiebre 10</t>
        </r>
      </text>
    </comment>
    <comment ref="V118" authorId="0" shapeId="0" xr:uid="{00000000-0006-0000-0000-000067000000}">
      <text>
        <r>
          <rPr>
            <sz val="11"/>
            <color theme="1"/>
            <rFont val="Calibri"/>
            <scheme val="minor"/>
          </rPr>
          <t>Dias de Quiebre 8</t>
        </r>
      </text>
    </comment>
    <comment ref="Q119" authorId="0" shapeId="0" xr:uid="{00000000-0006-0000-0000-000068000000}">
      <text>
        <r>
          <rPr>
            <sz val="11"/>
            <color theme="1"/>
            <rFont val="Calibri"/>
            <scheme val="minor"/>
          </rPr>
          <t>Dias de Quiebre 24</t>
        </r>
      </text>
    </comment>
    <comment ref="R119" authorId="0" shapeId="0" xr:uid="{00000000-0006-0000-0000-000069000000}">
      <text>
        <r>
          <rPr>
            <sz val="11"/>
            <color theme="1"/>
            <rFont val="Calibri"/>
            <scheme val="minor"/>
          </rPr>
          <t>Dias de Quiebre 2</t>
        </r>
      </text>
    </comment>
    <comment ref="AB120" authorId="0" shapeId="0" xr:uid="{00000000-0006-0000-0000-00006A000000}">
      <text>
        <r>
          <rPr>
            <sz val="11"/>
            <color theme="1"/>
            <rFont val="Calibri"/>
            <scheme val="minor"/>
          </rPr>
          <t>Dias de Quiebre 29</t>
        </r>
      </text>
    </comment>
    <comment ref="R133" authorId="0" shapeId="0" xr:uid="{00000000-0006-0000-0000-00006B000000}">
      <text>
        <r>
          <rPr>
            <sz val="11"/>
            <color theme="1"/>
            <rFont val="Calibri"/>
            <scheme val="minor"/>
          </rPr>
          <t>Dias de Quiebre 2</t>
        </r>
      </text>
    </comment>
    <comment ref="R134" authorId="0" shapeId="0" xr:uid="{00000000-0006-0000-0000-00006C000000}">
      <text>
        <r>
          <rPr>
            <sz val="11"/>
            <color theme="1"/>
            <rFont val="Calibri"/>
            <scheme val="minor"/>
          </rPr>
          <t>Dias de Quiebre 2</t>
        </r>
      </text>
    </comment>
    <comment ref="X134" authorId="0" shapeId="0" xr:uid="{00000000-0006-0000-0000-00006D000000}">
      <text>
        <r>
          <rPr>
            <sz val="11"/>
            <color theme="1"/>
            <rFont val="Calibri"/>
            <scheme val="minor"/>
          </rPr>
          <t>Dias de Quiebre 5</t>
        </r>
      </text>
    </comment>
    <comment ref="U135" authorId="0" shapeId="0" xr:uid="{00000000-0006-0000-0000-00006E000000}">
      <text>
        <r>
          <rPr>
            <sz val="11"/>
            <color theme="1"/>
            <rFont val="Calibri"/>
            <scheme val="minor"/>
          </rPr>
          <t>Dias de Quiebre 3</t>
        </r>
      </text>
    </comment>
    <comment ref="U136" authorId="0" shapeId="0" xr:uid="{00000000-0006-0000-0000-00006F000000}">
      <text>
        <r>
          <rPr>
            <sz val="11"/>
            <color theme="1"/>
            <rFont val="Calibri"/>
            <scheme val="minor"/>
          </rPr>
          <t>Dias de Quiebre 3</t>
        </r>
      </text>
    </comment>
    <comment ref="U137" authorId="0" shapeId="0" xr:uid="{00000000-0006-0000-0000-000070000000}">
      <text>
        <r>
          <rPr>
            <sz val="11"/>
            <color theme="1"/>
            <rFont val="Calibri"/>
            <scheme val="minor"/>
          </rPr>
          <t>Dias de Quiebre 3</t>
        </r>
      </text>
    </comment>
    <comment ref="U138" authorId="0" shapeId="0" xr:uid="{00000000-0006-0000-0000-000071000000}">
      <text>
        <r>
          <rPr>
            <sz val="11"/>
            <color theme="1"/>
            <rFont val="Calibri"/>
            <scheme val="minor"/>
          </rPr>
          <t>Dias de Quiebre 3</t>
        </r>
      </text>
    </comment>
    <comment ref="U139" authorId="0" shapeId="0" xr:uid="{00000000-0006-0000-0000-000072000000}">
      <text>
        <r>
          <rPr>
            <sz val="11"/>
            <color theme="1"/>
            <rFont val="Calibri"/>
            <scheme val="minor"/>
          </rPr>
          <t>Dias de Quiebre 3</t>
        </r>
      </text>
    </comment>
    <comment ref="V140" authorId="0" shapeId="0" xr:uid="{00000000-0006-0000-0000-000073000000}">
      <text>
        <r>
          <rPr>
            <sz val="11"/>
            <color theme="1"/>
            <rFont val="Calibri"/>
            <scheme val="minor"/>
          </rPr>
          <t>Dias de Quiebre 8</t>
        </r>
      </text>
    </comment>
    <comment ref="AB140" authorId="0" shapeId="0" xr:uid="{00000000-0006-0000-0000-000074000000}">
      <text>
        <r>
          <rPr>
            <sz val="11"/>
            <color theme="1"/>
            <rFont val="Calibri"/>
            <scheme val="minor"/>
          </rPr>
          <t>Dias de Quiebre 4</t>
        </r>
      </text>
    </comment>
    <comment ref="V141" authorId="0" shapeId="0" xr:uid="{00000000-0006-0000-0000-000075000000}">
      <text>
        <r>
          <rPr>
            <sz val="11"/>
            <color theme="1"/>
            <rFont val="Calibri"/>
            <scheme val="minor"/>
          </rPr>
          <t>Dias de Quiebre 8</t>
        </r>
      </text>
    </comment>
    <comment ref="AB141" authorId="0" shapeId="0" xr:uid="{00000000-0006-0000-0000-000076000000}">
      <text>
        <r>
          <rPr>
            <sz val="11"/>
            <color theme="1"/>
            <rFont val="Calibri"/>
            <scheme val="minor"/>
          </rPr>
          <t>Dias de Quiebre 18</t>
        </r>
      </text>
    </comment>
    <comment ref="V142" authorId="0" shapeId="0" xr:uid="{00000000-0006-0000-0000-000077000000}">
      <text>
        <r>
          <rPr>
            <sz val="11"/>
            <color theme="1"/>
            <rFont val="Calibri"/>
            <scheme val="minor"/>
          </rPr>
          <t>Dias de Quiebre 8</t>
        </r>
      </text>
    </comment>
    <comment ref="X142" authorId="0" shapeId="0" xr:uid="{00000000-0006-0000-0000-000078000000}">
      <text>
        <r>
          <rPr>
            <sz val="11"/>
            <color theme="1"/>
            <rFont val="Calibri"/>
            <scheme val="minor"/>
          </rPr>
          <t>Dias de Quiebre 6</t>
        </r>
      </text>
    </comment>
    <comment ref="V143" authorId="0" shapeId="0" xr:uid="{00000000-0006-0000-0000-000079000000}">
      <text>
        <r>
          <rPr>
            <sz val="11"/>
            <color theme="1"/>
            <rFont val="Calibri"/>
            <scheme val="minor"/>
          </rPr>
          <t>Dias de Quiebre 8</t>
        </r>
      </text>
    </comment>
    <comment ref="AA143" authorId="0" shapeId="0" xr:uid="{00000000-0006-0000-0000-00007A000000}">
      <text>
        <r>
          <rPr>
            <sz val="11"/>
            <color theme="1"/>
            <rFont val="Calibri"/>
            <scheme val="minor"/>
          </rPr>
          <t>Dias de Quiebre 26</t>
        </r>
      </text>
    </comment>
    <comment ref="X144" authorId="0" shapeId="0" xr:uid="{00000000-0006-0000-0000-00007B000000}">
      <text>
        <r>
          <rPr>
            <sz val="11"/>
            <color theme="1"/>
            <rFont val="Calibri"/>
            <scheme val="minor"/>
          </rPr>
          <t>Dias de Quiebre 9</t>
        </r>
      </text>
    </comment>
    <comment ref="AB144" authorId="0" shapeId="0" xr:uid="{00000000-0006-0000-0000-00007C000000}">
      <text>
        <r>
          <rPr>
            <sz val="11"/>
            <color theme="1"/>
            <rFont val="Calibri"/>
            <scheme val="minor"/>
          </rPr>
          <t>Dias de Quiebre 5</t>
        </r>
      </text>
    </comment>
    <comment ref="X145" authorId="0" shapeId="0" xr:uid="{00000000-0006-0000-0000-00007D000000}">
      <text>
        <r>
          <rPr>
            <sz val="11"/>
            <color theme="1"/>
            <rFont val="Calibri"/>
            <scheme val="minor"/>
          </rPr>
          <t>Dias de Quiebre 9</t>
        </r>
      </text>
    </comment>
    <comment ref="AB145" authorId="0" shapeId="0" xr:uid="{00000000-0006-0000-0000-00007E000000}">
      <text>
        <r>
          <rPr>
            <sz val="11"/>
            <color theme="1"/>
            <rFont val="Calibri"/>
            <scheme val="minor"/>
          </rPr>
          <t>Dias de Quiebre 10</t>
        </r>
      </text>
    </comment>
    <comment ref="X146" authorId="0" shapeId="0" xr:uid="{00000000-0006-0000-0000-00007F000000}">
      <text>
        <r>
          <rPr>
            <sz val="11"/>
            <color theme="1"/>
            <rFont val="Calibri"/>
            <scheme val="minor"/>
          </rPr>
          <t>Dias de Quiebre 9</t>
        </r>
      </text>
    </comment>
    <comment ref="AB146" authorId="0" shapeId="0" xr:uid="{00000000-0006-0000-0000-000080000000}">
      <text>
        <r>
          <rPr>
            <sz val="11"/>
            <color theme="1"/>
            <rFont val="Calibri"/>
            <scheme val="minor"/>
          </rPr>
          <t>Dias de Quiebre 2</t>
        </r>
      </text>
    </comment>
    <comment ref="X147" authorId="0" shapeId="0" xr:uid="{00000000-0006-0000-0000-000081000000}">
      <text>
        <r>
          <rPr>
            <sz val="11"/>
            <color theme="1"/>
            <rFont val="Calibri"/>
            <scheme val="minor"/>
          </rPr>
          <t>Dias de Quiebre 9</t>
        </r>
      </text>
    </comment>
    <comment ref="Y147" authorId="0" shapeId="0" xr:uid="{00000000-0006-0000-0000-000082000000}">
      <text>
        <r>
          <rPr>
            <sz val="11"/>
            <color theme="1"/>
            <rFont val="Calibri"/>
            <scheme val="minor"/>
          </rPr>
          <t>Dias de Quiebre 15</t>
        </r>
      </text>
    </comment>
    <comment ref="Y149" authorId="0" shapeId="0" xr:uid="{00000000-0006-0000-0000-000083000000}">
      <text>
        <r>
          <rPr>
            <sz val="11"/>
            <color theme="1"/>
            <rFont val="Calibri"/>
            <scheme val="minor"/>
          </rPr>
          <t>Dias de Quiebre 29</t>
        </r>
      </text>
    </comment>
    <comment ref="AB149" authorId="0" shapeId="0" xr:uid="{00000000-0006-0000-0000-000084000000}">
      <text>
        <r>
          <rPr>
            <sz val="11"/>
            <color theme="1"/>
            <rFont val="Calibri"/>
            <scheme val="minor"/>
          </rPr>
          <t>Dias de Quiebre 2</t>
        </r>
      </text>
    </comment>
    <comment ref="Y150" authorId="0" shapeId="0" xr:uid="{00000000-0006-0000-0000-000085000000}">
      <text>
        <r>
          <rPr>
            <sz val="11"/>
            <color theme="1"/>
            <rFont val="Calibri"/>
            <scheme val="minor"/>
          </rPr>
          <t>Dias de Quiebre 29</t>
        </r>
      </text>
    </comment>
    <comment ref="AB150" authorId="0" shapeId="0" xr:uid="{00000000-0006-0000-0000-000086000000}">
      <text>
        <r>
          <rPr>
            <sz val="11"/>
            <color theme="1"/>
            <rFont val="Calibri"/>
            <scheme val="minor"/>
          </rPr>
          <t>Dias de Quiebre 5</t>
        </r>
      </text>
    </comment>
    <comment ref="AB156" authorId="0" shapeId="0" xr:uid="{00000000-0006-0000-0000-000087000000}">
      <text>
        <r>
          <rPr>
            <sz val="11"/>
            <color theme="1"/>
            <rFont val="Calibri"/>
            <scheme val="minor"/>
          </rPr>
          <t>Dias de Quiebre 21</t>
        </r>
      </text>
    </comment>
    <comment ref="Q160" authorId="0" shapeId="0" xr:uid="{00000000-0006-0000-0000-000088000000}">
      <text>
        <r>
          <rPr>
            <sz val="11"/>
            <color theme="1"/>
            <rFont val="Calibri"/>
            <scheme val="minor"/>
          </rPr>
          <t>Dias de Quiebre 25</t>
        </r>
      </text>
    </comment>
    <comment ref="T161" authorId="0" shapeId="0" xr:uid="{00000000-0006-0000-0000-000089000000}">
      <text>
        <r>
          <rPr>
            <sz val="11"/>
            <color theme="1"/>
            <rFont val="Calibri"/>
            <scheme val="minor"/>
          </rPr>
          <t>Dias de Quiebre 13</t>
        </r>
      </text>
    </comment>
    <comment ref="U168" authorId="0" shapeId="0" xr:uid="{00000000-0006-0000-0000-00008A000000}">
      <text>
        <r>
          <rPr>
            <sz val="11"/>
            <color theme="1"/>
            <rFont val="Calibri"/>
            <scheme val="minor"/>
          </rPr>
          <t>Dias de Quiebre 1</t>
        </r>
      </text>
    </comment>
    <comment ref="X195" authorId="0" shapeId="0" xr:uid="{00000000-0006-0000-0000-00008B000000}">
      <text>
        <r>
          <rPr>
            <sz val="11"/>
            <color theme="1"/>
            <rFont val="Calibri"/>
            <scheme val="minor"/>
          </rPr>
          <t>Dias de Quiebre 9</t>
        </r>
      </text>
    </comment>
    <comment ref="Y195" authorId="0" shapeId="0" xr:uid="{00000000-0006-0000-0000-00008C000000}">
      <text>
        <r>
          <rPr>
            <sz val="11"/>
            <color theme="1"/>
            <rFont val="Calibri"/>
            <scheme val="minor"/>
          </rPr>
          <t>Dias de Quiebre 29</t>
        </r>
      </text>
    </comment>
    <comment ref="AB196" authorId="0" shapeId="0" xr:uid="{00000000-0006-0000-0000-00008D000000}">
      <text>
        <r>
          <rPr>
            <sz val="11"/>
            <color theme="1"/>
            <rFont val="Calibri"/>
            <scheme val="minor"/>
          </rPr>
          <t>Dias de Quiebre 8</t>
        </r>
      </text>
    </comment>
    <comment ref="Q199" authorId="0" shapeId="0" xr:uid="{00000000-0006-0000-0000-00008E000000}">
      <text>
        <r>
          <rPr>
            <sz val="11"/>
            <color theme="1"/>
            <rFont val="Calibri"/>
            <scheme val="minor"/>
          </rPr>
          <t>Dias de Quiebre 19</t>
        </r>
      </text>
    </comment>
    <comment ref="R199" authorId="0" shapeId="0" xr:uid="{00000000-0006-0000-0000-00008F000000}">
      <text>
        <r>
          <rPr>
            <sz val="11"/>
            <color theme="1"/>
            <rFont val="Calibri"/>
            <scheme val="minor"/>
          </rPr>
          <t>Dias de Quiebre 2</t>
        </r>
      </text>
    </comment>
    <comment ref="V199" authorId="0" shapeId="0" xr:uid="{00000000-0006-0000-0000-000090000000}">
      <text>
        <r>
          <rPr>
            <sz val="11"/>
            <color theme="1"/>
            <rFont val="Calibri"/>
            <scheme val="minor"/>
          </rPr>
          <t>Dias de Quiebre 5</t>
        </r>
      </text>
    </comment>
    <comment ref="AB200" authorId="0" shapeId="0" xr:uid="{00000000-0006-0000-0000-000091000000}">
      <text>
        <r>
          <rPr>
            <sz val="11"/>
            <color theme="1"/>
            <rFont val="Calibri"/>
            <scheme val="minor"/>
          </rPr>
          <t>Dias de Quiebre 8</t>
        </r>
      </text>
    </comment>
    <comment ref="AB201" authorId="0" shapeId="0" xr:uid="{00000000-0006-0000-0000-000092000000}">
      <text>
        <r>
          <rPr>
            <sz val="11"/>
            <color theme="1"/>
            <rFont val="Calibri"/>
            <scheme val="minor"/>
          </rPr>
          <t>Dias de Quiebre 4</t>
        </r>
      </text>
    </comment>
    <comment ref="R202" authorId="0" shapeId="0" xr:uid="{00000000-0006-0000-0000-000093000000}">
      <text>
        <r>
          <rPr>
            <sz val="11"/>
            <color theme="1"/>
            <rFont val="Calibri"/>
            <scheme val="minor"/>
          </rPr>
          <t>Dias de Quiebre 2</t>
        </r>
      </text>
    </comment>
    <comment ref="S202" authorId="0" shapeId="0" xr:uid="{00000000-0006-0000-0000-000094000000}">
      <text>
        <r>
          <rPr>
            <sz val="11"/>
            <color theme="1"/>
            <rFont val="Calibri"/>
            <scheme val="minor"/>
          </rPr>
          <t>Dias de Quiebre 11</t>
        </r>
      </text>
    </comment>
    <comment ref="U202" authorId="0" shapeId="0" xr:uid="{00000000-0006-0000-0000-000095000000}">
      <text>
        <r>
          <rPr>
            <sz val="11"/>
            <color theme="1"/>
            <rFont val="Calibri"/>
            <scheme val="minor"/>
          </rPr>
          <t>Dias de Quiebre 3</t>
        </r>
      </text>
    </comment>
    <comment ref="W204" authorId="0" shapeId="0" xr:uid="{00000000-0006-0000-0000-000096000000}">
      <text>
        <r>
          <rPr>
            <sz val="11"/>
            <color theme="1"/>
            <rFont val="Calibri"/>
            <scheme val="minor"/>
          </rPr>
          <t>Dias de Quiebre 16</t>
        </r>
      </text>
    </comment>
    <comment ref="R205" authorId="0" shapeId="0" xr:uid="{00000000-0006-0000-0000-000097000000}">
      <text>
        <r>
          <rPr>
            <sz val="11"/>
            <color theme="1"/>
            <rFont val="Calibri"/>
            <scheme val="minor"/>
          </rPr>
          <t>Dias de Quiebre 2</t>
        </r>
      </text>
    </comment>
    <comment ref="Y205" authorId="0" shapeId="0" xr:uid="{00000000-0006-0000-0000-000098000000}">
      <text>
        <r>
          <rPr>
            <sz val="11"/>
            <color theme="1"/>
            <rFont val="Calibri"/>
            <scheme val="minor"/>
          </rPr>
          <t>Dias de Quiebre 23</t>
        </r>
      </text>
    </comment>
    <comment ref="U206" authorId="0" shapeId="0" xr:uid="{00000000-0006-0000-0000-000099000000}">
      <text>
        <r>
          <rPr>
            <sz val="11"/>
            <color theme="1"/>
            <rFont val="Calibri"/>
            <scheme val="minor"/>
          </rPr>
          <t>Dias de Quiebre 29</t>
        </r>
      </text>
    </comment>
    <comment ref="AB207" authorId="0" shapeId="0" xr:uid="{00000000-0006-0000-0000-00009A000000}">
      <text>
        <r>
          <rPr>
            <sz val="11"/>
            <color theme="1"/>
            <rFont val="Calibri"/>
            <scheme val="minor"/>
          </rPr>
          <t>Dias de Quiebre 5</t>
        </r>
      </text>
    </comment>
    <comment ref="W212" authorId="0" shapeId="0" xr:uid="{00000000-0006-0000-0000-00009B000000}">
      <text>
        <r>
          <rPr>
            <sz val="11"/>
            <color theme="1"/>
            <rFont val="Calibri"/>
            <scheme val="minor"/>
          </rPr>
          <t>Dias de Quiebre 25</t>
        </r>
      </text>
    </comment>
    <comment ref="AB213" authorId="0" shapeId="0" xr:uid="{00000000-0006-0000-0000-00009C000000}">
      <text>
        <r>
          <rPr>
            <sz val="11"/>
            <color theme="1"/>
            <rFont val="Calibri"/>
            <scheme val="minor"/>
          </rPr>
          <t>Dias de Quiebre 9</t>
        </r>
      </text>
    </comment>
    <comment ref="AB214" authorId="0" shapeId="0" xr:uid="{00000000-0006-0000-0000-00009D000000}">
      <text>
        <r>
          <rPr>
            <sz val="11"/>
            <color theme="1"/>
            <rFont val="Calibri"/>
            <scheme val="minor"/>
          </rPr>
          <t>Dias de Quiebre 9</t>
        </r>
      </text>
    </comment>
    <comment ref="Q215" authorId="0" shapeId="0" xr:uid="{00000000-0006-0000-0000-00009E000000}">
      <text>
        <r>
          <rPr>
            <sz val="11"/>
            <color theme="1"/>
            <rFont val="Calibri"/>
            <scheme val="minor"/>
          </rPr>
          <t>Dias de Quiebre 14</t>
        </r>
      </text>
    </comment>
    <comment ref="R215" authorId="0" shapeId="0" xr:uid="{00000000-0006-0000-0000-00009F000000}">
      <text>
        <r>
          <rPr>
            <sz val="11"/>
            <color theme="1"/>
            <rFont val="Calibri"/>
            <scheme val="minor"/>
          </rPr>
          <t>Dias de Quiebre 2</t>
        </r>
      </text>
    </comment>
    <comment ref="X215" authorId="0" shapeId="0" xr:uid="{00000000-0006-0000-0000-0000A0000000}">
      <text>
        <r>
          <rPr>
            <sz val="11"/>
            <color theme="1"/>
            <rFont val="Calibri"/>
            <scheme val="minor"/>
          </rPr>
          <t>Dias de Quiebre 1</t>
        </r>
      </text>
    </comment>
    <comment ref="Y215" authorId="0" shapeId="0" xr:uid="{00000000-0006-0000-0000-0000A1000000}">
      <text>
        <r>
          <rPr>
            <sz val="11"/>
            <color theme="1"/>
            <rFont val="Calibri"/>
            <scheme val="minor"/>
          </rPr>
          <t>Dias de Quiebre 13</t>
        </r>
      </text>
    </comment>
    <comment ref="AB215" authorId="0" shapeId="0" xr:uid="{00000000-0006-0000-0000-0000A2000000}">
      <text>
        <r>
          <rPr>
            <sz val="11"/>
            <color theme="1"/>
            <rFont val="Calibri"/>
            <scheme val="minor"/>
          </rPr>
          <t>Dias de Quiebre 26</t>
        </r>
      </text>
    </comment>
    <comment ref="Y216" authorId="0" shapeId="0" xr:uid="{00000000-0006-0000-0000-0000A3000000}">
      <text>
        <r>
          <rPr>
            <sz val="11"/>
            <color theme="1"/>
            <rFont val="Calibri"/>
            <scheme val="minor"/>
          </rPr>
          <t>Dias de Quiebre 14</t>
        </r>
      </text>
    </comment>
    <comment ref="AA216" authorId="0" shapeId="0" xr:uid="{00000000-0006-0000-0000-0000A4000000}">
      <text>
        <r>
          <rPr>
            <sz val="11"/>
            <color theme="1"/>
            <rFont val="Calibri"/>
            <scheme val="minor"/>
          </rPr>
          <t>Dias de Quiebre 22</t>
        </r>
      </text>
    </comment>
    <comment ref="T219" authorId="0" shapeId="0" xr:uid="{00000000-0006-0000-0000-0000A5000000}">
      <text>
        <r>
          <rPr>
            <sz val="11"/>
            <color theme="1"/>
            <rFont val="Calibri"/>
            <scheme val="minor"/>
          </rPr>
          <t>Dias de Quiebre 4</t>
        </r>
      </text>
    </comment>
    <comment ref="V219" authorId="0" shapeId="0" xr:uid="{00000000-0006-0000-0000-0000A6000000}">
      <text>
        <r>
          <rPr>
            <sz val="11"/>
            <color theme="1"/>
            <rFont val="Calibri"/>
            <scheme val="minor"/>
          </rPr>
          <t>Dias de Quiebre 8</t>
        </r>
      </text>
    </comment>
    <comment ref="U220" authorId="0" shapeId="0" xr:uid="{00000000-0006-0000-0000-0000A7000000}">
      <text>
        <r>
          <rPr>
            <sz val="11"/>
            <color theme="1"/>
            <rFont val="Calibri"/>
            <scheme val="minor"/>
          </rPr>
          <t>Dias de Quiebre 28</t>
        </r>
      </text>
    </comment>
    <comment ref="V220" authorId="0" shapeId="0" xr:uid="{00000000-0006-0000-0000-0000A8000000}">
      <text>
        <r>
          <rPr>
            <sz val="11"/>
            <color theme="1"/>
            <rFont val="Calibri"/>
            <scheme val="minor"/>
          </rPr>
          <t>Dias de Quiebre 8</t>
        </r>
      </text>
    </comment>
    <comment ref="AB224" authorId="0" shapeId="0" xr:uid="{00000000-0006-0000-0000-0000A9000000}">
      <text>
        <r>
          <rPr>
            <sz val="11"/>
            <color theme="1"/>
            <rFont val="Calibri"/>
            <scheme val="minor"/>
          </rPr>
          <t>Dias de Quiebre 15</t>
        </r>
      </text>
    </comment>
    <comment ref="R225" authorId="0" shapeId="0" xr:uid="{00000000-0006-0000-0000-0000AA000000}">
      <text>
        <r>
          <rPr>
            <sz val="11"/>
            <color theme="1"/>
            <rFont val="Calibri"/>
            <scheme val="minor"/>
          </rPr>
          <t>Dias de Quiebre 2</t>
        </r>
      </text>
    </comment>
    <comment ref="AB225" authorId="0" shapeId="0" xr:uid="{00000000-0006-0000-0000-0000AB000000}">
      <text>
        <r>
          <rPr>
            <sz val="11"/>
            <color theme="1"/>
            <rFont val="Calibri"/>
            <scheme val="minor"/>
          </rPr>
          <t>Dias de Quiebre 25</t>
        </r>
      </text>
    </comment>
    <comment ref="T226" authorId="0" shapeId="0" xr:uid="{00000000-0006-0000-0000-0000AC000000}">
      <text>
        <r>
          <rPr>
            <sz val="11"/>
            <color theme="1"/>
            <rFont val="Calibri"/>
            <scheme val="minor"/>
          </rPr>
          <t>Dias de Quiebre 27</t>
        </r>
      </text>
    </comment>
    <comment ref="U226" authorId="0" shapeId="0" xr:uid="{00000000-0006-0000-0000-0000AD000000}">
      <text>
        <r>
          <rPr>
            <sz val="11"/>
            <color theme="1"/>
            <rFont val="Calibri"/>
            <scheme val="minor"/>
          </rPr>
          <t>Dias de Quiebre 3</t>
        </r>
      </text>
    </comment>
    <comment ref="AB227" authorId="0" shapeId="0" xr:uid="{00000000-0006-0000-0000-0000AE000000}">
      <text>
        <r>
          <rPr>
            <sz val="11"/>
            <color theme="1"/>
            <rFont val="Calibri"/>
            <scheme val="minor"/>
          </rPr>
          <t>Dias de Quiebre 10</t>
        </r>
      </text>
    </comment>
    <comment ref="U231" authorId="0" shapeId="0" xr:uid="{00000000-0006-0000-0000-0000AF000000}">
      <text>
        <r>
          <rPr>
            <sz val="11"/>
            <color theme="1"/>
            <rFont val="Calibri"/>
            <scheme val="minor"/>
          </rPr>
          <t>Dias de Quiebre 3</t>
        </r>
      </text>
    </comment>
    <comment ref="AB231" authorId="0" shapeId="0" xr:uid="{00000000-0006-0000-0000-0000B0000000}">
      <text>
        <r>
          <rPr>
            <sz val="11"/>
            <color theme="1"/>
            <rFont val="Calibri"/>
            <scheme val="minor"/>
          </rPr>
          <t>Dias de Quiebre 18</t>
        </r>
      </text>
    </comment>
    <comment ref="U232" authorId="0" shapeId="0" xr:uid="{00000000-0006-0000-0000-0000B1000000}">
      <text>
        <r>
          <rPr>
            <sz val="11"/>
            <color theme="1"/>
            <rFont val="Calibri"/>
            <scheme val="minor"/>
          </rPr>
          <t>Dias de Quiebre 3</t>
        </r>
      </text>
    </comment>
    <comment ref="W232" authorId="0" shapeId="0" xr:uid="{00000000-0006-0000-0000-0000B2000000}">
      <text>
        <r>
          <rPr>
            <sz val="11"/>
            <color theme="1"/>
            <rFont val="Calibri"/>
            <scheme val="minor"/>
          </rPr>
          <t>Dias de Quiebre 16</t>
        </r>
      </text>
    </comment>
    <comment ref="Y232" authorId="0" shapeId="0" xr:uid="{00000000-0006-0000-0000-0000B3000000}">
      <text>
        <r>
          <rPr>
            <sz val="11"/>
            <color theme="1"/>
            <rFont val="Calibri"/>
            <scheme val="minor"/>
          </rPr>
          <t>Dias de Quiebre 29</t>
        </r>
      </text>
    </comment>
    <comment ref="Z232" authorId="0" shapeId="0" xr:uid="{00000000-0006-0000-0000-0000B4000000}">
      <text>
        <r>
          <rPr>
            <sz val="11"/>
            <color theme="1"/>
            <rFont val="Calibri"/>
            <scheme val="minor"/>
          </rPr>
          <t>Dias de Quiebre 18</t>
        </r>
      </text>
    </comment>
    <comment ref="V233" authorId="0" shapeId="0" xr:uid="{00000000-0006-0000-0000-0000B5000000}">
      <text>
        <r>
          <rPr>
            <sz val="11"/>
            <color theme="1"/>
            <rFont val="Calibri"/>
            <scheme val="minor"/>
          </rPr>
          <t>Dias de Quiebre 8</t>
        </r>
      </text>
    </comment>
    <comment ref="Y233" authorId="0" shapeId="0" xr:uid="{00000000-0006-0000-0000-0000B6000000}">
      <text>
        <r>
          <rPr>
            <sz val="11"/>
            <color theme="1"/>
            <rFont val="Calibri"/>
            <scheme val="minor"/>
          </rPr>
          <t>Dias de Quiebre 8</t>
        </r>
      </text>
    </comment>
    <comment ref="X234" authorId="0" shapeId="0" xr:uid="{00000000-0006-0000-0000-0000B7000000}">
      <text>
        <r>
          <rPr>
            <sz val="11"/>
            <color theme="1"/>
            <rFont val="Calibri"/>
            <scheme val="minor"/>
          </rPr>
          <t>Dias de Quiebre 9</t>
        </r>
      </text>
    </comment>
    <comment ref="Z234" authorId="0" shapeId="0" xr:uid="{00000000-0006-0000-0000-0000B8000000}">
      <text>
        <r>
          <rPr>
            <sz val="11"/>
            <color theme="1"/>
            <rFont val="Calibri"/>
            <scheme val="minor"/>
          </rPr>
          <t>Dias de Quiebre 14</t>
        </r>
      </text>
    </comment>
    <comment ref="Y235" authorId="0" shapeId="0" xr:uid="{00000000-0006-0000-0000-0000B9000000}">
      <text>
        <r>
          <rPr>
            <sz val="11"/>
            <color theme="1"/>
            <rFont val="Calibri"/>
            <scheme val="minor"/>
          </rPr>
          <t>Dias de Quiebre 29</t>
        </r>
      </text>
    </comment>
    <comment ref="AB235" authorId="0" shapeId="0" xr:uid="{00000000-0006-0000-0000-0000BA000000}">
      <text>
        <r>
          <rPr>
            <sz val="11"/>
            <color theme="1"/>
            <rFont val="Calibri"/>
            <scheme val="minor"/>
          </rPr>
          <t>Dias de Quiebre 10</t>
        </r>
      </text>
    </comment>
    <comment ref="AB251" authorId="0" shapeId="0" xr:uid="{00000000-0006-0000-0000-0000BB000000}">
      <text>
        <r>
          <rPr>
            <sz val="11"/>
            <color theme="1"/>
            <rFont val="Calibri"/>
            <scheme val="minor"/>
          </rPr>
          <t>Dias de Quiebre 11</t>
        </r>
      </text>
    </comment>
    <comment ref="Z255" authorId="0" shapeId="0" xr:uid="{00000000-0006-0000-0000-0000BC000000}">
      <text>
        <r>
          <rPr>
            <sz val="11"/>
            <color theme="1"/>
            <rFont val="Calibri"/>
            <scheme val="minor"/>
          </rPr>
          <t>Dias de Quiebre 3</t>
        </r>
      </text>
    </comment>
    <comment ref="W259" authorId="0" shapeId="0" xr:uid="{00000000-0006-0000-0000-0000BD000000}">
      <text>
        <r>
          <rPr>
            <sz val="11"/>
            <color theme="1"/>
            <rFont val="Calibri"/>
            <scheme val="minor"/>
          </rPr>
          <t>Dias de Quiebre 25</t>
        </r>
      </text>
    </comment>
    <comment ref="Z259" authorId="0" shapeId="0" xr:uid="{00000000-0006-0000-0000-0000BE000000}">
      <text>
        <r>
          <rPr>
            <sz val="11"/>
            <color theme="1"/>
            <rFont val="Calibri"/>
            <scheme val="minor"/>
          </rPr>
          <t>Dias de Quiebre 5</t>
        </r>
      </text>
    </comment>
    <comment ref="U261" authorId="0" shapeId="0" xr:uid="{00000000-0006-0000-0000-0000BF000000}">
      <text>
        <r>
          <rPr>
            <sz val="11"/>
            <color theme="1"/>
            <rFont val="Calibri"/>
            <scheme val="minor"/>
          </rPr>
          <t>Dias de Quiebre 8</t>
        </r>
      </text>
    </comment>
    <comment ref="Z261" authorId="0" shapeId="0" xr:uid="{00000000-0006-0000-0000-0000C0000000}">
      <text>
        <r>
          <rPr>
            <sz val="11"/>
            <color theme="1"/>
            <rFont val="Calibri"/>
            <scheme val="minor"/>
          </rPr>
          <t>Dias de Quiebre 25</t>
        </r>
      </text>
    </comment>
    <comment ref="U262" authorId="0" shapeId="0" xr:uid="{00000000-0006-0000-0000-0000C1000000}">
      <text>
        <r>
          <rPr>
            <sz val="11"/>
            <color theme="1"/>
            <rFont val="Calibri"/>
            <scheme val="minor"/>
          </rPr>
          <t>Dias de Quiebre 8</t>
        </r>
      </text>
    </comment>
    <comment ref="R263" authorId="0" shapeId="0" xr:uid="{00000000-0006-0000-0000-0000C2000000}">
      <text>
        <r>
          <rPr>
            <sz val="11"/>
            <color theme="1"/>
            <rFont val="Calibri"/>
            <scheme val="minor"/>
          </rPr>
          <t>Dias de Quiebre 2</t>
        </r>
      </text>
    </comment>
    <comment ref="R266" authorId="0" shapeId="0" xr:uid="{00000000-0006-0000-0000-0000C3000000}">
      <text>
        <r>
          <rPr>
            <sz val="11"/>
            <color theme="1"/>
            <rFont val="Calibri"/>
            <scheme val="minor"/>
          </rPr>
          <t>Dias de Quiebre 23</t>
        </r>
      </text>
    </comment>
    <comment ref="U266" authorId="0" shapeId="0" xr:uid="{00000000-0006-0000-0000-0000C4000000}">
      <text>
        <r>
          <rPr>
            <sz val="11"/>
            <color theme="1"/>
            <rFont val="Calibri"/>
            <scheme val="minor"/>
          </rPr>
          <t>Dias de Quiebre 3</t>
        </r>
      </text>
    </comment>
    <comment ref="V275" authorId="0" shapeId="0" xr:uid="{00000000-0006-0000-0000-0000C5000000}">
      <text>
        <r>
          <rPr>
            <sz val="11"/>
            <color theme="1"/>
            <rFont val="Calibri"/>
            <scheme val="minor"/>
          </rPr>
          <t>Dias de Quiebre 8</t>
        </r>
      </text>
    </comment>
    <comment ref="V276" authorId="0" shapeId="0" xr:uid="{00000000-0006-0000-0000-0000C6000000}">
      <text>
        <r>
          <rPr>
            <sz val="11"/>
            <color theme="1"/>
            <rFont val="Calibri"/>
            <scheme val="minor"/>
          </rPr>
          <t>Dias de Quiebre 8</t>
        </r>
      </text>
    </comment>
    <comment ref="V277" authorId="0" shapeId="0" xr:uid="{00000000-0006-0000-0000-0000C7000000}">
      <text>
        <r>
          <rPr>
            <sz val="11"/>
            <color theme="1"/>
            <rFont val="Calibri"/>
            <scheme val="minor"/>
          </rPr>
          <t>Dias de Quiebre 8</t>
        </r>
      </text>
    </comment>
    <comment ref="Y278" authorId="0" shapeId="0" xr:uid="{00000000-0006-0000-0000-0000C8000000}">
      <text>
        <r>
          <rPr>
            <sz val="11"/>
            <color theme="1"/>
            <rFont val="Calibri"/>
            <scheme val="minor"/>
          </rPr>
          <t>Dias de Quiebre 29</t>
        </r>
      </text>
    </comment>
    <comment ref="U291" authorId="0" shapeId="0" xr:uid="{00000000-0006-0000-0000-0000C9000000}">
      <text>
        <r>
          <rPr>
            <sz val="11"/>
            <color theme="1"/>
            <rFont val="Calibri"/>
            <scheme val="minor"/>
          </rPr>
          <t>Dias de Quiebre 20</t>
        </r>
      </text>
    </comment>
    <comment ref="V291" authorId="0" shapeId="0" xr:uid="{00000000-0006-0000-0000-0000CA000000}">
      <text>
        <r>
          <rPr>
            <sz val="11"/>
            <color theme="1"/>
            <rFont val="Calibri"/>
            <scheme val="minor"/>
          </rPr>
          <t>Dias de Quiebre 30</t>
        </r>
      </text>
    </comment>
    <comment ref="T292" authorId="0" shapeId="0" xr:uid="{00000000-0006-0000-0000-0000CB000000}">
      <text>
        <r>
          <rPr>
            <sz val="11"/>
            <color theme="1"/>
            <rFont val="Calibri"/>
            <scheme val="minor"/>
          </rPr>
          <t>Dias de Quiebre 17</t>
        </r>
      </text>
    </comment>
    <comment ref="U292" authorId="0" shapeId="0" xr:uid="{00000000-0006-0000-0000-0000CC000000}">
      <text>
        <r>
          <rPr>
            <sz val="11"/>
            <color theme="1"/>
            <rFont val="Calibri"/>
            <scheme val="minor"/>
          </rPr>
          <t>Dias de Quiebre 3</t>
        </r>
      </text>
    </comment>
    <comment ref="AA292" authorId="0" shapeId="0" xr:uid="{00000000-0006-0000-0000-0000CD000000}">
      <text>
        <r>
          <rPr>
            <sz val="11"/>
            <color theme="1"/>
            <rFont val="Calibri"/>
            <scheme val="minor"/>
          </rPr>
          <t>Dias de Quiebre 21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SpreadsheetLight</author>
  </authors>
  <commentList>
    <comment ref="F4" authorId="0" shapeId="0" xr:uid="{00000000-0006-0000-0100-000001000000}">
      <text>
        <r>
          <rPr>
            <sz val="11"/>
            <color theme="1"/>
            <rFont val="Calibri"/>
            <scheme val="minor"/>
          </rPr>
          <t>Dias que faltan para llegar la Impo</t>
        </r>
      </text>
    </comment>
    <comment ref="G4" authorId="0" shapeId="0" xr:uid="{00000000-0006-0000-0100-000002000000}">
      <text>
        <r>
          <rPr>
            <sz val="11"/>
            <color theme="1"/>
            <rFont val="Calibri"/>
            <scheme val="minor"/>
          </rPr>
          <t>Stk.Act-(Dias Ant*Rot.DesE*Estac.Ant)+Cant.Ant.Impo-(Dias Impo Act.*Rot.DesE*Estac.Periodo)</t>
        </r>
      </text>
    </comment>
    <comment ref="H4" authorId="0" shapeId="0" xr:uid="{00000000-0006-0000-0100-000003000000}">
      <text>
        <r>
          <rPr>
            <sz val="11"/>
            <color theme="1"/>
            <rFont val="Calibri"/>
            <scheme val="minor"/>
          </rPr>
          <t>Quiebre/(Rotacion DesEstac.*Estac.Periodo)/Dias Protecc. Secc</t>
        </r>
      </text>
    </comment>
    <comment ref="I4" authorId="0" shapeId="0" xr:uid="{00000000-0006-0000-0100-000004000000}">
      <text>
        <r>
          <rPr>
            <sz val="11"/>
            <color theme="1"/>
            <rFont val="Calibri"/>
            <scheme val="minor"/>
          </rPr>
          <t>Cantidad Pedida en la Importacion</t>
        </r>
      </text>
    </comment>
    <comment ref="J4" authorId="0" shapeId="0" xr:uid="{00000000-0006-0000-0100-000005000000}">
      <text>
        <r>
          <rPr>
            <sz val="11"/>
            <color theme="1"/>
            <rFont val="Calibri"/>
            <scheme val="minor"/>
          </rPr>
          <t>Si Quiebre &gt; 0, Quiebre + Pedido, Pedido</t>
        </r>
      </text>
    </comment>
    <comment ref="K4" authorId="0" shapeId="0" xr:uid="{00000000-0006-0000-0100-000006000000}">
      <text>
        <r>
          <rPr>
            <sz val="11"/>
            <color theme="1"/>
            <rFont val="Calibri"/>
            <scheme val="minor"/>
          </rPr>
          <t>Costo Impo.</t>
        </r>
      </text>
    </comment>
    <comment ref="O4" authorId="0" shapeId="0" xr:uid="{00000000-0006-0000-0100-000007000000}">
      <text>
        <r>
          <rPr>
            <sz val="11"/>
            <color theme="1"/>
            <rFont val="Calibri"/>
            <scheme val="minor"/>
          </rPr>
          <t>Dias que faltan para llegar la Impo</t>
        </r>
      </text>
    </comment>
    <comment ref="P4" authorId="0" shapeId="0" xr:uid="{00000000-0006-0000-0100-000008000000}">
      <text>
        <r>
          <rPr>
            <sz val="11"/>
            <color theme="1"/>
            <rFont val="Calibri"/>
            <scheme val="minor"/>
          </rPr>
          <t>Stk.Act-(Dias Ant*Rot.DesE*Estac.Ant)+Cant.Ant.Impo-(Dias Impo Act.*Rot.DesE*Estac.Periodo)</t>
        </r>
      </text>
    </comment>
    <comment ref="Q4" authorId="0" shapeId="0" xr:uid="{00000000-0006-0000-0100-000009000000}">
      <text>
        <r>
          <rPr>
            <sz val="11"/>
            <color theme="1"/>
            <rFont val="Calibri"/>
            <scheme val="minor"/>
          </rPr>
          <t>Quiebre/(Rotacion DesEstac.*Estac.Periodo)/Dias Protecc. Secc</t>
        </r>
      </text>
    </comment>
    <comment ref="R4" authorId="0" shapeId="0" xr:uid="{00000000-0006-0000-0100-00000A000000}">
      <text>
        <r>
          <rPr>
            <sz val="11"/>
            <color theme="1"/>
            <rFont val="Calibri"/>
            <scheme val="minor"/>
          </rPr>
          <t>Cantidad Pedida en la Importacion</t>
        </r>
      </text>
    </comment>
    <comment ref="S4" authorId="0" shapeId="0" xr:uid="{00000000-0006-0000-0100-00000B000000}">
      <text>
        <r>
          <rPr>
            <sz val="11"/>
            <color theme="1"/>
            <rFont val="Calibri"/>
            <scheme val="minor"/>
          </rPr>
          <t>Si Quiebre &gt; 0, Quiebre + Pedido, Pedido</t>
        </r>
      </text>
    </comment>
    <comment ref="T4" authorId="0" shapeId="0" xr:uid="{00000000-0006-0000-0100-00000C000000}">
      <text>
        <r>
          <rPr>
            <sz val="11"/>
            <color theme="1"/>
            <rFont val="Calibri"/>
            <scheme val="minor"/>
          </rPr>
          <t>Costo Impo.</t>
        </r>
      </text>
    </comment>
    <comment ref="Y4" authorId="0" shapeId="0" xr:uid="{00000000-0006-0000-0100-00000D000000}">
      <text>
        <r>
          <rPr>
            <sz val="11"/>
            <color theme="1"/>
            <rFont val="Calibri"/>
            <scheme val="minor"/>
          </rPr>
          <t>Stk.Act-Sum(Dias Ant*Rot.DesE*Estac.Ant)+Cant.Ant.Impo-(Dias Impo Act.*Rot.DesE*Estac.Periodo)</t>
        </r>
      </text>
    </comment>
    <comment ref="Z4" authorId="0" shapeId="0" xr:uid="{00000000-0006-0000-0100-00000E000000}">
      <text>
        <r>
          <rPr>
            <sz val="11"/>
            <color theme="1"/>
            <rFont val="Calibri"/>
            <scheme val="minor"/>
          </rPr>
          <t>Quiebre/(Rotacion DesEstac.*Estac.Periodo)/Dias Protecc. Secc</t>
        </r>
      </text>
    </comment>
    <comment ref="AA4" authorId="0" shapeId="0" xr:uid="{00000000-0006-0000-0100-00000F000000}">
      <text>
        <r>
          <rPr>
            <sz val="11"/>
            <color theme="1"/>
            <rFont val="Calibri"/>
            <scheme val="minor"/>
          </rPr>
          <t>Dias a Reponer*(Rotacion DesEstac.*Estac. Periodo Futuro)-Stk.Arribo Ult</t>
        </r>
      </text>
    </comment>
    <comment ref="AB4" authorId="0" shapeId="0" xr:uid="{00000000-0006-0000-0100-000010000000}">
      <text>
        <r>
          <rPr>
            <sz val="11"/>
            <color theme="1"/>
            <rFont val="Calibri"/>
            <scheme val="minor"/>
          </rPr>
          <t>Valor Manual</t>
        </r>
      </text>
    </comment>
    <comment ref="AC4" authorId="0" shapeId="0" xr:uid="{00000000-0006-0000-0100-000011000000}">
      <text>
        <r>
          <rPr>
            <sz val="11"/>
            <color theme="1"/>
            <rFont val="Calibri"/>
            <scheme val="minor"/>
          </rPr>
          <t>Si Quiebre&gt;0, Quiebre+(Si Confirmado &gt; 0, Confirmado,0),Confirmado</t>
        </r>
      </text>
    </comment>
    <comment ref="AF4" authorId="0" shapeId="0" xr:uid="{00000000-0006-0000-0100-000012000000}">
      <text>
        <r>
          <rPr>
            <sz val="11"/>
            <color theme="1"/>
            <rFont val="Calibri"/>
            <scheme val="minor"/>
          </rPr>
          <t>Stk.Acumulado-(Dias Duracion*Rot.DesEstac.*Estac.Periodo Futuro)</t>
        </r>
      </text>
    </comment>
    <comment ref="AG4" authorId="0" shapeId="0" xr:uid="{00000000-0006-0000-0100-000013000000}">
      <text>
        <r>
          <rPr>
            <sz val="11"/>
            <color theme="1"/>
            <rFont val="Calibri"/>
            <scheme val="minor"/>
          </rPr>
          <t>Stk Final/(Rotacion DesEstac.*Estac.Periodo Futuro)/Dias Protecc. Secc</t>
        </r>
      </text>
    </comment>
  </commentList>
</comments>
</file>

<file path=xl/sharedStrings.xml><?xml version="1.0" encoding="utf-8"?>
<sst xmlns="http://schemas.openxmlformats.org/spreadsheetml/2006/main" count="1964" uniqueCount="692">
  <si>
    <t>Articulo</t>
  </si>
  <si>
    <t>Descripcion</t>
  </si>
  <si>
    <t>Codigos Barras</t>
  </si>
  <si>
    <t>Vta.Ago/25</t>
  </si>
  <si>
    <t>Vta.Sep/25</t>
  </si>
  <si>
    <t>Vta.Oct/25</t>
  </si>
  <si>
    <t>Vta.Nov/25</t>
  </si>
  <si>
    <t>Vta.Dic/25</t>
  </si>
  <si>
    <t>Vta.Ene/26</t>
  </si>
  <si>
    <t>Vta.Feb/26</t>
  </si>
  <si>
    <t>Vta.Mar/26</t>
  </si>
  <si>
    <t>Vta.Abr/26</t>
  </si>
  <si>
    <t>Vta.May/26</t>
  </si>
  <si>
    <t>Vta.Jun/26</t>
  </si>
  <si>
    <t>Vta.Jul/26</t>
  </si>
  <si>
    <t>Vta.Ago/26</t>
  </si>
  <si>
    <t>Ago/25</t>
  </si>
  <si>
    <t>Sep/25</t>
  </si>
  <si>
    <t>Oct/25</t>
  </si>
  <si>
    <t>Nov/25</t>
  </si>
  <si>
    <t>Dic/25</t>
  </si>
  <si>
    <t>Ene/26</t>
  </si>
  <si>
    <t>Feb/26</t>
  </si>
  <si>
    <t>Mar/26</t>
  </si>
  <si>
    <t>Abr/26</t>
  </si>
  <si>
    <t>May/26</t>
  </si>
  <si>
    <t>Jun/26</t>
  </si>
  <si>
    <t>Jul/26</t>
  </si>
  <si>
    <t>Ago/26</t>
  </si>
  <si>
    <t>Rotacion DesEstac.</t>
  </si>
  <si>
    <t>Rot. Manual</t>
  </si>
  <si>
    <t>Estado Art.</t>
  </si>
  <si>
    <t>I01231</t>
  </si>
  <si>
    <t>PARLANTE BLUETOOTH BL14 BK 6W FONENG</t>
  </si>
  <si>
    <t>D</t>
  </si>
  <si>
    <t>I01232</t>
  </si>
  <si>
    <t>PARLANTE BARRA BL12 BT 10W FONENG</t>
  </si>
  <si>
    <t>A</t>
  </si>
  <si>
    <t>I01235</t>
  </si>
  <si>
    <t>PARLANTE BLUETOOTH FONENG BL10 LONG STANDBY RED</t>
  </si>
  <si>
    <t>I01397</t>
  </si>
  <si>
    <t>PARLANTE BT BL15 8W FULL RGB FONENG</t>
  </si>
  <si>
    <t>HX017</t>
  </si>
  <si>
    <t>BOLSAS FONENG 388X282MM</t>
  </si>
  <si>
    <t>HX018</t>
  </si>
  <si>
    <t>EXHIBIDOR FONENG W1 1.8MX0.6M METAL</t>
  </si>
  <si>
    <t>HX019</t>
  </si>
  <si>
    <t>EXHIBIDOR FONENG W2  2.2MX1MX0.3M</t>
  </si>
  <si>
    <t>HX020</t>
  </si>
  <si>
    <t>EXHIBIDOR FONENG F1  2.25MX1MX0.3M</t>
  </si>
  <si>
    <t>HX023</t>
  </si>
  <si>
    <t>EXHIBIDOR FONENG W3  1.39MX0.6MX0.21M</t>
  </si>
  <si>
    <t>HX025</t>
  </si>
  <si>
    <t>EXHIBIDOR FONENG F1B  2.25MX0.6MX0.3M</t>
  </si>
  <si>
    <t>I001397</t>
  </si>
  <si>
    <t>NO USAR</t>
  </si>
  <si>
    <t>I01216</t>
  </si>
  <si>
    <t>AURICULARES T29 BLACK HEAVY BASS FONENG</t>
  </si>
  <si>
    <t>I01217</t>
  </si>
  <si>
    <t>AURICULARES T57 BK FONENG</t>
  </si>
  <si>
    <t>I01218</t>
  </si>
  <si>
    <t>AURICULARES T42 RED METAL FONENG</t>
  </si>
  <si>
    <t>I01219</t>
  </si>
  <si>
    <t>AURICULARES TIPO-C T15 FONENG</t>
  </si>
  <si>
    <t>I01220</t>
  </si>
  <si>
    <t>AURICULARES iPHONE T28 BT FONENG</t>
  </si>
  <si>
    <t>I01233</t>
  </si>
  <si>
    <t>AURICULAR DIADEMA BLUETOOTH FONENG BL50 BLACK</t>
  </si>
  <si>
    <t>I01234</t>
  </si>
  <si>
    <t>AURICULAR BLUETOOTH FONENG BL32 BLACK SILICONA</t>
  </si>
  <si>
    <t>I01239</t>
  </si>
  <si>
    <t>AURICULARES TIPO-C T61 FONENG BLANCO</t>
  </si>
  <si>
    <t>I01252</t>
  </si>
  <si>
    <t>POWER BANK P51 BK 22.5W 10.000mAh FONENG</t>
  </si>
  <si>
    <t>I01253</t>
  </si>
  <si>
    <t>POWER BANK P51 WHITE 22.5W 10.000mAh FONENG</t>
  </si>
  <si>
    <t>I01254</t>
  </si>
  <si>
    <t>POWER BANK P52 BK 20.000mAh 22.5W FONENG</t>
  </si>
  <si>
    <t>I01255</t>
  </si>
  <si>
    <t>POWER BANK P52 WHITE 20.000mAh 22.5W FONENG</t>
  </si>
  <si>
    <t>I01285</t>
  </si>
  <si>
    <t>AURICULARES CABL. T63 PURPLE METAL FONENG</t>
  </si>
  <si>
    <t>I01286</t>
  </si>
  <si>
    <t>AURICULARES CABL. T63 GRAY METAL FONENG</t>
  </si>
  <si>
    <t>I01287</t>
  </si>
  <si>
    <t>AURICULARES CABL. T63 BLUE METAL FONENG</t>
  </si>
  <si>
    <t>I01288</t>
  </si>
  <si>
    <t>AURICULARES T42 BLACK METAL FONENG</t>
  </si>
  <si>
    <t>I01289</t>
  </si>
  <si>
    <t>AURICULARES T29 WHITE HEAVY BASS FONENG</t>
  </si>
  <si>
    <t>I01290</t>
  </si>
  <si>
    <t>KIT AURICULARES T46 WHITE 20PCS FONENG</t>
  </si>
  <si>
    <t>I01291</t>
  </si>
  <si>
    <t>SINTONIZADOR CARG. AUTO BC01 2 USB 2.1A FONENG</t>
  </si>
  <si>
    <t>I01342</t>
  </si>
  <si>
    <t>AURICULARES T46 WHITE FONENG</t>
  </si>
  <si>
    <t>I01387</t>
  </si>
  <si>
    <t>AURICULARES T36 TIPO-C DIGITAL COMP FONENG</t>
  </si>
  <si>
    <t>I01388</t>
  </si>
  <si>
    <t>AURICULARES CABL. T59 BLACK IN-EAR FONENG</t>
  </si>
  <si>
    <t>I01389</t>
  </si>
  <si>
    <t>AURICULARES CABL. T59 WHITE IN-EAR FONENG</t>
  </si>
  <si>
    <t>I01399</t>
  </si>
  <si>
    <t>REMERA FONENG M</t>
  </si>
  <si>
    <t>I01400</t>
  </si>
  <si>
    <t>REMERA FONENG L</t>
  </si>
  <si>
    <t>I01401</t>
  </si>
  <si>
    <t>REMERA FONENG XL</t>
  </si>
  <si>
    <t>I01402</t>
  </si>
  <si>
    <t>REMERA FONENG 2XL</t>
  </si>
  <si>
    <t>I01481</t>
  </si>
  <si>
    <t>NO USAR--CAR TIP-C EU 46 3  A FON--NO USAR</t>
  </si>
  <si>
    <t>I01482</t>
  </si>
  <si>
    <t>NO USAR--CAR. MIC EU 46 3  A FON--NO USAR</t>
  </si>
  <si>
    <t>I01483</t>
  </si>
  <si>
    <t>NO USAR--CAR MI EU 45 2.4  A FON--NO USAR</t>
  </si>
  <si>
    <t>I01654</t>
  </si>
  <si>
    <t>AURICULARES CABL. T33 WHITE IN-EAR 3D FONENG (T59)</t>
  </si>
  <si>
    <t>I01655</t>
  </si>
  <si>
    <t>AURICULARES CABL. EP500 BLACK IN-EAR FONENG(T59)</t>
  </si>
  <si>
    <t>I01942</t>
  </si>
  <si>
    <t>AURICULARES T41 BLANCO / NEGRO FONENG</t>
  </si>
  <si>
    <t>I01943</t>
  </si>
  <si>
    <t>AURICULARES CABL. T41 BLACK FONENG</t>
  </si>
  <si>
    <t>I02197</t>
  </si>
  <si>
    <t>AURICULARES CABL. T67 IN-EAR BK METAL FONENG</t>
  </si>
  <si>
    <t>I02198</t>
  </si>
  <si>
    <t>AURICULARES CABL. T67 IN-EAR BLUE METAL FONENG</t>
  </si>
  <si>
    <t>I02199</t>
  </si>
  <si>
    <t>AURICULARES CABL. T67 SILVER METAL IN-EAR FONENG</t>
  </si>
  <si>
    <t>I02203</t>
  </si>
  <si>
    <t>AURICULARES CABL. T57 WHITE IN-EAR FONENG (T59)</t>
  </si>
  <si>
    <t>I02407</t>
  </si>
  <si>
    <t>AURICULARES CABL. EP100 BLACK FONENG</t>
  </si>
  <si>
    <t>I02408</t>
  </si>
  <si>
    <t>AURICULARES CABL. EP100 WHITE FONENG</t>
  </si>
  <si>
    <t>I02481</t>
  </si>
  <si>
    <t>AURICULARES TIPO-C T65 BLANCO IN-EAR FONENG</t>
  </si>
  <si>
    <t>I02486</t>
  </si>
  <si>
    <t>AURICULARES CABL. T15 WHITE 3.5mm FONENG</t>
  </si>
  <si>
    <t>I02614</t>
  </si>
  <si>
    <t>AURICULARES TIPO-C T36 FONENG BLANCO</t>
  </si>
  <si>
    <t>I01214</t>
  </si>
  <si>
    <t>CABLE TIPO-C X63/XS01 2.1A 1MT FONENG</t>
  </si>
  <si>
    <t>I01215</t>
  </si>
  <si>
    <t>CABLE IPHONE X30 1MT MAGNETIC/LED FONENG</t>
  </si>
  <si>
    <t>I01225</t>
  </si>
  <si>
    <t>CABLE TIPO-C EU27 3A FONENG</t>
  </si>
  <si>
    <t>I01226</t>
  </si>
  <si>
    <t>CABLE TIPO-C EU28 2.4A FONENG</t>
  </si>
  <si>
    <t>I01228</t>
  </si>
  <si>
    <t>CABLE TIPO-C X69 3A GOMA FONENG</t>
  </si>
  <si>
    <t>I01229</t>
  </si>
  <si>
    <t>CABLE IPHONE X69 3A GOMA FONENG</t>
  </si>
  <si>
    <t>I01238</t>
  </si>
  <si>
    <t>CABLE IPHONE X77 FONENG</t>
  </si>
  <si>
    <t>I01261</t>
  </si>
  <si>
    <t>BOTELLON 30 CABLES XS06 TIPO-C 1M 2.4A FONENG</t>
  </si>
  <si>
    <t>I01262</t>
  </si>
  <si>
    <t>BOTELLON 30 CABLES XS06 IPHONE 1M 2.4A FONENG</t>
  </si>
  <si>
    <t>I01263</t>
  </si>
  <si>
    <t>CABLE TIPO-C 90° X70 3A 1MT TRENZADO FONENG</t>
  </si>
  <si>
    <t>I01264</t>
  </si>
  <si>
    <t>CABLE IPHONE 90° X70 3A 1MT TRENZADO FONENG</t>
  </si>
  <si>
    <t>I01265</t>
  </si>
  <si>
    <t>CABLE TIPO-C X66 3A 1MT FONENG</t>
  </si>
  <si>
    <t>I01266</t>
  </si>
  <si>
    <t>CABLE IPHONE X66 2.4A 1MT FONENG</t>
  </si>
  <si>
    <t>I01267</t>
  </si>
  <si>
    <t>CABLE TIPO-C X66 3A -2MT- FONENG</t>
  </si>
  <si>
    <t>I01268</t>
  </si>
  <si>
    <t>CABLE IPHONE X66 2.4A -2MT- FONENG</t>
  </si>
  <si>
    <t>I01269</t>
  </si>
  <si>
    <t>CABLE MICRO X63/XS01 2.1A 1MT FONENG</t>
  </si>
  <si>
    <t>I01270</t>
  </si>
  <si>
    <t>CABLE IPHONE X63/XS01 2.1A 1MT FONENG</t>
  </si>
  <si>
    <t>I01271</t>
  </si>
  <si>
    <t>CABLE 3 EN 1 X36 2.4A 1.2MT TIPO-C/IPH/MIC FONENG</t>
  </si>
  <si>
    <t>I01272</t>
  </si>
  <si>
    <t>CABLE TIPO-C X79 METAL/RGB 3A 66W 1MT FONENG</t>
  </si>
  <si>
    <t>I01273</t>
  </si>
  <si>
    <t>CABLE IPHONE X79 METAL/RGB 3A 1MT FONENG SUPERFAST</t>
  </si>
  <si>
    <t>I01274</t>
  </si>
  <si>
    <t>CABLE TIPO-C X15 WHI 2.4A 1.2MT TRENZ FONENG</t>
  </si>
  <si>
    <t>I01275</t>
  </si>
  <si>
    <t>CABLE TIPO-C X15 BK 2.4A 1.2MT TRENZ FONENG</t>
  </si>
  <si>
    <t>I01276</t>
  </si>
  <si>
    <t>CABLE IPHONE X15 WHI 2.4A 1.2MT TRENZ FONENG</t>
  </si>
  <si>
    <t>I01277</t>
  </si>
  <si>
    <t>CABLE IPHONE X15 BK 2.4A 1.2MT TRENZ FONENG</t>
  </si>
  <si>
    <t>I01279</t>
  </si>
  <si>
    <t>CABLE DE AUDIO 3.5MM BM23 BK 1M FONENG</t>
  </si>
  <si>
    <t>I01280</t>
  </si>
  <si>
    <t>CABLE DE AUDIO 3.5MM BM23 WHITE 1M FONENG</t>
  </si>
  <si>
    <t>I01281</t>
  </si>
  <si>
    <t>CABLE ADAPTADOR BM21 AUDIO TIPO-C A 3.5MM FONENG</t>
  </si>
  <si>
    <t>I01282</t>
  </si>
  <si>
    <t>CABLE ADAPTADOR BM20 AUDIO IPHONE A 3.5MM FONENG</t>
  </si>
  <si>
    <t>I01331</t>
  </si>
  <si>
    <t>CABLE MICRO 90° X70 3A 1MT TRENZADO FONENG</t>
  </si>
  <si>
    <t>I01338</t>
  </si>
  <si>
    <t>CABLE MICRO X35 3A 1MT FONENG</t>
  </si>
  <si>
    <t>I01339</t>
  </si>
  <si>
    <t>CABLE TIPO-C X35 3A 1MT FONENG</t>
  </si>
  <si>
    <t>I01340</t>
  </si>
  <si>
    <t>CABLE IPHONE X35 3A 1MT FONENG</t>
  </si>
  <si>
    <t>I01343</t>
  </si>
  <si>
    <t>CABLE TIPO-C XS06 3A 1MT FONENG</t>
  </si>
  <si>
    <t>I01344</t>
  </si>
  <si>
    <t>CABLE IPHONE XS06 2.4A 1MT FONENG</t>
  </si>
  <si>
    <t>I01353</t>
  </si>
  <si>
    <t>CABLE IPHONE/TIPO-C X80 PD 27W 1MT FONENG</t>
  </si>
  <si>
    <t>I01354</t>
  </si>
  <si>
    <t>CABLE TIPO-C/TIPO-C X80 100W 1MT FONENG</t>
  </si>
  <si>
    <t>I01355</t>
  </si>
  <si>
    <t>CABLE IPHONE/TIPO-C X75 3A 1MT FONENG</t>
  </si>
  <si>
    <t>I01356</t>
  </si>
  <si>
    <t>CABLE TIPO-C/TIPO-C X73 3A 60W 1MT FONENG</t>
  </si>
  <si>
    <t>I01360</t>
  </si>
  <si>
    <t>CABLE MICRO X66 3A 1MT FONENG</t>
  </si>
  <si>
    <t>I01369</t>
  </si>
  <si>
    <t>CABLE TIPO-C X83 2.1A METAL FONENG</t>
  </si>
  <si>
    <t>I01370</t>
  </si>
  <si>
    <t>CABLE IPHONE X82 3A METAL FONENG</t>
  </si>
  <si>
    <t>I01395</t>
  </si>
  <si>
    <t>BOTELLON 30 CABLES XS06 MICRO 1M 2.4A FONENG</t>
  </si>
  <si>
    <t>I01396</t>
  </si>
  <si>
    <t>CABLE MICRO X66 3A 2MT FONENG</t>
  </si>
  <si>
    <t>I01398</t>
  </si>
  <si>
    <t>CABLE TIPO-C/TIPO-C X55 60W 2MT FONENG</t>
  </si>
  <si>
    <t>I01410</t>
  </si>
  <si>
    <t>CABLE MICRO X87 3A 1.2MT ZINC FONENG SUPERFAST</t>
  </si>
  <si>
    <t>I01411</t>
  </si>
  <si>
    <t>CABLE TIPO-C X87 100W 1.2MT ZINC FONENG SUPERFAST</t>
  </si>
  <si>
    <t>I01412</t>
  </si>
  <si>
    <t>CABLE IPHONE X87 3A 1.2MT ZINC FONENG SUPERFAST</t>
  </si>
  <si>
    <t>I01478</t>
  </si>
  <si>
    <t>CABLE DE AUDIO 3.5MM BM22 BK 1M FONENG</t>
  </si>
  <si>
    <t>I01505</t>
  </si>
  <si>
    <t>CABLE DE AUDIO 3.5MM BM31 1M METAL/TRENZ FONENG</t>
  </si>
  <si>
    <t>I01506</t>
  </si>
  <si>
    <t>KIT CABLE X88 3A MICRO12/TIPO-C12/IPHONE6-FONENG</t>
  </si>
  <si>
    <t>I01606</t>
  </si>
  <si>
    <t>CABLE MICRO X88 3A 1MT -LOCAL-FONENG</t>
  </si>
  <si>
    <t>I01607</t>
  </si>
  <si>
    <t>CABLE TIPO-C X88 3A 1MT -LOCAL-FONENG</t>
  </si>
  <si>
    <t>I01608</t>
  </si>
  <si>
    <t>CABLE IPHONE X88 3A 1MT -LOCAL-FONENG</t>
  </si>
  <si>
    <t>I01707</t>
  </si>
  <si>
    <t>CABLE DE AUDIO 3.5MM A IPHONE BM31 1M METAL/TRENZ</t>
  </si>
  <si>
    <t>I01708</t>
  </si>
  <si>
    <t>CABLE DE AUDIO 3.5MM A TIPO-C BM31 1M METAL/TRENZ</t>
  </si>
  <si>
    <t>I01882</t>
  </si>
  <si>
    <t>CABLE IPHONE XS02 WHI 2.4A 1.2MT TRENZ FONENG</t>
  </si>
  <si>
    <t>I01883</t>
  </si>
  <si>
    <t>CABLE IPHONE XS02 BLUE 2.4A 1.2MT TRENZ FONENG</t>
  </si>
  <si>
    <t>I01944</t>
  </si>
  <si>
    <t>CABLE TIPO-C XS02 WHI 3A 1.2MT TRENZ FONENG</t>
  </si>
  <si>
    <t>I02050</t>
  </si>
  <si>
    <t>CABLE TIPO-C X51 BK 3A 1MT TRENZ FONENG</t>
  </si>
  <si>
    <t>I02052</t>
  </si>
  <si>
    <t>CABLE IPHONE X51 BK 2.4A 1MT TRENZ FONENG</t>
  </si>
  <si>
    <t>I02111</t>
  </si>
  <si>
    <t>CABLE MICRO XS06 2.1A 1MT FONENG</t>
  </si>
  <si>
    <t>I02144</t>
  </si>
  <si>
    <t>CABLE TIPO-C X112 BK 3A 1MT METAL/TRENZ FONENG</t>
  </si>
  <si>
    <t>I02145</t>
  </si>
  <si>
    <t>CABLE IPHONE X112 BK 3A 1MT METAL/TRENZ FONENG</t>
  </si>
  <si>
    <t>I02202</t>
  </si>
  <si>
    <t>CABLE TIPO-C/TIPO-C XS01 3A 60W 1MT FONENG</t>
  </si>
  <si>
    <t>I02267</t>
  </si>
  <si>
    <t>CABLE TIPO-C/TIPO-C X110 60W 1.2MT TRENZ. FONENG</t>
  </si>
  <si>
    <t>I02285</t>
  </si>
  <si>
    <t>CABLE TIPO-C/TIPO-C X117 60W 1MT FONENG</t>
  </si>
  <si>
    <t>I02286</t>
  </si>
  <si>
    <t>CABLE TIPO-C/ LIGHTING X116 PD27W 1MT FONENG</t>
  </si>
  <si>
    <t>I02287</t>
  </si>
  <si>
    <t>CABLE MICRO X115 2.1A 1MT FONENG</t>
  </si>
  <si>
    <t>I02288</t>
  </si>
  <si>
    <t>MUESTRA-CABLE 3 EN 1 RETRACTIL X113 2.4A 1.1MT FON</t>
  </si>
  <si>
    <t>I02289</t>
  </si>
  <si>
    <t>CABLE TIPOC/ TIPOC XS03 60W 1.2MT FONENG</t>
  </si>
  <si>
    <t>I02290</t>
  </si>
  <si>
    <t>CABLE TIPOC/ TIPOC XS05 100W 1.2MT FONENG</t>
  </si>
  <si>
    <t>I02291</t>
  </si>
  <si>
    <t>CABLE TIPO C  XS07 3A 1.2MT FONENG WHITE</t>
  </si>
  <si>
    <t>I02292</t>
  </si>
  <si>
    <t>CABLE TIPO C  XS07 3A 1.2MT FONENG BLACK</t>
  </si>
  <si>
    <t>I02293</t>
  </si>
  <si>
    <t>CABLE TIPO C  XS08 3A 1.2MT FONENG</t>
  </si>
  <si>
    <t>I02294</t>
  </si>
  <si>
    <t>CABLE TIPO C 3 EN 1 XS09 60W 1.2MT FONENG</t>
  </si>
  <si>
    <t>I02295</t>
  </si>
  <si>
    <t>CABLE TIPO C/ TIPO C 2 EN 1 XS10 60W 1.2MT FONENG</t>
  </si>
  <si>
    <t>I02296</t>
  </si>
  <si>
    <t>CABLE TIPO C/ LIGHTIN 2 EN 1 XS10 60W 1.2MT FONENG</t>
  </si>
  <si>
    <t>I02344</t>
  </si>
  <si>
    <t>CABLE MICRO X82 2.1A 1MT METAL TRENZADO FONENG</t>
  </si>
  <si>
    <t>I02345</t>
  </si>
  <si>
    <t>CABLE TIPO-C X80 100W 1.2MT METAL FONENG</t>
  </si>
  <si>
    <t>I02399</t>
  </si>
  <si>
    <t>CABLE 3 EN 1 RETRACTIL X113 BK 2.4A 1.1MT FONENG</t>
  </si>
  <si>
    <t>I02400</t>
  </si>
  <si>
    <t>CABLE 3 EN 1 RETRACTIL X113 BLUE 2.4A 1.1MT FONENG</t>
  </si>
  <si>
    <t>I02401</t>
  </si>
  <si>
    <t>CABLE 3 EN 1 RETRACTIL X113 PURPLE 2.4A 1.1MT FON</t>
  </si>
  <si>
    <t>I02403</t>
  </si>
  <si>
    <t>CABLE 3 EN 1 XS07 3A 1.2MT TIPO-C/IPH/MIC FONENG</t>
  </si>
  <si>
    <t>I02405</t>
  </si>
  <si>
    <t>CABLE MICRO X112 2.1A 1MT METAL/TRENZ FONENG</t>
  </si>
  <si>
    <t>I02479</t>
  </si>
  <si>
    <t>CABLE 3 EN 1 X112 3A 1.2MT TIPO-C/IPH/MIC FONENG</t>
  </si>
  <si>
    <t>I02483</t>
  </si>
  <si>
    <t>CABLE TIPO-C/TIPO-C XS03 240W 2MT TRENZ.FONENG</t>
  </si>
  <si>
    <t>I02484</t>
  </si>
  <si>
    <t>CABLE TIPO-C/TIPO-C X119 100W 1MT TRENZ. FONENG</t>
  </si>
  <si>
    <t>I02485</t>
  </si>
  <si>
    <t>CABLE IPHONE/TIPO-C XS11 30W 1MT WHITE TRENZ. FONE</t>
  </si>
  <si>
    <t>I02582</t>
  </si>
  <si>
    <t>CABLE IPHONE X95 3A METAL/TRENZ. FONENG</t>
  </si>
  <si>
    <t>I02583</t>
  </si>
  <si>
    <t>CABLE IPHONE/TIPO-C XS01 3A 27W 1MT FONENG</t>
  </si>
  <si>
    <t>I02584</t>
  </si>
  <si>
    <t>CABLE IPHONE/TIPO-C X31 20W 2MT FONENG</t>
  </si>
  <si>
    <t>I02586</t>
  </si>
  <si>
    <t>CABLE 4 EN 1 XS15 3A/27W/60W 1.2MT TRENZ FONENG</t>
  </si>
  <si>
    <t>I02602</t>
  </si>
  <si>
    <t>CABLE 4 EN 1 XS15 3A 1.2MT TRENZ. FONENG</t>
  </si>
  <si>
    <t>I02603</t>
  </si>
  <si>
    <t>CABLE TIPO-C/TIPO-C X121 BL 1.2MT 60W FLAT MET FON</t>
  </si>
  <si>
    <t>I02604</t>
  </si>
  <si>
    <t>CABLE TIPO-C/TIPO-C X121 WH 1.2MT 60W FLAT MET FON</t>
  </si>
  <si>
    <t>I02666</t>
  </si>
  <si>
    <t>CABLE IPHONE/TIPO-C XS13 60W 1.2M METAL/TRENZ FONE</t>
  </si>
  <si>
    <t>I02744</t>
  </si>
  <si>
    <t>CABLE TIPO-C/TIPO-C X127 90° 60W 1.2M MET/TRENZ FO</t>
  </si>
  <si>
    <t>I02745</t>
  </si>
  <si>
    <t>CABLE TIPO-C XS16 WHITE 3A 1MT FONENG</t>
  </si>
  <si>
    <t>I02746</t>
  </si>
  <si>
    <t>CABLE TIPO-C XS16 ORANGE 3A 1MT FONENG</t>
  </si>
  <si>
    <t>I02747</t>
  </si>
  <si>
    <t>CABLE TIPO-C/TIPO-C X121 OR 1.2MT 60W FLAT MET FON</t>
  </si>
  <si>
    <t>I02772</t>
  </si>
  <si>
    <t>CABLE MICRO X51 3A 2MT FONENG</t>
  </si>
  <si>
    <t>I01223</t>
  </si>
  <si>
    <t>CARGADOR DE AUTO DOBLE FONENG 2.4A SILVER</t>
  </si>
  <si>
    <t>I01224</t>
  </si>
  <si>
    <t>CARGADOR DE AUTO DOBLE FONENG 2.4A BLACK</t>
  </si>
  <si>
    <t>I01227</t>
  </si>
  <si>
    <t>CARGADOR SIN CABLE K100 1A FONENG</t>
  </si>
  <si>
    <t>GSC1A1U</t>
  </si>
  <si>
    <t>I01236</t>
  </si>
  <si>
    <t>CARGADOR TIPO-C EU43 2.1A FONENG</t>
  </si>
  <si>
    <t>GTC2A1U</t>
  </si>
  <si>
    <t>I01237</t>
  </si>
  <si>
    <t>CARGADOR IPHONE EU43 2.1A FONENG</t>
  </si>
  <si>
    <t>GIP2A1U</t>
  </si>
  <si>
    <t>I01256</t>
  </si>
  <si>
    <t>CARGADOR MICRO EU43 2.1A FONENG</t>
  </si>
  <si>
    <t>GMI2A1U</t>
  </si>
  <si>
    <t>I01259</t>
  </si>
  <si>
    <t>CARGADOR TIPO-C K240 2.4A 2-USB FONENG</t>
  </si>
  <si>
    <t>GTC2A2U</t>
  </si>
  <si>
    <t>I01260</t>
  </si>
  <si>
    <t>CARGADOR IPHONE K240 2.4A 2-USB FONENG</t>
  </si>
  <si>
    <t>GIP2A2U</t>
  </si>
  <si>
    <t>I01278</t>
  </si>
  <si>
    <t>KIT CARGADORES-10-2USB + 15 CABLES 3A FONENG</t>
  </si>
  <si>
    <t>I01292</t>
  </si>
  <si>
    <t>CARGADOR AUTO C08 BK 2-USB 2.4A METAL FONENG</t>
  </si>
  <si>
    <t>I01293</t>
  </si>
  <si>
    <t>CARGADOR AUTO C08 SILVER 2-USB 2.4A METAL FONENG</t>
  </si>
  <si>
    <t>I01294</t>
  </si>
  <si>
    <t>CARGADOR AUTO C07 BK 2-USB 2.4A FONENG</t>
  </si>
  <si>
    <t>I01295</t>
  </si>
  <si>
    <t>CARGADOR AUTO C07 WHITE 2-USB 2.4A FONENG</t>
  </si>
  <si>
    <t>GAUSC2A2U</t>
  </si>
  <si>
    <t>I01296</t>
  </si>
  <si>
    <t>CARGADOR AUTO C10 BK TIPO-C 2-USB 2.4A FONENG</t>
  </si>
  <si>
    <t>GAUTC2A2U</t>
  </si>
  <si>
    <t>I01297</t>
  </si>
  <si>
    <t>CARGADOR AUTO C10 WH TIPO-C 2-USB 2.4A FONENG</t>
  </si>
  <si>
    <t>I01298</t>
  </si>
  <si>
    <t>CARGADOR AUTO C10 BK IPHONE 2-USB 2.4A FONENG</t>
  </si>
  <si>
    <t>GAUIP2A2U</t>
  </si>
  <si>
    <t>I01299</t>
  </si>
  <si>
    <t>CARGADOR AUTO C10 WH IPHONE 2-USB 2.4A FONENG</t>
  </si>
  <si>
    <t>I01300</t>
  </si>
  <si>
    <t>CARGADOR AUTO C15MINI 4A TIPO-C METAL FONENG</t>
  </si>
  <si>
    <t>GAUTC4A1U</t>
  </si>
  <si>
    <t>I01307</t>
  </si>
  <si>
    <t>CARGADOR TIPO-C EU20 2.4A 2-USB FONENG</t>
  </si>
  <si>
    <t>I01308</t>
  </si>
  <si>
    <t>CARGADOR IPHONE EU20 2.4A 2-USB FONENG</t>
  </si>
  <si>
    <t>I01341</t>
  </si>
  <si>
    <t>CARGADOR SIN CABLE EU20 2.4A 2-USB FONENG</t>
  </si>
  <si>
    <t>GSC2A2U</t>
  </si>
  <si>
    <t>I01345</t>
  </si>
  <si>
    <t>CARGADOR IPHONE/TIPO-C EU40 PD25W FONENG</t>
  </si>
  <si>
    <t>GIPTC25W1U</t>
  </si>
  <si>
    <t>I01346</t>
  </si>
  <si>
    <t>CARGADOR TIPO-C/TIPO-C EU40 PD25W FONENG</t>
  </si>
  <si>
    <t>GTCTC25W1U</t>
  </si>
  <si>
    <t>I01347</t>
  </si>
  <si>
    <t>CARGADOR TIPO-C EU27 3A FONENG</t>
  </si>
  <si>
    <t>GTC3A1U</t>
  </si>
  <si>
    <t>I01348</t>
  </si>
  <si>
    <t>CARGADOR IPHONE EU27 3A FONENG</t>
  </si>
  <si>
    <t>GIP3A1U</t>
  </si>
  <si>
    <t>I01349</t>
  </si>
  <si>
    <t>CARGADOR MICRO T310 3.1A 3-USB FONENG</t>
  </si>
  <si>
    <t>GMI3A3U</t>
  </si>
  <si>
    <t>I01350</t>
  </si>
  <si>
    <t>CARGADOR TIPO-C T310 3.1A 3-USB FONENG</t>
  </si>
  <si>
    <t>GTC3A3U</t>
  </si>
  <si>
    <t>I01351</t>
  </si>
  <si>
    <t>CARGADOR IPHONE T310 3.1A 3-USB FONENG</t>
  </si>
  <si>
    <t>GIP3A3U</t>
  </si>
  <si>
    <t>I01352</t>
  </si>
  <si>
    <t>CARGADOR SIN CABLE K240 2.4A 2-USB FONENG</t>
  </si>
  <si>
    <t>I01357</t>
  </si>
  <si>
    <t>CARGADOR SIN CABLE K210 2.1A FONENG</t>
  </si>
  <si>
    <t>GSC2A1U</t>
  </si>
  <si>
    <t>I01358</t>
  </si>
  <si>
    <t>CARGADOR MICRO EU29 2.4A FONENG</t>
  </si>
  <si>
    <t>I01359</t>
  </si>
  <si>
    <t>CARGADOR MICRO K240 2.4A 2-USB FONENG</t>
  </si>
  <si>
    <t>GMI2A2U</t>
  </si>
  <si>
    <t>I01361</t>
  </si>
  <si>
    <t>CARGADOR MICRO EU36 3A 2-USB FONENG</t>
  </si>
  <si>
    <t>GMI3A2U</t>
  </si>
  <si>
    <t>I01362</t>
  </si>
  <si>
    <t>CARGADOR TIPO-C EU36 3A 2-USB FONENG</t>
  </si>
  <si>
    <t>GTC3A2U</t>
  </si>
  <si>
    <t>I01363</t>
  </si>
  <si>
    <t>CARGADOR IPHONE EU36 3A 2-USB FONENG</t>
  </si>
  <si>
    <t>GIP3A2U</t>
  </si>
  <si>
    <t>I01371</t>
  </si>
  <si>
    <t>CARGADOR AUTO C19 2-USB 3A 36W CARGA RAPIDA FONENG</t>
  </si>
  <si>
    <t>GAU36W1U</t>
  </si>
  <si>
    <t>I01390</t>
  </si>
  <si>
    <t>SINTONIZADOR CARG. AUTO BC02 2 USB 3.1A FONENG</t>
  </si>
  <si>
    <t>I01391</t>
  </si>
  <si>
    <t>CARGADOR SIN CABLE EU23 20W ENTRADA TIPO-C FONENG</t>
  </si>
  <si>
    <t>GSCTC20W1U</t>
  </si>
  <si>
    <t>I01392</t>
  </si>
  <si>
    <t>CARGADOR MICRO EU46 3A 18W USB 3.0 FONENG</t>
  </si>
  <si>
    <t>GMI3A1U</t>
  </si>
  <si>
    <t>I01393</t>
  </si>
  <si>
    <t>CARGADOR TIPO-C EU46 3A 18W USB 3.0 FONENG</t>
  </si>
  <si>
    <t>I01394</t>
  </si>
  <si>
    <t>CARGADOR IPHONE EU46 3A 18W USB 3.0 FONENG</t>
  </si>
  <si>
    <t>I01403</t>
  </si>
  <si>
    <t>CARGADOR MICRO EU45 2.4A 2-USB FONENG</t>
  </si>
  <si>
    <t>I01479</t>
  </si>
  <si>
    <t>CARGADOR TIPO-C EU45 2.4A 2-USB FONENG</t>
  </si>
  <si>
    <t>I01480</t>
  </si>
  <si>
    <t>CARGADOR SIN CABLE EU39 3A 20W ENTRADA TIPO-C FONE</t>
  </si>
  <si>
    <t>I01579</t>
  </si>
  <si>
    <t>CARGADOR IPHONE EU45 2.4A 2-USB FONENG</t>
  </si>
  <si>
    <t>I01580</t>
  </si>
  <si>
    <t>CARGADOR AUTO C18 48W TIPO-C SAL USB+TIPO-C FONENG</t>
  </si>
  <si>
    <t>GAUTC48W2U</t>
  </si>
  <si>
    <t>I01581</t>
  </si>
  <si>
    <t>CARGADOR AUTO C18 48W IPHONE SAL USB+TIPO-C FONENG</t>
  </si>
  <si>
    <t>GAUIP48W2U</t>
  </si>
  <si>
    <t>I01582</t>
  </si>
  <si>
    <t>CARGADOR SIN CABLE EU50 35W 2-USB-C FONENG</t>
  </si>
  <si>
    <t>GSCTC35W2U</t>
  </si>
  <si>
    <t>I01583</t>
  </si>
  <si>
    <t>CARGADOR TIPO-C/TIPO-C EU50 35W 2-USB-C FONENG</t>
  </si>
  <si>
    <t>GTCTC35W2U</t>
  </si>
  <si>
    <t>I01584</t>
  </si>
  <si>
    <t>CARGADOR IPHONE/TIPO-C EU50 35W 2-USB-C FONENG</t>
  </si>
  <si>
    <t>GIPTC35W2U</t>
  </si>
  <si>
    <t>I01585</t>
  </si>
  <si>
    <t>CARGADOR SIN CABLE GaN35 35W 2-USB-C FONENG</t>
  </si>
  <si>
    <t>GSCTC35WGA2U</t>
  </si>
  <si>
    <t>I01586</t>
  </si>
  <si>
    <t>CARGADOR TIPO-C/TIPO-C GaN65 65W 3USB-A+C+C FONENG</t>
  </si>
  <si>
    <t>GTCTC65WGA3U</t>
  </si>
  <si>
    <t>I01656</t>
  </si>
  <si>
    <t>CARGADOR AUTO C18 2-USB TIPO C 48W FONENG</t>
  </si>
  <si>
    <t>I01657</t>
  </si>
  <si>
    <t>CARGADOR AUTO C18 2-USB IPHONE 48W FONENG</t>
  </si>
  <si>
    <t>I01701</t>
  </si>
  <si>
    <t>CARGADOR TIPO-C/TIPO-C GaN35 35W 2-USB-C FONENG</t>
  </si>
  <si>
    <t>GTCTC35WGA2U</t>
  </si>
  <si>
    <t>I01702</t>
  </si>
  <si>
    <t>CARGADOR IPHONE/TIPO-C GaN35 35W 2-USB-C FONENG</t>
  </si>
  <si>
    <t>GIPTC35WGA2U</t>
  </si>
  <si>
    <t>I01703</t>
  </si>
  <si>
    <t>CARGADOR SIN CABLE EU51WH GaN25W ENT TIPO-C FONENG</t>
  </si>
  <si>
    <t>GSCTC25WGA1U</t>
  </si>
  <si>
    <t>I01704</t>
  </si>
  <si>
    <t>CARGADOR SIN CABLE EU51BK GaN25W ENT TIPO-C FONENG</t>
  </si>
  <si>
    <t>GSCTC25WGA1UBK</t>
  </si>
  <si>
    <t>I01705</t>
  </si>
  <si>
    <t>CARGADOR IPHONE/TIPO-C EU51 GaN 25W FONENG</t>
  </si>
  <si>
    <t>GIPTC25WGA1U</t>
  </si>
  <si>
    <t>I01706</t>
  </si>
  <si>
    <t>CARGADOR TIPO-C/TIPO-C EU51 GaN 25W FONENG</t>
  </si>
  <si>
    <t>GTCTC25WGA1U</t>
  </si>
  <si>
    <t>I01915</t>
  </si>
  <si>
    <t>CARGADOR TIPO-C/TIPO-C EU39+X73 20W FONENG</t>
  </si>
  <si>
    <t>I01916</t>
  </si>
  <si>
    <t>CARGADOR TIPO-C/TIPO-C EU51+X73 25W GaN FONENG</t>
  </si>
  <si>
    <t>I02146</t>
  </si>
  <si>
    <t>CARGADOR TIPO-C EU63 2.4A 2-USB FONENG</t>
  </si>
  <si>
    <t>I02147</t>
  </si>
  <si>
    <t>CARGADOR IPHONE EU63 2.4A 2-USB FONENG</t>
  </si>
  <si>
    <t>I02194</t>
  </si>
  <si>
    <t>CARGADOR TIPO-C K210 2.1A FONENG</t>
  </si>
  <si>
    <t>I02195</t>
  </si>
  <si>
    <t>CARGADOR IPHONE K210 2.1A FONENG</t>
  </si>
  <si>
    <t>I02196</t>
  </si>
  <si>
    <t>CARGADOR MICRO K210 2.1A FONENG</t>
  </si>
  <si>
    <t>I02200</t>
  </si>
  <si>
    <t>CARGADOR TIPO-C/TIPO-C EU62 GaN45W FONENG</t>
  </si>
  <si>
    <t>GTCTC45WGA1U</t>
  </si>
  <si>
    <t>I02201</t>
  </si>
  <si>
    <t>CARGADOR TIPO-C/TIPO-C GaN30 65W 2USB-A+C FONENG</t>
  </si>
  <si>
    <t>GTCTC65WGA2U</t>
  </si>
  <si>
    <t>I02251</t>
  </si>
  <si>
    <t>CARGADOR SIN CABLE EU63 2.4A 2-USB FONENG</t>
  </si>
  <si>
    <t>I02266</t>
  </si>
  <si>
    <t>CARGADOR SIN CABLE EU62 GaN45W ENT TIPO-C FONENG</t>
  </si>
  <si>
    <t>GSCTC45WGA1U</t>
  </si>
  <si>
    <t>I02282</t>
  </si>
  <si>
    <t>CARGADOR SIN CABLE GAN20  45W FONENG</t>
  </si>
  <si>
    <t>I02283</t>
  </si>
  <si>
    <t>CARGADOR SIN CABLE EU67 GAN 45W FONENG</t>
  </si>
  <si>
    <t>I02284</t>
  </si>
  <si>
    <t>CARGADOR SIN CABLE EU53 2.4A 2 USB  FONENG</t>
  </si>
  <si>
    <t>I02398</t>
  </si>
  <si>
    <t>CARGADOR TIPO-C/TIPO-C EU67 GaN45W 2-USB-A+C FONE</t>
  </si>
  <si>
    <t>I02409</t>
  </si>
  <si>
    <t>CARGADOR INALAMBRICO W03 15W MAGNET TIPO-C FONENG</t>
  </si>
  <si>
    <t>I02480</t>
  </si>
  <si>
    <t>CARGADOR TIPO-C/TIPO-C EU71 GaN30W 2-USB-A+C FONE</t>
  </si>
  <si>
    <t>I02585</t>
  </si>
  <si>
    <t>CARGADOR SIN CABLE GAN40 100W 1USB-A+4USB-C FONENG</t>
  </si>
  <si>
    <t>I02613</t>
  </si>
  <si>
    <t>CARGADOR TIPO-C/TIPO-C GaN50 65W 3USB-A+C+C FONENG</t>
  </si>
  <si>
    <t>I02669</t>
  </si>
  <si>
    <t>CARGADOR TIPO-C/TIPO-C MAX40 GaN WHITE 65W FONENG</t>
  </si>
  <si>
    <t>I02671</t>
  </si>
  <si>
    <t>CARGADOR TIPO-C/TIPO-C MAX40 GaN ORANGE 65W FONENG</t>
  </si>
  <si>
    <t>I02693</t>
  </si>
  <si>
    <t>CARGADOR SIN CABLE EU76 WH 2.1A FONENG</t>
  </si>
  <si>
    <t>I02694</t>
  </si>
  <si>
    <t>CARGADOR SIN CABLE EU76 BK 2.1A FONENG</t>
  </si>
  <si>
    <t>I02695</t>
  </si>
  <si>
    <t>CARGADOR TIPO-C EU76 WH 2.1A FONENG</t>
  </si>
  <si>
    <t>I02696</t>
  </si>
  <si>
    <t>CARGADOR TIPO-C EU76 BK 2.1A FONENG</t>
  </si>
  <si>
    <t>I02697</t>
  </si>
  <si>
    <t>CARGADOR IPHONE EU76 WH 2.1A FONENG</t>
  </si>
  <si>
    <t>I02698</t>
  </si>
  <si>
    <t>CARGADOR IPHONE EU76 BK 2.1A FONENG</t>
  </si>
  <si>
    <t>I02701</t>
  </si>
  <si>
    <t>CARGADOR FONENG CUBE TIPO C/ TIPO C GAN 20W</t>
  </si>
  <si>
    <t>I02702</t>
  </si>
  <si>
    <t>CARGADOR FONENG MAX10 TIPO C/ TIPO C GAN 35W</t>
  </si>
  <si>
    <t>I02703</t>
  </si>
  <si>
    <t>CARGADOR FONENG MAX50 GAN 65W</t>
  </si>
  <si>
    <t>I02704</t>
  </si>
  <si>
    <t>CARGADOR FONENG EU72 TIPO C/ TIPO C GAN 25W</t>
  </si>
  <si>
    <t>I02705</t>
  </si>
  <si>
    <t>CARGADOR FONENG EU73 TIPO C/ TIPO C GAN 45W</t>
  </si>
  <si>
    <t>I02706</t>
  </si>
  <si>
    <t>CARGADOR FONENG EU75 TIPO C/ TIPO C GAN 45W</t>
  </si>
  <si>
    <t>I02765</t>
  </si>
  <si>
    <t>CARGADOR INALAMBRICO CP126 3 EN 1 BK FONENG</t>
  </si>
  <si>
    <t>I01221</t>
  </si>
  <si>
    <t>AURICULAR TWS BL109 BLUE FONENG</t>
  </si>
  <si>
    <t>I01222</t>
  </si>
  <si>
    <t>AURICULAR TWS BL109 PINK FONENG</t>
  </si>
  <si>
    <t>I01240</t>
  </si>
  <si>
    <t>AURICULAR TWS FONENG BL08L WHITE BLUETOOTH</t>
  </si>
  <si>
    <t>I01283</t>
  </si>
  <si>
    <t>AURICULAR TWS BL109 BLACK FONENG</t>
  </si>
  <si>
    <t>I01284</t>
  </si>
  <si>
    <t>AURICULAR TWS BL109 WHITE FONENG</t>
  </si>
  <si>
    <t>I01321</t>
  </si>
  <si>
    <t>AURICULAR TWS BL110 FONENG</t>
  </si>
  <si>
    <t>I01385</t>
  </si>
  <si>
    <t>AURICULAR TWS BL06 BLACK FONENG</t>
  </si>
  <si>
    <t>I01386</t>
  </si>
  <si>
    <t>AURICULAR TWS BL118 BLACK FONENG</t>
  </si>
  <si>
    <t>I01406</t>
  </si>
  <si>
    <t>AURICULAR TWS BL126 BK DUAL MIC ENC FONENG</t>
  </si>
  <si>
    <t>I01407</t>
  </si>
  <si>
    <t>AURICULAR TWS BL126 WHITE DUAL MIC ENC FONENG</t>
  </si>
  <si>
    <t>I01408</t>
  </si>
  <si>
    <t>AURICULAR TWS BL128 SUBWOOFER WH FONENG</t>
  </si>
  <si>
    <t>I01409</t>
  </si>
  <si>
    <t>AURICULAR TWS BL128 SUBWOOFER BK FONENG</t>
  </si>
  <si>
    <t>I01504</t>
  </si>
  <si>
    <t>AURICULAR TWS BL118 BT YE FONENG</t>
  </si>
  <si>
    <t>I01587</t>
  </si>
  <si>
    <t>AURICULAR TWS BL131 WHITE FONENG</t>
  </si>
  <si>
    <t>I01588</t>
  </si>
  <si>
    <t>AURICULAR TWS BL131 BLACK FONENG</t>
  </si>
  <si>
    <t>I01726</t>
  </si>
  <si>
    <t>AURICULAR TWS BL138 BLACK HEAVY BASS FONENG</t>
  </si>
  <si>
    <t>I02057</t>
  </si>
  <si>
    <t>AURICULAR TWS BL153 BLACK FONENG</t>
  </si>
  <si>
    <t>I02058</t>
  </si>
  <si>
    <t>AURICULAR TWS BL153 BEIGE FONENG</t>
  </si>
  <si>
    <t>I02059</t>
  </si>
  <si>
    <t>AURICULAR TWS BL153 BLUE FONENG</t>
  </si>
  <si>
    <t>I02141</t>
  </si>
  <si>
    <t>AURICULAR TWS BL158 BK ANC+ENC FONENG</t>
  </si>
  <si>
    <t>I02278</t>
  </si>
  <si>
    <t>AURICULAR TWS FONENG BL159 WHITE</t>
  </si>
  <si>
    <t>I02279</t>
  </si>
  <si>
    <t>AURICULAR TWS FONENG BL155 BEIGE</t>
  </si>
  <si>
    <t>I02280</t>
  </si>
  <si>
    <t>AURICULAR TWS FONENG ANC BL152 WHITE</t>
  </si>
  <si>
    <t>I02281</t>
  </si>
  <si>
    <t>AURICULAR TWS FONENG ANC BL151 BEIGE</t>
  </si>
  <si>
    <t>I02487</t>
  </si>
  <si>
    <t>AURICULAR TWS BL138 BEIGE HEAVY BASS FONENG</t>
  </si>
  <si>
    <t>I02488</t>
  </si>
  <si>
    <t>AURICULAR TWS BL166 SILVER SLIDING ANC+ENC FONENG</t>
  </si>
  <si>
    <t>I02489</t>
  </si>
  <si>
    <t>AURICULAR TWS BL166 GRAY SLIDING ANC+ENC FONENG</t>
  </si>
  <si>
    <t>I02615</t>
  </si>
  <si>
    <t>AURICULAR TWS BL135 BK ULTRAFINOS FONENG</t>
  </si>
  <si>
    <t>I02616</t>
  </si>
  <si>
    <t>AURICULAR TWS BL135 WHITE ULTRAFINOS FONENG</t>
  </si>
  <si>
    <t>I02667</t>
  </si>
  <si>
    <t>AURICULAR OWS BL161 BLACK FONENG</t>
  </si>
  <si>
    <t>I02668</t>
  </si>
  <si>
    <t>AURICULAR OWS BL161 WHITE FONENG</t>
  </si>
  <si>
    <t>I02683</t>
  </si>
  <si>
    <t>AURICULAR TWS BL179 BK MIC ENC FONENG</t>
  </si>
  <si>
    <t>I02684</t>
  </si>
  <si>
    <t>AURICULAR TWS BL179 WH MIC ENC FONENG</t>
  </si>
  <si>
    <t>I02685</t>
  </si>
  <si>
    <t>AURICULAR TWS BL168 BK FONENG</t>
  </si>
  <si>
    <t>I02686</t>
  </si>
  <si>
    <t>AURICULAR TWS BL168 WH FONENG</t>
  </si>
  <si>
    <t>I02707</t>
  </si>
  <si>
    <t>AURICULARES TWS FONENG BL169 ANC BLACK</t>
  </si>
  <si>
    <t>I02708</t>
  </si>
  <si>
    <t>AURICULARES TWS FONENG BL170 ANC WHITE</t>
  </si>
  <si>
    <t>I02709</t>
  </si>
  <si>
    <t>AURICULARES TWS FONENG BL180 ANC BLACK</t>
  </si>
  <si>
    <t>I02748</t>
  </si>
  <si>
    <t>AURICULAR OWS BL165 BLACK FONENG</t>
  </si>
  <si>
    <t>I02749</t>
  </si>
  <si>
    <t>AURICULAR OWS BL165 BEIGE FONENG</t>
  </si>
  <si>
    <t>I01652</t>
  </si>
  <si>
    <t>AURICULAR BT BL39 SPORTS CONDUCION OSEA FONENG</t>
  </si>
  <si>
    <t>I01653</t>
  </si>
  <si>
    <t>AURICULAR BT BL35 NECKBAND SPORTS FONENG</t>
  </si>
  <si>
    <t>I02142</t>
  </si>
  <si>
    <t>AURICULARES BL56 BK BT ANC+ENC FONENG</t>
  </si>
  <si>
    <t>I02143</t>
  </si>
  <si>
    <t>AURICULARES BL51 BK BT ANC+ENC FONENG</t>
  </si>
  <si>
    <t>I02766</t>
  </si>
  <si>
    <t>AURICULAR BT BL59 BK ANC FONENG</t>
  </si>
  <si>
    <t>Fecha Proxima Importacion</t>
  </si>
  <si>
    <t>Dias Pedido</t>
  </si>
  <si>
    <t>Dias Duracion</t>
  </si>
  <si>
    <t>Relacion Venta Marcas</t>
  </si>
  <si>
    <t>Articulo.1</t>
  </si>
  <si>
    <t>Stock Act.1</t>
  </si>
  <si>
    <t>I M P O R T A C I O N  -  598</t>
  </si>
  <si>
    <t>Arribo</t>
  </si>
  <si>
    <t>Dias Arribo.</t>
  </si>
  <si>
    <t>Quiebre Stk.1</t>
  </si>
  <si>
    <t>% Proteccion.1</t>
  </si>
  <si>
    <t>Pedidos.1</t>
  </si>
  <si>
    <t>Stk.Arribo.1</t>
  </si>
  <si>
    <t>FOB Arribo.1</t>
  </si>
  <si>
    <t>UnidxEnv</t>
  </si>
  <si>
    <t>Volumen</t>
  </si>
  <si>
    <t>I M P O R T A C I O N  -  600</t>
  </si>
  <si>
    <t>S T O C K   A L  05/11/2026</t>
  </si>
  <si>
    <t>Arribo Prox.</t>
  </si>
  <si>
    <t>Dias Arribo</t>
  </si>
  <si>
    <t>Pedir Artic.1</t>
  </si>
  <si>
    <t>Confirmado Art.1</t>
  </si>
  <si>
    <t>Stk.Acumulado.1</t>
  </si>
  <si>
    <t>FOB U$S Art.1</t>
  </si>
  <si>
    <t>Prov. Cpa. Art.1</t>
  </si>
  <si>
    <t>S T O C K   A L  04/01/2027</t>
  </si>
  <si>
    <t>Stk.Final.1</t>
  </si>
  <si>
    <t>Estado Art.1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</si>
</sst>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#,##0.0000"/>
    <numFmt numFmtId="165" formatCode="dd/mm/yyyy"/>
    <numFmt numFmtId="166" formatCode="#,###,##0.00"/>
    <numFmt numFmtId="167" formatCode="#,###,##0.000000"/>
    <numFmt numFmtId="168" formatCode="#,##0.00%"/>
  </numFmts>
  <fonts count="2" x14ac:knownFonts="1">
    <font>
      <sz val="11"/>
      <color theme="1"/>
      <name val="Calibri"/>
      <scheme val="minor"/>
    </font>
    <font>
      <b/>
      <sz val="9"/>
      <name val="Arial"/>
    </font>
  </fonts>
  <fills count="11">
    <fill>
      <patternFill patternType="none"/>
    </fill>
    <fill>
      <patternFill patternType="gray125"/>
    </fill>
    <fill>
      <patternFill patternType="solid">
        <fgColor rgb="FF00FFFF"/>
        <bgColor rgb="FF000000"/>
      </patternFill>
    </fill>
    <fill>
      <patternFill patternType="solid">
        <fgColor rgb="FFF0F8FF"/>
        <bgColor rgb="FF000000"/>
      </patternFill>
    </fill>
    <fill>
      <patternFill patternType="solid">
        <fgColor rgb="FFD3D3D3"/>
        <bgColor rgb="FF000000"/>
      </patternFill>
    </fill>
    <fill>
      <patternFill patternType="solid">
        <fgColor rgb="FF5F9EA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ADD8E6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BC8F8F"/>
        <bgColor rgb="FF000000"/>
      </patternFill>
    </fill>
    <fill>
      <patternFill patternType="solid">
        <fgColor rgb="FFFF7F5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0" fontId="0" fillId="3" borderId="0" xfId="0" applyFill="1"/>
    <xf numFmtId="164" fontId="0" fillId="0" borderId="0" xfId="0" applyNumberFormat="1"/>
    <xf numFmtId="164" fontId="0" fillId="4" borderId="0" xfId="0" applyNumberFormat="1" applyFill="1"/>
    <xf numFmtId="164" fontId="0" fillId="5" borderId="0" xfId="0" applyNumberFormat="1" applyFill="1"/>
    <xf numFmtId="1" fontId="0" fillId="0" borderId="0" xfId="0" applyNumberFormat="1"/>
    <xf numFmtId="1" fontId="0" fillId="3" borderId="0" xfId="0" applyNumberFormat="1" applyFill="1"/>
    <xf numFmtId="164" fontId="0" fillId="6" borderId="0" xfId="0" applyNumberFormat="1" applyFill="1"/>
    <xf numFmtId="164" fontId="0" fillId="7" borderId="0" xfId="0" applyNumberFormat="1" applyFill="1"/>
    <xf numFmtId="49" fontId="0" fillId="8" borderId="0" xfId="0" applyNumberFormat="1" applyFill="1"/>
    <xf numFmtId="165" fontId="0" fillId="0" borderId="0" xfId="0" applyNumberFormat="1"/>
    <xf numFmtId="166" fontId="0" fillId="0" borderId="0" xfId="0" applyNumberFormat="1"/>
    <xf numFmtId="49" fontId="0" fillId="3" borderId="0" xfId="0" applyNumberFormat="1" applyFill="1"/>
    <xf numFmtId="166" fontId="0" fillId="3" borderId="0" xfId="0" applyNumberFormat="1" applyFill="1"/>
    <xf numFmtId="164" fontId="0" fillId="3" borderId="0" xfId="0" applyNumberFormat="1" applyFill="1"/>
    <xf numFmtId="167" fontId="0" fillId="3" borderId="0" xfId="0" applyNumberFormat="1" applyFill="1"/>
    <xf numFmtId="168" fontId="0" fillId="3" borderId="0" xfId="0" applyNumberFormat="1" applyFill="1"/>
    <xf numFmtId="49" fontId="1" fillId="9" borderId="0" xfId="0" applyNumberFormat="1" applyFont="1" applyFill="1" applyAlignment="1">
      <alignment horizontal="center"/>
    </xf>
    <xf numFmtId="0" fontId="0" fillId="0" borderId="0" xfId="0"/>
    <xf numFmtId="49" fontId="1" fillId="10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L295"/>
  <sheetViews>
    <sheetView tabSelected="1" workbookViewId="0">
      <pane xSplit="2" ySplit="1" topLeftCell="U17" activePane="bottomRight" state="frozen"/>
      <selection pane="topRight" activeCell="C1" sqref="C1"/>
      <selection pane="bottomLeft" activeCell="A2" sqref="A2"/>
      <selection pane="bottomRight" activeCell="AE27" sqref="AE27"/>
    </sheetView>
  </sheetViews>
  <sheetFormatPr baseColWidth="10" defaultColWidth="9" defaultRowHeight="14.3" x14ac:dyDescent="0.25"/>
  <cols>
    <col min="1" max="1" width="12" customWidth="1"/>
    <col min="2" max="2" width="45" customWidth="1"/>
    <col min="3" max="3" width="20" customWidth="1"/>
    <col min="4" max="31" width="10" customWidth="1"/>
  </cols>
  <sheetData>
    <row r="1" spans="1:3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</row>
    <row r="2" spans="1:32" x14ac:dyDescent="0.25">
      <c r="A2" s="1" t="s">
        <v>32</v>
      </c>
      <c r="B2" s="1" t="s">
        <v>33</v>
      </c>
      <c r="C2" s="1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6">
        <v>0</v>
      </c>
      <c r="AF2" s="1" t="s">
        <v>34</v>
      </c>
    </row>
    <row r="3" spans="1:32" x14ac:dyDescent="0.25">
      <c r="A3" s="1" t="s">
        <v>35</v>
      </c>
      <c r="B3" s="1" t="s">
        <v>36</v>
      </c>
      <c r="C3" s="1"/>
      <c r="D3" s="3"/>
      <c r="E3" s="3"/>
      <c r="F3" s="8">
        <v>6</v>
      </c>
      <c r="G3" s="8">
        <v>1</v>
      </c>
      <c r="H3" s="3"/>
      <c r="I3" s="3"/>
      <c r="J3" s="8">
        <v>2</v>
      </c>
      <c r="K3" s="8">
        <v>2</v>
      </c>
      <c r="L3" s="8">
        <v>2</v>
      </c>
      <c r="M3" s="8">
        <v>2</v>
      </c>
      <c r="N3" s="8">
        <v>3</v>
      </c>
      <c r="O3" s="8">
        <v>4</v>
      </c>
      <c r="P3" s="3"/>
      <c r="Q3" s="4">
        <v>0</v>
      </c>
      <c r="R3" s="4">
        <v>0</v>
      </c>
      <c r="S3" s="9">
        <v>0.2727</v>
      </c>
      <c r="T3" s="5">
        <v>0</v>
      </c>
      <c r="U3" s="9">
        <v>0</v>
      </c>
      <c r="V3" s="4">
        <v>0</v>
      </c>
      <c r="W3" s="4">
        <v>0.11899999999999999</v>
      </c>
      <c r="X3" s="4">
        <v>6.4500000000000002E-2</v>
      </c>
      <c r="Y3" s="4">
        <v>7.8399999999999997E-2</v>
      </c>
      <c r="Z3" s="4">
        <v>6.4500000000000002E-2</v>
      </c>
      <c r="AA3" s="4">
        <v>0.1053</v>
      </c>
      <c r="AB3" s="4">
        <v>0.1173</v>
      </c>
      <c r="AC3" s="10">
        <v>0</v>
      </c>
      <c r="AD3" s="4">
        <v>6.0999999999999999E-2</v>
      </c>
      <c r="AE3" s="4">
        <v>6.0999999999999999E-2</v>
      </c>
      <c r="AF3" s="1" t="s">
        <v>37</v>
      </c>
    </row>
    <row r="4" spans="1:32" x14ac:dyDescent="0.25">
      <c r="A4" s="1" t="s">
        <v>38</v>
      </c>
      <c r="B4" s="1" t="s">
        <v>39</v>
      </c>
      <c r="C4" s="1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6">
        <v>0</v>
      </c>
      <c r="AF4" s="1" t="s">
        <v>37</v>
      </c>
    </row>
    <row r="5" spans="1:32" x14ac:dyDescent="0.25">
      <c r="A5" s="1" t="s">
        <v>40</v>
      </c>
      <c r="B5" s="1" t="s">
        <v>41</v>
      </c>
      <c r="C5" s="1"/>
      <c r="D5" s="3"/>
      <c r="E5" s="3"/>
      <c r="F5" s="3"/>
      <c r="G5" s="3"/>
      <c r="H5" s="3"/>
      <c r="I5" s="3"/>
      <c r="J5" s="8">
        <v>3</v>
      </c>
      <c r="K5" s="3"/>
      <c r="L5" s="3"/>
      <c r="M5" s="3"/>
      <c r="N5" s="8">
        <v>1</v>
      </c>
      <c r="O5" s="3"/>
      <c r="P5" s="3"/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0.17860000000000001</v>
      </c>
      <c r="X5" s="4">
        <v>0</v>
      </c>
      <c r="Y5" s="4">
        <v>0</v>
      </c>
      <c r="Z5" s="4">
        <v>0</v>
      </c>
      <c r="AA5" s="4">
        <v>3.5099999999999999E-2</v>
      </c>
      <c r="AB5" s="4">
        <v>0</v>
      </c>
      <c r="AC5" s="10">
        <v>0</v>
      </c>
      <c r="AD5" s="4">
        <v>1.78E-2</v>
      </c>
      <c r="AE5" s="4">
        <v>1.78E-2</v>
      </c>
      <c r="AF5" s="1" t="s">
        <v>37</v>
      </c>
    </row>
    <row r="6" spans="1:32" x14ac:dyDescent="0.25">
      <c r="A6" s="11" t="s">
        <v>42</v>
      </c>
      <c r="B6" s="1" t="s">
        <v>43</v>
      </c>
      <c r="C6" s="1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6">
        <v>0</v>
      </c>
      <c r="AF6" s="1" t="s">
        <v>34</v>
      </c>
    </row>
    <row r="7" spans="1:32" x14ac:dyDescent="0.25">
      <c r="A7" s="11" t="s">
        <v>44</v>
      </c>
      <c r="B7" s="1" t="s">
        <v>45</v>
      </c>
      <c r="C7" s="1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0">
        <v>0</v>
      </c>
      <c r="AF7" s="1" t="s">
        <v>37</v>
      </c>
    </row>
    <row r="8" spans="1:32" x14ac:dyDescent="0.25">
      <c r="A8" s="11" t="s">
        <v>46</v>
      </c>
      <c r="B8" s="1" t="s">
        <v>47</v>
      </c>
      <c r="C8" s="1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10">
        <v>0</v>
      </c>
      <c r="AF8" s="1" t="s">
        <v>34</v>
      </c>
    </row>
    <row r="9" spans="1:32" x14ac:dyDescent="0.25">
      <c r="A9" s="11" t="s">
        <v>48</v>
      </c>
      <c r="B9" s="1" t="s">
        <v>49</v>
      </c>
      <c r="C9" s="1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10">
        <v>0</v>
      </c>
      <c r="AF9" s="1" t="s">
        <v>34</v>
      </c>
    </row>
    <row r="10" spans="1:32" x14ac:dyDescent="0.25">
      <c r="A10" s="11" t="s">
        <v>50</v>
      </c>
      <c r="B10" s="1" t="s">
        <v>51</v>
      </c>
      <c r="C10" s="1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6">
        <v>0</v>
      </c>
      <c r="AF10" s="1" t="s">
        <v>34</v>
      </c>
    </row>
    <row r="11" spans="1:32" x14ac:dyDescent="0.25">
      <c r="A11" s="11" t="s">
        <v>52</v>
      </c>
      <c r="B11" s="1" t="s">
        <v>53</v>
      </c>
      <c r="C11" s="1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9">
        <v>0</v>
      </c>
      <c r="AB11" s="5">
        <v>0</v>
      </c>
      <c r="AC11" s="6">
        <v>0</v>
      </c>
      <c r="AF11" s="1" t="s">
        <v>34</v>
      </c>
    </row>
    <row r="12" spans="1:32" x14ac:dyDescent="0.25">
      <c r="A12" s="1" t="s">
        <v>54</v>
      </c>
      <c r="B12" s="1" t="s">
        <v>55</v>
      </c>
      <c r="C12" s="1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6">
        <v>0</v>
      </c>
      <c r="AF12" s="1" t="s">
        <v>37</v>
      </c>
    </row>
    <row r="13" spans="1:32" x14ac:dyDescent="0.25">
      <c r="A13" s="1" t="s">
        <v>56</v>
      </c>
      <c r="B13" s="1" t="s">
        <v>57</v>
      </c>
      <c r="C13" s="1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6">
        <v>0</v>
      </c>
      <c r="AF13" s="1" t="s">
        <v>34</v>
      </c>
    </row>
    <row r="14" spans="1:32" x14ac:dyDescent="0.25">
      <c r="A14" s="1" t="s">
        <v>58</v>
      </c>
      <c r="B14" s="1" t="s">
        <v>59</v>
      </c>
      <c r="C14" s="1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6">
        <v>0</v>
      </c>
      <c r="AF14" s="1" t="s">
        <v>37</v>
      </c>
    </row>
    <row r="15" spans="1:32" x14ac:dyDescent="0.25">
      <c r="A15" s="1" t="s">
        <v>60</v>
      </c>
      <c r="B15" s="1" t="s">
        <v>61</v>
      </c>
      <c r="C15" s="1"/>
      <c r="D15" s="3"/>
      <c r="E15" s="3"/>
      <c r="F15" s="8">
        <v>2</v>
      </c>
      <c r="G15" s="3"/>
      <c r="H15" s="3"/>
      <c r="I15" s="3"/>
      <c r="J15" s="3"/>
      <c r="K15" s="8">
        <v>-1</v>
      </c>
      <c r="L15" s="3"/>
      <c r="M15" s="3"/>
      <c r="N15" s="3"/>
      <c r="O15" s="3"/>
      <c r="P15" s="3"/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6">
        <v>0</v>
      </c>
      <c r="AF15" s="1" t="s">
        <v>34</v>
      </c>
    </row>
    <row r="16" spans="1:32" x14ac:dyDescent="0.25">
      <c r="A16" s="1" t="s">
        <v>62</v>
      </c>
      <c r="B16" s="1" t="s">
        <v>63</v>
      </c>
      <c r="C16" s="1"/>
      <c r="D16" s="3"/>
      <c r="E16" s="8">
        <v>59</v>
      </c>
      <c r="F16" s="8">
        <v>55</v>
      </c>
      <c r="G16" s="8">
        <v>86</v>
      </c>
      <c r="H16" s="8">
        <v>42</v>
      </c>
      <c r="I16" s="8">
        <v>1</v>
      </c>
      <c r="J16" s="8">
        <v>1</v>
      </c>
      <c r="K16" s="8">
        <v>54</v>
      </c>
      <c r="L16" s="8">
        <v>66</v>
      </c>
      <c r="M16" s="3"/>
      <c r="N16" s="3"/>
      <c r="O16" s="3"/>
      <c r="P16" s="3"/>
      <c r="Q16" s="5">
        <v>0</v>
      </c>
      <c r="R16" s="9">
        <v>3.0102000000000002</v>
      </c>
      <c r="S16" s="4">
        <v>1.7742</v>
      </c>
      <c r="T16" s="4">
        <v>2.1078000000000001</v>
      </c>
      <c r="U16" s="9">
        <v>2.7450999999999999</v>
      </c>
      <c r="V16" s="5">
        <v>0</v>
      </c>
      <c r="W16" s="5">
        <v>0</v>
      </c>
      <c r="X16" s="9">
        <v>2.4544999999999999</v>
      </c>
      <c r="Y16" s="9">
        <v>3.0219999999999998</v>
      </c>
      <c r="Z16" s="5">
        <v>0</v>
      </c>
      <c r="AA16" s="5">
        <v>0</v>
      </c>
      <c r="AB16" s="5">
        <v>0</v>
      </c>
      <c r="AC16" s="6">
        <v>0</v>
      </c>
      <c r="AD16" s="4">
        <v>1.9410000000000001</v>
      </c>
      <c r="AE16" s="4">
        <v>1.9410000000000001</v>
      </c>
      <c r="AF16" s="1" t="s">
        <v>34</v>
      </c>
    </row>
    <row r="17" spans="1:32" x14ac:dyDescent="0.25">
      <c r="A17" s="1" t="s">
        <v>64</v>
      </c>
      <c r="B17" s="1" t="s">
        <v>65</v>
      </c>
      <c r="C17" s="1"/>
      <c r="D17" s="8">
        <v>40</v>
      </c>
      <c r="E17" s="8">
        <v>45</v>
      </c>
      <c r="F17" s="8">
        <v>19</v>
      </c>
      <c r="G17" s="8">
        <v>36</v>
      </c>
      <c r="H17" s="8">
        <v>93</v>
      </c>
      <c r="I17" s="8">
        <v>32</v>
      </c>
      <c r="J17" s="8">
        <v>7</v>
      </c>
      <c r="K17" s="8">
        <v>38</v>
      </c>
      <c r="L17" s="8">
        <v>30</v>
      </c>
      <c r="M17" s="8">
        <v>36</v>
      </c>
      <c r="N17" s="8">
        <v>40</v>
      </c>
      <c r="O17" s="8">
        <v>54</v>
      </c>
      <c r="P17" s="3"/>
      <c r="Q17" s="4">
        <v>1.2903</v>
      </c>
      <c r="R17" s="4">
        <v>2.1429</v>
      </c>
      <c r="S17" s="4">
        <v>0.6129</v>
      </c>
      <c r="T17" s="4">
        <v>0.88239999999999996</v>
      </c>
      <c r="U17" s="4">
        <v>1.7646999999999999</v>
      </c>
      <c r="V17" s="4">
        <v>1.7203999999999999</v>
      </c>
      <c r="W17" s="4">
        <v>0.41670000000000001</v>
      </c>
      <c r="X17" s="4">
        <v>1.2258</v>
      </c>
      <c r="Y17" s="4">
        <v>1.1904999999999999</v>
      </c>
      <c r="Z17" s="4">
        <v>1.1613</v>
      </c>
      <c r="AA17" s="4">
        <v>1.4815</v>
      </c>
      <c r="AB17" s="4">
        <v>1.34</v>
      </c>
      <c r="AC17" s="10">
        <v>0</v>
      </c>
      <c r="AD17" s="4">
        <v>1.2690999999999999</v>
      </c>
      <c r="AE17" s="4">
        <v>1.2690999999999999</v>
      </c>
      <c r="AF17" s="1" t="s">
        <v>37</v>
      </c>
    </row>
    <row r="18" spans="1:32" x14ac:dyDescent="0.25">
      <c r="A18" s="1" t="s">
        <v>66</v>
      </c>
      <c r="B18" s="1" t="s">
        <v>67</v>
      </c>
      <c r="C18" s="1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6">
        <v>0</v>
      </c>
      <c r="AF18" s="1" t="s">
        <v>37</v>
      </c>
    </row>
    <row r="19" spans="1:32" x14ac:dyDescent="0.25">
      <c r="A19" s="1" t="s">
        <v>68</v>
      </c>
      <c r="B19" s="1" t="s">
        <v>69</v>
      </c>
      <c r="C19" s="1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6">
        <v>0</v>
      </c>
      <c r="AF19" s="1" t="s">
        <v>37</v>
      </c>
    </row>
    <row r="20" spans="1:32" x14ac:dyDescent="0.25">
      <c r="A20" s="1" t="s">
        <v>70</v>
      </c>
      <c r="B20" s="1" t="s">
        <v>71</v>
      </c>
      <c r="C20" s="1"/>
      <c r="D20" s="8">
        <v>77</v>
      </c>
      <c r="E20" s="8">
        <v>69</v>
      </c>
      <c r="F20" s="8">
        <v>23</v>
      </c>
      <c r="G20" s="8">
        <v>40</v>
      </c>
      <c r="H20" s="8">
        <v>129</v>
      </c>
      <c r="I20" s="8">
        <v>48</v>
      </c>
      <c r="J20" s="8">
        <v>108</v>
      </c>
      <c r="K20" s="8">
        <v>74</v>
      </c>
      <c r="L20" s="8">
        <v>56</v>
      </c>
      <c r="M20" s="3"/>
      <c r="N20" s="8">
        <v>1</v>
      </c>
      <c r="O20" s="3"/>
      <c r="P20" s="3"/>
      <c r="Q20" s="4">
        <v>2.4839000000000002</v>
      </c>
      <c r="R20" s="4">
        <v>3.2856999999999998</v>
      </c>
      <c r="S20" s="4">
        <v>0.7419</v>
      </c>
      <c r="T20" s="9">
        <v>1.8382000000000001</v>
      </c>
      <c r="U20" s="9">
        <v>2.7101000000000002</v>
      </c>
      <c r="V20" s="4">
        <v>2.5806</v>
      </c>
      <c r="W20" s="4">
        <v>6.4286000000000003</v>
      </c>
      <c r="X20" s="4">
        <v>2.3871000000000002</v>
      </c>
      <c r="Y20" s="9">
        <v>4.1666999999999996</v>
      </c>
      <c r="Z20" s="5">
        <v>0</v>
      </c>
      <c r="AA20" s="5">
        <v>0</v>
      </c>
      <c r="AB20" s="5">
        <v>0</v>
      </c>
      <c r="AC20" s="6">
        <v>0</v>
      </c>
      <c r="AD20" s="4">
        <v>2.9845999999999999</v>
      </c>
      <c r="AE20" s="4">
        <v>2.9845999999999999</v>
      </c>
      <c r="AF20" s="1" t="s">
        <v>37</v>
      </c>
    </row>
    <row r="21" spans="1:32" x14ac:dyDescent="0.25">
      <c r="A21" s="11" t="s">
        <v>72</v>
      </c>
      <c r="B21" s="1" t="s">
        <v>73</v>
      </c>
      <c r="C21" s="1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6">
        <v>0</v>
      </c>
      <c r="AF21" s="1" t="s">
        <v>37</v>
      </c>
    </row>
    <row r="22" spans="1:32" x14ac:dyDescent="0.25">
      <c r="A22" s="11" t="s">
        <v>74</v>
      </c>
      <c r="B22" s="1" t="s">
        <v>75</v>
      </c>
      <c r="C22" s="1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6">
        <v>0</v>
      </c>
      <c r="AF22" s="1" t="s">
        <v>37</v>
      </c>
    </row>
    <row r="23" spans="1:32" x14ac:dyDescent="0.25">
      <c r="A23" s="11" t="s">
        <v>76</v>
      </c>
      <c r="B23" s="1" t="s">
        <v>77</v>
      </c>
      <c r="C23" s="1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6">
        <v>0</v>
      </c>
      <c r="AF23" s="1" t="s">
        <v>37</v>
      </c>
    </row>
    <row r="24" spans="1:32" x14ac:dyDescent="0.25">
      <c r="A24" s="11" t="s">
        <v>78</v>
      </c>
      <c r="B24" s="1" t="s">
        <v>79</v>
      </c>
      <c r="C24" s="1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6">
        <v>0</v>
      </c>
      <c r="AF24" s="1" t="s">
        <v>37</v>
      </c>
    </row>
    <row r="25" spans="1:32" x14ac:dyDescent="0.25">
      <c r="A25" s="1" t="s">
        <v>80</v>
      </c>
      <c r="B25" s="1" t="s">
        <v>81</v>
      </c>
      <c r="C25" s="1"/>
      <c r="D25" s="8">
        <v>3</v>
      </c>
      <c r="E25" s="8">
        <v>9</v>
      </c>
      <c r="F25" s="8">
        <v>4</v>
      </c>
      <c r="G25" s="3"/>
      <c r="H25" s="8">
        <v>5</v>
      </c>
      <c r="I25" s="8">
        <v>1</v>
      </c>
      <c r="J25" s="8">
        <v>12</v>
      </c>
      <c r="K25" s="3"/>
      <c r="L25" s="8">
        <v>2</v>
      </c>
      <c r="M25" s="3"/>
      <c r="N25" s="8">
        <v>7</v>
      </c>
      <c r="O25" s="8">
        <v>8</v>
      </c>
      <c r="P25" s="3"/>
      <c r="Q25" s="4">
        <v>9.6799999999999997E-2</v>
      </c>
      <c r="R25" s="4">
        <v>0.42859999999999998</v>
      </c>
      <c r="S25" s="4">
        <v>0.129</v>
      </c>
      <c r="T25" s="4">
        <v>0</v>
      </c>
      <c r="U25" s="4">
        <v>9.4899999999999998E-2</v>
      </c>
      <c r="V25" s="4">
        <v>5.3800000000000001E-2</v>
      </c>
      <c r="W25" s="4">
        <v>0.71430000000000005</v>
      </c>
      <c r="X25" s="4">
        <v>0</v>
      </c>
      <c r="Y25" s="4">
        <v>7.9399999999999998E-2</v>
      </c>
      <c r="Z25" s="4">
        <v>0</v>
      </c>
      <c r="AA25" s="4">
        <v>0.25929999999999997</v>
      </c>
      <c r="AB25" s="4">
        <v>0.19850000000000001</v>
      </c>
      <c r="AC25" s="10">
        <v>0</v>
      </c>
      <c r="AD25" s="4">
        <v>0.17119999999999999</v>
      </c>
      <c r="AE25" s="4">
        <v>0.17119999999999999</v>
      </c>
      <c r="AF25" s="1" t="s">
        <v>34</v>
      </c>
    </row>
    <row r="26" spans="1:32" x14ac:dyDescent="0.25">
      <c r="A26" s="1" t="s">
        <v>82</v>
      </c>
      <c r="B26" s="1" t="s">
        <v>83</v>
      </c>
      <c r="C26" s="1"/>
      <c r="D26" s="8">
        <v>3</v>
      </c>
      <c r="E26" s="8">
        <v>12</v>
      </c>
      <c r="F26" s="8">
        <v>7</v>
      </c>
      <c r="G26" s="8">
        <v>13</v>
      </c>
      <c r="H26" s="8">
        <v>10</v>
      </c>
      <c r="I26" s="8">
        <v>12</v>
      </c>
      <c r="J26" s="3"/>
      <c r="K26" s="3"/>
      <c r="L26" s="3"/>
      <c r="M26" s="3"/>
      <c r="N26" s="3"/>
      <c r="O26" s="3"/>
      <c r="P26" s="3"/>
      <c r="Q26" s="4">
        <v>9.6799999999999997E-2</v>
      </c>
      <c r="R26" s="4">
        <v>0.57140000000000002</v>
      </c>
      <c r="S26" s="4">
        <v>0.2258</v>
      </c>
      <c r="T26" s="4">
        <v>0.31859999999999999</v>
      </c>
      <c r="U26" s="4">
        <v>0.1898</v>
      </c>
      <c r="V26" s="9">
        <v>3.3332999999999999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6">
        <v>0</v>
      </c>
      <c r="AD26" s="4">
        <v>0.28050000000000003</v>
      </c>
      <c r="AE26" s="4">
        <v>0.28050000000000003</v>
      </c>
      <c r="AF26" s="1" t="s">
        <v>34</v>
      </c>
    </row>
    <row r="27" spans="1:32" x14ac:dyDescent="0.25">
      <c r="A27" s="1" t="s">
        <v>84</v>
      </c>
      <c r="B27" s="1" t="s">
        <v>85</v>
      </c>
      <c r="C27" s="1"/>
      <c r="D27" s="8">
        <v>5</v>
      </c>
      <c r="E27" s="8">
        <v>27</v>
      </c>
      <c r="F27" s="8">
        <v>5</v>
      </c>
      <c r="G27" s="8">
        <v>11</v>
      </c>
      <c r="H27" s="8">
        <v>7</v>
      </c>
      <c r="I27" s="8">
        <v>4</v>
      </c>
      <c r="J27" s="8">
        <v>12</v>
      </c>
      <c r="K27" s="8">
        <v>11</v>
      </c>
      <c r="L27" s="8">
        <v>14</v>
      </c>
      <c r="M27" s="8">
        <v>12</v>
      </c>
      <c r="N27" s="8">
        <v>10</v>
      </c>
      <c r="O27" s="8">
        <v>29</v>
      </c>
      <c r="P27" s="3"/>
      <c r="Q27" s="4">
        <v>0.1613</v>
      </c>
      <c r="R27" s="4">
        <v>1.2857000000000001</v>
      </c>
      <c r="S27" s="4">
        <v>0.1613</v>
      </c>
      <c r="T27" s="4">
        <v>0.26960000000000001</v>
      </c>
      <c r="U27" s="4">
        <v>0.1328</v>
      </c>
      <c r="V27" s="4">
        <v>0.21510000000000001</v>
      </c>
      <c r="W27" s="4">
        <v>0.71430000000000005</v>
      </c>
      <c r="X27" s="4">
        <v>0.3548</v>
      </c>
      <c r="Y27" s="4">
        <v>0.55559999999999998</v>
      </c>
      <c r="Z27" s="4">
        <v>0.3871</v>
      </c>
      <c r="AA27" s="4">
        <v>0.37040000000000001</v>
      </c>
      <c r="AB27" s="4">
        <v>0.71960000000000002</v>
      </c>
      <c r="AC27" s="10">
        <v>0</v>
      </c>
      <c r="AD27" s="4">
        <v>0.44400000000000001</v>
      </c>
      <c r="AE27" s="4">
        <v>0.44400000000000001</v>
      </c>
      <c r="AF27" s="1" t="s">
        <v>34</v>
      </c>
    </row>
    <row r="28" spans="1:32" x14ac:dyDescent="0.25">
      <c r="A28" s="1" t="s">
        <v>86</v>
      </c>
      <c r="B28" s="1" t="s">
        <v>87</v>
      </c>
      <c r="C28" s="1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6">
        <v>0</v>
      </c>
      <c r="AF28" s="1" t="s">
        <v>34</v>
      </c>
    </row>
    <row r="29" spans="1:32" x14ac:dyDescent="0.25">
      <c r="A29" s="1" t="s">
        <v>88</v>
      </c>
      <c r="B29" s="1" t="s">
        <v>89</v>
      </c>
      <c r="C29" s="1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6">
        <v>0</v>
      </c>
      <c r="AF29" s="1" t="s">
        <v>34</v>
      </c>
    </row>
    <row r="30" spans="1:32" x14ac:dyDescent="0.25">
      <c r="A30" s="1" t="s">
        <v>90</v>
      </c>
      <c r="B30" s="1" t="s">
        <v>91</v>
      </c>
      <c r="C30" s="1"/>
      <c r="D30" s="8">
        <v>3</v>
      </c>
      <c r="E30" s="8">
        <v>9</v>
      </c>
      <c r="F30" s="8">
        <v>12</v>
      </c>
      <c r="G30" s="8">
        <v>10</v>
      </c>
      <c r="H30" s="8">
        <v>4</v>
      </c>
      <c r="I30" s="8">
        <v>4</v>
      </c>
      <c r="J30" s="8">
        <v>2</v>
      </c>
      <c r="K30" s="8">
        <v>6</v>
      </c>
      <c r="L30" s="8">
        <v>3</v>
      </c>
      <c r="M30" s="8">
        <v>2</v>
      </c>
      <c r="N30" s="3"/>
      <c r="O30" s="8">
        <v>1</v>
      </c>
      <c r="P30" s="3"/>
      <c r="Q30" s="4">
        <v>9.6799999999999997E-2</v>
      </c>
      <c r="R30" s="4">
        <v>0.42859999999999998</v>
      </c>
      <c r="S30" s="4">
        <v>0.3871</v>
      </c>
      <c r="T30" s="4">
        <v>0.24510000000000001</v>
      </c>
      <c r="U30" s="4">
        <v>7.5899999999999995E-2</v>
      </c>
      <c r="V30" s="4">
        <v>0.21510000000000001</v>
      </c>
      <c r="W30" s="4">
        <v>0.11899999999999999</v>
      </c>
      <c r="X30" s="4">
        <v>0.19350000000000001</v>
      </c>
      <c r="Y30" s="9">
        <v>0.13739999999999999</v>
      </c>
      <c r="Z30" s="5">
        <v>0</v>
      </c>
      <c r="AA30" s="5">
        <v>0</v>
      </c>
      <c r="AB30" s="5">
        <v>0</v>
      </c>
      <c r="AC30" s="6">
        <v>0</v>
      </c>
      <c r="AD30" s="4">
        <v>0.22009999999999999</v>
      </c>
      <c r="AE30" s="4">
        <v>0.22009999999999999</v>
      </c>
      <c r="AF30" s="1" t="s">
        <v>34</v>
      </c>
    </row>
    <row r="31" spans="1:32" x14ac:dyDescent="0.25">
      <c r="A31" s="1" t="s">
        <v>92</v>
      </c>
      <c r="B31" s="1" t="s">
        <v>93</v>
      </c>
      <c r="C31" s="1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6">
        <v>0</v>
      </c>
      <c r="AF31" s="1" t="s">
        <v>34</v>
      </c>
    </row>
    <row r="32" spans="1:32" x14ac:dyDescent="0.25">
      <c r="A32" s="1" t="s">
        <v>94</v>
      </c>
      <c r="B32" s="1" t="s">
        <v>95</v>
      </c>
      <c r="C32" s="1"/>
      <c r="D32" s="8">
        <v>9</v>
      </c>
      <c r="E32" s="8">
        <v>4</v>
      </c>
      <c r="F32" s="3"/>
      <c r="G32" s="8">
        <v>2</v>
      </c>
      <c r="H32" s="8">
        <v>2</v>
      </c>
      <c r="I32" s="8">
        <v>2</v>
      </c>
      <c r="J32" s="3"/>
      <c r="K32" s="8">
        <v>1</v>
      </c>
      <c r="L32" s="8">
        <v>4</v>
      </c>
      <c r="M32" s="8">
        <v>1</v>
      </c>
      <c r="N32" s="8">
        <v>3</v>
      </c>
      <c r="O32" s="3"/>
      <c r="P32" s="3"/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6">
        <v>0</v>
      </c>
      <c r="AF32" s="1" t="s">
        <v>34</v>
      </c>
    </row>
    <row r="33" spans="1:32" x14ac:dyDescent="0.25">
      <c r="A33" s="1" t="s">
        <v>96</v>
      </c>
      <c r="B33" s="1" t="s">
        <v>97</v>
      </c>
      <c r="C33" s="1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6">
        <v>0</v>
      </c>
      <c r="AF33" s="1" t="s">
        <v>37</v>
      </c>
    </row>
    <row r="34" spans="1:32" x14ac:dyDescent="0.25">
      <c r="A34" s="1" t="s">
        <v>98</v>
      </c>
      <c r="B34" s="1" t="s">
        <v>99</v>
      </c>
      <c r="C34" s="1"/>
      <c r="D34" s="3"/>
      <c r="E34" s="3"/>
      <c r="F34" s="3"/>
      <c r="G34" s="8">
        <v>1</v>
      </c>
      <c r="H34" s="3"/>
      <c r="I34" s="3"/>
      <c r="J34" s="3"/>
      <c r="K34" s="3"/>
      <c r="L34" s="3"/>
      <c r="M34" s="8">
        <v>-1</v>
      </c>
      <c r="N34" s="3"/>
      <c r="O34" s="8">
        <v>1</v>
      </c>
      <c r="P34" s="3"/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6">
        <v>0</v>
      </c>
      <c r="AF34" s="1" t="s">
        <v>34</v>
      </c>
    </row>
    <row r="35" spans="1:32" x14ac:dyDescent="0.25">
      <c r="A35" s="1" t="s">
        <v>100</v>
      </c>
      <c r="B35" s="1" t="s">
        <v>101</v>
      </c>
      <c r="C35" s="1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6">
        <v>0</v>
      </c>
      <c r="AF35" s="1" t="s">
        <v>34</v>
      </c>
    </row>
    <row r="36" spans="1:32" x14ac:dyDescent="0.25">
      <c r="A36" s="11" t="s">
        <v>102</v>
      </c>
      <c r="B36" s="1" t="s">
        <v>103</v>
      </c>
      <c r="C36" s="1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6">
        <v>0</v>
      </c>
      <c r="AF36" s="1" t="s">
        <v>37</v>
      </c>
    </row>
    <row r="37" spans="1:32" x14ac:dyDescent="0.25">
      <c r="A37" s="11" t="s">
        <v>104</v>
      </c>
      <c r="B37" s="1" t="s">
        <v>105</v>
      </c>
      <c r="C37" s="1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6">
        <v>0</v>
      </c>
      <c r="AF37" s="1" t="s">
        <v>37</v>
      </c>
    </row>
    <row r="38" spans="1:32" x14ac:dyDescent="0.25">
      <c r="A38" s="11" t="s">
        <v>106</v>
      </c>
      <c r="B38" s="1" t="s">
        <v>107</v>
      </c>
      <c r="C38" s="1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10">
        <v>0</v>
      </c>
      <c r="AF38" s="1" t="s">
        <v>37</v>
      </c>
    </row>
    <row r="39" spans="1:32" x14ac:dyDescent="0.25">
      <c r="A39" s="11" t="s">
        <v>108</v>
      </c>
      <c r="B39" s="1" t="s">
        <v>109</v>
      </c>
      <c r="C39" s="1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10">
        <v>0</v>
      </c>
      <c r="AF39" s="1" t="s">
        <v>37</v>
      </c>
    </row>
    <row r="40" spans="1:32" x14ac:dyDescent="0.25">
      <c r="A40" s="1" t="s">
        <v>110</v>
      </c>
      <c r="B40" s="1" t="s">
        <v>111</v>
      </c>
      <c r="C40" s="1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6">
        <v>0</v>
      </c>
      <c r="AF40" s="1" t="s">
        <v>37</v>
      </c>
    </row>
    <row r="41" spans="1:32" x14ac:dyDescent="0.25">
      <c r="A41" s="1" t="s">
        <v>112</v>
      </c>
      <c r="B41" s="1" t="s">
        <v>113</v>
      </c>
      <c r="C41" s="1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6">
        <v>0</v>
      </c>
      <c r="AF41" s="1" t="s">
        <v>34</v>
      </c>
    </row>
    <row r="42" spans="1:32" x14ac:dyDescent="0.25">
      <c r="A42" s="1" t="s">
        <v>114</v>
      </c>
      <c r="B42" s="1" t="s">
        <v>115</v>
      </c>
      <c r="C42" s="1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6">
        <v>0</v>
      </c>
      <c r="AF42" s="1" t="s">
        <v>37</v>
      </c>
    </row>
    <row r="43" spans="1:32" x14ac:dyDescent="0.25">
      <c r="A43" s="1" t="s">
        <v>116</v>
      </c>
      <c r="B43" s="1" t="s">
        <v>117</v>
      </c>
      <c r="C43" s="1"/>
      <c r="D43" s="3"/>
      <c r="E43" s="3"/>
      <c r="F43" s="3"/>
      <c r="G43" s="8">
        <v>1</v>
      </c>
      <c r="H43" s="8">
        <v>106</v>
      </c>
      <c r="I43" s="8">
        <v>12</v>
      </c>
      <c r="J43" s="8">
        <v>3</v>
      </c>
      <c r="K43" s="8">
        <v>2</v>
      </c>
      <c r="L43" s="8">
        <v>13</v>
      </c>
      <c r="M43" s="8">
        <v>6</v>
      </c>
      <c r="N43" s="8">
        <v>54</v>
      </c>
      <c r="O43" s="8">
        <v>21</v>
      </c>
      <c r="P43" s="3"/>
      <c r="Q43" s="5">
        <v>0</v>
      </c>
      <c r="R43" s="5">
        <v>0</v>
      </c>
      <c r="S43" s="5">
        <v>0</v>
      </c>
      <c r="T43" s="5">
        <v>0</v>
      </c>
      <c r="U43" s="9">
        <v>2.2269000000000001</v>
      </c>
      <c r="V43" s="4">
        <v>0.6452</v>
      </c>
      <c r="W43" s="4">
        <v>0.17860000000000001</v>
      </c>
      <c r="X43" s="4">
        <v>6.4500000000000002E-2</v>
      </c>
      <c r="Y43" s="4">
        <v>0.51590000000000003</v>
      </c>
      <c r="Z43" s="4">
        <v>0.19350000000000001</v>
      </c>
      <c r="AA43" s="4">
        <v>2</v>
      </c>
      <c r="AB43" s="4">
        <v>0.52110000000000001</v>
      </c>
      <c r="AC43" s="10">
        <v>0</v>
      </c>
      <c r="AD43" s="4">
        <v>0.58840000000000003</v>
      </c>
      <c r="AE43" s="4">
        <v>0.58840000000000003</v>
      </c>
      <c r="AF43" s="1" t="s">
        <v>37</v>
      </c>
    </row>
    <row r="44" spans="1:32" x14ac:dyDescent="0.25">
      <c r="A44" s="1" t="s">
        <v>118</v>
      </c>
      <c r="B44" s="1" t="s">
        <v>119</v>
      </c>
      <c r="C44" s="1"/>
      <c r="D44" s="8">
        <v>94</v>
      </c>
      <c r="E44" s="8">
        <v>245</v>
      </c>
      <c r="F44" s="3"/>
      <c r="G44" s="3"/>
      <c r="H44" s="8">
        <v>120</v>
      </c>
      <c r="I44" s="8">
        <v>74</v>
      </c>
      <c r="J44" s="8">
        <v>28</v>
      </c>
      <c r="K44" s="8">
        <v>5</v>
      </c>
      <c r="L44" s="8">
        <v>23</v>
      </c>
      <c r="M44" s="8">
        <v>27</v>
      </c>
      <c r="N44" s="8">
        <v>170</v>
      </c>
      <c r="O44" s="8">
        <v>61</v>
      </c>
      <c r="P44" s="3"/>
      <c r="Q44" s="4">
        <v>3.0323000000000002</v>
      </c>
      <c r="R44" s="9">
        <v>12.069000000000001</v>
      </c>
      <c r="S44" s="5">
        <v>0</v>
      </c>
      <c r="T44" s="5">
        <v>0</v>
      </c>
      <c r="U44" s="9">
        <v>4.7058999999999997</v>
      </c>
      <c r="V44" s="9">
        <v>5.3623000000000003</v>
      </c>
      <c r="W44" s="4">
        <v>1.6667000000000001</v>
      </c>
      <c r="X44" s="4">
        <v>0.1613</v>
      </c>
      <c r="Y44" s="4">
        <v>0.91269999999999996</v>
      </c>
      <c r="Z44" s="4">
        <v>0.871</v>
      </c>
      <c r="AA44" s="4">
        <v>6.2962999999999996</v>
      </c>
      <c r="AB44" s="4">
        <v>1.5136000000000001</v>
      </c>
      <c r="AC44" s="10">
        <v>0</v>
      </c>
      <c r="AD44" s="4">
        <v>2.0648</v>
      </c>
      <c r="AE44" s="4">
        <v>2.0648</v>
      </c>
      <c r="AF44" s="1" t="s">
        <v>37</v>
      </c>
    </row>
    <row r="45" spans="1:32" x14ac:dyDescent="0.25">
      <c r="A45" s="1" t="s">
        <v>120</v>
      </c>
      <c r="B45" s="1" t="s">
        <v>121</v>
      </c>
      <c r="C45" s="1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6">
        <v>0</v>
      </c>
      <c r="AF45" s="1" t="s">
        <v>34</v>
      </c>
    </row>
    <row r="46" spans="1:32" x14ac:dyDescent="0.25">
      <c r="A46" s="1" t="s">
        <v>122</v>
      </c>
      <c r="B46" s="1" t="s">
        <v>123</v>
      </c>
      <c r="C46" s="1"/>
      <c r="D46" s="8">
        <v>37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9">
        <v>7.4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6">
        <v>0</v>
      </c>
      <c r="AF46" s="1" t="s">
        <v>34</v>
      </c>
    </row>
    <row r="47" spans="1:32" x14ac:dyDescent="0.25">
      <c r="A47" s="1" t="s">
        <v>124</v>
      </c>
      <c r="B47" s="1" t="s">
        <v>125</v>
      </c>
      <c r="C47" s="1"/>
      <c r="D47" s="3"/>
      <c r="E47" s="3"/>
      <c r="F47" s="3"/>
      <c r="G47" s="3"/>
      <c r="H47" s="3"/>
      <c r="I47" s="3"/>
      <c r="J47" s="3"/>
      <c r="K47" s="3"/>
      <c r="L47" s="3"/>
      <c r="M47" s="8">
        <v>6</v>
      </c>
      <c r="N47" s="8">
        <v>13</v>
      </c>
      <c r="O47" s="8">
        <v>3</v>
      </c>
      <c r="P47" s="8">
        <v>10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9">
        <v>0</v>
      </c>
      <c r="Z47" s="4">
        <v>0.19350000000000001</v>
      </c>
      <c r="AA47" s="4">
        <v>0.48149999999999998</v>
      </c>
      <c r="AB47" s="4">
        <v>7.4399999999999994E-2</v>
      </c>
      <c r="AC47" s="10">
        <v>0.3226</v>
      </c>
      <c r="AD47" s="4">
        <v>0.24979999999999999</v>
      </c>
      <c r="AE47" s="4">
        <v>0.24979999999999999</v>
      </c>
      <c r="AF47" s="1" t="s">
        <v>37</v>
      </c>
    </row>
    <row r="48" spans="1:32" x14ac:dyDescent="0.25">
      <c r="A48" s="1" t="s">
        <v>126</v>
      </c>
      <c r="B48" s="1" t="s">
        <v>127</v>
      </c>
      <c r="C48" s="1"/>
      <c r="D48" s="3"/>
      <c r="E48" s="3"/>
      <c r="F48" s="3"/>
      <c r="G48" s="3"/>
      <c r="H48" s="3"/>
      <c r="I48" s="3"/>
      <c r="J48" s="3"/>
      <c r="K48" s="3"/>
      <c r="L48" s="3"/>
      <c r="M48" s="8">
        <v>1</v>
      </c>
      <c r="N48" s="8">
        <v>11</v>
      </c>
      <c r="O48" s="8">
        <v>12</v>
      </c>
      <c r="P48" s="3"/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9">
        <v>0</v>
      </c>
      <c r="Z48" s="4">
        <v>3.2300000000000002E-2</v>
      </c>
      <c r="AA48" s="4">
        <v>0.40739999999999998</v>
      </c>
      <c r="AB48" s="4">
        <v>0.29780000000000001</v>
      </c>
      <c r="AC48" s="10">
        <v>0</v>
      </c>
      <c r="AD48" s="4">
        <v>0.24579999999999999</v>
      </c>
      <c r="AE48" s="4">
        <v>0.24579999999999999</v>
      </c>
      <c r="AF48" s="1" t="s">
        <v>37</v>
      </c>
    </row>
    <row r="49" spans="1:32" x14ac:dyDescent="0.25">
      <c r="A49" s="1" t="s">
        <v>128</v>
      </c>
      <c r="B49" s="1" t="s">
        <v>129</v>
      </c>
      <c r="C49" s="1"/>
      <c r="D49" s="8">
        <v>6</v>
      </c>
      <c r="E49" s="8">
        <v>28</v>
      </c>
      <c r="F49" s="8">
        <v>6</v>
      </c>
      <c r="G49" s="8">
        <v>38</v>
      </c>
      <c r="H49" s="3"/>
      <c r="I49" s="8">
        <v>18</v>
      </c>
      <c r="J49" s="8">
        <v>10</v>
      </c>
      <c r="K49" s="8">
        <v>18</v>
      </c>
      <c r="L49" s="8">
        <v>10</v>
      </c>
      <c r="M49" s="8">
        <v>10</v>
      </c>
      <c r="N49" s="8">
        <v>3</v>
      </c>
      <c r="O49" s="8">
        <v>27</v>
      </c>
      <c r="P49" s="3"/>
      <c r="Q49" s="9">
        <v>1</v>
      </c>
      <c r="R49" s="9">
        <v>1.4286000000000001</v>
      </c>
      <c r="S49" s="4">
        <v>0.19350000000000001</v>
      </c>
      <c r="T49" s="4">
        <v>0.93140000000000001</v>
      </c>
      <c r="U49" s="4">
        <v>0</v>
      </c>
      <c r="V49" s="4">
        <v>0.9677</v>
      </c>
      <c r="W49" s="4">
        <v>0.59519999999999995</v>
      </c>
      <c r="X49" s="4">
        <v>0.5806</v>
      </c>
      <c r="Y49" s="4">
        <v>0.39679999999999999</v>
      </c>
      <c r="Z49" s="4">
        <v>0.3226</v>
      </c>
      <c r="AA49" s="4">
        <v>0.1111</v>
      </c>
      <c r="AB49" s="4">
        <v>0.67</v>
      </c>
      <c r="AC49" s="10">
        <v>0</v>
      </c>
      <c r="AD49" s="4">
        <v>0.47689999999999999</v>
      </c>
      <c r="AE49" s="4">
        <v>0.47689999999999999</v>
      </c>
      <c r="AF49" s="1" t="s">
        <v>37</v>
      </c>
    </row>
    <row r="50" spans="1:32" x14ac:dyDescent="0.25">
      <c r="A50" s="1" t="s">
        <v>130</v>
      </c>
      <c r="B50" s="1" t="s">
        <v>131</v>
      </c>
      <c r="C50" s="1"/>
      <c r="D50" s="8">
        <v>155</v>
      </c>
      <c r="E50" s="3"/>
      <c r="F50" s="3"/>
      <c r="G50" s="3"/>
      <c r="H50" s="8">
        <v>74</v>
      </c>
      <c r="I50" s="8">
        <v>103</v>
      </c>
      <c r="J50" s="8">
        <v>6</v>
      </c>
      <c r="K50" s="8">
        <v>10</v>
      </c>
      <c r="L50" s="8">
        <v>47</v>
      </c>
      <c r="M50" s="8">
        <v>114</v>
      </c>
      <c r="N50" s="8">
        <v>10</v>
      </c>
      <c r="O50" s="8">
        <v>110</v>
      </c>
      <c r="P50" s="8">
        <v>6</v>
      </c>
      <c r="Q50" s="9">
        <v>7.3810000000000002</v>
      </c>
      <c r="R50" s="9">
        <v>0</v>
      </c>
      <c r="S50" s="5">
        <v>0</v>
      </c>
      <c r="T50" s="5">
        <v>0</v>
      </c>
      <c r="U50" s="9">
        <v>1.5546</v>
      </c>
      <c r="V50" s="4">
        <v>5.5376000000000003</v>
      </c>
      <c r="W50" s="4">
        <v>0.35709999999999997</v>
      </c>
      <c r="X50" s="4">
        <v>0.3226</v>
      </c>
      <c r="Y50" s="9">
        <v>55.952399999999997</v>
      </c>
      <c r="Z50" s="4">
        <v>3.6774</v>
      </c>
      <c r="AA50" s="4">
        <v>0.37040000000000001</v>
      </c>
      <c r="AB50" s="4">
        <v>2.7294999999999998</v>
      </c>
      <c r="AC50" s="6">
        <v>2</v>
      </c>
      <c r="AD50" s="4">
        <v>2.1657999999999999</v>
      </c>
      <c r="AE50" s="4">
        <v>2.1657999999999999</v>
      </c>
      <c r="AF50" s="1" t="s">
        <v>37</v>
      </c>
    </row>
    <row r="51" spans="1:32" x14ac:dyDescent="0.25">
      <c r="A51" s="1" t="s">
        <v>132</v>
      </c>
      <c r="B51" s="1" t="s">
        <v>133</v>
      </c>
      <c r="C51" s="1"/>
      <c r="D51" s="3"/>
      <c r="E51" s="3"/>
      <c r="F51" s="3"/>
      <c r="G51" s="3"/>
      <c r="H51" s="8">
        <v>32</v>
      </c>
      <c r="I51" s="8">
        <v>16</v>
      </c>
      <c r="J51" s="8">
        <v>8</v>
      </c>
      <c r="K51" s="8">
        <v>15</v>
      </c>
      <c r="L51" s="8">
        <v>21</v>
      </c>
      <c r="M51" s="8">
        <v>8</v>
      </c>
      <c r="N51" s="8">
        <v>86</v>
      </c>
      <c r="O51" s="8">
        <v>44</v>
      </c>
      <c r="P51" s="3"/>
      <c r="Q51" s="5">
        <v>0</v>
      </c>
      <c r="R51" s="5">
        <v>0</v>
      </c>
      <c r="S51" s="5">
        <v>0</v>
      </c>
      <c r="T51" s="5">
        <v>0</v>
      </c>
      <c r="U51" s="9">
        <v>0.67230000000000001</v>
      </c>
      <c r="V51" s="4">
        <v>0.86019999999999996</v>
      </c>
      <c r="W51" s="4">
        <v>0.47620000000000001</v>
      </c>
      <c r="X51" s="4">
        <v>0.4839</v>
      </c>
      <c r="Y51" s="4">
        <v>0.83330000000000004</v>
      </c>
      <c r="Z51" s="4">
        <v>0.2581</v>
      </c>
      <c r="AA51" s="4">
        <v>3.1852</v>
      </c>
      <c r="AB51" s="4">
        <v>1.0918000000000001</v>
      </c>
      <c r="AC51" s="10">
        <v>0</v>
      </c>
      <c r="AD51" s="4">
        <v>1.0269999999999999</v>
      </c>
      <c r="AE51" s="4">
        <v>1.0269999999999999</v>
      </c>
      <c r="AF51" s="1" t="s">
        <v>34</v>
      </c>
    </row>
    <row r="52" spans="1:32" x14ac:dyDescent="0.25">
      <c r="A52" s="1" t="s">
        <v>134</v>
      </c>
      <c r="B52" s="1" t="s">
        <v>135</v>
      </c>
      <c r="C52" s="1"/>
      <c r="D52" s="3"/>
      <c r="E52" s="3"/>
      <c r="F52" s="3"/>
      <c r="G52" s="3"/>
      <c r="H52" s="8">
        <v>30</v>
      </c>
      <c r="I52" s="8">
        <v>10</v>
      </c>
      <c r="J52" s="8">
        <v>8</v>
      </c>
      <c r="K52" s="3"/>
      <c r="L52" s="8">
        <v>9</v>
      </c>
      <c r="M52" s="8">
        <v>6</v>
      </c>
      <c r="N52" s="8">
        <v>80</v>
      </c>
      <c r="O52" s="8">
        <v>6</v>
      </c>
      <c r="P52" s="3"/>
      <c r="Q52" s="5">
        <v>0</v>
      </c>
      <c r="R52" s="5">
        <v>0</v>
      </c>
      <c r="S52" s="5">
        <v>0</v>
      </c>
      <c r="T52" s="5">
        <v>0</v>
      </c>
      <c r="U52" s="9">
        <v>0.63029999999999997</v>
      </c>
      <c r="V52" s="4">
        <v>0.53759999999999997</v>
      </c>
      <c r="W52" s="4">
        <v>0.47620000000000001</v>
      </c>
      <c r="X52" s="4">
        <v>0</v>
      </c>
      <c r="Y52" s="4">
        <v>0.35709999999999997</v>
      </c>
      <c r="Z52" s="4">
        <v>0.19350000000000001</v>
      </c>
      <c r="AA52" s="4">
        <v>2.9630000000000001</v>
      </c>
      <c r="AB52" s="4">
        <v>0.1489</v>
      </c>
      <c r="AC52" s="10">
        <v>0</v>
      </c>
      <c r="AD52" s="4">
        <v>0.66800000000000004</v>
      </c>
      <c r="AE52" s="4">
        <v>0.66800000000000004</v>
      </c>
      <c r="AF52" s="1" t="s">
        <v>34</v>
      </c>
    </row>
    <row r="53" spans="1:32" x14ac:dyDescent="0.25">
      <c r="A53" s="1" t="s">
        <v>136</v>
      </c>
      <c r="B53" s="1" t="s">
        <v>137</v>
      </c>
      <c r="C53" s="1"/>
      <c r="D53" s="3"/>
      <c r="E53" s="3"/>
      <c r="F53" s="3"/>
      <c r="G53" s="3"/>
      <c r="H53" s="3"/>
      <c r="I53" s="8">
        <v>5</v>
      </c>
      <c r="J53" s="8">
        <v>17</v>
      </c>
      <c r="K53" s="8">
        <v>1</v>
      </c>
      <c r="L53" s="8">
        <v>50</v>
      </c>
      <c r="M53" s="8">
        <v>8</v>
      </c>
      <c r="N53" s="8">
        <v>59</v>
      </c>
      <c r="O53" s="8">
        <v>11</v>
      </c>
      <c r="P53" s="3"/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9">
        <v>0.36230000000000001</v>
      </c>
      <c r="W53" s="4">
        <v>1.0119</v>
      </c>
      <c r="X53" s="4">
        <v>3.2300000000000002E-2</v>
      </c>
      <c r="Y53" s="4">
        <v>1.9841</v>
      </c>
      <c r="Z53" s="4">
        <v>0.2581</v>
      </c>
      <c r="AA53" s="4">
        <v>2.1852</v>
      </c>
      <c r="AB53" s="5">
        <v>0</v>
      </c>
      <c r="AC53" s="6">
        <v>0</v>
      </c>
      <c r="AD53" s="4">
        <v>1.0943000000000001</v>
      </c>
      <c r="AE53" s="4">
        <v>1.0943000000000001</v>
      </c>
      <c r="AF53" s="1" t="s">
        <v>37</v>
      </c>
    </row>
    <row r="54" spans="1:32" x14ac:dyDescent="0.25">
      <c r="A54" s="1" t="s">
        <v>138</v>
      </c>
      <c r="B54" s="1" t="s">
        <v>139</v>
      </c>
      <c r="C54" s="1"/>
      <c r="D54" s="3"/>
      <c r="E54" s="3"/>
      <c r="F54" s="3"/>
      <c r="G54" s="3"/>
      <c r="H54" s="3"/>
      <c r="I54" s="8">
        <v>3</v>
      </c>
      <c r="J54" s="8">
        <v>130</v>
      </c>
      <c r="K54" s="8">
        <v>67</v>
      </c>
      <c r="L54" s="8">
        <v>167</v>
      </c>
      <c r="M54" s="8">
        <v>34</v>
      </c>
      <c r="N54" s="8">
        <v>35</v>
      </c>
      <c r="O54" s="8">
        <v>89</v>
      </c>
      <c r="P54" s="8">
        <v>10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9">
        <v>0.21740000000000001</v>
      </c>
      <c r="W54" s="4">
        <v>7.7381000000000002</v>
      </c>
      <c r="X54" s="4">
        <v>2.1613000000000002</v>
      </c>
      <c r="Y54" s="4">
        <v>6.6269999999999998</v>
      </c>
      <c r="Z54" s="4">
        <v>1.0968</v>
      </c>
      <c r="AA54" s="4">
        <v>1.2963</v>
      </c>
      <c r="AB54" s="4">
        <v>2.2084000000000001</v>
      </c>
      <c r="AC54" s="10">
        <v>0.3226</v>
      </c>
      <c r="AD54" s="4">
        <v>3.5213000000000001</v>
      </c>
      <c r="AE54" s="4">
        <v>3.5213000000000001</v>
      </c>
      <c r="AF54" s="1" t="s">
        <v>37</v>
      </c>
    </row>
    <row r="55" spans="1:32" x14ac:dyDescent="0.25">
      <c r="A55" s="1" t="s">
        <v>140</v>
      </c>
      <c r="B55" s="1" t="s">
        <v>141</v>
      </c>
      <c r="C55" s="1"/>
      <c r="D55" s="3"/>
      <c r="E55" s="3"/>
      <c r="F55" s="3"/>
      <c r="G55" s="3"/>
      <c r="H55" s="3"/>
      <c r="I55" s="3"/>
      <c r="J55" s="3"/>
      <c r="K55" s="3"/>
      <c r="L55" s="3"/>
      <c r="M55" s="8">
        <v>76</v>
      </c>
      <c r="N55" s="8">
        <v>87</v>
      </c>
      <c r="O55" s="8">
        <v>103</v>
      </c>
      <c r="P55" s="8">
        <v>10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9">
        <v>0</v>
      </c>
      <c r="Z55" s="4">
        <v>2.4516</v>
      </c>
      <c r="AA55" s="4">
        <v>3.2222</v>
      </c>
      <c r="AB55" s="4">
        <v>2.5558000000000001</v>
      </c>
      <c r="AC55" s="10">
        <v>0.3226</v>
      </c>
      <c r="AD55" s="4">
        <v>2.7431999999999999</v>
      </c>
      <c r="AE55" s="4">
        <v>2.7431999999999999</v>
      </c>
      <c r="AF55" s="1" t="s">
        <v>37</v>
      </c>
    </row>
    <row r="56" spans="1:32" x14ac:dyDescent="0.25">
      <c r="A56" s="1" t="s">
        <v>142</v>
      </c>
      <c r="B56" s="1" t="s">
        <v>143</v>
      </c>
      <c r="C56" s="1"/>
      <c r="D56" s="8">
        <v>459</v>
      </c>
      <c r="E56" s="8">
        <v>141</v>
      </c>
      <c r="F56" s="3"/>
      <c r="G56" s="3"/>
      <c r="H56" s="8">
        <v>405</v>
      </c>
      <c r="I56" s="8">
        <v>236</v>
      </c>
      <c r="J56" s="8">
        <v>344</v>
      </c>
      <c r="K56" s="8">
        <v>425</v>
      </c>
      <c r="L56" s="8">
        <v>113</v>
      </c>
      <c r="M56" s="8">
        <v>232</v>
      </c>
      <c r="N56" s="8">
        <v>85</v>
      </c>
      <c r="O56" s="8">
        <v>451</v>
      </c>
      <c r="P56" s="3"/>
      <c r="Q56" s="4">
        <v>14.8065</v>
      </c>
      <c r="R56" s="9">
        <v>12.818199999999999</v>
      </c>
      <c r="S56" s="5">
        <v>0</v>
      </c>
      <c r="T56" s="5">
        <v>0</v>
      </c>
      <c r="U56" s="9">
        <v>14.4643</v>
      </c>
      <c r="V56" s="4">
        <v>7.6128999999999998</v>
      </c>
      <c r="W56" s="4">
        <v>12.2857</v>
      </c>
      <c r="X56" s="4">
        <v>13.7097</v>
      </c>
      <c r="Y56" s="4">
        <v>3.7667000000000002</v>
      </c>
      <c r="Z56" s="4">
        <v>7.4839000000000002</v>
      </c>
      <c r="AA56" s="4">
        <v>2.8332999999999999</v>
      </c>
      <c r="AB56" s="4">
        <v>14.548400000000001</v>
      </c>
      <c r="AC56" s="10">
        <v>0</v>
      </c>
      <c r="AD56" s="4">
        <v>9.6309000000000005</v>
      </c>
      <c r="AE56" s="4">
        <v>9.6309000000000005</v>
      </c>
      <c r="AF56" s="1" t="s">
        <v>37</v>
      </c>
    </row>
    <row r="57" spans="1:32" x14ac:dyDescent="0.25">
      <c r="A57" s="1" t="s">
        <v>144</v>
      </c>
      <c r="B57" s="1" t="s">
        <v>145</v>
      </c>
      <c r="C57" s="1"/>
      <c r="D57" s="3"/>
      <c r="E57" s="8">
        <v>6</v>
      </c>
      <c r="F57" s="3"/>
      <c r="G57" s="8">
        <v>10</v>
      </c>
      <c r="H57" s="8">
        <v>5</v>
      </c>
      <c r="I57" s="3"/>
      <c r="J57" s="8">
        <v>2</v>
      </c>
      <c r="K57" s="3"/>
      <c r="L57" s="3"/>
      <c r="M57" s="3"/>
      <c r="N57" s="8">
        <v>10</v>
      </c>
      <c r="O57" s="3"/>
      <c r="P57" s="3"/>
      <c r="Q57" s="4">
        <v>0</v>
      </c>
      <c r="R57" s="4">
        <v>0.2</v>
      </c>
      <c r="S57" s="4">
        <v>0</v>
      </c>
      <c r="T57" s="4">
        <v>0.33329999999999999</v>
      </c>
      <c r="U57" s="4">
        <v>0.1613</v>
      </c>
      <c r="V57" s="4">
        <v>0</v>
      </c>
      <c r="W57" s="4">
        <v>7.1400000000000005E-2</v>
      </c>
      <c r="X57" s="4">
        <v>0</v>
      </c>
      <c r="Y57" s="4">
        <v>0</v>
      </c>
      <c r="Z57" s="4">
        <v>0</v>
      </c>
      <c r="AA57" s="4">
        <v>0.33329999999999999</v>
      </c>
      <c r="AB57" s="4">
        <v>0</v>
      </c>
      <c r="AC57" s="10">
        <v>0</v>
      </c>
      <c r="AD57" s="4">
        <v>9.1600000000000001E-2</v>
      </c>
      <c r="AE57" s="4">
        <v>9.1600000000000001E-2</v>
      </c>
      <c r="AF57" s="1" t="s">
        <v>34</v>
      </c>
    </row>
    <row r="58" spans="1:32" x14ac:dyDescent="0.25">
      <c r="A58" s="1" t="s">
        <v>146</v>
      </c>
      <c r="B58" s="1" t="s">
        <v>147</v>
      </c>
      <c r="C58" s="1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6">
        <v>0</v>
      </c>
      <c r="AF58" s="1" t="s">
        <v>37</v>
      </c>
    </row>
    <row r="59" spans="1:32" x14ac:dyDescent="0.25">
      <c r="A59" s="1" t="s">
        <v>148</v>
      </c>
      <c r="B59" s="1" t="s">
        <v>149</v>
      </c>
      <c r="C59" s="1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6">
        <v>0</v>
      </c>
      <c r="AF59" s="1" t="s">
        <v>37</v>
      </c>
    </row>
    <row r="60" spans="1:32" x14ac:dyDescent="0.25">
      <c r="A60" s="1" t="s">
        <v>150</v>
      </c>
      <c r="B60" s="1" t="s">
        <v>151</v>
      </c>
      <c r="C60" s="1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6">
        <v>0</v>
      </c>
      <c r="AF60" s="1" t="s">
        <v>37</v>
      </c>
    </row>
    <row r="61" spans="1:32" x14ac:dyDescent="0.25">
      <c r="A61" s="1" t="s">
        <v>152</v>
      </c>
      <c r="B61" s="1" t="s">
        <v>153</v>
      </c>
      <c r="C61" s="1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6">
        <v>0</v>
      </c>
      <c r="AF61" s="1" t="s">
        <v>37</v>
      </c>
    </row>
    <row r="62" spans="1:32" x14ac:dyDescent="0.25">
      <c r="A62" s="1" t="s">
        <v>154</v>
      </c>
      <c r="B62" s="1" t="s">
        <v>155</v>
      </c>
      <c r="C62" s="1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6">
        <v>0</v>
      </c>
      <c r="AF62" s="1" t="s">
        <v>37</v>
      </c>
    </row>
    <row r="63" spans="1:32" x14ac:dyDescent="0.25">
      <c r="A63" s="1" t="s">
        <v>156</v>
      </c>
      <c r="B63" s="1" t="s">
        <v>157</v>
      </c>
      <c r="C63" s="1"/>
      <c r="D63" s="8">
        <v>6</v>
      </c>
      <c r="E63" s="8">
        <v>3</v>
      </c>
      <c r="F63" s="8">
        <v>3</v>
      </c>
      <c r="G63" s="8">
        <v>3</v>
      </c>
      <c r="H63" s="8">
        <v>2</v>
      </c>
      <c r="I63" s="8">
        <v>4</v>
      </c>
      <c r="J63" s="8">
        <v>11</v>
      </c>
      <c r="K63" s="8">
        <v>8</v>
      </c>
      <c r="L63" s="8">
        <v>13</v>
      </c>
      <c r="M63" s="8">
        <v>5</v>
      </c>
      <c r="N63" s="3"/>
      <c r="O63" s="3"/>
      <c r="P63" s="3"/>
      <c r="Q63" s="4">
        <v>0.19350000000000001</v>
      </c>
      <c r="R63" s="4">
        <v>0.1</v>
      </c>
      <c r="S63" s="4">
        <v>9.6799999999999997E-2</v>
      </c>
      <c r="T63" s="4">
        <v>0.1</v>
      </c>
      <c r="U63" s="4">
        <v>6.4500000000000002E-2</v>
      </c>
      <c r="V63" s="4">
        <v>0.129</v>
      </c>
      <c r="W63" s="4">
        <v>0.39290000000000003</v>
      </c>
      <c r="X63" s="4">
        <v>0.2581</v>
      </c>
      <c r="Y63" s="4">
        <v>0.43330000000000002</v>
      </c>
      <c r="Z63" s="9">
        <v>0.3846</v>
      </c>
      <c r="AA63" s="5">
        <v>0</v>
      </c>
      <c r="AB63" s="5">
        <v>0</v>
      </c>
      <c r="AC63" s="6">
        <v>0</v>
      </c>
      <c r="AD63" s="4">
        <v>0.19650000000000001</v>
      </c>
      <c r="AE63" s="4">
        <v>0.19650000000000001</v>
      </c>
      <c r="AF63" s="1" t="s">
        <v>37</v>
      </c>
    </row>
    <row r="64" spans="1:32" x14ac:dyDescent="0.25">
      <c r="A64" s="1" t="s">
        <v>158</v>
      </c>
      <c r="B64" s="1" t="s">
        <v>159</v>
      </c>
      <c r="C64" s="1"/>
      <c r="D64" s="8">
        <v>5</v>
      </c>
      <c r="E64" s="8">
        <v>10</v>
      </c>
      <c r="F64" s="8">
        <v>3</v>
      </c>
      <c r="G64" s="8">
        <v>2</v>
      </c>
      <c r="H64" s="3"/>
      <c r="I64" s="3"/>
      <c r="J64" s="8">
        <v>1</v>
      </c>
      <c r="K64" s="8">
        <v>7</v>
      </c>
      <c r="L64" s="8">
        <v>22</v>
      </c>
      <c r="M64" s="8">
        <v>6</v>
      </c>
      <c r="N64" s="8">
        <v>6</v>
      </c>
      <c r="O64" s="8">
        <v>2</v>
      </c>
      <c r="P64" s="3"/>
      <c r="Q64" s="4">
        <v>0.1613</v>
      </c>
      <c r="R64" s="4">
        <v>0.33329999999999999</v>
      </c>
      <c r="S64" s="9">
        <v>0.2</v>
      </c>
      <c r="T64" s="5">
        <v>0</v>
      </c>
      <c r="U64" s="5">
        <v>0</v>
      </c>
      <c r="V64" s="9">
        <v>0</v>
      </c>
      <c r="W64" s="4">
        <v>3.5700000000000003E-2</v>
      </c>
      <c r="X64" s="4">
        <v>0.2258</v>
      </c>
      <c r="Y64" s="9">
        <v>1.375</v>
      </c>
      <c r="Z64" s="4">
        <v>0.19350000000000001</v>
      </c>
      <c r="AA64" s="4">
        <v>0.2</v>
      </c>
      <c r="AB64" s="4">
        <v>6.4500000000000002E-2</v>
      </c>
      <c r="AC64" s="10">
        <v>0</v>
      </c>
      <c r="AD64" s="4">
        <v>0.1734</v>
      </c>
      <c r="AE64" s="4">
        <v>0.1734</v>
      </c>
      <c r="AF64" s="1" t="s">
        <v>37</v>
      </c>
    </row>
    <row r="65" spans="1:32" x14ac:dyDescent="0.25">
      <c r="A65" s="1" t="s">
        <v>160</v>
      </c>
      <c r="B65" s="1" t="s">
        <v>161</v>
      </c>
      <c r="C65" s="1"/>
      <c r="D65" s="3"/>
      <c r="E65" s="8">
        <v>2</v>
      </c>
      <c r="F65" s="3"/>
      <c r="G65" s="3"/>
      <c r="H65" s="3"/>
      <c r="I65" s="3"/>
      <c r="J65" s="3"/>
      <c r="K65" s="3"/>
      <c r="L65" s="3"/>
      <c r="M65" s="8">
        <v>1</v>
      </c>
      <c r="N65" s="3"/>
      <c r="O65" s="3"/>
      <c r="P65" s="3"/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6">
        <v>0</v>
      </c>
      <c r="AF65" s="1" t="s">
        <v>34</v>
      </c>
    </row>
    <row r="66" spans="1:32" x14ac:dyDescent="0.25">
      <c r="A66" s="1" t="s">
        <v>162</v>
      </c>
      <c r="B66" s="1" t="s">
        <v>163</v>
      </c>
      <c r="C66" s="1"/>
      <c r="D66" s="8">
        <v>16</v>
      </c>
      <c r="E66" s="8">
        <v>10</v>
      </c>
      <c r="F66" s="8">
        <v>10</v>
      </c>
      <c r="G66" s="3"/>
      <c r="H66" s="8">
        <v>6</v>
      </c>
      <c r="I66" s="3"/>
      <c r="J66" s="3"/>
      <c r="K66" s="8">
        <v>5</v>
      </c>
      <c r="L66" s="8">
        <v>6</v>
      </c>
      <c r="M66" s="8">
        <v>10</v>
      </c>
      <c r="N66" s="3"/>
      <c r="O66" s="3"/>
      <c r="P66" s="3"/>
      <c r="Q66" s="4">
        <v>0.5161</v>
      </c>
      <c r="R66" s="4">
        <v>0.33329999999999999</v>
      </c>
      <c r="S66" s="4">
        <v>0.3226</v>
      </c>
      <c r="T66" s="4">
        <v>0</v>
      </c>
      <c r="U66" s="4">
        <v>0.19350000000000001</v>
      </c>
      <c r="V66" s="4">
        <v>0</v>
      </c>
      <c r="W66" s="4">
        <v>0</v>
      </c>
      <c r="X66" s="4">
        <v>0.1613</v>
      </c>
      <c r="Y66" s="4">
        <v>0.2</v>
      </c>
      <c r="Z66" s="4">
        <v>0.3226</v>
      </c>
      <c r="AA66" s="4">
        <v>0</v>
      </c>
      <c r="AB66" s="4">
        <v>0</v>
      </c>
      <c r="AC66" s="10">
        <v>0</v>
      </c>
      <c r="AD66" s="4">
        <v>0.17080000000000001</v>
      </c>
      <c r="AE66" s="4">
        <v>0.17080000000000001</v>
      </c>
      <c r="AF66" s="1" t="s">
        <v>34</v>
      </c>
    </row>
    <row r="67" spans="1:32" x14ac:dyDescent="0.25">
      <c r="A67" s="1" t="s">
        <v>164</v>
      </c>
      <c r="B67" s="1" t="s">
        <v>165</v>
      </c>
      <c r="C67" s="1"/>
      <c r="D67" s="8">
        <v>195</v>
      </c>
      <c r="E67" s="8">
        <v>241</v>
      </c>
      <c r="F67" s="8">
        <v>162</v>
      </c>
      <c r="G67" s="8">
        <v>37</v>
      </c>
      <c r="H67" s="8">
        <v>114</v>
      </c>
      <c r="I67" s="8">
        <v>261</v>
      </c>
      <c r="J67" s="8">
        <v>180</v>
      </c>
      <c r="K67" s="8">
        <v>107</v>
      </c>
      <c r="L67" s="8">
        <v>204</v>
      </c>
      <c r="M67" s="8">
        <v>89</v>
      </c>
      <c r="N67" s="8">
        <v>114</v>
      </c>
      <c r="O67" s="8">
        <v>166</v>
      </c>
      <c r="P67" s="3"/>
      <c r="Q67" s="4">
        <v>6.2903000000000002</v>
      </c>
      <c r="R67" s="4">
        <v>8.0333000000000006</v>
      </c>
      <c r="S67" s="4">
        <v>5.2257999999999996</v>
      </c>
      <c r="T67" s="9">
        <v>3.3635999999999999</v>
      </c>
      <c r="U67" s="9">
        <v>4.0713999999999997</v>
      </c>
      <c r="V67" s="4">
        <v>8.4193999999999996</v>
      </c>
      <c r="W67" s="4">
        <v>6.4286000000000003</v>
      </c>
      <c r="X67" s="4">
        <v>3.4516</v>
      </c>
      <c r="Y67" s="4">
        <v>6.8</v>
      </c>
      <c r="Z67" s="4">
        <v>2.871</v>
      </c>
      <c r="AA67" s="4">
        <v>3.8</v>
      </c>
      <c r="AB67" s="4">
        <v>5.3548</v>
      </c>
      <c r="AC67" s="10">
        <v>0</v>
      </c>
      <c r="AD67" s="4">
        <v>5.6675000000000004</v>
      </c>
      <c r="AE67" s="4">
        <v>5.6675000000000004</v>
      </c>
      <c r="AF67" s="1" t="s">
        <v>37</v>
      </c>
    </row>
    <row r="68" spans="1:32" x14ac:dyDescent="0.25">
      <c r="A68" s="1" t="s">
        <v>166</v>
      </c>
      <c r="B68" s="1" t="s">
        <v>167</v>
      </c>
      <c r="C68" s="1"/>
      <c r="D68" s="8">
        <v>141</v>
      </c>
      <c r="E68" s="8">
        <v>101</v>
      </c>
      <c r="F68" s="8">
        <v>208</v>
      </c>
      <c r="G68" s="8">
        <v>51</v>
      </c>
      <c r="H68" s="8">
        <v>113</v>
      </c>
      <c r="I68" s="8">
        <v>126</v>
      </c>
      <c r="J68" s="8">
        <v>136</v>
      </c>
      <c r="K68" s="8">
        <v>90</v>
      </c>
      <c r="L68" s="8">
        <v>101</v>
      </c>
      <c r="M68" s="8">
        <v>148</v>
      </c>
      <c r="N68" s="8">
        <v>73</v>
      </c>
      <c r="O68" s="8">
        <v>209</v>
      </c>
      <c r="P68" s="3"/>
      <c r="Q68" s="9">
        <v>7.05</v>
      </c>
      <c r="R68" s="9">
        <v>3.6071</v>
      </c>
      <c r="S68" s="4">
        <v>6.7096999999999998</v>
      </c>
      <c r="T68" s="9">
        <v>12.75</v>
      </c>
      <c r="U68" s="9">
        <v>4.0357000000000003</v>
      </c>
      <c r="V68" s="4">
        <v>4.0644999999999998</v>
      </c>
      <c r="W68" s="4">
        <v>4.8571</v>
      </c>
      <c r="X68" s="4">
        <v>2.9032</v>
      </c>
      <c r="Y68" s="4">
        <v>3.3666999999999998</v>
      </c>
      <c r="Z68" s="4">
        <v>4.7742000000000004</v>
      </c>
      <c r="AA68" s="4">
        <v>2.4333</v>
      </c>
      <c r="AB68" s="4">
        <v>6.7419000000000002</v>
      </c>
      <c r="AC68" s="10">
        <v>0</v>
      </c>
      <c r="AD68" s="4">
        <v>4.4813000000000001</v>
      </c>
      <c r="AE68" s="4">
        <v>4.4813000000000001</v>
      </c>
      <c r="AF68" s="1" t="s">
        <v>37</v>
      </c>
    </row>
    <row r="69" spans="1:32" x14ac:dyDescent="0.25">
      <c r="A69" s="1" t="s">
        <v>168</v>
      </c>
      <c r="B69" s="1" t="s">
        <v>169</v>
      </c>
      <c r="C69" s="1"/>
      <c r="D69" s="8">
        <v>223</v>
      </c>
      <c r="E69" s="8">
        <v>50</v>
      </c>
      <c r="F69" s="8">
        <v>53</v>
      </c>
      <c r="G69" s="8">
        <v>89</v>
      </c>
      <c r="H69" s="8">
        <v>48</v>
      </c>
      <c r="I69" s="8">
        <v>157</v>
      </c>
      <c r="J69" s="8">
        <v>101</v>
      </c>
      <c r="K69" s="8">
        <v>66</v>
      </c>
      <c r="L69" s="8">
        <v>47</v>
      </c>
      <c r="M69" s="8">
        <v>42</v>
      </c>
      <c r="N69" s="8">
        <v>55</v>
      </c>
      <c r="O69" s="8">
        <v>106</v>
      </c>
      <c r="P69" s="3"/>
      <c r="Q69" s="4">
        <v>7.1935000000000002</v>
      </c>
      <c r="R69" s="4">
        <v>1.6667000000000001</v>
      </c>
      <c r="S69" s="4">
        <v>1.7097</v>
      </c>
      <c r="T69" s="4">
        <v>2.9666999999999999</v>
      </c>
      <c r="U69" s="4">
        <v>1.5484</v>
      </c>
      <c r="V69" s="4">
        <v>5.0644999999999998</v>
      </c>
      <c r="W69" s="4">
        <v>3.6071</v>
      </c>
      <c r="X69" s="4">
        <v>2.129</v>
      </c>
      <c r="Y69" s="4">
        <v>1.5667</v>
      </c>
      <c r="Z69" s="4">
        <v>1.3548</v>
      </c>
      <c r="AA69" s="4">
        <v>1.8332999999999999</v>
      </c>
      <c r="AB69" s="4">
        <v>3.4194</v>
      </c>
      <c r="AC69" s="10">
        <v>0</v>
      </c>
      <c r="AD69" s="4">
        <v>2.8382999999999998</v>
      </c>
      <c r="AE69" s="4">
        <v>2.8382999999999998</v>
      </c>
      <c r="AF69" s="1" t="s">
        <v>37</v>
      </c>
    </row>
    <row r="70" spans="1:32" x14ac:dyDescent="0.25">
      <c r="A70" s="1" t="s">
        <v>170</v>
      </c>
      <c r="B70" s="1" t="s">
        <v>171</v>
      </c>
      <c r="C70" s="1"/>
      <c r="D70" s="8">
        <v>61</v>
      </c>
      <c r="E70" s="8">
        <v>35</v>
      </c>
      <c r="F70" s="8">
        <v>35</v>
      </c>
      <c r="G70" s="8">
        <v>153</v>
      </c>
      <c r="H70" s="8">
        <v>13</v>
      </c>
      <c r="I70" s="8">
        <v>54</v>
      </c>
      <c r="J70" s="8">
        <v>40</v>
      </c>
      <c r="K70" s="8">
        <v>31</v>
      </c>
      <c r="L70" s="8">
        <v>13</v>
      </c>
      <c r="M70" s="8">
        <v>60</v>
      </c>
      <c r="N70" s="8">
        <v>41</v>
      </c>
      <c r="O70" s="8">
        <v>83</v>
      </c>
      <c r="P70" s="3"/>
      <c r="Q70" s="4">
        <v>1.9677</v>
      </c>
      <c r="R70" s="4">
        <v>1.1667000000000001</v>
      </c>
      <c r="S70" s="4">
        <v>1.129</v>
      </c>
      <c r="T70" s="9">
        <v>11.7692</v>
      </c>
      <c r="U70" s="9">
        <v>0.46429999999999999</v>
      </c>
      <c r="V70" s="4">
        <v>1.7419</v>
      </c>
      <c r="W70" s="4">
        <v>1.4286000000000001</v>
      </c>
      <c r="X70" s="4">
        <v>1</v>
      </c>
      <c r="Y70" s="4">
        <v>0.43330000000000002</v>
      </c>
      <c r="Z70" s="4">
        <v>1.9355</v>
      </c>
      <c r="AA70" s="4">
        <v>1.3667</v>
      </c>
      <c r="AB70" s="4">
        <v>2.6774</v>
      </c>
      <c r="AC70" s="10">
        <v>0</v>
      </c>
      <c r="AD70" s="4">
        <v>1.4846999999999999</v>
      </c>
      <c r="AE70" s="4">
        <v>1.4846999999999999</v>
      </c>
      <c r="AF70" s="1" t="s">
        <v>37</v>
      </c>
    </row>
    <row r="71" spans="1:32" x14ac:dyDescent="0.25">
      <c r="A71" s="1" t="s">
        <v>172</v>
      </c>
      <c r="B71" s="1" t="s">
        <v>173</v>
      </c>
      <c r="C71" s="1"/>
      <c r="D71" s="8">
        <v>258</v>
      </c>
      <c r="E71" s="8">
        <v>217</v>
      </c>
      <c r="F71" s="8">
        <v>175</v>
      </c>
      <c r="G71" s="8">
        <v>48</v>
      </c>
      <c r="H71" s="8">
        <v>193</v>
      </c>
      <c r="I71" s="8">
        <v>52</v>
      </c>
      <c r="J71" s="8">
        <v>52</v>
      </c>
      <c r="K71" s="8">
        <v>200</v>
      </c>
      <c r="L71" s="8">
        <v>160</v>
      </c>
      <c r="M71" s="8">
        <v>59</v>
      </c>
      <c r="N71" s="8">
        <v>47</v>
      </c>
      <c r="O71" s="8">
        <v>103</v>
      </c>
      <c r="P71" s="3"/>
      <c r="Q71" s="4">
        <v>8.3225999999999996</v>
      </c>
      <c r="R71" s="4">
        <v>7.2332999999999998</v>
      </c>
      <c r="S71" s="4">
        <v>5.6452</v>
      </c>
      <c r="T71" s="4">
        <v>1.6</v>
      </c>
      <c r="U71" s="4">
        <v>6.2257999999999996</v>
      </c>
      <c r="V71" s="4">
        <v>1.6774</v>
      </c>
      <c r="W71" s="4">
        <v>1.8571</v>
      </c>
      <c r="X71" s="4">
        <v>6.4516</v>
      </c>
      <c r="Y71" s="4">
        <v>5.3333000000000004</v>
      </c>
      <c r="Z71" s="4">
        <v>1.9032</v>
      </c>
      <c r="AA71" s="4">
        <v>1.5667</v>
      </c>
      <c r="AB71" s="4">
        <v>3.3226</v>
      </c>
      <c r="AC71" s="10">
        <v>0</v>
      </c>
      <c r="AD71" s="4">
        <v>4.2615999999999996</v>
      </c>
      <c r="AE71" s="4">
        <v>4.2615999999999996</v>
      </c>
      <c r="AF71" s="1" t="s">
        <v>37</v>
      </c>
    </row>
    <row r="72" spans="1:32" x14ac:dyDescent="0.25">
      <c r="A72" s="1" t="s">
        <v>174</v>
      </c>
      <c r="B72" s="1" t="s">
        <v>175</v>
      </c>
      <c r="C72" s="1"/>
      <c r="D72" s="3"/>
      <c r="E72" s="8">
        <v>352</v>
      </c>
      <c r="F72" s="8">
        <v>8</v>
      </c>
      <c r="G72" s="3"/>
      <c r="H72" s="8">
        <v>199</v>
      </c>
      <c r="I72" s="8">
        <v>276</v>
      </c>
      <c r="J72" s="8">
        <v>249</v>
      </c>
      <c r="K72" s="8">
        <v>279</v>
      </c>
      <c r="L72" s="8">
        <v>94</v>
      </c>
      <c r="M72" s="8">
        <v>344</v>
      </c>
      <c r="N72" s="8">
        <v>57</v>
      </c>
      <c r="O72" s="8">
        <v>367</v>
      </c>
      <c r="P72" s="3"/>
      <c r="Q72" s="5">
        <v>0</v>
      </c>
      <c r="R72" s="9">
        <v>12.571400000000001</v>
      </c>
      <c r="S72" s="9">
        <v>1.6</v>
      </c>
      <c r="T72" s="5">
        <v>0</v>
      </c>
      <c r="U72" s="9">
        <v>7.1071</v>
      </c>
      <c r="V72" s="4">
        <v>8.9032</v>
      </c>
      <c r="W72" s="4">
        <v>8.8928999999999991</v>
      </c>
      <c r="X72" s="4">
        <v>9</v>
      </c>
      <c r="Y72" s="4">
        <v>3.1333000000000002</v>
      </c>
      <c r="Z72" s="4">
        <v>11.0968</v>
      </c>
      <c r="AA72" s="4">
        <v>1.9</v>
      </c>
      <c r="AB72" s="4">
        <v>11.838699999999999</v>
      </c>
      <c r="AC72" s="10">
        <v>0</v>
      </c>
      <c r="AD72" s="4">
        <v>7.8235999999999999</v>
      </c>
      <c r="AE72" s="4">
        <v>7.8235999999999999</v>
      </c>
      <c r="AF72" s="1" t="s">
        <v>37</v>
      </c>
    </row>
    <row r="73" spans="1:32" x14ac:dyDescent="0.25">
      <c r="A73" s="1" t="s">
        <v>176</v>
      </c>
      <c r="B73" s="1" t="s">
        <v>177</v>
      </c>
      <c r="C73" s="1"/>
      <c r="D73" s="8">
        <v>16</v>
      </c>
      <c r="E73" s="8">
        <v>27</v>
      </c>
      <c r="F73" s="8">
        <v>20</v>
      </c>
      <c r="G73" s="8">
        <v>14</v>
      </c>
      <c r="H73" s="8">
        <v>8</v>
      </c>
      <c r="I73" s="3"/>
      <c r="J73" s="3"/>
      <c r="K73" s="3"/>
      <c r="L73" s="3"/>
      <c r="M73" s="3"/>
      <c r="N73" s="3"/>
      <c r="O73" s="3"/>
      <c r="P73" s="3"/>
      <c r="Q73" s="4">
        <v>0.5161</v>
      </c>
      <c r="R73" s="4">
        <v>0.9</v>
      </c>
      <c r="S73" s="4">
        <v>0.6452</v>
      </c>
      <c r="T73" s="4">
        <v>0.4667</v>
      </c>
      <c r="U73" s="9">
        <v>0.88890000000000002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6">
        <v>0</v>
      </c>
      <c r="AD73" s="4">
        <v>0.63200000000000001</v>
      </c>
      <c r="AE73" s="4">
        <v>0.63200000000000001</v>
      </c>
      <c r="AF73" s="1" t="s">
        <v>34</v>
      </c>
    </row>
    <row r="74" spans="1:32" x14ac:dyDescent="0.25">
      <c r="A74" s="1" t="s">
        <v>178</v>
      </c>
      <c r="B74" s="1" t="s">
        <v>179</v>
      </c>
      <c r="C74" s="1"/>
      <c r="D74" s="8">
        <v>40</v>
      </c>
      <c r="E74" s="8">
        <v>28</v>
      </c>
      <c r="F74" s="8">
        <v>38</v>
      </c>
      <c r="G74" s="8">
        <v>60</v>
      </c>
      <c r="H74" s="3"/>
      <c r="I74" s="8">
        <v>3</v>
      </c>
      <c r="J74" s="8">
        <v>15</v>
      </c>
      <c r="K74" s="8">
        <v>53</v>
      </c>
      <c r="L74" s="8">
        <v>96</v>
      </c>
      <c r="M74" s="8">
        <v>55</v>
      </c>
      <c r="N74" s="8">
        <v>33</v>
      </c>
      <c r="O74" s="3"/>
      <c r="P74" s="3"/>
      <c r="Q74" s="4">
        <v>1.2903</v>
      </c>
      <c r="R74" s="4">
        <v>0.93330000000000002</v>
      </c>
      <c r="S74" s="4">
        <v>1.2258</v>
      </c>
      <c r="T74" s="9">
        <v>2.4</v>
      </c>
      <c r="U74" s="5">
        <v>0</v>
      </c>
      <c r="V74" s="9">
        <v>0.13039999999999999</v>
      </c>
      <c r="W74" s="4">
        <v>0.53569999999999995</v>
      </c>
      <c r="X74" s="4">
        <v>1.7097</v>
      </c>
      <c r="Y74" s="4">
        <v>3.2</v>
      </c>
      <c r="Z74" s="4">
        <v>1.7742</v>
      </c>
      <c r="AA74" s="9">
        <v>1.5</v>
      </c>
      <c r="AB74" s="5">
        <v>0</v>
      </c>
      <c r="AC74" s="6">
        <v>0</v>
      </c>
      <c r="AD74" s="4">
        <v>1.5241</v>
      </c>
      <c r="AE74" s="4">
        <v>1.5241</v>
      </c>
      <c r="AF74" s="1" t="s">
        <v>37</v>
      </c>
    </row>
    <row r="75" spans="1:32" x14ac:dyDescent="0.25">
      <c r="A75" s="1" t="s">
        <v>180</v>
      </c>
      <c r="B75" s="1" t="s">
        <v>181</v>
      </c>
      <c r="C75" s="1"/>
      <c r="D75" s="8">
        <v>31</v>
      </c>
      <c r="E75" s="8">
        <v>20</v>
      </c>
      <c r="F75" s="8">
        <v>16</v>
      </c>
      <c r="G75" s="8">
        <v>15</v>
      </c>
      <c r="H75" s="8">
        <v>6</v>
      </c>
      <c r="I75" s="8">
        <v>4</v>
      </c>
      <c r="J75" s="8">
        <v>16</v>
      </c>
      <c r="K75" s="8">
        <v>31</v>
      </c>
      <c r="L75" s="8">
        <v>47</v>
      </c>
      <c r="M75" s="8">
        <v>18</v>
      </c>
      <c r="N75" s="3"/>
      <c r="O75" s="3"/>
      <c r="P75" s="3"/>
      <c r="Q75" s="4">
        <v>1</v>
      </c>
      <c r="R75" s="4">
        <v>0.66669999999999996</v>
      </c>
      <c r="S75" s="4">
        <v>0.5161</v>
      </c>
      <c r="T75" s="4">
        <v>0.5</v>
      </c>
      <c r="U75" s="4">
        <v>0.19350000000000001</v>
      </c>
      <c r="V75" s="4">
        <v>0.129</v>
      </c>
      <c r="W75" s="4">
        <v>0.57140000000000002</v>
      </c>
      <c r="X75" s="4">
        <v>1</v>
      </c>
      <c r="Y75" s="4">
        <v>1.5667</v>
      </c>
      <c r="Z75" s="9">
        <v>3.6</v>
      </c>
      <c r="AA75" s="5">
        <v>0</v>
      </c>
      <c r="AB75" s="5">
        <v>0</v>
      </c>
      <c r="AC75" s="6">
        <v>0</v>
      </c>
      <c r="AD75" s="4">
        <v>0.68259999999999998</v>
      </c>
      <c r="AE75" s="4">
        <v>0.68259999999999998</v>
      </c>
      <c r="AF75" s="1" t="s">
        <v>37</v>
      </c>
    </row>
    <row r="76" spans="1:32" x14ac:dyDescent="0.25">
      <c r="A76" s="1" t="s">
        <v>182</v>
      </c>
      <c r="B76" s="1" t="s">
        <v>183</v>
      </c>
      <c r="C76" s="1"/>
      <c r="D76" s="3"/>
      <c r="E76" s="3"/>
      <c r="F76" s="3"/>
      <c r="G76" s="3"/>
      <c r="H76" s="3"/>
      <c r="I76" s="3"/>
      <c r="J76" s="3"/>
      <c r="K76" s="3"/>
      <c r="L76" s="3"/>
      <c r="M76" s="3"/>
      <c r="N76" s="8">
        <v>1</v>
      </c>
      <c r="O76" s="3"/>
      <c r="P76" s="3"/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6">
        <v>0</v>
      </c>
      <c r="AF76" s="1" t="s">
        <v>34</v>
      </c>
    </row>
    <row r="77" spans="1:32" x14ac:dyDescent="0.25">
      <c r="A77" s="1" t="s">
        <v>184</v>
      </c>
      <c r="B77" s="1" t="s">
        <v>185</v>
      </c>
      <c r="C77" s="1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6">
        <v>0</v>
      </c>
      <c r="AF77" s="1" t="s">
        <v>34</v>
      </c>
    </row>
    <row r="78" spans="1:32" x14ac:dyDescent="0.25">
      <c r="A78" s="1" t="s">
        <v>186</v>
      </c>
      <c r="B78" s="1" t="s">
        <v>187</v>
      </c>
      <c r="C78" s="1"/>
      <c r="D78" s="8">
        <v>6</v>
      </c>
      <c r="E78" s="3"/>
      <c r="F78" s="3"/>
      <c r="G78" s="8">
        <v>1</v>
      </c>
      <c r="H78" s="3"/>
      <c r="I78" s="3"/>
      <c r="J78" s="3"/>
      <c r="K78" s="3"/>
      <c r="L78" s="3"/>
      <c r="M78" s="3"/>
      <c r="N78" s="3"/>
      <c r="O78" s="3"/>
      <c r="P78" s="3"/>
      <c r="Q78" s="9">
        <v>1.5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6">
        <v>0</v>
      </c>
      <c r="AF78" s="1" t="s">
        <v>34</v>
      </c>
    </row>
    <row r="79" spans="1:32" x14ac:dyDescent="0.25">
      <c r="A79" s="1" t="s">
        <v>188</v>
      </c>
      <c r="B79" s="1" t="s">
        <v>189</v>
      </c>
      <c r="C79" s="1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6">
        <v>0</v>
      </c>
      <c r="AF79" s="1" t="s">
        <v>34</v>
      </c>
    </row>
    <row r="80" spans="1:32" x14ac:dyDescent="0.25">
      <c r="A80" s="1" t="s">
        <v>190</v>
      </c>
      <c r="B80" s="1" t="s">
        <v>191</v>
      </c>
      <c r="C80" s="1"/>
      <c r="D80" s="8">
        <v>8</v>
      </c>
      <c r="E80" s="8">
        <v>39</v>
      </c>
      <c r="F80" s="8">
        <v>4</v>
      </c>
      <c r="G80" s="3"/>
      <c r="H80" s="8">
        <v>12</v>
      </c>
      <c r="I80" s="3"/>
      <c r="J80" s="3"/>
      <c r="K80" s="3"/>
      <c r="L80" s="3"/>
      <c r="M80" s="3"/>
      <c r="N80" s="3"/>
      <c r="O80" s="3"/>
      <c r="P80" s="3"/>
      <c r="Q80" s="4">
        <v>0.2581</v>
      </c>
      <c r="R80" s="4">
        <v>1.3</v>
      </c>
      <c r="S80" s="4">
        <v>0.129</v>
      </c>
      <c r="T80" s="4">
        <v>0</v>
      </c>
      <c r="U80" s="9">
        <v>1.5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6">
        <v>0</v>
      </c>
      <c r="AD80" s="4">
        <v>0.42180000000000001</v>
      </c>
      <c r="AE80" s="4">
        <v>0.42180000000000001</v>
      </c>
      <c r="AF80" s="1" t="s">
        <v>34</v>
      </c>
    </row>
    <row r="81" spans="1:32" x14ac:dyDescent="0.25">
      <c r="A81" s="1" t="s">
        <v>192</v>
      </c>
      <c r="B81" s="1" t="s">
        <v>193</v>
      </c>
      <c r="C81" s="1"/>
      <c r="D81" s="8">
        <v>20</v>
      </c>
      <c r="E81" s="8">
        <v>1</v>
      </c>
      <c r="F81" s="3"/>
      <c r="G81" s="8">
        <v>12</v>
      </c>
      <c r="H81" s="8">
        <v>25</v>
      </c>
      <c r="I81" s="8">
        <v>5</v>
      </c>
      <c r="J81" s="8">
        <v>5</v>
      </c>
      <c r="K81" s="8">
        <v>8</v>
      </c>
      <c r="L81" s="8">
        <v>16</v>
      </c>
      <c r="M81" s="8">
        <v>-10</v>
      </c>
      <c r="N81" s="8">
        <v>46</v>
      </c>
      <c r="O81" s="8">
        <v>6</v>
      </c>
      <c r="P81" s="3"/>
      <c r="Q81" s="4">
        <v>0.6452</v>
      </c>
      <c r="R81" s="4">
        <v>3.3300000000000003E-2</v>
      </c>
      <c r="S81" s="4">
        <v>0</v>
      </c>
      <c r="T81" s="4">
        <v>0.4</v>
      </c>
      <c r="U81" s="4">
        <v>0.80649999999999999</v>
      </c>
      <c r="V81" s="4">
        <v>0.1613</v>
      </c>
      <c r="W81" s="4">
        <v>0.17860000000000001</v>
      </c>
      <c r="X81" s="4">
        <v>0.2581</v>
      </c>
      <c r="Y81" s="4">
        <v>0.5333</v>
      </c>
      <c r="Z81" s="4">
        <v>-0.3226</v>
      </c>
      <c r="AA81" s="4">
        <v>1.5333000000000001</v>
      </c>
      <c r="AB81" s="4">
        <v>0.19350000000000001</v>
      </c>
      <c r="AC81" s="10">
        <v>0</v>
      </c>
      <c r="AD81" s="4">
        <v>0.36840000000000001</v>
      </c>
      <c r="AE81" s="4">
        <v>0.36840000000000001</v>
      </c>
      <c r="AF81" s="1" t="s">
        <v>34</v>
      </c>
    </row>
    <row r="82" spans="1:32" x14ac:dyDescent="0.25">
      <c r="A82" s="1" t="s">
        <v>194</v>
      </c>
      <c r="B82" s="1" t="s">
        <v>195</v>
      </c>
      <c r="C82" s="1"/>
      <c r="D82" s="8">
        <v>58</v>
      </c>
      <c r="E82" s="8">
        <v>47</v>
      </c>
      <c r="F82" s="8">
        <v>49</v>
      </c>
      <c r="G82" s="8">
        <v>75</v>
      </c>
      <c r="H82" s="8">
        <v>102</v>
      </c>
      <c r="I82" s="8">
        <v>113</v>
      </c>
      <c r="J82" s="8">
        <v>49</v>
      </c>
      <c r="K82" s="8">
        <v>113</v>
      </c>
      <c r="L82" s="8">
        <v>103</v>
      </c>
      <c r="M82" s="8">
        <v>24</v>
      </c>
      <c r="N82" s="8">
        <v>151</v>
      </c>
      <c r="O82" s="8">
        <v>57</v>
      </c>
      <c r="P82" s="3"/>
      <c r="Q82" s="4">
        <v>1.871</v>
      </c>
      <c r="R82" s="4">
        <v>1.5667</v>
      </c>
      <c r="S82" s="4">
        <v>1.5806</v>
      </c>
      <c r="T82" s="4">
        <v>2.5</v>
      </c>
      <c r="U82" s="4">
        <v>3.2902999999999998</v>
      </c>
      <c r="V82" s="4">
        <v>3.6452</v>
      </c>
      <c r="W82" s="4">
        <v>1.75</v>
      </c>
      <c r="X82" s="4">
        <v>3.6452</v>
      </c>
      <c r="Y82" s="4">
        <v>3.4333</v>
      </c>
      <c r="Z82" s="4">
        <v>0.7742</v>
      </c>
      <c r="AA82" s="4">
        <v>5.0332999999999997</v>
      </c>
      <c r="AB82" s="4">
        <v>1.8387</v>
      </c>
      <c r="AC82" s="10">
        <v>0</v>
      </c>
      <c r="AD82" s="4">
        <v>2.5773999999999999</v>
      </c>
      <c r="AE82" s="4">
        <v>2.5773999999999999</v>
      </c>
      <c r="AF82" s="1" t="s">
        <v>37</v>
      </c>
    </row>
    <row r="83" spans="1:32" x14ac:dyDescent="0.25">
      <c r="A83" s="1" t="s">
        <v>196</v>
      </c>
      <c r="B83" s="1" t="s">
        <v>197</v>
      </c>
      <c r="C83" s="1"/>
      <c r="D83" s="8">
        <v>19</v>
      </c>
      <c r="E83" s="8">
        <v>33</v>
      </c>
      <c r="F83" s="8">
        <v>27</v>
      </c>
      <c r="G83" s="8">
        <v>37</v>
      </c>
      <c r="H83" s="8">
        <v>14</v>
      </c>
      <c r="I83" s="8">
        <v>27</v>
      </c>
      <c r="J83" s="8">
        <v>3</v>
      </c>
      <c r="K83" s="8">
        <v>56</v>
      </c>
      <c r="L83" s="8">
        <v>5</v>
      </c>
      <c r="M83" s="8">
        <v>14</v>
      </c>
      <c r="N83" s="8">
        <v>49</v>
      </c>
      <c r="O83" s="8">
        <v>20</v>
      </c>
      <c r="P83" s="3"/>
      <c r="Q83" s="4">
        <v>0.6129</v>
      </c>
      <c r="R83" s="4">
        <v>1.1000000000000001</v>
      </c>
      <c r="S83" s="4">
        <v>0.871</v>
      </c>
      <c r="T83" s="4">
        <v>1.2333000000000001</v>
      </c>
      <c r="U83" s="4">
        <v>0.4516</v>
      </c>
      <c r="V83" s="4">
        <v>0.871</v>
      </c>
      <c r="W83" s="4">
        <v>0.1071</v>
      </c>
      <c r="X83" s="4">
        <v>1.8065</v>
      </c>
      <c r="Y83" s="4">
        <v>0.16669999999999999</v>
      </c>
      <c r="Z83" s="4">
        <v>0.4516</v>
      </c>
      <c r="AA83" s="4">
        <v>1.6333</v>
      </c>
      <c r="AB83" s="4">
        <v>0.6452</v>
      </c>
      <c r="AC83" s="10">
        <v>0</v>
      </c>
      <c r="AD83" s="4">
        <v>0.82920000000000005</v>
      </c>
      <c r="AE83" s="4">
        <v>0.82920000000000005</v>
      </c>
      <c r="AF83" s="1" t="s">
        <v>37</v>
      </c>
    </row>
    <row r="84" spans="1:32" x14ac:dyDescent="0.25">
      <c r="A84" s="1" t="s">
        <v>198</v>
      </c>
      <c r="B84" s="1" t="s">
        <v>199</v>
      </c>
      <c r="C84" s="1"/>
      <c r="D84" s="8">
        <v>14</v>
      </c>
      <c r="E84" s="8">
        <v>6</v>
      </c>
      <c r="F84" s="8">
        <v>6</v>
      </c>
      <c r="G84" s="3"/>
      <c r="H84" s="3"/>
      <c r="I84" s="3"/>
      <c r="J84" s="3"/>
      <c r="K84" s="8">
        <v>5</v>
      </c>
      <c r="L84" s="8">
        <v>5</v>
      </c>
      <c r="M84" s="8">
        <v>9</v>
      </c>
      <c r="N84" s="3"/>
      <c r="O84" s="3"/>
      <c r="P84" s="3"/>
      <c r="Q84" s="4">
        <v>0.4516</v>
      </c>
      <c r="R84" s="4">
        <v>0.2</v>
      </c>
      <c r="S84" s="4">
        <v>0.19350000000000001</v>
      </c>
      <c r="T84" s="4">
        <v>0</v>
      </c>
      <c r="U84" s="4">
        <v>0</v>
      </c>
      <c r="V84" s="4">
        <v>0</v>
      </c>
      <c r="W84" s="4">
        <v>0</v>
      </c>
      <c r="X84" s="4">
        <v>0.1613</v>
      </c>
      <c r="Y84" s="4">
        <v>0.16669999999999999</v>
      </c>
      <c r="Z84" s="4">
        <v>0.2903</v>
      </c>
      <c r="AA84" s="4">
        <v>0</v>
      </c>
      <c r="AB84" s="4">
        <v>0</v>
      </c>
      <c r="AC84" s="10">
        <v>0</v>
      </c>
      <c r="AD84" s="4">
        <v>0.122</v>
      </c>
      <c r="AE84" s="4">
        <v>0.122</v>
      </c>
      <c r="AF84" s="1" t="s">
        <v>34</v>
      </c>
    </row>
    <row r="85" spans="1:32" x14ac:dyDescent="0.25">
      <c r="A85" s="1" t="s">
        <v>200</v>
      </c>
      <c r="B85" s="1" t="s">
        <v>201</v>
      </c>
      <c r="C85" s="1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6">
        <v>0</v>
      </c>
      <c r="AF85" s="1" t="s">
        <v>37</v>
      </c>
    </row>
    <row r="86" spans="1:32" x14ac:dyDescent="0.25">
      <c r="A86" s="1" t="s">
        <v>202</v>
      </c>
      <c r="B86" s="1" t="s">
        <v>203</v>
      </c>
      <c r="C86" s="1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6">
        <v>0</v>
      </c>
      <c r="AF86" s="1" t="s">
        <v>37</v>
      </c>
    </row>
    <row r="87" spans="1:32" x14ac:dyDescent="0.25">
      <c r="A87" s="1" t="s">
        <v>204</v>
      </c>
      <c r="B87" s="1" t="s">
        <v>205</v>
      </c>
      <c r="C87" s="1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6">
        <v>0</v>
      </c>
      <c r="AF87" s="1" t="s">
        <v>37</v>
      </c>
    </row>
    <row r="88" spans="1:32" x14ac:dyDescent="0.25">
      <c r="A88" s="1" t="s">
        <v>206</v>
      </c>
      <c r="B88" s="1" t="s">
        <v>207</v>
      </c>
      <c r="C88" s="1"/>
      <c r="D88" s="8">
        <v>5</v>
      </c>
      <c r="E88" s="8">
        <v>5</v>
      </c>
      <c r="F88" s="8">
        <v>7</v>
      </c>
      <c r="G88" s="8">
        <v>5</v>
      </c>
      <c r="H88" s="3"/>
      <c r="I88" s="3"/>
      <c r="J88" s="3"/>
      <c r="K88" s="3"/>
      <c r="L88" s="3"/>
      <c r="M88" s="3"/>
      <c r="N88" s="3"/>
      <c r="O88" s="3"/>
      <c r="P88" s="3"/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6">
        <v>0</v>
      </c>
      <c r="AF88" s="1" t="s">
        <v>37</v>
      </c>
    </row>
    <row r="89" spans="1:32" x14ac:dyDescent="0.25">
      <c r="A89" s="1" t="s">
        <v>208</v>
      </c>
      <c r="B89" s="1" t="s">
        <v>209</v>
      </c>
      <c r="C89" s="1"/>
      <c r="D89" s="8">
        <v>3</v>
      </c>
      <c r="E89" s="8">
        <v>4</v>
      </c>
      <c r="F89" s="8">
        <v>8</v>
      </c>
      <c r="G89" s="8">
        <v>2</v>
      </c>
      <c r="H89" s="8">
        <v>2</v>
      </c>
      <c r="I89" s="3"/>
      <c r="J89" s="3"/>
      <c r="K89" s="3"/>
      <c r="L89" s="3"/>
      <c r="M89" s="8">
        <v>1</v>
      </c>
      <c r="N89" s="3"/>
      <c r="O89" s="3"/>
      <c r="P89" s="3"/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6">
        <v>0</v>
      </c>
      <c r="AF89" s="1" t="s">
        <v>37</v>
      </c>
    </row>
    <row r="90" spans="1:32" x14ac:dyDescent="0.25">
      <c r="A90" s="1" t="s">
        <v>210</v>
      </c>
      <c r="B90" s="1" t="s">
        <v>211</v>
      </c>
      <c r="C90" s="1"/>
      <c r="D90" s="8">
        <v>20</v>
      </c>
      <c r="E90" s="8">
        <v>92</v>
      </c>
      <c r="F90" s="8">
        <v>42</v>
      </c>
      <c r="G90" s="8">
        <v>57</v>
      </c>
      <c r="H90" s="8">
        <v>54</v>
      </c>
      <c r="I90" s="8">
        <v>40</v>
      </c>
      <c r="J90" s="8">
        <v>49</v>
      </c>
      <c r="K90" s="8">
        <v>41</v>
      </c>
      <c r="L90" s="3"/>
      <c r="M90" s="8">
        <v>3</v>
      </c>
      <c r="N90" s="8">
        <v>1</v>
      </c>
      <c r="O90" s="3"/>
      <c r="P90" s="3"/>
      <c r="Q90" s="4">
        <v>0.6452</v>
      </c>
      <c r="R90" s="4">
        <v>3.0667</v>
      </c>
      <c r="S90" s="4">
        <v>1.3548</v>
      </c>
      <c r="T90" s="4">
        <v>1.9</v>
      </c>
      <c r="U90" s="4">
        <v>1.7419</v>
      </c>
      <c r="V90" s="4">
        <v>1.2903</v>
      </c>
      <c r="W90" s="4">
        <v>1.75</v>
      </c>
      <c r="X90" s="9">
        <v>1.64</v>
      </c>
      <c r="Y90" s="5">
        <v>0</v>
      </c>
      <c r="Z90" s="5">
        <v>0</v>
      </c>
      <c r="AA90" s="5">
        <v>0</v>
      </c>
      <c r="AB90" s="5">
        <v>0</v>
      </c>
      <c r="AC90" s="6">
        <v>0</v>
      </c>
      <c r="AD90" s="4">
        <v>1.6783999999999999</v>
      </c>
      <c r="AE90" s="4">
        <v>1.6783999999999999</v>
      </c>
      <c r="AF90" s="1" t="s">
        <v>34</v>
      </c>
    </row>
    <row r="91" spans="1:32" x14ac:dyDescent="0.25">
      <c r="A91" s="1" t="s">
        <v>212</v>
      </c>
      <c r="B91" s="1" t="s">
        <v>213</v>
      </c>
      <c r="C91" s="1"/>
      <c r="D91" s="8">
        <v>32</v>
      </c>
      <c r="E91" s="8">
        <v>34</v>
      </c>
      <c r="F91" s="8">
        <v>33</v>
      </c>
      <c r="G91" s="8">
        <v>33</v>
      </c>
      <c r="H91" s="8">
        <v>63</v>
      </c>
      <c r="I91" s="8">
        <v>46</v>
      </c>
      <c r="J91" s="8">
        <v>9</v>
      </c>
      <c r="K91" s="3"/>
      <c r="L91" s="3"/>
      <c r="M91" s="3"/>
      <c r="N91" s="8">
        <v>1</v>
      </c>
      <c r="O91" s="3"/>
      <c r="P91" s="3"/>
      <c r="Q91" s="4">
        <v>1.0323</v>
      </c>
      <c r="R91" s="4">
        <v>1.1333</v>
      </c>
      <c r="S91" s="4">
        <v>1.0645</v>
      </c>
      <c r="T91" s="4">
        <v>1.1000000000000001</v>
      </c>
      <c r="U91" s="4">
        <v>2.0323000000000002</v>
      </c>
      <c r="V91" s="4">
        <v>1.4839</v>
      </c>
      <c r="W91" s="9">
        <v>3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6">
        <v>0</v>
      </c>
      <c r="AD91" s="4">
        <v>1.3077000000000001</v>
      </c>
      <c r="AE91" s="4">
        <v>1.3077000000000001</v>
      </c>
      <c r="AF91" s="1" t="s">
        <v>34</v>
      </c>
    </row>
    <row r="92" spans="1:32" x14ac:dyDescent="0.25">
      <c r="A92" s="1" t="s">
        <v>214</v>
      </c>
      <c r="B92" s="1" t="s">
        <v>215</v>
      </c>
      <c r="C92" s="1"/>
      <c r="D92" s="8">
        <v>101</v>
      </c>
      <c r="E92" s="8">
        <v>82</v>
      </c>
      <c r="F92" s="8">
        <v>37</v>
      </c>
      <c r="G92" s="8">
        <v>87</v>
      </c>
      <c r="H92" s="8">
        <v>67</v>
      </c>
      <c r="I92" s="8">
        <v>97</v>
      </c>
      <c r="J92" s="8">
        <v>93</v>
      </c>
      <c r="K92" s="8">
        <v>91</v>
      </c>
      <c r="L92" s="8">
        <v>42</v>
      </c>
      <c r="M92" s="3"/>
      <c r="N92" s="3"/>
      <c r="O92" s="3"/>
      <c r="P92" s="3"/>
      <c r="Q92" s="4">
        <v>3.2581000000000002</v>
      </c>
      <c r="R92" s="4">
        <v>2.7332999999999998</v>
      </c>
      <c r="S92" s="4">
        <v>1.1935</v>
      </c>
      <c r="T92" s="4">
        <v>2.9</v>
      </c>
      <c r="U92" s="4">
        <v>2.1613000000000002</v>
      </c>
      <c r="V92" s="4">
        <v>3.129</v>
      </c>
      <c r="W92" s="4">
        <v>3.3214000000000001</v>
      </c>
      <c r="X92" s="4">
        <v>2.9355000000000002</v>
      </c>
      <c r="Y92" s="9">
        <v>1.8261000000000001</v>
      </c>
      <c r="Z92" s="5">
        <v>0</v>
      </c>
      <c r="AA92" s="5">
        <v>0</v>
      </c>
      <c r="AB92" s="5">
        <v>0</v>
      </c>
      <c r="AC92" s="6">
        <v>0</v>
      </c>
      <c r="AD92" s="4">
        <v>2.7040000000000002</v>
      </c>
      <c r="AE92" s="4">
        <v>2.7040000000000002</v>
      </c>
      <c r="AF92" s="1" t="s">
        <v>34</v>
      </c>
    </row>
    <row r="93" spans="1:32" x14ac:dyDescent="0.25">
      <c r="A93" s="1" t="s">
        <v>216</v>
      </c>
      <c r="B93" s="1" t="s">
        <v>217</v>
      </c>
      <c r="C93" s="1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6">
        <v>0</v>
      </c>
      <c r="AF93" s="1" t="s">
        <v>34</v>
      </c>
    </row>
    <row r="94" spans="1:32" x14ac:dyDescent="0.25">
      <c r="A94" s="1" t="s">
        <v>218</v>
      </c>
      <c r="B94" s="1" t="s">
        <v>219</v>
      </c>
      <c r="C94" s="1"/>
      <c r="D94" s="8">
        <v>31</v>
      </c>
      <c r="E94" s="8">
        <v>62</v>
      </c>
      <c r="F94" s="8">
        <v>40</v>
      </c>
      <c r="G94" s="8">
        <v>53</v>
      </c>
      <c r="H94" s="8">
        <v>49</v>
      </c>
      <c r="I94" s="8">
        <v>74</v>
      </c>
      <c r="J94" s="8">
        <v>78</v>
      </c>
      <c r="K94" s="8">
        <v>33</v>
      </c>
      <c r="L94" s="8">
        <v>42</v>
      </c>
      <c r="M94" s="8">
        <v>31</v>
      </c>
      <c r="N94" s="8">
        <v>44</v>
      </c>
      <c r="O94" s="8">
        <v>44</v>
      </c>
      <c r="P94" s="3"/>
      <c r="Q94" s="4">
        <v>1</v>
      </c>
      <c r="R94" s="4">
        <v>2.0667</v>
      </c>
      <c r="S94" s="4">
        <v>1.2903</v>
      </c>
      <c r="T94" s="4">
        <v>1.7666999999999999</v>
      </c>
      <c r="U94" s="4">
        <v>1.5806</v>
      </c>
      <c r="V94" s="4">
        <v>2.3871000000000002</v>
      </c>
      <c r="W94" s="4">
        <v>2.7856999999999998</v>
      </c>
      <c r="X94" s="4">
        <v>1.0645</v>
      </c>
      <c r="Y94" s="4">
        <v>1.4</v>
      </c>
      <c r="Z94" s="4">
        <v>1</v>
      </c>
      <c r="AA94" s="4">
        <v>1.4666999999999999</v>
      </c>
      <c r="AB94" s="4">
        <v>1.4194</v>
      </c>
      <c r="AC94" s="10">
        <v>0</v>
      </c>
      <c r="AD94" s="4">
        <v>1.6023000000000001</v>
      </c>
      <c r="AE94" s="4">
        <v>1.6023000000000001</v>
      </c>
      <c r="AF94" s="1" t="s">
        <v>37</v>
      </c>
    </row>
    <row r="95" spans="1:32" x14ac:dyDescent="0.25">
      <c r="A95" s="1" t="s">
        <v>220</v>
      </c>
      <c r="B95" s="1" t="s">
        <v>221</v>
      </c>
      <c r="C95" s="1"/>
      <c r="D95" s="8">
        <v>8</v>
      </c>
      <c r="E95" s="8">
        <v>108</v>
      </c>
      <c r="F95" s="8">
        <v>110</v>
      </c>
      <c r="G95" s="8">
        <v>209</v>
      </c>
      <c r="H95" s="8">
        <v>19</v>
      </c>
      <c r="I95" s="3"/>
      <c r="J95" s="3"/>
      <c r="K95" s="3"/>
      <c r="L95" s="3"/>
      <c r="M95" s="3"/>
      <c r="N95" s="8">
        <v>1</v>
      </c>
      <c r="O95" s="3"/>
      <c r="P95" s="3"/>
      <c r="Q95" s="4">
        <v>0.2581</v>
      </c>
      <c r="R95" s="4">
        <v>3.6</v>
      </c>
      <c r="S95" s="4">
        <v>3.5484</v>
      </c>
      <c r="T95" s="4">
        <v>6.9667000000000003</v>
      </c>
      <c r="U95" s="9">
        <v>9.5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6">
        <v>0</v>
      </c>
      <c r="AD95" s="4">
        <v>3.5933000000000002</v>
      </c>
      <c r="AE95" s="4">
        <v>3.5933000000000002</v>
      </c>
      <c r="AF95" s="1" t="s">
        <v>34</v>
      </c>
    </row>
    <row r="96" spans="1:32" x14ac:dyDescent="0.25">
      <c r="A96" s="1" t="s">
        <v>222</v>
      </c>
      <c r="B96" s="1" t="s">
        <v>223</v>
      </c>
      <c r="C96" s="1"/>
      <c r="D96" s="3"/>
      <c r="E96" s="8">
        <v>6</v>
      </c>
      <c r="F96" s="8">
        <v>10</v>
      </c>
      <c r="G96" s="8">
        <v>52</v>
      </c>
      <c r="H96" s="8">
        <v>7</v>
      </c>
      <c r="I96" s="3"/>
      <c r="J96" s="3"/>
      <c r="K96" s="3"/>
      <c r="L96" s="3"/>
      <c r="M96" s="3"/>
      <c r="N96" s="3"/>
      <c r="O96" s="3"/>
      <c r="P96" s="3"/>
      <c r="Q96" s="4">
        <v>0</v>
      </c>
      <c r="R96" s="4">
        <v>0.2</v>
      </c>
      <c r="S96" s="4">
        <v>0.3226</v>
      </c>
      <c r="T96" s="4">
        <v>1.7333000000000001</v>
      </c>
      <c r="U96" s="9">
        <v>0.31819999999999998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6">
        <v>0</v>
      </c>
      <c r="AD96" s="4">
        <v>0.56399999999999995</v>
      </c>
      <c r="AE96" s="4">
        <v>0.56399999999999995</v>
      </c>
      <c r="AF96" s="1" t="s">
        <v>34</v>
      </c>
    </row>
    <row r="97" spans="1:32" x14ac:dyDescent="0.25">
      <c r="A97" s="1" t="s">
        <v>224</v>
      </c>
      <c r="B97" s="1" t="s">
        <v>225</v>
      </c>
      <c r="C97" s="1"/>
      <c r="D97" s="8">
        <v>2</v>
      </c>
      <c r="E97" s="8">
        <v>3</v>
      </c>
      <c r="F97" s="8">
        <v>1</v>
      </c>
      <c r="G97" s="8">
        <v>1</v>
      </c>
      <c r="H97" s="3"/>
      <c r="I97" s="8">
        <v>1</v>
      </c>
      <c r="J97" s="3"/>
      <c r="K97" s="8">
        <v>2</v>
      </c>
      <c r="L97" s="8">
        <v>2</v>
      </c>
      <c r="M97" s="8">
        <v>4</v>
      </c>
      <c r="N97" s="8">
        <v>5</v>
      </c>
      <c r="O97" s="8">
        <v>2</v>
      </c>
      <c r="P97" s="3"/>
      <c r="Q97" s="4">
        <v>6.4500000000000002E-2</v>
      </c>
      <c r="R97" s="4">
        <v>0.1</v>
      </c>
      <c r="S97" s="4">
        <v>3.2300000000000002E-2</v>
      </c>
      <c r="T97" s="4">
        <v>3.3300000000000003E-2</v>
      </c>
      <c r="U97" s="4">
        <v>0</v>
      </c>
      <c r="V97" s="4">
        <v>3.2300000000000002E-2</v>
      </c>
      <c r="W97" s="4">
        <v>0</v>
      </c>
      <c r="X97" s="4">
        <v>6.4500000000000002E-2</v>
      </c>
      <c r="Y97" s="4">
        <v>6.6699999999999995E-2</v>
      </c>
      <c r="Z97" s="4">
        <v>0.129</v>
      </c>
      <c r="AA97" s="4">
        <v>0.16669999999999999</v>
      </c>
      <c r="AB97" s="4">
        <v>6.4500000000000002E-2</v>
      </c>
      <c r="AC97" s="10">
        <v>0</v>
      </c>
      <c r="AD97" s="4">
        <v>6.2799999999999995E-2</v>
      </c>
      <c r="AE97" s="4">
        <v>6.2799999999999995E-2</v>
      </c>
      <c r="AF97" s="1" t="s">
        <v>37</v>
      </c>
    </row>
    <row r="98" spans="1:32" x14ac:dyDescent="0.25">
      <c r="A98" s="1" t="s">
        <v>226</v>
      </c>
      <c r="B98" s="1" t="s">
        <v>227</v>
      </c>
      <c r="C98" s="1"/>
      <c r="D98" s="8">
        <v>13</v>
      </c>
      <c r="E98" s="8">
        <v>34</v>
      </c>
      <c r="F98" s="8">
        <v>10</v>
      </c>
      <c r="G98" s="8">
        <v>62</v>
      </c>
      <c r="H98" s="8">
        <v>5</v>
      </c>
      <c r="I98" s="3"/>
      <c r="J98" s="8">
        <v>18</v>
      </c>
      <c r="K98" s="8">
        <v>32</v>
      </c>
      <c r="L98" s="8">
        <v>27</v>
      </c>
      <c r="M98" s="8">
        <v>30</v>
      </c>
      <c r="N98" s="8">
        <v>8</v>
      </c>
      <c r="O98" s="8">
        <v>22</v>
      </c>
      <c r="P98" s="3"/>
      <c r="Q98" s="4">
        <v>0.4194</v>
      </c>
      <c r="R98" s="4">
        <v>1.1333</v>
      </c>
      <c r="S98" s="4">
        <v>0.3226</v>
      </c>
      <c r="T98" s="4">
        <v>2.0667</v>
      </c>
      <c r="U98" s="4">
        <v>0.1613</v>
      </c>
      <c r="V98" s="4">
        <v>0</v>
      </c>
      <c r="W98" s="4">
        <v>0.64290000000000003</v>
      </c>
      <c r="X98" s="4">
        <v>1.0323</v>
      </c>
      <c r="Y98" s="4">
        <v>0.9</v>
      </c>
      <c r="Z98" s="4">
        <v>0.9677</v>
      </c>
      <c r="AA98" s="4">
        <v>0.26669999999999999</v>
      </c>
      <c r="AB98" s="4">
        <v>0.7097</v>
      </c>
      <c r="AC98" s="10">
        <v>0</v>
      </c>
      <c r="AD98" s="4">
        <v>0.71860000000000002</v>
      </c>
      <c r="AE98" s="4">
        <v>0.71860000000000002</v>
      </c>
      <c r="AF98" s="1" t="s">
        <v>34</v>
      </c>
    </row>
    <row r="99" spans="1:32" x14ac:dyDescent="0.25">
      <c r="A99" s="1" t="s">
        <v>228</v>
      </c>
      <c r="B99" s="1" t="s">
        <v>229</v>
      </c>
      <c r="C99" s="1"/>
      <c r="D99" s="3"/>
      <c r="E99" s="8">
        <v>14</v>
      </c>
      <c r="F99" s="8">
        <v>22</v>
      </c>
      <c r="G99" s="8">
        <v>90</v>
      </c>
      <c r="H99" s="8">
        <v>40</v>
      </c>
      <c r="I99" s="3"/>
      <c r="J99" s="3"/>
      <c r="K99" s="8">
        <v>22</v>
      </c>
      <c r="L99" s="8">
        <v>38</v>
      </c>
      <c r="M99" s="8">
        <v>26</v>
      </c>
      <c r="N99" s="8">
        <v>46</v>
      </c>
      <c r="O99" s="8">
        <v>36</v>
      </c>
      <c r="P99" s="3"/>
      <c r="Q99" s="4">
        <v>0</v>
      </c>
      <c r="R99" s="4">
        <v>0.4667</v>
      </c>
      <c r="S99" s="4">
        <v>0.7097</v>
      </c>
      <c r="T99" s="4">
        <v>3</v>
      </c>
      <c r="U99" s="9">
        <v>20</v>
      </c>
      <c r="V99" s="5">
        <v>0</v>
      </c>
      <c r="W99" s="5">
        <v>0</v>
      </c>
      <c r="X99" s="9">
        <v>1</v>
      </c>
      <c r="Y99" s="4">
        <v>1.2666999999999999</v>
      </c>
      <c r="Z99" s="4">
        <v>0.8387</v>
      </c>
      <c r="AA99" s="4">
        <v>1.5333000000000001</v>
      </c>
      <c r="AB99" s="9">
        <v>1.7142999999999999</v>
      </c>
      <c r="AC99" s="6">
        <v>0</v>
      </c>
      <c r="AD99" s="4">
        <v>1.1164000000000001</v>
      </c>
      <c r="AE99" s="4">
        <v>1.1164000000000001</v>
      </c>
      <c r="AF99" s="1" t="s">
        <v>37</v>
      </c>
    </row>
    <row r="100" spans="1:32" x14ac:dyDescent="0.25">
      <c r="A100" s="1" t="s">
        <v>230</v>
      </c>
      <c r="B100" s="1" t="s">
        <v>231</v>
      </c>
      <c r="C100" s="1"/>
      <c r="D100" s="3"/>
      <c r="E100" s="8">
        <v>10</v>
      </c>
      <c r="F100" s="3"/>
      <c r="G100" s="3"/>
      <c r="H100" s="8">
        <v>7</v>
      </c>
      <c r="I100" s="3"/>
      <c r="J100" s="3"/>
      <c r="K100" s="3"/>
      <c r="L100" s="8">
        <v>1</v>
      </c>
      <c r="M100" s="3"/>
      <c r="N100" s="3"/>
      <c r="O100" s="3"/>
      <c r="P100" s="3"/>
      <c r="Q100" s="4">
        <v>0</v>
      </c>
      <c r="R100" s="4">
        <v>0.33329999999999999</v>
      </c>
      <c r="S100" s="4">
        <v>0</v>
      </c>
      <c r="T100" s="4">
        <v>0</v>
      </c>
      <c r="U100" s="9">
        <v>3.5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6">
        <v>0</v>
      </c>
      <c r="AD100" s="4">
        <v>8.3299999999999999E-2</v>
      </c>
      <c r="AE100" s="4">
        <v>8.3299999999999999E-2</v>
      </c>
      <c r="AF100" s="1" t="s">
        <v>34</v>
      </c>
    </row>
    <row r="101" spans="1:32" x14ac:dyDescent="0.25">
      <c r="A101" s="1" t="s">
        <v>232</v>
      </c>
      <c r="B101" s="1" t="s">
        <v>233</v>
      </c>
      <c r="C101" s="1"/>
      <c r="D101" s="8">
        <v>1</v>
      </c>
      <c r="E101" s="8">
        <v>-15</v>
      </c>
      <c r="F101" s="8">
        <v>15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5">
        <v>0</v>
      </c>
      <c r="R101" s="9">
        <v>-0.71430000000000005</v>
      </c>
      <c r="S101" s="9">
        <v>0.9375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6">
        <v>0</v>
      </c>
      <c r="AF101" s="1" t="s">
        <v>34</v>
      </c>
    </row>
    <row r="102" spans="1:32" x14ac:dyDescent="0.25">
      <c r="A102" s="1" t="s">
        <v>234</v>
      </c>
      <c r="B102" s="1" t="s">
        <v>235</v>
      </c>
      <c r="C102" s="1"/>
      <c r="D102" s="8">
        <v>40</v>
      </c>
      <c r="E102" s="8">
        <v>1</v>
      </c>
      <c r="F102" s="8">
        <v>13</v>
      </c>
      <c r="G102" s="8">
        <v>33</v>
      </c>
      <c r="H102" s="8">
        <v>21</v>
      </c>
      <c r="I102" s="3"/>
      <c r="J102" s="3"/>
      <c r="K102" s="8">
        <v>1</v>
      </c>
      <c r="L102" s="3"/>
      <c r="M102" s="3"/>
      <c r="N102" s="3"/>
      <c r="O102" s="8">
        <v>1</v>
      </c>
      <c r="P102" s="3"/>
      <c r="Q102" s="4">
        <v>1.2903</v>
      </c>
      <c r="R102" s="4">
        <v>3.3300000000000003E-2</v>
      </c>
      <c r="S102" s="4">
        <v>0.4194</v>
      </c>
      <c r="T102" s="4">
        <v>1.1000000000000001</v>
      </c>
      <c r="U102" s="9">
        <v>10.5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6">
        <v>0</v>
      </c>
      <c r="AD102" s="4">
        <v>0.71079999999999999</v>
      </c>
      <c r="AE102" s="4">
        <v>0.71079999999999999</v>
      </c>
      <c r="AF102" s="1" t="s">
        <v>34</v>
      </c>
    </row>
    <row r="103" spans="1:32" x14ac:dyDescent="0.25">
      <c r="A103" s="1" t="s">
        <v>236</v>
      </c>
      <c r="B103" s="1" t="s">
        <v>237</v>
      </c>
      <c r="C103" s="1"/>
      <c r="D103" s="8">
        <v>19</v>
      </c>
      <c r="E103" s="8">
        <v>44</v>
      </c>
      <c r="F103" s="8">
        <v>28</v>
      </c>
      <c r="G103" s="8">
        <v>20</v>
      </c>
      <c r="H103" s="8">
        <v>62</v>
      </c>
      <c r="I103" s="8">
        <v>87</v>
      </c>
      <c r="J103" s="8">
        <v>15</v>
      </c>
      <c r="K103" s="8">
        <v>12</v>
      </c>
      <c r="L103" s="8">
        <v>51</v>
      </c>
      <c r="M103" s="8">
        <v>48</v>
      </c>
      <c r="N103" s="8">
        <v>32</v>
      </c>
      <c r="O103" s="8">
        <v>22</v>
      </c>
      <c r="P103" s="3"/>
      <c r="Q103" s="4">
        <v>0.6129</v>
      </c>
      <c r="R103" s="4">
        <v>1.4666999999999999</v>
      </c>
      <c r="S103" s="4">
        <v>0.9032</v>
      </c>
      <c r="T103" s="4">
        <v>0.66669999999999996</v>
      </c>
      <c r="U103" s="4">
        <v>2</v>
      </c>
      <c r="V103" s="4">
        <v>2.8065000000000002</v>
      </c>
      <c r="W103" s="4">
        <v>0.53569999999999995</v>
      </c>
      <c r="X103" s="4">
        <v>0.3871</v>
      </c>
      <c r="Y103" s="4">
        <v>1.7</v>
      </c>
      <c r="Z103" s="4">
        <v>1.5484</v>
      </c>
      <c r="AA103" s="4">
        <v>1.0667</v>
      </c>
      <c r="AB103" s="4">
        <v>0.7097</v>
      </c>
      <c r="AC103" s="10">
        <v>0</v>
      </c>
      <c r="AD103" s="4">
        <v>1.2002999999999999</v>
      </c>
      <c r="AE103" s="4">
        <v>1.2002999999999999</v>
      </c>
      <c r="AF103" s="1" t="s">
        <v>37</v>
      </c>
    </row>
    <row r="104" spans="1:32" x14ac:dyDescent="0.25">
      <c r="A104" s="1" t="s">
        <v>238</v>
      </c>
      <c r="B104" s="1" t="s">
        <v>239</v>
      </c>
      <c r="C104" s="1"/>
      <c r="D104" s="8">
        <v>10</v>
      </c>
      <c r="E104" s="8">
        <v>17</v>
      </c>
      <c r="F104" s="8">
        <v>36</v>
      </c>
      <c r="G104" s="8">
        <v>24</v>
      </c>
      <c r="H104" s="8">
        <v>28</v>
      </c>
      <c r="I104" s="8">
        <v>21</v>
      </c>
      <c r="J104" s="8">
        <v>20</v>
      </c>
      <c r="K104" s="8">
        <v>39</v>
      </c>
      <c r="L104" s="8">
        <v>9</v>
      </c>
      <c r="M104" s="8">
        <v>36</v>
      </c>
      <c r="N104" s="8">
        <v>21</v>
      </c>
      <c r="O104" s="8">
        <v>38</v>
      </c>
      <c r="P104" s="3"/>
      <c r="Q104" s="4">
        <v>0.3226</v>
      </c>
      <c r="R104" s="4">
        <v>0.56669999999999998</v>
      </c>
      <c r="S104" s="4">
        <v>1.1613</v>
      </c>
      <c r="T104" s="4">
        <v>0.8</v>
      </c>
      <c r="U104" s="4">
        <v>0.9032</v>
      </c>
      <c r="V104" s="4">
        <v>0.6774</v>
      </c>
      <c r="W104" s="4">
        <v>0.71430000000000005</v>
      </c>
      <c r="X104" s="4">
        <v>1.2581</v>
      </c>
      <c r="Y104" s="4">
        <v>0.3</v>
      </c>
      <c r="Z104" s="4">
        <v>1.1613</v>
      </c>
      <c r="AA104" s="4">
        <v>0.7</v>
      </c>
      <c r="AB104" s="4">
        <v>1.2258</v>
      </c>
      <c r="AC104" s="10">
        <v>0</v>
      </c>
      <c r="AD104" s="4">
        <v>0.81589999999999996</v>
      </c>
      <c r="AE104" s="4">
        <v>0.81589999999999996</v>
      </c>
      <c r="AF104" s="1" t="s">
        <v>37</v>
      </c>
    </row>
    <row r="105" spans="1:32" x14ac:dyDescent="0.25">
      <c r="A105" s="1" t="s">
        <v>240</v>
      </c>
      <c r="B105" s="1" t="s">
        <v>241</v>
      </c>
      <c r="C105" s="1"/>
      <c r="D105" s="8">
        <v>4</v>
      </c>
      <c r="E105" s="8">
        <v>1</v>
      </c>
      <c r="F105" s="3"/>
      <c r="G105" s="8">
        <v>8</v>
      </c>
      <c r="H105" s="8">
        <v>2</v>
      </c>
      <c r="I105" s="8">
        <v>2</v>
      </c>
      <c r="J105" s="8">
        <v>2</v>
      </c>
      <c r="K105" s="8">
        <v>11</v>
      </c>
      <c r="L105" s="3"/>
      <c r="M105" s="3"/>
      <c r="N105" s="3"/>
      <c r="O105" s="3"/>
      <c r="P105" s="3"/>
      <c r="Q105" s="4">
        <v>0.129</v>
      </c>
      <c r="R105" s="4">
        <v>3.3300000000000003E-2</v>
      </c>
      <c r="S105" s="4">
        <v>0</v>
      </c>
      <c r="T105" s="4">
        <v>0.26669999999999999</v>
      </c>
      <c r="U105" s="4">
        <v>6.4500000000000002E-2</v>
      </c>
      <c r="V105" s="4">
        <v>6.4500000000000002E-2</v>
      </c>
      <c r="W105" s="4">
        <v>7.1400000000000005E-2</v>
      </c>
      <c r="X105" s="4">
        <v>0.3548</v>
      </c>
      <c r="Y105" s="4">
        <v>0</v>
      </c>
      <c r="Z105" s="4">
        <v>0</v>
      </c>
      <c r="AA105" s="4">
        <v>0</v>
      </c>
      <c r="AB105" s="4">
        <v>0</v>
      </c>
      <c r="AC105" s="10">
        <v>0</v>
      </c>
      <c r="AD105" s="4">
        <v>8.2000000000000003E-2</v>
      </c>
      <c r="AE105" s="4">
        <v>8.2000000000000003E-2</v>
      </c>
      <c r="AF105" s="1" t="s">
        <v>37</v>
      </c>
    </row>
    <row r="106" spans="1:32" x14ac:dyDescent="0.25">
      <c r="A106" s="1" t="s">
        <v>242</v>
      </c>
      <c r="B106" s="1" t="s">
        <v>243</v>
      </c>
      <c r="C106" s="1"/>
      <c r="D106" s="3"/>
      <c r="E106" s="3"/>
      <c r="F106" s="3"/>
      <c r="G106" s="3"/>
      <c r="H106" s="8">
        <v>3</v>
      </c>
      <c r="I106" s="3"/>
      <c r="J106" s="3"/>
      <c r="K106" s="8">
        <v>1</v>
      </c>
      <c r="L106" s="3"/>
      <c r="M106" s="8">
        <v>2</v>
      </c>
      <c r="N106" s="3"/>
      <c r="O106" s="3"/>
      <c r="P106" s="3"/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6">
        <v>0</v>
      </c>
      <c r="AF106" s="1" t="s">
        <v>37</v>
      </c>
    </row>
    <row r="107" spans="1:32" x14ac:dyDescent="0.25">
      <c r="A107" s="1" t="s">
        <v>244</v>
      </c>
      <c r="B107" s="1" t="s">
        <v>245</v>
      </c>
      <c r="C107" s="1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6">
        <v>0</v>
      </c>
      <c r="AF107" s="1" t="s">
        <v>37</v>
      </c>
    </row>
    <row r="108" spans="1:32" x14ac:dyDescent="0.25">
      <c r="A108" s="1" t="s">
        <v>246</v>
      </c>
      <c r="B108" s="1" t="s">
        <v>247</v>
      </c>
      <c r="C108" s="1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6">
        <v>0</v>
      </c>
      <c r="AF108" s="1" t="s">
        <v>37</v>
      </c>
    </row>
    <row r="109" spans="1:32" x14ac:dyDescent="0.25">
      <c r="A109" s="1" t="s">
        <v>248</v>
      </c>
      <c r="B109" s="1" t="s">
        <v>249</v>
      </c>
      <c r="C109" s="1"/>
      <c r="D109" s="8">
        <v>20</v>
      </c>
      <c r="E109" s="8">
        <v>50</v>
      </c>
      <c r="F109" s="8">
        <v>29</v>
      </c>
      <c r="G109" s="8">
        <v>20</v>
      </c>
      <c r="H109" s="8">
        <v>20</v>
      </c>
      <c r="I109" s="8">
        <v>38</v>
      </c>
      <c r="J109" s="8">
        <v>6</v>
      </c>
      <c r="K109" s="8">
        <v>52</v>
      </c>
      <c r="L109" s="8">
        <v>25</v>
      </c>
      <c r="M109" s="8">
        <v>8</v>
      </c>
      <c r="N109" s="8">
        <v>26</v>
      </c>
      <c r="O109" s="8">
        <v>43</v>
      </c>
      <c r="P109" s="3"/>
      <c r="Q109" s="4">
        <v>0.6452</v>
      </c>
      <c r="R109" s="4">
        <v>1.6667000000000001</v>
      </c>
      <c r="S109" s="4">
        <v>0.9355</v>
      </c>
      <c r="T109" s="4">
        <v>0.66669999999999996</v>
      </c>
      <c r="U109" s="4">
        <v>0.6452</v>
      </c>
      <c r="V109" s="4">
        <v>1.2258</v>
      </c>
      <c r="W109" s="4">
        <v>0.21429999999999999</v>
      </c>
      <c r="X109" s="4">
        <v>1.6774</v>
      </c>
      <c r="Y109" s="4">
        <v>0.83330000000000004</v>
      </c>
      <c r="Z109" s="4">
        <v>0.2581</v>
      </c>
      <c r="AA109" s="4">
        <v>0.86670000000000003</v>
      </c>
      <c r="AB109" s="4">
        <v>1.3871</v>
      </c>
      <c r="AC109" s="10">
        <v>0</v>
      </c>
      <c r="AD109" s="4">
        <v>0.91849999999999998</v>
      </c>
      <c r="AE109" s="4">
        <v>0.91849999999999998</v>
      </c>
      <c r="AF109" s="1" t="s">
        <v>37</v>
      </c>
    </row>
    <row r="110" spans="1:32" x14ac:dyDescent="0.25">
      <c r="A110" s="1" t="s">
        <v>250</v>
      </c>
      <c r="B110" s="1" t="s">
        <v>251</v>
      </c>
      <c r="C110" s="1"/>
      <c r="D110" s="8">
        <v>2</v>
      </c>
      <c r="E110" s="8">
        <v>64</v>
      </c>
      <c r="F110" s="8">
        <v>24</v>
      </c>
      <c r="G110" s="8">
        <v>20</v>
      </c>
      <c r="H110" s="8">
        <v>43</v>
      </c>
      <c r="I110" s="8">
        <v>80</v>
      </c>
      <c r="J110" s="8">
        <v>12</v>
      </c>
      <c r="K110" s="8">
        <v>38</v>
      </c>
      <c r="L110" s="8">
        <v>23</v>
      </c>
      <c r="M110" s="8">
        <v>3</v>
      </c>
      <c r="N110" s="8">
        <v>25</v>
      </c>
      <c r="O110" s="8">
        <v>31</v>
      </c>
      <c r="P110" s="3"/>
      <c r="Q110" s="5">
        <v>0</v>
      </c>
      <c r="R110" s="9">
        <v>2.2856999999999998</v>
      </c>
      <c r="S110" s="4">
        <v>0.7742</v>
      </c>
      <c r="T110" s="4">
        <v>0.66669999999999996</v>
      </c>
      <c r="U110" s="4">
        <v>1.3871</v>
      </c>
      <c r="V110" s="4">
        <v>2.5806</v>
      </c>
      <c r="W110" s="4">
        <v>0.42859999999999998</v>
      </c>
      <c r="X110" s="4">
        <v>1.2258</v>
      </c>
      <c r="Y110" s="4">
        <v>0.76670000000000005</v>
      </c>
      <c r="Z110" s="4">
        <v>9.6799999999999997E-2</v>
      </c>
      <c r="AA110" s="4">
        <v>0.83330000000000004</v>
      </c>
      <c r="AB110" s="9">
        <v>1.069</v>
      </c>
      <c r="AC110" s="6">
        <v>0</v>
      </c>
      <c r="AD110" s="4">
        <v>0.97330000000000005</v>
      </c>
      <c r="AE110" s="4">
        <v>0.97330000000000005</v>
      </c>
      <c r="AF110" s="1" t="s">
        <v>37</v>
      </c>
    </row>
    <row r="111" spans="1:32" x14ac:dyDescent="0.25">
      <c r="A111" s="1" t="s">
        <v>252</v>
      </c>
      <c r="B111" s="1" t="s">
        <v>253</v>
      </c>
      <c r="C111" s="1"/>
      <c r="D111" s="8">
        <v>100</v>
      </c>
      <c r="E111" s="8">
        <v>11</v>
      </c>
      <c r="F111" s="8">
        <v>1</v>
      </c>
      <c r="G111" s="8">
        <v>2</v>
      </c>
      <c r="H111" s="3"/>
      <c r="I111" s="8">
        <v>20</v>
      </c>
      <c r="J111" s="8">
        <v>10</v>
      </c>
      <c r="K111" s="8">
        <v>14</v>
      </c>
      <c r="L111" s="8">
        <v>5</v>
      </c>
      <c r="M111" s="8">
        <v>16</v>
      </c>
      <c r="N111" s="8">
        <v>10</v>
      </c>
      <c r="O111" s="8">
        <v>29</v>
      </c>
      <c r="P111" s="3"/>
      <c r="Q111" s="4">
        <v>3.2258</v>
      </c>
      <c r="R111" s="4">
        <v>0.36670000000000003</v>
      </c>
      <c r="S111" s="9">
        <v>7.1400000000000005E-2</v>
      </c>
      <c r="T111" s="5">
        <v>0</v>
      </c>
      <c r="U111" s="5">
        <v>0</v>
      </c>
      <c r="V111" s="9">
        <v>0.86960000000000004</v>
      </c>
      <c r="W111" s="4">
        <v>0.35709999999999997</v>
      </c>
      <c r="X111" s="4">
        <v>0.4516</v>
      </c>
      <c r="Y111" s="4">
        <v>0.16669999999999999</v>
      </c>
      <c r="Z111" s="4">
        <v>0.5161</v>
      </c>
      <c r="AA111" s="4">
        <v>0.33329999999999999</v>
      </c>
      <c r="AB111" s="4">
        <v>0.9355</v>
      </c>
      <c r="AC111" s="10">
        <v>0</v>
      </c>
      <c r="AD111" s="4">
        <v>0.79410000000000003</v>
      </c>
      <c r="AE111" s="4">
        <v>0.79410000000000003</v>
      </c>
      <c r="AF111" s="1" t="s">
        <v>37</v>
      </c>
    </row>
    <row r="112" spans="1:32" x14ac:dyDescent="0.25">
      <c r="A112" s="1" t="s">
        <v>254</v>
      </c>
      <c r="B112" s="1" t="s">
        <v>255</v>
      </c>
      <c r="C112" s="1"/>
      <c r="D112" s="8">
        <v>8</v>
      </c>
      <c r="E112" s="8">
        <v>9</v>
      </c>
      <c r="F112" s="8">
        <v>8</v>
      </c>
      <c r="G112" s="8">
        <v>22</v>
      </c>
      <c r="H112" s="8">
        <v>8</v>
      </c>
      <c r="I112" s="8">
        <v>10</v>
      </c>
      <c r="J112" s="8">
        <v>4</v>
      </c>
      <c r="K112" s="3"/>
      <c r="L112" s="3"/>
      <c r="M112" s="3"/>
      <c r="N112" s="3"/>
      <c r="O112" s="3"/>
      <c r="P112" s="3"/>
      <c r="Q112" s="4">
        <v>0.2581</v>
      </c>
      <c r="R112" s="4">
        <v>0.3</v>
      </c>
      <c r="S112" s="4">
        <v>0.2581</v>
      </c>
      <c r="T112" s="4">
        <v>0.73329999999999995</v>
      </c>
      <c r="U112" s="4">
        <v>0.2581</v>
      </c>
      <c r="V112" s="4">
        <v>0.3226</v>
      </c>
      <c r="W112" s="9">
        <v>0.5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6">
        <v>0</v>
      </c>
      <c r="AD112" s="4">
        <v>0.35499999999999998</v>
      </c>
      <c r="AE112" s="4">
        <v>0.35499999999999998</v>
      </c>
      <c r="AF112" s="1" t="s">
        <v>34</v>
      </c>
    </row>
    <row r="113" spans="1:32" x14ac:dyDescent="0.25">
      <c r="A113" s="1" t="s">
        <v>256</v>
      </c>
      <c r="B113" s="1" t="s">
        <v>257</v>
      </c>
      <c r="C113" s="1"/>
      <c r="D113" s="8">
        <v>25</v>
      </c>
      <c r="E113" s="8">
        <v>26</v>
      </c>
      <c r="F113" s="8">
        <v>19</v>
      </c>
      <c r="G113" s="8">
        <v>65</v>
      </c>
      <c r="H113" s="8">
        <v>38</v>
      </c>
      <c r="I113" s="8">
        <v>43</v>
      </c>
      <c r="J113" s="8">
        <v>23</v>
      </c>
      <c r="K113" s="8">
        <v>43</v>
      </c>
      <c r="L113" s="8">
        <v>10</v>
      </c>
      <c r="M113" s="8">
        <v>40</v>
      </c>
      <c r="N113" s="8">
        <v>57</v>
      </c>
      <c r="O113" s="8">
        <v>34</v>
      </c>
      <c r="P113" s="3"/>
      <c r="Q113" s="4">
        <v>0.80649999999999999</v>
      </c>
      <c r="R113" s="4">
        <v>0.86670000000000003</v>
      </c>
      <c r="S113" s="4">
        <v>0.6129</v>
      </c>
      <c r="T113" s="4">
        <v>2.1667000000000001</v>
      </c>
      <c r="U113" s="4">
        <v>1.2258</v>
      </c>
      <c r="V113" s="4">
        <v>1.3871</v>
      </c>
      <c r="W113" s="4">
        <v>0.82140000000000002</v>
      </c>
      <c r="X113" s="4">
        <v>1.3871</v>
      </c>
      <c r="Y113" s="4">
        <v>0.33329999999999999</v>
      </c>
      <c r="Z113" s="4">
        <v>1.2903</v>
      </c>
      <c r="AA113" s="4">
        <v>1.9</v>
      </c>
      <c r="AB113" s="4">
        <v>1.0968</v>
      </c>
      <c r="AC113" s="10">
        <v>0</v>
      </c>
      <c r="AD113" s="4">
        <v>1.1578999999999999</v>
      </c>
      <c r="AE113" s="4">
        <v>1.1578999999999999</v>
      </c>
      <c r="AF113" s="1" t="s">
        <v>37</v>
      </c>
    </row>
    <row r="114" spans="1:32" x14ac:dyDescent="0.25">
      <c r="A114" s="1" t="s">
        <v>258</v>
      </c>
      <c r="B114" s="1" t="s">
        <v>259</v>
      </c>
      <c r="C114" s="1"/>
      <c r="D114" s="8">
        <v>16</v>
      </c>
      <c r="E114" s="8">
        <v>4</v>
      </c>
      <c r="F114" s="8">
        <v>26</v>
      </c>
      <c r="G114" s="8">
        <v>54</v>
      </c>
      <c r="H114" s="8">
        <v>12</v>
      </c>
      <c r="I114" s="8">
        <v>16</v>
      </c>
      <c r="J114" s="8">
        <v>4</v>
      </c>
      <c r="K114" s="8">
        <v>26</v>
      </c>
      <c r="L114" s="8">
        <v>10</v>
      </c>
      <c r="M114" s="8">
        <v>20</v>
      </c>
      <c r="N114" s="8">
        <v>18</v>
      </c>
      <c r="O114" s="8">
        <v>8</v>
      </c>
      <c r="P114" s="3"/>
      <c r="Q114" s="4">
        <v>0.5161</v>
      </c>
      <c r="R114" s="4">
        <v>0.1333</v>
      </c>
      <c r="S114" s="4">
        <v>0.8387</v>
      </c>
      <c r="T114" s="4">
        <v>1.8</v>
      </c>
      <c r="U114" s="4">
        <v>0.3871</v>
      </c>
      <c r="V114" s="4">
        <v>0.5161</v>
      </c>
      <c r="W114" s="4">
        <v>0.1429</v>
      </c>
      <c r="X114" s="4">
        <v>0.8387</v>
      </c>
      <c r="Y114" s="4">
        <v>0.33329999999999999</v>
      </c>
      <c r="Z114" s="4">
        <v>0.6452</v>
      </c>
      <c r="AA114" s="4">
        <v>0.6</v>
      </c>
      <c r="AB114" s="4">
        <v>0.2581</v>
      </c>
      <c r="AC114" s="10">
        <v>0</v>
      </c>
      <c r="AD114" s="4">
        <v>0.58409999999999995</v>
      </c>
      <c r="AE114" s="4">
        <v>0.58409999999999995</v>
      </c>
      <c r="AF114" s="1" t="s">
        <v>37</v>
      </c>
    </row>
    <row r="115" spans="1:32" x14ac:dyDescent="0.25">
      <c r="A115" s="1" t="s">
        <v>260</v>
      </c>
      <c r="B115" s="1" t="s">
        <v>261</v>
      </c>
      <c r="C115" s="1"/>
      <c r="D115" s="3"/>
      <c r="E115" s="3"/>
      <c r="F115" s="8">
        <v>16</v>
      </c>
      <c r="G115" s="8">
        <v>5</v>
      </c>
      <c r="H115" s="8">
        <v>13</v>
      </c>
      <c r="I115" s="8">
        <v>3</v>
      </c>
      <c r="J115" s="8">
        <v>5</v>
      </c>
      <c r="K115" s="8">
        <v>10</v>
      </c>
      <c r="L115" s="8">
        <v>5</v>
      </c>
      <c r="M115" s="3"/>
      <c r="N115" s="8">
        <v>16</v>
      </c>
      <c r="O115" s="3"/>
      <c r="P115" s="3"/>
      <c r="Q115" s="4">
        <v>0</v>
      </c>
      <c r="R115" s="4">
        <v>0</v>
      </c>
      <c r="S115" s="4">
        <v>0.5161</v>
      </c>
      <c r="T115" s="4">
        <v>0.16669999999999999</v>
      </c>
      <c r="U115" s="4">
        <v>0.4194</v>
      </c>
      <c r="V115" s="4">
        <v>9.6799999999999997E-2</v>
      </c>
      <c r="W115" s="4">
        <v>0.17860000000000001</v>
      </c>
      <c r="X115" s="4">
        <v>0.3226</v>
      </c>
      <c r="Y115" s="4">
        <v>0.16669999999999999</v>
      </c>
      <c r="Z115" s="4">
        <v>0</v>
      </c>
      <c r="AA115" s="9">
        <v>1.1429</v>
      </c>
      <c r="AB115" s="5">
        <v>0</v>
      </c>
      <c r="AC115" s="6">
        <v>0</v>
      </c>
      <c r="AD115" s="4">
        <v>0.1867</v>
      </c>
      <c r="AE115" s="4">
        <v>0.1867</v>
      </c>
      <c r="AF115" s="1" t="s">
        <v>37</v>
      </c>
    </row>
    <row r="116" spans="1:32" x14ac:dyDescent="0.25">
      <c r="A116" s="1" t="s">
        <v>262</v>
      </c>
      <c r="B116" s="1" t="s">
        <v>263</v>
      </c>
      <c r="C116" s="1"/>
      <c r="D116" s="3"/>
      <c r="E116" s="8">
        <v>1</v>
      </c>
      <c r="F116" s="8">
        <v>4</v>
      </c>
      <c r="G116" s="8">
        <v>3</v>
      </c>
      <c r="H116" s="8">
        <v>3</v>
      </c>
      <c r="I116" s="8">
        <v>1</v>
      </c>
      <c r="J116" s="3"/>
      <c r="K116" s="3"/>
      <c r="L116" s="3"/>
      <c r="M116" s="3"/>
      <c r="N116" s="3"/>
      <c r="O116" s="8">
        <v>1</v>
      </c>
      <c r="P116" s="3"/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6">
        <v>0</v>
      </c>
      <c r="AF116" s="1" t="s">
        <v>37</v>
      </c>
    </row>
    <row r="117" spans="1:32" x14ac:dyDescent="0.25">
      <c r="A117" s="1" t="s">
        <v>264</v>
      </c>
      <c r="B117" s="1" t="s">
        <v>265</v>
      </c>
      <c r="C117" s="1"/>
      <c r="D117" s="3"/>
      <c r="E117" s="3"/>
      <c r="F117" s="3"/>
      <c r="G117" s="8">
        <v>89</v>
      </c>
      <c r="H117" s="8">
        <v>75</v>
      </c>
      <c r="I117" s="3"/>
      <c r="J117" s="3"/>
      <c r="K117" s="8">
        <v>54</v>
      </c>
      <c r="L117" s="8">
        <v>71</v>
      </c>
      <c r="M117" s="8">
        <v>43</v>
      </c>
      <c r="N117" s="8">
        <v>5</v>
      </c>
      <c r="O117" s="8">
        <v>79</v>
      </c>
      <c r="P117" s="3"/>
      <c r="Q117" s="4">
        <v>0</v>
      </c>
      <c r="R117" s="4">
        <v>0</v>
      </c>
      <c r="S117" s="4">
        <v>0</v>
      </c>
      <c r="T117" s="4">
        <v>2.9666999999999999</v>
      </c>
      <c r="U117" s="4">
        <v>2.4194</v>
      </c>
      <c r="V117" s="4">
        <v>0</v>
      </c>
      <c r="W117" s="4">
        <v>0</v>
      </c>
      <c r="X117" s="4">
        <v>1.7419</v>
      </c>
      <c r="Y117" s="4">
        <v>2.3666999999999998</v>
      </c>
      <c r="Z117" s="4">
        <v>1.3871</v>
      </c>
      <c r="AA117" s="4">
        <v>0.16669999999999999</v>
      </c>
      <c r="AB117" s="9">
        <v>2.8214000000000001</v>
      </c>
      <c r="AC117" s="6">
        <v>0</v>
      </c>
      <c r="AD117" s="4">
        <v>1.0044</v>
      </c>
      <c r="AE117" s="4">
        <v>1.0044</v>
      </c>
      <c r="AF117" s="1" t="s">
        <v>37</v>
      </c>
    </row>
    <row r="118" spans="1:32" x14ac:dyDescent="0.25">
      <c r="A118" s="1" t="s">
        <v>266</v>
      </c>
      <c r="B118" s="1" t="s">
        <v>267</v>
      </c>
      <c r="C118" s="1"/>
      <c r="D118" s="8">
        <v>60</v>
      </c>
      <c r="E118" s="8">
        <v>1</v>
      </c>
      <c r="F118" s="8">
        <v>8</v>
      </c>
      <c r="G118" s="8">
        <v>6</v>
      </c>
      <c r="H118" s="8">
        <v>9</v>
      </c>
      <c r="I118" s="8">
        <v>16</v>
      </c>
      <c r="J118" s="8">
        <v>39</v>
      </c>
      <c r="K118" s="8">
        <v>34</v>
      </c>
      <c r="L118" s="8">
        <v>5</v>
      </c>
      <c r="M118" s="3"/>
      <c r="N118" s="8">
        <v>13</v>
      </c>
      <c r="O118" s="8">
        <v>12</v>
      </c>
      <c r="P118" s="3"/>
      <c r="Q118" s="4">
        <v>1.9355</v>
      </c>
      <c r="R118" s="4">
        <v>3.3300000000000003E-2</v>
      </c>
      <c r="S118" s="4">
        <v>0.2581</v>
      </c>
      <c r="T118" s="4">
        <v>0.2</v>
      </c>
      <c r="U118" s="9">
        <v>0.42859999999999998</v>
      </c>
      <c r="V118" s="9">
        <v>0.69569999999999999</v>
      </c>
      <c r="W118" s="4">
        <v>1.3929</v>
      </c>
      <c r="X118" s="4">
        <v>1.0968</v>
      </c>
      <c r="Y118" s="4">
        <v>0.16669999999999999</v>
      </c>
      <c r="Z118" s="4">
        <v>0</v>
      </c>
      <c r="AA118" s="4">
        <v>0.43330000000000002</v>
      </c>
      <c r="AB118" s="4">
        <v>0.3871</v>
      </c>
      <c r="AC118" s="10">
        <v>0</v>
      </c>
      <c r="AD118" s="4">
        <v>0.59040000000000004</v>
      </c>
      <c r="AE118" s="4">
        <v>0.59040000000000004</v>
      </c>
      <c r="AF118" s="1" t="s">
        <v>37</v>
      </c>
    </row>
    <row r="119" spans="1:32" x14ac:dyDescent="0.25">
      <c r="A119" s="1" t="s">
        <v>268</v>
      </c>
      <c r="B119" s="1" t="s">
        <v>269</v>
      </c>
      <c r="C119" s="1"/>
      <c r="D119" s="8">
        <v>5</v>
      </c>
      <c r="E119" s="8">
        <v>42</v>
      </c>
      <c r="F119" s="8">
        <v>57</v>
      </c>
      <c r="G119" s="8">
        <v>13</v>
      </c>
      <c r="H119" s="8">
        <v>101</v>
      </c>
      <c r="I119" s="8">
        <v>99</v>
      </c>
      <c r="J119" s="8">
        <v>32</v>
      </c>
      <c r="K119" s="8">
        <v>85</v>
      </c>
      <c r="L119" s="8">
        <v>63</v>
      </c>
      <c r="M119" s="8">
        <v>130</v>
      </c>
      <c r="N119" s="8">
        <v>113</v>
      </c>
      <c r="O119" s="8">
        <v>430</v>
      </c>
      <c r="P119" s="8">
        <v>10</v>
      </c>
      <c r="Q119" s="9">
        <v>0.71430000000000005</v>
      </c>
      <c r="R119" s="9">
        <v>1.5</v>
      </c>
      <c r="S119" s="4">
        <v>1.8387</v>
      </c>
      <c r="T119" s="4">
        <v>0.43330000000000002</v>
      </c>
      <c r="U119" s="4">
        <v>3.2581000000000002</v>
      </c>
      <c r="V119" s="4">
        <v>3.1934999999999998</v>
      </c>
      <c r="W119" s="4">
        <v>1.1429</v>
      </c>
      <c r="X119" s="4">
        <v>2.7418999999999998</v>
      </c>
      <c r="Y119" s="4">
        <v>2.1</v>
      </c>
      <c r="Z119" s="4">
        <v>4.1935000000000002</v>
      </c>
      <c r="AA119" s="4">
        <v>3.7667000000000002</v>
      </c>
      <c r="AB119" s="4">
        <v>13.871</v>
      </c>
      <c r="AC119" s="10">
        <v>0.3226</v>
      </c>
      <c r="AD119" s="4">
        <v>3.6539999999999999</v>
      </c>
      <c r="AE119" s="4">
        <v>3.6539999999999999</v>
      </c>
      <c r="AF119" s="1" t="s">
        <v>37</v>
      </c>
    </row>
    <row r="120" spans="1:32" x14ac:dyDescent="0.25">
      <c r="A120" s="1" t="s">
        <v>270</v>
      </c>
      <c r="B120" s="1" t="s">
        <v>271</v>
      </c>
      <c r="C120" s="1"/>
      <c r="D120" s="8">
        <v>60</v>
      </c>
      <c r="E120" s="8">
        <v>68</v>
      </c>
      <c r="F120" s="8">
        <v>30</v>
      </c>
      <c r="G120" s="8">
        <v>99</v>
      </c>
      <c r="H120" s="8">
        <v>110</v>
      </c>
      <c r="I120" s="8">
        <v>82</v>
      </c>
      <c r="J120" s="8">
        <v>64</v>
      </c>
      <c r="K120" s="8">
        <v>88</v>
      </c>
      <c r="L120" s="8">
        <v>35</v>
      </c>
      <c r="M120" s="8">
        <v>59</v>
      </c>
      <c r="N120" s="8">
        <v>167</v>
      </c>
      <c r="O120" s="8">
        <v>31</v>
      </c>
      <c r="P120" s="3"/>
      <c r="Q120" s="4">
        <v>1.9355</v>
      </c>
      <c r="R120" s="4">
        <v>2.2667000000000002</v>
      </c>
      <c r="S120" s="4">
        <v>0.9677</v>
      </c>
      <c r="T120" s="4">
        <v>3.3</v>
      </c>
      <c r="U120" s="4">
        <v>3.5484</v>
      </c>
      <c r="V120" s="4">
        <v>2.6452</v>
      </c>
      <c r="W120" s="4">
        <v>2.2856999999999998</v>
      </c>
      <c r="X120" s="4">
        <v>2.8386999999999998</v>
      </c>
      <c r="Y120" s="4">
        <v>1.1667000000000001</v>
      </c>
      <c r="Z120" s="4">
        <v>1.9032</v>
      </c>
      <c r="AA120" s="4">
        <v>5.5667</v>
      </c>
      <c r="AB120" s="9">
        <v>15.5</v>
      </c>
      <c r="AC120" s="6">
        <v>0</v>
      </c>
      <c r="AD120" s="4">
        <v>2.5840000000000001</v>
      </c>
      <c r="AE120" s="4">
        <v>2.5840000000000001</v>
      </c>
      <c r="AF120" s="1" t="s">
        <v>37</v>
      </c>
    </row>
    <row r="121" spans="1:32" x14ac:dyDescent="0.25">
      <c r="A121" s="1" t="s">
        <v>272</v>
      </c>
      <c r="B121" s="1" t="s">
        <v>273</v>
      </c>
      <c r="C121" s="1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6">
        <v>0</v>
      </c>
      <c r="AF121" s="1" t="s">
        <v>37</v>
      </c>
    </row>
    <row r="122" spans="1:32" x14ac:dyDescent="0.25">
      <c r="A122" s="1" t="s">
        <v>274</v>
      </c>
      <c r="B122" s="1" t="s">
        <v>275</v>
      </c>
      <c r="C122" s="1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6">
        <v>0</v>
      </c>
      <c r="AF122" s="1" t="s">
        <v>37</v>
      </c>
    </row>
    <row r="123" spans="1:32" x14ac:dyDescent="0.25">
      <c r="A123" s="1" t="s">
        <v>276</v>
      </c>
      <c r="B123" s="1" t="s">
        <v>277</v>
      </c>
      <c r="C123" s="1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6">
        <v>0</v>
      </c>
      <c r="AF123" s="1" t="s">
        <v>37</v>
      </c>
    </row>
    <row r="124" spans="1:32" x14ac:dyDescent="0.25">
      <c r="A124" s="1" t="s">
        <v>278</v>
      </c>
      <c r="B124" s="1" t="s">
        <v>279</v>
      </c>
      <c r="C124" s="1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6">
        <v>0</v>
      </c>
      <c r="AF124" s="1" t="s">
        <v>37</v>
      </c>
    </row>
    <row r="125" spans="1:32" x14ac:dyDescent="0.25">
      <c r="A125" s="1" t="s">
        <v>280</v>
      </c>
      <c r="B125" s="1" t="s">
        <v>281</v>
      </c>
      <c r="C125" s="1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6">
        <v>0</v>
      </c>
      <c r="AF125" s="1" t="s">
        <v>37</v>
      </c>
    </row>
    <row r="126" spans="1:32" x14ac:dyDescent="0.25">
      <c r="A126" s="1" t="s">
        <v>282</v>
      </c>
      <c r="B126" s="1" t="s">
        <v>283</v>
      </c>
      <c r="C126" s="1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6">
        <v>0</v>
      </c>
      <c r="AF126" s="1" t="s">
        <v>37</v>
      </c>
    </row>
    <row r="127" spans="1:32" x14ac:dyDescent="0.25">
      <c r="A127" s="1" t="s">
        <v>284</v>
      </c>
      <c r="B127" s="1" t="s">
        <v>285</v>
      </c>
      <c r="C127" s="1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6">
        <v>0</v>
      </c>
      <c r="AF127" s="1" t="s">
        <v>37</v>
      </c>
    </row>
    <row r="128" spans="1:32" x14ac:dyDescent="0.25">
      <c r="A128" s="1" t="s">
        <v>286</v>
      </c>
      <c r="B128" s="1" t="s">
        <v>287</v>
      </c>
      <c r="C128" s="1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6">
        <v>0</v>
      </c>
      <c r="AF128" s="1" t="s">
        <v>37</v>
      </c>
    </row>
    <row r="129" spans="1:32" x14ac:dyDescent="0.25">
      <c r="A129" s="1" t="s">
        <v>288</v>
      </c>
      <c r="B129" s="1" t="s">
        <v>289</v>
      </c>
      <c r="C129" s="1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6">
        <v>0</v>
      </c>
      <c r="AF129" s="1" t="s">
        <v>37</v>
      </c>
    </row>
    <row r="130" spans="1:32" x14ac:dyDescent="0.25">
      <c r="A130" s="1" t="s">
        <v>290</v>
      </c>
      <c r="B130" s="1" t="s">
        <v>291</v>
      </c>
      <c r="C130" s="1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5">
        <v>0</v>
      </c>
      <c r="R130" s="5">
        <v>0</v>
      </c>
      <c r="S130" s="5">
        <v>0</v>
      </c>
      <c r="T130" s="5">
        <v>0</v>
      </c>
      <c r="U130" s="5">
        <v>0</v>
      </c>
      <c r="V130" s="5">
        <v>0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6">
        <v>0</v>
      </c>
      <c r="AF130" s="1" t="s">
        <v>37</v>
      </c>
    </row>
    <row r="131" spans="1:32" x14ac:dyDescent="0.25">
      <c r="A131" s="1" t="s">
        <v>292</v>
      </c>
      <c r="B131" s="1" t="s">
        <v>293</v>
      </c>
      <c r="C131" s="1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6">
        <v>0</v>
      </c>
      <c r="AF131" s="1" t="s">
        <v>37</v>
      </c>
    </row>
    <row r="132" spans="1:32" x14ac:dyDescent="0.25">
      <c r="A132" s="1" t="s">
        <v>294</v>
      </c>
      <c r="B132" s="1" t="s">
        <v>295</v>
      </c>
      <c r="C132" s="1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5">
        <v>0</v>
      </c>
      <c r="R132" s="5">
        <v>0</v>
      </c>
      <c r="S132" s="5">
        <v>0</v>
      </c>
      <c r="T132" s="5">
        <v>0</v>
      </c>
      <c r="U132" s="5">
        <v>0</v>
      </c>
      <c r="V132" s="5">
        <v>0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  <c r="AC132" s="6">
        <v>0</v>
      </c>
      <c r="AF132" s="1" t="s">
        <v>37</v>
      </c>
    </row>
    <row r="133" spans="1:32" x14ac:dyDescent="0.25">
      <c r="A133" s="1" t="s">
        <v>296</v>
      </c>
      <c r="B133" s="1" t="s">
        <v>297</v>
      </c>
      <c r="C133" s="1"/>
      <c r="D133" s="3"/>
      <c r="E133" s="3"/>
      <c r="F133" s="8">
        <v>6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5">
        <v>0</v>
      </c>
      <c r="R133" s="9">
        <v>0</v>
      </c>
      <c r="S133" s="4">
        <v>0.19350000000000001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10">
        <v>0</v>
      </c>
      <c r="AD133" s="4">
        <v>1.9400000000000001E-2</v>
      </c>
      <c r="AE133" s="4">
        <v>1.9400000000000001E-2</v>
      </c>
      <c r="AF133" s="1" t="s">
        <v>34</v>
      </c>
    </row>
    <row r="134" spans="1:32" x14ac:dyDescent="0.25">
      <c r="A134" s="1" t="s">
        <v>298</v>
      </c>
      <c r="B134" s="1" t="s">
        <v>299</v>
      </c>
      <c r="C134" s="1"/>
      <c r="D134" s="3"/>
      <c r="E134" s="8">
        <v>23</v>
      </c>
      <c r="F134" s="8">
        <v>27</v>
      </c>
      <c r="G134" s="8">
        <v>31</v>
      </c>
      <c r="H134" s="8">
        <v>7</v>
      </c>
      <c r="I134" s="8">
        <v>13</v>
      </c>
      <c r="J134" s="8">
        <v>39</v>
      </c>
      <c r="K134" s="8">
        <v>26</v>
      </c>
      <c r="L134" s="8">
        <v>2</v>
      </c>
      <c r="M134" s="3"/>
      <c r="N134" s="3"/>
      <c r="O134" s="3"/>
      <c r="P134" s="3"/>
      <c r="Q134" s="5">
        <v>0</v>
      </c>
      <c r="R134" s="9">
        <v>0.82140000000000002</v>
      </c>
      <c r="S134" s="4">
        <v>0.871</v>
      </c>
      <c r="T134" s="4">
        <v>1.0333000000000001</v>
      </c>
      <c r="U134" s="4">
        <v>0.2258</v>
      </c>
      <c r="V134" s="4">
        <v>0.4194</v>
      </c>
      <c r="W134" s="4">
        <v>1.3929</v>
      </c>
      <c r="X134" s="9">
        <v>1</v>
      </c>
      <c r="Y134" s="5">
        <v>0</v>
      </c>
      <c r="Z134" s="5">
        <v>0</v>
      </c>
      <c r="AA134" s="5">
        <v>0</v>
      </c>
      <c r="AB134" s="5">
        <v>0</v>
      </c>
      <c r="AC134" s="6">
        <v>0</v>
      </c>
      <c r="AD134" s="4">
        <v>0.78849999999999998</v>
      </c>
      <c r="AE134" s="4">
        <v>0.78849999999999998</v>
      </c>
      <c r="AF134" s="1" t="s">
        <v>34</v>
      </c>
    </row>
    <row r="135" spans="1:32" x14ac:dyDescent="0.25">
      <c r="A135" s="1" t="s">
        <v>300</v>
      </c>
      <c r="B135" s="1" t="s">
        <v>301</v>
      </c>
      <c r="C135" s="1"/>
      <c r="D135" s="3"/>
      <c r="E135" s="3"/>
      <c r="F135" s="3"/>
      <c r="G135" s="3"/>
      <c r="H135" s="8">
        <v>10</v>
      </c>
      <c r="I135" s="8">
        <v>10</v>
      </c>
      <c r="J135" s="8">
        <v>5</v>
      </c>
      <c r="K135" s="8">
        <v>2</v>
      </c>
      <c r="L135" s="8">
        <v>1</v>
      </c>
      <c r="M135" s="8">
        <v>2</v>
      </c>
      <c r="N135" s="8">
        <v>12</v>
      </c>
      <c r="O135" s="8">
        <v>1</v>
      </c>
      <c r="P135" s="3"/>
      <c r="Q135" s="5">
        <v>0</v>
      </c>
      <c r="R135" s="5">
        <v>0</v>
      </c>
      <c r="S135" s="5">
        <v>0</v>
      </c>
      <c r="T135" s="5">
        <v>0</v>
      </c>
      <c r="U135" s="9">
        <v>0.35709999999999997</v>
      </c>
      <c r="V135" s="4">
        <v>0.3226</v>
      </c>
      <c r="W135" s="4">
        <v>0.17860000000000001</v>
      </c>
      <c r="X135" s="4">
        <v>6.4500000000000002E-2</v>
      </c>
      <c r="Y135" s="4">
        <v>3.3300000000000003E-2</v>
      </c>
      <c r="Z135" s="4">
        <v>6.4500000000000002E-2</v>
      </c>
      <c r="AA135" s="4">
        <v>0.4</v>
      </c>
      <c r="AB135" s="4">
        <v>3.2300000000000002E-2</v>
      </c>
      <c r="AC135" s="10">
        <v>0</v>
      </c>
      <c r="AD135" s="4">
        <v>0.1565</v>
      </c>
      <c r="AE135" s="4">
        <v>0.1565</v>
      </c>
      <c r="AF135" s="1" t="s">
        <v>34</v>
      </c>
    </row>
    <row r="136" spans="1:32" x14ac:dyDescent="0.25">
      <c r="A136" s="1" t="s">
        <v>302</v>
      </c>
      <c r="B136" s="1" t="s">
        <v>303</v>
      </c>
      <c r="C136" s="1"/>
      <c r="D136" s="3"/>
      <c r="E136" s="3"/>
      <c r="F136" s="3"/>
      <c r="G136" s="3"/>
      <c r="H136" s="8">
        <v>11</v>
      </c>
      <c r="I136" s="8">
        <v>1</v>
      </c>
      <c r="J136" s="8">
        <v>4</v>
      </c>
      <c r="K136" s="8">
        <v>2</v>
      </c>
      <c r="L136" s="3"/>
      <c r="M136" s="8">
        <v>2</v>
      </c>
      <c r="N136" s="8">
        <v>1</v>
      </c>
      <c r="O136" s="3"/>
      <c r="P136" s="3"/>
      <c r="Q136" s="5">
        <v>0</v>
      </c>
      <c r="R136" s="5">
        <v>0</v>
      </c>
      <c r="S136" s="5">
        <v>0</v>
      </c>
      <c r="T136" s="5">
        <v>0</v>
      </c>
      <c r="U136" s="9">
        <v>0.39290000000000003</v>
      </c>
      <c r="V136" s="4">
        <v>3.2300000000000002E-2</v>
      </c>
      <c r="W136" s="4">
        <v>0.1429</v>
      </c>
      <c r="X136" s="4">
        <v>6.4500000000000002E-2</v>
      </c>
      <c r="Y136" s="4">
        <v>0</v>
      </c>
      <c r="Z136" s="4">
        <v>6.4500000000000002E-2</v>
      </c>
      <c r="AA136" s="4">
        <v>3.3300000000000003E-2</v>
      </c>
      <c r="AB136" s="4">
        <v>0</v>
      </c>
      <c r="AC136" s="10">
        <v>0</v>
      </c>
      <c r="AD136" s="4">
        <v>4.82E-2</v>
      </c>
      <c r="AE136" s="4">
        <v>4.82E-2</v>
      </c>
      <c r="AF136" s="1" t="s">
        <v>34</v>
      </c>
    </row>
    <row r="137" spans="1:32" x14ac:dyDescent="0.25">
      <c r="A137" s="1" t="s">
        <v>304</v>
      </c>
      <c r="B137" s="1" t="s">
        <v>305</v>
      </c>
      <c r="C137" s="1"/>
      <c r="D137" s="3"/>
      <c r="E137" s="3"/>
      <c r="F137" s="3"/>
      <c r="G137" s="3"/>
      <c r="H137" s="8">
        <v>11</v>
      </c>
      <c r="I137" s="8">
        <v>1</v>
      </c>
      <c r="J137" s="8">
        <v>3</v>
      </c>
      <c r="K137" s="8">
        <v>4</v>
      </c>
      <c r="L137" s="3"/>
      <c r="M137" s="8">
        <v>2</v>
      </c>
      <c r="N137" s="3"/>
      <c r="O137" s="8">
        <v>3</v>
      </c>
      <c r="P137" s="3"/>
      <c r="Q137" s="5">
        <v>0</v>
      </c>
      <c r="R137" s="5">
        <v>0</v>
      </c>
      <c r="S137" s="5">
        <v>0</v>
      </c>
      <c r="T137" s="5">
        <v>0</v>
      </c>
      <c r="U137" s="9">
        <v>0.39290000000000003</v>
      </c>
      <c r="V137" s="4">
        <v>3.2300000000000002E-2</v>
      </c>
      <c r="W137" s="4">
        <v>0.1071</v>
      </c>
      <c r="X137" s="4">
        <v>0.129</v>
      </c>
      <c r="Y137" s="4">
        <v>0</v>
      </c>
      <c r="Z137" s="4">
        <v>6.4500000000000002E-2</v>
      </c>
      <c r="AA137" s="4">
        <v>0</v>
      </c>
      <c r="AB137" s="4">
        <v>9.6799999999999997E-2</v>
      </c>
      <c r="AC137" s="10">
        <v>0</v>
      </c>
      <c r="AD137" s="4">
        <v>6.1400000000000003E-2</v>
      </c>
      <c r="AE137" s="4">
        <v>6.1400000000000003E-2</v>
      </c>
      <c r="AF137" s="1" t="s">
        <v>34</v>
      </c>
    </row>
    <row r="138" spans="1:32" x14ac:dyDescent="0.25">
      <c r="A138" s="1" t="s">
        <v>306</v>
      </c>
      <c r="B138" s="1" t="s">
        <v>307</v>
      </c>
      <c r="C138" s="1"/>
      <c r="D138" s="3"/>
      <c r="E138" s="3"/>
      <c r="F138" s="3"/>
      <c r="G138" s="3"/>
      <c r="H138" s="8">
        <v>7</v>
      </c>
      <c r="I138" s="8">
        <v>6</v>
      </c>
      <c r="J138" s="3"/>
      <c r="K138" s="8">
        <v>2</v>
      </c>
      <c r="L138" s="8">
        <v>6</v>
      </c>
      <c r="M138" s="3"/>
      <c r="N138" s="8">
        <v>3</v>
      </c>
      <c r="O138" s="8">
        <v>2</v>
      </c>
      <c r="P138" s="3"/>
      <c r="Q138" s="5">
        <v>0</v>
      </c>
      <c r="R138" s="5">
        <v>0</v>
      </c>
      <c r="S138" s="5">
        <v>0</v>
      </c>
      <c r="T138" s="5">
        <v>0</v>
      </c>
      <c r="U138" s="9">
        <v>0.25</v>
      </c>
      <c r="V138" s="4">
        <v>0.19350000000000001</v>
      </c>
      <c r="W138" s="4">
        <v>0</v>
      </c>
      <c r="X138" s="4">
        <v>6.4500000000000002E-2</v>
      </c>
      <c r="Y138" s="4">
        <v>0.2</v>
      </c>
      <c r="Z138" s="4">
        <v>0</v>
      </c>
      <c r="AA138" s="4">
        <v>0.1</v>
      </c>
      <c r="AB138" s="4">
        <v>6.4500000000000002E-2</v>
      </c>
      <c r="AC138" s="10">
        <v>0</v>
      </c>
      <c r="AD138" s="4">
        <v>8.8900000000000007E-2</v>
      </c>
      <c r="AE138" s="4">
        <v>8.8900000000000007E-2</v>
      </c>
      <c r="AF138" s="1" t="s">
        <v>34</v>
      </c>
    </row>
    <row r="139" spans="1:32" x14ac:dyDescent="0.25">
      <c r="A139" s="1" t="s">
        <v>308</v>
      </c>
      <c r="B139" s="1" t="s">
        <v>309</v>
      </c>
      <c r="C139" s="1"/>
      <c r="D139" s="3"/>
      <c r="E139" s="3"/>
      <c r="F139" s="3"/>
      <c r="G139" s="3"/>
      <c r="H139" s="3"/>
      <c r="I139" s="8">
        <v>20</v>
      </c>
      <c r="J139" s="8">
        <v>5</v>
      </c>
      <c r="K139" s="8">
        <v>17</v>
      </c>
      <c r="L139" s="8">
        <v>9</v>
      </c>
      <c r="M139" s="3"/>
      <c r="N139" s="8">
        <v>9</v>
      </c>
      <c r="O139" s="8">
        <v>5</v>
      </c>
      <c r="P139" s="3"/>
      <c r="Q139" s="5">
        <v>0</v>
      </c>
      <c r="R139" s="5">
        <v>0</v>
      </c>
      <c r="S139" s="5">
        <v>0</v>
      </c>
      <c r="T139" s="5">
        <v>0</v>
      </c>
      <c r="U139" s="9">
        <v>0</v>
      </c>
      <c r="V139" s="4">
        <v>0.6452</v>
      </c>
      <c r="W139" s="4">
        <v>0.17860000000000001</v>
      </c>
      <c r="X139" s="4">
        <v>0.5484</v>
      </c>
      <c r="Y139" s="4">
        <v>0.3</v>
      </c>
      <c r="Z139" s="4">
        <v>0</v>
      </c>
      <c r="AA139" s="4">
        <v>0.3</v>
      </c>
      <c r="AB139" s="4">
        <v>0.1613</v>
      </c>
      <c r="AC139" s="10">
        <v>0</v>
      </c>
      <c r="AD139" s="4">
        <v>0.30480000000000002</v>
      </c>
      <c r="AE139" s="4">
        <v>0.30480000000000002</v>
      </c>
      <c r="AF139" s="1" t="s">
        <v>34</v>
      </c>
    </row>
    <row r="140" spans="1:32" x14ac:dyDescent="0.25">
      <c r="A140" s="1" t="s">
        <v>310</v>
      </c>
      <c r="B140" s="1" t="s">
        <v>311</v>
      </c>
      <c r="C140" s="1"/>
      <c r="D140" s="3"/>
      <c r="E140" s="3"/>
      <c r="F140" s="3"/>
      <c r="G140" s="3"/>
      <c r="H140" s="3"/>
      <c r="I140" s="8">
        <v>22</v>
      </c>
      <c r="J140" s="8">
        <v>2</v>
      </c>
      <c r="K140" s="8">
        <v>8</v>
      </c>
      <c r="L140" s="8">
        <v>12</v>
      </c>
      <c r="M140" s="8">
        <v>6</v>
      </c>
      <c r="N140" s="8">
        <v>6</v>
      </c>
      <c r="O140" s="8">
        <v>23</v>
      </c>
      <c r="P140" s="3"/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9">
        <v>0.95650000000000002</v>
      </c>
      <c r="W140" s="4">
        <v>7.1400000000000005E-2</v>
      </c>
      <c r="X140" s="4">
        <v>0.2581</v>
      </c>
      <c r="Y140" s="4">
        <v>0.4</v>
      </c>
      <c r="Z140" s="4">
        <v>0.19350000000000001</v>
      </c>
      <c r="AA140" s="4">
        <v>0.2</v>
      </c>
      <c r="AB140" s="9">
        <v>0.85189999999999999</v>
      </c>
      <c r="AC140" s="6">
        <v>0</v>
      </c>
      <c r="AD140" s="4">
        <v>0.22459999999999999</v>
      </c>
      <c r="AE140" s="4">
        <v>0.22459999999999999</v>
      </c>
      <c r="AF140" s="1" t="s">
        <v>37</v>
      </c>
    </row>
    <row r="141" spans="1:32" x14ac:dyDescent="0.25">
      <c r="A141" s="1" t="s">
        <v>312</v>
      </c>
      <c r="B141" s="1" t="s">
        <v>313</v>
      </c>
      <c r="C141" s="1"/>
      <c r="D141" s="3"/>
      <c r="E141" s="3"/>
      <c r="F141" s="3"/>
      <c r="G141" s="3"/>
      <c r="H141" s="3"/>
      <c r="I141" s="8">
        <v>38</v>
      </c>
      <c r="J141" s="8">
        <v>58</v>
      </c>
      <c r="K141" s="8">
        <v>18</v>
      </c>
      <c r="L141" s="8">
        <v>10</v>
      </c>
      <c r="M141" s="8">
        <v>20</v>
      </c>
      <c r="N141" s="8">
        <v>7</v>
      </c>
      <c r="O141" s="8">
        <v>11</v>
      </c>
      <c r="P141" s="3"/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9">
        <v>1.6521999999999999</v>
      </c>
      <c r="W141" s="4">
        <v>2.0714000000000001</v>
      </c>
      <c r="X141" s="4">
        <v>0.5806</v>
      </c>
      <c r="Y141" s="4">
        <v>0.33329999999999999</v>
      </c>
      <c r="Z141" s="4">
        <v>0.6452</v>
      </c>
      <c r="AA141" s="4">
        <v>0.23330000000000001</v>
      </c>
      <c r="AB141" s="9">
        <v>0.84619999999999995</v>
      </c>
      <c r="AC141" s="6">
        <v>0</v>
      </c>
      <c r="AD141" s="4">
        <v>0.77280000000000004</v>
      </c>
      <c r="AE141" s="4">
        <v>0.77280000000000004</v>
      </c>
      <c r="AF141" s="1" t="s">
        <v>37</v>
      </c>
    </row>
    <row r="142" spans="1:32" x14ac:dyDescent="0.25">
      <c r="A142" s="1" t="s">
        <v>314</v>
      </c>
      <c r="B142" s="1" t="s">
        <v>315</v>
      </c>
      <c r="C142" s="1"/>
      <c r="D142" s="3"/>
      <c r="E142" s="3"/>
      <c r="F142" s="3"/>
      <c r="G142" s="3"/>
      <c r="H142" s="3"/>
      <c r="I142" s="8">
        <v>6</v>
      </c>
      <c r="J142" s="8">
        <v>73</v>
      </c>
      <c r="K142" s="8">
        <v>15</v>
      </c>
      <c r="L142" s="8">
        <v>55</v>
      </c>
      <c r="M142" s="8">
        <v>19</v>
      </c>
      <c r="N142" s="8">
        <v>25</v>
      </c>
      <c r="O142" s="8">
        <v>25</v>
      </c>
      <c r="P142" s="3"/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9">
        <v>0.26090000000000002</v>
      </c>
      <c r="W142" s="4">
        <v>2.6071</v>
      </c>
      <c r="X142" s="9">
        <v>0.6</v>
      </c>
      <c r="Y142" s="4">
        <v>1.8332999999999999</v>
      </c>
      <c r="Z142" s="4">
        <v>0.6129</v>
      </c>
      <c r="AA142" s="4">
        <v>0.83330000000000004</v>
      </c>
      <c r="AB142" s="4">
        <v>0.80649999999999999</v>
      </c>
      <c r="AC142" s="10">
        <v>0</v>
      </c>
      <c r="AD142" s="4">
        <v>1.3386</v>
      </c>
      <c r="AE142" s="4">
        <v>1.3386</v>
      </c>
      <c r="AF142" s="1" t="s">
        <v>37</v>
      </c>
    </row>
    <row r="143" spans="1:32" x14ac:dyDescent="0.25">
      <c r="A143" s="1" t="s">
        <v>316</v>
      </c>
      <c r="B143" s="1" t="s">
        <v>317</v>
      </c>
      <c r="C143" s="1"/>
      <c r="D143" s="3"/>
      <c r="E143" s="3"/>
      <c r="F143" s="3"/>
      <c r="G143" s="3"/>
      <c r="H143" s="3"/>
      <c r="I143" s="8">
        <v>19</v>
      </c>
      <c r="J143" s="8">
        <v>20</v>
      </c>
      <c r="K143" s="8">
        <v>21</v>
      </c>
      <c r="L143" s="8">
        <v>15</v>
      </c>
      <c r="M143" s="3"/>
      <c r="N143" s="8">
        <v>8</v>
      </c>
      <c r="O143" s="3"/>
      <c r="P143" s="3"/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9">
        <v>0.82609999999999995</v>
      </c>
      <c r="W143" s="4">
        <v>0.71430000000000005</v>
      </c>
      <c r="X143" s="4">
        <v>0.6774</v>
      </c>
      <c r="Y143" s="4">
        <v>0.5</v>
      </c>
      <c r="Z143" s="4">
        <v>0</v>
      </c>
      <c r="AA143" s="9">
        <v>2</v>
      </c>
      <c r="AB143" s="5">
        <v>0</v>
      </c>
      <c r="AC143" s="6">
        <v>0</v>
      </c>
      <c r="AD143" s="4">
        <v>0.47289999999999999</v>
      </c>
      <c r="AE143" s="4">
        <v>0.47289999999999999</v>
      </c>
      <c r="AF143" s="1" t="s">
        <v>37</v>
      </c>
    </row>
    <row r="144" spans="1:32" x14ac:dyDescent="0.25">
      <c r="A144" s="1" t="s">
        <v>318</v>
      </c>
      <c r="B144" s="1" t="s">
        <v>319</v>
      </c>
      <c r="C144" s="1"/>
      <c r="D144" s="3"/>
      <c r="E144" s="3"/>
      <c r="F144" s="3"/>
      <c r="G144" s="3"/>
      <c r="H144" s="3"/>
      <c r="I144" s="3"/>
      <c r="J144" s="3"/>
      <c r="K144" s="8">
        <v>20</v>
      </c>
      <c r="L144" s="8">
        <v>18</v>
      </c>
      <c r="M144" s="8">
        <v>24</v>
      </c>
      <c r="N144" s="8">
        <v>27</v>
      </c>
      <c r="O144" s="8">
        <v>30</v>
      </c>
      <c r="P144" s="3"/>
      <c r="Q144" s="5">
        <v>0</v>
      </c>
      <c r="R144" s="5">
        <v>0</v>
      </c>
      <c r="S144" s="5">
        <v>0</v>
      </c>
      <c r="T144" s="5">
        <v>0</v>
      </c>
      <c r="U144" s="5">
        <v>0</v>
      </c>
      <c r="V144" s="5">
        <v>0</v>
      </c>
      <c r="W144" s="5">
        <v>0</v>
      </c>
      <c r="X144" s="9">
        <v>0.90910000000000002</v>
      </c>
      <c r="Y144" s="4">
        <v>0.6</v>
      </c>
      <c r="Z144" s="4">
        <v>0.7742</v>
      </c>
      <c r="AA144" s="4">
        <v>0.9</v>
      </c>
      <c r="AB144" s="9">
        <v>1.1537999999999999</v>
      </c>
      <c r="AC144" s="6">
        <v>0</v>
      </c>
      <c r="AD144" s="4">
        <v>0.7581</v>
      </c>
      <c r="AE144" s="4">
        <v>0.7581</v>
      </c>
      <c r="AF144" s="1" t="s">
        <v>34</v>
      </c>
    </row>
    <row r="145" spans="1:32" x14ac:dyDescent="0.25">
      <c r="A145" s="1" t="s">
        <v>320</v>
      </c>
      <c r="B145" s="1" t="s">
        <v>321</v>
      </c>
      <c r="C145" s="1"/>
      <c r="D145" s="3"/>
      <c r="E145" s="3"/>
      <c r="F145" s="3"/>
      <c r="G145" s="3"/>
      <c r="H145" s="3"/>
      <c r="I145" s="3"/>
      <c r="J145" s="3"/>
      <c r="K145" s="3"/>
      <c r="L145" s="8">
        <v>78</v>
      </c>
      <c r="M145" s="8">
        <v>104</v>
      </c>
      <c r="N145" s="8">
        <v>108</v>
      </c>
      <c r="O145" s="8">
        <v>210</v>
      </c>
      <c r="P145" s="3"/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9">
        <v>0</v>
      </c>
      <c r="Y145" s="4">
        <v>2.6</v>
      </c>
      <c r="Z145" s="4">
        <v>3.3548</v>
      </c>
      <c r="AA145" s="4">
        <v>3.6</v>
      </c>
      <c r="AB145" s="9">
        <v>10</v>
      </c>
      <c r="AC145" s="6">
        <v>0</v>
      </c>
      <c r="AD145" s="4">
        <v>3.1848999999999998</v>
      </c>
      <c r="AE145" s="4">
        <v>3.1848999999999998</v>
      </c>
      <c r="AF145" s="1" t="s">
        <v>37</v>
      </c>
    </row>
    <row r="146" spans="1:32" x14ac:dyDescent="0.25">
      <c r="A146" s="1" t="s">
        <v>322</v>
      </c>
      <c r="B146" s="1" t="s">
        <v>323</v>
      </c>
      <c r="C146" s="1"/>
      <c r="D146" s="3"/>
      <c r="E146" s="3"/>
      <c r="F146" s="3"/>
      <c r="G146" s="3"/>
      <c r="H146" s="3"/>
      <c r="I146" s="3"/>
      <c r="J146" s="3"/>
      <c r="K146" s="8">
        <v>19</v>
      </c>
      <c r="L146" s="8">
        <v>10</v>
      </c>
      <c r="M146" s="8">
        <v>48</v>
      </c>
      <c r="N146" s="8">
        <v>36</v>
      </c>
      <c r="O146" s="8">
        <v>54</v>
      </c>
      <c r="P146" s="3"/>
      <c r="Q146" s="5">
        <v>0</v>
      </c>
      <c r="R146" s="5">
        <v>0</v>
      </c>
      <c r="S146" s="5">
        <v>0</v>
      </c>
      <c r="T146" s="5">
        <v>0</v>
      </c>
      <c r="U146" s="5">
        <v>0</v>
      </c>
      <c r="V146" s="5">
        <v>0</v>
      </c>
      <c r="W146" s="5">
        <v>0</v>
      </c>
      <c r="X146" s="9">
        <v>0.86360000000000003</v>
      </c>
      <c r="Y146" s="4">
        <v>0.33329999999999999</v>
      </c>
      <c r="Z146" s="4">
        <v>1.5484</v>
      </c>
      <c r="AA146" s="4">
        <v>1.2</v>
      </c>
      <c r="AB146" s="9">
        <v>1.8621000000000001</v>
      </c>
      <c r="AC146" s="6">
        <v>0</v>
      </c>
      <c r="AD146" s="4">
        <v>1.0271999999999999</v>
      </c>
      <c r="AE146" s="4">
        <v>1.0271999999999999</v>
      </c>
      <c r="AF146" s="1" t="s">
        <v>37</v>
      </c>
    </row>
    <row r="147" spans="1:32" x14ac:dyDescent="0.25">
      <c r="A147" s="1" t="s">
        <v>324</v>
      </c>
      <c r="B147" s="1" t="s">
        <v>325</v>
      </c>
      <c r="C147" s="1"/>
      <c r="D147" s="3"/>
      <c r="E147" s="3"/>
      <c r="F147" s="3"/>
      <c r="G147" s="3"/>
      <c r="H147" s="3"/>
      <c r="I147" s="3"/>
      <c r="J147" s="3"/>
      <c r="K147" s="8">
        <v>50</v>
      </c>
      <c r="L147" s="8">
        <v>111</v>
      </c>
      <c r="M147" s="8">
        <v>4</v>
      </c>
      <c r="N147" s="8">
        <v>9</v>
      </c>
      <c r="O147" s="8">
        <v>26</v>
      </c>
      <c r="P147" s="3"/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9">
        <v>2.2726999999999999</v>
      </c>
      <c r="Y147" s="9">
        <v>7.4</v>
      </c>
      <c r="Z147" s="4">
        <v>0.129</v>
      </c>
      <c r="AA147" s="4">
        <v>0.3</v>
      </c>
      <c r="AB147" s="4">
        <v>0.8387</v>
      </c>
      <c r="AC147" s="10">
        <v>0</v>
      </c>
      <c r="AD147" s="4">
        <v>0.42259999999999998</v>
      </c>
      <c r="AE147" s="4">
        <v>0.42259999999999998</v>
      </c>
      <c r="AF147" s="1" t="s">
        <v>37</v>
      </c>
    </row>
    <row r="148" spans="1:32" x14ac:dyDescent="0.25">
      <c r="A148" s="1" t="s">
        <v>326</v>
      </c>
      <c r="B148" s="1" t="s">
        <v>327</v>
      </c>
      <c r="C148" s="1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5">
        <v>0</v>
      </c>
      <c r="R148" s="5">
        <v>0</v>
      </c>
      <c r="S148" s="5">
        <v>0</v>
      </c>
      <c r="T148" s="5">
        <v>0</v>
      </c>
      <c r="U148" s="5">
        <v>0</v>
      </c>
      <c r="V148" s="5">
        <v>0</v>
      </c>
      <c r="W148" s="5">
        <v>0</v>
      </c>
      <c r="X148" s="5">
        <v>0</v>
      </c>
      <c r="Y148" s="5">
        <v>0</v>
      </c>
      <c r="Z148" s="5">
        <v>0</v>
      </c>
      <c r="AA148" s="5">
        <v>0</v>
      </c>
      <c r="AB148" s="5">
        <v>0</v>
      </c>
      <c r="AC148" s="6">
        <v>0</v>
      </c>
      <c r="AF148" s="1" t="s">
        <v>37</v>
      </c>
    </row>
    <row r="149" spans="1:32" x14ac:dyDescent="0.25">
      <c r="A149" s="1" t="s">
        <v>328</v>
      </c>
      <c r="B149" s="1" t="s">
        <v>329</v>
      </c>
      <c r="C149" s="1"/>
      <c r="D149" s="3"/>
      <c r="E149" s="3"/>
      <c r="F149" s="3"/>
      <c r="G149" s="3"/>
      <c r="H149" s="3"/>
      <c r="I149" s="3"/>
      <c r="J149" s="3"/>
      <c r="K149" s="3"/>
      <c r="L149" s="3"/>
      <c r="M149" s="8">
        <v>40</v>
      </c>
      <c r="N149" s="8">
        <v>87</v>
      </c>
      <c r="O149" s="8">
        <v>38</v>
      </c>
      <c r="P149" s="3"/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9">
        <v>0</v>
      </c>
      <c r="Z149" s="4">
        <v>1.2903</v>
      </c>
      <c r="AA149" s="4">
        <v>2.9</v>
      </c>
      <c r="AB149" s="9">
        <v>1.3103</v>
      </c>
      <c r="AC149" s="6">
        <v>0</v>
      </c>
      <c r="AD149" s="4">
        <v>2.0952000000000002</v>
      </c>
      <c r="AE149" s="4">
        <v>2.0952000000000002</v>
      </c>
      <c r="AF149" s="1" t="s">
        <v>37</v>
      </c>
    </row>
    <row r="150" spans="1:32" x14ac:dyDescent="0.25">
      <c r="A150" s="1" t="s">
        <v>330</v>
      </c>
      <c r="B150" s="1" t="s">
        <v>331</v>
      </c>
      <c r="C150" s="1"/>
      <c r="D150" s="3"/>
      <c r="E150" s="3"/>
      <c r="F150" s="3"/>
      <c r="G150" s="3"/>
      <c r="H150" s="3"/>
      <c r="I150" s="3"/>
      <c r="J150" s="3"/>
      <c r="K150" s="3"/>
      <c r="L150" s="3"/>
      <c r="M150" s="8">
        <v>63</v>
      </c>
      <c r="N150" s="8">
        <v>63</v>
      </c>
      <c r="O150" s="8">
        <v>40</v>
      </c>
      <c r="P150" s="3"/>
      <c r="Q150" s="5">
        <v>0</v>
      </c>
      <c r="R150" s="5">
        <v>0</v>
      </c>
      <c r="S150" s="5">
        <v>0</v>
      </c>
      <c r="T150" s="5">
        <v>0</v>
      </c>
      <c r="U150" s="5">
        <v>0</v>
      </c>
      <c r="V150" s="5">
        <v>0</v>
      </c>
      <c r="W150" s="5">
        <v>0</v>
      </c>
      <c r="X150" s="5">
        <v>0</v>
      </c>
      <c r="Y150" s="9">
        <v>0</v>
      </c>
      <c r="Z150" s="4">
        <v>2.0323000000000002</v>
      </c>
      <c r="AA150" s="4">
        <v>2.1</v>
      </c>
      <c r="AB150" s="9">
        <v>1.5385</v>
      </c>
      <c r="AC150" s="6">
        <v>0</v>
      </c>
      <c r="AD150" s="4">
        <v>2.0661999999999998</v>
      </c>
      <c r="AE150" s="4">
        <v>2.0661999999999998</v>
      </c>
      <c r="AF150" s="1" t="s">
        <v>37</v>
      </c>
    </row>
    <row r="151" spans="1:32" x14ac:dyDescent="0.25">
      <c r="A151" s="1" t="s">
        <v>332</v>
      </c>
      <c r="B151" s="1" t="s">
        <v>333</v>
      </c>
      <c r="C151" s="1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6">
        <v>0</v>
      </c>
      <c r="AF151" s="1" t="s">
        <v>37</v>
      </c>
    </row>
    <row r="152" spans="1:32" x14ac:dyDescent="0.25">
      <c r="A152" s="1" t="s">
        <v>334</v>
      </c>
      <c r="B152" s="1" t="s">
        <v>335</v>
      </c>
      <c r="C152" s="1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5">
        <v>0</v>
      </c>
      <c r="R152" s="5">
        <v>0</v>
      </c>
      <c r="S152" s="5">
        <v>0</v>
      </c>
      <c r="T152" s="5">
        <v>0</v>
      </c>
      <c r="U152" s="5">
        <v>0</v>
      </c>
      <c r="V152" s="5">
        <v>0</v>
      </c>
      <c r="W152" s="5">
        <v>0</v>
      </c>
      <c r="X152" s="5">
        <v>0</v>
      </c>
      <c r="Y152" s="5">
        <v>0</v>
      </c>
      <c r="Z152" s="5">
        <v>0</v>
      </c>
      <c r="AA152" s="5">
        <v>0</v>
      </c>
      <c r="AB152" s="5">
        <v>0</v>
      </c>
      <c r="AC152" s="6">
        <v>0</v>
      </c>
      <c r="AF152" s="1" t="s">
        <v>37</v>
      </c>
    </row>
    <row r="153" spans="1:32" x14ac:dyDescent="0.25">
      <c r="A153" s="1" t="s">
        <v>336</v>
      </c>
      <c r="B153" s="1" t="s">
        <v>337</v>
      </c>
      <c r="C153" s="1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6">
        <v>0</v>
      </c>
      <c r="AF153" s="1" t="s">
        <v>37</v>
      </c>
    </row>
    <row r="154" spans="1:32" x14ac:dyDescent="0.25">
      <c r="A154" s="1" t="s">
        <v>338</v>
      </c>
      <c r="B154" s="1" t="s">
        <v>339</v>
      </c>
      <c r="C154" s="1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5">
        <v>0</v>
      </c>
      <c r="R154" s="5">
        <v>0</v>
      </c>
      <c r="S154" s="5">
        <v>0</v>
      </c>
      <c r="T154" s="5">
        <v>0</v>
      </c>
      <c r="U154" s="5">
        <v>0</v>
      </c>
      <c r="V154" s="5">
        <v>0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  <c r="AB154" s="5">
        <v>0</v>
      </c>
      <c r="AC154" s="6">
        <v>0</v>
      </c>
      <c r="AF154" s="1" t="s">
        <v>37</v>
      </c>
    </row>
    <row r="155" spans="1:32" x14ac:dyDescent="0.25">
      <c r="A155" s="1" t="s">
        <v>340</v>
      </c>
      <c r="B155" s="1" t="s">
        <v>341</v>
      </c>
      <c r="C155" s="1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6">
        <v>0</v>
      </c>
      <c r="AF155" s="1" t="s">
        <v>37</v>
      </c>
    </row>
    <row r="156" spans="1:32" x14ac:dyDescent="0.25">
      <c r="A156" s="1" t="s">
        <v>342</v>
      </c>
      <c r="B156" s="1" t="s">
        <v>343</v>
      </c>
      <c r="C156" s="1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8">
        <v>3</v>
      </c>
      <c r="P156" s="3"/>
      <c r="Q156" s="5">
        <v>0</v>
      </c>
      <c r="R156" s="5">
        <v>0</v>
      </c>
      <c r="S156" s="5">
        <v>0</v>
      </c>
      <c r="T156" s="5">
        <v>0</v>
      </c>
      <c r="U156" s="5">
        <v>0</v>
      </c>
      <c r="V156" s="5">
        <v>0</v>
      </c>
      <c r="W156" s="5">
        <v>0</v>
      </c>
      <c r="X156" s="5">
        <v>0</v>
      </c>
      <c r="Y156" s="5">
        <v>0</v>
      </c>
      <c r="Z156" s="5">
        <v>0</v>
      </c>
      <c r="AA156" s="5">
        <v>0</v>
      </c>
      <c r="AB156" s="9">
        <v>0.3</v>
      </c>
      <c r="AC156" s="10">
        <v>0</v>
      </c>
      <c r="AF156" s="1" t="s">
        <v>34</v>
      </c>
    </row>
    <row r="157" spans="1:32" x14ac:dyDescent="0.25">
      <c r="A157" s="1" t="s">
        <v>344</v>
      </c>
      <c r="B157" s="1" t="s">
        <v>345</v>
      </c>
      <c r="C157" s="1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6">
        <v>0</v>
      </c>
      <c r="AF157" s="1" t="s">
        <v>37</v>
      </c>
    </row>
    <row r="158" spans="1:32" x14ac:dyDescent="0.25">
      <c r="A158" s="1" t="s">
        <v>346</v>
      </c>
      <c r="B158" s="1" t="s">
        <v>347</v>
      </c>
      <c r="C158" s="1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5">
        <v>0</v>
      </c>
      <c r="R158" s="5">
        <v>0</v>
      </c>
      <c r="S158" s="5">
        <v>0</v>
      </c>
      <c r="T158" s="5">
        <v>0</v>
      </c>
      <c r="U158" s="5">
        <v>0</v>
      </c>
      <c r="V158" s="5">
        <v>0</v>
      </c>
      <c r="W158" s="5">
        <v>0</v>
      </c>
      <c r="X158" s="5">
        <v>0</v>
      </c>
      <c r="Y158" s="5">
        <v>0</v>
      </c>
      <c r="Z158" s="5">
        <v>0</v>
      </c>
      <c r="AA158" s="5">
        <v>0</v>
      </c>
      <c r="AB158" s="5">
        <v>0</v>
      </c>
      <c r="AC158" s="6">
        <v>0</v>
      </c>
      <c r="AF158" s="1" t="s">
        <v>37</v>
      </c>
    </row>
    <row r="159" spans="1:32" x14ac:dyDescent="0.25">
      <c r="A159" s="1" t="s">
        <v>348</v>
      </c>
      <c r="B159" s="1" t="s">
        <v>349</v>
      </c>
      <c r="C159" s="1" t="s">
        <v>350</v>
      </c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6">
        <v>0</v>
      </c>
      <c r="AF159" s="1" t="s">
        <v>34</v>
      </c>
    </row>
    <row r="160" spans="1:32" x14ac:dyDescent="0.25">
      <c r="A160" s="1" t="s">
        <v>351</v>
      </c>
      <c r="B160" s="1" t="s">
        <v>352</v>
      </c>
      <c r="C160" s="1" t="s">
        <v>353</v>
      </c>
      <c r="D160" s="8">
        <v>72</v>
      </c>
      <c r="E160" s="3"/>
      <c r="F160" s="3"/>
      <c r="G160" s="3"/>
      <c r="H160" s="3"/>
      <c r="I160" s="8">
        <v>-2</v>
      </c>
      <c r="J160" s="8">
        <v>1</v>
      </c>
      <c r="K160" s="3"/>
      <c r="L160" s="3"/>
      <c r="M160" s="3"/>
      <c r="N160" s="3"/>
      <c r="O160" s="3"/>
      <c r="P160" s="3"/>
      <c r="Q160" s="9">
        <v>12</v>
      </c>
      <c r="R160" s="5">
        <v>0</v>
      </c>
      <c r="S160" s="5">
        <v>0</v>
      </c>
      <c r="T160" s="5">
        <v>0</v>
      </c>
      <c r="U160" s="5">
        <v>0</v>
      </c>
      <c r="V160" s="5">
        <v>0</v>
      </c>
      <c r="W160" s="5">
        <v>0</v>
      </c>
      <c r="X160" s="5">
        <v>0</v>
      </c>
      <c r="Y160" s="5">
        <v>0</v>
      </c>
      <c r="Z160" s="5">
        <v>0</v>
      </c>
      <c r="AA160" s="5">
        <v>0</v>
      </c>
      <c r="AB160" s="5">
        <v>0</v>
      </c>
      <c r="AC160" s="6">
        <v>0</v>
      </c>
      <c r="AF160" s="1" t="s">
        <v>34</v>
      </c>
    </row>
    <row r="161" spans="1:32" x14ac:dyDescent="0.25">
      <c r="A161" s="1" t="s">
        <v>354</v>
      </c>
      <c r="B161" s="1" t="s">
        <v>355</v>
      </c>
      <c r="C161" s="1" t="s">
        <v>356</v>
      </c>
      <c r="D161" s="8">
        <v>98</v>
      </c>
      <c r="E161" s="8">
        <v>35</v>
      </c>
      <c r="F161" s="8">
        <v>58</v>
      </c>
      <c r="G161" s="8">
        <v>31</v>
      </c>
      <c r="H161" s="3"/>
      <c r="I161" s="3"/>
      <c r="J161" s="3"/>
      <c r="K161" s="3"/>
      <c r="L161" s="3"/>
      <c r="M161" s="8">
        <v>-1</v>
      </c>
      <c r="N161" s="3"/>
      <c r="O161" s="3"/>
      <c r="P161" s="3"/>
      <c r="Q161" s="4">
        <v>3.1613000000000002</v>
      </c>
      <c r="R161" s="4">
        <v>1.1667000000000001</v>
      </c>
      <c r="S161" s="4">
        <v>1.871</v>
      </c>
      <c r="T161" s="9">
        <v>1.8234999999999999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5">
        <v>0</v>
      </c>
      <c r="AC161" s="6">
        <v>0</v>
      </c>
      <c r="AD161" s="4">
        <v>2.0663</v>
      </c>
      <c r="AE161" s="4">
        <v>2.0663</v>
      </c>
      <c r="AF161" s="1" t="s">
        <v>34</v>
      </c>
    </row>
    <row r="162" spans="1:32" x14ac:dyDescent="0.25">
      <c r="A162" s="1" t="s">
        <v>357</v>
      </c>
      <c r="B162" s="1" t="s">
        <v>358</v>
      </c>
      <c r="C162" s="1" t="s">
        <v>359</v>
      </c>
      <c r="D162" s="8">
        <v>57</v>
      </c>
      <c r="E162" s="8">
        <v>11</v>
      </c>
      <c r="F162" s="8">
        <v>81</v>
      </c>
      <c r="G162" s="8">
        <v>51</v>
      </c>
      <c r="H162" s="8">
        <v>40</v>
      </c>
      <c r="I162" s="8">
        <v>36</v>
      </c>
      <c r="J162" s="8">
        <v>24</v>
      </c>
      <c r="K162" s="8">
        <v>25</v>
      </c>
      <c r="L162" s="8">
        <v>47</v>
      </c>
      <c r="M162" s="8">
        <v>14</v>
      </c>
      <c r="N162" s="8">
        <v>52</v>
      </c>
      <c r="O162" s="8">
        <v>13</v>
      </c>
      <c r="P162" s="3"/>
      <c r="Q162" s="4">
        <v>1.8387</v>
      </c>
      <c r="R162" s="4">
        <v>0.36670000000000003</v>
      </c>
      <c r="S162" s="4">
        <v>2.6128999999999998</v>
      </c>
      <c r="T162" s="4">
        <v>1.7</v>
      </c>
      <c r="U162" s="4">
        <v>1.2903</v>
      </c>
      <c r="V162" s="4">
        <v>1.1613</v>
      </c>
      <c r="W162" s="4">
        <v>0.85709999999999997</v>
      </c>
      <c r="X162" s="4">
        <v>0.80649999999999999</v>
      </c>
      <c r="Y162" s="4">
        <v>1.5667</v>
      </c>
      <c r="Z162" s="4">
        <v>0.4516</v>
      </c>
      <c r="AA162" s="4">
        <v>1.7333000000000001</v>
      </c>
      <c r="AB162" s="4">
        <v>0.4194</v>
      </c>
      <c r="AC162" s="10">
        <v>0</v>
      </c>
      <c r="AD162" s="4">
        <v>1.2337</v>
      </c>
      <c r="AE162" s="4">
        <v>1.2337</v>
      </c>
      <c r="AF162" s="1" t="s">
        <v>34</v>
      </c>
    </row>
    <row r="163" spans="1:32" x14ac:dyDescent="0.25">
      <c r="A163" s="1" t="s">
        <v>360</v>
      </c>
      <c r="B163" s="1" t="s">
        <v>361</v>
      </c>
      <c r="C163" s="1" t="s">
        <v>362</v>
      </c>
      <c r="D163" s="3"/>
      <c r="E163" s="3"/>
      <c r="F163" s="3"/>
      <c r="G163" s="3"/>
      <c r="H163" s="3"/>
      <c r="I163" s="3"/>
      <c r="J163" s="3"/>
      <c r="K163" s="8">
        <v>2</v>
      </c>
      <c r="L163" s="3"/>
      <c r="M163" s="3"/>
      <c r="N163" s="3"/>
      <c r="O163" s="3"/>
      <c r="P163" s="3"/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6">
        <v>0</v>
      </c>
      <c r="AF163" s="1" t="s">
        <v>34</v>
      </c>
    </row>
    <row r="164" spans="1:32" x14ac:dyDescent="0.25">
      <c r="A164" s="1" t="s">
        <v>363</v>
      </c>
      <c r="B164" s="1" t="s">
        <v>364</v>
      </c>
      <c r="C164" s="1" t="s">
        <v>365</v>
      </c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5">
        <v>0</v>
      </c>
      <c r="R164" s="5">
        <v>0</v>
      </c>
      <c r="S164" s="5">
        <v>0</v>
      </c>
      <c r="T164" s="5">
        <v>0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  <c r="AB164" s="5">
        <v>0</v>
      </c>
      <c r="AC164" s="6">
        <v>0</v>
      </c>
      <c r="AF164" s="1" t="s">
        <v>34</v>
      </c>
    </row>
    <row r="165" spans="1:32" x14ac:dyDescent="0.25">
      <c r="A165" s="1" t="s">
        <v>366</v>
      </c>
      <c r="B165" s="1" t="s">
        <v>367</v>
      </c>
      <c r="C165" s="1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5">
        <v>0</v>
      </c>
      <c r="R165" s="5">
        <v>0</v>
      </c>
      <c r="S165" s="5">
        <v>0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6">
        <v>0</v>
      </c>
      <c r="AF165" s="1" t="s">
        <v>34</v>
      </c>
    </row>
    <row r="166" spans="1:32" x14ac:dyDescent="0.25">
      <c r="A166" s="1" t="s">
        <v>368</v>
      </c>
      <c r="B166" s="1" t="s">
        <v>369</v>
      </c>
      <c r="C166" s="1"/>
      <c r="D166" s="8">
        <v>20</v>
      </c>
      <c r="E166" s="8">
        <v>26</v>
      </c>
      <c r="F166" s="8">
        <v>32</v>
      </c>
      <c r="G166" s="8">
        <v>9</v>
      </c>
      <c r="H166" s="3"/>
      <c r="I166" s="8">
        <v>9</v>
      </c>
      <c r="J166" s="8">
        <v>33</v>
      </c>
      <c r="K166" s="8">
        <v>15</v>
      </c>
      <c r="L166" s="8">
        <v>5</v>
      </c>
      <c r="M166" s="8">
        <v>5</v>
      </c>
      <c r="N166" s="3"/>
      <c r="O166" s="8">
        <v>8</v>
      </c>
      <c r="P166" s="3"/>
      <c r="Q166" s="4">
        <v>0.6452</v>
      </c>
      <c r="R166" s="4">
        <v>0.86670000000000003</v>
      </c>
      <c r="S166" s="4">
        <v>1.0323</v>
      </c>
      <c r="T166" s="4">
        <v>0.3</v>
      </c>
      <c r="U166" s="4">
        <v>0</v>
      </c>
      <c r="V166" s="4">
        <v>0.2903</v>
      </c>
      <c r="W166" s="4">
        <v>1.1786000000000001</v>
      </c>
      <c r="X166" s="4">
        <v>0.4839</v>
      </c>
      <c r="Y166" s="4">
        <v>0.16669999999999999</v>
      </c>
      <c r="Z166" s="4">
        <v>0.1613</v>
      </c>
      <c r="AA166" s="4">
        <v>0</v>
      </c>
      <c r="AB166" s="4">
        <v>0.2581</v>
      </c>
      <c r="AC166" s="10">
        <v>0</v>
      </c>
      <c r="AD166" s="4">
        <v>0.4486</v>
      </c>
      <c r="AE166" s="4">
        <v>0.4486</v>
      </c>
      <c r="AF166" s="1" t="s">
        <v>37</v>
      </c>
    </row>
    <row r="167" spans="1:32" x14ac:dyDescent="0.25">
      <c r="A167" s="1" t="s">
        <v>370</v>
      </c>
      <c r="B167" s="1" t="s">
        <v>371</v>
      </c>
      <c r="C167" s="1"/>
      <c r="D167" s="3"/>
      <c r="E167" s="8">
        <v>2</v>
      </c>
      <c r="F167" s="8">
        <v>20</v>
      </c>
      <c r="G167" s="8">
        <v>18</v>
      </c>
      <c r="H167" s="3"/>
      <c r="I167" s="3"/>
      <c r="J167" s="8">
        <v>12</v>
      </c>
      <c r="K167" s="8">
        <v>10</v>
      </c>
      <c r="L167" s="3"/>
      <c r="M167" s="3"/>
      <c r="N167" s="8">
        <v>5</v>
      </c>
      <c r="O167" s="8">
        <v>2</v>
      </c>
      <c r="P167" s="3"/>
      <c r="Q167" s="4">
        <v>0</v>
      </c>
      <c r="R167" s="4">
        <v>6.6699999999999995E-2</v>
      </c>
      <c r="S167" s="4">
        <v>0.6452</v>
      </c>
      <c r="T167" s="4">
        <v>0.6</v>
      </c>
      <c r="U167" s="4">
        <v>0</v>
      </c>
      <c r="V167" s="4">
        <v>0</v>
      </c>
      <c r="W167" s="4">
        <v>0.42859999999999998</v>
      </c>
      <c r="X167" s="4">
        <v>0.3226</v>
      </c>
      <c r="Y167" s="4">
        <v>0</v>
      </c>
      <c r="Z167" s="4">
        <v>0</v>
      </c>
      <c r="AA167" s="4">
        <v>0.16669999999999999</v>
      </c>
      <c r="AB167" s="4">
        <v>6.4500000000000002E-2</v>
      </c>
      <c r="AC167" s="10">
        <v>0</v>
      </c>
      <c r="AD167" s="4">
        <v>0.19120000000000001</v>
      </c>
      <c r="AE167" s="4">
        <v>0.19120000000000001</v>
      </c>
      <c r="AF167" s="1" t="s">
        <v>37</v>
      </c>
    </row>
    <row r="168" spans="1:32" x14ac:dyDescent="0.25">
      <c r="A168" s="1" t="s">
        <v>372</v>
      </c>
      <c r="B168" s="1" t="s">
        <v>373</v>
      </c>
      <c r="C168" s="1"/>
      <c r="D168" s="8">
        <v>6</v>
      </c>
      <c r="E168" s="8">
        <v>1</v>
      </c>
      <c r="F168" s="8">
        <v>42</v>
      </c>
      <c r="G168" s="8">
        <v>17</v>
      </c>
      <c r="H168" s="8">
        <v>38</v>
      </c>
      <c r="I168" s="8">
        <v>17</v>
      </c>
      <c r="J168" s="8">
        <v>20</v>
      </c>
      <c r="K168" s="8">
        <v>34</v>
      </c>
      <c r="L168" s="8">
        <v>37</v>
      </c>
      <c r="M168" s="8">
        <v>2</v>
      </c>
      <c r="N168" s="8">
        <v>8</v>
      </c>
      <c r="O168" s="8">
        <v>28</v>
      </c>
      <c r="P168" s="3"/>
      <c r="Q168" s="4">
        <v>0.19350000000000001</v>
      </c>
      <c r="R168" s="4">
        <v>3.3300000000000003E-2</v>
      </c>
      <c r="S168" s="4">
        <v>1.3548</v>
      </c>
      <c r="T168" s="4">
        <v>0.56669999999999998</v>
      </c>
      <c r="U168" s="9">
        <v>1.2666999999999999</v>
      </c>
      <c r="V168" s="4">
        <v>0.5484</v>
      </c>
      <c r="W168" s="4">
        <v>0.71430000000000005</v>
      </c>
      <c r="X168" s="4">
        <v>1.0968</v>
      </c>
      <c r="Y168" s="4">
        <v>1.2333000000000001</v>
      </c>
      <c r="Z168" s="4">
        <v>6.4500000000000002E-2</v>
      </c>
      <c r="AA168" s="4">
        <v>0.26669999999999999</v>
      </c>
      <c r="AB168" s="4">
        <v>0.9032</v>
      </c>
      <c r="AC168" s="10">
        <v>0</v>
      </c>
      <c r="AD168" s="4">
        <v>0.6341</v>
      </c>
      <c r="AE168" s="4">
        <v>0.6341</v>
      </c>
      <c r="AF168" s="1" t="s">
        <v>37</v>
      </c>
    </row>
    <row r="169" spans="1:32" x14ac:dyDescent="0.25">
      <c r="A169" s="1" t="s">
        <v>374</v>
      </c>
      <c r="B169" s="1" t="s">
        <v>375</v>
      </c>
      <c r="C169" s="1" t="s">
        <v>376</v>
      </c>
      <c r="D169" s="3"/>
      <c r="E169" s="3"/>
      <c r="F169" s="8">
        <v>3</v>
      </c>
      <c r="G169" s="8">
        <v>1</v>
      </c>
      <c r="H169" s="3"/>
      <c r="I169" s="3"/>
      <c r="J169" s="8">
        <v>4</v>
      </c>
      <c r="K169" s="8">
        <v>3</v>
      </c>
      <c r="L169" s="8">
        <v>18</v>
      </c>
      <c r="M169" s="8">
        <v>2</v>
      </c>
      <c r="N169" s="8">
        <v>2</v>
      </c>
      <c r="O169" s="8">
        <v>1</v>
      </c>
      <c r="P169" s="3"/>
      <c r="Q169" s="4">
        <v>0</v>
      </c>
      <c r="R169" s="4">
        <v>0</v>
      </c>
      <c r="S169" s="4">
        <v>9.6799999999999997E-2</v>
      </c>
      <c r="T169" s="4">
        <v>3.3300000000000003E-2</v>
      </c>
      <c r="U169" s="4">
        <v>0</v>
      </c>
      <c r="V169" s="4">
        <v>0</v>
      </c>
      <c r="W169" s="4">
        <v>0.1429</v>
      </c>
      <c r="X169" s="4">
        <v>9.6799999999999997E-2</v>
      </c>
      <c r="Y169" s="4">
        <v>0.6</v>
      </c>
      <c r="Z169" s="4">
        <v>6.4500000000000002E-2</v>
      </c>
      <c r="AA169" s="4">
        <v>6.6699999999999995E-2</v>
      </c>
      <c r="AB169" s="4">
        <v>3.2300000000000002E-2</v>
      </c>
      <c r="AC169" s="10">
        <v>0</v>
      </c>
      <c r="AD169" s="4">
        <v>9.4399999999999998E-2</v>
      </c>
      <c r="AE169" s="4">
        <v>9.4399999999999998E-2</v>
      </c>
      <c r="AF169" s="1" t="s">
        <v>37</v>
      </c>
    </row>
    <row r="170" spans="1:32" x14ac:dyDescent="0.25">
      <c r="A170" s="1" t="s">
        <v>377</v>
      </c>
      <c r="B170" s="1" t="s">
        <v>378</v>
      </c>
      <c r="C170" s="1" t="s">
        <v>379</v>
      </c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5">
        <v>0</v>
      </c>
      <c r="R170" s="5">
        <v>0</v>
      </c>
      <c r="S170" s="5">
        <v>0</v>
      </c>
      <c r="T170" s="5">
        <v>0</v>
      </c>
      <c r="U170" s="5">
        <v>0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6">
        <v>0</v>
      </c>
      <c r="AF170" s="1" t="s">
        <v>34</v>
      </c>
    </row>
    <row r="171" spans="1:32" x14ac:dyDescent="0.25">
      <c r="A171" s="1" t="s">
        <v>380</v>
      </c>
      <c r="B171" s="1" t="s">
        <v>381</v>
      </c>
      <c r="C171" s="1" t="s">
        <v>379</v>
      </c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6">
        <v>0</v>
      </c>
      <c r="AF171" s="1" t="s">
        <v>37</v>
      </c>
    </row>
    <row r="172" spans="1:32" x14ac:dyDescent="0.25">
      <c r="A172" s="1" t="s">
        <v>382</v>
      </c>
      <c r="B172" s="1" t="s">
        <v>383</v>
      </c>
      <c r="C172" s="1" t="s">
        <v>384</v>
      </c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5">
        <v>0</v>
      </c>
      <c r="R172" s="5">
        <v>0</v>
      </c>
      <c r="S172" s="5">
        <v>0</v>
      </c>
      <c r="T172" s="5">
        <v>0</v>
      </c>
      <c r="U172" s="5">
        <v>0</v>
      </c>
      <c r="V172" s="5">
        <v>0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5">
        <v>0</v>
      </c>
      <c r="AC172" s="6">
        <v>0</v>
      </c>
      <c r="AF172" s="1" t="s">
        <v>34</v>
      </c>
    </row>
    <row r="173" spans="1:32" x14ac:dyDescent="0.25">
      <c r="A173" s="1" t="s">
        <v>385</v>
      </c>
      <c r="B173" s="1" t="s">
        <v>386</v>
      </c>
      <c r="C173" s="1" t="s">
        <v>384</v>
      </c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5">
        <v>0</v>
      </c>
      <c r="R173" s="5">
        <v>0</v>
      </c>
      <c r="S173" s="5">
        <v>0</v>
      </c>
      <c r="T173" s="5">
        <v>0</v>
      </c>
      <c r="U173" s="5">
        <v>0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6">
        <v>0</v>
      </c>
      <c r="AF173" s="1" t="s">
        <v>37</v>
      </c>
    </row>
    <row r="174" spans="1:32" x14ac:dyDescent="0.25">
      <c r="A174" s="1" t="s">
        <v>387</v>
      </c>
      <c r="B174" s="1" t="s">
        <v>388</v>
      </c>
      <c r="C174" s="1" t="s">
        <v>389</v>
      </c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5">
        <v>0</v>
      </c>
      <c r="R174" s="5">
        <v>0</v>
      </c>
      <c r="S174" s="5">
        <v>0</v>
      </c>
      <c r="T174" s="5">
        <v>0</v>
      </c>
      <c r="U174" s="5">
        <v>0</v>
      </c>
      <c r="V174" s="5">
        <v>0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5">
        <v>0</v>
      </c>
      <c r="AC174" s="6">
        <v>0</v>
      </c>
      <c r="AF174" s="1" t="s">
        <v>34</v>
      </c>
    </row>
    <row r="175" spans="1:32" x14ac:dyDescent="0.25">
      <c r="A175" s="1" t="s">
        <v>390</v>
      </c>
      <c r="B175" s="1" t="s">
        <v>391</v>
      </c>
      <c r="C175" s="1" t="s">
        <v>362</v>
      </c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5">
        <v>0</v>
      </c>
      <c r="R175" s="5">
        <v>0</v>
      </c>
      <c r="S175" s="5">
        <v>0</v>
      </c>
      <c r="T175" s="5">
        <v>0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6">
        <v>0</v>
      </c>
      <c r="AF175" s="1" t="s">
        <v>34</v>
      </c>
    </row>
    <row r="176" spans="1:32" x14ac:dyDescent="0.25">
      <c r="A176" s="1" t="s">
        <v>392</v>
      </c>
      <c r="B176" s="1" t="s">
        <v>393</v>
      </c>
      <c r="C176" s="1" t="s">
        <v>365</v>
      </c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5">
        <v>0</v>
      </c>
      <c r="R176" s="5">
        <v>0</v>
      </c>
      <c r="S176" s="5">
        <v>0</v>
      </c>
      <c r="T176" s="5">
        <v>0</v>
      </c>
      <c r="U176" s="5">
        <v>0</v>
      </c>
      <c r="V176" s="5">
        <v>0</v>
      </c>
      <c r="W176" s="5">
        <v>0</v>
      </c>
      <c r="X176" s="5">
        <v>0</v>
      </c>
      <c r="Y176" s="5">
        <v>0</v>
      </c>
      <c r="Z176" s="5">
        <v>0</v>
      </c>
      <c r="AA176" s="5">
        <v>0</v>
      </c>
      <c r="AB176" s="5">
        <v>0</v>
      </c>
      <c r="AC176" s="6">
        <v>0</v>
      </c>
      <c r="AF176" s="1" t="s">
        <v>34</v>
      </c>
    </row>
    <row r="177" spans="1:32" x14ac:dyDescent="0.25">
      <c r="A177" s="1" t="s">
        <v>394</v>
      </c>
      <c r="B177" s="1" t="s">
        <v>395</v>
      </c>
      <c r="C177" s="1" t="s">
        <v>396</v>
      </c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5">
        <v>0</v>
      </c>
      <c r="R177" s="5">
        <v>0</v>
      </c>
      <c r="S177" s="5">
        <v>0</v>
      </c>
      <c r="T177" s="5">
        <v>0</v>
      </c>
      <c r="U177" s="5">
        <v>0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6">
        <v>0</v>
      </c>
      <c r="AF177" s="1" t="s">
        <v>37</v>
      </c>
    </row>
    <row r="178" spans="1:32" x14ac:dyDescent="0.25">
      <c r="A178" s="1" t="s">
        <v>397</v>
      </c>
      <c r="B178" s="1" t="s">
        <v>398</v>
      </c>
      <c r="C178" s="1" t="s">
        <v>399</v>
      </c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5">
        <v>0</v>
      </c>
      <c r="R178" s="5">
        <v>0</v>
      </c>
      <c r="S178" s="5">
        <v>0</v>
      </c>
      <c r="T178" s="5">
        <v>0</v>
      </c>
      <c r="U178" s="5">
        <v>0</v>
      </c>
      <c r="V178" s="5">
        <v>0</v>
      </c>
      <c r="W178" s="5">
        <v>0</v>
      </c>
      <c r="X178" s="5">
        <v>0</v>
      </c>
      <c r="Y178" s="5">
        <v>0</v>
      </c>
      <c r="Z178" s="5">
        <v>0</v>
      </c>
      <c r="AA178" s="5">
        <v>0</v>
      </c>
      <c r="AB178" s="5">
        <v>0</v>
      </c>
      <c r="AC178" s="6">
        <v>0</v>
      </c>
      <c r="AF178" s="1" t="s">
        <v>34</v>
      </c>
    </row>
    <row r="179" spans="1:32" x14ac:dyDescent="0.25">
      <c r="A179" s="1" t="s">
        <v>400</v>
      </c>
      <c r="B179" s="1" t="s">
        <v>401</v>
      </c>
      <c r="C179" s="1" t="s">
        <v>402</v>
      </c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5">
        <v>0</v>
      </c>
      <c r="R179" s="5">
        <v>0</v>
      </c>
      <c r="S179" s="5">
        <v>0</v>
      </c>
      <c r="T179" s="5">
        <v>0</v>
      </c>
      <c r="U179" s="5">
        <v>0</v>
      </c>
      <c r="V179" s="5">
        <v>0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  <c r="AB179" s="5">
        <v>0</v>
      </c>
      <c r="AC179" s="6">
        <v>0</v>
      </c>
      <c r="AF179" s="1" t="s">
        <v>34</v>
      </c>
    </row>
    <row r="180" spans="1:32" x14ac:dyDescent="0.25">
      <c r="A180" s="1" t="s">
        <v>403</v>
      </c>
      <c r="B180" s="1" t="s">
        <v>404</v>
      </c>
      <c r="C180" s="1" t="s">
        <v>405</v>
      </c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5">
        <v>0</v>
      </c>
      <c r="R180" s="5">
        <v>0</v>
      </c>
      <c r="S180" s="5">
        <v>0</v>
      </c>
      <c r="T180" s="5">
        <v>0</v>
      </c>
      <c r="U180" s="5">
        <v>0</v>
      </c>
      <c r="V180" s="5">
        <v>0</v>
      </c>
      <c r="W180" s="5">
        <v>0</v>
      </c>
      <c r="X180" s="5">
        <v>0</v>
      </c>
      <c r="Y180" s="5">
        <v>0</v>
      </c>
      <c r="Z180" s="5">
        <v>0</v>
      </c>
      <c r="AA180" s="5">
        <v>0</v>
      </c>
      <c r="AB180" s="5">
        <v>0</v>
      </c>
      <c r="AC180" s="6">
        <v>0</v>
      </c>
      <c r="AF180" s="1" t="s">
        <v>34</v>
      </c>
    </row>
    <row r="181" spans="1:32" x14ac:dyDescent="0.25">
      <c r="A181" s="1" t="s">
        <v>406</v>
      </c>
      <c r="B181" s="1" t="s">
        <v>407</v>
      </c>
      <c r="C181" s="1" t="s">
        <v>408</v>
      </c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5">
        <v>0</v>
      </c>
      <c r="R181" s="5">
        <v>0</v>
      </c>
      <c r="S181" s="5">
        <v>0</v>
      </c>
      <c r="T181" s="5">
        <v>0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5">
        <v>0</v>
      </c>
      <c r="AC181" s="6">
        <v>0</v>
      </c>
      <c r="AF181" s="1" t="s">
        <v>34</v>
      </c>
    </row>
    <row r="182" spans="1:32" x14ac:dyDescent="0.25">
      <c r="A182" s="1" t="s">
        <v>409</v>
      </c>
      <c r="B182" s="1" t="s">
        <v>410</v>
      </c>
      <c r="C182" s="1" t="s">
        <v>411</v>
      </c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5">
        <v>0</v>
      </c>
      <c r="R182" s="5">
        <v>0</v>
      </c>
      <c r="S182" s="5">
        <v>0</v>
      </c>
      <c r="T182" s="5">
        <v>0</v>
      </c>
      <c r="U182" s="5">
        <v>0</v>
      </c>
      <c r="V182" s="5">
        <v>0</v>
      </c>
      <c r="W182" s="5">
        <v>0</v>
      </c>
      <c r="X182" s="5">
        <v>0</v>
      </c>
      <c r="Y182" s="5">
        <v>0</v>
      </c>
      <c r="Z182" s="5">
        <v>0</v>
      </c>
      <c r="AA182" s="5">
        <v>0</v>
      </c>
      <c r="AB182" s="5">
        <v>0</v>
      </c>
      <c r="AC182" s="6">
        <v>0</v>
      </c>
      <c r="AF182" s="1" t="s">
        <v>34</v>
      </c>
    </row>
    <row r="183" spans="1:32" x14ac:dyDescent="0.25">
      <c r="A183" s="1" t="s">
        <v>412</v>
      </c>
      <c r="B183" s="1" t="s">
        <v>413</v>
      </c>
      <c r="C183" s="1" t="s">
        <v>414</v>
      </c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5">
        <v>0</v>
      </c>
      <c r="R183" s="5">
        <v>0</v>
      </c>
      <c r="S183" s="5">
        <v>0</v>
      </c>
      <c r="T183" s="5">
        <v>0</v>
      </c>
      <c r="U183" s="5">
        <v>0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6">
        <v>0</v>
      </c>
      <c r="AF183" s="1" t="s">
        <v>34</v>
      </c>
    </row>
    <row r="184" spans="1:32" x14ac:dyDescent="0.25">
      <c r="A184" s="1" t="s">
        <v>415</v>
      </c>
      <c r="B184" s="1" t="s">
        <v>416</v>
      </c>
      <c r="C184" s="1" t="s">
        <v>417</v>
      </c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5">
        <v>0</v>
      </c>
      <c r="R184" s="5">
        <v>0</v>
      </c>
      <c r="S184" s="5">
        <v>0</v>
      </c>
      <c r="T184" s="5">
        <v>0</v>
      </c>
      <c r="U184" s="5">
        <v>0</v>
      </c>
      <c r="V184" s="5">
        <v>0</v>
      </c>
      <c r="W184" s="5">
        <v>0</v>
      </c>
      <c r="X184" s="5">
        <v>0</v>
      </c>
      <c r="Y184" s="5">
        <v>0</v>
      </c>
      <c r="Z184" s="5">
        <v>0</v>
      </c>
      <c r="AA184" s="5">
        <v>0</v>
      </c>
      <c r="AB184" s="5">
        <v>0</v>
      </c>
      <c r="AC184" s="6">
        <v>0</v>
      </c>
      <c r="AF184" s="1" t="s">
        <v>37</v>
      </c>
    </row>
    <row r="185" spans="1:32" x14ac:dyDescent="0.25">
      <c r="A185" s="1" t="s">
        <v>418</v>
      </c>
      <c r="B185" s="1" t="s">
        <v>419</v>
      </c>
      <c r="C185" s="1" t="s">
        <v>396</v>
      </c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5">
        <v>0</v>
      </c>
      <c r="R185" s="5">
        <v>0</v>
      </c>
      <c r="S185" s="5">
        <v>0</v>
      </c>
      <c r="T185" s="5">
        <v>0</v>
      </c>
      <c r="U185" s="5">
        <v>0</v>
      </c>
      <c r="V185" s="5">
        <v>0</v>
      </c>
      <c r="W185" s="5">
        <v>0</v>
      </c>
      <c r="X185" s="5">
        <v>0</v>
      </c>
      <c r="Y185" s="5">
        <v>0</v>
      </c>
      <c r="Z185" s="5">
        <v>0</v>
      </c>
      <c r="AA185" s="5">
        <v>0</v>
      </c>
      <c r="AB185" s="5">
        <v>0</v>
      </c>
      <c r="AC185" s="6">
        <v>0</v>
      </c>
      <c r="AF185" s="1" t="s">
        <v>34</v>
      </c>
    </row>
    <row r="186" spans="1:32" x14ac:dyDescent="0.25">
      <c r="A186" s="1" t="s">
        <v>420</v>
      </c>
      <c r="B186" s="1" t="s">
        <v>421</v>
      </c>
      <c r="C186" s="1" t="s">
        <v>422</v>
      </c>
      <c r="D186" s="8">
        <v>149</v>
      </c>
      <c r="E186" s="8">
        <v>316</v>
      </c>
      <c r="F186" s="8">
        <v>293</v>
      </c>
      <c r="G186" s="8">
        <v>332</v>
      </c>
      <c r="H186" s="8">
        <v>426</v>
      </c>
      <c r="I186" s="8">
        <v>255</v>
      </c>
      <c r="J186" s="8">
        <v>348</v>
      </c>
      <c r="K186" s="8">
        <v>469</v>
      </c>
      <c r="L186" s="8">
        <v>212</v>
      </c>
      <c r="M186" s="8">
        <v>90</v>
      </c>
      <c r="N186" s="8">
        <v>259</v>
      </c>
      <c r="O186" s="8">
        <v>339</v>
      </c>
      <c r="P186" s="3"/>
      <c r="Q186" s="4">
        <v>4.8064999999999998</v>
      </c>
      <c r="R186" s="4">
        <v>10.533300000000001</v>
      </c>
      <c r="S186" s="4">
        <v>9.4515999999999991</v>
      </c>
      <c r="T186" s="4">
        <v>11.066700000000001</v>
      </c>
      <c r="U186" s="4">
        <v>13.741899999999999</v>
      </c>
      <c r="V186" s="4">
        <v>8.2257999999999996</v>
      </c>
      <c r="W186" s="4">
        <v>12.428599999999999</v>
      </c>
      <c r="X186" s="4">
        <v>15.129</v>
      </c>
      <c r="Y186" s="4">
        <v>7.0667</v>
      </c>
      <c r="Z186" s="4">
        <v>2.9032</v>
      </c>
      <c r="AA186" s="4">
        <v>8.6333000000000002</v>
      </c>
      <c r="AB186" s="4">
        <v>10.935499999999999</v>
      </c>
      <c r="AC186" s="10">
        <v>0</v>
      </c>
      <c r="AD186" s="4">
        <v>9.5768000000000004</v>
      </c>
      <c r="AE186" s="4">
        <v>9.5768000000000004</v>
      </c>
      <c r="AF186" s="1" t="s">
        <v>37</v>
      </c>
    </row>
    <row r="187" spans="1:32" x14ac:dyDescent="0.25">
      <c r="A187" s="1" t="s">
        <v>423</v>
      </c>
      <c r="B187" s="1" t="s">
        <v>424</v>
      </c>
      <c r="C187" s="1" t="s">
        <v>359</v>
      </c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5">
        <v>0</v>
      </c>
      <c r="R187" s="5">
        <v>0</v>
      </c>
      <c r="S187" s="5">
        <v>0</v>
      </c>
      <c r="T187" s="5">
        <v>0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6">
        <v>0</v>
      </c>
      <c r="AF187" s="1" t="s">
        <v>37</v>
      </c>
    </row>
    <row r="188" spans="1:32" x14ac:dyDescent="0.25">
      <c r="A188" s="1" t="s">
        <v>425</v>
      </c>
      <c r="B188" s="1" t="s">
        <v>426</v>
      </c>
      <c r="C188" s="1" t="s">
        <v>427</v>
      </c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5">
        <v>0</v>
      </c>
      <c r="R188" s="5">
        <v>0</v>
      </c>
      <c r="S188" s="5">
        <v>0</v>
      </c>
      <c r="T188" s="5">
        <v>0</v>
      </c>
      <c r="U188" s="5">
        <v>0</v>
      </c>
      <c r="V188" s="5">
        <v>0</v>
      </c>
      <c r="W188" s="5">
        <v>0</v>
      </c>
      <c r="X188" s="5">
        <v>0</v>
      </c>
      <c r="Y188" s="5">
        <v>0</v>
      </c>
      <c r="Z188" s="5">
        <v>0</v>
      </c>
      <c r="AA188" s="5">
        <v>0</v>
      </c>
      <c r="AB188" s="5">
        <v>0</v>
      </c>
      <c r="AC188" s="6">
        <v>0</v>
      </c>
      <c r="AF188" s="1" t="s">
        <v>37</v>
      </c>
    </row>
    <row r="189" spans="1:32" x14ac:dyDescent="0.25">
      <c r="A189" s="1" t="s">
        <v>428</v>
      </c>
      <c r="B189" s="1" t="s">
        <v>429</v>
      </c>
      <c r="C189" s="1" t="s">
        <v>430</v>
      </c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6">
        <v>0</v>
      </c>
      <c r="AF189" s="1" t="s">
        <v>34</v>
      </c>
    </row>
    <row r="190" spans="1:32" x14ac:dyDescent="0.25">
      <c r="A190" s="1" t="s">
        <v>431</v>
      </c>
      <c r="B190" s="1" t="s">
        <v>432</v>
      </c>
      <c r="C190" s="1" t="s">
        <v>433</v>
      </c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5">
        <v>0</v>
      </c>
      <c r="R190" s="5">
        <v>0</v>
      </c>
      <c r="S190" s="5">
        <v>0</v>
      </c>
      <c r="T190" s="5">
        <v>0</v>
      </c>
      <c r="U190" s="5">
        <v>0</v>
      </c>
      <c r="V190" s="5">
        <v>0</v>
      </c>
      <c r="W190" s="5">
        <v>0</v>
      </c>
      <c r="X190" s="5">
        <v>0</v>
      </c>
      <c r="Y190" s="5">
        <v>0</v>
      </c>
      <c r="Z190" s="5">
        <v>0</v>
      </c>
      <c r="AA190" s="5">
        <v>0</v>
      </c>
      <c r="AB190" s="5">
        <v>0</v>
      </c>
      <c r="AC190" s="6">
        <v>0</v>
      </c>
      <c r="AF190" s="1" t="s">
        <v>37</v>
      </c>
    </row>
    <row r="191" spans="1:32" x14ac:dyDescent="0.25">
      <c r="A191" s="1" t="s">
        <v>434</v>
      </c>
      <c r="B191" s="1" t="s">
        <v>435</v>
      </c>
      <c r="C191" s="1" t="s">
        <v>436</v>
      </c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5">
        <v>0</v>
      </c>
      <c r="R191" s="5">
        <v>0</v>
      </c>
      <c r="S191" s="5">
        <v>0</v>
      </c>
      <c r="T191" s="5">
        <v>0</v>
      </c>
      <c r="U191" s="5">
        <v>0</v>
      </c>
      <c r="V191" s="5">
        <v>0</v>
      </c>
      <c r="W191" s="5">
        <v>0</v>
      </c>
      <c r="X191" s="5">
        <v>0</v>
      </c>
      <c r="Y191" s="5">
        <v>0</v>
      </c>
      <c r="Z191" s="5">
        <v>0</v>
      </c>
      <c r="AA191" s="5">
        <v>0</v>
      </c>
      <c r="AB191" s="5">
        <v>0</v>
      </c>
      <c r="AC191" s="6">
        <v>0</v>
      </c>
      <c r="AF191" s="1" t="s">
        <v>34</v>
      </c>
    </row>
    <row r="192" spans="1:32" x14ac:dyDescent="0.25">
      <c r="A192" s="1" t="s">
        <v>437</v>
      </c>
      <c r="B192" s="1" t="s">
        <v>438</v>
      </c>
      <c r="C192" s="1" t="s">
        <v>439</v>
      </c>
      <c r="D192" s="8">
        <v>25</v>
      </c>
      <c r="E192" s="8">
        <v>16</v>
      </c>
      <c r="F192" s="8">
        <v>24</v>
      </c>
      <c r="G192" s="8">
        <v>25</v>
      </c>
      <c r="H192" s="8">
        <v>61</v>
      </c>
      <c r="I192" s="8">
        <v>15</v>
      </c>
      <c r="J192" s="8">
        <v>21</v>
      </c>
      <c r="K192" s="8">
        <v>22</v>
      </c>
      <c r="L192" s="8">
        <v>4</v>
      </c>
      <c r="M192" s="8">
        <v>8</v>
      </c>
      <c r="N192" s="8">
        <v>24</v>
      </c>
      <c r="O192" s="8">
        <v>73</v>
      </c>
      <c r="P192" s="3"/>
      <c r="Q192" s="4">
        <v>0.80649999999999999</v>
      </c>
      <c r="R192" s="4">
        <v>0.5333</v>
      </c>
      <c r="S192" s="4">
        <v>0.7742</v>
      </c>
      <c r="T192" s="4">
        <v>0.83330000000000004</v>
      </c>
      <c r="U192" s="4">
        <v>1.9677</v>
      </c>
      <c r="V192" s="4">
        <v>0.4839</v>
      </c>
      <c r="W192" s="4">
        <v>0.75</v>
      </c>
      <c r="X192" s="4">
        <v>0.7097</v>
      </c>
      <c r="Y192" s="4">
        <v>0.1333</v>
      </c>
      <c r="Z192" s="4">
        <v>0.2581</v>
      </c>
      <c r="AA192" s="4">
        <v>0.8</v>
      </c>
      <c r="AB192" s="4">
        <v>2.3548</v>
      </c>
      <c r="AC192" s="10">
        <v>0</v>
      </c>
      <c r="AD192" s="4">
        <v>0.86709999999999998</v>
      </c>
      <c r="AE192" s="4">
        <v>0.86709999999999998</v>
      </c>
      <c r="AF192" s="1" t="s">
        <v>37</v>
      </c>
    </row>
    <row r="193" spans="1:32" x14ac:dyDescent="0.25">
      <c r="A193" s="1" t="s">
        <v>440</v>
      </c>
      <c r="B193" s="1" t="s">
        <v>441</v>
      </c>
      <c r="C193" s="1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5">
        <v>0</v>
      </c>
      <c r="R193" s="5">
        <v>0</v>
      </c>
      <c r="S193" s="5">
        <v>0</v>
      </c>
      <c r="T193" s="5">
        <v>0</v>
      </c>
      <c r="U193" s="5">
        <v>0</v>
      </c>
      <c r="V193" s="5">
        <v>0</v>
      </c>
      <c r="W193" s="5">
        <v>0</v>
      </c>
      <c r="X193" s="5">
        <v>0</v>
      </c>
      <c r="Y193" s="5">
        <v>0</v>
      </c>
      <c r="Z193" s="5">
        <v>0</v>
      </c>
      <c r="AA193" s="5">
        <v>0</v>
      </c>
      <c r="AB193" s="5">
        <v>0</v>
      </c>
      <c r="AC193" s="6">
        <v>0</v>
      </c>
      <c r="AF193" s="1" t="s">
        <v>37</v>
      </c>
    </row>
    <row r="194" spans="1:32" x14ac:dyDescent="0.25">
      <c r="A194" s="1" t="s">
        <v>442</v>
      </c>
      <c r="B194" s="1" t="s">
        <v>443</v>
      </c>
      <c r="C194" s="1" t="s">
        <v>444</v>
      </c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5">
        <v>0</v>
      </c>
      <c r="R194" s="5">
        <v>0</v>
      </c>
      <c r="S194" s="5">
        <v>0</v>
      </c>
      <c r="T194" s="5">
        <v>0</v>
      </c>
      <c r="U194" s="5">
        <v>0</v>
      </c>
      <c r="V194" s="5">
        <v>0</v>
      </c>
      <c r="W194" s="5">
        <v>0</v>
      </c>
      <c r="X194" s="5">
        <v>0</v>
      </c>
      <c r="Y194" s="5">
        <v>0</v>
      </c>
      <c r="Z194" s="5">
        <v>0</v>
      </c>
      <c r="AA194" s="5">
        <v>0</v>
      </c>
      <c r="AB194" s="5">
        <v>0</v>
      </c>
      <c r="AC194" s="6">
        <v>0</v>
      </c>
      <c r="AF194" s="1" t="s">
        <v>37</v>
      </c>
    </row>
    <row r="195" spans="1:32" x14ac:dyDescent="0.25">
      <c r="A195" s="1" t="s">
        <v>445</v>
      </c>
      <c r="B195" s="1" t="s">
        <v>446</v>
      </c>
      <c r="C195" s="1" t="s">
        <v>447</v>
      </c>
      <c r="D195" s="8">
        <v>33</v>
      </c>
      <c r="E195" s="8">
        <v>58</v>
      </c>
      <c r="F195" s="8">
        <v>58</v>
      </c>
      <c r="G195" s="8">
        <v>55</v>
      </c>
      <c r="H195" s="8">
        <v>127</v>
      </c>
      <c r="I195" s="8">
        <v>94</v>
      </c>
      <c r="J195" s="8">
        <v>87</v>
      </c>
      <c r="K195" s="8">
        <v>57</v>
      </c>
      <c r="L195" s="8">
        <v>1</v>
      </c>
      <c r="M195" s="8">
        <v>69</v>
      </c>
      <c r="N195" s="8">
        <v>89</v>
      </c>
      <c r="O195" s="8">
        <v>49</v>
      </c>
      <c r="P195" s="3"/>
      <c r="Q195" s="4">
        <v>1.0645</v>
      </c>
      <c r="R195" s="4">
        <v>1.9333</v>
      </c>
      <c r="S195" s="4">
        <v>1.871</v>
      </c>
      <c r="T195" s="4">
        <v>1.8332999999999999</v>
      </c>
      <c r="U195" s="4">
        <v>4.0968</v>
      </c>
      <c r="V195" s="4">
        <v>3.0323000000000002</v>
      </c>
      <c r="W195" s="4">
        <v>3.1071</v>
      </c>
      <c r="X195" s="9">
        <v>2.5909</v>
      </c>
      <c r="Y195" s="9">
        <v>1</v>
      </c>
      <c r="Z195" s="4">
        <v>2.2258</v>
      </c>
      <c r="AA195" s="4">
        <v>2.9666999999999999</v>
      </c>
      <c r="AB195" s="4">
        <v>1.5806</v>
      </c>
      <c r="AC195" s="10">
        <v>0</v>
      </c>
      <c r="AD195" s="4">
        <v>2.3711000000000002</v>
      </c>
      <c r="AE195" s="4">
        <v>2.3711000000000002</v>
      </c>
      <c r="AF195" s="1" t="s">
        <v>37</v>
      </c>
    </row>
    <row r="196" spans="1:32" x14ac:dyDescent="0.25">
      <c r="A196" s="1" t="s">
        <v>448</v>
      </c>
      <c r="B196" s="1" t="s">
        <v>449</v>
      </c>
      <c r="C196" s="1" t="s">
        <v>405</v>
      </c>
      <c r="D196" s="8">
        <v>107</v>
      </c>
      <c r="E196" s="8">
        <v>223</v>
      </c>
      <c r="F196" s="8">
        <v>171</v>
      </c>
      <c r="G196" s="8">
        <v>123</v>
      </c>
      <c r="H196" s="8">
        <v>292</v>
      </c>
      <c r="I196" s="8">
        <v>204</v>
      </c>
      <c r="J196" s="8">
        <v>267</v>
      </c>
      <c r="K196" s="8">
        <v>325</v>
      </c>
      <c r="L196" s="8">
        <v>190</v>
      </c>
      <c r="M196" s="8">
        <v>223</v>
      </c>
      <c r="N196" s="8">
        <v>309</v>
      </c>
      <c r="O196" s="8">
        <v>282</v>
      </c>
      <c r="P196" s="3"/>
      <c r="Q196" s="4">
        <v>3.4516</v>
      </c>
      <c r="R196" s="4">
        <v>7.4333</v>
      </c>
      <c r="S196" s="4">
        <v>5.5160999999999998</v>
      </c>
      <c r="T196" s="4">
        <v>4.0999999999999996</v>
      </c>
      <c r="U196" s="4">
        <v>9.4193999999999996</v>
      </c>
      <c r="V196" s="4">
        <v>6.5805999999999996</v>
      </c>
      <c r="W196" s="4">
        <v>9.5357000000000003</v>
      </c>
      <c r="X196" s="4">
        <v>10.4839</v>
      </c>
      <c r="Y196" s="4">
        <v>6.3333000000000004</v>
      </c>
      <c r="Z196" s="4">
        <v>7.1935000000000002</v>
      </c>
      <c r="AA196" s="4">
        <v>10.3</v>
      </c>
      <c r="AB196" s="9">
        <v>12.260899999999999</v>
      </c>
      <c r="AC196" s="6">
        <v>0</v>
      </c>
      <c r="AD196" s="4">
        <v>7.3042999999999996</v>
      </c>
      <c r="AE196" s="4">
        <v>7.3042999999999996</v>
      </c>
      <c r="AF196" s="1" t="s">
        <v>37</v>
      </c>
    </row>
    <row r="197" spans="1:32" x14ac:dyDescent="0.25">
      <c r="A197" s="1" t="s">
        <v>450</v>
      </c>
      <c r="B197" s="1" t="s">
        <v>451</v>
      </c>
      <c r="C197" s="1" t="s">
        <v>408</v>
      </c>
      <c r="D197" s="8">
        <v>57</v>
      </c>
      <c r="E197" s="8">
        <v>145</v>
      </c>
      <c r="F197" s="8">
        <v>108</v>
      </c>
      <c r="G197" s="8">
        <v>93</v>
      </c>
      <c r="H197" s="8">
        <v>138</v>
      </c>
      <c r="I197" s="8">
        <v>133</v>
      </c>
      <c r="J197" s="8">
        <v>83</v>
      </c>
      <c r="K197" s="8">
        <v>149</v>
      </c>
      <c r="L197" s="8">
        <v>153</v>
      </c>
      <c r="M197" s="8">
        <v>73</v>
      </c>
      <c r="N197" s="8">
        <v>161</v>
      </c>
      <c r="O197" s="8">
        <v>245</v>
      </c>
      <c r="P197" s="3"/>
      <c r="Q197" s="4">
        <v>1.8387</v>
      </c>
      <c r="R197" s="4">
        <v>4.8333000000000004</v>
      </c>
      <c r="S197" s="4">
        <v>3.4839000000000002</v>
      </c>
      <c r="T197" s="4">
        <v>3.1</v>
      </c>
      <c r="U197" s="4">
        <v>4.4516</v>
      </c>
      <c r="V197" s="4">
        <v>4.2903000000000002</v>
      </c>
      <c r="W197" s="4">
        <v>2.9643000000000002</v>
      </c>
      <c r="X197" s="4">
        <v>4.8064999999999998</v>
      </c>
      <c r="Y197" s="4">
        <v>5.0999999999999996</v>
      </c>
      <c r="Z197" s="4">
        <v>2.3548</v>
      </c>
      <c r="AA197" s="4">
        <v>5.3666999999999998</v>
      </c>
      <c r="AB197" s="4">
        <v>7.9032</v>
      </c>
      <c r="AC197" s="10">
        <v>0</v>
      </c>
      <c r="AD197" s="4">
        <v>4.2077999999999998</v>
      </c>
      <c r="AE197" s="4">
        <v>4.2077999999999998</v>
      </c>
      <c r="AF197" s="1" t="s">
        <v>37</v>
      </c>
    </row>
    <row r="198" spans="1:32" x14ac:dyDescent="0.25">
      <c r="A198" s="1" t="s">
        <v>452</v>
      </c>
      <c r="B198" s="1" t="s">
        <v>453</v>
      </c>
      <c r="C198" s="1" t="s">
        <v>427</v>
      </c>
      <c r="D198" s="8">
        <v>8</v>
      </c>
      <c r="E198" s="8">
        <v>28</v>
      </c>
      <c r="F198" s="8">
        <v>25</v>
      </c>
      <c r="G198" s="8">
        <v>14</v>
      </c>
      <c r="H198" s="8">
        <v>17</v>
      </c>
      <c r="I198" s="8">
        <v>24</v>
      </c>
      <c r="J198" s="8">
        <v>8</v>
      </c>
      <c r="K198" s="8">
        <v>33</v>
      </c>
      <c r="L198" s="8">
        <v>20</v>
      </c>
      <c r="M198" s="3"/>
      <c r="N198" s="8">
        <v>25</v>
      </c>
      <c r="O198" s="8">
        <v>22</v>
      </c>
      <c r="P198" s="3"/>
      <c r="Q198" s="4">
        <v>0.2581</v>
      </c>
      <c r="R198" s="4">
        <v>0.93330000000000002</v>
      </c>
      <c r="S198" s="4">
        <v>0.80649999999999999</v>
      </c>
      <c r="T198" s="4">
        <v>0.4667</v>
      </c>
      <c r="U198" s="4">
        <v>0.5484</v>
      </c>
      <c r="V198" s="4">
        <v>0.7742</v>
      </c>
      <c r="W198" s="4">
        <v>0.28570000000000001</v>
      </c>
      <c r="X198" s="4">
        <v>1.0645</v>
      </c>
      <c r="Y198" s="4">
        <v>0.66669999999999996</v>
      </c>
      <c r="Z198" s="4">
        <v>0</v>
      </c>
      <c r="AA198" s="4">
        <v>0.83330000000000004</v>
      </c>
      <c r="AB198" s="4">
        <v>0.7097</v>
      </c>
      <c r="AC198" s="10">
        <v>0</v>
      </c>
      <c r="AD198" s="4">
        <v>0.61229999999999996</v>
      </c>
      <c r="AE198" s="4">
        <v>0.61229999999999996</v>
      </c>
      <c r="AF198" s="1" t="s">
        <v>34</v>
      </c>
    </row>
    <row r="199" spans="1:32" x14ac:dyDescent="0.25">
      <c r="A199" s="1" t="s">
        <v>454</v>
      </c>
      <c r="B199" s="1" t="s">
        <v>455</v>
      </c>
      <c r="C199" s="1" t="s">
        <v>362</v>
      </c>
      <c r="D199" s="8">
        <v>135</v>
      </c>
      <c r="E199" s="8">
        <v>197</v>
      </c>
      <c r="F199" s="8">
        <v>59</v>
      </c>
      <c r="G199" s="8">
        <v>67</v>
      </c>
      <c r="H199" s="8">
        <v>113</v>
      </c>
      <c r="I199" s="8">
        <v>32</v>
      </c>
      <c r="J199" s="3"/>
      <c r="K199" s="3"/>
      <c r="L199" s="3"/>
      <c r="M199" s="3"/>
      <c r="N199" s="3"/>
      <c r="O199" s="3"/>
      <c r="P199" s="3"/>
      <c r="Q199" s="9">
        <v>11.25</v>
      </c>
      <c r="R199" s="9">
        <v>7.0357000000000003</v>
      </c>
      <c r="S199" s="4">
        <v>1.9032</v>
      </c>
      <c r="T199" s="4">
        <v>2.2332999999999998</v>
      </c>
      <c r="U199" s="4">
        <v>3.6452</v>
      </c>
      <c r="V199" s="9">
        <v>1.2307999999999999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6">
        <v>0</v>
      </c>
      <c r="AD199" s="4">
        <v>2.5939000000000001</v>
      </c>
      <c r="AE199" s="4">
        <v>2.5939000000000001</v>
      </c>
      <c r="AF199" s="1" t="s">
        <v>34</v>
      </c>
    </row>
    <row r="200" spans="1:32" x14ac:dyDescent="0.25">
      <c r="A200" s="1" t="s">
        <v>456</v>
      </c>
      <c r="B200" s="1" t="s">
        <v>457</v>
      </c>
      <c r="C200" s="1" t="s">
        <v>444</v>
      </c>
      <c r="D200" s="8">
        <v>63</v>
      </c>
      <c r="E200" s="8">
        <v>50</v>
      </c>
      <c r="F200" s="8">
        <v>125</v>
      </c>
      <c r="G200" s="8">
        <v>82</v>
      </c>
      <c r="H200" s="8">
        <v>117</v>
      </c>
      <c r="I200" s="8">
        <v>44</v>
      </c>
      <c r="J200" s="8">
        <v>92</v>
      </c>
      <c r="K200" s="8">
        <v>54</v>
      </c>
      <c r="L200" s="8">
        <v>38</v>
      </c>
      <c r="M200" s="8">
        <v>36</v>
      </c>
      <c r="N200" s="8">
        <v>49</v>
      </c>
      <c r="O200" s="8">
        <v>25</v>
      </c>
      <c r="P200" s="3"/>
      <c r="Q200" s="4">
        <v>2.0323000000000002</v>
      </c>
      <c r="R200" s="4">
        <v>1.6667000000000001</v>
      </c>
      <c r="S200" s="4">
        <v>4.0323000000000002</v>
      </c>
      <c r="T200" s="4">
        <v>2.7332999999999998</v>
      </c>
      <c r="U200" s="4">
        <v>3.7742</v>
      </c>
      <c r="V200" s="4">
        <v>1.4194</v>
      </c>
      <c r="W200" s="4">
        <v>3.2856999999999998</v>
      </c>
      <c r="X200" s="4">
        <v>1.7419</v>
      </c>
      <c r="Y200" s="4">
        <v>1.2666999999999999</v>
      </c>
      <c r="Z200" s="4">
        <v>1.1613</v>
      </c>
      <c r="AA200" s="4">
        <v>1.6333</v>
      </c>
      <c r="AB200" s="9">
        <v>1.087</v>
      </c>
      <c r="AC200" s="6">
        <v>0</v>
      </c>
      <c r="AD200" s="4">
        <v>2.2496999999999998</v>
      </c>
      <c r="AE200" s="4">
        <v>2.2496999999999998</v>
      </c>
      <c r="AF200" s="1" t="s">
        <v>37</v>
      </c>
    </row>
    <row r="201" spans="1:32" x14ac:dyDescent="0.25">
      <c r="A201" s="1" t="s">
        <v>458</v>
      </c>
      <c r="B201" s="1" t="s">
        <v>459</v>
      </c>
      <c r="C201" s="1" t="s">
        <v>365</v>
      </c>
      <c r="D201" s="8">
        <v>41</v>
      </c>
      <c r="E201" s="8">
        <v>33</v>
      </c>
      <c r="F201" s="8">
        <v>11</v>
      </c>
      <c r="G201" s="8">
        <v>54</v>
      </c>
      <c r="H201" s="8">
        <v>60</v>
      </c>
      <c r="I201" s="8">
        <v>30</v>
      </c>
      <c r="J201" s="8">
        <v>10</v>
      </c>
      <c r="K201" s="8">
        <v>72</v>
      </c>
      <c r="L201" s="8">
        <v>56</v>
      </c>
      <c r="M201" s="8">
        <v>9</v>
      </c>
      <c r="N201" s="8">
        <v>22</v>
      </c>
      <c r="O201" s="8">
        <v>5</v>
      </c>
      <c r="P201" s="3"/>
      <c r="Q201" s="4">
        <v>1.3226</v>
      </c>
      <c r="R201" s="4">
        <v>1.1000000000000001</v>
      </c>
      <c r="S201" s="4">
        <v>0.3548</v>
      </c>
      <c r="T201" s="4">
        <v>1.8</v>
      </c>
      <c r="U201" s="4">
        <v>1.9355</v>
      </c>
      <c r="V201" s="4">
        <v>0.9677</v>
      </c>
      <c r="W201" s="4">
        <v>0.35709999999999997</v>
      </c>
      <c r="X201" s="4">
        <v>2.3226</v>
      </c>
      <c r="Y201" s="4">
        <v>1.8667</v>
      </c>
      <c r="Z201" s="4">
        <v>0.2903</v>
      </c>
      <c r="AA201" s="4">
        <v>0.73329999999999995</v>
      </c>
      <c r="AB201" s="9">
        <v>0.1852</v>
      </c>
      <c r="AC201" s="6">
        <v>0</v>
      </c>
      <c r="AD201" s="4">
        <v>1.1863999999999999</v>
      </c>
      <c r="AE201" s="4">
        <v>1.1863999999999999</v>
      </c>
      <c r="AF201" s="1" t="s">
        <v>34</v>
      </c>
    </row>
    <row r="202" spans="1:32" x14ac:dyDescent="0.25">
      <c r="A202" s="1" t="s">
        <v>460</v>
      </c>
      <c r="B202" s="1" t="s">
        <v>461</v>
      </c>
      <c r="C202" s="1" t="s">
        <v>462</v>
      </c>
      <c r="D202" s="3"/>
      <c r="E202" s="8">
        <v>17</v>
      </c>
      <c r="F202" s="8">
        <v>31</v>
      </c>
      <c r="G202" s="3"/>
      <c r="H202" s="8">
        <v>42</v>
      </c>
      <c r="I202" s="8">
        <v>2</v>
      </c>
      <c r="J202" s="8">
        <v>11</v>
      </c>
      <c r="K202" s="8">
        <v>12</v>
      </c>
      <c r="L202" s="8">
        <v>21</v>
      </c>
      <c r="M202" s="8">
        <v>8</v>
      </c>
      <c r="N202" s="8">
        <v>32</v>
      </c>
      <c r="O202" s="8">
        <v>47</v>
      </c>
      <c r="P202" s="3"/>
      <c r="Q202" s="5">
        <v>0</v>
      </c>
      <c r="R202" s="9">
        <v>0.60709999999999997</v>
      </c>
      <c r="S202" s="9">
        <v>1.55</v>
      </c>
      <c r="T202" s="5">
        <v>0</v>
      </c>
      <c r="U202" s="9">
        <v>1.5</v>
      </c>
      <c r="V202" s="4">
        <v>6.4500000000000002E-2</v>
      </c>
      <c r="W202" s="4">
        <v>0.39290000000000003</v>
      </c>
      <c r="X202" s="4">
        <v>0.3871</v>
      </c>
      <c r="Y202" s="4">
        <v>0.7</v>
      </c>
      <c r="Z202" s="4">
        <v>0.2581</v>
      </c>
      <c r="AA202" s="4">
        <v>1.0667</v>
      </c>
      <c r="AB202" s="4">
        <v>1.5161</v>
      </c>
      <c r="AC202" s="10">
        <v>0</v>
      </c>
      <c r="AD202" s="4">
        <v>0.62649999999999995</v>
      </c>
      <c r="AE202" s="4">
        <v>0.62649999999999995</v>
      </c>
      <c r="AF202" s="1" t="s">
        <v>37</v>
      </c>
    </row>
    <row r="203" spans="1:32" x14ac:dyDescent="0.25">
      <c r="A203" s="1" t="s">
        <v>463</v>
      </c>
      <c r="B203" s="1" t="s">
        <v>464</v>
      </c>
      <c r="C203" s="1" t="s">
        <v>465</v>
      </c>
      <c r="D203" s="8">
        <v>7</v>
      </c>
      <c r="E203" s="8">
        <v>3</v>
      </c>
      <c r="F203" s="8">
        <v>25</v>
      </c>
      <c r="G203" s="8">
        <v>12</v>
      </c>
      <c r="H203" s="8">
        <v>16</v>
      </c>
      <c r="I203" s="8">
        <v>1</v>
      </c>
      <c r="J203" s="8">
        <v>9</v>
      </c>
      <c r="K203" s="8">
        <v>6</v>
      </c>
      <c r="L203" s="8">
        <v>8</v>
      </c>
      <c r="M203" s="8">
        <v>2</v>
      </c>
      <c r="N203" s="8">
        <v>6</v>
      </c>
      <c r="O203" s="8">
        <v>28</v>
      </c>
      <c r="P203" s="3"/>
      <c r="Q203" s="4">
        <v>0.2258</v>
      </c>
      <c r="R203" s="4">
        <v>0.1</v>
      </c>
      <c r="S203" s="4">
        <v>0.80649999999999999</v>
      </c>
      <c r="T203" s="4">
        <v>0.4</v>
      </c>
      <c r="U203" s="4">
        <v>0.5161</v>
      </c>
      <c r="V203" s="4">
        <v>3.2300000000000002E-2</v>
      </c>
      <c r="W203" s="4">
        <v>0.32140000000000002</v>
      </c>
      <c r="X203" s="4">
        <v>0.19350000000000001</v>
      </c>
      <c r="Y203" s="4">
        <v>0.26669999999999999</v>
      </c>
      <c r="Z203" s="4">
        <v>6.4500000000000002E-2</v>
      </c>
      <c r="AA203" s="4">
        <v>0.2</v>
      </c>
      <c r="AB203" s="4">
        <v>0.9032</v>
      </c>
      <c r="AC203" s="10">
        <v>0</v>
      </c>
      <c r="AD203" s="4">
        <v>0.33579999999999999</v>
      </c>
      <c r="AE203" s="4">
        <v>0.33579999999999999</v>
      </c>
      <c r="AF203" s="1" t="s">
        <v>37</v>
      </c>
    </row>
    <row r="204" spans="1:32" x14ac:dyDescent="0.25">
      <c r="A204" s="1" t="s">
        <v>466</v>
      </c>
      <c r="B204" s="1" t="s">
        <v>467</v>
      </c>
      <c r="C204" s="1" t="s">
        <v>468</v>
      </c>
      <c r="D204" s="8">
        <v>6</v>
      </c>
      <c r="E204" s="8">
        <v>19</v>
      </c>
      <c r="F204" s="8">
        <v>18</v>
      </c>
      <c r="G204" s="8">
        <v>17</v>
      </c>
      <c r="H204" s="8">
        <v>6</v>
      </c>
      <c r="I204" s="8">
        <v>27</v>
      </c>
      <c r="J204" s="8">
        <v>43</v>
      </c>
      <c r="K204" s="3"/>
      <c r="L204" s="3"/>
      <c r="M204" s="3"/>
      <c r="N204" s="3"/>
      <c r="O204" s="3"/>
      <c r="P204" s="3"/>
      <c r="Q204" s="4">
        <v>0.19350000000000001</v>
      </c>
      <c r="R204" s="4">
        <v>0.63329999999999997</v>
      </c>
      <c r="S204" s="4">
        <v>0.5806</v>
      </c>
      <c r="T204" s="4">
        <v>0.56669999999999998</v>
      </c>
      <c r="U204" s="4">
        <v>0.19350000000000001</v>
      </c>
      <c r="V204" s="4">
        <v>0.871</v>
      </c>
      <c r="W204" s="9">
        <v>3.5832999999999999</v>
      </c>
      <c r="X204" s="5">
        <v>0</v>
      </c>
      <c r="Y204" s="5">
        <v>0</v>
      </c>
      <c r="Z204" s="5">
        <v>0</v>
      </c>
      <c r="AA204" s="5">
        <v>0</v>
      </c>
      <c r="AB204" s="5">
        <v>0</v>
      </c>
      <c r="AC204" s="6">
        <v>0</v>
      </c>
      <c r="AD204" s="4">
        <v>0.50639999999999996</v>
      </c>
      <c r="AE204" s="4">
        <v>0.50639999999999996</v>
      </c>
      <c r="AF204" s="1" t="s">
        <v>34</v>
      </c>
    </row>
    <row r="205" spans="1:32" x14ac:dyDescent="0.25">
      <c r="A205" s="1" t="s">
        <v>469</v>
      </c>
      <c r="B205" s="1" t="s">
        <v>470</v>
      </c>
      <c r="C205" s="1" t="s">
        <v>471</v>
      </c>
      <c r="D205" s="3"/>
      <c r="E205" s="8">
        <v>8</v>
      </c>
      <c r="F205" s="8">
        <v>20</v>
      </c>
      <c r="G205" s="8">
        <v>10</v>
      </c>
      <c r="H205" s="8">
        <v>53</v>
      </c>
      <c r="I205" s="8">
        <v>84</v>
      </c>
      <c r="J205" s="8">
        <v>45</v>
      </c>
      <c r="K205" s="8">
        <v>6</v>
      </c>
      <c r="L205" s="8">
        <v>32</v>
      </c>
      <c r="M205" s="8">
        <v>-1</v>
      </c>
      <c r="N205" s="3"/>
      <c r="O205" s="8">
        <v>-1</v>
      </c>
      <c r="P205" s="3"/>
      <c r="Q205" s="5">
        <v>0</v>
      </c>
      <c r="R205" s="9">
        <v>0.28570000000000001</v>
      </c>
      <c r="S205" s="4">
        <v>0.6452</v>
      </c>
      <c r="T205" s="4">
        <v>0.33329999999999999</v>
      </c>
      <c r="U205" s="4">
        <v>1.7097</v>
      </c>
      <c r="V205" s="4">
        <v>2.7097000000000002</v>
      </c>
      <c r="W205" s="4">
        <v>1.6071</v>
      </c>
      <c r="X205" s="4">
        <v>0.19350000000000001</v>
      </c>
      <c r="Y205" s="9">
        <v>4.5713999999999997</v>
      </c>
      <c r="Z205" s="5">
        <v>0</v>
      </c>
      <c r="AA205" s="5">
        <v>0</v>
      </c>
      <c r="AB205" s="5">
        <v>0</v>
      </c>
      <c r="AC205" s="6">
        <v>0</v>
      </c>
      <c r="AD205" s="4">
        <v>1.1998</v>
      </c>
      <c r="AE205" s="4">
        <v>1.1998</v>
      </c>
      <c r="AF205" s="1" t="s">
        <v>34</v>
      </c>
    </row>
    <row r="206" spans="1:32" x14ac:dyDescent="0.25">
      <c r="A206" s="1" t="s">
        <v>472</v>
      </c>
      <c r="B206" s="1" t="s">
        <v>473</v>
      </c>
      <c r="C206" s="1" t="s">
        <v>474</v>
      </c>
      <c r="D206" s="8">
        <v>10</v>
      </c>
      <c r="E206" s="8">
        <v>17</v>
      </c>
      <c r="F206" s="8">
        <v>6</v>
      </c>
      <c r="G206" s="3"/>
      <c r="H206" s="3"/>
      <c r="I206" s="3"/>
      <c r="J206" s="8">
        <v>2</v>
      </c>
      <c r="K206" s="3"/>
      <c r="L206" s="3"/>
      <c r="M206" s="3"/>
      <c r="N206" s="3"/>
      <c r="O206" s="3"/>
      <c r="P206" s="3"/>
      <c r="Q206" s="4">
        <v>0.3226</v>
      </c>
      <c r="R206" s="4">
        <v>0.56669999999999998</v>
      </c>
      <c r="S206" s="4">
        <v>0.19350000000000001</v>
      </c>
      <c r="T206" s="4">
        <v>0</v>
      </c>
      <c r="U206" s="9">
        <v>0</v>
      </c>
      <c r="V206" s="5">
        <v>0</v>
      </c>
      <c r="W206" s="5">
        <v>0</v>
      </c>
      <c r="X206" s="5">
        <v>0</v>
      </c>
      <c r="Y206" s="5">
        <v>0</v>
      </c>
      <c r="Z206" s="5">
        <v>0</v>
      </c>
      <c r="AA206" s="5">
        <v>0</v>
      </c>
      <c r="AB206" s="5">
        <v>0</v>
      </c>
      <c r="AC206" s="6">
        <v>0</v>
      </c>
      <c r="AD206" s="4">
        <v>0.2707</v>
      </c>
      <c r="AE206" s="4">
        <v>0.2707</v>
      </c>
      <c r="AF206" s="1" t="s">
        <v>34</v>
      </c>
    </row>
    <row r="207" spans="1:32" x14ac:dyDescent="0.25">
      <c r="A207" s="1" t="s">
        <v>475</v>
      </c>
      <c r="B207" s="1" t="s">
        <v>476</v>
      </c>
      <c r="C207" s="1" t="s">
        <v>477</v>
      </c>
      <c r="D207" s="8">
        <v>5</v>
      </c>
      <c r="E207" s="8">
        <v>4</v>
      </c>
      <c r="F207" s="8">
        <v>3</v>
      </c>
      <c r="G207" s="8">
        <v>15</v>
      </c>
      <c r="H207" s="8">
        <v>13</v>
      </c>
      <c r="I207" s="8">
        <v>5</v>
      </c>
      <c r="J207" s="8">
        <v>6</v>
      </c>
      <c r="K207" s="8">
        <v>28</v>
      </c>
      <c r="L207" s="8">
        <v>14</v>
      </c>
      <c r="M207" s="3"/>
      <c r="N207" s="3"/>
      <c r="O207" s="8">
        <v>37</v>
      </c>
      <c r="P207" s="3"/>
      <c r="Q207" s="4">
        <v>0.1613</v>
      </c>
      <c r="R207" s="4">
        <v>0.1333</v>
      </c>
      <c r="S207" s="4">
        <v>9.6799999999999997E-2</v>
      </c>
      <c r="T207" s="4">
        <v>0.5</v>
      </c>
      <c r="U207" s="4">
        <v>0.4194</v>
      </c>
      <c r="V207" s="4">
        <v>0.1613</v>
      </c>
      <c r="W207" s="4">
        <v>0.21429999999999999</v>
      </c>
      <c r="X207" s="4">
        <v>0.9032</v>
      </c>
      <c r="Y207" s="4">
        <v>0.4667</v>
      </c>
      <c r="Z207" s="4">
        <v>0</v>
      </c>
      <c r="AA207" s="4">
        <v>0</v>
      </c>
      <c r="AB207" s="9">
        <v>1.4231</v>
      </c>
      <c r="AC207" s="6">
        <v>0</v>
      </c>
      <c r="AD207" s="4">
        <v>0.27779999999999999</v>
      </c>
      <c r="AE207" s="4">
        <v>0.27779999999999999</v>
      </c>
      <c r="AF207" s="1" t="s">
        <v>34</v>
      </c>
    </row>
    <row r="208" spans="1:32" x14ac:dyDescent="0.25">
      <c r="A208" s="1" t="s">
        <v>478</v>
      </c>
      <c r="B208" s="1" t="s">
        <v>479</v>
      </c>
      <c r="C208" s="1" t="s">
        <v>480</v>
      </c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5">
        <v>0</v>
      </c>
      <c r="R208" s="5">
        <v>0</v>
      </c>
      <c r="S208" s="5">
        <v>0</v>
      </c>
      <c r="T208" s="5">
        <v>0</v>
      </c>
      <c r="U208" s="5">
        <v>0</v>
      </c>
      <c r="V208" s="5">
        <v>0</v>
      </c>
      <c r="W208" s="5">
        <v>0</v>
      </c>
      <c r="X208" s="5">
        <v>0</v>
      </c>
      <c r="Y208" s="5">
        <v>0</v>
      </c>
      <c r="Z208" s="5">
        <v>0</v>
      </c>
      <c r="AA208" s="5">
        <v>0</v>
      </c>
      <c r="AB208" s="5">
        <v>0</v>
      </c>
      <c r="AC208" s="6">
        <v>0</v>
      </c>
      <c r="AF208" s="1" t="s">
        <v>34</v>
      </c>
    </row>
    <row r="209" spans="1:32" x14ac:dyDescent="0.25">
      <c r="A209" s="1" t="s">
        <v>481</v>
      </c>
      <c r="B209" s="1" t="s">
        <v>482</v>
      </c>
      <c r="C209" s="1" t="s">
        <v>462</v>
      </c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5">
        <v>0</v>
      </c>
      <c r="R209" s="5">
        <v>0</v>
      </c>
      <c r="S209" s="5">
        <v>0</v>
      </c>
      <c r="T209" s="5">
        <v>0</v>
      </c>
      <c r="U209" s="5">
        <v>0</v>
      </c>
      <c r="V209" s="5">
        <v>0</v>
      </c>
      <c r="W209" s="5">
        <v>0</v>
      </c>
      <c r="X209" s="5">
        <v>0</v>
      </c>
      <c r="Y209" s="5">
        <v>0</v>
      </c>
      <c r="Z209" s="5">
        <v>0</v>
      </c>
      <c r="AA209" s="5">
        <v>0</v>
      </c>
      <c r="AB209" s="5">
        <v>0</v>
      </c>
      <c r="AC209" s="6">
        <v>0</v>
      </c>
      <c r="AF209" s="1" t="s">
        <v>37</v>
      </c>
    </row>
    <row r="210" spans="1:32" x14ac:dyDescent="0.25">
      <c r="A210" s="1" t="s">
        <v>483</v>
      </c>
      <c r="B210" s="1" t="s">
        <v>484</v>
      </c>
      <c r="C210" s="1" t="s">
        <v>465</v>
      </c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5">
        <v>0</v>
      </c>
      <c r="R210" s="5">
        <v>0</v>
      </c>
      <c r="S210" s="5">
        <v>0</v>
      </c>
      <c r="T210" s="5">
        <v>0</v>
      </c>
      <c r="U210" s="5">
        <v>0</v>
      </c>
      <c r="V210" s="5">
        <v>0</v>
      </c>
      <c r="W210" s="5">
        <v>0</v>
      </c>
      <c r="X210" s="5">
        <v>0</v>
      </c>
      <c r="Y210" s="5">
        <v>0</v>
      </c>
      <c r="Z210" s="5">
        <v>0</v>
      </c>
      <c r="AA210" s="5">
        <v>0</v>
      </c>
      <c r="AB210" s="5">
        <v>0</v>
      </c>
      <c r="AC210" s="6">
        <v>0</v>
      </c>
      <c r="AF210" s="1" t="s">
        <v>37</v>
      </c>
    </row>
    <row r="211" spans="1:32" x14ac:dyDescent="0.25">
      <c r="A211" s="1" t="s">
        <v>485</v>
      </c>
      <c r="B211" s="1" t="s">
        <v>486</v>
      </c>
      <c r="C211" s="1" t="s">
        <v>487</v>
      </c>
      <c r="D211" s="3"/>
      <c r="E211" s="8">
        <v>3</v>
      </c>
      <c r="F211" s="3"/>
      <c r="G211" s="3"/>
      <c r="H211" s="3"/>
      <c r="I211" s="3"/>
      <c r="J211" s="3"/>
      <c r="K211" s="3"/>
      <c r="L211" s="3"/>
      <c r="M211" s="3"/>
      <c r="N211" s="8">
        <v>-1</v>
      </c>
      <c r="O211" s="3"/>
      <c r="P211" s="3"/>
      <c r="Q211" s="5">
        <v>0</v>
      </c>
      <c r="R211" s="5">
        <v>0</v>
      </c>
      <c r="S211" s="5">
        <v>0</v>
      </c>
      <c r="T211" s="5">
        <v>0</v>
      </c>
      <c r="U211" s="5">
        <v>0</v>
      </c>
      <c r="V211" s="5">
        <v>0</v>
      </c>
      <c r="W211" s="5">
        <v>0</v>
      </c>
      <c r="X211" s="5">
        <v>0</v>
      </c>
      <c r="Y211" s="5">
        <v>0</v>
      </c>
      <c r="Z211" s="5">
        <v>0</v>
      </c>
      <c r="AA211" s="5">
        <v>0</v>
      </c>
      <c r="AB211" s="5">
        <v>0</v>
      </c>
      <c r="AC211" s="6">
        <v>0</v>
      </c>
      <c r="AF211" s="1" t="s">
        <v>34</v>
      </c>
    </row>
    <row r="212" spans="1:32" x14ac:dyDescent="0.25">
      <c r="A212" s="1" t="s">
        <v>488</v>
      </c>
      <c r="B212" s="1" t="s">
        <v>489</v>
      </c>
      <c r="C212" s="1" t="s">
        <v>490</v>
      </c>
      <c r="D212" s="8">
        <v>5</v>
      </c>
      <c r="E212" s="8">
        <v>17</v>
      </c>
      <c r="F212" s="8">
        <v>2</v>
      </c>
      <c r="G212" s="8">
        <v>6</v>
      </c>
      <c r="H212" s="8">
        <v>10</v>
      </c>
      <c r="I212" s="8">
        <v>55</v>
      </c>
      <c r="J212" s="8">
        <v>10</v>
      </c>
      <c r="K212" s="3"/>
      <c r="L212" s="3"/>
      <c r="M212" s="3"/>
      <c r="N212" s="3"/>
      <c r="O212" s="8">
        <v>-1</v>
      </c>
      <c r="P212" s="3"/>
      <c r="Q212" s="4">
        <v>0.1613</v>
      </c>
      <c r="R212" s="4">
        <v>0.56669999999999998</v>
      </c>
      <c r="S212" s="4">
        <v>6.4500000000000002E-2</v>
      </c>
      <c r="T212" s="4">
        <v>0.2</v>
      </c>
      <c r="U212" s="4">
        <v>0.3226</v>
      </c>
      <c r="V212" s="4">
        <v>1.7742</v>
      </c>
      <c r="W212" s="9">
        <v>3.3332999999999999</v>
      </c>
      <c r="X212" s="5">
        <v>0</v>
      </c>
      <c r="Y212" s="5">
        <v>0</v>
      </c>
      <c r="Z212" s="5">
        <v>0</v>
      </c>
      <c r="AA212" s="5">
        <v>0</v>
      </c>
      <c r="AB212" s="5">
        <v>0</v>
      </c>
      <c r="AC212" s="6">
        <v>0</v>
      </c>
      <c r="AD212" s="4">
        <v>0.51490000000000002</v>
      </c>
      <c r="AE212" s="4">
        <v>0.51490000000000002</v>
      </c>
      <c r="AF212" s="1" t="s">
        <v>34</v>
      </c>
    </row>
    <row r="213" spans="1:32" x14ac:dyDescent="0.25">
      <c r="A213" s="1" t="s">
        <v>491</v>
      </c>
      <c r="B213" s="1" t="s">
        <v>492</v>
      </c>
      <c r="C213" s="1" t="s">
        <v>493</v>
      </c>
      <c r="D213" s="8">
        <v>164</v>
      </c>
      <c r="E213" s="8">
        <v>232</v>
      </c>
      <c r="F213" s="8">
        <v>209</v>
      </c>
      <c r="G213" s="8">
        <v>132</v>
      </c>
      <c r="H213" s="8">
        <v>176</v>
      </c>
      <c r="I213" s="8">
        <v>129</v>
      </c>
      <c r="J213" s="8">
        <v>177</v>
      </c>
      <c r="K213" s="8">
        <v>156</v>
      </c>
      <c r="L213" s="8">
        <v>300</v>
      </c>
      <c r="M213" s="8">
        <v>159</v>
      </c>
      <c r="N213" s="8">
        <v>270</v>
      </c>
      <c r="O213" s="8">
        <v>419</v>
      </c>
      <c r="P213" s="3"/>
      <c r="Q213" s="4">
        <v>5.2903000000000002</v>
      </c>
      <c r="R213" s="4">
        <v>7.7332999999999998</v>
      </c>
      <c r="S213" s="4">
        <v>6.7419000000000002</v>
      </c>
      <c r="T213" s="4">
        <v>4.4000000000000004</v>
      </c>
      <c r="U213" s="4">
        <v>5.6773999999999996</v>
      </c>
      <c r="V213" s="4">
        <v>4.1612999999999998</v>
      </c>
      <c r="W213" s="4">
        <v>6.3213999999999997</v>
      </c>
      <c r="X213" s="4">
        <v>5.0323000000000002</v>
      </c>
      <c r="Y213" s="4">
        <v>10</v>
      </c>
      <c r="Z213" s="4">
        <v>5.1289999999999996</v>
      </c>
      <c r="AA213" s="4">
        <v>9</v>
      </c>
      <c r="AB213" s="9">
        <v>19.045500000000001</v>
      </c>
      <c r="AC213" s="6">
        <v>0</v>
      </c>
      <c r="AD213" s="4">
        <v>6.3170000000000002</v>
      </c>
      <c r="AE213" s="4">
        <v>6.3170000000000002</v>
      </c>
      <c r="AF213" s="1" t="s">
        <v>37</v>
      </c>
    </row>
    <row r="214" spans="1:32" x14ac:dyDescent="0.25">
      <c r="A214" s="1" t="s">
        <v>494</v>
      </c>
      <c r="B214" s="1" t="s">
        <v>495</v>
      </c>
      <c r="C214" s="1" t="s">
        <v>496</v>
      </c>
      <c r="D214" s="8">
        <v>55</v>
      </c>
      <c r="E214" s="8">
        <v>30</v>
      </c>
      <c r="F214" s="8">
        <v>60</v>
      </c>
      <c r="G214" s="8">
        <v>87</v>
      </c>
      <c r="H214" s="8">
        <v>148</v>
      </c>
      <c r="I214" s="8">
        <v>32</v>
      </c>
      <c r="J214" s="8">
        <v>9</v>
      </c>
      <c r="K214" s="8">
        <v>54</v>
      </c>
      <c r="L214" s="8">
        <v>168</v>
      </c>
      <c r="M214" s="8">
        <v>116</v>
      </c>
      <c r="N214" s="8">
        <v>227</v>
      </c>
      <c r="O214" s="8">
        <v>105</v>
      </c>
      <c r="P214" s="3"/>
      <c r="Q214" s="4">
        <v>1.7742</v>
      </c>
      <c r="R214" s="4">
        <v>1</v>
      </c>
      <c r="S214" s="4">
        <v>1.9355</v>
      </c>
      <c r="T214" s="4">
        <v>2.9</v>
      </c>
      <c r="U214" s="4">
        <v>4.7742000000000004</v>
      </c>
      <c r="V214" s="4">
        <v>1.0323</v>
      </c>
      <c r="W214" s="4">
        <v>0.32140000000000002</v>
      </c>
      <c r="X214" s="4">
        <v>1.7419</v>
      </c>
      <c r="Y214" s="4">
        <v>5.6</v>
      </c>
      <c r="Z214" s="4">
        <v>3.7418999999999998</v>
      </c>
      <c r="AA214" s="4">
        <v>7.5667</v>
      </c>
      <c r="AB214" s="9">
        <v>4.7727000000000004</v>
      </c>
      <c r="AC214" s="6">
        <v>0</v>
      </c>
      <c r="AD214" s="4">
        <v>2.9443999999999999</v>
      </c>
      <c r="AE214" s="4">
        <v>2.9443999999999999</v>
      </c>
      <c r="AF214" s="1" t="s">
        <v>37</v>
      </c>
    </row>
    <row r="215" spans="1:32" x14ac:dyDescent="0.25">
      <c r="A215" s="1" t="s">
        <v>497</v>
      </c>
      <c r="B215" s="1" t="s">
        <v>498</v>
      </c>
      <c r="C215" s="1" t="s">
        <v>499</v>
      </c>
      <c r="D215" s="8">
        <v>67</v>
      </c>
      <c r="E215" s="8">
        <v>52</v>
      </c>
      <c r="F215" s="8">
        <v>48</v>
      </c>
      <c r="G215" s="8">
        <v>108</v>
      </c>
      <c r="H215" s="8">
        <v>131</v>
      </c>
      <c r="I215" s="8">
        <v>165</v>
      </c>
      <c r="J215" s="8">
        <v>155</v>
      </c>
      <c r="K215" s="8">
        <v>131</v>
      </c>
      <c r="L215" s="8">
        <v>139</v>
      </c>
      <c r="M215" s="8">
        <v>96</v>
      </c>
      <c r="N215" s="8">
        <v>98</v>
      </c>
      <c r="O215" s="8">
        <v>14</v>
      </c>
      <c r="P215" s="3"/>
      <c r="Q215" s="9">
        <v>3.9411999999999998</v>
      </c>
      <c r="R215" s="9">
        <v>1.8571</v>
      </c>
      <c r="S215" s="4">
        <v>1.5484</v>
      </c>
      <c r="T215" s="4">
        <v>3.6</v>
      </c>
      <c r="U215" s="4">
        <v>4.2257999999999996</v>
      </c>
      <c r="V215" s="4">
        <v>5.3226000000000004</v>
      </c>
      <c r="W215" s="4">
        <v>5.5357000000000003</v>
      </c>
      <c r="X215" s="9">
        <v>4.3666999999999998</v>
      </c>
      <c r="Y215" s="9">
        <v>8.1765000000000008</v>
      </c>
      <c r="Z215" s="4">
        <v>3.0968</v>
      </c>
      <c r="AA215" s="4">
        <v>3.2667000000000002</v>
      </c>
      <c r="AB215" s="9">
        <v>2.8</v>
      </c>
      <c r="AC215" s="6">
        <v>0</v>
      </c>
      <c r="AD215" s="4">
        <v>3.7993999999999999</v>
      </c>
      <c r="AE215" s="4">
        <v>3.7993999999999999</v>
      </c>
      <c r="AF215" s="1" t="s">
        <v>37</v>
      </c>
    </row>
    <row r="216" spans="1:32" x14ac:dyDescent="0.25">
      <c r="A216" s="1" t="s">
        <v>500</v>
      </c>
      <c r="B216" s="1" t="s">
        <v>501</v>
      </c>
      <c r="C216" s="1" t="s">
        <v>502</v>
      </c>
      <c r="D216" s="8">
        <v>99</v>
      </c>
      <c r="E216" s="8">
        <v>121</v>
      </c>
      <c r="F216" s="8">
        <v>89</v>
      </c>
      <c r="G216" s="8">
        <v>156</v>
      </c>
      <c r="H216" s="8">
        <v>241</v>
      </c>
      <c r="I216" s="8">
        <v>171</v>
      </c>
      <c r="J216" s="8">
        <v>293</v>
      </c>
      <c r="K216" s="8">
        <v>220</v>
      </c>
      <c r="L216" s="8">
        <v>244</v>
      </c>
      <c r="M216" s="8">
        <v>158</v>
      </c>
      <c r="N216" s="8">
        <v>48</v>
      </c>
      <c r="O216" s="3"/>
      <c r="P216" s="3"/>
      <c r="Q216" s="4">
        <v>3.1934999999999998</v>
      </c>
      <c r="R216" s="4">
        <v>4.0332999999999997</v>
      </c>
      <c r="S216" s="4">
        <v>2.871</v>
      </c>
      <c r="T216" s="4">
        <v>5.2</v>
      </c>
      <c r="U216" s="4">
        <v>7.7742000000000004</v>
      </c>
      <c r="V216" s="4">
        <v>5.5160999999999998</v>
      </c>
      <c r="W216" s="4">
        <v>10.4643</v>
      </c>
      <c r="X216" s="4">
        <v>7.0968</v>
      </c>
      <c r="Y216" s="9">
        <v>15.25</v>
      </c>
      <c r="Z216" s="4">
        <v>5.0968</v>
      </c>
      <c r="AA216" s="9">
        <v>6</v>
      </c>
      <c r="AB216" s="5">
        <v>0</v>
      </c>
      <c r="AC216" s="6">
        <v>0</v>
      </c>
      <c r="AD216" s="4">
        <v>5.694</v>
      </c>
      <c r="AE216" s="4">
        <v>5.694</v>
      </c>
      <c r="AF216" s="1" t="s">
        <v>37</v>
      </c>
    </row>
    <row r="217" spans="1:32" x14ac:dyDescent="0.25">
      <c r="A217" s="11" t="s">
        <v>503</v>
      </c>
      <c r="B217" s="1" t="s">
        <v>504</v>
      </c>
      <c r="C217" s="1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6">
        <v>0</v>
      </c>
      <c r="AF217" s="1" t="s">
        <v>37</v>
      </c>
    </row>
    <row r="218" spans="1:32" x14ac:dyDescent="0.25">
      <c r="A218" s="11" t="s">
        <v>505</v>
      </c>
      <c r="B218" s="1" t="s">
        <v>506</v>
      </c>
      <c r="C218" s="1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5">
        <v>0</v>
      </c>
      <c r="R218" s="5">
        <v>0</v>
      </c>
      <c r="S218" s="5">
        <v>0</v>
      </c>
      <c r="T218" s="5">
        <v>0</v>
      </c>
      <c r="U218" s="5">
        <v>0</v>
      </c>
      <c r="V218" s="5">
        <v>0</v>
      </c>
      <c r="W218" s="5">
        <v>0</v>
      </c>
      <c r="X218" s="5">
        <v>0</v>
      </c>
      <c r="Y218" s="5">
        <v>0</v>
      </c>
      <c r="Z218" s="5">
        <v>0</v>
      </c>
      <c r="AA218" s="5">
        <v>0</v>
      </c>
      <c r="AB218" s="5">
        <v>0</v>
      </c>
      <c r="AC218" s="6">
        <v>0</v>
      </c>
      <c r="AF218" s="1" t="s">
        <v>37</v>
      </c>
    </row>
    <row r="219" spans="1:32" x14ac:dyDescent="0.25">
      <c r="A219" s="1" t="s">
        <v>507</v>
      </c>
      <c r="B219" s="1" t="s">
        <v>508</v>
      </c>
      <c r="C219" s="1" t="s">
        <v>362</v>
      </c>
      <c r="D219" s="8">
        <v>14</v>
      </c>
      <c r="E219" s="8">
        <v>8</v>
      </c>
      <c r="F219" s="8">
        <v>5</v>
      </c>
      <c r="G219" s="8">
        <v>25</v>
      </c>
      <c r="H219" s="3"/>
      <c r="I219" s="3"/>
      <c r="J219" s="8">
        <v>31</v>
      </c>
      <c r="K219" s="8">
        <v>40</v>
      </c>
      <c r="L219" s="8">
        <v>30</v>
      </c>
      <c r="M219" s="8">
        <v>45</v>
      </c>
      <c r="N219" s="8">
        <v>16</v>
      </c>
      <c r="O219" s="8">
        <v>79</v>
      </c>
      <c r="P219" s="3"/>
      <c r="Q219" s="4">
        <v>0.4516</v>
      </c>
      <c r="R219" s="4">
        <v>0.26669999999999999</v>
      </c>
      <c r="S219" s="4">
        <v>0.1613</v>
      </c>
      <c r="T219" s="9">
        <v>0.96150000000000002</v>
      </c>
      <c r="U219" s="5">
        <v>0</v>
      </c>
      <c r="V219" s="9">
        <v>0</v>
      </c>
      <c r="W219" s="4">
        <v>1.1071</v>
      </c>
      <c r="X219" s="4">
        <v>1.2903</v>
      </c>
      <c r="Y219" s="4">
        <v>1</v>
      </c>
      <c r="Z219" s="4">
        <v>1.4516</v>
      </c>
      <c r="AA219" s="4">
        <v>0.5333</v>
      </c>
      <c r="AB219" s="4">
        <v>2.5484</v>
      </c>
      <c r="AC219" s="10">
        <v>0</v>
      </c>
      <c r="AD219" s="4">
        <v>0.97889999999999999</v>
      </c>
      <c r="AE219" s="4">
        <v>0.97889999999999999</v>
      </c>
      <c r="AF219" s="1" t="s">
        <v>37</v>
      </c>
    </row>
    <row r="220" spans="1:32" x14ac:dyDescent="0.25">
      <c r="A220" s="1" t="s">
        <v>509</v>
      </c>
      <c r="B220" s="1" t="s">
        <v>510</v>
      </c>
      <c r="C220" s="1" t="s">
        <v>365</v>
      </c>
      <c r="D220" s="8">
        <v>10</v>
      </c>
      <c r="E220" s="8">
        <v>6</v>
      </c>
      <c r="F220" s="8">
        <v>6</v>
      </c>
      <c r="G220" s="8">
        <v>25</v>
      </c>
      <c r="H220" s="8">
        <v>4</v>
      </c>
      <c r="I220" s="3"/>
      <c r="J220" s="8">
        <v>11</v>
      </c>
      <c r="K220" s="3"/>
      <c r="L220" s="8">
        <v>27</v>
      </c>
      <c r="M220" s="3"/>
      <c r="N220" s="8">
        <v>10</v>
      </c>
      <c r="O220" s="8">
        <v>12</v>
      </c>
      <c r="P220" s="3"/>
      <c r="Q220" s="4">
        <v>0.3226</v>
      </c>
      <c r="R220" s="4">
        <v>0.2</v>
      </c>
      <c r="S220" s="4">
        <v>0.19350000000000001</v>
      </c>
      <c r="T220" s="4">
        <v>0.83330000000000004</v>
      </c>
      <c r="U220" s="9">
        <v>1.3332999999999999</v>
      </c>
      <c r="V220" s="9">
        <v>0</v>
      </c>
      <c r="W220" s="4">
        <v>0.39290000000000003</v>
      </c>
      <c r="X220" s="4">
        <v>0</v>
      </c>
      <c r="Y220" s="4">
        <v>0.9</v>
      </c>
      <c r="Z220" s="4">
        <v>0</v>
      </c>
      <c r="AA220" s="4">
        <v>0.33329999999999999</v>
      </c>
      <c r="AB220" s="4">
        <v>0.3871</v>
      </c>
      <c r="AC220" s="10">
        <v>0</v>
      </c>
      <c r="AD220" s="4">
        <v>0.35630000000000001</v>
      </c>
      <c r="AE220" s="4">
        <v>0.35630000000000001</v>
      </c>
      <c r="AF220" s="1" t="s">
        <v>37</v>
      </c>
    </row>
    <row r="221" spans="1:32" x14ac:dyDescent="0.25">
      <c r="A221" s="1" t="s">
        <v>511</v>
      </c>
      <c r="B221" s="1" t="s">
        <v>512</v>
      </c>
      <c r="C221" s="1" t="s">
        <v>353</v>
      </c>
      <c r="D221" s="8">
        <v>10</v>
      </c>
      <c r="E221" s="8">
        <v>56</v>
      </c>
      <c r="F221" s="8">
        <v>69</v>
      </c>
      <c r="G221" s="8">
        <v>72</v>
      </c>
      <c r="H221" s="8">
        <v>33</v>
      </c>
      <c r="I221" s="8">
        <v>68</v>
      </c>
      <c r="J221" s="8">
        <v>42</v>
      </c>
      <c r="K221" s="8">
        <v>41</v>
      </c>
      <c r="L221" s="8">
        <v>49</v>
      </c>
      <c r="M221" s="8">
        <v>16</v>
      </c>
      <c r="N221" s="8">
        <v>22</v>
      </c>
      <c r="O221" s="8">
        <v>18</v>
      </c>
      <c r="P221" s="3"/>
      <c r="Q221" s="4">
        <v>0.3226</v>
      </c>
      <c r="R221" s="4">
        <v>1.8667</v>
      </c>
      <c r="S221" s="4">
        <v>2.2258</v>
      </c>
      <c r="T221" s="4">
        <v>2.4</v>
      </c>
      <c r="U221" s="4">
        <v>1.0645</v>
      </c>
      <c r="V221" s="4">
        <v>2.1934999999999998</v>
      </c>
      <c r="W221" s="4">
        <v>1.5</v>
      </c>
      <c r="X221" s="4">
        <v>1.3226</v>
      </c>
      <c r="Y221" s="4">
        <v>1.6333</v>
      </c>
      <c r="Z221" s="4">
        <v>0.5161</v>
      </c>
      <c r="AA221" s="4">
        <v>0.73329999999999995</v>
      </c>
      <c r="AB221" s="4">
        <v>0.5806</v>
      </c>
      <c r="AC221" s="10">
        <v>0</v>
      </c>
      <c r="AD221" s="4">
        <v>1.3633</v>
      </c>
      <c r="AE221" s="4">
        <v>1.3633</v>
      </c>
      <c r="AF221" s="1" t="s">
        <v>37</v>
      </c>
    </row>
    <row r="222" spans="1:32" x14ac:dyDescent="0.25">
      <c r="A222" s="1" t="s">
        <v>513</v>
      </c>
      <c r="B222" s="1" t="s">
        <v>514</v>
      </c>
      <c r="C222" s="1" t="s">
        <v>356</v>
      </c>
      <c r="D222" s="8">
        <v>1</v>
      </c>
      <c r="E222" s="8">
        <v>31</v>
      </c>
      <c r="F222" s="8">
        <v>93</v>
      </c>
      <c r="G222" s="8">
        <v>30</v>
      </c>
      <c r="H222" s="8">
        <v>18</v>
      </c>
      <c r="I222" s="8">
        <v>45</v>
      </c>
      <c r="J222" s="8">
        <v>15</v>
      </c>
      <c r="K222" s="8">
        <v>25</v>
      </c>
      <c r="L222" s="8">
        <v>2</v>
      </c>
      <c r="M222" s="3"/>
      <c r="N222" s="8">
        <v>20</v>
      </c>
      <c r="O222" s="8">
        <v>9</v>
      </c>
      <c r="P222" s="3"/>
      <c r="Q222" s="4">
        <v>3.2300000000000002E-2</v>
      </c>
      <c r="R222" s="4">
        <v>1.0333000000000001</v>
      </c>
      <c r="S222" s="4">
        <v>3</v>
      </c>
      <c r="T222" s="4">
        <v>1</v>
      </c>
      <c r="U222" s="4">
        <v>0.5806</v>
      </c>
      <c r="V222" s="4">
        <v>1.4516</v>
      </c>
      <c r="W222" s="4">
        <v>0.53569999999999995</v>
      </c>
      <c r="X222" s="4">
        <v>0.80649999999999999</v>
      </c>
      <c r="Y222" s="4">
        <v>6.6699999999999995E-2</v>
      </c>
      <c r="Z222" s="4">
        <v>0</v>
      </c>
      <c r="AA222" s="4">
        <v>0.66669999999999996</v>
      </c>
      <c r="AB222" s="4">
        <v>0.2903</v>
      </c>
      <c r="AC222" s="10">
        <v>0</v>
      </c>
      <c r="AD222" s="4">
        <v>0.78859999999999997</v>
      </c>
      <c r="AE222" s="4">
        <v>0.78859999999999997</v>
      </c>
      <c r="AF222" s="1" t="s">
        <v>37</v>
      </c>
    </row>
    <row r="223" spans="1:32" x14ac:dyDescent="0.25">
      <c r="A223" s="1" t="s">
        <v>515</v>
      </c>
      <c r="B223" s="1" t="s">
        <v>516</v>
      </c>
      <c r="C223" s="1" t="s">
        <v>359</v>
      </c>
      <c r="D223" s="8">
        <v>20</v>
      </c>
      <c r="E223" s="8">
        <v>33</v>
      </c>
      <c r="F223" s="8">
        <v>32</v>
      </c>
      <c r="G223" s="8">
        <v>20</v>
      </c>
      <c r="H223" s="3"/>
      <c r="I223" s="8">
        <v>5</v>
      </c>
      <c r="J223" s="8">
        <v>11</v>
      </c>
      <c r="K223" s="8">
        <v>25</v>
      </c>
      <c r="L223" s="8">
        <v>8</v>
      </c>
      <c r="M223" s="8">
        <v>10</v>
      </c>
      <c r="N223" s="8">
        <v>8</v>
      </c>
      <c r="O223" s="8">
        <v>7</v>
      </c>
      <c r="P223" s="3"/>
      <c r="Q223" s="4">
        <v>0.6452</v>
      </c>
      <c r="R223" s="4">
        <v>1.1000000000000001</v>
      </c>
      <c r="S223" s="4">
        <v>1.0323</v>
      </c>
      <c r="T223" s="4">
        <v>0.66669999999999996</v>
      </c>
      <c r="U223" s="4">
        <v>0</v>
      </c>
      <c r="V223" s="4">
        <v>0.1613</v>
      </c>
      <c r="W223" s="4">
        <v>0.39290000000000003</v>
      </c>
      <c r="X223" s="4">
        <v>0.80649999999999999</v>
      </c>
      <c r="Y223" s="4">
        <v>0.26669999999999999</v>
      </c>
      <c r="Z223" s="4">
        <v>0.3226</v>
      </c>
      <c r="AA223" s="4">
        <v>0.26669999999999999</v>
      </c>
      <c r="AB223" s="4">
        <v>0.2258</v>
      </c>
      <c r="AC223" s="10">
        <v>0</v>
      </c>
      <c r="AD223" s="4">
        <v>0.49059999999999998</v>
      </c>
      <c r="AE223" s="4">
        <v>0.49059999999999998</v>
      </c>
      <c r="AF223" s="1" t="s">
        <v>37</v>
      </c>
    </row>
    <row r="224" spans="1:32" x14ac:dyDescent="0.25">
      <c r="A224" s="1" t="s">
        <v>517</v>
      </c>
      <c r="B224" s="1" t="s">
        <v>518</v>
      </c>
      <c r="C224" s="1" t="s">
        <v>519</v>
      </c>
      <c r="D224" s="8">
        <v>4</v>
      </c>
      <c r="E224" s="8">
        <v>23</v>
      </c>
      <c r="F224" s="8">
        <v>34</v>
      </c>
      <c r="G224" s="8">
        <v>35</v>
      </c>
      <c r="H224" s="8">
        <v>173</v>
      </c>
      <c r="I224" s="8">
        <v>26</v>
      </c>
      <c r="J224" s="8">
        <v>30</v>
      </c>
      <c r="K224" s="8">
        <v>32</v>
      </c>
      <c r="L224" s="8">
        <v>142</v>
      </c>
      <c r="M224" s="8">
        <v>-4</v>
      </c>
      <c r="N224" s="8">
        <v>97</v>
      </c>
      <c r="O224" s="8">
        <v>82</v>
      </c>
      <c r="P224" s="3"/>
      <c r="Q224" s="4">
        <v>0.129</v>
      </c>
      <c r="R224" s="4">
        <v>0.76670000000000005</v>
      </c>
      <c r="S224" s="4">
        <v>1.0968</v>
      </c>
      <c r="T224" s="4">
        <v>1.1667000000000001</v>
      </c>
      <c r="U224" s="4">
        <v>5.5805999999999996</v>
      </c>
      <c r="V224" s="4">
        <v>0.8387</v>
      </c>
      <c r="W224" s="4">
        <v>1.0713999999999999</v>
      </c>
      <c r="X224" s="4">
        <v>1.0323</v>
      </c>
      <c r="Y224" s="4">
        <v>4.7332999999999998</v>
      </c>
      <c r="Z224" s="4">
        <v>-0.129</v>
      </c>
      <c r="AA224" s="4">
        <v>3.2332999999999998</v>
      </c>
      <c r="AB224" s="9">
        <v>5.125</v>
      </c>
      <c r="AC224" s="6">
        <v>0</v>
      </c>
      <c r="AD224" s="4">
        <v>1.7745</v>
      </c>
      <c r="AE224" s="4">
        <v>1.7745</v>
      </c>
      <c r="AF224" s="1" t="s">
        <v>37</v>
      </c>
    </row>
    <row r="225" spans="1:32" x14ac:dyDescent="0.25">
      <c r="A225" s="1" t="s">
        <v>520</v>
      </c>
      <c r="B225" s="1" t="s">
        <v>521</v>
      </c>
      <c r="C225" s="1" t="s">
        <v>522</v>
      </c>
      <c r="D225" s="3"/>
      <c r="E225" s="8">
        <v>53</v>
      </c>
      <c r="F225" s="8">
        <v>16</v>
      </c>
      <c r="G225" s="8">
        <v>24</v>
      </c>
      <c r="H225" s="8">
        <v>83</v>
      </c>
      <c r="I225" s="8">
        <v>42</v>
      </c>
      <c r="J225" s="8">
        <v>41</v>
      </c>
      <c r="K225" s="8">
        <v>59</v>
      </c>
      <c r="L225" s="8">
        <v>104</v>
      </c>
      <c r="M225" s="8">
        <v>5</v>
      </c>
      <c r="N225" s="8">
        <v>33</v>
      </c>
      <c r="O225" s="8">
        <v>10</v>
      </c>
      <c r="P225" s="3"/>
      <c r="Q225" s="5">
        <v>0</v>
      </c>
      <c r="R225" s="9">
        <v>1.8929</v>
      </c>
      <c r="S225" s="4">
        <v>0.5161</v>
      </c>
      <c r="T225" s="4">
        <v>0.8</v>
      </c>
      <c r="U225" s="4">
        <v>2.6774</v>
      </c>
      <c r="V225" s="4">
        <v>1.3548</v>
      </c>
      <c r="W225" s="4">
        <v>1.4642999999999999</v>
      </c>
      <c r="X225" s="4">
        <v>1.9032</v>
      </c>
      <c r="Y225" s="4">
        <v>3.4666999999999999</v>
      </c>
      <c r="Z225" s="4">
        <v>0.1613</v>
      </c>
      <c r="AA225" s="4">
        <v>1.1000000000000001</v>
      </c>
      <c r="AB225" s="9">
        <v>1.6667000000000001</v>
      </c>
      <c r="AC225" s="6">
        <v>0</v>
      </c>
      <c r="AD225" s="4">
        <v>1.4938</v>
      </c>
      <c r="AE225" s="4">
        <v>1.4938</v>
      </c>
      <c r="AF225" s="1" t="s">
        <v>34</v>
      </c>
    </row>
    <row r="226" spans="1:32" x14ac:dyDescent="0.25">
      <c r="A226" s="1" t="s">
        <v>523</v>
      </c>
      <c r="B226" s="1" t="s">
        <v>524</v>
      </c>
      <c r="C226" s="1" t="s">
        <v>396</v>
      </c>
      <c r="D226" s="8">
        <v>64</v>
      </c>
      <c r="E226" s="8">
        <v>80</v>
      </c>
      <c r="F226" s="8">
        <v>23</v>
      </c>
      <c r="G226" s="8">
        <v>4</v>
      </c>
      <c r="H226" s="8">
        <v>41</v>
      </c>
      <c r="I226" s="8">
        <v>92</v>
      </c>
      <c r="J226" s="8">
        <v>73</v>
      </c>
      <c r="K226" s="8">
        <v>72</v>
      </c>
      <c r="L226" s="8">
        <v>64</v>
      </c>
      <c r="M226" s="8">
        <v>38</v>
      </c>
      <c r="N226" s="8">
        <v>83</v>
      </c>
      <c r="O226" s="8">
        <v>59</v>
      </c>
      <c r="P226" s="3"/>
      <c r="Q226" s="4">
        <v>2.0644999999999998</v>
      </c>
      <c r="R226" s="4">
        <v>2.6667000000000001</v>
      </c>
      <c r="S226" s="4">
        <v>0.7419</v>
      </c>
      <c r="T226" s="9">
        <v>1.3332999999999999</v>
      </c>
      <c r="U226" s="9">
        <v>1.4642999999999999</v>
      </c>
      <c r="V226" s="4">
        <v>2.9676999999999998</v>
      </c>
      <c r="W226" s="4">
        <v>2.6071</v>
      </c>
      <c r="X226" s="4">
        <v>2.3226</v>
      </c>
      <c r="Y226" s="4">
        <v>2.1333000000000002</v>
      </c>
      <c r="Z226" s="4">
        <v>1.2258</v>
      </c>
      <c r="AA226" s="4">
        <v>2.7667000000000002</v>
      </c>
      <c r="AB226" s="4">
        <v>1.9032</v>
      </c>
      <c r="AC226" s="10">
        <v>0</v>
      </c>
      <c r="AD226" s="4">
        <v>2.14</v>
      </c>
      <c r="AE226" s="4">
        <v>2.14</v>
      </c>
      <c r="AF226" s="1" t="s">
        <v>37</v>
      </c>
    </row>
    <row r="227" spans="1:32" x14ac:dyDescent="0.25">
      <c r="A227" s="1" t="s">
        <v>525</v>
      </c>
      <c r="B227" s="1" t="s">
        <v>526</v>
      </c>
      <c r="C227" s="1" t="s">
        <v>527</v>
      </c>
      <c r="D227" s="8">
        <v>15</v>
      </c>
      <c r="E227" s="8">
        <v>59</v>
      </c>
      <c r="F227" s="8">
        <v>19</v>
      </c>
      <c r="G227" s="8">
        <v>19</v>
      </c>
      <c r="H227" s="8">
        <v>45</v>
      </c>
      <c r="I227" s="8">
        <v>56</v>
      </c>
      <c r="J227" s="8">
        <v>39</v>
      </c>
      <c r="K227" s="8">
        <v>48</v>
      </c>
      <c r="L227" s="8">
        <v>26</v>
      </c>
      <c r="M227" s="8">
        <v>24</v>
      </c>
      <c r="N227" s="8">
        <v>61</v>
      </c>
      <c r="O227" s="8">
        <v>86</v>
      </c>
      <c r="P227" s="3"/>
      <c r="Q227" s="4">
        <v>0.4839</v>
      </c>
      <c r="R227" s="4">
        <v>1.9666999999999999</v>
      </c>
      <c r="S227" s="4">
        <v>0.6129</v>
      </c>
      <c r="T227" s="4">
        <v>0.63329999999999997</v>
      </c>
      <c r="U227" s="4">
        <v>1.4516</v>
      </c>
      <c r="V227" s="4">
        <v>1.8065</v>
      </c>
      <c r="W227" s="4">
        <v>1.3929</v>
      </c>
      <c r="X227" s="4">
        <v>1.5484</v>
      </c>
      <c r="Y227" s="4">
        <v>0.86670000000000003</v>
      </c>
      <c r="Z227" s="4">
        <v>0.7742</v>
      </c>
      <c r="AA227" s="4">
        <v>2.0333000000000001</v>
      </c>
      <c r="AB227" s="9">
        <v>4.0952000000000002</v>
      </c>
      <c r="AC227" s="6">
        <v>0</v>
      </c>
      <c r="AD227" s="4">
        <v>1.2337</v>
      </c>
      <c r="AE227" s="4">
        <v>1.2337</v>
      </c>
      <c r="AF227" s="1" t="s">
        <v>37</v>
      </c>
    </row>
    <row r="228" spans="1:32" x14ac:dyDescent="0.25">
      <c r="A228" s="1" t="s">
        <v>528</v>
      </c>
      <c r="B228" s="1" t="s">
        <v>529</v>
      </c>
      <c r="C228" s="1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5">
        <v>0</v>
      </c>
      <c r="R228" s="5">
        <v>0</v>
      </c>
      <c r="S228" s="5">
        <v>0</v>
      </c>
      <c r="T228" s="5">
        <v>0</v>
      </c>
      <c r="U228" s="5">
        <v>0</v>
      </c>
      <c r="V228" s="5">
        <v>0</v>
      </c>
      <c r="W228" s="5">
        <v>0</v>
      </c>
      <c r="X228" s="5">
        <v>0</v>
      </c>
      <c r="Y228" s="5">
        <v>0</v>
      </c>
      <c r="Z228" s="5">
        <v>0</v>
      </c>
      <c r="AA228" s="5">
        <v>0</v>
      </c>
      <c r="AB228" s="5">
        <v>0</v>
      </c>
      <c r="AC228" s="6">
        <v>0</v>
      </c>
      <c r="AF228" s="1" t="s">
        <v>37</v>
      </c>
    </row>
    <row r="229" spans="1:32" x14ac:dyDescent="0.25">
      <c r="A229" s="1" t="s">
        <v>530</v>
      </c>
      <c r="B229" s="1" t="s">
        <v>531</v>
      </c>
      <c r="C229" s="1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6">
        <v>0</v>
      </c>
      <c r="AF229" s="1" t="s">
        <v>37</v>
      </c>
    </row>
    <row r="230" spans="1:32" x14ac:dyDescent="0.25">
      <c r="A230" s="1" t="s">
        <v>532</v>
      </c>
      <c r="B230" s="1" t="s">
        <v>533</v>
      </c>
      <c r="C230" s="1" t="s">
        <v>396</v>
      </c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5">
        <v>0</v>
      </c>
      <c r="R230" s="5">
        <v>0</v>
      </c>
      <c r="S230" s="5">
        <v>0</v>
      </c>
      <c r="T230" s="5">
        <v>0</v>
      </c>
      <c r="U230" s="5">
        <v>0</v>
      </c>
      <c r="V230" s="5">
        <v>0</v>
      </c>
      <c r="W230" s="5">
        <v>0</v>
      </c>
      <c r="X230" s="5">
        <v>0</v>
      </c>
      <c r="Y230" s="5">
        <v>0</v>
      </c>
      <c r="Z230" s="5">
        <v>0</v>
      </c>
      <c r="AA230" s="5">
        <v>0</v>
      </c>
      <c r="AB230" s="5">
        <v>0</v>
      </c>
      <c r="AC230" s="6">
        <v>0</v>
      </c>
      <c r="AF230" s="1" t="s">
        <v>37</v>
      </c>
    </row>
    <row r="231" spans="1:32" x14ac:dyDescent="0.25">
      <c r="A231" s="1" t="s">
        <v>534</v>
      </c>
      <c r="B231" s="1" t="s">
        <v>535</v>
      </c>
      <c r="C231" s="1"/>
      <c r="D231" s="3"/>
      <c r="E231" s="3"/>
      <c r="F231" s="3"/>
      <c r="G231" s="3"/>
      <c r="H231" s="8">
        <v>17</v>
      </c>
      <c r="I231" s="8">
        <v>18</v>
      </c>
      <c r="J231" s="8">
        <v>10</v>
      </c>
      <c r="K231" s="8">
        <v>2</v>
      </c>
      <c r="L231" s="8">
        <v>16</v>
      </c>
      <c r="M231" s="8">
        <v>10</v>
      </c>
      <c r="N231" s="8">
        <v>23</v>
      </c>
      <c r="O231" s="8">
        <v>12</v>
      </c>
      <c r="P231" s="3"/>
      <c r="Q231" s="5">
        <v>0</v>
      </c>
      <c r="R231" s="5">
        <v>0</v>
      </c>
      <c r="S231" s="5">
        <v>0</v>
      </c>
      <c r="T231" s="5">
        <v>0</v>
      </c>
      <c r="U231" s="9">
        <v>0.60709999999999997</v>
      </c>
      <c r="V231" s="4">
        <v>0.5806</v>
      </c>
      <c r="W231" s="4">
        <v>0.35709999999999997</v>
      </c>
      <c r="X231" s="4">
        <v>6.4500000000000002E-2</v>
      </c>
      <c r="Y231" s="4">
        <v>0.5333</v>
      </c>
      <c r="Z231" s="4">
        <v>0.3226</v>
      </c>
      <c r="AA231" s="4">
        <v>0.76670000000000005</v>
      </c>
      <c r="AB231" s="9">
        <v>0.92310000000000003</v>
      </c>
      <c r="AC231" s="6">
        <v>0</v>
      </c>
      <c r="AD231" s="4">
        <v>0.4375</v>
      </c>
      <c r="AE231" s="4">
        <v>0.4375</v>
      </c>
      <c r="AF231" s="1" t="s">
        <v>34</v>
      </c>
    </row>
    <row r="232" spans="1:32" x14ac:dyDescent="0.25">
      <c r="A232" s="1" t="s">
        <v>536</v>
      </c>
      <c r="B232" s="1" t="s">
        <v>537</v>
      </c>
      <c r="C232" s="1"/>
      <c r="D232" s="3"/>
      <c r="E232" s="3"/>
      <c r="F232" s="3"/>
      <c r="G232" s="3"/>
      <c r="H232" s="8">
        <v>10</v>
      </c>
      <c r="I232" s="8">
        <v>22</v>
      </c>
      <c r="J232" s="8">
        <v>11</v>
      </c>
      <c r="K232" s="3"/>
      <c r="L232" s="3"/>
      <c r="M232" s="8">
        <v>45</v>
      </c>
      <c r="N232" s="3"/>
      <c r="O232" s="3"/>
      <c r="P232" s="3"/>
      <c r="Q232" s="5">
        <v>0</v>
      </c>
      <c r="R232" s="5">
        <v>0</v>
      </c>
      <c r="S232" s="5">
        <v>0</v>
      </c>
      <c r="T232" s="5">
        <v>0</v>
      </c>
      <c r="U232" s="9">
        <v>0.35709999999999997</v>
      </c>
      <c r="V232" s="4">
        <v>0.7097</v>
      </c>
      <c r="W232" s="9">
        <v>0.91669999999999996</v>
      </c>
      <c r="X232" s="5">
        <v>0</v>
      </c>
      <c r="Y232" s="9">
        <v>0</v>
      </c>
      <c r="Z232" s="9">
        <v>3.4615</v>
      </c>
      <c r="AA232" s="5">
        <v>0</v>
      </c>
      <c r="AB232" s="5">
        <v>0</v>
      </c>
      <c r="AC232" s="6">
        <v>0</v>
      </c>
      <c r="AD232" s="4">
        <v>0.7097</v>
      </c>
      <c r="AE232" s="4">
        <v>0.7097</v>
      </c>
      <c r="AF232" s="1" t="s">
        <v>37</v>
      </c>
    </row>
    <row r="233" spans="1:32" x14ac:dyDescent="0.25">
      <c r="A233" s="1" t="s">
        <v>538</v>
      </c>
      <c r="B233" s="1" t="s">
        <v>539</v>
      </c>
      <c r="C233" s="1"/>
      <c r="D233" s="3"/>
      <c r="E233" s="3"/>
      <c r="F233" s="3"/>
      <c r="G233" s="3"/>
      <c r="H233" s="3"/>
      <c r="I233" s="8">
        <v>19</v>
      </c>
      <c r="J233" s="8">
        <v>21</v>
      </c>
      <c r="K233" s="8">
        <v>18</v>
      </c>
      <c r="L233" s="8">
        <v>38</v>
      </c>
      <c r="M233" s="3"/>
      <c r="N233" s="3"/>
      <c r="O233" s="3"/>
      <c r="P233" s="3"/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9">
        <v>0.82609999999999995</v>
      </c>
      <c r="W233" s="4">
        <v>0.75</v>
      </c>
      <c r="X233" s="4">
        <v>0.5806</v>
      </c>
      <c r="Y233" s="9">
        <v>1.7273000000000001</v>
      </c>
      <c r="Z233" s="5">
        <v>0</v>
      </c>
      <c r="AA233" s="5">
        <v>0</v>
      </c>
      <c r="AB233" s="5">
        <v>0</v>
      </c>
      <c r="AC233" s="6">
        <v>0</v>
      </c>
      <c r="AD233" s="4">
        <v>0.6653</v>
      </c>
      <c r="AE233" s="4">
        <v>0.6653</v>
      </c>
      <c r="AF233" s="1" t="s">
        <v>37</v>
      </c>
    </row>
    <row r="234" spans="1:32" x14ac:dyDescent="0.25">
      <c r="A234" s="1" t="s">
        <v>540</v>
      </c>
      <c r="B234" s="1" t="s">
        <v>541</v>
      </c>
      <c r="C234" s="1"/>
      <c r="D234" s="3"/>
      <c r="E234" s="3"/>
      <c r="F234" s="3"/>
      <c r="G234" s="3"/>
      <c r="H234" s="3"/>
      <c r="I234" s="3"/>
      <c r="J234" s="3"/>
      <c r="K234" s="8">
        <v>20</v>
      </c>
      <c r="L234" s="8">
        <v>45</v>
      </c>
      <c r="M234" s="8">
        <v>4</v>
      </c>
      <c r="N234" s="8">
        <v>1</v>
      </c>
      <c r="O234" s="3"/>
      <c r="P234" s="3"/>
      <c r="Q234" s="5">
        <v>0</v>
      </c>
      <c r="R234" s="5">
        <v>0</v>
      </c>
      <c r="S234" s="5">
        <v>0</v>
      </c>
      <c r="T234" s="5">
        <v>0</v>
      </c>
      <c r="U234" s="5">
        <v>0</v>
      </c>
      <c r="V234" s="5">
        <v>0</v>
      </c>
      <c r="W234" s="5">
        <v>0</v>
      </c>
      <c r="X234" s="9">
        <v>0.90910000000000002</v>
      </c>
      <c r="Y234" s="4">
        <v>1.5</v>
      </c>
      <c r="Z234" s="9">
        <v>0.23530000000000001</v>
      </c>
      <c r="AA234" s="5">
        <v>0</v>
      </c>
      <c r="AB234" s="5">
        <v>0</v>
      </c>
      <c r="AC234" s="6">
        <v>0</v>
      </c>
      <c r="AD234" s="4">
        <v>1.5</v>
      </c>
      <c r="AE234" s="4">
        <v>1.5</v>
      </c>
      <c r="AF234" s="1" t="s">
        <v>37</v>
      </c>
    </row>
    <row r="235" spans="1:32" x14ac:dyDescent="0.25">
      <c r="A235" s="1" t="s">
        <v>542</v>
      </c>
      <c r="B235" s="1" t="s">
        <v>543</v>
      </c>
      <c r="C235" s="1"/>
      <c r="D235" s="3"/>
      <c r="E235" s="3"/>
      <c r="F235" s="3"/>
      <c r="G235" s="3"/>
      <c r="H235" s="3"/>
      <c r="I235" s="3"/>
      <c r="J235" s="3"/>
      <c r="K235" s="3"/>
      <c r="L235" s="3"/>
      <c r="M235" s="8">
        <v>2</v>
      </c>
      <c r="N235" s="8">
        <v>41</v>
      </c>
      <c r="O235" s="8">
        <v>43</v>
      </c>
      <c r="P235" s="3"/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9">
        <v>0</v>
      </c>
      <c r="Z235" s="4">
        <v>6.4500000000000002E-2</v>
      </c>
      <c r="AA235" s="4">
        <v>1.3667</v>
      </c>
      <c r="AB235" s="9">
        <v>2.0476000000000001</v>
      </c>
      <c r="AC235" s="6">
        <v>0</v>
      </c>
      <c r="AD235" s="4">
        <v>0.71560000000000001</v>
      </c>
      <c r="AE235" s="4">
        <v>0.71560000000000001</v>
      </c>
      <c r="AF235" s="1" t="s">
        <v>37</v>
      </c>
    </row>
    <row r="236" spans="1:32" x14ac:dyDescent="0.25">
      <c r="A236" s="1" t="s">
        <v>544</v>
      </c>
      <c r="B236" s="1" t="s">
        <v>545</v>
      </c>
      <c r="C236" s="1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5">
        <v>0</v>
      </c>
      <c r="R236" s="5">
        <v>0</v>
      </c>
      <c r="S236" s="5">
        <v>0</v>
      </c>
      <c r="T236" s="5">
        <v>0</v>
      </c>
      <c r="U236" s="5">
        <v>0</v>
      </c>
      <c r="V236" s="5">
        <v>0</v>
      </c>
      <c r="W236" s="5">
        <v>0</v>
      </c>
      <c r="X236" s="5">
        <v>0</v>
      </c>
      <c r="Y236" s="5">
        <v>0</v>
      </c>
      <c r="Z236" s="5">
        <v>0</v>
      </c>
      <c r="AA236" s="5">
        <v>0</v>
      </c>
      <c r="AB236" s="5">
        <v>0</v>
      </c>
      <c r="AC236" s="6">
        <v>0</v>
      </c>
      <c r="AF236" s="1" t="s">
        <v>37</v>
      </c>
    </row>
    <row r="237" spans="1:32" x14ac:dyDescent="0.25">
      <c r="A237" s="1" t="s">
        <v>546</v>
      </c>
      <c r="B237" s="1" t="s">
        <v>547</v>
      </c>
      <c r="C237" s="1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6">
        <v>0</v>
      </c>
      <c r="AF237" s="1" t="s">
        <v>37</v>
      </c>
    </row>
    <row r="238" spans="1:32" x14ac:dyDescent="0.25">
      <c r="A238" s="1" t="s">
        <v>548</v>
      </c>
      <c r="B238" s="1" t="s">
        <v>549</v>
      </c>
      <c r="C238" s="1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5">
        <v>0</v>
      </c>
      <c r="R238" s="5">
        <v>0</v>
      </c>
      <c r="S238" s="5">
        <v>0</v>
      </c>
      <c r="T238" s="5">
        <v>0</v>
      </c>
      <c r="U238" s="5">
        <v>0</v>
      </c>
      <c r="V238" s="5">
        <v>0</v>
      </c>
      <c r="W238" s="5">
        <v>0</v>
      </c>
      <c r="X238" s="5">
        <v>0</v>
      </c>
      <c r="Y238" s="5">
        <v>0</v>
      </c>
      <c r="Z238" s="5">
        <v>0</v>
      </c>
      <c r="AA238" s="5">
        <v>0</v>
      </c>
      <c r="AB238" s="5">
        <v>0</v>
      </c>
      <c r="AC238" s="6">
        <v>0</v>
      </c>
      <c r="AF238" s="1" t="s">
        <v>37</v>
      </c>
    </row>
    <row r="239" spans="1:32" x14ac:dyDescent="0.25">
      <c r="A239" s="1" t="s">
        <v>550</v>
      </c>
      <c r="B239" s="1" t="s">
        <v>551</v>
      </c>
      <c r="C239" s="1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6">
        <v>0</v>
      </c>
      <c r="AF239" s="1" t="s">
        <v>37</v>
      </c>
    </row>
    <row r="240" spans="1:32" x14ac:dyDescent="0.25">
      <c r="A240" s="1" t="s">
        <v>552</v>
      </c>
      <c r="B240" s="1" t="s">
        <v>553</v>
      </c>
      <c r="C240" s="1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5">
        <v>0</v>
      </c>
      <c r="R240" s="5">
        <v>0</v>
      </c>
      <c r="S240" s="5">
        <v>0</v>
      </c>
      <c r="T240" s="5">
        <v>0</v>
      </c>
      <c r="U240" s="5">
        <v>0</v>
      </c>
      <c r="V240" s="5">
        <v>0</v>
      </c>
      <c r="W240" s="5">
        <v>0</v>
      </c>
      <c r="X240" s="5">
        <v>0</v>
      </c>
      <c r="Y240" s="5">
        <v>0</v>
      </c>
      <c r="Z240" s="5">
        <v>0</v>
      </c>
      <c r="AA240" s="5">
        <v>0</v>
      </c>
      <c r="AB240" s="5">
        <v>0</v>
      </c>
      <c r="AC240" s="6">
        <v>0</v>
      </c>
      <c r="AF240" s="1" t="s">
        <v>37</v>
      </c>
    </row>
    <row r="241" spans="1:32" x14ac:dyDescent="0.25">
      <c r="A241" s="1" t="s">
        <v>554</v>
      </c>
      <c r="B241" s="1" t="s">
        <v>555</v>
      </c>
      <c r="C241" s="1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6">
        <v>0</v>
      </c>
      <c r="AF241" s="1" t="s">
        <v>37</v>
      </c>
    </row>
    <row r="242" spans="1:32" x14ac:dyDescent="0.25">
      <c r="A242" s="1" t="s">
        <v>556</v>
      </c>
      <c r="B242" s="1" t="s">
        <v>557</v>
      </c>
      <c r="C242" s="1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5">
        <v>0</v>
      </c>
      <c r="R242" s="5">
        <v>0</v>
      </c>
      <c r="S242" s="5">
        <v>0</v>
      </c>
      <c r="T242" s="5">
        <v>0</v>
      </c>
      <c r="U242" s="5">
        <v>0</v>
      </c>
      <c r="V242" s="5">
        <v>0</v>
      </c>
      <c r="W242" s="5">
        <v>0</v>
      </c>
      <c r="X242" s="5">
        <v>0</v>
      </c>
      <c r="Y242" s="5">
        <v>0</v>
      </c>
      <c r="Z242" s="5">
        <v>0</v>
      </c>
      <c r="AA242" s="5">
        <v>0</v>
      </c>
      <c r="AB242" s="5">
        <v>0</v>
      </c>
      <c r="AC242" s="6">
        <v>0</v>
      </c>
      <c r="AF242" s="1" t="s">
        <v>37</v>
      </c>
    </row>
    <row r="243" spans="1:32" x14ac:dyDescent="0.25">
      <c r="A243" s="1" t="s">
        <v>558</v>
      </c>
      <c r="B243" s="1" t="s">
        <v>559</v>
      </c>
      <c r="C243" s="1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6">
        <v>0</v>
      </c>
      <c r="AF243" s="1" t="s">
        <v>37</v>
      </c>
    </row>
    <row r="244" spans="1:32" x14ac:dyDescent="0.25">
      <c r="A244" s="11" t="s">
        <v>560</v>
      </c>
      <c r="B244" s="1" t="s">
        <v>561</v>
      </c>
      <c r="C244" s="1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5">
        <v>0</v>
      </c>
      <c r="R244" s="5">
        <v>0</v>
      </c>
      <c r="S244" s="5">
        <v>0</v>
      </c>
      <c r="T244" s="5">
        <v>0</v>
      </c>
      <c r="U244" s="5">
        <v>0</v>
      </c>
      <c r="V244" s="5">
        <v>0</v>
      </c>
      <c r="W244" s="5">
        <v>0</v>
      </c>
      <c r="X244" s="5">
        <v>0</v>
      </c>
      <c r="Y244" s="5">
        <v>0</v>
      </c>
      <c r="Z244" s="5">
        <v>0</v>
      </c>
      <c r="AA244" s="5">
        <v>0</v>
      </c>
      <c r="AB244" s="5">
        <v>0</v>
      </c>
      <c r="AC244" s="6">
        <v>0</v>
      </c>
      <c r="AF244" s="1" t="s">
        <v>37</v>
      </c>
    </row>
    <row r="245" spans="1:32" x14ac:dyDescent="0.25">
      <c r="A245" s="11" t="s">
        <v>562</v>
      </c>
      <c r="B245" s="1" t="s">
        <v>563</v>
      </c>
      <c r="C245" s="1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6">
        <v>0</v>
      </c>
      <c r="AF245" s="1" t="s">
        <v>37</v>
      </c>
    </row>
    <row r="246" spans="1:32" x14ac:dyDescent="0.25">
      <c r="A246" s="11" t="s">
        <v>564</v>
      </c>
      <c r="B246" s="1" t="s">
        <v>565</v>
      </c>
      <c r="C246" s="1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5">
        <v>0</v>
      </c>
      <c r="R246" s="5">
        <v>0</v>
      </c>
      <c r="S246" s="5">
        <v>0</v>
      </c>
      <c r="T246" s="5">
        <v>0</v>
      </c>
      <c r="U246" s="5">
        <v>0</v>
      </c>
      <c r="V246" s="5">
        <v>0</v>
      </c>
      <c r="W246" s="5">
        <v>0</v>
      </c>
      <c r="X246" s="5">
        <v>0</v>
      </c>
      <c r="Y246" s="5">
        <v>0</v>
      </c>
      <c r="Z246" s="5">
        <v>0</v>
      </c>
      <c r="AA246" s="5">
        <v>0</v>
      </c>
      <c r="AB246" s="5">
        <v>0</v>
      </c>
      <c r="AC246" s="6">
        <v>0</v>
      </c>
      <c r="AF246" s="1" t="s">
        <v>37</v>
      </c>
    </row>
    <row r="247" spans="1:32" x14ac:dyDescent="0.25">
      <c r="A247" s="11" t="s">
        <v>566</v>
      </c>
      <c r="B247" s="1" t="s">
        <v>567</v>
      </c>
      <c r="C247" s="1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6">
        <v>0</v>
      </c>
      <c r="AF247" s="1" t="s">
        <v>37</v>
      </c>
    </row>
    <row r="248" spans="1:32" x14ac:dyDescent="0.25">
      <c r="A248" s="11" t="s">
        <v>568</v>
      </c>
      <c r="B248" s="1" t="s">
        <v>569</v>
      </c>
      <c r="C248" s="1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5">
        <v>0</v>
      </c>
      <c r="R248" s="5">
        <v>0</v>
      </c>
      <c r="S248" s="5">
        <v>0</v>
      </c>
      <c r="T248" s="5">
        <v>0</v>
      </c>
      <c r="U248" s="5">
        <v>0</v>
      </c>
      <c r="V248" s="5">
        <v>0</v>
      </c>
      <c r="W248" s="5">
        <v>0</v>
      </c>
      <c r="X248" s="5">
        <v>0</v>
      </c>
      <c r="Y248" s="5">
        <v>0</v>
      </c>
      <c r="Z248" s="5">
        <v>0</v>
      </c>
      <c r="AA248" s="5">
        <v>0</v>
      </c>
      <c r="AB248" s="5">
        <v>0</v>
      </c>
      <c r="AC248" s="6">
        <v>0</v>
      </c>
      <c r="AF248" s="1" t="s">
        <v>37</v>
      </c>
    </row>
    <row r="249" spans="1:32" x14ac:dyDescent="0.25">
      <c r="A249" s="11" t="s">
        <v>570</v>
      </c>
      <c r="B249" s="1" t="s">
        <v>571</v>
      </c>
      <c r="C249" s="1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6">
        <v>0</v>
      </c>
      <c r="AF249" s="1" t="s">
        <v>37</v>
      </c>
    </row>
    <row r="250" spans="1:32" x14ac:dyDescent="0.25">
      <c r="A250" s="1" t="s">
        <v>572</v>
      </c>
      <c r="B250" s="1" t="s">
        <v>573</v>
      </c>
      <c r="C250" s="1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5">
        <v>0</v>
      </c>
      <c r="R250" s="5">
        <v>0</v>
      </c>
      <c r="S250" s="5">
        <v>0</v>
      </c>
      <c r="T250" s="5">
        <v>0</v>
      </c>
      <c r="U250" s="5">
        <v>0</v>
      </c>
      <c r="V250" s="5">
        <v>0</v>
      </c>
      <c r="W250" s="5">
        <v>0</v>
      </c>
      <c r="X250" s="5">
        <v>0</v>
      </c>
      <c r="Y250" s="5">
        <v>0</v>
      </c>
      <c r="Z250" s="5">
        <v>0</v>
      </c>
      <c r="AA250" s="5">
        <v>0</v>
      </c>
      <c r="AB250" s="5">
        <v>0</v>
      </c>
      <c r="AC250" s="6">
        <v>0</v>
      </c>
      <c r="AF250" s="1" t="s">
        <v>34</v>
      </c>
    </row>
    <row r="251" spans="1:32" x14ac:dyDescent="0.25">
      <c r="A251" s="1" t="s">
        <v>574</v>
      </c>
      <c r="B251" s="1" t="s">
        <v>575</v>
      </c>
      <c r="C251" s="1"/>
      <c r="D251" s="8">
        <v>11</v>
      </c>
      <c r="E251" s="8">
        <v>13</v>
      </c>
      <c r="F251" s="8">
        <v>12</v>
      </c>
      <c r="G251" s="8">
        <v>9</v>
      </c>
      <c r="H251" s="8">
        <v>28</v>
      </c>
      <c r="I251" s="8">
        <v>7</v>
      </c>
      <c r="J251" s="8">
        <v>18</v>
      </c>
      <c r="K251" s="8">
        <v>11</v>
      </c>
      <c r="L251" s="8">
        <v>68</v>
      </c>
      <c r="M251" s="3"/>
      <c r="N251" s="8">
        <v>33</v>
      </c>
      <c r="O251" s="8">
        <v>25</v>
      </c>
      <c r="P251" s="3"/>
      <c r="Q251" s="4">
        <v>0.3548</v>
      </c>
      <c r="R251" s="4">
        <v>0.61899999999999999</v>
      </c>
      <c r="S251" s="4">
        <v>0.3871</v>
      </c>
      <c r="T251" s="4">
        <v>0.22059999999999999</v>
      </c>
      <c r="U251" s="4">
        <v>0.53129999999999999</v>
      </c>
      <c r="V251" s="4">
        <v>0.37630000000000002</v>
      </c>
      <c r="W251" s="4">
        <v>1.0713999999999999</v>
      </c>
      <c r="X251" s="4">
        <v>0.3548</v>
      </c>
      <c r="Y251" s="4">
        <v>2.6983999999999999</v>
      </c>
      <c r="Z251" s="4">
        <v>0</v>
      </c>
      <c r="AA251" s="4">
        <v>1.2222</v>
      </c>
      <c r="AB251" s="9">
        <v>0.96150000000000002</v>
      </c>
      <c r="AC251" s="6">
        <v>0</v>
      </c>
      <c r="AD251" s="4">
        <v>0.71240000000000003</v>
      </c>
      <c r="AE251" s="4">
        <v>0.71240000000000003</v>
      </c>
      <c r="AF251" s="1" t="s">
        <v>37</v>
      </c>
    </row>
    <row r="252" spans="1:32" x14ac:dyDescent="0.25">
      <c r="A252" s="1" t="s">
        <v>576</v>
      </c>
      <c r="B252" s="1" t="s">
        <v>577</v>
      </c>
      <c r="C252" s="1"/>
      <c r="D252" s="8">
        <v>9</v>
      </c>
      <c r="E252" s="8">
        <v>4</v>
      </c>
      <c r="F252" s="8">
        <v>7</v>
      </c>
      <c r="G252" s="8">
        <v>16</v>
      </c>
      <c r="H252" s="8">
        <v>25</v>
      </c>
      <c r="I252" s="8">
        <v>9</v>
      </c>
      <c r="J252" s="8">
        <v>18</v>
      </c>
      <c r="K252" s="8">
        <v>14</v>
      </c>
      <c r="L252" s="8">
        <v>27</v>
      </c>
      <c r="M252" s="8">
        <v>3</v>
      </c>
      <c r="N252" s="8">
        <v>23</v>
      </c>
      <c r="O252" s="8">
        <v>22</v>
      </c>
      <c r="P252" s="3"/>
      <c r="Q252" s="4">
        <v>0.2903</v>
      </c>
      <c r="R252" s="4">
        <v>0.1905</v>
      </c>
      <c r="S252" s="4">
        <v>0.2258</v>
      </c>
      <c r="T252" s="4">
        <v>0.39219999999999999</v>
      </c>
      <c r="U252" s="4">
        <v>0.47439999999999999</v>
      </c>
      <c r="V252" s="4">
        <v>0.4839</v>
      </c>
      <c r="W252" s="4">
        <v>1.0713999999999999</v>
      </c>
      <c r="X252" s="4">
        <v>0.4516</v>
      </c>
      <c r="Y252" s="4">
        <v>1.0713999999999999</v>
      </c>
      <c r="Z252" s="4">
        <v>9.6799999999999997E-2</v>
      </c>
      <c r="AA252" s="4">
        <v>0.85189999999999999</v>
      </c>
      <c r="AB252" s="4">
        <v>0.54590000000000005</v>
      </c>
      <c r="AC252" s="10">
        <v>0</v>
      </c>
      <c r="AD252" s="4">
        <v>0.51219999999999999</v>
      </c>
      <c r="AE252" s="4">
        <v>0.51219999999999999</v>
      </c>
      <c r="AF252" s="1" t="s">
        <v>37</v>
      </c>
    </row>
    <row r="253" spans="1:32" x14ac:dyDescent="0.25">
      <c r="A253" s="1" t="s">
        <v>578</v>
      </c>
      <c r="B253" s="1" t="s">
        <v>579</v>
      </c>
      <c r="C253" s="1"/>
      <c r="D253" s="8">
        <v>3</v>
      </c>
      <c r="E253" s="3"/>
      <c r="F253" s="8">
        <v>1</v>
      </c>
      <c r="G253" s="3"/>
      <c r="H253" s="8">
        <v>5</v>
      </c>
      <c r="I253" s="8">
        <v>2</v>
      </c>
      <c r="J253" s="3"/>
      <c r="K253" s="8">
        <v>2</v>
      </c>
      <c r="L253" s="8">
        <v>3</v>
      </c>
      <c r="M253" s="8">
        <v>16</v>
      </c>
      <c r="N253" s="8">
        <v>2</v>
      </c>
      <c r="O253" s="3"/>
      <c r="P253" s="3"/>
      <c r="Q253" s="4">
        <v>9.6799999999999997E-2</v>
      </c>
      <c r="R253" s="4">
        <v>0</v>
      </c>
      <c r="S253" s="4">
        <v>3.2300000000000002E-2</v>
      </c>
      <c r="T253" s="4">
        <v>0</v>
      </c>
      <c r="U253" s="4">
        <v>9.4899999999999998E-2</v>
      </c>
      <c r="V253" s="4">
        <v>0.1075</v>
      </c>
      <c r="W253" s="4">
        <v>0</v>
      </c>
      <c r="X253" s="4">
        <v>6.4500000000000002E-2</v>
      </c>
      <c r="Y253" s="4">
        <v>0.11899999999999999</v>
      </c>
      <c r="Z253" s="4">
        <v>0.5161</v>
      </c>
      <c r="AA253" s="4">
        <v>7.4099999999999999E-2</v>
      </c>
      <c r="AB253" s="4">
        <v>0</v>
      </c>
      <c r="AC253" s="10">
        <v>0</v>
      </c>
      <c r="AD253" s="4">
        <v>9.2100000000000001E-2</v>
      </c>
      <c r="AE253" s="4">
        <v>9.2100000000000001E-2</v>
      </c>
      <c r="AF253" s="1" t="s">
        <v>37</v>
      </c>
    </row>
    <row r="254" spans="1:32" x14ac:dyDescent="0.25">
      <c r="A254" s="1" t="s">
        <v>580</v>
      </c>
      <c r="B254" s="1" t="s">
        <v>581</v>
      </c>
      <c r="C254" s="1"/>
      <c r="D254" s="8">
        <v>12</v>
      </c>
      <c r="E254" s="8">
        <v>21</v>
      </c>
      <c r="F254" s="8">
        <v>19</v>
      </c>
      <c r="G254" s="8">
        <v>23</v>
      </c>
      <c r="H254" s="8">
        <v>102</v>
      </c>
      <c r="I254" s="8">
        <v>20</v>
      </c>
      <c r="J254" s="8">
        <v>20</v>
      </c>
      <c r="K254" s="8">
        <v>29</v>
      </c>
      <c r="L254" s="8">
        <v>30</v>
      </c>
      <c r="M254" s="8">
        <v>26</v>
      </c>
      <c r="N254" s="8">
        <v>49</v>
      </c>
      <c r="O254" s="8">
        <v>38</v>
      </c>
      <c r="P254" s="3"/>
      <c r="Q254" s="4">
        <v>0.3871</v>
      </c>
      <c r="R254" s="4">
        <v>1</v>
      </c>
      <c r="S254" s="4">
        <v>0.6129</v>
      </c>
      <c r="T254" s="4">
        <v>0.56369999999999998</v>
      </c>
      <c r="U254" s="4">
        <v>1.9355</v>
      </c>
      <c r="V254" s="4">
        <v>1.0752999999999999</v>
      </c>
      <c r="W254" s="4">
        <v>1.1904999999999999</v>
      </c>
      <c r="X254" s="4">
        <v>0.9355</v>
      </c>
      <c r="Y254" s="4">
        <v>1.1904999999999999</v>
      </c>
      <c r="Z254" s="4">
        <v>0.8387</v>
      </c>
      <c r="AA254" s="4">
        <v>1.8148</v>
      </c>
      <c r="AB254" s="4">
        <v>0.94289999999999996</v>
      </c>
      <c r="AC254" s="10">
        <v>0</v>
      </c>
      <c r="AD254" s="4">
        <v>1.0406</v>
      </c>
      <c r="AE254" s="4">
        <v>1.0406</v>
      </c>
      <c r="AF254" s="1" t="s">
        <v>37</v>
      </c>
    </row>
    <row r="255" spans="1:32" x14ac:dyDescent="0.25">
      <c r="A255" s="1" t="s">
        <v>582</v>
      </c>
      <c r="B255" s="1" t="s">
        <v>583</v>
      </c>
      <c r="C255" s="1"/>
      <c r="D255" s="8">
        <v>5</v>
      </c>
      <c r="E255" s="8">
        <v>16</v>
      </c>
      <c r="F255" s="8">
        <v>17</v>
      </c>
      <c r="G255" s="8">
        <v>21</v>
      </c>
      <c r="H255" s="8">
        <v>28</v>
      </c>
      <c r="I255" s="8">
        <v>18</v>
      </c>
      <c r="J255" s="8">
        <v>18</v>
      </c>
      <c r="K255" s="8">
        <v>15</v>
      </c>
      <c r="L255" s="8">
        <v>25</v>
      </c>
      <c r="M255" s="8">
        <v>67</v>
      </c>
      <c r="N255" s="8">
        <v>1</v>
      </c>
      <c r="O255" s="8">
        <v>2</v>
      </c>
      <c r="P255" s="3"/>
      <c r="Q255" s="4">
        <v>0.1613</v>
      </c>
      <c r="R255" s="4">
        <v>0.76190000000000002</v>
      </c>
      <c r="S255" s="4">
        <v>0.5484</v>
      </c>
      <c r="T255" s="4">
        <v>0.51470000000000005</v>
      </c>
      <c r="U255" s="4">
        <v>0.53129999999999999</v>
      </c>
      <c r="V255" s="4">
        <v>0.9677</v>
      </c>
      <c r="W255" s="4">
        <v>1.0713999999999999</v>
      </c>
      <c r="X255" s="4">
        <v>0.4839</v>
      </c>
      <c r="Y255" s="4">
        <v>0.99209999999999998</v>
      </c>
      <c r="Z255" s="9">
        <v>2.3929</v>
      </c>
      <c r="AA255" s="5">
        <v>0</v>
      </c>
      <c r="AB255" s="5">
        <v>0</v>
      </c>
      <c r="AC255" s="6">
        <v>0</v>
      </c>
      <c r="AD255" s="4">
        <v>0.67030000000000001</v>
      </c>
      <c r="AE255" s="4">
        <v>0.67030000000000001</v>
      </c>
      <c r="AF255" s="1" t="s">
        <v>37</v>
      </c>
    </row>
    <row r="256" spans="1:32" x14ac:dyDescent="0.25">
      <c r="A256" s="1" t="s">
        <v>584</v>
      </c>
      <c r="B256" s="1" t="s">
        <v>585</v>
      </c>
      <c r="C256" s="1"/>
      <c r="D256" s="3"/>
      <c r="E256" s="3"/>
      <c r="F256" s="3"/>
      <c r="G256" s="3"/>
      <c r="H256" s="3"/>
      <c r="I256" s="3"/>
      <c r="J256" s="8">
        <v>-1</v>
      </c>
      <c r="K256" s="3"/>
      <c r="L256" s="3"/>
      <c r="M256" s="3"/>
      <c r="N256" s="3"/>
      <c r="O256" s="3"/>
      <c r="P256" s="3"/>
      <c r="Q256" s="5">
        <v>0</v>
      </c>
      <c r="R256" s="5">
        <v>0</v>
      </c>
      <c r="S256" s="5">
        <v>0</v>
      </c>
      <c r="T256" s="5">
        <v>0</v>
      </c>
      <c r="U256" s="5">
        <v>0</v>
      </c>
      <c r="V256" s="5">
        <v>0</v>
      </c>
      <c r="W256" s="5">
        <v>0</v>
      </c>
      <c r="X256" s="5">
        <v>0</v>
      </c>
      <c r="Y256" s="5">
        <v>0</v>
      </c>
      <c r="Z256" s="5">
        <v>0</v>
      </c>
      <c r="AA256" s="5">
        <v>0</v>
      </c>
      <c r="AB256" s="5">
        <v>0</v>
      </c>
      <c r="AC256" s="6">
        <v>0</v>
      </c>
      <c r="AF256" s="1" t="s">
        <v>37</v>
      </c>
    </row>
    <row r="257" spans="1:32" x14ac:dyDescent="0.25">
      <c r="A257" s="1" t="s">
        <v>586</v>
      </c>
      <c r="B257" s="1" t="s">
        <v>587</v>
      </c>
      <c r="C257" s="1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5">
        <v>0</v>
      </c>
      <c r="R257" s="5">
        <v>0</v>
      </c>
      <c r="S257" s="5">
        <v>0</v>
      </c>
      <c r="T257" s="5">
        <v>0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6">
        <v>0</v>
      </c>
      <c r="AF257" s="1" t="s">
        <v>34</v>
      </c>
    </row>
    <row r="258" spans="1:32" x14ac:dyDescent="0.25">
      <c r="A258" s="1" t="s">
        <v>588</v>
      </c>
      <c r="B258" s="1" t="s">
        <v>589</v>
      </c>
      <c r="C258" s="1"/>
      <c r="D258" s="8">
        <v>20</v>
      </c>
      <c r="E258" s="8">
        <v>8</v>
      </c>
      <c r="F258" s="8">
        <v>7</v>
      </c>
      <c r="G258" s="8">
        <v>13</v>
      </c>
      <c r="H258" s="8">
        <v>35</v>
      </c>
      <c r="I258" s="8">
        <v>6</v>
      </c>
      <c r="J258" s="8">
        <v>5</v>
      </c>
      <c r="K258" s="8">
        <v>17</v>
      </c>
      <c r="L258" s="8">
        <v>1</v>
      </c>
      <c r="M258" s="8">
        <v>-13</v>
      </c>
      <c r="N258" s="8">
        <v>10</v>
      </c>
      <c r="O258" s="8">
        <v>11</v>
      </c>
      <c r="P258" s="3"/>
      <c r="Q258" s="4">
        <v>0.6452</v>
      </c>
      <c r="R258" s="4">
        <v>0.38100000000000001</v>
      </c>
      <c r="S258" s="4">
        <v>0.2258</v>
      </c>
      <c r="T258" s="4">
        <v>0.31859999999999999</v>
      </c>
      <c r="U258" s="4">
        <v>0.66410000000000002</v>
      </c>
      <c r="V258" s="4">
        <v>0.3226</v>
      </c>
      <c r="W258" s="4">
        <v>0.29759999999999998</v>
      </c>
      <c r="X258" s="4">
        <v>0.5484</v>
      </c>
      <c r="Y258" s="4">
        <v>3.9699999999999999E-2</v>
      </c>
      <c r="Z258" s="4">
        <v>-0.4194</v>
      </c>
      <c r="AA258" s="4">
        <v>0.37040000000000001</v>
      </c>
      <c r="AB258" s="4">
        <v>0.27300000000000002</v>
      </c>
      <c r="AC258" s="10">
        <v>0</v>
      </c>
      <c r="AD258" s="4">
        <v>0.30559999999999998</v>
      </c>
      <c r="AE258" s="4">
        <v>0.30559999999999998</v>
      </c>
      <c r="AF258" s="1" t="s">
        <v>37</v>
      </c>
    </row>
    <row r="259" spans="1:32" x14ac:dyDescent="0.25">
      <c r="A259" s="1" t="s">
        <v>590</v>
      </c>
      <c r="B259" s="1" t="s">
        <v>591</v>
      </c>
      <c r="C259" s="1"/>
      <c r="D259" s="8">
        <v>2</v>
      </c>
      <c r="E259" s="8">
        <v>2</v>
      </c>
      <c r="F259" s="8">
        <v>8</v>
      </c>
      <c r="G259" s="8">
        <v>12</v>
      </c>
      <c r="H259" s="8">
        <v>31</v>
      </c>
      <c r="I259" s="8">
        <v>7</v>
      </c>
      <c r="J259" s="8">
        <v>5</v>
      </c>
      <c r="K259" s="3"/>
      <c r="L259" s="3"/>
      <c r="M259" s="8">
        <v>-4</v>
      </c>
      <c r="N259" s="8">
        <v>4</v>
      </c>
      <c r="O259" s="8">
        <v>1</v>
      </c>
      <c r="P259" s="3"/>
      <c r="Q259" s="4">
        <v>6.4500000000000002E-2</v>
      </c>
      <c r="R259" s="4">
        <v>9.5200000000000007E-2</v>
      </c>
      <c r="S259" s="4">
        <v>0.2581</v>
      </c>
      <c r="T259" s="4">
        <v>0.29409999999999997</v>
      </c>
      <c r="U259" s="4">
        <v>0.58819999999999995</v>
      </c>
      <c r="V259" s="4">
        <v>0.37630000000000002</v>
      </c>
      <c r="W259" s="9">
        <v>2.7778</v>
      </c>
      <c r="X259" s="5">
        <v>0</v>
      </c>
      <c r="Y259" s="5">
        <v>0</v>
      </c>
      <c r="Z259" s="9">
        <v>-0.15379999999999999</v>
      </c>
      <c r="AA259" s="5">
        <v>0</v>
      </c>
      <c r="AB259" s="5">
        <v>0</v>
      </c>
      <c r="AC259" s="6">
        <v>0</v>
      </c>
      <c r="AD259" s="4">
        <v>0.27939999999999998</v>
      </c>
      <c r="AE259" s="4">
        <v>0.27939999999999998</v>
      </c>
      <c r="AF259" s="1" t="s">
        <v>37</v>
      </c>
    </row>
    <row r="260" spans="1:32" x14ac:dyDescent="0.25">
      <c r="A260" s="1" t="s">
        <v>592</v>
      </c>
      <c r="B260" s="1" t="s">
        <v>593</v>
      </c>
      <c r="C260" s="1"/>
      <c r="D260" s="3"/>
      <c r="E260" s="8">
        <v>1</v>
      </c>
      <c r="F260" s="8">
        <v>4</v>
      </c>
      <c r="G260" s="8">
        <v>12</v>
      </c>
      <c r="H260" s="8">
        <v>2</v>
      </c>
      <c r="I260" s="8">
        <v>5</v>
      </c>
      <c r="J260" s="8">
        <v>2</v>
      </c>
      <c r="K260" s="8">
        <v>1</v>
      </c>
      <c r="L260" s="8">
        <v>4</v>
      </c>
      <c r="M260" s="8">
        <v>-4</v>
      </c>
      <c r="N260" s="8">
        <v>12</v>
      </c>
      <c r="O260" s="8">
        <v>9</v>
      </c>
      <c r="P260" s="3"/>
      <c r="Q260" s="4">
        <v>0</v>
      </c>
      <c r="R260" s="4">
        <v>4.7600000000000003E-2</v>
      </c>
      <c r="S260" s="4">
        <v>0.129</v>
      </c>
      <c r="T260" s="4">
        <v>0.29409999999999997</v>
      </c>
      <c r="U260" s="4">
        <v>3.7999999999999999E-2</v>
      </c>
      <c r="V260" s="4">
        <v>0.26879999999999998</v>
      </c>
      <c r="W260" s="4">
        <v>0.11899999999999999</v>
      </c>
      <c r="X260" s="4">
        <v>3.2300000000000002E-2</v>
      </c>
      <c r="Y260" s="4">
        <v>0.15870000000000001</v>
      </c>
      <c r="Z260" s="4">
        <v>-0.129</v>
      </c>
      <c r="AA260" s="4">
        <v>0.44440000000000002</v>
      </c>
      <c r="AB260" s="4">
        <v>0.2233</v>
      </c>
      <c r="AC260" s="10">
        <v>0</v>
      </c>
      <c r="AD260" s="4">
        <v>0.13550000000000001</v>
      </c>
      <c r="AE260" s="4">
        <v>0.13550000000000001</v>
      </c>
      <c r="AF260" s="1" t="s">
        <v>37</v>
      </c>
    </row>
    <row r="261" spans="1:32" x14ac:dyDescent="0.25">
      <c r="A261" s="1" t="s">
        <v>594</v>
      </c>
      <c r="B261" s="1" t="s">
        <v>595</v>
      </c>
      <c r="C261" s="1"/>
      <c r="D261" s="8">
        <v>1</v>
      </c>
      <c r="E261" s="3"/>
      <c r="F261" s="8">
        <v>2</v>
      </c>
      <c r="G261" s="8">
        <v>11</v>
      </c>
      <c r="H261" s="8">
        <v>27</v>
      </c>
      <c r="I261" s="3"/>
      <c r="J261" s="3"/>
      <c r="K261" s="3"/>
      <c r="L261" s="8">
        <v>1</v>
      </c>
      <c r="M261" s="8">
        <v>1</v>
      </c>
      <c r="N261" s="8">
        <v>-1</v>
      </c>
      <c r="O261" s="3"/>
      <c r="P261" s="3"/>
      <c r="Q261" s="4">
        <v>3.2300000000000002E-2</v>
      </c>
      <c r="R261" s="4">
        <v>0</v>
      </c>
      <c r="S261" s="4">
        <v>6.4500000000000002E-2</v>
      </c>
      <c r="T261" s="4">
        <v>0.26960000000000001</v>
      </c>
      <c r="U261" s="9">
        <v>0.6905</v>
      </c>
      <c r="V261" s="5">
        <v>0</v>
      </c>
      <c r="W261" s="5">
        <v>0</v>
      </c>
      <c r="X261" s="5">
        <v>0</v>
      </c>
      <c r="Y261" s="5">
        <v>0</v>
      </c>
      <c r="Z261" s="9">
        <v>0.16669999999999999</v>
      </c>
      <c r="AA261" s="5">
        <v>0</v>
      </c>
      <c r="AB261" s="5">
        <v>0</v>
      </c>
      <c r="AC261" s="6">
        <v>0</v>
      </c>
      <c r="AD261" s="4">
        <v>9.1600000000000001E-2</v>
      </c>
      <c r="AE261" s="4">
        <v>9.1600000000000001E-2</v>
      </c>
      <c r="AF261" s="1" t="s">
        <v>34</v>
      </c>
    </row>
    <row r="262" spans="1:32" x14ac:dyDescent="0.25">
      <c r="A262" s="1" t="s">
        <v>596</v>
      </c>
      <c r="B262" s="1" t="s">
        <v>597</v>
      </c>
      <c r="C262" s="1"/>
      <c r="D262" s="8">
        <v>1</v>
      </c>
      <c r="E262" s="8">
        <v>1</v>
      </c>
      <c r="F262" s="8">
        <v>4</v>
      </c>
      <c r="G262" s="8">
        <v>15</v>
      </c>
      <c r="H262" s="8">
        <v>56</v>
      </c>
      <c r="I262" s="8">
        <v>1</v>
      </c>
      <c r="J262" s="8">
        <v>-1</v>
      </c>
      <c r="K262" s="3"/>
      <c r="L262" s="3"/>
      <c r="M262" s="3"/>
      <c r="N262" s="3"/>
      <c r="O262" s="3"/>
      <c r="P262" s="3"/>
      <c r="Q262" s="4">
        <v>3.2300000000000002E-2</v>
      </c>
      <c r="R262" s="4">
        <v>4.7600000000000003E-2</v>
      </c>
      <c r="S262" s="4">
        <v>0.129</v>
      </c>
      <c r="T262" s="4">
        <v>0.36759999999999998</v>
      </c>
      <c r="U262" s="9">
        <v>1.4321999999999999</v>
      </c>
      <c r="V262" s="5">
        <v>0</v>
      </c>
      <c r="W262" s="5">
        <v>0</v>
      </c>
      <c r="X262" s="5">
        <v>0</v>
      </c>
      <c r="Y262" s="5">
        <v>0</v>
      </c>
      <c r="Z262" s="5">
        <v>0</v>
      </c>
      <c r="AA262" s="5">
        <v>0</v>
      </c>
      <c r="AB262" s="5">
        <v>0</v>
      </c>
      <c r="AC262" s="6">
        <v>0</v>
      </c>
      <c r="AD262" s="4">
        <v>0.14410000000000001</v>
      </c>
      <c r="AE262" s="4">
        <v>0.14410000000000001</v>
      </c>
      <c r="AF262" s="1" t="s">
        <v>34</v>
      </c>
    </row>
    <row r="263" spans="1:32" x14ac:dyDescent="0.25">
      <c r="A263" s="1" t="s">
        <v>598</v>
      </c>
      <c r="B263" s="1" t="s">
        <v>599</v>
      </c>
      <c r="C263" s="1"/>
      <c r="D263" s="8">
        <v>1</v>
      </c>
      <c r="E263" s="3"/>
      <c r="F263" s="8">
        <v>1</v>
      </c>
      <c r="G263" s="8">
        <v>1</v>
      </c>
      <c r="H263" s="8">
        <v>26</v>
      </c>
      <c r="I263" s="8">
        <v>2</v>
      </c>
      <c r="J263" s="8">
        <v>2</v>
      </c>
      <c r="K263" s="3"/>
      <c r="L263" s="3"/>
      <c r="M263" s="8">
        <v>-1</v>
      </c>
      <c r="N263" s="8">
        <v>3</v>
      </c>
      <c r="O263" s="8">
        <v>2</v>
      </c>
      <c r="P263" s="3"/>
      <c r="Q263" s="5">
        <v>0</v>
      </c>
      <c r="R263" s="9">
        <v>0</v>
      </c>
      <c r="S263" s="4">
        <v>3.2300000000000002E-2</v>
      </c>
      <c r="T263" s="4">
        <v>2.4500000000000001E-2</v>
      </c>
      <c r="U263" s="4">
        <v>0.49340000000000001</v>
      </c>
      <c r="V263" s="4">
        <v>0.1075</v>
      </c>
      <c r="W263" s="4">
        <v>0.11899999999999999</v>
      </c>
      <c r="X263" s="4">
        <v>0</v>
      </c>
      <c r="Y263" s="4">
        <v>0</v>
      </c>
      <c r="Z263" s="4">
        <v>-3.2300000000000002E-2</v>
      </c>
      <c r="AA263" s="4">
        <v>0.1111</v>
      </c>
      <c r="AB263" s="4">
        <v>4.9599999999999998E-2</v>
      </c>
      <c r="AC263" s="10">
        <v>0</v>
      </c>
      <c r="AD263" s="4">
        <v>9.0499999999999997E-2</v>
      </c>
      <c r="AE263" s="4">
        <v>9.0499999999999997E-2</v>
      </c>
      <c r="AF263" s="1" t="s">
        <v>37</v>
      </c>
    </row>
    <row r="264" spans="1:32" x14ac:dyDescent="0.25">
      <c r="A264" s="1" t="s">
        <v>600</v>
      </c>
      <c r="B264" s="1" t="s">
        <v>601</v>
      </c>
      <c r="C264" s="1"/>
      <c r="D264" s="8">
        <v>8</v>
      </c>
      <c r="E264" s="8">
        <v>5</v>
      </c>
      <c r="F264" s="8">
        <v>2</v>
      </c>
      <c r="G264" s="8">
        <v>15</v>
      </c>
      <c r="H264" s="3"/>
      <c r="I264" s="8">
        <v>1</v>
      </c>
      <c r="J264" s="8">
        <v>8</v>
      </c>
      <c r="K264" s="8">
        <v>1</v>
      </c>
      <c r="L264" s="8">
        <v>4</v>
      </c>
      <c r="M264" s="3"/>
      <c r="N264" s="3"/>
      <c r="O264" s="8">
        <v>12</v>
      </c>
      <c r="P264" s="3"/>
      <c r="Q264" s="4">
        <v>0.2581</v>
      </c>
      <c r="R264" s="4">
        <v>0.23810000000000001</v>
      </c>
      <c r="S264" s="4">
        <v>6.4500000000000002E-2</v>
      </c>
      <c r="T264" s="4">
        <v>0.36759999999999998</v>
      </c>
      <c r="U264" s="4">
        <v>0</v>
      </c>
      <c r="V264" s="4">
        <v>5.3800000000000001E-2</v>
      </c>
      <c r="W264" s="4">
        <v>0.47620000000000001</v>
      </c>
      <c r="X264" s="4">
        <v>3.2300000000000002E-2</v>
      </c>
      <c r="Y264" s="4">
        <v>0.15870000000000001</v>
      </c>
      <c r="Z264" s="4">
        <v>0</v>
      </c>
      <c r="AA264" s="4">
        <v>0</v>
      </c>
      <c r="AB264" s="4">
        <v>0.29780000000000001</v>
      </c>
      <c r="AC264" s="10">
        <v>0</v>
      </c>
      <c r="AD264" s="4">
        <v>0.1623</v>
      </c>
      <c r="AE264" s="4">
        <v>0.1623</v>
      </c>
      <c r="AF264" s="1" t="s">
        <v>37</v>
      </c>
    </row>
    <row r="265" spans="1:32" x14ac:dyDescent="0.25">
      <c r="A265" s="1" t="s">
        <v>602</v>
      </c>
      <c r="B265" s="1" t="s">
        <v>603</v>
      </c>
      <c r="C265" s="1"/>
      <c r="D265" s="8">
        <v>10</v>
      </c>
      <c r="E265" s="8">
        <v>14</v>
      </c>
      <c r="F265" s="8">
        <v>8</v>
      </c>
      <c r="G265" s="8">
        <v>10</v>
      </c>
      <c r="H265" s="8">
        <v>4</v>
      </c>
      <c r="I265" s="8">
        <v>5</v>
      </c>
      <c r="J265" s="8">
        <v>13</v>
      </c>
      <c r="K265" s="3"/>
      <c r="L265" s="8">
        <v>4</v>
      </c>
      <c r="M265" s="8">
        <v>4</v>
      </c>
      <c r="N265" s="8">
        <v>13</v>
      </c>
      <c r="O265" s="8">
        <v>12</v>
      </c>
      <c r="P265" s="3"/>
      <c r="Q265" s="4">
        <v>0.3226</v>
      </c>
      <c r="R265" s="4">
        <v>0.66669999999999996</v>
      </c>
      <c r="S265" s="4">
        <v>0.2581</v>
      </c>
      <c r="T265" s="4">
        <v>0.24510000000000001</v>
      </c>
      <c r="U265" s="4">
        <v>7.5899999999999995E-2</v>
      </c>
      <c r="V265" s="4">
        <v>0.26879999999999998</v>
      </c>
      <c r="W265" s="4">
        <v>0.77380000000000004</v>
      </c>
      <c r="X265" s="4">
        <v>0</v>
      </c>
      <c r="Y265" s="4">
        <v>0.15870000000000001</v>
      </c>
      <c r="Z265" s="4">
        <v>0.129</v>
      </c>
      <c r="AA265" s="4">
        <v>0.48149999999999998</v>
      </c>
      <c r="AB265" s="4">
        <v>0.29780000000000001</v>
      </c>
      <c r="AC265" s="10">
        <v>0</v>
      </c>
      <c r="AD265" s="4">
        <v>0.30649999999999999</v>
      </c>
      <c r="AE265" s="4">
        <v>0.30649999999999999</v>
      </c>
      <c r="AF265" s="1" t="s">
        <v>37</v>
      </c>
    </row>
    <row r="266" spans="1:32" x14ac:dyDescent="0.25">
      <c r="A266" s="1" t="s">
        <v>604</v>
      </c>
      <c r="B266" s="1" t="s">
        <v>605</v>
      </c>
      <c r="C266" s="1"/>
      <c r="D266" s="8">
        <v>4</v>
      </c>
      <c r="E266" s="8">
        <v>5</v>
      </c>
      <c r="F266" s="3"/>
      <c r="G266" s="3"/>
      <c r="H266" s="8">
        <v>4</v>
      </c>
      <c r="I266" s="8">
        <v>19</v>
      </c>
      <c r="J266" s="8">
        <v>12</v>
      </c>
      <c r="K266" s="8">
        <v>14</v>
      </c>
      <c r="L266" s="8">
        <v>16</v>
      </c>
      <c r="M266" s="8">
        <v>1</v>
      </c>
      <c r="N266" s="8">
        <v>18</v>
      </c>
      <c r="O266" s="8">
        <v>9</v>
      </c>
      <c r="P266" s="3"/>
      <c r="Q266" s="4">
        <v>0.129</v>
      </c>
      <c r="R266" s="9">
        <v>1.0204</v>
      </c>
      <c r="S266" s="5">
        <v>0</v>
      </c>
      <c r="T266" s="5">
        <v>0</v>
      </c>
      <c r="U266" s="9">
        <v>8.4000000000000005E-2</v>
      </c>
      <c r="V266" s="4">
        <v>1.0215000000000001</v>
      </c>
      <c r="W266" s="4">
        <v>0.71430000000000005</v>
      </c>
      <c r="X266" s="4">
        <v>0.4516</v>
      </c>
      <c r="Y266" s="4">
        <v>0.63490000000000002</v>
      </c>
      <c r="Z266" s="4">
        <v>3.2300000000000002E-2</v>
      </c>
      <c r="AA266" s="4">
        <v>0.66669999999999996</v>
      </c>
      <c r="AB266" s="4">
        <v>0.2233</v>
      </c>
      <c r="AC266" s="10">
        <v>0</v>
      </c>
      <c r="AD266" s="4">
        <v>0.48420000000000002</v>
      </c>
      <c r="AE266" s="4">
        <v>0.48420000000000002</v>
      </c>
      <c r="AF266" s="1" t="s">
        <v>37</v>
      </c>
    </row>
    <row r="267" spans="1:32" x14ac:dyDescent="0.25">
      <c r="A267" s="1" t="s">
        <v>606</v>
      </c>
      <c r="B267" s="1" t="s">
        <v>607</v>
      </c>
      <c r="C267" s="1"/>
      <c r="D267" s="3"/>
      <c r="E267" s="8">
        <v>5</v>
      </c>
      <c r="F267" s="8">
        <v>2</v>
      </c>
      <c r="G267" s="8">
        <v>6</v>
      </c>
      <c r="H267" s="8">
        <v>6</v>
      </c>
      <c r="I267" s="3"/>
      <c r="J267" s="8">
        <v>8</v>
      </c>
      <c r="K267" s="3"/>
      <c r="L267" s="8">
        <v>2</v>
      </c>
      <c r="M267" s="8">
        <v>-5</v>
      </c>
      <c r="N267" s="8">
        <v>13</v>
      </c>
      <c r="O267" s="8">
        <v>2</v>
      </c>
      <c r="P267" s="3"/>
      <c r="Q267" s="4">
        <v>0</v>
      </c>
      <c r="R267" s="4">
        <v>0.23810000000000001</v>
      </c>
      <c r="S267" s="4">
        <v>6.4500000000000002E-2</v>
      </c>
      <c r="T267" s="4">
        <v>0.14710000000000001</v>
      </c>
      <c r="U267" s="4">
        <v>0.1139</v>
      </c>
      <c r="V267" s="4">
        <v>0</v>
      </c>
      <c r="W267" s="4">
        <v>0.47620000000000001</v>
      </c>
      <c r="X267" s="4">
        <v>0</v>
      </c>
      <c r="Y267" s="4">
        <v>7.9399999999999998E-2</v>
      </c>
      <c r="Z267" s="4">
        <v>-0.1613</v>
      </c>
      <c r="AA267" s="4">
        <v>0.48149999999999998</v>
      </c>
      <c r="AB267" s="4">
        <v>4.9599999999999998E-2</v>
      </c>
      <c r="AC267" s="10">
        <v>0</v>
      </c>
      <c r="AD267" s="4">
        <v>0.1241</v>
      </c>
      <c r="AE267" s="4">
        <v>0.1241</v>
      </c>
      <c r="AF267" s="1" t="s">
        <v>37</v>
      </c>
    </row>
    <row r="268" spans="1:32" x14ac:dyDescent="0.25">
      <c r="A268" s="1" t="s">
        <v>608</v>
      </c>
      <c r="B268" s="1" t="s">
        <v>609</v>
      </c>
      <c r="C268" s="1"/>
      <c r="D268" s="3"/>
      <c r="E268" s="8">
        <v>7</v>
      </c>
      <c r="F268" s="8">
        <v>2</v>
      </c>
      <c r="G268" s="8">
        <v>5</v>
      </c>
      <c r="H268" s="8">
        <v>2</v>
      </c>
      <c r="I268" s="3"/>
      <c r="J268" s="8">
        <v>5</v>
      </c>
      <c r="K268" s="8">
        <v>1</v>
      </c>
      <c r="L268" s="8">
        <v>3</v>
      </c>
      <c r="M268" s="8">
        <v>-3</v>
      </c>
      <c r="N268" s="8">
        <v>8</v>
      </c>
      <c r="O268" s="8">
        <v>5</v>
      </c>
      <c r="P268" s="3"/>
      <c r="Q268" s="4">
        <v>0</v>
      </c>
      <c r="R268" s="4">
        <v>0.33329999999999999</v>
      </c>
      <c r="S268" s="4">
        <v>6.4500000000000002E-2</v>
      </c>
      <c r="T268" s="4">
        <v>0.1225</v>
      </c>
      <c r="U268" s="4">
        <v>3.7999999999999999E-2</v>
      </c>
      <c r="V268" s="4">
        <v>0</v>
      </c>
      <c r="W268" s="4">
        <v>0.29759999999999998</v>
      </c>
      <c r="X268" s="4">
        <v>3.2300000000000002E-2</v>
      </c>
      <c r="Y268" s="4">
        <v>0.11899999999999999</v>
      </c>
      <c r="Z268" s="4">
        <v>-9.6799999999999997E-2</v>
      </c>
      <c r="AA268" s="4">
        <v>0.29630000000000001</v>
      </c>
      <c r="AB268" s="4">
        <v>0.1241</v>
      </c>
      <c r="AC268" s="10">
        <v>0</v>
      </c>
      <c r="AD268" s="4">
        <v>0.1109</v>
      </c>
      <c r="AE268" s="4">
        <v>0.1109</v>
      </c>
      <c r="AF268" s="1" t="s">
        <v>37</v>
      </c>
    </row>
    <row r="269" spans="1:32" x14ac:dyDescent="0.25">
      <c r="A269" s="1" t="s">
        <v>610</v>
      </c>
      <c r="B269" s="1" t="s">
        <v>611</v>
      </c>
      <c r="C269" s="1"/>
      <c r="D269" s="3"/>
      <c r="E269" s="3"/>
      <c r="F269" s="8">
        <v>2</v>
      </c>
      <c r="G269" s="8">
        <v>1</v>
      </c>
      <c r="H269" s="8">
        <v>2</v>
      </c>
      <c r="I269" s="3"/>
      <c r="J269" s="8">
        <v>5</v>
      </c>
      <c r="K269" s="8">
        <v>1</v>
      </c>
      <c r="L269" s="8">
        <v>2</v>
      </c>
      <c r="M269" s="8">
        <v>-2</v>
      </c>
      <c r="N269" s="8">
        <v>5</v>
      </c>
      <c r="O269" s="8">
        <v>7</v>
      </c>
      <c r="P269" s="3"/>
      <c r="Q269" s="4">
        <v>0</v>
      </c>
      <c r="R269" s="4">
        <v>0</v>
      </c>
      <c r="S269" s="4">
        <v>6.4500000000000002E-2</v>
      </c>
      <c r="T269" s="4">
        <v>2.4500000000000001E-2</v>
      </c>
      <c r="U269" s="4">
        <v>3.7999999999999999E-2</v>
      </c>
      <c r="V269" s="4">
        <v>0</v>
      </c>
      <c r="W269" s="4">
        <v>0.29759999999999998</v>
      </c>
      <c r="X269" s="4">
        <v>3.2300000000000002E-2</v>
      </c>
      <c r="Y269" s="4">
        <v>7.9399999999999998E-2</v>
      </c>
      <c r="Z269" s="4">
        <v>-6.4500000000000002E-2</v>
      </c>
      <c r="AA269" s="4">
        <v>0.1852</v>
      </c>
      <c r="AB269" s="4">
        <v>0.17369999999999999</v>
      </c>
      <c r="AC269" s="10">
        <v>0</v>
      </c>
      <c r="AD269" s="4">
        <v>6.9199999999999998E-2</v>
      </c>
      <c r="AE269" s="4">
        <v>6.9199999999999998E-2</v>
      </c>
      <c r="AF269" s="1" t="s">
        <v>37</v>
      </c>
    </row>
    <row r="270" spans="1:32" x14ac:dyDescent="0.25">
      <c r="A270" s="1" t="s">
        <v>612</v>
      </c>
      <c r="B270" s="1" t="s">
        <v>613</v>
      </c>
      <c r="C270" s="1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5">
        <v>0</v>
      </c>
      <c r="R270" s="5">
        <v>0</v>
      </c>
      <c r="S270" s="5">
        <v>0</v>
      </c>
      <c r="T270" s="5">
        <v>0</v>
      </c>
      <c r="U270" s="5">
        <v>0</v>
      </c>
      <c r="V270" s="5">
        <v>0</v>
      </c>
      <c r="W270" s="5">
        <v>0</v>
      </c>
      <c r="X270" s="5">
        <v>0</v>
      </c>
      <c r="Y270" s="5">
        <v>0</v>
      </c>
      <c r="Z270" s="5">
        <v>0</v>
      </c>
      <c r="AA270" s="5">
        <v>0</v>
      </c>
      <c r="AB270" s="5">
        <v>0</v>
      </c>
      <c r="AC270" s="6">
        <v>0</v>
      </c>
      <c r="AF270" s="1" t="s">
        <v>37</v>
      </c>
    </row>
    <row r="271" spans="1:32" x14ac:dyDescent="0.25">
      <c r="A271" s="1" t="s">
        <v>614</v>
      </c>
      <c r="B271" s="1" t="s">
        <v>615</v>
      </c>
      <c r="C271" s="1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5">
        <v>0</v>
      </c>
      <c r="R271" s="5">
        <v>0</v>
      </c>
      <c r="S271" s="5">
        <v>0</v>
      </c>
      <c r="T271" s="5">
        <v>0</v>
      </c>
      <c r="U271" s="5">
        <v>0</v>
      </c>
      <c r="V271" s="5">
        <v>0</v>
      </c>
      <c r="W271" s="5">
        <v>0</v>
      </c>
      <c r="X271" s="5">
        <v>0</v>
      </c>
      <c r="Y271" s="5">
        <v>0</v>
      </c>
      <c r="Z271" s="5">
        <v>0</v>
      </c>
      <c r="AA271" s="5">
        <v>0</v>
      </c>
      <c r="AB271" s="5">
        <v>0</v>
      </c>
      <c r="AC271" s="6">
        <v>0</v>
      </c>
      <c r="AF271" s="1" t="s">
        <v>37</v>
      </c>
    </row>
    <row r="272" spans="1:32" x14ac:dyDescent="0.25">
      <c r="A272" s="1" t="s">
        <v>616</v>
      </c>
      <c r="B272" s="1" t="s">
        <v>617</v>
      </c>
      <c r="C272" s="1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5">
        <v>0</v>
      </c>
      <c r="R272" s="5">
        <v>0</v>
      </c>
      <c r="S272" s="5">
        <v>0</v>
      </c>
      <c r="T272" s="5">
        <v>0</v>
      </c>
      <c r="U272" s="5">
        <v>0</v>
      </c>
      <c r="V272" s="5">
        <v>0</v>
      </c>
      <c r="W272" s="5">
        <v>0</v>
      </c>
      <c r="X272" s="5">
        <v>0</v>
      </c>
      <c r="Y272" s="5">
        <v>0</v>
      </c>
      <c r="Z272" s="5">
        <v>0</v>
      </c>
      <c r="AA272" s="5">
        <v>0</v>
      </c>
      <c r="AB272" s="5">
        <v>0</v>
      </c>
      <c r="AC272" s="6">
        <v>0</v>
      </c>
      <c r="AF272" s="1" t="s">
        <v>37</v>
      </c>
    </row>
    <row r="273" spans="1:32" x14ac:dyDescent="0.25">
      <c r="A273" s="1" t="s">
        <v>618</v>
      </c>
      <c r="B273" s="1" t="s">
        <v>619</v>
      </c>
      <c r="C273" s="1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5">
        <v>0</v>
      </c>
      <c r="R273" s="5">
        <v>0</v>
      </c>
      <c r="S273" s="5">
        <v>0</v>
      </c>
      <c r="T273" s="5">
        <v>0</v>
      </c>
      <c r="U273" s="5">
        <v>0</v>
      </c>
      <c r="V273" s="5">
        <v>0</v>
      </c>
      <c r="W273" s="5">
        <v>0</v>
      </c>
      <c r="X273" s="5">
        <v>0</v>
      </c>
      <c r="Y273" s="5">
        <v>0</v>
      </c>
      <c r="Z273" s="5">
        <v>0</v>
      </c>
      <c r="AA273" s="5">
        <v>0</v>
      </c>
      <c r="AB273" s="5">
        <v>0</v>
      </c>
      <c r="AC273" s="6">
        <v>0</v>
      </c>
      <c r="AF273" s="1" t="s">
        <v>37</v>
      </c>
    </row>
    <row r="274" spans="1:32" x14ac:dyDescent="0.25">
      <c r="A274" s="1" t="s">
        <v>620</v>
      </c>
      <c r="B274" s="1" t="s">
        <v>621</v>
      </c>
      <c r="C274" s="1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5">
        <v>0</v>
      </c>
      <c r="R274" s="5">
        <v>0</v>
      </c>
      <c r="S274" s="5">
        <v>0</v>
      </c>
      <c r="T274" s="5">
        <v>0</v>
      </c>
      <c r="U274" s="5">
        <v>0</v>
      </c>
      <c r="V274" s="5">
        <v>0</v>
      </c>
      <c r="W274" s="5">
        <v>0</v>
      </c>
      <c r="X274" s="5">
        <v>0</v>
      </c>
      <c r="Y274" s="5">
        <v>0</v>
      </c>
      <c r="Z274" s="5">
        <v>0</v>
      </c>
      <c r="AA274" s="5">
        <v>0</v>
      </c>
      <c r="AB274" s="5">
        <v>0</v>
      </c>
      <c r="AC274" s="6">
        <v>0</v>
      </c>
      <c r="AF274" s="1" t="s">
        <v>37</v>
      </c>
    </row>
    <row r="275" spans="1:32" x14ac:dyDescent="0.25">
      <c r="A275" s="1" t="s">
        <v>622</v>
      </c>
      <c r="B275" s="1" t="s">
        <v>623</v>
      </c>
      <c r="C275" s="1"/>
      <c r="D275" s="3"/>
      <c r="E275" s="3"/>
      <c r="F275" s="3"/>
      <c r="G275" s="3"/>
      <c r="H275" s="3"/>
      <c r="I275" s="8">
        <v>2</v>
      </c>
      <c r="J275" s="8">
        <v>5</v>
      </c>
      <c r="K275" s="8">
        <v>8</v>
      </c>
      <c r="L275" s="8">
        <v>13</v>
      </c>
      <c r="M275" s="8">
        <v>4</v>
      </c>
      <c r="N275" s="8">
        <v>8</v>
      </c>
      <c r="O275" s="8">
        <v>10</v>
      </c>
      <c r="P275" s="3"/>
      <c r="Q275" s="5">
        <v>0</v>
      </c>
      <c r="R275" s="5">
        <v>0</v>
      </c>
      <c r="S275" s="5">
        <v>0</v>
      </c>
      <c r="T275" s="5">
        <v>0</v>
      </c>
      <c r="U275" s="5">
        <v>0</v>
      </c>
      <c r="V275" s="9">
        <v>0.1449</v>
      </c>
      <c r="W275" s="4">
        <v>0.29759999999999998</v>
      </c>
      <c r="X275" s="4">
        <v>0.2581</v>
      </c>
      <c r="Y275" s="4">
        <v>0.51590000000000003</v>
      </c>
      <c r="Z275" s="4">
        <v>0.129</v>
      </c>
      <c r="AA275" s="4">
        <v>0.29630000000000001</v>
      </c>
      <c r="AB275" s="4">
        <v>0.24809999999999999</v>
      </c>
      <c r="AC275" s="10">
        <v>0</v>
      </c>
      <c r="AD275" s="4">
        <v>0.2908</v>
      </c>
      <c r="AE275" s="4">
        <v>0.2908</v>
      </c>
      <c r="AF275" s="1" t="s">
        <v>37</v>
      </c>
    </row>
    <row r="276" spans="1:32" x14ac:dyDescent="0.25">
      <c r="A276" s="1" t="s">
        <v>624</v>
      </c>
      <c r="B276" s="1" t="s">
        <v>625</v>
      </c>
      <c r="C276" s="1"/>
      <c r="D276" s="3"/>
      <c r="E276" s="3"/>
      <c r="F276" s="3"/>
      <c r="G276" s="3"/>
      <c r="H276" s="3"/>
      <c r="I276" s="8">
        <v>18</v>
      </c>
      <c r="J276" s="8">
        <v>20</v>
      </c>
      <c r="K276" s="8">
        <v>5</v>
      </c>
      <c r="L276" s="8">
        <v>13</v>
      </c>
      <c r="M276" s="8">
        <v>3</v>
      </c>
      <c r="N276" s="8">
        <v>3</v>
      </c>
      <c r="O276" s="8">
        <v>12</v>
      </c>
      <c r="P276" s="3"/>
      <c r="Q276" s="5">
        <v>0</v>
      </c>
      <c r="R276" s="5">
        <v>0</v>
      </c>
      <c r="S276" s="5">
        <v>0</v>
      </c>
      <c r="T276" s="5">
        <v>0</v>
      </c>
      <c r="U276" s="5">
        <v>0</v>
      </c>
      <c r="V276" s="9">
        <v>1.3043</v>
      </c>
      <c r="W276" s="4">
        <v>1.1904999999999999</v>
      </c>
      <c r="X276" s="4">
        <v>0.1613</v>
      </c>
      <c r="Y276" s="4">
        <v>0.51590000000000003</v>
      </c>
      <c r="Z276" s="4">
        <v>9.6799999999999997E-2</v>
      </c>
      <c r="AA276" s="4">
        <v>0.1111</v>
      </c>
      <c r="AB276" s="4">
        <v>0.29780000000000001</v>
      </c>
      <c r="AC276" s="10">
        <v>0</v>
      </c>
      <c r="AD276" s="4">
        <v>0.39560000000000001</v>
      </c>
      <c r="AE276" s="4">
        <v>0.39560000000000001</v>
      </c>
      <c r="AF276" s="1" t="s">
        <v>37</v>
      </c>
    </row>
    <row r="277" spans="1:32" x14ac:dyDescent="0.25">
      <c r="A277" s="1" t="s">
        <v>626</v>
      </c>
      <c r="B277" s="1" t="s">
        <v>627</v>
      </c>
      <c r="C277" s="1"/>
      <c r="D277" s="3"/>
      <c r="E277" s="3"/>
      <c r="F277" s="3"/>
      <c r="G277" s="3"/>
      <c r="H277" s="3"/>
      <c r="I277" s="8">
        <v>13</v>
      </c>
      <c r="J277" s="8">
        <v>25</v>
      </c>
      <c r="K277" s="8">
        <v>12</v>
      </c>
      <c r="L277" s="8">
        <v>15</v>
      </c>
      <c r="M277" s="8">
        <v>24</v>
      </c>
      <c r="N277" s="8">
        <v>7</v>
      </c>
      <c r="O277" s="8">
        <v>18</v>
      </c>
      <c r="P277" s="8">
        <v>1</v>
      </c>
      <c r="Q277" s="5">
        <v>0</v>
      </c>
      <c r="R277" s="5">
        <v>0</v>
      </c>
      <c r="S277" s="5">
        <v>0</v>
      </c>
      <c r="T277" s="5">
        <v>0</v>
      </c>
      <c r="U277" s="5">
        <v>0</v>
      </c>
      <c r="V277" s="9">
        <v>0.94199999999999995</v>
      </c>
      <c r="W277" s="4">
        <v>1.4881</v>
      </c>
      <c r="X277" s="4">
        <v>0.3871</v>
      </c>
      <c r="Y277" s="4">
        <v>0.59519999999999995</v>
      </c>
      <c r="Z277" s="4">
        <v>0.7742</v>
      </c>
      <c r="AA277" s="4">
        <v>0.25929999999999997</v>
      </c>
      <c r="AB277" s="4">
        <v>0.44669999999999999</v>
      </c>
      <c r="AC277" s="10">
        <v>3.2300000000000002E-2</v>
      </c>
      <c r="AD277" s="4">
        <v>0.65839999999999999</v>
      </c>
      <c r="AE277" s="4">
        <v>0.65839999999999999</v>
      </c>
      <c r="AF277" s="1" t="s">
        <v>37</v>
      </c>
    </row>
    <row r="278" spans="1:32" x14ac:dyDescent="0.25">
      <c r="A278" s="1" t="s">
        <v>628</v>
      </c>
      <c r="B278" s="1" t="s">
        <v>629</v>
      </c>
      <c r="C278" s="1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8">
        <v>21</v>
      </c>
      <c r="O278" s="8">
        <v>13</v>
      </c>
      <c r="P278" s="8">
        <v>6</v>
      </c>
      <c r="Q278" s="5">
        <v>0</v>
      </c>
      <c r="R278" s="5">
        <v>0</v>
      </c>
      <c r="S278" s="5">
        <v>0</v>
      </c>
      <c r="T278" s="5">
        <v>0</v>
      </c>
      <c r="U278" s="5">
        <v>0</v>
      </c>
      <c r="V278" s="5">
        <v>0</v>
      </c>
      <c r="W278" s="5">
        <v>0</v>
      </c>
      <c r="X278" s="5">
        <v>0</v>
      </c>
      <c r="Y278" s="9">
        <v>0</v>
      </c>
      <c r="Z278" s="4">
        <v>0</v>
      </c>
      <c r="AA278" s="4">
        <v>0.77780000000000005</v>
      </c>
      <c r="AB278" s="4">
        <v>0.3226</v>
      </c>
      <c r="AC278" s="10">
        <v>0.19350000000000001</v>
      </c>
      <c r="AD278" s="4">
        <v>0.36680000000000001</v>
      </c>
      <c r="AE278" s="4">
        <v>0.36680000000000001</v>
      </c>
      <c r="AF278" s="1" t="s">
        <v>37</v>
      </c>
    </row>
    <row r="279" spans="1:32" x14ac:dyDescent="0.25">
      <c r="A279" s="1" t="s">
        <v>630</v>
      </c>
      <c r="B279" s="1" t="s">
        <v>631</v>
      </c>
      <c r="C279" s="1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5">
        <v>0</v>
      </c>
      <c r="R279" s="5">
        <v>0</v>
      </c>
      <c r="S279" s="5">
        <v>0</v>
      </c>
      <c r="T279" s="5">
        <v>0</v>
      </c>
      <c r="U279" s="5">
        <v>0</v>
      </c>
      <c r="V279" s="5">
        <v>0</v>
      </c>
      <c r="W279" s="5">
        <v>0</v>
      </c>
      <c r="X279" s="5">
        <v>0</v>
      </c>
      <c r="Y279" s="5">
        <v>0</v>
      </c>
      <c r="Z279" s="5">
        <v>0</v>
      </c>
      <c r="AA279" s="5">
        <v>0</v>
      </c>
      <c r="AB279" s="5">
        <v>0</v>
      </c>
      <c r="AC279" s="6">
        <v>0</v>
      </c>
      <c r="AF279" s="1" t="s">
        <v>37</v>
      </c>
    </row>
    <row r="280" spans="1:32" x14ac:dyDescent="0.25">
      <c r="A280" s="1" t="s">
        <v>632</v>
      </c>
      <c r="B280" s="1" t="s">
        <v>633</v>
      </c>
      <c r="C280" s="1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5">
        <v>0</v>
      </c>
      <c r="R280" s="5">
        <v>0</v>
      </c>
      <c r="S280" s="5">
        <v>0</v>
      </c>
      <c r="T280" s="5">
        <v>0</v>
      </c>
      <c r="U280" s="5">
        <v>0</v>
      </c>
      <c r="V280" s="5">
        <v>0</v>
      </c>
      <c r="W280" s="5">
        <v>0</v>
      </c>
      <c r="X280" s="5">
        <v>0</v>
      </c>
      <c r="Y280" s="5">
        <v>0</v>
      </c>
      <c r="Z280" s="5">
        <v>0</v>
      </c>
      <c r="AA280" s="5">
        <v>0</v>
      </c>
      <c r="AB280" s="5">
        <v>0</v>
      </c>
      <c r="AC280" s="6">
        <v>0</v>
      </c>
      <c r="AF280" s="1" t="s">
        <v>37</v>
      </c>
    </row>
    <row r="281" spans="1:32" x14ac:dyDescent="0.25">
      <c r="A281" s="1" t="s">
        <v>634</v>
      </c>
      <c r="B281" s="1" t="s">
        <v>635</v>
      </c>
      <c r="C281" s="1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5">
        <v>0</v>
      </c>
      <c r="R281" s="5">
        <v>0</v>
      </c>
      <c r="S281" s="5">
        <v>0</v>
      </c>
      <c r="T281" s="5">
        <v>0</v>
      </c>
      <c r="U281" s="5">
        <v>0</v>
      </c>
      <c r="V281" s="5">
        <v>0</v>
      </c>
      <c r="W281" s="5">
        <v>0</v>
      </c>
      <c r="X281" s="5">
        <v>0</v>
      </c>
      <c r="Y281" s="5">
        <v>0</v>
      </c>
      <c r="Z281" s="5">
        <v>0</v>
      </c>
      <c r="AA281" s="5">
        <v>0</v>
      </c>
      <c r="AB281" s="5">
        <v>0</v>
      </c>
      <c r="AC281" s="6">
        <v>0</v>
      </c>
      <c r="AF281" s="1" t="s">
        <v>37</v>
      </c>
    </row>
    <row r="282" spans="1:32" x14ac:dyDescent="0.25">
      <c r="A282" s="1" t="s">
        <v>636</v>
      </c>
      <c r="B282" s="1" t="s">
        <v>637</v>
      </c>
      <c r="C282" s="1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5">
        <v>0</v>
      </c>
      <c r="R282" s="5">
        <v>0</v>
      </c>
      <c r="S282" s="5">
        <v>0</v>
      </c>
      <c r="T282" s="5">
        <v>0</v>
      </c>
      <c r="U282" s="5">
        <v>0</v>
      </c>
      <c r="V282" s="5">
        <v>0</v>
      </c>
      <c r="W282" s="5">
        <v>0</v>
      </c>
      <c r="X282" s="5">
        <v>0</v>
      </c>
      <c r="Y282" s="5">
        <v>0</v>
      </c>
      <c r="Z282" s="5">
        <v>0</v>
      </c>
      <c r="AA282" s="5">
        <v>0</v>
      </c>
      <c r="AB282" s="5">
        <v>0</v>
      </c>
      <c r="AC282" s="6">
        <v>0</v>
      </c>
      <c r="AF282" s="1" t="s">
        <v>37</v>
      </c>
    </row>
    <row r="283" spans="1:32" x14ac:dyDescent="0.25">
      <c r="A283" s="1" t="s">
        <v>638</v>
      </c>
      <c r="B283" s="1" t="s">
        <v>639</v>
      </c>
      <c r="C283" s="1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5">
        <v>0</v>
      </c>
      <c r="R283" s="5">
        <v>0</v>
      </c>
      <c r="S283" s="5">
        <v>0</v>
      </c>
      <c r="T283" s="5">
        <v>0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6">
        <v>0</v>
      </c>
      <c r="AF283" s="1" t="s">
        <v>37</v>
      </c>
    </row>
    <row r="284" spans="1:32" x14ac:dyDescent="0.25">
      <c r="A284" s="1" t="s">
        <v>640</v>
      </c>
      <c r="B284" s="1" t="s">
        <v>641</v>
      </c>
      <c r="C284" s="1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5">
        <v>0</v>
      </c>
      <c r="R284" s="5">
        <v>0</v>
      </c>
      <c r="S284" s="5">
        <v>0</v>
      </c>
      <c r="T284" s="5">
        <v>0</v>
      </c>
      <c r="U284" s="5">
        <v>0</v>
      </c>
      <c r="V284" s="5">
        <v>0</v>
      </c>
      <c r="W284" s="5">
        <v>0</v>
      </c>
      <c r="X284" s="5">
        <v>0</v>
      </c>
      <c r="Y284" s="5">
        <v>0</v>
      </c>
      <c r="Z284" s="5">
        <v>0</v>
      </c>
      <c r="AA284" s="5">
        <v>0</v>
      </c>
      <c r="AB284" s="5">
        <v>0</v>
      </c>
      <c r="AC284" s="6">
        <v>0</v>
      </c>
      <c r="AF284" s="1" t="s">
        <v>37</v>
      </c>
    </row>
    <row r="285" spans="1:32" x14ac:dyDescent="0.25">
      <c r="A285" s="1" t="s">
        <v>642</v>
      </c>
      <c r="B285" s="1" t="s">
        <v>643</v>
      </c>
      <c r="C285" s="1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5">
        <v>0</v>
      </c>
      <c r="R285" s="5">
        <v>0</v>
      </c>
      <c r="S285" s="5">
        <v>0</v>
      </c>
      <c r="T285" s="5">
        <v>0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6">
        <v>0</v>
      </c>
      <c r="AF285" s="1" t="s">
        <v>37</v>
      </c>
    </row>
    <row r="286" spans="1:32" x14ac:dyDescent="0.25">
      <c r="A286" s="11" t="s">
        <v>644</v>
      </c>
      <c r="B286" s="1" t="s">
        <v>645</v>
      </c>
      <c r="C286" s="1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5">
        <v>0</v>
      </c>
      <c r="R286" s="5">
        <v>0</v>
      </c>
      <c r="S286" s="5">
        <v>0</v>
      </c>
      <c r="T286" s="5">
        <v>0</v>
      </c>
      <c r="U286" s="5">
        <v>0</v>
      </c>
      <c r="V286" s="5">
        <v>0</v>
      </c>
      <c r="W286" s="5">
        <v>0</v>
      </c>
      <c r="X286" s="5">
        <v>0</v>
      </c>
      <c r="Y286" s="5">
        <v>0</v>
      </c>
      <c r="Z286" s="5">
        <v>0</v>
      </c>
      <c r="AA286" s="5">
        <v>0</v>
      </c>
      <c r="AB286" s="5">
        <v>0</v>
      </c>
      <c r="AC286" s="6">
        <v>0</v>
      </c>
      <c r="AF286" s="1" t="s">
        <v>37</v>
      </c>
    </row>
    <row r="287" spans="1:32" x14ac:dyDescent="0.25">
      <c r="A287" s="11" t="s">
        <v>646</v>
      </c>
      <c r="B287" s="1" t="s">
        <v>647</v>
      </c>
      <c r="C287" s="1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6">
        <v>0</v>
      </c>
      <c r="AF287" s="1" t="s">
        <v>37</v>
      </c>
    </row>
    <row r="288" spans="1:32" x14ac:dyDescent="0.25">
      <c r="A288" s="11" t="s">
        <v>648</v>
      </c>
      <c r="B288" s="1" t="s">
        <v>649</v>
      </c>
      <c r="C288" s="1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5">
        <v>0</v>
      </c>
      <c r="R288" s="5">
        <v>0</v>
      </c>
      <c r="S288" s="5">
        <v>0</v>
      </c>
      <c r="T288" s="5">
        <v>0</v>
      </c>
      <c r="U288" s="5">
        <v>0</v>
      </c>
      <c r="V288" s="5">
        <v>0</v>
      </c>
      <c r="W288" s="5">
        <v>0</v>
      </c>
      <c r="X288" s="5">
        <v>0</v>
      </c>
      <c r="Y288" s="5">
        <v>0</v>
      </c>
      <c r="Z288" s="5">
        <v>0</v>
      </c>
      <c r="AA288" s="5">
        <v>0</v>
      </c>
      <c r="AB288" s="5">
        <v>0</v>
      </c>
      <c r="AC288" s="6">
        <v>0</v>
      </c>
      <c r="AF288" s="1" t="s">
        <v>37</v>
      </c>
    </row>
    <row r="289" spans="1:32" x14ac:dyDescent="0.25">
      <c r="A289" s="1" t="s">
        <v>650</v>
      </c>
      <c r="B289" s="1" t="s">
        <v>651</v>
      </c>
      <c r="C289" s="1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6">
        <v>0</v>
      </c>
      <c r="AF289" s="1" t="s">
        <v>37</v>
      </c>
    </row>
    <row r="290" spans="1:32" x14ac:dyDescent="0.25">
      <c r="A290" s="1" t="s">
        <v>652</v>
      </c>
      <c r="B290" s="1" t="s">
        <v>653</v>
      </c>
      <c r="C290" s="1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5">
        <v>0</v>
      </c>
      <c r="R290" s="5">
        <v>0</v>
      </c>
      <c r="S290" s="5">
        <v>0</v>
      </c>
      <c r="T290" s="5">
        <v>0</v>
      </c>
      <c r="U290" s="5">
        <v>0</v>
      </c>
      <c r="V290" s="5">
        <v>0</v>
      </c>
      <c r="W290" s="5">
        <v>0</v>
      </c>
      <c r="X290" s="5">
        <v>0</v>
      </c>
      <c r="Y290" s="5">
        <v>0</v>
      </c>
      <c r="Z290" s="5">
        <v>0</v>
      </c>
      <c r="AA290" s="5">
        <v>0</v>
      </c>
      <c r="AB290" s="5">
        <v>0</v>
      </c>
      <c r="AC290" s="6">
        <v>0</v>
      </c>
      <c r="AF290" s="1" t="s">
        <v>37</v>
      </c>
    </row>
    <row r="291" spans="1:32" x14ac:dyDescent="0.25">
      <c r="A291" s="1" t="s">
        <v>654</v>
      </c>
      <c r="B291" s="1" t="s">
        <v>655</v>
      </c>
      <c r="C291" s="1"/>
      <c r="D291" s="8">
        <v>2</v>
      </c>
      <c r="E291" s="8">
        <v>14</v>
      </c>
      <c r="F291" s="8">
        <v>19</v>
      </c>
      <c r="G291" s="8">
        <v>24</v>
      </c>
      <c r="H291" s="8">
        <v>4</v>
      </c>
      <c r="I291" s="8">
        <v>1</v>
      </c>
      <c r="J291" s="3"/>
      <c r="K291" s="3"/>
      <c r="L291" s="3"/>
      <c r="M291" s="3"/>
      <c r="N291" s="3"/>
      <c r="O291" s="3"/>
      <c r="P291" s="3"/>
      <c r="Q291" s="4">
        <v>6.4500000000000002E-2</v>
      </c>
      <c r="R291" s="4">
        <v>0.66669999999999996</v>
      </c>
      <c r="S291" s="4">
        <v>0.6129</v>
      </c>
      <c r="T291" s="4">
        <v>0.58819999999999995</v>
      </c>
      <c r="U291" s="9">
        <v>0.21390000000000001</v>
      </c>
      <c r="V291" s="9">
        <v>1.6667000000000001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6">
        <v>0</v>
      </c>
      <c r="AD291" s="4">
        <v>0.48309999999999997</v>
      </c>
      <c r="AE291" s="4">
        <v>0.48309999999999997</v>
      </c>
      <c r="AF291" s="1" t="s">
        <v>34</v>
      </c>
    </row>
    <row r="292" spans="1:32" x14ac:dyDescent="0.25">
      <c r="A292" s="1" t="s">
        <v>656</v>
      </c>
      <c r="B292" s="1" t="s">
        <v>657</v>
      </c>
      <c r="C292" s="1"/>
      <c r="D292" s="8">
        <v>2</v>
      </c>
      <c r="E292" s="3"/>
      <c r="F292" s="8">
        <v>17</v>
      </c>
      <c r="G292" s="8">
        <v>5</v>
      </c>
      <c r="H292" s="8">
        <v>2</v>
      </c>
      <c r="I292" s="8">
        <v>8</v>
      </c>
      <c r="J292" s="8">
        <v>8</v>
      </c>
      <c r="K292" s="8">
        <v>3</v>
      </c>
      <c r="L292" s="8">
        <v>8</v>
      </c>
      <c r="M292" s="8">
        <v>1</v>
      </c>
      <c r="N292" s="8">
        <v>15</v>
      </c>
      <c r="O292" s="8">
        <v>1</v>
      </c>
      <c r="P292" s="3"/>
      <c r="Q292" s="4">
        <v>6.4500000000000002E-2</v>
      </c>
      <c r="R292" s="4">
        <v>0</v>
      </c>
      <c r="S292" s="4">
        <v>0.5484</v>
      </c>
      <c r="T292" s="9">
        <v>0.2828</v>
      </c>
      <c r="U292" s="9">
        <v>4.2000000000000003E-2</v>
      </c>
      <c r="V292" s="4">
        <v>0.43009999999999998</v>
      </c>
      <c r="W292" s="4">
        <v>0.47620000000000001</v>
      </c>
      <c r="X292" s="4">
        <v>9.6799999999999997E-2</v>
      </c>
      <c r="Y292" s="4">
        <v>0.3175</v>
      </c>
      <c r="Z292" s="4">
        <v>3.2300000000000002E-2</v>
      </c>
      <c r="AA292" s="9">
        <v>1.8519000000000001</v>
      </c>
      <c r="AB292" s="5">
        <v>0</v>
      </c>
      <c r="AC292" s="6">
        <v>0</v>
      </c>
      <c r="AD292" s="4">
        <v>0.2457</v>
      </c>
      <c r="AE292" s="4">
        <v>0.2457</v>
      </c>
      <c r="AF292" s="1" t="s">
        <v>37</v>
      </c>
    </row>
    <row r="293" spans="1:32" x14ac:dyDescent="0.25">
      <c r="A293" s="1" t="s">
        <v>658</v>
      </c>
      <c r="B293" s="1" t="s">
        <v>659</v>
      </c>
      <c r="C293" s="1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6">
        <v>0</v>
      </c>
      <c r="AF293" s="1" t="s">
        <v>37</v>
      </c>
    </row>
    <row r="294" spans="1:32" x14ac:dyDescent="0.25">
      <c r="A294" s="1" t="s">
        <v>660</v>
      </c>
      <c r="B294" s="1" t="s">
        <v>661</v>
      </c>
      <c r="C294" s="1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5">
        <v>0</v>
      </c>
      <c r="R294" s="5">
        <v>0</v>
      </c>
      <c r="S294" s="5">
        <v>0</v>
      </c>
      <c r="T294" s="5">
        <v>0</v>
      </c>
      <c r="U294" s="5">
        <v>0</v>
      </c>
      <c r="V294" s="5">
        <v>0</v>
      </c>
      <c r="W294" s="5">
        <v>0</v>
      </c>
      <c r="X294" s="5">
        <v>0</v>
      </c>
      <c r="Y294" s="5">
        <v>0</v>
      </c>
      <c r="Z294" s="5">
        <v>0</v>
      </c>
      <c r="AA294" s="5">
        <v>0</v>
      </c>
      <c r="AB294" s="5">
        <v>0</v>
      </c>
      <c r="AC294" s="6">
        <v>0</v>
      </c>
      <c r="AF294" s="1" t="s">
        <v>37</v>
      </c>
    </row>
    <row r="295" spans="1:32" x14ac:dyDescent="0.25">
      <c r="A295" s="1" t="s">
        <v>662</v>
      </c>
      <c r="B295" s="1" t="s">
        <v>663</v>
      </c>
      <c r="C295" s="1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6">
        <v>0</v>
      </c>
      <c r="AF295" s="1" t="s">
        <v>37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AH298"/>
  <sheetViews>
    <sheetView workbookViewId="0"/>
  </sheetViews>
  <sheetFormatPr baseColWidth="10" defaultColWidth="9" defaultRowHeight="14.3" x14ac:dyDescent="0.25"/>
  <cols>
    <col min="1" max="1" width="12" customWidth="1"/>
    <col min="2" max="2" width="45" customWidth="1"/>
    <col min="3" max="5" width="12" customWidth="1"/>
    <col min="6" max="6" width="6" customWidth="1"/>
    <col min="7" max="14" width="12" customWidth="1"/>
    <col min="15" max="15" width="6" customWidth="1"/>
    <col min="16" max="23" width="12" customWidth="1"/>
    <col min="24" max="24" width="6" customWidth="1"/>
    <col min="25" max="34" width="12" customWidth="1"/>
  </cols>
  <sheetData>
    <row r="1" spans="1:34" x14ac:dyDescent="0.25">
      <c r="A1" s="1" t="s">
        <v>664</v>
      </c>
      <c r="B1" s="12">
        <v>46331</v>
      </c>
      <c r="D1" s="1" t="s">
        <v>665</v>
      </c>
      <c r="E1" s="7">
        <v>120</v>
      </c>
      <c r="G1" s="1" t="s">
        <v>666</v>
      </c>
      <c r="H1" s="7">
        <v>60</v>
      </c>
      <c r="J1" s="1" t="s">
        <v>667</v>
      </c>
      <c r="K1" s="13">
        <v>1</v>
      </c>
      <c r="L1" s="13">
        <v>1</v>
      </c>
      <c r="M1" s="13">
        <v>1</v>
      </c>
    </row>
    <row r="3" spans="1:34" x14ac:dyDescent="0.25">
      <c r="E3" s="19" t="s">
        <v>670</v>
      </c>
      <c r="F3" s="20"/>
      <c r="G3" s="20"/>
      <c r="H3" s="20"/>
      <c r="I3" s="20"/>
      <c r="J3" s="20"/>
      <c r="K3" s="20"/>
      <c r="L3" s="20"/>
      <c r="M3" s="20"/>
      <c r="N3" s="21" t="s">
        <v>680</v>
      </c>
      <c r="O3" s="20"/>
      <c r="P3" s="20"/>
      <c r="Q3" s="20"/>
      <c r="R3" s="20"/>
      <c r="S3" s="20"/>
      <c r="T3" s="20"/>
      <c r="U3" s="20"/>
      <c r="V3" s="20"/>
      <c r="W3" s="19" t="s">
        <v>681</v>
      </c>
      <c r="X3" s="20"/>
      <c r="Y3" s="20"/>
      <c r="Z3" s="20"/>
      <c r="AA3" s="20"/>
      <c r="AB3" s="20"/>
      <c r="AC3" s="20"/>
      <c r="AF3" s="21" t="s">
        <v>689</v>
      </c>
      <c r="AG3" s="20"/>
    </row>
    <row r="4" spans="1:34" x14ac:dyDescent="0.25">
      <c r="A4" s="2" t="s">
        <v>2</v>
      </c>
      <c r="B4" s="2" t="s">
        <v>1</v>
      </c>
      <c r="C4" s="2" t="s">
        <v>668</v>
      </c>
      <c r="D4" s="2" t="s">
        <v>669</v>
      </c>
      <c r="E4" s="2" t="s">
        <v>671</v>
      </c>
      <c r="F4" s="2" t="s">
        <v>672</v>
      </c>
      <c r="G4" s="2" t="s">
        <v>673</v>
      </c>
      <c r="H4" s="2" t="s">
        <v>674</v>
      </c>
      <c r="I4" s="2" t="s">
        <v>675</v>
      </c>
      <c r="J4" s="2" t="s">
        <v>676</v>
      </c>
      <c r="K4" s="2" t="s">
        <v>677</v>
      </c>
      <c r="L4" s="2" t="s">
        <v>678</v>
      </c>
      <c r="M4" s="2" t="s">
        <v>679</v>
      </c>
      <c r="N4" s="2" t="s">
        <v>671</v>
      </c>
      <c r="O4" s="2" t="s">
        <v>672</v>
      </c>
      <c r="P4" s="2" t="s">
        <v>673</v>
      </c>
      <c r="Q4" s="2" t="s">
        <v>674</v>
      </c>
      <c r="R4" s="2" t="s">
        <v>675</v>
      </c>
      <c r="S4" s="2" t="s">
        <v>676</v>
      </c>
      <c r="T4" s="2" t="s">
        <v>677</v>
      </c>
      <c r="U4" s="2" t="s">
        <v>678</v>
      </c>
      <c r="V4" s="2" t="s">
        <v>679</v>
      </c>
      <c r="W4" s="2" t="s">
        <v>682</v>
      </c>
      <c r="X4" s="2" t="s">
        <v>683</v>
      </c>
      <c r="Y4" s="2" t="s">
        <v>673</v>
      </c>
      <c r="Z4" s="2" t="s">
        <v>674</v>
      </c>
      <c r="AA4" s="2" t="s">
        <v>684</v>
      </c>
      <c r="AB4" s="2" t="s">
        <v>685</v>
      </c>
      <c r="AC4" s="2" t="s">
        <v>686</v>
      </c>
      <c r="AD4" s="2" t="s">
        <v>687</v>
      </c>
      <c r="AE4" s="2" t="s">
        <v>688</v>
      </c>
      <c r="AF4" s="2" t="s">
        <v>690</v>
      </c>
      <c r="AG4" s="2" t="s">
        <v>674</v>
      </c>
      <c r="AH4" s="2" t="s">
        <v>691</v>
      </c>
    </row>
    <row r="5" spans="1:34" x14ac:dyDescent="0.25">
      <c r="A5" s="1"/>
      <c r="B5" s="1" t="s">
        <v>43</v>
      </c>
      <c r="C5" s="14" t="s">
        <v>42</v>
      </c>
      <c r="D5" s="3"/>
      <c r="E5" s="12">
        <v>46238</v>
      </c>
      <c r="F5" s="7">
        <v>1</v>
      </c>
      <c r="G5" s="15">
        <f>(D5-(0)+0-(F5*Ventas!AE6*0))</f>
        <v>0</v>
      </c>
      <c r="H5" s="3"/>
      <c r="I5" s="8">
        <v>0</v>
      </c>
      <c r="J5" s="15">
        <f t="shared" ref="J5:J68" si="0">IF(G5&gt;0,G5+I5,I5)</f>
        <v>0</v>
      </c>
      <c r="K5" s="3"/>
      <c r="L5" s="3"/>
      <c r="M5" s="3"/>
      <c r="N5" s="12">
        <v>46275</v>
      </c>
      <c r="O5" s="7">
        <v>37</v>
      </c>
      <c r="P5" s="15">
        <f>(IF(G5&gt;0,G5+I5,I5)-(O5*Ventas!AE6*1))</f>
        <v>0</v>
      </c>
      <c r="Q5" s="3"/>
      <c r="R5" s="8">
        <v>0</v>
      </c>
      <c r="S5" s="15">
        <f t="shared" ref="S5:S68" si="1">IF(P5&gt;0,P5+R5,R5)</f>
        <v>0</v>
      </c>
      <c r="T5" s="3"/>
      <c r="U5" s="3"/>
      <c r="V5" s="3"/>
      <c r="W5" s="12">
        <v>46331</v>
      </c>
      <c r="X5" s="7">
        <v>56</v>
      </c>
      <c r="Y5" s="15">
        <f>(IF(P5&gt;0,P5+R5,R5)-(X5*Ventas!AE6*1))</f>
        <v>0</v>
      </c>
      <c r="Z5" s="3"/>
      <c r="AA5" s="15">
        <f>(120*(Ventas!AE6*1) - IF(Y5&gt;0,Y5,0))</f>
        <v>0</v>
      </c>
      <c r="AB5" s="15">
        <f t="shared" ref="AB5:AB68" si="2">IF(AA5&gt;0,AA5,0)</f>
        <v>0</v>
      </c>
      <c r="AC5" s="15">
        <f t="shared" ref="AC5:AC68" si="3">IF(Y5&gt;0,Y5+IF(AB5&gt;0,AB5,0),AB5)</f>
        <v>0</v>
      </c>
      <c r="AD5" s="16">
        <v>0.02</v>
      </c>
      <c r="AE5" s="8">
        <v>3017</v>
      </c>
      <c r="AF5" s="3"/>
      <c r="AG5" s="3"/>
      <c r="AH5" s="1" t="s">
        <v>34</v>
      </c>
    </row>
    <row r="6" spans="1:34" x14ac:dyDescent="0.25">
      <c r="A6" s="1"/>
      <c r="B6" s="1" t="s">
        <v>45</v>
      </c>
      <c r="C6" s="14" t="s">
        <v>44</v>
      </c>
      <c r="D6" s="8">
        <v>41</v>
      </c>
      <c r="E6" s="12">
        <v>46238</v>
      </c>
      <c r="F6" s="7">
        <v>1</v>
      </c>
      <c r="G6" s="15">
        <f>(D6-(0)+0-(F6*Ventas!AE7*0))</f>
        <v>41</v>
      </c>
      <c r="H6" s="3"/>
      <c r="I6" s="8">
        <v>0</v>
      </c>
      <c r="J6" s="15">
        <f t="shared" si="0"/>
        <v>41</v>
      </c>
      <c r="K6" s="3"/>
      <c r="L6" s="15">
        <v>2</v>
      </c>
      <c r="M6" s="17">
        <v>8.4000000000000005E-2</v>
      </c>
      <c r="N6" s="12">
        <v>46275</v>
      </c>
      <c r="O6" s="7">
        <v>37</v>
      </c>
      <c r="P6" s="15">
        <f>(IF(G6&gt;0,G6+I6,I6)-(O6*Ventas!AE7*1))</f>
        <v>41</v>
      </c>
      <c r="Q6" s="3"/>
      <c r="R6" s="8">
        <v>0</v>
      </c>
      <c r="S6" s="15">
        <f t="shared" si="1"/>
        <v>41</v>
      </c>
      <c r="T6" s="3"/>
      <c r="U6" s="15">
        <v>2</v>
      </c>
      <c r="V6" s="17">
        <v>8.4000000000000005E-2</v>
      </c>
      <c r="W6" s="12">
        <v>46331</v>
      </c>
      <c r="X6" s="7">
        <v>56</v>
      </c>
      <c r="Y6" s="15">
        <f>(IF(P6&gt;0,P6+R6,R6)-(X6*Ventas!AE7*1))</f>
        <v>41</v>
      </c>
      <c r="Z6" s="3"/>
      <c r="AA6" s="15">
        <f>(120*(Ventas!AE7*1) - IF(Y6&gt;0,Y6,0))</f>
        <v>-41</v>
      </c>
      <c r="AB6" s="15">
        <f t="shared" si="2"/>
        <v>0</v>
      </c>
      <c r="AC6" s="15">
        <f t="shared" si="3"/>
        <v>41</v>
      </c>
      <c r="AD6" s="16">
        <v>16.899999999999999</v>
      </c>
      <c r="AE6" s="8">
        <v>3010</v>
      </c>
      <c r="AF6" s="3"/>
      <c r="AG6" s="3"/>
      <c r="AH6" s="1" t="s">
        <v>37</v>
      </c>
    </row>
    <row r="7" spans="1:34" x14ac:dyDescent="0.25">
      <c r="A7" s="1"/>
      <c r="B7" s="1" t="s">
        <v>47</v>
      </c>
      <c r="C7" s="14" t="s">
        <v>46</v>
      </c>
      <c r="D7" s="8">
        <v>21</v>
      </c>
      <c r="E7" s="12">
        <v>46238</v>
      </c>
      <c r="F7" s="7">
        <v>1</v>
      </c>
      <c r="G7" s="15">
        <f>(D7-(0)+0-(F7*Ventas!AE8*0))</f>
        <v>21</v>
      </c>
      <c r="H7" s="3"/>
      <c r="I7" s="8">
        <v>0</v>
      </c>
      <c r="J7" s="15">
        <f t="shared" si="0"/>
        <v>21</v>
      </c>
      <c r="K7" s="3"/>
      <c r="L7" s="15">
        <v>1</v>
      </c>
      <c r="M7" s="17">
        <v>8.7999999999999995E-2</v>
      </c>
      <c r="N7" s="12">
        <v>46275</v>
      </c>
      <c r="O7" s="7">
        <v>37</v>
      </c>
      <c r="P7" s="15">
        <f>(IF(G7&gt;0,G7+I7,I7)-(O7*Ventas!AE8*1))</f>
        <v>21</v>
      </c>
      <c r="Q7" s="3"/>
      <c r="R7" s="8">
        <v>0</v>
      </c>
      <c r="S7" s="15">
        <f t="shared" si="1"/>
        <v>21</v>
      </c>
      <c r="T7" s="3"/>
      <c r="U7" s="15">
        <v>1</v>
      </c>
      <c r="V7" s="17">
        <v>8.7999999999999995E-2</v>
      </c>
      <c r="W7" s="12">
        <v>46331</v>
      </c>
      <c r="X7" s="7">
        <v>56</v>
      </c>
      <c r="Y7" s="15">
        <f>(IF(P7&gt;0,P7+R7,R7)-(X7*Ventas!AE8*1))</f>
        <v>21</v>
      </c>
      <c r="Z7" s="3"/>
      <c r="AA7" s="15">
        <f>(120*(Ventas!AE8*1) - IF(Y7&gt;0,Y7,0))</f>
        <v>-21</v>
      </c>
      <c r="AB7" s="15">
        <f t="shared" si="2"/>
        <v>0</v>
      </c>
      <c r="AC7" s="15">
        <f t="shared" si="3"/>
        <v>21</v>
      </c>
      <c r="AD7" s="16">
        <v>31.65</v>
      </c>
      <c r="AE7" s="8">
        <v>3027</v>
      </c>
      <c r="AF7" s="3"/>
      <c r="AG7" s="3"/>
      <c r="AH7" s="1" t="s">
        <v>34</v>
      </c>
    </row>
    <row r="8" spans="1:34" x14ac:dyDescent="0.25">
      <c r="A8" s="1"/>
      <c r="B8" s="1" t="s">
        <v>49</v>
      </c>
      <c r="C8" s="14" t="s">
        <v>48</v>
      </c>
      <c r="D8" s="8">
        <v>17</v>
      </c>
      <c r="E8" s="12">
        <v>46238</v>
      </c>
      <c r="F8" s="7">
        <v>1</v>
      </c>
      <c r="G8" s="15">
        <f>(D8-(0)+0-(F8*Ventas!AE9*0))</f>
        <v>17</v>
      </c>
      <c r="H8" s="3"/>
      <c r="I8" s="8">
        <v>0</v>
      </c>
      <c r="J8" s="15">
        <f t="shared" si="0"/>
        <v>17</v>
      </c>
      <c r="K8" s="3"/>
      <c r="L8" s="15">
        <v>1</v>
      </c>
      <c r="M8" s="17">
        <v>0.22</v>
      </c>
      <c r="N8" s="12">
        <v>46275</v>
      </c>
      <c r="O8" s="7">
        <v>37</v>
      </c>
      <c r="P8" s="15">
        <f>(IF(G8&gt;0,G8+I8,I8)-(O8*Ventas!AE9*1))</f>
        <v>17</v>
      </c>
      <c r="Q8" s="3"/>
      <c r="R8" s="8">
        <v>0</v>
      </c>
      <c r="S8" s="15">
        <f t="shared" si="1"/>
        <v>17</v>
      </c>
      <c r="T8" s="3"/>
      <c r="U8" s="15">
        <v>1</v>
      </c>
      <c r="V8" s="17">
        <v>0.22</v>
      </c>
      <c r="W8" s="12">
        <v>46331</v>
      </c>
      <c r="X8" s="7">
        <v>56</v>
      </c>
      <c r="Y8" s="15">
        <f>(IF(P8&gt;0,P8+R8,R8)-(X8*Ventas!AE9*1))</f>
        <v>17</v>
      </c>
      <c r="Z8" s="3"/>
      <c r="AA8" s="15">
        <f>(120*(Ventas!AE9*1) - IF(Y8&gt;0,Y8,0))</f>
        <v>-17</v>
      </c>
      <c r="AB8" s="15">
        <f t="shared" si="2"/>
        <v>0</v>
      </c>
      <c r="AC8" s="15">
        <f t="shared" si="3"/>
        <v>17</v>
      </c>
      <c r="AD8" s="3"/>
      <c r="AE8" s="8">
        <v>3025</v>
      </c>
      <c r="AF8" s="3"/>
      <c r="AG8" s="3"/>
      <c r="AH8" s="1" t="s">
        <v>34</v>
      </c>
    </row>
    <row r="9" spans="1:34" x14ac:dyDescent="0.25">
      <c r="A9" s="1"/>
      <c r="B9" s="1" t="s">
        <v>51</v>
      </c>
      <c r="C9" s="14" t="s">
        <v>50</v>
      </c>
      <c r="D9" s="3"/>
      <c r="E9" s="12">
        <v>46238</v>
      </c>
      <c r="F9" s="7">
        <v>1</v>
      </c>
      <c r="G9" s="15">
        <f>(D9-(0)+0-(F9*Ventas!AE10*0))</f>
        <v>0</v>
      </c>
      <c r="H9" s="3"/>
      <c r="I9" s="8">
        <v>0</v>
      </c>
      <c r="J9" s="15">
        <f t="shared" si="0"/>
        <v>0</v>
      </c>
      <c r="K9" s="3"/>
      <c r="L9" s="3"/>
      <c r="M9" s="3"/>
      <c r="N9" s="12">
        <v>46275</v>
      </c>
      <c r="O9" s="7">
        <v>37</v>
      </c>
      <c r="P9" s="15">
        <f>(IF(G9&gt;0,G9+I9,I9)-(O9*Ventas!AE10*1))</f>
        <v>0</v>
      </c>
      <c r="Q9" s="3"/>
      <c r="R9" s="8">
        <v>0</v>
      </c>
      <c r="S9" s="15">
        <f t="shared" si="1"/>
        <v>0</v>
      </c>
      <c r="T9" s="3"/>
      <c r="U9" s="3"/>
      <c r="V9" s="3"/>
      <c r="W9" s="12">
        <v>46331</v>
      </c>
      <c r="X9" s="7">
        <v>56</v>
      </c>
      <c r="Y9" s="15">
        <f>(IF(P9&gt;0,P9+R9,R9)-(X9*Ventas!AE10*1))</f>
        <v>0</v>
      </c>
      <c r="Z9" s="3"/>
      <c r="AA9" s="15">
        <f>(120*(Ventas!AE10*1) - IF(Y9&gt;0,Y9,0))</f>
        <v>0</v>
      </c>
      <c r="AB9" s="15">
        <f t="shared" si="2"/>
        <v>0</v>
      </c>
      <c r="AC9" s="15">
        <f t="shared" si="3"/>
        <v>0</v>
      </c>
      <c r="AD9" s="16">
        <v>12.21</v>
      </c>
      <c r="AE9" s="8">
        <v>3017</v>
      </c>
      <c r="AF9" s="3"/>
      <c r="AG9" s="3"/>
      <c r="AH9" s="1" t="s">
        <v>34</v>
      </c>
    </row>
    <row r="10" spans="1:34" x14ac:dyDescent="0.25">
      <c r="A10" s="1"/>
      <c r="B10" s="1" t="s">
        <v>53</v>
      </c>
      <c r="C10" s="14" t="s">
        <v>52</v>
      </c>
      <c r="D10" s="3"/>
      <c r="E10" s="12">
        <v>46238</v>
      </c>
      <c r="F10" s="7">
        <v>1</v>
      </c>
      <c r="G10" s="15">
        <f>(D10-(0)+0-(F10*Ventas!AE11*0))</f>
        <v>0</v>
      </c>
      <c r="H10" s="3"/>
      <c r="I10" s="8">
        <v>0</v>
      </c>
      <c r="J10" s="15">
        <f t="shared" si="0"/>
        <v>0</v>
      </c>
      <c r="K10" s="3"/>
      <c r="L10" s="3"/>
      <c r="M10" s="3"/>
      <c r="N10" s="12">
        <v>46275</v>
      </c>
      <c r="O10" s="7">
        <v>37</v>
      </c>
      <c r="P10" s="15">
        <f>(IF(G10&gt;0,G10+I10,I10)-(O10*Ventas!AE11*1))</f>
        <v>0</v>
      </c>
      <c r="Q10" s="3"/>
      <c r="R10" s="8">
        <v>0</v>
      </c>
      <c r="S10" s="15">
        <f t="shared" si="1"/>
        <v>0</v>
      </c>
      <c r="T10" s="3"/>
      <c r="U10" s="3"/>
      <c r="V10" s="3"/>
      <c r="W10" s="12">
        <v>46331</v>
      </c>
      <c r="X10" s="7">
        <v>56</v>
      </c>
      <c r="Y10" s="15">
        <f>(IF(P10&gt;0,P10+R10,R10)-(X10*Ventas!AE11*1))</f>
        <v>0</v>
      </c>
      <c r="Z10" s="3"/>
      <c r="AA10" s="15">
        <f>(120*(Ventas!AE11*1) - IF(Y10&gt;0,Y10,0))</f>
        <v>0</v>
      </c>
      <c r="AB10" s="15">
        <f t="shared" si="2"/>
        <v>0</v>
      </c>
      <c r="AC10" s="15">
        <f t="shared" si="3"/>
        <v>0</v>
      </c>
      <c r="AD10" s="3"/>
      <c r="AE10" s="8">
        <v>3025</v>
      </c>
      <c r="AF10" s="3"/>
      <c r="AG10" s="3"/>
      <c r="AH10" s="1" t="s">
        <v>34</v>
      </c>
    </row>
    <row r="11" spans="1:34" x14ac:dyDescent="0.25">
      <c r="A11" s="1"/>
      <c r="B11" s="1" t="s">
        <v>103</v>
      </c>
      <c r="C11" s="14" t="s">
        <v>102</v>
      </c>
      <c r="D11" s="3"/>
      <c r="E11" s="12">
        <v>46238</v>
      </c>
      <c r="F11" s="7">
        <v>1</v>
      </c>
      <c r="G11" s="15">
        <f>(D11-(0)+0-(F11*Ventas!AE36*0))</f>
        <v>0</v>
      </c>
      <c r="H11" s="3"/>
      <c r="I11" s="8">
        <v>0</v>
      </c>
      <c r="J11" s="15">
        <f t="shared" si="0"/>
        <v>0</v>
      </c>
      <c r="K11" s="3"/>
      <c r="L11" s="3"/>
      <c r="M11" s="3"/>
      <c r="N11" s="12">
        <v>46275</v>
      </c>
      <c r="O11" s="7">
        <v>37</v>
      </c>
      <c r="P11" s="15">
        <f>(IF(G11&gt;0,G11+I11,I11)-(O11*Ventas!AE36*1))</f>
        <v>0</v>
      </c>
      <c r="Q11" s="3"/>
      <c r="R11" s="8">
        <v>0</v>
      </c>
      <c r="S11" s="15">
        <f t="shared" si="1"/>
        <v>0</v>
      </c>
      <c r="T11" s="3"/>
      <c r="U11" s="3"/>
      <c r="V11" s="3"/>
      <c r="W11" s="12">
        <v>46331</v>
      </c>
      <c r="X11" s="7">
        <v>56</v>
      </c>
      <c r="Y11" s="15">
        <f>(IF(P11&gt;0,P11+R11,R11)-(X11*Ventas!AE36*1))</f>
        <v>0</v>
      </c>
      <c r="Z11" s="3"/>
      <c r="AA11" s="15">
        <f>(120*(Ventas!AE36*1) - IF(Y11&gt;0,Y11,0))</f>
        <v>0</v>
      </c>
      <c r="AB11" s="15">
        <f t="shared" si="2"/>
        <v>0</v>
      </c>
      <c r="AC11" s="15">
        <f t="shared" si="3"/>
        <v>0</v>
      </c>
      <c r="AD11" s="3"/>
      <c r="AE11" s="3"/>
      <c r="AF11" s="3"/>
      <c r="AG11" s="3"/>
      <c r="AH11" s="1" t="s">
        <v>37</v>
      </c>
    </row>
    <row r="12" spans="1:34" x14ac:dyDescent="0.25">
      <c r="A12" s="1"/>
      <c r="B12" s="1" t="s">
        <v>105</v>
      </c>
      <c r="C12" s="14" t="s">
        <v>104</v>
      </c>
      <c r="D12" s="3"/>
      <c r="E12" s="12">
        <v>46238</v>
      </c>
      <c r="F12" s="7">
        <v>1</v>
      </c>
      <c r="G12" s="15">
        <f>(D12-(0)+0-(F12*Ventas!AE37*0))</f>
        <v>0</v>
      </c>
      <c r="H12" s="3"/>
      <c r="I12" s="8">
        <v>0</v>
      </c>
      <c r="J12" s="15">
        <f t="shared" si="0"/>
        <v>0</v>
      </c>
      <c r="K12" s="3"/>
      <c r="L12" s="3"/>
      <c r="M12" s="3"/>
      <c r="N12" s="12">
        <v>46275</v>
      </c>
      <c r="O12" s="7">
        <v>37</v>
      </c>
      <c r="P12" s="15">
        <f>(IF(G12&gt;0,G12+I12,I12)-(O12*Ventas!AE37*1))</f>
        <v>0</v>
      </c>
      <c r="Q12" s="3"/>
      <c r="R12" s="8">
        <v>0</v>
      </c>
      <c r="S12" s="15">
        <f t="shared" si="1"/>
        <v>0</v>
      </c>
      <c r="T12" s="3"/>
      <c r="U12" s="3"/>
      <c r="V12" s="3"/>
      <c r="W12" s="12">
        <v>46331</v>
      </c>
      <c r="X12" s="7">
        <v>56</v>
      </c>
      <c r="Y12" s="15">
        <f>(IF(P12&gt;0,P12+R12,R12)-(X12*Ventas!AE37*1))</f>
        <v>0</v>
      </c>
      <c r="Z12" s="3"/>
      <c r="AA12" s="15">
        <f>(120*(Ventas!AE37*1) - IF(Y12&gt;0,Y12,0))</f>
        <v>0</v>
      </c>
      <c r="AB12" s="15">
        <f t="shared" si="2"/>
        <v>0</v>
      </c>
      <c r="AC12" s="15">
        <f t="shared" si="3"/>
        <v>0</v>
      </c>
      <c r="AD12" s="16">
        <v>4.4400000000000004</v>
      </c>
      <c r="AE12" s="8">
        <v>3017</v>
      </c>
      <c r="AF12" s="3"/>
      <c r="AG12" s="3"/>
      <c r="AH12" s="1" t="s">
        <v>37</v>
      </c>
    </row>
    <row r="13" spans="1:34" x14ac:dyDescent="0.25">
      <c r="A13" s="1"/>
      <c r="B13" s="1" t="s">
        <v>107</v>
      </c>
      <c r="C13" s="14" t="s">
        <v>106</v>
      </c>
      <c r="D13" s="8">
        <v>15</v>
      </c>
      <c r="E13" s="12">
        <v>46238</v>
      </c>
      <c r="F13" s="7">
        <v>1</v>
      </c>
      <c r="G13" s="15">
        <f>(D13-(0)+0-(F13*Ventas!AE38*0))</f>
        <v>15</v>
      </c>
      <c r="H13" s="3"/>
      <c r="I13" s="8">
        <v>0</v>
      </c>
      <c r="J13" s="15">
        <f t="shared" si="0"/>
        <v>15</v>
      </c>
      <c r="K13" s="3"/>
      <c r="L13" s="3"/>
      <c r="M13" s="3"/>
      <c r="N13" s="12">
        <v>46275</v>
      </c>
      <c r="O13" s="7">
        <v>37</v>
      </c>
      <c r="P13" s="15">
        <f>(IF(G13&gt;0,G13+I13,I13)-(O13*Ventas!AE38*1))</f>
        <v>15</v>
      </c>
      <c r="Q13" s="3"/>
      <c r="R13" s="8">
        <v>0</v>
      </c>
      <c r="S13" s="15">
        <f t="shared" si="1"/>
        <v>15</v>
      </c>
      <c r="T13" s="3"/>
      <c r="U13" s="3"/>
      <c r="V13" s="3"/>
      <c r="W13" s="12">
        <v>46331</v>
      </c>
      <c r="X13" s="7">
        <v>56</v>
      </c>
      <c r="Y13" s="15">
        <f>(IF(P13&gt;0,P13+R13,R13)-(X13*Ventas!AE38*1))</f>
        <v>15</v>
      </c>
      <c r="Z13" s="3"/>
      <c r="AA13" s="15">
        <f>(120*(Ventas!AE38*1) - IF(Y13&gt;0,Y13,0))</f>
        <v>-15</v>
      </c>
      <c r="AB13" s="15">
        <f t="shared" si="2"/>
        <v>0</v>
      </c>
      <c r="AC13" s="15">
        <f t="shared" si="3"/>
        <v>15</v>
      </c>
      <c r="AD13" s="16">
        <v>0.1</v>
      </c>
      <c r="AE13" s="8">
        <v>3010</v>
      </c>
      <c r="AF13" s="3"/>
      <c r="AG13" s="3"/>
      <c r="AH13" s="1" t="s">
        <v>37</v>
      </c>
    </row>
    <row r="14" spans="1:34" x14ac:dyDescent="0.25">
      <c r="A14" s="1"/>
      <c r="B14" s="1" t="s">
        <v>109</v>
      </c>
      <c r="C14" s="14" t="s">
        <v>108</v>
      </c>
      <c r="D14" s="8">
        <v>6</v>
      </c>
      <c r="E14" s="12">
        <v>46238</v>
      </c>
      <c r="F14" s="7">
        <v>1</v>
      </c>
      <c r="G14" s="15">
        <f>(D14-(0)+0-(F14*Ventas!AE39*0))</f>
        <v>6</v>
      </c>
      <c r="H14" s="3"/>
      <c r="I14" s="8">
        <v>0</v>
      </c>
      <c r="J14" s="15">
        <f t="shared" si="0"/>
        <v>6</v>
      </c>
      <c r="K14" s="3"/>
      <c r="L14" s="3"/>
      <c r="M14" s="3"/>
      <c r="N14" s="12">
        <v>46275</v>
      </c>
      <c r="O14" s="7">
        <v>37</v>
      </c>
      <c r="P14" s="15">
        <f>(IF(G14&gt;0,G14+I14,I14)-(O14*Ventas!AE39*1))</f>
        <v>6</v>
      </c>
      <c r="Q14" s="3"/>
      <c r="R14" s="8">
        <v>0</v>
      </c>
      <c r="S14" s="15">
        <f t="shared" si="1"/>
        <v>6</v>
      </c>
      <c r="T14" s="3"/>
      <c r="U14" s="3"/>
      <c r="V14" s="3"/>
      <c r="W14" s="12">
        <v>46331</v>
      </c>
      <c r="X14" s="7">
        <v>56</v>
      </c>
      <c r="Y14" s="15">
        <f>(IF(P14&gt;0,P14+R14,R14)-(X14*Ventas!AE39*1))</f>
        <v>6</v>
      </c>
      <c r="Z14" s="3"/>
      <c r="AA14" s="15">
        <f>(120*(Ventas!AE39*1) - IF(Y14&gt;0,Y14,0))</f>
        <v>-6</v>
      </c>
      <c r="AB14" s="15">
        <f t="shared" si="2"/>
        <v>0</v>
      </c>
      <c r="AC14" s="15">
        <f t="shared" si="3"/>
        <v>6</v>
      </c>
      <c r="AD14" s="16">
        <v>0.1</v>
      </c>
      <c r="AE14" s="8">
        <v>3010</v>
      </c>
      <c r="AF14" s="3"/>
      <c r="AG14" s="3"/>
      <c r="AH14" s="1" t="s">
        <v>37</v>
      </c>
    </row>
    <row r="15" spans="1:34" x14ac:dyDescent="0.25">
      <c r="A15" s="1"/>
      <c r="B15" s="1" t="s">
        <v>55</v>
      </c>
      <c r="C15" s="14" t="s">
        <v>54</v>
      </c>
      <c r="D15" s="3"/>
      <c r="E15" s="12">
        <v>46238</v>
      </c>
      <c r="F15" s="7">
        <v>1</v>
      </c>
      <c r="G15" s="15">
        <f>(D15-(0)+0-(F15*Ventas!AE12*1))</f>
        <v>0</v>
      </c>
      <c r="H15" s="3"/>
      <c r="I15" s="8">
        <v>0</v>
      </c>
      <c r="J15" s="15">
        <f t="shared" si="0"/>
        <v>0</v>
      </c>
      <c r="K15" s="3"/>
      <c r="L15" s="3"/>
      <c r="M15" s="3"/>
      <c r="N15" s="12">
        <v>46275</v>
      </c>
      <c r="O15" s="7">
        <v>37</v>
      </c>
      <c r="P15" s="15">
        <f>(IF(G15&gt;0,G15+I15,I15)-(O15*Ventas!AE12*0.9189))</f>
        <v>0</v>
      </c>
      <c r="Q15" s="3"/>
      <c r="R15" s="8">
        <v>0</v>
      </c>
      <c r="S15" s="15">
        <f t="shared" si="1"/>
        <v>0</v>
      </c>
      <c r="T15" s="3"/>
      <c r="U15" s="3"/>
      <c r="V15" s="3"/>
      <c r="W15" s="12">
        <v>46331</v>
      </c>
      <c r="X15" s="7">
        <v>56</v>
      </c>
      <c r="Y15" s="15">
        <f>(IF(P15&gt;0,P15+R15,R15)-(X15*Ventas!AE12*0.8268))</f>
        <v>0</v>
      </c>
      <c r="Z15" s="3"/>
      <c r="AA15" s="15">
        <f>(120*(Ventas!AE12*1.95) - IF(Y15&gt;0,Y15,0))</f>
        <v>0</v>
      </c>
      <c r="AB15" s="15">
        <f t="shared" si="2"/>
        <v>0</v>
      </c>
      <c r="AC15" s="15">
        <f t="shared" si="3"/>
        <v>0</v>
      </c>
      <c r="AD15" s="3"/>
      <c r="AE15" s="3"/>
      <c r="AF15" s="3"/>
      <c r="AG15" s="3"/>
      <c r="AH15" s="1" t="s">
        <v>37</v>
      </c>
    </row>
    <row r="16" spans="1:34" x14ac:dyDescent="0.25">
      <c r="A16" s="1"/>
      <c r="B16" s="1" t="s">
        <v>67</v>
      </c>
      <c r="C16" s="14" t="s">
        <v>66</v>
      </c>
      <c r="D16" s="3"/>
      <c r="E16" s="12">
        <v>46238</v>
      </c>
      <c r="F16" s="7">
        <v>1</v>
      </c>
      <c r="G16" s="15">
        <f>(D16-(0)+0-(F16*Ventas!AE18*1))</f>
        <v>0</v>
      </c>
      <c r="H16" s="3"/>
      <c r="I16" s="8">
        <v>0</v>
      </c>
      <c r="J16" s="15">
        <f t="shared" si="0"/>
        <v>0</v>
      </c>
      <c r="K16" s="3"/>
      <c r="L16" s="15">
        <v>7</v>
      </c>
      <c r="M16" s="17">
        <v>4.2859999999999999E-3</v>
      </c>
      <c r="N16" s="12">
        <v>46275</v>
      </c>
      <c r="O16" s="7">
        <v>37</v>
      </c>
      <c r="P16" s="15">
        <f>(IF(G16&gt;0,G16+I16,I16)-(O16*Ventas!AE18*0.9189))</f>
        <v>0</v>
      </c>
      <c r="Q16" s="3"/>
      <c r="R16" s="8">
        <v>0</v>
      </c>
      <c r="S16" s="15">
        <f t="shared" si="1"/>
        <v>0</v>
      </c>
      <c r="T16" s="3"/>
      <c r="U16" s="15">
        <v>7</v>
      </c>
      <c r="V16" s="17">
        <v>4.2859999999999999E-3</v>
      </c>
      <c r="W16" s="12">
        <v>46331</v>
      </c>
      <c r="X16" s="7">
        <v>56</v>
      </c>
      <c r="Y16" s="15">
        <f>(IF(P16&gt;0,P16+R16,R16)-(X16*Ventas!AE18*0.8268))</f>
        <v>0</v>
      </c>
      <c r="Z16" s="3"/>
      <c r="AA16" s="15">
        <f>(120*(Ventas!AE18*1.95) - IF(Y16&gt;0,Y16,0))</f>
        <v>0</v>
      </c>
      <c r="AB16" s="15">
        <f t="shared" si="2"/>
        <v>0</v>
      </c>
      <c r="AC16" s="15">
        <f t="shared" si="3"/>
        <v>0</v>
      </c>
      <c r="AD16" s="16">
        <v>9.34</v>
      </c>
      <c r="AE16" s="8">
        <v>3025</v>
      </c>
      <c r="AF16" s="3"/>
      <c r="AG16" s="3"/>
      <c r="AH16" s="1" t="s">
        <v>37</v>
      </c>
    </row>
    <row r="17" spans="1:34" x14ac:dyDescent="0.25">
      <c r="A17" s="1"/>
      <c r="B17" s="1" t="s">
        <v>39</v>
      </c>
      <c r="C17" s="14" t="s">
        <v>38</v>
      </c>
      <c r="D17" s="3"/>
      <c r="E17" s="12">
        <v>46238</v>
      </c>
      <c r="F17" s="7">
        <v>1</v>
      </c>
      <c r="G17" s="15">
        <f>(D17-(0)+0-(F17*Ventas!AE4*1))</f>
        <v>0</v>
      </c>
      <c r="H17" s="3"/>
      <c r="I17" s="8">
        <v>0</v>
      </c>
      <c r="J17" s="15">
        <f t="shared" si="0"/>
        <v>0</v>
      </c>
      <c r="K17" s="3"/>
      <c r="L17" s="15">
        <v>44</v>
      </c>
      <c r="M17" s="17">
        <v>8.4699999999999999E-4</v>
      </c>
      <c r="N17" s="12">
        <v>46275</v>
      </c>
      <c r="O17" s="7">
        <v>37</v>
      </c>
      <c r="P17" s="15">
        <f>(IF(G17&gt;0,G17+I17,I17)-(O17*Ventas!AE4*0.9189))</f>
        <v>0</v>
      </c>
      <c r="Q17" s="3"/>
      <c r="R17" s="8">
        <v>0</v>
      </c>
      <c r="S17" s="15">
        <f t="shared" si="1"/>
        <v>0</v>
      </c>
      <c r="T17" s="3"/>
      <c r="U17" s="15">
        <v>44</v>
      </c>
      <c r="V17" s="17">
        <v>8.4699999999999999E-4</v>
      </c>
      <c r="W17" s="12">
        <v>46331</v>
      </c>
      <c r="X17" s="7">
        <v>56</v>
      </c>
      <c r="Y17" s="15">
        <f>(IF(P17&gt;0,P17+R17,R17)-(X17*Ventas!AE4*0.8268))</f>
        <v>0</v>
      </c>
      <c r="Z17" s="3"/>
      <c r="AA17" s="15">
        <f>(120*(Ventas!AE4*1.95) - IF(Y17&gt;0,Y17,0))</f>
        <v>0</v>
      </c>
      <c r="AB17" s="15">
        <f t="shared" si="2"/>
        <v>0</v>
      </c>
      <c r="AC17" s="15">
        <f t="shared" si="3"/>
        <v>0</v>
      </c>
      <c r="AD17" s="16">
        <v>4.43</v>
      </c>
      <c r="AE17" s="8">
        <v>3025</v>
      </c>
      <c r="AF17" s="3"/>
      <c r="AG17" s="3"/>
      <c r="AH17" s="1" t="s">
        <v>37</v>
      </c>
    </row>
    <row r="18" spans="1:34" x14ac:dyDescent="0.25">
      <c r="A18" s="1"/>
      <c r="B18" s="1" t="s">
        <v>143</v>
      </c>
      <c r="C18" s="14" t="s">
        <v>142</v>
      </c>
      <c r="D18" s="8">
        <v>995</v>
      </c>
      <c r="E18" s="12">
        <v>46238</v>
      </c>
      <c r="F18" s="7">
        <v>1</v>
      </c>
      <c r="G18" s="15">
        <f>(D18-(0)+0-(F18*Ventas!AE56*1))</f>
        <v>985.3691</v>
      </c>
      <c r="H18" s="18">
        <f>(G18/(Ventas!AE56*1)/60)</f>
        <v>1.7052215611555859</v>
      </c>
      <c r="I18" s="8">
        <v>0</v>
      </c>
      <c r="J18" s="15">
        <f t="shared" si="0"/>
        <v>985.3691</v>
      </c>
      <c r="K18" s="3"/>
      <c r="L18" s="15">
        <v>120</v>
      </c>
      <c r="M18" s="17">
        <v>3.3100000000000002E-4</v>
      </c>
      <c r="N18" s="12">
        <v>46275</v>
      </c>
      <c r="O18" s="7">
        <v>37</v>
      </c>
      <c r="P18" s="15">
        <f>(IF(G18&gt;0,G18+I18,I18)-(O18*Ventas!AE56*1))</f>
        <v>629.0258</v>
      </c>
      <c r="Q18" s="18">
        <f>(P18/(Ventas!AE56*1)/60)</f>
        <v>1.0885548944889192</v>
      </c>
      <c r="R18" s="8">
        <v>600</v>
      </c>
      <c r="S18" s="15">
        <f t="shared" si="1"/>
        <v>1229.0257999999999</v>
      </c>
      <c r="T18" s="15">
        <v>0.38</v>
      </c>
      <c r="U18" s="15">
        <v>120</v>
      </c>
      <c r="V18" s="17">
        <v>3.3100000000000002E-4</v>
      </c>
      <c r="W18" s="12">
        <v>46331</v>
      </c>
      <c r="X18" s="7">
        <v>56</v>
      </c>
      <c r="Y18" s="15">
        <f>(IF(P18&gt;0,P18+R18,R18)-(X18*Ventas!AE56*1))</f>
        <v>689.69539999999984</v>
      </c>
      <c r="Z18" s="18">
        <f>(Y18/(Ventas!AE56*1)/60)</f>
        <v>1.1935461206463913</v>
      </c>
      <c r="AA18" s="15">
        <f>(120*(Ventas!AE56*1) - IF(Y18&gt;0,Y18,0))</f>
        <v>466.01260000000025</v>
      </c>
      <c r="AB18" s="15">
        <f t="shared" si="2"/>
        <v>466.01260000000025</v>
      </c>
      <c r="AC18" s="15">
        <f t="shared" si="3"/>
        <v>1155.7080000000001</v>
      </c>
      <c r="AD18" s="16">
        <v>0.2833</v>
      </c>
      <c r="AE18" s="8">
        <v>3010</v>
      </c>
      <c r="AF18" s="15">
        <f>(AC18-(60*Ventas!AE56*1))</f>
        <v>577.85400000000004</v>
      </c>
      <c r="AG18" s="18">
        <f>(AF18/(Ventas!AE56*1)/60)</f>
        <v>1</v>
      </c>
      <c r="AH18" s="1" t="s">
        <v>37</v>
      </c>
    </row>
    <row r="19" spans="1:34" x14ac:dyDescent="0.25">
      <c r="A19" s="1"/>
      <c r="B19" s="1" t="s">
        <v>145</v>
      </c>
      <c r="C19" s="14" t="s">
        <v>144</v>
      </c>
      <c r="D19" s="8">
        <v>119</v>
      </c>
      <c r="E19" s="12">
        <v>46238</v>
      </c>
      <c r="F19" s="7">
        <v>1</v>
      </c>
      <c r="G19" s="15">
        <f>(D19-(0)+0-(F19*Ventas!AE57*1))</f>
        <v>118.9084</v>
      </c>
      <c r="H19" s="18">
        <f>(G19/(Ventas!AE57*1)/60)</f>
        <v>21.635443959243087</v>
      </c>
      <c r="I19" s="8">
        <v>0</v>
      </c>
      <c r="J19" s="15">
        <f t="shared" si="0"/>
        <v>118.9084</v>
      </c>
      <c r="K19" s="3"/>
      <c r="L19" s="15">
        <v>84</v>
      </c>
      <c r="M19" s="17">
        <v>4.0200000000000001E-4</v>
      </c>
      <c r="N19" s="12">
        <v>46275</v>
      </c>
      <c r="O19" s="7">
        <v>37</v>
      </c>
      <c r="P19" s="15">
        <f>(IF(G19&gt;0,G19+I19,I19)-(O19*Ventas!AE57*1))</f>
        <v>115.5192</v>
      </c>
      <c r="Q19" s="18">
        <f>(P19/(Ventas!AE57*1)/60)</f>
        <v>21.01877729257642</v>
      </c>
      <c r="R19" s="8">
        <v>0</v>
      </c>
      <c r="S19" s="15">
        <f t="shared" si="1"/>
        <v>115.5192</v>
      </c>
      <c r="T19" s="3"/>
      <c r="U19" s="15">
        <v>84</v>
      </c>
      <c r="V19" s="17">
        <v>4.0200000000000001E-4</v>
      </c>
      <c r="W19" s="12">
        <v>46331</v>
      </c>
      <c r="X19" s="7">
        <v>56</v>
      </c>
      <c r="Y19" s="15">
        <f>(IF(P19&gt;0,P19+R19,R19)-(X19*Ventas!AE57*1))</f>
        <v>110.3896</v>
      </c>
      <c r="Z19" s="18">
        <f>(Y19/(Ventas!AE57*1)/60)</f>
        <v>20.085443959243086</v>
      </c>
      <c r="AA19" s="15">
        <f>(120*(Ventas!AE57*1) - IF(Y19&gt;0,Y19,0))</f>
        <v>-99.397599999999997</v>
      </c>
      <c r="AB19" s="15">
        <f t="shared" si="2"/>
        <v>0</v>
      </c>
      <c r="AC19" s="15">
        <f t="shared" si="3"/>
        <v>110.3896</v>
      </c>
      <c r="AD19" s="16">
        <v>0.96040000000000003</v>
      </c>
      <c r="AE19" s="8">
        <v>3025</v>
      </c>
      <c r="AF19" s="15">
        <f>(AC19-(60*Ventas!AE57*1))</f>
        <v>104.89360000000001</v>
      </c>
      <c r="AG19" s="18">
        <f>(AF19/(Ventas!AE57*1)/60)</f>
        <v>19.085443959243086</v>
      </c>
      <c r="AH19" s="1" t="s">
        <v>34</v>
      </c>
    </row>
    <row r="20" spans="1:34" x14ac:dyDescent="0.25">
      <c r="A20" s="1"/>
      <c r="B20" s="1" t="s">
        <v>147</v>
      </c>
      <c r="C20" s="14" t="s">
        <v>146</v>
      </c>
      <c r="D20" s="3"/>
      <c r="E20" s="12">
        <v>46238</v>
      </c>
      <c r="F20" s="7">
        <v>1</v>
      </c>
      <c r="G20" s="15">
        <f>(D20-(0)+0-(F20*Ventas!AE58*1))</f>
        <v>0</v>
      </c>
      <c r="H20" s="3"/>
      <c r="I20" s="8">
        <v>0</v>
      </c>
      <c r="J20" s="15">
        <f t="shared" si="0"/>
        <v>0</v>
      </c>
      <c r="K20" s="3"/>
      <c r="L20" s="15">
        <v>52</v>
      </c>
      <c r="M20" s="17">
        <v>6.4899999999999995E-4</v>
      </c>
      <c r="N20" s="12">
        <v>46275</v>
      </c>
      <c r="O20" s="7">
        <v>37</v>
      </c>
      <c r="P20" s="15">
        <f>(IF(G20&gt;0,G20+I20,I20)-(O20*Ventas!AE58*1))</f>
        <v>0</v>
      </c>
      <c r="Q20" s="3"/>
      <c r="R20" s="8">
        <v>0</v>
      </c>
      <c r="S20" s="15">
        <f t="shared" si="1"/>
        <v>0</v>
      </c>
      <c r="T20" s="3"/>
      <c r="U20" s="15">
        <v>52</v>
      </c>
      <c r="V20" s="17">
        <v>6.4899999999999995E-4</v>
      </c>
      <c r="W20" s="12">
        <v>46331</v>
      </c>
      <c r="X20" s="7">
        <v>56</v>
      </c>
      <c r="Y20" s="15">
        <f>(IF(P20&gt;0,P20+R20,R20)-(X20*Ventas!AE58*1))</f>
        <v>0</v>
      </c>
      <c r="Z20" s="3"/>
      <c r="AA20" s="15">
        <f>(120*(Ventas!AE58*1) - IF(Y20&gt;0,Y20,0))</f>
        <v>0</v>
      </c>
      <c r="AB20" s="15">
        <f t="shared" si="2"/>
        <v>0</v>
      </c>
      <c r="AC20" s="15">
        <f t="shared" si="3"/>
        <v>0</v>
      </c>
      <c r="AD20" s="16">
        <v>2.69</v>
      </c>
      <c r="AE20" s="8">
        <v>3025</v>
      </c>
      <c r="AF20" s="3"/>
      <c r="AG20" s="3"/>
      <c r="AH20" s="1" t="s">
        <v>37</v>
      </c>
    </row>
    <row r="21" spans="1:34" x14ac:dyDescent="0.25">
      <c r="A21" s="1"/>
      <c r="B21" s="1" t="s">
        <v>149</v>
      </c>
      <c r="C21" s="14" t="s">
        <v>148</v>
      </c>
      <c r="D21" s="3"/>
      <c r="E21" s="12">
        <v>46238</v>
      </c>
      <c r="F21" s="7">
        <v>1</v>
      </c>
      <c r="G21" s="15">
        <f>(D21-(0)+0-(F21*Ventas!AE59*1))</f>
        <v>0</v>
      </c>
      <c r="H21" s="3"/>
      <c r="I21" s="8">
        <v>0</v>
      </c>
      <c r="J21" s="15">
        <f t="shared" si="0"/>
        <v>0</v>
      </c>
      <c r="K21" s="3"/>
      <c r="L21" s="15">
        <v>52</v>
      </c>
      <c r="M21" s="17">
        <v>5.7700000000000004E-4</v>
      </c>
      <c r="N21" s="12">
        <v>46275</v>
      </c>
      <c r="O21" s="7">
        <v>37</v>
      </c>
      <c r="P21" s="15">
        <f>(IF(G21&gt;0,G21+I21,I21)-(O21*Ventas!AE59*1))</f>
        <v>0</v>
      </c>
      <c r="Q21" s="3"/>
      <c r="R21" s="8">
        <v>0</v>
      </c>
      <c r="S21" s="15">
        <f t="shared" si="1"/>
        <v>0</v>
      </c>
      <c r="T21" s="3"/>
      <c r="U21" s="15">
        <v>52</v>
      </c>
      <c r="V21" s="17">
        <v>5.7700000000000004E-4</v>
      </c>
      <c r="W21" s="12">
        <v>46331</v>
      </c>
      <c r="X21" s="7">
        <v>56</v>
      </c>
      <c r="Y21" s="15">
        <f>(IF(P21&gt;0,P21+R21,R21)-(X21*Ventas!AE59*1))</f>
        <v>0</v>
      </c>
      <c r="Z21" s="3"/>
      <c r="AA21" s="15">
        <f>(120*(Ventas!AE59*1) - IF(Y21&gt;0,Y21,0))</f>
        <v>0</v>
      </c>
      <c r="AB21" s="15">
        <f t="shared" si="2"/>
        <v>0</v>
      </c>
      <c r="AC21" s="15">
        <f t="shared" si="3"/>
        <v>0</v>
      </c>
      <c r="AD21" s="16">
        <v>1.42</v>
      </c>
      <c r="AE21" s="8">
        <v>3025</v>
      </c>
      <c r="AF21" s="3"/>
      <c r="AG21" s="3"/>
      <c r="AH21" s="1" t="s">
        <v>37</v>
      </c>
    </row>
    <row r="22" spans="1:34" x14ac:dyDescent="0.25">
      <c r="A22" s="1"/>
      <c r="B22" s="1" t="s">
        <v>151</v>
      </c>
      <c r="C22" s="14" t="s">
        <v>150</v>
      </c>
      <c r="D22" s="3"/>
      <c r="E22" s="12">
        <v>46238</v>
      </c>
      <c r="F22" s="7">
        <v>1</v>
      </c>
      <c r="G22" s="15">
        <f>(D22-(0)+0-(F22*Ventas!AE60*1))</f>
        <v>0</v>
      </c>
      <c r="H22" s="3"/>
      <c r="I22" s="8">
        <v>0</v>
      </c>
      <c r="J22" s="15">
        <f t="shared" si="0"/>
        <v>0</v>
      </c>
      <c r="K22" s="3"/>
      <c r="L22" s="15">
        <v>60</v>
      </c>
      <c r="M22" s="17">
        <v>4.3300000000000001E-4</v>
      </c>
      <c r="N22" s="12">
        <v>46275</v>
      </c>
      <c r="O22" s="7">
        <v>37</v>
      </c>
      <c r="P22" s="15">
        <f>(IF(G22&gt;0,G22+I22,I22)-(O22*Ventas!AE60*1))</f>
        <v>0</v>
      </c>
      <c r="Q22" s="3"/>
      <c r="R22" s="8">
        <v>0</v>
      </c>
      <c r="S22" s="15">
        <f t="shared" si="1"/>
        <v>0</v>
      </c>
      <c r="T22" s="3"/>
      <c r="U22" s="15">
        <v>60</v>
      </c>
      <c r="V22" s="17">
        <v>4.3300000000000001E-4</v>
      </c>
      <c r="W22" s="12">
        <v>46331</v>
      </c>
      <c r="X22" s="7">
        <v>56</v>
      </c>
      <c r="Y22" s="15">
        <f>(IF(P22&gt;0,P22+R22,R22)-(X22*Ventas!AE60*1))</f>
        <v>0</v>
      </c>
      <c r="Z22" s="3"/>
      <c r="AA22" s="15">
        <f>(120*(Ventas!AE60*1) - IF(Y22&gt;0,Y22,0))</f>
        <v>0</v>
      </c>
      <c r="AB22" s="15">
        <f t="shared" si="2"/>
        <v>0</v>
      </c>
      <c r="AC22" s="15">
        <f t="shared" si="3"/>
        <v>0</v>
      </c>
      <c r="AD22" s="16">
        <v>0.87</v>
      </c>
      <c r="AE22" s="8">
        <v>3025</v>
      </c>
      <c r="AF22" s="3"/>
      <c r="AG22" s="3"/>
      <c r="AH22" s="1" t="s">
        <v>37</v>
      </c>
    </row>
    <row r="23" spans="1:34" x14ac:dyDescent="0.25">
      <c r="A23" s="1"/>
      <c r="B23" s="1" t="s">
        <v>153</v>
      </c>
      <c r="C23" s="14" t="s">
        <v>152</v>
      </c>
      <c r="D23" s="3"/>
      <c r="E23" s="12">
        <v>46238</v>
      </c>
      <c r="F23" s="7">
        <v>1</v>
      </c>
      <c r="G23" s="15">
        <f>(D23-(0)+0-(F23*Ventas!AE61*1))</f>
        <v>0</v>
      </c>
      <c r="H23" s="3"/>
      <c r="I23" s="8">
        <v>0</v>
      </c>
      <c r="J23" s="15">
        <f t="shared" si="0"/>
        <v>0</v>
      </c>
      <c r="K23" s="3"/>
      <c r="L23" s="15">
        <v>60</v>
      </c>
      <c r="M23" s="17">
        <v>4.3300000000000001E-4</v>
      </c>
      <c r="N23" s="12">
        <v>46275</v>
      </c>
      <c r="O23" s="7">
        <v>37</v>
      </c>
      <c r="P23" s="15">
        <f>(IF(G23&gt;0,G23+I23,I23)-(O23*Ventas!AE61*1))</f>
        <v>0</v>
      </c>
      <c r="Q23" s="3"/>
      <c r="R23" s="8">
        <v>0</v>
      </c>
      <c r="S23" s="15">
        <f t="shared" si="1"/>
        <v>0</v>
      </c>
      <c r="T23" s="3"/>
      <c r="U23" s="15">
        <v>60</v>
      </c>
      <c r="V23" s="17">
        <v>4.3300000000000001E-4</v>
      </c>
      <c r="W23" s="12">
        <v>46331</v>
      </c>
      <c r="X23" s="7">
        <v>56</v>
      </c>
      <c r="Y23" s="15">
        <f>(IF(P23&gt;0,P23+R23,R23)-(X23*Ventas!AE61*1))</f>
        <v>0</v>
      </c>
      <c r="Z23" s="3"/>
      <c r="AA23" s="15">
        <f>(120*(Ventas!AE61*1) - IF(Y23&gt;0,Y23,0))</f>
        <v>0</v>
      </c>
      <c r="AB23" s="15">
        <f t="shared" si="2"/>
        <v>0</v>
      </c>
      <c r="AC23" s="15">
        <f t="shared" si="3"/>
        <v>0</v>
      </c>
      <c r="AD23" s="16">
        <v>0.87</v>
      </c>
      <c r="AE23" s="8">
        <v>3025</v>
      </c>
      <c r="AF23" s="3"/>
      <c r="AG23" s="3"/>
      <c r="AH23" s="1" t="s">
        <v>37</v>
      </c>
    </row>
    <row r="24" spans="1:34" x14ac:dyDescent="0.25">
      <c r="A24" s="1"/>
      <c r="B24" s="1" t="s">
        <v>155</v>
      </c>
      <c r="C24" s="14" t="s">
        <v>154</v>
      </c>
      <c r="D24" s="3"/>
      <c r="E24" s="12">
        <v>46238</v>
      </c>
      <c r="F24" s="7">
        <v>1</v>
      </c>
      <c r="G24" s="15">
        <f>(D24-(0)+0-(F24*Ventas!AE62*1))</f>
        <v>0</v>
      </c>
      <c r="H24" s="3"/>
      <c r="I24" s="8">
        <v>0</v>
      </c>
      <c r="J24" s="15">
        <f t="shared" si="0"/>
        <v>0</v>
      </c>
      <c r="K24" s="3"/>
      <c r="L24" s="15">
        <v>60</v>
      </c>
      <c r="M24" s="17">
        <v>4.7199999999999998E-4</v>
      </c>
      <c r="N24" s="12">
        <v>46275</v>
      </c>
      <c r="O24" s="7">
        <v>37</v>
      </c>
      <c r="P24" s="15">
        <f>(IF(G24&gt;0,G24+I24,I24)-(O24*Ventas!AE62*1))</f>
        <v>0</v>
      </c>
      <c r="Q24" s="3"/>
      <c r="R24" s="8">
        <v>0</v>
      </c>
      <c r="S24" s="15">
        <f t="shared" si="1"/>
        <v>0</v>
      </c>
      <c r="T24" s="3"/>
      <c r="U24" s="15">
        <v>60</v>
      </c>
      <c r="V24" s="17">
        <v>4.7199999999999998E-4</v>
      </c>
      <c r="W24" s="12">
        <v>46331</v>
      </c>
      <c r="X24" s="7">
        <v>56</v>
      </c>
      <c r="Y24" s="15">
        <f>(IF(P24&gt;0,P24+R24,R24)-(X24*Ventas!AE62*1))</f>
        <v>0</v>
      </c>
      <c r="Z24" s="3"/>
      <c r="AA24" s="15">
        <f>(120*(Ventas!AE62*1) - IF(Y24&gt;0,Y24,0))</f>
        <v>0</v>
      </c>
      <c r="AB24" s="15">
        <f t="shared" si="2"/>
        <v>0</v>
      </c>
      <c r="AC24" s="15">
        <f t="shared" si="3"/>
        <v>0</v>
      </c>
      <c r="AD24" s="16">
        <v>0.46</v>
      </c>
      <c r="AE24" s="8">
        <v>3025</v>
      </c>
      <c r="AF24" s="3"/>
      <c r="AG24" s="3"/>
      <c r="AH24" s="1" t="s">
        <v>37</v>
      </c>
    </row>
    <row r="25" spans="1:34" x14ac:dyDescent="0.25">
      <c r="A25" s="1"/>
      <c r="B25" s="1" t="s">
        <v>157</v>
      </c>
      <c r="C25" s="14" t="s">
        <v>156</v>
      </c>
      <c r="D25" s="3"/>
      <c r="E25" s="12">
        <v>46238</v>
      </c>
      <c r="F25" s="7">
        <v>1</v>
      </c>
      <c r="G25" s="15">
        <f>(D25-(0)+0-(F25*Ventas!AE63*1))</f>
        <v>-0.19650000000000001</v>
      </c>
      <c r="H25" s="18">
        <f>(G25/(Ventas!AE63*1)/60)</f>
        <v>-1.6666666666666666E-2</v>
      </c>
      <c r="I25" s="8">
        <v>36</v>
      </c>
      <c r="J25" s="15">
        <f t="shared" si="0"/>
        <v>36</v>
      </c>
      <c r="K25" s="15">
        <v>10.51</v>
      </c>
      <c r="L25" s="15">
        <v>1</v>
      </c>
      <c r="M25" s="17">
        <v>3.3100000000000002E-4</v>
      </c>
      <c r="N25" s="12">
        <v>46275</v>
      </c>
      <c r="O25" s="7">
        <v>37</v>
      </c>
      <c r="P25" s="15">
        <f>(IF(G25&gt;0,G25+I25,I25)-(O25*Ventas!AE63*1))</f>
        <v>28.729500000000002</v>
      </c>
      <c r="Q25" s="18">
        <f>(P25/(Ventas!AE63*1)/60)</f>
        <v>2.4367684478371503</v>
      </c>
      <c r="R25" s="8">
        <v>30</v>
      </c>
      <c r="S25" s="15">
        <f t="shared" si="1"/>
        <v>58.729500000000002</v>
      </c>
      <c r="T25" s="15">
        <v>10.61</v>
      </c>
      <c r="U25" s="15">
        <v>1</v>
      </c>
      <c r="V25" s="17">
        <v>3.3100000000000002E-4</v>
      </c>
      <c r="W25" s="12">
        <v>46331</v>
      </c>
      <c r="X25" s="7">
        <v>56</v>
      </c>
      <c r="Y25" s="15">
        <f>(IF(P25&gt;0,P25+R25,R25)-(X25*Ventas!AE63*1))</f>
        <v>47.725499999999997</v>
      </c>
      <c r="Z25" s="18">
        <f>(Y25/(Ventas!AE63*1)/60)</f>
        <v>4.0479643765903308</v>
      </c>
      <c r="AA25" s="15">
        <f>(120*(Ventas!AE63*1) - IF(Y25&gt;0,Y25,0))</f>
        <v>-24.145499999999995</v>
      </c>
      <c r="AB25" s="15">
        <f t="shared" si="2"/>
        <v>0</v>
      </c>
      <c r="AC25" s="15">
        <f t="shared" si="3"/>
        <v>47.725499999999997</v>
      </c>
      <c r="AD25" s="16">
        <v>10.51</v>
      </c>
      <c r="AE25" s="8">
        <v>3025</v>
      </c>
      <c r="AF25" s="15">
        <f>(AC25-(60*Ventas!AE63*1))</f>
        <v>35.935499999999998</v>
      </c>
      <c r="AG25" s="18">
        <f>(AF25/(Ventas!AE63*1)/60)</f>
        <v>3.0479643765903304</v>
      </c>
      <c r="AH25" s="1" t="s">
        <v>37</v>
      </c>
    </row>
    <row r="26" spans="1:34" x14ac:dyDescent="0.25">
      <c r="A26" s="1"/>
      <c r="B26" s="1" t="s">
        <v>159</v>
      </c>
      <c r="C26" s="14" t="s">
        <v>158</v>
      </c>
      <c r="D26" s="8">
        <v>4</v>
      </c>
      <c r="E26" s="12">
        <v>46238</v>
      </c>
      <c r="F26" s="7">
        <v>1</v>
      </c>
      <c r="G26" s="15">
        <f>(D26-(0)+0-(F26*Ventas!AE64*1))</f>
        <v>3.8266</v>
      </c>
      <c r="H26" s="18">
        <f>(G26/(Ventas!AE64*1)/60)</f>
        <v>0.36780084582852746</v>
      </c>
      <c r="I26" s="8">
        <v>0</v>
      </c>
      <c r="J26" s="15">
        <f t="shared" si="0"/>
        <v>3.8266</v>
      </c>
      <c r="K26" s="3"/>
      <c r="L26" s="15">
        <v>1</v>
      </c>
      <c r="M26" s="17">
        <v>3.3100000000000002E-4</v>
      </c>
      <c r="N26" s="12">
        <v>46275</v>
      </c>
      <c r="O26" s="7">
        <v>37</v>
      </c>
      <c r="P26" s="15">
        <f>(IF(G26&gt;0,G26+I26,I26)-(O26*Ventas!AE64*1))</f>
        <v>-2.5891999999999999</v>
      </c>
      <c r="Q26" s="18">
        <f>(P26/(Ventas!AE64*1)/60)</f>
        <v>-0.24886582083813918</v>
      </c>
      <c r="R26" s="8">
        <v>30</v>
      </c>
      <c r="S26" s="15">
        <f t="shared" si="1"/>
        <v>30</v>
      </c>
      <c r="T26" s="15">
        <v>10.61</v>
      </c>
      <c r="U26" s="15">
        <v>1</v>
      </c>
      <c r="V26" s="17">
        <v>3.3100000000000002E-4</v>
      </c>
      <c r="W26" s="12">
        <v>46331</v>
      </c>
      <c r="X26" s="7">
        <v>56</v>
      </c>
      <c r="Y26" s="15">
        <f>(IF(P26&gt;0,P26+R26,R26)-(X26*Ventas!AE64*1))</f>
        <v>20.2896</v>
      </c>
      <c r="Z26" s="18">
        <f>(Y26/(Ventas!AE64*1)/60)</f>
        <v>1.950173010380623</v>
      </c>
      <c r="AA26" s="15">
        <f>(120*(Ventas!AE64*1) - IF(Y26&gt;0,Y26,0))</f>
        <v>0.51839999999999975</v>
      </c>
      <c r="AB26" s="15">
        <f t="shared" si="2"/>
        <v>0.51839999999999975</v>
      </c>
      <c r="AC26" s="15">
        <f t="shared" si="3"/>
        <v>20.808</v>
      </c>
      <c r="AD26" s="16">
        <v>10.36</v>
      </c>
      <c r="AE26" s="8">
        <v>3027</v>
      </c>
      <c r="AF26" s="15">
        <f>(AC26-(60*Ventas!AE64*1))</f>
        <v>10.404</v>
      </c>
      <c r="AG26" s="18">
        <f>(AF26/(Ventas!AE64*1)/60)</f>
        <v>1</v>
      </c>
      <c r="AH26" s="1" t="s">
        <v>37</v>
      </c>
    </row>
    <row r="27" spans="1:34" x14ac:dyDescent="0.25">
      <c r="A27" s="1"/>
      <c r="B27" s="1" t="s">
        <v>161</v>
      </c>
      <c r="C27" s="14" t="s">
        <v>160</v>
      </c>
      <c r="D27" s="3"/>
      <c r="E27" s="12">
        <v>46238</v>
      </c>
      <c r="F27" s="7">
        <v>1</v>
      </c>
      <c r="G27" s="15">
        <f>(D27-(0)+0-(F27*Ventas!AE65*1))</f>
        <v>0</v>
      </c>
      <c r="H27" s="3"/>
      <c r="I27" s="8">
        <v>0</v>
      </c>
      <c r="J27" s="15">
        <f t="shared" si="0"/>
        <v>0</v>
      </c>
      <c r="K27" s="3"/>
      <c r="L27" s="15">
        <v>60</v>
      </c>
      <c r="M27" s="17">
        <v>4.7199999999999998E-4</v>
      </c>
      <c r="N27" s="12">
        <v>46275</v>
      </c>
      <c r="O27" s="7">
        <v>37</v>
      </c>
      <c r="P27" s="15">
        <f>(IF(G27&gt;0,G27+I27,I27)-(O27*Ventas!AE65*1))</f>
        <v>0</v>
      </c>
      <c r="Q27" s="3"/>
      <c r="R27" s="8">
        <v>0</v>
      </c>
      <c r="S27" s="15">
        <f t="shared" si="1"/>
        <v>0</v>
      </c>
      <c r="T27" s="3"/>
      <c r="U27" s="15">
        <v>60</v>
      </c>
      <c r="V27" s="17">
        <v>4.7199999999999998E-4</v>
      </c>
      <c r="W27" s="12">
        <v>46331</v>
      </c>
      <c r="X27" s="7">
        <v>56</v>
      </c>
      <c r="Y27" s="15">
        <f>(IF(P27&gt;0,P27+R27,R27)-(X27*Ventas!AE65*1))</f>
        <v>0</v>
      </c>
      <c r="Z27" s="3"/>
      <c r="AA27" s="15">
        <f>(120*(Ventas!AE65*1) - IF(Y27&gt;0,Y27,0))</f>
        <v>0</v>
      </c>
      <c r="AB27" s="15">
        <f t="shared" si="2"/>
        <v>0</v>
      </c>
      <c r="AC27" s="15">
        <f t="shared" si="3"/>
        <v>0</v>
      </c>
      <c r="AD27" s="16">
        <v>0.67</v>
      </c>
      <c r="AE27" s="8">
        <v>3010</v>
      </c>
      <c r="AF27" s="3"/>
      <c r="AG27" s="3"/>
      <c r="AH27" s="1" t="s">
        <v>34</v>
      </c>
    </row>
    <row r="28" spans="1:34" x14ac:dyDescent="0.25">
      <c r="A28" s="1"/>
      <c r="B28" s="1" t="s">
        <v>163</v>
      </c>
      <c r="C28" s="14" t="s">
        <v>162</v>
      </c>
      <c r="D28" s="8">
        <v>57</v>
      </c>
      <c r="E28" s="12">
        <v>46238</v>
      </c>
      <c r="F28" s="7">
        <v>1</v>
      </c>
      <c r="G28" s="15">
        <f>(D28-(0)+0-(F28*Ventas!AE66*1))</f>
        <v>56.8292</v>
      </c>
      <c r="H28" s="18">
        <f>(G28/(Ventas!AE66*1)/60)</f>
        <v>5.5453942232630755</v>
      </c>
      <c r="I28" s="8">
        <v>0</v>
      </c>
      <c r="J28" s="15">
        <f t="shared" si="0"/>
        <v>56.8292</v>
      </c>
      <c r="K28" s="3"/>
      <c r="L28" s="15">
        <v>60</v>
      </c>
      <c r="M28" s="17">
        <v>4.7199999999999998E-4</v>
      </c>
      <c r="N28" s="12">
        <v>46275</v>
      </c>
      <c r="O28" s="7">
        <v>37</v>
      </c>
      <c r="P28" s="15">
        <f>(IF(G28&gt;0,G28+I28,I28)-(O28*Ventas!AE66*1))</f>
        <v>50.509599999999999</v>
      </c>
      <c r="Q28" s="18">
        <f>(P28/(Ventas!AE66*1)/60)</f>
        <v>4.9287275565964093</v>
      </c>
      <c r="R28" s="8">
        <v>0</v>
      </c>
      <c r="S28" s="15">
        <f t="shared" si="1"/>
        <v>50.509599999999999</v>
      </c>
      <c r="T28" s="3"/>
      <c r="U28" s="15">
        <v>60</v>
      </c>
      <c r="V28" s="17">
        <v>4.7199999999999998E-4</v>
      </c>
      <c r="W28" s="12">
        <v>46331</v>
      </c>
      <c r="X28" s="7">
        <v>56</v>
      </c>
      <c r="Y28" s="15">
        <f>(IF(P28&gt;0,P28+R28,R28)-(X28*Ventas!AE66*1))</f>
        <v>40.944800000000001</v>
      </c>
      <c r="Z28" s="18">
        <f>(Y28/(Ventas!AE66*1)/60)</f>
        <v>3.9953942232630757</v>
      </c>
      <c r="AA28" s="15">
        <f>(120*(Ventas!AE66*1) - IF(Y28&gt;0,Y28,0))</f>
        <v>-20.448799999999999</v>
      </c>
      <c r="AB28" s="15">
        <f t="shared" si="2"/>
        <v>0</v>
      </c>
      <c r="AC28" s="15">
        <f t="shared" si="3"/>
        <v>40.944800000000001</v>
      </c>
      <c r="AD28" s="16">
        <v>0.68</v>
      </c>
      <c r="AE28" s="8">
        <v>3010</v>
      </c>
      <c r="AF28" s="15">
        <f>(AC28-(60*Ventas!AE66*1))</f>
        <v>30.6968</v>
      </c>
      <c r="AG28" s="18">
        <f>(AF28/(Ventas!AE66*1)/60)</f>
        <v>2.9953942232630757</v>
      </c>
      <c r="AH28" s="1" t="s">
        <v>34</v>
      </c>
    </row>
    <row r="29" spans="1:34" x14ac:dyDescent="0.25">
      <c r="A29" s="1"/>
      <c r="B29" s="1" t="s">
        <v>165</v>
      </c>
      <c r="C29" s="14" t="s">
        <v>164</v>
      </c>
      <c r="D29" s="8">
        <v>81</v>
      </c>
      <c r="E29" s="12">
        <v>46238</v>
      </c>
      <c r="F29" s="7">
        <v>1</v>
      </c>
      <c r="G29" s="15">
        <f>(D29-(0)+0-(F29*Ventas!AE67*1))</f>
        <v>75.332499999999996</v>
      </c>
      <c r="H29" s="18">
        <f>(G29/(Ventas!AE67*1)/60)</f>
        <v>0.22153359800029404</v>
      </c>
      <c r="I29" s="8">
        <v>480</v>
      </c>
      <c r="J29" s="15">
        <f t="shared" si="0"/>
        <v>555.33249999999998</v>
      </c>
      <c r="K29" s="15">
        <v>0.56999999999999995</v>
      </c>
      <c r="L29" s="15">
        <v>120</v>
      </c>
      <c r="M29" s="17">
        <v>2.81E-4</v>
      </c>
      <c r="N29" s="12">
        <v>46275</v>
      </c>
      <c r="O29" s="7">
        <v>37</v>
      </c>
      <c r="P29" s="15">
        <f>(IF(G29&gt;0,G29+I29,I29)-(O29*Ventas!AE67*1))</f>
        <v>345.63499999999999</v>
      </c>
      <c r="Q29" s="18">
        <f>(P29/(Ventas!AE67*1)/60)</f>
        <v>1.0164240552859873</v>
      </c>
      <c r="R29" s="8">
        <v>0</v>
      </c>
      <c r="S29" s="15">
        <f t="shared" si="1"/>
        <v>345.63499999999999</v>
      </c>
      <c r="T29" s="3"/>
      <c r="U29" s="15">
        <v>120</v>
      </c>
      <c r="V29" s="17">
        <v>2.81E-4</v>
      </c>
      <c r="W29" s="12">
        <v>46331</v>
      </c>
      <c r="X29" s="7">
        <v>56</v>
      </c>
      <c r="Y29" s="15">
        <f>(IF(P29&gt;0,P29+R29,R29)-(X29*Ventas!AE67*1))</f>
        <v>28.254999999999995</v>
      </c>
      <c r="Z29" s="18">
        <f>(Y29/(Ventas!AE67*1)/60)</f>
        <v>8.3090721952654004E-2</v>
      </c>
      <c r="AA29" s="15">
        <f>(120*(Ventas!AE67*1) - IF(Y29&gt;0,Y29,0))</f>
        <v>651.84500000000003</v>
      </c>
      <c r="AB29" s="15">
        <f t="shared" si="2"/>
        <v>651.84500000000003</v>
      </c>
      <c r="AC29" s="15">
        <f t="shared" si="3"/>
        <v>680.1</v>
      </c>
      <c r="AD29" s="16">
        <v>0.56999999999999995</v>
      </c>
      <c r="AE29" s="8">
        <v>3025</v>
      </c>
      <c r="AF29" s="15">
        <f>(AC29-(60*Ventas!AE67*1))</f>
        <v>340.05</v>
      </c>
      <c r="AG29" s="18">
        <f>(AF29/(Ventas!AE67*1)/60)</f>
        <v>1</v>
      </c>
      <c r="AH29" s="1" t="s">
        <v>37</v>
      </c>
    </row>
    <row r="30" spans="1:34" x14ac:dyDescent="0.25">
      <c r="A30" s="1"/>
      <c r="B30" s="1" t="s">
        <v>167</v>
      </c>
      <c r="C30" s="14" t="s">
        <v>166</v>
      </c>
      <c r="D30" s="8">
        <v>204</v>
      </c>
      <c r="E30" s="12">
        <v>46238</v>
      </c>
      <c r="F30" s="7">
        <v>1</v>
      </c>
      <c r="G30" s="15">
        <f>(D30-(0)+0-(F30*Ventas!AE68*1))</f>
        <v>199.5187</v>
      </c>
      <c r="H30" s="18">
        <f>(G30/(Ventas!AE68*1)/60)</f>
        <v>0.74204174383921329</v>
      </c>
      <c r="I30" s="8">
        <v>360</v>
      </c>
      <c r="J30" s="15">
        <f t="shared" si="0"/>
        <v>559.51869999999997</v>
      </c>
      <c r="K30" s="15">
        <v>0.56999999999999995</v>
      </c>
      <c r="L30" s="15">
        <v>120</v>
      </c>
      <c r="M30" s="17">
        <v>2.81E-4</v>
      </c>
      <c r="N30" s="12">
        <v>46275</v>
      </c>
      <c r="O30" s="7">
        <v>37</v>
      </c>
      <c r="P30" s="15">
        <f>(IF(G30&gt;0,G30+I30,I30)-(O30*Ventas!AE68*1))</f>
        <v>393.7106</v>
      </c>
      <c r="Q30" s="18">
        <f>(P30/(Ventas!AE68*1)/60)</f>
        <v>1.4642722721829231</v>
      </c>
      <c r="R30" s="8">
        <v>0</v>
      </c>
      <c r="S30" s="15">
        <f t="shared" si="1"/>
        <v>393.7106</v>
      </c>
      <c r="T30" s="3"/>
      <c r="U30" s="15">
        <v>120</v>
      </c>
      <c r="V30" s="17">
        <v>2.81E-4</v>
      </c>
      <c r="W30" s="12">
        <v>46331</v>
      </c>
      <c r="X30" s="7">
        <v>56</v>
      </c>
      <c r="Y30" s="15">
        <f>(IF(P30&gt;0,P30+R30,R30)-(X30*Ventas!AE68*1))</f>
        <v>142.7578</v>
      </c>
      <c r="Z30" s="18">
        <f>(Y30/(Ventas!AE68*1)/60)</f>
        <v>0.53093893884958976</v>
      </c>
      <c r="AA30" s="15">
        <f>(120*(Ventas!AE68*1) - IF(Y30&gt;0,Y30,0))</f>
        <v>394.9982</v>
      </c>
      <c r="AB30" s="15">
        <f t="shared" si="2"/>
        <v>394.9982</v>
      </c>
      <c r="AC30" s="15">
        <f t="shared" si="3"/>
        <v>537.75599999999997</v>
      </c>
      <c r="AD30" s="16">
        <v>0.56999999999999995</v>
      </c>
      <c r="AE30" s="8">
        <v>3025</v>
      </c>
      <c r="AF30" s="15">
        <f>(AC30-(60*Ventas!AE68*1))</f>
        <v>268.87799999999999</v>
      </c>
      <c r="AG30" s="18">
        <f>(AF30/(Ventas!AE68*1)/60)</f>
        <v>0.99999999999999989</v>
      </c>
      <c r="AH30" s="1" t="s">
        <v>37</v>
      </c>
    </row>
    <row r="31" spans="1:34" x14ac:dyDescent="0.25">
      <c r="A31" s="1"/>
      <c r="B31" s="1" t="s">
        <v>169</v>
      </c>
      <c r="C31" s="14" t="s">
        <v>168</v>
      </c>
      <c r="D31" s="8">
        <v>152</v>
      </c>
      <c r="E31" s="12">
        <v>46238</v>
      </c>
      <c r="F31" s="7">
        <v>1</v>
      </c>
      <c r="G31" s="15">
        <f>(D31-(0)+0-(F31*Ventas!AE69*1))</f>
        <v>149.1617</v>
      </c>
      <c r="H31" s="18">
        <f>(G31/(Ventas!AE69*1)/60)</f>
        <v>0.8758863873915137</v>
      </c>
      <c r="I31" s="8">
        <v>240</v>
      </c>
      <c r="J31" s="15">
        <f t="shared" si="0"/>
        <v>389.1617</v>
      </c>
      <c r="K31" s="15">
        <v>0.83</v>
      </c>
      <c r="L31" s="15">
        <v>80</v>
      </c>
      <c r="M31" s="17">
        <v>3.4000000000000002E-4</v>
      </c>
      <c r="N31" s="12">
        <v>46275</v>
      </c>
      <c r="O31" s="7">
        <v>37</v>
      </c>
      <c r="P31" s="15">
        <f>(IF(G31&gt;0,G31+I31,I31)-(O31*Ventas!AE69*1))</f>
        <v>284.14459999999997</v>
      </c>
      <c r="Q31" s="18">
        <f>(P31/(Ventas!AE69*1)/60)</f>
        <v>1.6685140166061845</v>
      </c>
      <c r="R31" s="8">
        <v>0</v>
      </c>
      <c r="S31" s="15">
        <f t="shared" si="1"/>
        <v>284.14459999999997</v>
      </c>
      <c r="T31" s="3"/>
      <c r="U31" s="15">
        <v>80</v>
      </c>
      <c r="V31" s="17">
        <v>3.4000000000000002E-4</v>
      </c>
      <c r="W31" s="12">
        <v>46331</v>
      </c>
      <c r="X31" s="7">
        <v>56</v>
      </c>
      <c r="Y31" s="15">
        <f>(IF(P31&gt;0,P31+R31,R31)-(X31*Ventas!AE69*1))</f>
        <v>125.19979999999998</v>
      </c>
      <c r="Z31" s="18">
        <f>(Y31/(Ventas!AE69*1)/60)</f>
        <v>0.73518068327285113</v>
      </c>
      <c r="AA31" s="15">
        <f>(120*(Ventas!AE69*1) - IF(Y31&gt;0,Y31,0))</f>
        <v>215.39620000000002</v>
      </c>
      <c r="AB31" s="15">
        <f t="shared" si="2"/>
        <v>215.39620000000002</v>
      </c>
      <c r="AC31" s="15">
        <f t="shared" si="3"/>
        <v>340.596</v>
      </c>
      <c r="AD31" s="16">
        <v>0.83</v>
      </c>
      <c r="AE31" s="8">
        <v>3025</v>
      </c>
      <c r="AF31" s="15">
        <f>(AC31-(60*Ventas!AE69*1))</f>
        <v>170.298</v>
      </c>
      <c r="AG31" s="18">
        <f>(AF31/(Ventas!AE69*1)/60)</f>
        <v>1.0000000000000002</v>
      </c>
      <c r="AH31" s="1" t="s">
        <v>37</v>
      </c>
    </row>
    <row r="32" spans="1:34" x14ac:dyDescent="0.25">
      <c r="A32" s="1"/>
      <c r="B32" s="1" t="s">
        <v>171</v>
      </c>
      <c r="C32" s="14" t="s">
        <v>170</v>
      </c>
      <c r="D32" s="8">
        <v>148</v>
      </c>
      <c r="E32" s="12">
        <v>46238</v>
      </c>
      <c r="F32" s="7">
        <v>1</v>
      </c>
      <c r="G32" s="15">
        <f>(D32-(0)+0-(F32*Ventas!AE70*1))</f>
        <v>146.5153</v>
      </c>
      <c r="H32" s="18">
        <f>(G32/(Ventas!AE70*1)/60)</f>
        <v>1.6447239621921377</v>
      </c>
      <c r="I32" s="8">
        <v>120</v>
      </c>
      <c r="J32" s="15">
        <f t="shared" si="0"/>
        <v>266.51530000000002</v>
      </c>
      <c r="K32" s="15">
        <v>0.83</v>
      </c>
      <c r="L32" s="15">
        <v>80</v>
      </c>
      <c r="M32" s="17">
        <v>3.4000000000000002E-4</v>
      </c>
      <c r="N32" s="12">
        <v>46275</v>
      </c>
      <c r="O32" s="7">
        <v>37</v>
      </c>
      <c r="P32" s="15">
        <f>(IF(G32&gt;0,G32+I32,I32)-(O32*Ventas!AE70*1))</f>
        <v>211.58140000000003</v>
      </c>
      <c r="Q32" s="18">
        <f>(P32/(Ventas!AE70*1)/60)</f>
        <v>2.3751307783839612</v>
      </c>
      <c r="R32" s="8">
        <v>0</v>
      </c>
      <c r="S32" s="15">
        <f t="shared" si="1"/>
        <v>211.58140000000003</v>
      </c>
      <c r="T32" s="3"/>
      <c r="U32" s="15">
        <v>80</v>
      </c>
      <c r="V32" s="17">
        <v>3.4000000000000002E-4</v>
      </c>
      <c r="W32" s="12">
        <v>46331</v>
      </c>
      <c r="X32" s="7">
        <v>56</v>
      </c>
      <c r="Y32" s="15">
        <f>(IF(P32&gt;0,P32+R32,R32)-(X32*Ventas!AE70*1))</f>
        <v>128.43820000000005</v>
      </c>
      <c r="Z32" s="18">
        <f>(Y32/(Ventas!AE70*1)/60)</f>
        <v>1.4417974450506281</v>
      </c>
      <c r="AA32" s="15">
        <f>(120*(Ventas!AE70*1) - IF(Y32&gt;0,Y32,0))</f>
        <v>49.725799999999936</v>
      </c>
      <c r="AB32" s="15">
        <f t="shared" si="2"/>
        <v>49.725799999999936</v>
      </c>
      <c r="AC32" s="15">
        <f t="shared" si="3"/>
        <v>178.16399999999999</v>
      </c>
      <c r="AD32" s="16">
        <v>0.83</v>
      </c>
      <c r="AE32" s="8">
        <v>3025</v>
      </c>
      <c r="AF32" s="15">
        <f>(AC32-(60*Ventas!AE70*1))</f>
        <v>89.081999999999994</v>
      </c>
      <c r="AG32" s="18">
        <f>(AF32/(Ventas!AE70*1)/60)</f>
        <v>1</v>
      </c>
      <c r="AH32" s="1" t="s">
        <v>37</v>
      </c>
    </row>
    <row r="33" spans="1:34" x14ac:dyDescent="0.25">
      <c r="A33" s="1"/>
      <c r="B33" s="1" t="s">
        <v>173</v>
      </c>
      <c r="C33" s="14" t="s">
        <v>172</v>
      </c>
      <c r="D33" s="8">
        <v>1300</v>
      </c>
      <c r="E33" s="12">
        <v>46238</v>
      </c>
      <c r="F33" s="7">
        <v>1</v>
      </c>
      <c r="G33" s="15">
        <f>(D33-(0)+0-(F33*Ventas!AE71*1))</f>
        <v>1295.7384</v>
      </c>
      <c r="H33" s="18">
        <f>(G33/(Ventas!AE71*1)/60)</f>
        <v>5.0674957762342787</v>
      </c>
      <c r="I33" s="8">
        <v>0</v>
      </c>
      <c r="J33" s="15">
        <f t="shared" si="0"/>
        <v>1295.7384</v>
      </c>
      <c r="K33" s="3"/>
      <c r="L33" s="15">
        <v>120</v>
      </c>
      <c r="M33" s="17">
        <v>3.3100000000000002E-4</v>
      </c>
      <c r="N33" s="12">
        <v>46275</v>
      </c>
      <c r="O33" s="7">
        <v>37</v>
      </c>
      <c r="P33" s="15">
        <f>(IF(G33&gt;0,G33+I33,I33)-(O33*Ventas!AE71*1))</f>
        <v>1138.0591999999999</v>
      </c>
      <c r="Q33" s="18">
        <f>(P33/(Ventas!AE71*1)/60)</f>
        <v>4.4508291095676116</v>
      </c>
      <c r="R33" s="8">
        <v>0</v>
      </c>
      <c r="S33" s="15">
        <f t="shared" si="1"/>
        <v>1138.0591999999999</v>
      </c>
      <c r="T33" s="3"/>
      <c r="U33" s="15">
        <v>120</v>
      </c>
      <c r="V33" s="17">
        <v>3.3100000000000002E-4</v>
      </c>
      <c r="W33" s="12">
        <v>46331</v>
      </c>
      <c r="X33" s="7">
        <v>56</v>
      </c>
      <c r="Y33" s="15">
        <f>(IF(P33&gt;0,P33+R33,R33)-(X33*Ventas!AE71*1))</f>
        <v>899.40959999999995</v>
      </c>
      <c r="Z33" s="18">
        <f>(Y33/(Ventas!AE71*1)/60)</f>
        <v>3.5174957762342784</v>
      </c>
      <c r="AA33" s="15">
        <f>(120*(Ventas!AE71*1) - IF(Y33&gt;0,Y33,0))</f>
        <v>-388.01760000000002</v>
      </c>
      <c r="AB33" s="15">
        <f t="shared" si="2"/>
        <v>0</v>
      </c>
      <c r="AC33" s="15">
        <f t="shared" si="3"/>
        <v>899.40959999999995</v>
      </c>
      <c r="AD33" s="16">
        <v>0.2167</v>
      </c>
      <c r="AE33" s="8">
        <v>3010</v>
      </c>
      <c r="AF33" s="15">
        <f>(AC33-(60*Ventas!AE71*1))</f>
        <v>643.71360000000004</v>
      </c>
      <c r="AG33" s="18">
        <f>(AF33/(Ventas!AE71*1)/60)</f>
        <v>2.5174957762342784</v>
      </c>
      <c r="AH33" s="1" t="s">
        <v>37</v>
      </c>
    </row>
    <row r="34" spans="1:34" x14ac:dyDescent="0.25">
      <c r="A34" s="1"/>
      <c r="B34" s="1" t="s">
        <v>175</v>
      </c>
      <c r="C34" s="14" t="s">
        <v>174</v>
      </c>
      <c r="D34" s="8">
        <v>2117</v>
      </c>
      <c r="E34" s="12">
        <v>46238</v>
      </c>
      <c r="F34" s="7">
        <v>1</v>
      </c>
      <c r="G34" s="15">
        <f>(D34-(0)+0-(F34*Ventas!AE72*1))</f>
        <v>2109.1763999999998</v>
      </c>
      <c r="H34" s="18">
        <f>(G34/(Ventas!AE72*1)/60)</f>
        <v>4.4931923922490915</v>
      </c>
      <c r="I34" s="8">
        <v>0</v>
      </c>
      <c r="J34" s="15">
        <f t="shared" si="0"/>
        <v>2109.1763999999998</v>
      </c>
      <c r="K34" s="3"/>
      <c r="L34" s="15">
        <v>120</v>
      </c>
      <c r="M34" s="17">
        <v>3.3100000000000002E-4</v>
      </c>
      <c r="N34" s="12">
        <v>46275</v>
      </c>
      <c r="O34" s="7">
        <v>37</v>
      </c>
      <c r="P34" s="15">
        <f>(IF(G34&gt;0,G34+I34,I34)-(O34*Ventas!AE72*1))</f>
        <v>1819.7031999999999</v>
      </c>
      <c r="Q34" s="18">
        <f>(P34/(Ventas!AE72*1)/60)</f>
        <v>3.8765257255824257</v>
      </c>
      <c r="R34" s="8">
        <v>0</v>
      </c>
      <c r="S34" s="15">
        <f t="shared" si="1"/>
        <v>1819.7031999999999</v>
      </c>
      <c r="T34" s="3"/>
      <c r="U34" s="15">
        <v>120</v>
      </c>
      <c r="V34" s="17">
        <v>3.3100000000000002E-4</v>
      </c>
      <c r="W34" s="12">
        <v>46331</v>
      </c>
      <c r="X34" s="7">
        <v>56</v>
      </c>
      <c r="Y34" s="15">
        <f>(IF(P34&gt;0,P34+R34,R34)-(X34*Ventas!AE72*1))</f>
        <v>1381.5816</v>
      </c>
      <c r="Z34" s="18">
        <f>(Y34/(Ventas!AE72*1)/60)</f>
        <v>2.9431923922490926</v>
      </c>
      <c r="AA34" s="15">
        <f>(120*(Ventas!AE72*1) - IF(Y34&gt;0,Y34,0))</f>
        <v>-442.74959999999999</v>
      </c>
      <c r="AB34" s="15">
        <f t="shared" si="2"/>
        <v>0</v>
      </c>
      <c r="AC34" s="15">
        <f t="shared" si="3"/>
        <v>1381.5816</v>
      </c>
      <c r="AD34" s="16">
        <v>0.2833</v>
      </c>
      <c r="AE34" s="8">
        <v>3010</v>
      </c>
      <c r="AF34" s="15">
        <f>(AC34-(60*Ventas!AE72*1))</f>
        <v>912.16560000000004</v>
      </c>
      <c r="AG34" s="18">
        <f>(AF34/(Ventas!AE72*1)/60)</f>
        <v>1.9431923922490926</v>
      </c>
      <c r="AH34" s="1" t="s">
        <v>37</v>
      </c>
    </row>
    <row r="35" spans="1:34" x14ac:dyDescent="0.25">
      <c r="A35" s="1"/>
      <c r="B35" s="1" t="s">
        <v>177</v>
      </c>
      <c r="C35" s="14" t="s">
        <v>176</v>
      </c>
      <c r="D35" s="3"/>
      <c r="E35" s="12">
        <v>46238</v>
      </c>
      <c r="F35" s="7">
        <v>1</v>
      </c>
      <c r="G35" s="15">
        <f>(D35-(0)+0-(F35*Ventas!AE73*1))</f>
        <v>-0.63200000000000001</v>
      </c>
      <c r="H35" s="18">
        <f>(G35/(Ventas!AE73*1)/60)</f>
        <v>-1.6666666666666666E-2</v>
      </c>
      <c r="I35" s="8">
        <v>0</v>
      </c>
      <c r="J35" s="15">
        <f t="shared" si="0"/>
        <v>0</v>
      </c>
      <c r="K35" s="3"/>
      <c r="L35" s="15">
        <v>60</v>
      </c>
      <c r="M35" s="17">
        <v>4.7199999999999998E-4</v>
      </c>
      <c r="N35" s="12">
        <v>46275</v>
      </c>
      <c r="O35" s="7">
        <v>37</v>
      </c>
      <c r="P35" s="15">
        <f>(IF(G35&gt;0,G35+I35,I35)-(O35*Ventas!AE73*1))</f>
        <v>-23.384</v>
      </c>
      <c r="Q35" s="18">
        <f>(P35/(Ventas!AE73*1)/60)</f>
        <v>-0.6166666666666667</v>
      </c>
      <c r="R35" s="8">
        <v>0</v>
      </c>
      <c r="S35" s="15">
        <f t="shared" si="1"/>
        <v>0</v>
      </c>
      <c r="T35" s="3"/>
      <c r="U35" s="15">
        <v>60</v>
      </c>
      <c r="V35" s="17">
        <v>4.7199999999999998E-4</v>
      </c>
      <c r="W35" s="12">
        <v>46331</v>
      </c>
      <c r="X35" s="7">
        <v>56</v>
      </c>
      <c r="Y35" s="15">
        <f>(IF(P35&gt;0,P35+R35,R35)-(X35*Ventas!AE73*1))</f>
        <v>-35.392000000000003</v>
      </c>
      <c r="Z35" s="18">
        <f>(Y35/(Ventas!AE73*1)/60)</f>
        <v>-0.93333333333333346</v>
      </c>
      <c r="AA35" s="15">
        <f>(120*(Ventas!AE73*1) - IF(Y35&gt;0,Y35,0))</f>
        <v>75.84</v>
      </c>
      <c r="AB35" s="15">
        <f t="shared" si="2"/>
        <v>75.84</v>
      </c>
      <c r="AC35" s="15">
        <f t="shared" si="3"/>
        <v>75.84</v>
      </c>
      <c r="AD35" s="16">
        <v>1.02</v>
      </c>
      <c r="AE35" s="8">
        <v>3010</v>
      </c>
      <c r="AF35" s="15">
        <f>(AC35-(60*Ventas!AE73*1))</f>
        <v>37.92</v>
      </c>
      <c r="AG35" s="18">
        <f>(AF35/(Ventas!AE73*1)/60)</f>
        <v>1</v>
      </c>
      <c r="AH35" s="1" t="s">
        <v>34</v>
      </c>
    </row>
    <row r="36" spans="1:34" x14ac:dyDescent="0.25">
      <c r="A36" s="1"/>
      <c r="B36" s="1" t="s">
        <v>179</v>
      </c>
      <c r="C36" s="14" t="s">
        <v>178</v>
      </c>
      <c r="D36" s="3"/>
      <c r="E36" s="12">
        <v>46238</v>
      </c>
      <c r="F36" s="7">
        <v>1</v>
      </c>
      <c r="G36" s="15">
        <f>(D36-(0)+0-(F36*Ventas!AE74*1))</f>
        <v>-1.5241</v>
      </c>
      <c r="H36" s="18">
        <f>(G36/(Ventas!AE74*1)/60)</f>
        <v>-1.6666666666666666E-2</v>
      </c>
      <c r="I36" s="8">
        <v>252</v>
      </c>
      <c r="J36" s="15">
        <f t="shared" si="0"/>
        <v>252</v>
      </c>
      <c r="K36" s="15">
        <v>1.2</v>
      </c>
      <c r="L36" s="15">
        <v>84</v>
      </c>
      <c r="M36" s="17">
        <v>4.0200000000000001E-4</v>
      </c>
      <c r="N36" s="12">
        <v>46275</v>
      </c>
      <c r="O36" s="7">
        <v>37</v>
      </c>
      <c r="P36" s="15">
        <f>(IF(G36&gt;0,G36+I36,I36)-(O36*Ventas!AE74*1))</f>
        <v>195.60829999999999</v>
      </c>
      <c r="Q36" s="18">
        <f>(P36/(Ventas!AE74*1)/60)</f>
        <v>2.1390580233143055</v>
      </c>
      <c r="R36" s="8">
        <v>0</v>
      </c>
      <c r="S36" s="15">
        <f t="shared" si="1"/>
        <v>195.60829999999999</v>
      </c>
      <c r="T36" s="3"/>
      <c r="U36" s="15">
        <v>84</v>
      </c>
      <c r="V36" s="17">
        <v>4.0200000000000001E-4</v>
      </c>
      <c r="W36" s="12">
        <v>46331</v>
      </c>
      <c r="X36" s="7">
        <v>56</v>
      </c>
      <c r="Y36" s="15">
        <f>(IF(P36&gt;0,P36+R36,R36)-(X36*Ventas!AE74*1))</f>
        <v>110.25869999999999</v>
      </c>
      <c r="Z36" s="18">
        <f>(Y36/(Ventas!AE74*1)/60)</f>
        <v>1.2057246899809722</v>
      </c>
      <c r="AA36" s="15">
        <f>(120*(Ventas!AE74*1) - IF(Y36&gt;0,Y36,0))</f>
        <v>72.633300000000006</v>
      </c>
      <c r="AB36" s="15">
        <f t="shared" si="2"/>
        <v>72.633300000000006</v>
      </c>
      <c r="AC36" s="15">
        <f t="shared" si="3"/>
        <v>182.892</v>
      </c>
      <c r="AD36" s="16">
        <v>1.2</v>
      </c>
      <c r="AE36" s="8">
        <v>3025</v>
      </c>
      <c r="AF36" s="15">
        <f>(AC36-(60*Ventas!AE74*1))</f>
        <v>91.445999999999998</v>
      </c>
      <c r="AG36" s="18">
        <f>(AF36/(Ventas!AE74*1)/60)</f>
        <v>1</v>
      </c>
      <c r="AH36" s="1" t="s">
        <v>37</v>
      </c>
    </row>
    <row r="37" spans="1:34" x14ac:dyDescent="0.25">
      <c r="A37" s="1"/>
      <c r="B37" s="1" t="s">
        <v>181</v>
      </c>
      <c r="C37" s="14" t="s">
        <v>180</v>
      </c>
      <c r="D37" s="3"/>
      <c r="E37" s="12">
        <v>46238</v>
      </c>
      <c r="F37" s="7">
        <v>1</v>
      </c>
      <c r="G37" s="15">
        <f>(D37-(0)+0-(F37*Ventas!AE75*1))</f>
        <v>-0.68259999999999998</v>
      </c>
      <c r="H37" s="18">
        <f>(G37/(Ventas!AE75*1)/60)</f>
        <v>-1.6666666666666666E-2</v>
      </c>
      <c r="I37" s="8">
        <v>0</v>
      </c>
      <c r="J37" s="15">
        <f t="shared" si="0"/>
        <v>0</v>
      </c>
      <c r="K37" s="3"/>
      <c r="L37" s="15">
        <v>84</v>
      </c>
      <c r="M37" s="17">
        <v>4.0200000000000001E-4</v>
      </c>
      <c r="N37" s="12">
        <v>46275</v>
      </c>
      <c r="O37" s="7">
        <v>37</v>
      </c>
      <c r="P37" s="15">
        <f>(IF(G37&gt;0,G37+I37,I37)-(O37*Ventas!AE75*1))</f>
        <v>-25.2562</v>
      </c>
      <c r="Q37" s="18">
        <f>(P37/(Ventas!AE75*1)/60)</f>
        <v>-0.6166666666666667</v>
      </c>
      <c r="R37" s="8">
        <v>0</v>
      </c>
      <c r="S37" s="15">
        <f t="shared" si="1"/>
        <v>0</v>
      </c>
      <c r="T37" s="3"/>
      <c r="U37" s="15">
        <v>84</v>
      </c>
      <c r="V37" s="17">
        <v>4.0200000000000001E-4</v>
      </c>
      <c r="W37" s="12">
        <v>46331</v>
      </c>
      <c r="X37" s="7">
        <v>56</v>
      </c>
      <c r="Y37" s="15">
        <f>(IF(P37&gt;0,P37+R37,R37)-(X37*Ventas!AE75*1))</f>
        <v>-38.2256</v>
      </c>
      <c r="Z37" s="18">
        <f>(Y37/(Ventas!AE75*1)/60)</f>
        <v>-0.93333333333333335</v>
      </c>
      <c r="AA37" s="15">
        <f>(120*(Ventas!AE75*1) - IF(Y37&gt;0,Y37,0))</f>
        <v>81.911999999999992</v>
      </c>
      <c r="AB37" s="15">
        <f t="shared" si="2"/>
        <v>81.911999999999992</v>
      </c>
      <c r="AC37" s="15">
        <f t="shared" si="3"/>
        <v>81.911999999999992</v>
      </c>
      <c r="AD37" s="16">
        <v>0.95</v>
      </c>
      <c r="AE37" s="8">
        <v>3010</v>
      </c>
      <c r="AF37" s="15">
        <f>(AC37-(60*Ventas!AE75*1))</f>
        <v>40.955999999999996</v>
      </c>
      <c r="AG37" s="18">
        <f>(AF37/(Ventas!AE75*1)/60)</f>
        <v>0.99999999999999989</v>
      </c>
      <c r="AH37" s="1" t="s">
        <v>37</v>
      </c>
    </row>
    <row r="38" spans="1:34" x14ac:dyDescent="0.25">
      <c r="A38" s="1"/>
      <c r="B38" s="1" t="s">
        <v>183</v>
      </c>
      <c r="C38" s="14" t="s">
        <v>182</v>
      </c>
      <c r="D38" s="3"/>
      <c r="E38" s="12">
        <v>46238</v>
      </c>
      <c r="F38" s="7">
        <v>1</v>
      </c>
      <c r="G38" s="15">
        <f>(D38-(0)+0-(F38*Ventas!AE76*1))</f>
        <v>0</v>
      </c>
      <c r="H38" s="3"/>
      <c r="I38" s="8">
        <v>0</v>
      </c>
      <c r="J38" s="15">
        <f t="shared" si="0"/>
        <v>0</v>
      </c>
      <c r="K38" s="3"/>
      <c r="L38" s="15">
        <v>60</v>
      </c>
      <c r="M38" s="17">
        <v>4.7199999999999998E-4</v>
      </c>
      <c r="N38" s="12">
        <v>46275</v>
      </c>
      <c r="O38" s="7">
        <v>37</v>
      </c>
      <c r="P38" s="15">
        <f>(IF(G38&gt;0,G38+I38,I38)-(O38*Ventas!AE76*1))</f>
        <v>0</v>
      </c>
      <c r="Q38" s="3"/>
      <c r="R38" s="8">
        <v>0</v>
      </c>
      <c r="S38" s="15">
        <f t="shared" si="1"/>
        <v>0</v>
      </c>
      <c r="T38" s="3"/>
      <c r="U38" s="15">
        <v>60</v>
      </c>
      <c r="V38" s="17">
        <v>4.7199999999999998E-4</v>
      </c>
      <c r="W38" s="12">
        <v>46331</v>
      </c>
      <c r="X38" s="7">
        <v>56</v>
      </c>
      <c r="Y38" s="15">
        <f>(IF(P38&gt;0,P38+R38,R38)-(X38*Ventas!AE76*1))</f>
        <v>0</v>
      </c>
      <c r="Z38" s="3"/>
      <c r="AA38" s="15">
        <f>(120*(Ventas!AE76*1) - IF(Y38&gt;0,Y38,0))</f>
        <v>0</v>
      </c>
      <c r="AB38" s="15">
        <f t="shared" si="2"/>
        <v>0</v>
      </c>
      <c r="AC38" s="15">
        <f t="shared" si="3"/>
        <v>0</v>
      </c>
      <c r="AD38" s="16">
        <v>0.69</v>
      </c>
      <c r="AE38" s="8">
        <v>3017</v>
      </c>
      <c r="AF38" s="3"/>
      <c r="AG38" s="3"/>
      <c r="AH38" s="1" t="s">
        <v>34</v>
      </c>
    </row>
    <row r="39" spans="1:34" x14ac:dyDescent="0.25">
      <c r="A39" s="1"/>
      <c r="B39" s="1" t="s">
        <v>185</v>
      </c>
      <c r="C39" s="14" t="s">
        <v>184</v>
      </c>
      <c r="D39" s="3"/>
      <c r="E39" s="12">
        <v>46238</v>
      </c>
      <c r="F39" s="7">
        <v>1</v>
      </c>
      <c r="G39" s="15">
        <f>(D39-(0)+0-(F39*Ventas!AE77*1))</f>
        <v>0</v>
      </c>
      <c r="H39" s="3"/>
      <c r="I39" s="8">
        <v>0</v>
      </c>
      <c r="J39" s="15">
        <f t="shared" si="0"/>
        <v>0</v>
      </c>
      <c r="K39" s="3"/>
      <c r="L39" s="15">
        <v>60</v>
      </c>
      <c r="M39" s="17">
        <v>4.7199999999999998E-4</v>
      </c>
      <c r="N39" s="12">
        <v>46275</v>
      </c>
      <c r="O39" s="7">
        <v>37</v>
      </c>
      <c r="P39" s="15">
        <f>(IF(G39&gt;0,G39+I39,I39)-(O39*Ventas!AE77*1))</f>
        <v>0</v>
      </c>
      <c r="Q39" s="3"/>
      <c r="R39" s="8">
        <v>0</v>
      </c>
      <c r="S39" s="15">
        <f t="shared" si="1"/>
        <v>0</v>
      </c>
      <c r="T39" s="3"/>
      <c r="U39" s="15">
        <v>60</v>
      </c>
      <c r="V39" s="17">
        <v>4.7199999999999998E-4</v>
      </c>
      <c r="W39" s="12">
        <v>46331</v>
      </c>
      <c r="X39" s="7">
        <v>56</v>
      </c>
      <c r="Y39" s="15">
        <f>(IF(P39&gt;0,P39+R39,R39)-(X39*Ventas!AE77*1))</f>
        <v>0</v>
      </c>
      <c r="Z39" s="3"/>
      <c r="AA39" s="15">
        <f>(120*(Ventas!AE77*1) - IF(Y39&gt;0,Y39,0))</f>
        <v>0</v>
      </c>
      <c r="AB39" s="15">
        <f t="shared" si="2"/>
        <v>0</v>
      </c>
      <c r="AC39" s="15">
        <f t="shared" si="3"/>
        <v>0</v>
      </c>
      <c r="AD39" s="16">
        <v>0.59</v>
      </c>
      <c r="AE39" s="8">
        <v>3010</v>
      </c>
      <c r="AF39" s="3"/>
      <c r="AG39" s="3"/>
      <c r="AH39" s="1" t="s">
        <v>34</v>
      </c>
    </row>
    <row r="40" spans="1:34" x14ac:dyDescent="0.25">
      <c r="A40" s="1"/>
      <c r="B40" s="1" t="s">
        <v>187</v>
      </c>
      <c r="C40" s="14" t="s">
        <v>186</v>
      </c>
      <c r="D40" s="3"/>
      <c r="E40" s="12">
        <v>46238</v>
      </c>
      <c r="F40" s="7">
        <v>1</v>
      </c>
      <c r="G40" s="15">
        <f>(D40-(0)+0-(F40*Ventas!AE78*1))</f>
        <v>0</v>
      </c>
      <c r="H40" s="3"/>
      <c r="I40" s="8">
        <v>0</v>
      </c>
      <c r="J40" s="15">
        <f t="shared" si="0"/>
        <v>0</v>
      </c>
      <c r="K40" s="3"/>
      <c r="L40" s="15">
        <v>60</v>
      </c>
      <c r="M40" s="17">
        <v>4.7199999999999998E-4</v>
      </c>
      <c r="N40" s="12">
        <v>46275</v>
      </c>
      <c r="O40" s="7">
        <v>37</v>
      </c>
      <c r="P40" s="15">
        <f>(IF(G40&gt;0,G40+I40,I40)-(O40*Ventas!AE78*1))</f>
        <v>0</v>
      </c>
      <c r="Q40" s="3"/>
      <c r="R40" s="8">
        <v>0</v>
      </c>
      <c r="S40" s="15">
        <f t="shared" si="1"/>
        <v>0</v>
      </c>
      <c r="T40" s="3"/>
      <c r="U40" s="15">
        <v>60</v>
      </c>
      <c r="V40" s="17">
        <v>4.7199999999999998E-4</v>
      </c>
      <c r="W40" s="12">
        <v>46331</v>
      </c>
      <c r="X40" s="7">
        <v>56</v>
      </c>
      <c r="Y40" s="15">
        <f>(IF(P40&gt;0,P40+R40,R40)-(X40*Ventas!AE78*1))</f>
        <v>0</v>
      </c>
      <c r="Z40" s="3"/>
      <c r="AA40" s="15">
        <f>(120*(Ventas!AE78*1) - IF(Y40&gt;0,Y40,0))</f>
        <v>0</v>
      </c>
      <c r="AB40" s="15">
        <f t="shared" si="2"/>
        <v>0</v>
      </c>
      <c r="AC40" s="15">
        <f t="shared" si="3"/>
        <v>0</v>
      </c>
      <c r="AD40" s="16">
        <v>0.73</v>
      </c>
      <c r="AE40" s="8">
        <v>3010</v>
      </c>
      <c r="AF40" s="3"/>
      <c r="AG40" s="3"/>
      <c r="AH40" s="1" t="s">
        <v>34</v>
      </c>
    </row>
    <row r="41" spans="1:34" x14ac:dyDescent="0.25">
      <c r="A41" s="1"/>
      <c r="B41" s="1" t="s">
        <v>189</v>
      </c>
      <c r="C41" s="14" t="s">
        <v>188</v>
      </c>
      <c r="D41" s="3"/>
      <c r="E41" s="12">
        <v>46238</v>
      </c>
      <c r="F41" s="7">
        <v>1</v>
      </c>
      <c r="G41" s="15">
        <f>(D41-(0)+0-(F41*Ventas!AE79*1))</f>
        <v>0</v>
      </c>
      <c r="H41" s="3"/>
      <c r="I41" s="8">
        <v>0</v>
      </c>
      <c r="J41" s="15">
        <f t="shared" si="0"/>
        <v>0</v>
      </c>
      <c r="K41" s="3"/>
      <c r="L41" s="15">
        <v>60</v>
      </c>
      <c r="M41" s="17">
        <v>4.7199999999999998E-4</v>
      </c>
      <c r="N41" s="12">
        <v>46275</v>
      </c>
      <c r="O41" s="7">
        <v>37</v>
      </c>
      <c r="P41" s="15">
        <f>(IF(G41&gt;0,G41+I41,I41)-(O41*Ventas!AE79*1))</f>
        <v>0</v>
      </c>
      <c r="Q41" s="3"/>
      <c r="R41" s="8">
        <v>0</v>
      </c>
      <c r="S41" s="15">
        <f t="shared" si="1"/>
        <v>0</v>
      </c>
      <c r="T41" s="3"/>
      <c r="U41" s="15">
        <v>60</v>
      </c>
      <c r="V41" s="17">
        <v>4.7199999999999998E-4</v>
      </c>
      <c r="W41" s="12">
        <v>46331</v>
      </c>
      <c r="X41" s="7">
        <v>56</v>
      </c>
      <c r="Y41" s="15">
        <f>(IF(P41&gt;0,P41+R41,R41)-(X41*Ventas!AE79*1))</f>
        <v>0</v>
      </c>
      <c r="Z41" s="3"/>
      <c r="AA41" s="15">
        <f>(120*(Ventas!AE79*1) - IF(Y41&gt;0,Y41,0))</f>
        <v>0</v>
      </c>
      <c r="AB41" s="15">
        <f t="shared" si="2"/>
        <v>0</v>
      </c>
      <c r="AC41" s="15">
        <f t="shared" si="3"/>
        <v>0</v>
      </c>
      <c r="AD41" s="16">
        <v>0.69</v>
      </c>
      <c r="AE41" s="8">
        <v>3017</v>
      </c>
      <c r="AF41" s="3"/>
      <c r="AG41" s="3"/>
      <c r="AH41" s="1" t="s">
        <v>34</v>
      </c>
    </row>
    <row r="42" spans="1:34" x14ac:dyDescent="0.25">
      <c r="A42" s="1"/>
      <c r="B42" s="1" t="s">
        <v>191</v>
      </c>
      <c r="C42" s="14" t="s">
        <v>190</v>
      </c>
      <c r="D42" s="3"/>
      <c r="E42" s="12">
        <v>46238</v>
      </c>
      <c r="F42" s="7">
        <v>1</v>
      </c>
      <c r="G42" s="15">
        <f>(D42-(0)+0-(F42*Ventas!AE80*1))</f>
        <v>-0.42180000000000001</v>
      </c>
      <c r="H42" s="18">
        <f>(G42/(Ventas!AE80*1)/60)</f>
        <v>-1.6666666666666666E-2</v>
      </c>
      <c r="I42" s="8">
        <v>0</v>
      </c>
      <c r="J42" s="15">
        <f t="shared" si="0"/>
        <v>0</v>
      </c>
      <c r="K42" s="3"/>
      <c r="L42" s="15">
        <v>120</v>
      </c>
      <c r="M42" s="17">
        <v>3.3100000000000002E-4</v>
      </c>
      <c r="N42" s="12">
        <v>46275</v>
      </c>
      <c r="O42" s="7">
        <v>37</v>
      </c>
      <c r="P42" s="15">
        <f>(IF(G42&gt;0,G42+I42,I42)-(O42*Ventas!AE80*1))</f>
        <v>-15.6066</v>
      </c>
      <c r="Q42" s="18">
        <f>(P42/(Ventas!AE80*1)/60)</f>
        <v>-0.6166666666666667</v>
      </c>
      <c r="R42" s="8">
        <v>0</v>
      </c>
      <c r="S42" s="15">
        <f t="shared" si="1"/>
        <v>0</v>
      </c>
      <c r="T42" s="3"/>
      <c r="U42" s="15">
        <v>120</v>
      </c>
      <c r="V42" s="17">
        <v>3.3100000000000002E-4</v>
      </c>
      <c r="W42" s="12">
        <v>46331</v>
      </c>
      <c r="X42" s="7">
        <v>56</v>
      </c>
      <c r="Y42" s="15">
        <f>(IF(P42&gt;0,P42+R42,R42)-(X42*Ventas!AE80*1))</f>
        <v>-23.620799999999999</v>
      </c>
      <c r="Z42" s="18">
        <f>(Y42/(Ventas!AE80*1)/60)</f>
        <v>-0.93333333333333335</v>
      </c>
      <c r="AA42" s="15">
        <f>(120*(Ventas!AE80*1) - IF(Y42&gt;0,Y42,0))</f>
        <v>50.616</v>
      </c>
      <c r="AB42" s="15">
        <f t="shared" si="2"/>
        <v>50.616</v>
      </c>
      <c r="AC42" s="15">
        <f t="shared" si="3"/>
        <v>50.616</v>
      </c>
      <c r="AD42" s="16">
        <v>0.54</v>
      </c>
      <c r="AE42" s="8">
        <v>3025</v>
      </c>
      <c r="AF42" s="15">
        <f>(AC42-(60*Ventas!AE80*1))</f>
        <v>25.308</v>
      </c>
      <c r="AG42" s="18">
        <f>(AF42/(Ventas!AE80*1)/60)</f>
        <v>1</v>
      </c>
      <c r="AH42" s="1" t="s">
        <v>34</v>
      </c>
    </row>
    <row r="43" spans="1:34" x14ac:dyDescent="0.25">
      <c r="A43" s="1"/>
      <c r="B43" s="1" t="s">
        <v>193</v>
      </c>
      <c r="C43" s="14" t="s">
        <v>192</v>
      </c>
      <c r="D43" s="8">
        <v>104</v>
      </c>
      <c r="E43" s="12">
        <v>46238</v>
      </c>
      <c r="F43" s="7">
        <v>1</v>
      </c>
      <c r="G43" s="15">
        <f>(D43-(0)+0-(F43*Ventas!AE81*1))</f>
        <v>103.63160000000001</v>
      </c>
      <c r="H43" s="18">
        <f>(G43/(Ventas!AE81*1)/60)</f>
        <v>4.6883640969960192</v>
      </c>
      <c r="I43" s="8">
        <v>0</v>
      </c>
      <c r="J43" s="15">
        <f t="shared" si="0"/>
        <v>103.63160000000001</v>
      </c>
      <c r="K43" s="3"/>
      <c r="L43" s="15">
        <v>60</v>
      </c>
      <c r="M43" s="17">
        <v>4.7199999999999998E-4</v>
      </c>
      <c r="N43" s="12">
        <v>46275</v>
      </c>
      <c r="O43" s="7">
        <v>37</v>
      </c>
      <c r="P43" s="15">
        <f>(IF(G43&gt;0,G43+I43,I43)-(O43*Ventas!AE81*1))</f>
        <v>90.000799999999998</v>
      </c>
      <c r="Q43" s="18">
        <f>(P43/(Ventas!AE81*1)/60)</f>
        <v>4.0716974303293521</v>
      </c>
      <c r="R43" s="8">
        <v>0</v>
      </c>
      <c r="S43" s="15">
        <f t="shared" si="1"/>
        <v>90.000799999999998</v>
      </c>
      <c r="T43" s="3"/>
      <c r="U43" s="15">
        <v>60</v>
      </c>
      <c r="V43" s="17">
        <v>4.7199999999999998E-4</v>
      </c>
      <c r="W43" s="12">
        <v>46331</v>
      </c>
      <c r="X43" s="7">
        <v>56</v>
      </c>
      <c r="Y43" s="15">
        <f>(IF(P43&gt;0,P43+R43,R43)-(X43*Ventas!AE81*1))</f>
        <v>69.370399999999989</v>
      </c>
      <c r="Z43" s="18">
        <f>(Y43/(Ventas!AE81*1)/60)</f>
        <v>3.1383640969960185</v>
      </c>
      <c r="AA43" s="15">
        <f>(120*(Ventas!AE81*1) - IF(Y43&gt;0,Y43,0))</f>
        <v>-25.162399999999991</v>
      </c>
      <c r="AB43" s="15">
        <f t="shared" si="2"/>
        <v>0</v>
      </c>
      <c r="AC43" s="15">
        <f t="shared" si="3"/>
        <v>69.370399999999989</v>
      </c>
      <c r="AD43" s="16">
        <v>0.54</v>
      </c>
      <c r="AE43" s="8">
        <v>3025</v>
      </c>
      <c r="AF43" s="15">
        <f>(AC43-(60*Ventas!AE81*1))</f>
        <v>47.26639999999999</v>
      </c>
      <c r="AG43" s="18">
        <f>(AF43/(Ventas!AE81*1)/60)</f>
        <v>2.1383640969960185</v>
      </c>
      <c r="AH43" s="1" t="s">
        <v>34</v>
      </c>
    </row>
    <row r="44" spans="1:34" x14ac:dyDescent="0.25">
      <c r="A44" s="1"/>
      <c r="B44" s="1" t="s">
        <v>195</v>
      </c>
      <c r="C44" s="14" t="s">
        <v>194</v>
      </c>
      <c r="D44" s="8">
        <v>14</v>
      </c>
      <c r="E44" s="12">
        <v>46238</v>
      </c>
      <c r="F44" s="7">
        <v>1</v>
      </c>
      <c r="G44" s="15">
        <f>(D44-(0)+0-(F44*Ventas!AE82*1))</f>
        <v>11.422599999999999</v>
      </c>
      <c r="H44" s="18">
        <f>(G44/(Ventas!AE82*1)/60)</f>
        <v>7.3863842114792674E-2</v>
      </c>
      <c r="I44" s="8">
        <v>120</v>
      </c>
      <c r="J44" s="15">
        <f t="shared" si="0"/>
        <v>131.42259999999999</v>
      </c>
      <c r="K44" s="15">
        <v>1.05</v>
      </c>
      <c r="L44" s="15">
        <v>120</v>
      </c>
      <c r="M44" s="17">
        <v>2.81E-4</v>
      </c>
      <c r="N44" s="12">
        <v>46275</v>
      </c>
      <c r="O44" s="7">
        <v>37</v>
      </c>
      <c r="P44" s="15">
        <f>(IF(G44&gt;0,G44+I44,I44)-(O44*Ventas!AE82*1))</f>
        <v>36.058799999999991</v>
      </c>
      <c r="Q44" s="18">
        <f>(P44/(Ventas!AE82*1)/60)</f>
        <v>0.23317296500349186</v>
      </c>
      <c r="R44" s="8">
        <v>240</v>
      </c>
      <c r="S44" s="15">
        <f t="shared" si="1"/>
        <v>276.05880000000002</v>
      </c>
      <c r="T44" s="15">
        <v>1.06</v>
      </c>
      <c r="U44" s="15">
        <v>120</v>
      </c>
      <c r="V44" s="17">
        <v>2.81E-4</v>
      </c>
      <c r="W44" s="12">
        <v>46331</v>
      </c>
      <c r="X44" s="7">
        <v>56</v>
      </c>
      <c r="Y44" s="15">
        <f>(IF(P44&gt;0,P44+R44,R44)-(X44*Ventas!AE82*1))</f>
        <v>131.72440000000003</v>
      </c>
      <c r="Z44" s="18">
        <f>(Y44/(Ventas!AE82*1)/60)</f>
        <v>0.85179121078089048</v>
      </c>
      <c r="AA44" s="15">
        <f>(120*(Ventas!AE82*1) - IF(Y44&gt;0,Y44,0))</f>
        <v>177.56359999999998</v>
      </c>
      <c r="AB44" s="15">
        <f t="shared" si="2"/>
        <v>177.56359999999998</v>
      </c>
      <c r="AC44" s="15">
        <f t="shared" si="3"/>
        <v>309.28800000000001</v>
      </c>
      <c r="AD44" s="16">
        <v>1.05</v>
      </c>
      <c r="AE44" s="8">
        <v>3025</v>
      </c>
      <c r="AF44" s="15">
        <f>(AC44-(60*Ventas!AE82*1))</f>
        <v>154.64400000000001</v>
      </c>
      <c r="AG44" s="18">
        <f>(AF44/(Ventas!AE82*1)/60)</f>
        <v>1.0000000000000002</v>
      </c>
      <c r="AH44" s="1" t="s">
        <v>37</v>
      </c>
    </row>
    <row r="45" spans="1:34" x14ac:dyDescent="0.25">
      <c r="A45" s="1"/>
      <c r="B45" s="1" t="s">
        <v>197</v>
      </c>
      <c r="C45" s="14" t="s">
        <v>196</v>
      </c>
      <c r="D45" s="8">
        <v>119</v>
      </c>
      <c r="E45" s="12">
        <v>46238</v>
      </c>
      <c r="F45" s="7">
        <v>1</v>
      </c>
      <c r="G45" s="15">
        <f>(D45-(0)+0-(F45*Ventas!AE83*1))</f>
        <v>118.1708</v>
      </c>
      <c r="H45" s="18">
        <f>(G45/(Ventas!AE83*1)/60)</f>
        <v>2.3751969770059493</v>
      </c>
      <c r="I45" s="8">
        <v>0</v>
      </c>
      <c r="J45" s="15">
        <f t="shared" si="0"/>
        <v>118.1708</v>
      </c>
      <c r="K45" s="3"/>
      <c r="L45" s="15">
        <v>84</v>
      </c>
      <c r="M45" s="17">
        <v>4.0200000000000001E-4</v>
      </c>
      <c r="N45" s="12">
        <v>46275</v>
      </c>
      <c r="O45" s="7">
        <v>37</v>
      </c>
      <c r="P45" s="15">
        <f>(IF(G45&gt;0,G45+I45,I45)-(O45*Ventas!AE83*1))</f>
        <v>87.490399999999994</v>
      </c>
      <c r="Q45" s="18">
        <f>(P45/(Ventas!AE83*1)/60)</f>
        <v>1.7585303103392826</v>
      </c>
      <c r="R45" s="8">
        <v>0</v>
      </c>
      <c r="S45" s="15">
        <f t="shared" si="1"/>
        <v>87.490399999999994</v>
      </c>
      <c r="T45" s="3"/>
      <c r="U45" s="15">
        <v>84</v>
      </c>
      <c r="V45" s="17">
        <v>4.0200000000000001E-4</v>
      </c>
      <c r="W45" s="12">
        <v>46331</v>
      </c>
      <c r="X45" s="7">
        <v>56</v>
      </c>
      <c r="Y45" s="15">
        <f>(IF(P45&gt;0,P45+R45,R45)-(X45*Ventas!AE83*1))</f>
        <v>41.055199999999992</v>
      </c>
      <c r="Z45" s="18">
        <f>(Y45/(Ventas!AE83*1)/60)</f>
        <v>0.82519697700594929</v>
      </c>
      <c r="AA45" s="15">
        <f>(120*(Ventas!AE83*1) - IF(Y45&gt;0,Y45,0))</f>
        <v>58.448800000000013</v>
      </c>
      <c r="AB45" s="15">
        <f t="shared" si="2"/>
        <v>58.448800000000013</v>
      </c>
      <c r="AC45" s="15">
        <f t="shared" si="3"/>
        <v>99.504000000000005</v>
      </c>
      <c r="AD45" s="16">
        <v>1.33</v>
      </c>
      <c r="AE45" s="8">
        <v>3027</v>
      </c>
      <c r="AF45" s="15">
        <f>(AC45-(60*Ventas!AE83*1))</f>
        <v>49.752000000000002</v>
      </c>
      <c r="AG45" s="18">
        <f>(AF45/(Ventas!AE83*1)/60)</f>
        <v>1</v>
      </c>
      <c r="AH45" s="1" t="s">
        <v>37</v>
      </c>
    </row>
    <row r="46" spans="1:34" x14ac:dyDescent="0.25">
      <c r="A46" s="1"/>
      <c r="B46" s="1" t="s">
        <v>199</v>
      </c>
      <c r="C46" s="14" t="s">
        <v>198</v>
      </c>
      <c r="D46" s="8">
        <v>61</v>
      </c>
      <c r="E46" s="12">
        <v>46238</v>
      </c>
      <c r="F46" s="7">
        <v>1</v>
      </c>
      <c r="G46" s="15">
        <f>(D46-(0)+0-(F46*Ventas!AE84*1))</f>
        <v>60.878</v>
      </c>
      <c r="H46" s="18">
        <f>(G46/(Ventas!AE84*1)/60)</f>
        <v>8.3166666666666664</v>
      </c>
      <c r="I46" s="8">
        <v>0</v>
      </c>
      <c r="J46" s="15">
        <f t="shared" si="0"/>
        <v>60.878</v>
      </c>
      <c r="K46" s="3"/>
      <c r="L46" s="15">
        <v>60</v>
      </c>
      <c r="M46" s="17">
        <v>4.7199999999999998E-4</v>
      </c>
      <c r="N46" s="12">
        <v>46275</v>
      </c>
      <c r="O46" s="7">
        <v>37</v>
      </c>
      <c r="P46" s="15">
        <f>(IF(G46&gt;0,G46+I46,I46)-(O46*Ventas!AE84*1))</f>
        <v>56.363999999999997</v>
      </c>
      <c r="Q46" s="18">
        <f>(P46/(Ventas!AE84*1)/60)</f>
        <v>7.7</v>
      </c>
      <c r="R46" s="8">
        <v>0</v>
      </c>
      <c r="S46" s="15">
        <f t="shared" si="1"/>
        <v>56.363999999999997</v>
      </c>
      <c r="T46" s="3"/>
      <c r="U46" s="15">
        <v>60</v>
      </c>
      <c r="V46" s="17">
        <v>4.7199999999999998E-4</v>
      </c>
      <c r="W46" s="12">
        <v>46331</v>
      </c>
      <c r="X46" s="7">
        <v>56</v>
      </c>
      <c r="Y46" s="15">
        <f>(IF(P46&gt;0,P46+R46,R46)-(X46*Ventas!AE84*1))</f>
        <v>49.531999999999996</v>
      </c>
      <c r="Z46" s="18">
        <f>(Y46/(Ventas!AE84*1)/60)</f>
        <v>6.7666666666666666</v>
      </c>
      <c r="AA46" s="15">
        <f>(120*(Ventas!AE84*1) - IF(Y46&gt;0,Y46,0))</f>
        <v>-34.891999999999996</v>
      </c>
      <c r="AB46" s="15">
        <f t="shared" si="2"/>
        <v>0</v>
      </c>
      <c r="AC46" s="15">
        <f t="shared" si="3"/>
        <v>49.531999999999996</v>
      </c>
      <c r="AD46" s="16">
        <v>0.59</v>
      </c>
      <c r="AE46" s="8">
        <v>3010</v>
      </c>
      <c r="AF46" s="15">
        <f>(AC46-(60*Ventas!AE84*1))</f>
        <v>42.211999999999996</v>
      </c>
      <c r="AG46" s="18">
        <f>(AF46/(Ventas!AE84*1)/60)</f>
        <v>5.7666666666666666</v>
      </c>
      <c r="AH46" s="1" t="s">
        <v>34</v>
      </c>
    </row>
    <row r="47" spans="1:34" x14ac:dyDescent="0.25">
      <c r="A47" s="1"/>
      <c r="B47" s="1" t="s">
        <v>201</v>
      </c>
      <c r="C47" s="14" t="s">
        <v>200</v>
      </c>
      <c r="D47" s="3"/>
      <c r="E47" s="12">
        <v>46238</v>
      </c>
      <c r="F47" s="7">
        <v>1</v>
      </c>
      <c r="G47" s="15">
        <f>(D47-(0)+0-(F47*Ventas!AE85*1))</f>
        <v>0</v>
      </c>
      <c r="H47" s="3"/>
      <c r="I47" s="8">
        <v>0</v>
      </c>
      <c r="J47" s="15">
        <f t="shared" si="0"/>
        <v>0</v>
      </c>
      <c r="K47" s="3"/>
      <c r="L47" s="15">
        <v>80</v>
      </c>
      <c r="M47" s="17">
        <v>3.1300000000000002E-4</v>
      </c>
      <c r="N47" s="12">
        <v>46275</v>
      </c>
      <c r="O47" s="7">
        <v>37</v>
      </c>
      <c r="P47" s="15">
        <f>(IF(G47&gt;0,G47+I47,I47)-(O47*Ventas!AE85*1))</f>
        <v>0</v>
      </c>
      <c r="Q47" s="3"/>
      <c r="R47" s="8">
        <v>0</v>
      </c>
      <c r="S47" s="15">
        <f t="shared" si="1"/>
        <v>0</v>
      </c>
      <c r="T47" s="3"/>
      <c r="U47" s="15">
        <v>80</v>
      </c>
      <c r="V47" s="17">
        <v>3.1300000000000002E-4</v>
      </c>
      <c r="W47" s="12">
        <v>46331</v>
      </c>
      <c r="X47" s="7">
        <v>56</v>
      </c>
      <c r="Y47" s="15">
        <f>(IF(P47&gt;0,P47+R47,R47)-(X47*Ventas!AE85*1))</f>
        <v>0</v>
      </c>
      <c r="Z47" s="3"/>
      <c r="AA47" s="15">
        <f>(120*(Ventas!AE85*1) - IF(Y47&gt;0,Y47,0))</f>
        <v>0</v>
      </c>
      <c r="AB47" s="15">
        <f t="shared" si="2"/>
        <v>0</v>
      </c>
      <c r="AC47" s="15">
        <f t="shared" si="3"/>
        <v>0</v>
      </c>
      <c r="AD47" s="3"/>
      <c r="AE47" s="3"/>
      <c r="AF47" s="3"/>
      <c r="AG47" s="3"/>
      <c r="AH47" s="1" t="s">
        <v>37</v>
      </c>
    </row>
    <row r="48" spans="1:34" x14ac:dyDescent="0.25">
      <c r="A48" s="1"/>
      <c r="B48" s="1" t="s">
        <v>203</v>
      </c>
      <c r="C48" s="14" t="s">
        <v>202</v>
      </c>
      <c r="D48" s="3"/>
      <c r="E48" s="12">
        <v>46238</v>
      </c>
      <c r="F48" s="7">
        <v>1</v>
      </c>
      <c r="G48" s="15">
        <f>(D48-(0)+0-(F48*Ventas!AE86*1))</f>
        <v>0</v>
      </c>
      <c r="H48" s="3"/>
      <c r="I48" s="8">
        <v>0</v>
      </c>
      <c r="J48" s="15">
        <f t="shared" si="0"/>
        <v>0</v>
      </c>
      <c r="K48" s="3"/>
      <c r="L48" s="15">
        <v>80</v>
      </c>
      <c r="M48" s="17">
        <v>3.1300000000000002E-4</v>
      </c>
      <c r="N48" s="12">
        <v>46275</v>
      </c>
      <c r="O48" s="7">
        <v>37</v>
      </c>
      <c r="P48" s="15">
        <f>(IF(G48&gt;0,G48+I48,I48)-(O48*Ventas!AE86*1))</f>
        <v>0</v>
      </c>
      <c r="Q48" s="3"/>
      <c r="R48" s="8">
        <v>0</v>
      </c>
      <c r="S48" s="15">
        <f t="shared" si="1"/>
        <v>0</v>
      </c>
      <c r="T48" s="3"/>
      <c r="U48" s="15">
        <v>80</v>
      </c>
      <c r="V48" s="17">
        <v>3.1300000000000002E-4</v>
      </c>
      <c r="W48" s="12">
        <v>46331</v>
      </c>
      <c r="X48" s="7">
        <v>56</v>
      </c>
      <c r="Y48" s="15">
        <f>(IF(P48&gt;0,P48+R48,R48)-(X48*Ventas!AE86*1))</f>
        <v>0</v>
      </c>
      <c r="Z48" s="3"/>
      <c r="AA48" s="15">
        <f>(120*(Ventas!AE86*1) - IF(Y48&gt;0,Y48,0))</f>
        <v>0</v>
      </c>
      <c r="AB48" s="15">
        <f t="shared" si="2"/>
        <v>0</v>
      </c>
      <c r="AC48" s="15">
        <f t="shared" si="3"/>
        <v>0</v>
      </c>
      <c r="AD48" s="3"/>
      <c r="AE48" s="3"/>
      <c r="AF48" s="3"/>
      <c r="AG48" s="3"/>
      <c r="AH48" s="1" t="s">
        <v>37</v>
      </c>
    </row>
    <row r="49" spans="1:34" x14ac:dyDescent="0.25">
      <c r="A49" s="1"/>
      <c r="B49" s="1" t="s">
        <v>205</v>
      </c>
      <c r="C49" s="14" t="s">
        <v>204</v>
      </c>
      <c r="D49" s="3"/>
      <c r="E49" s="12">
        <v>46238</v>
      </c>
      <c r="F49" s="7">
        <v>1</v>
      </c>
      <c r="G49" s="15">
        <f>(D49-(0)+0-(F49*Ventas!AE87*1))</f>
        <v>0</v>
      </c>
      <c r="H49" s="3"/>
      <c r="I49" s="8">
        <v>0</v>
      </c>
      <c r="J49" s="15">
        <f t="shared" si="0"/>
        <v>0</v>
      </c>
      <c r="K49" s="3"/>
      <c r="L49" s="15">
        <v>80</v>
      </c>
      <c r="M49" s="17">
        <v>3.1300000000000002E-4</v>
      </c>
      <c r="N49" s="12">
        <v>46275</v>
      </c>
      <c r="O49" s="7">
        <v>37</v>
      </c>
      <c r="P49" s="15">
        <f>(IF(G49&gt;0,G49+I49,I49)-(O49*Ventas!AE87*1))</f>
        <v>0</v>
      </c>
      <c r="Q49" s="3"/>
      <c r="R49" s="8">
        <v>0</v>
      </c>
      <c r="S49" s="15">
        <f t="shared" si="1"/>
        <v>0</v>
      </c>
      <c r="T49" s="3"/>
      <c r="U49" s="15">
        <v>80</v>
      </c>
      <c r="V49" s="17">
        <v>3.1300000000000002E-4</v>
      </c>
      <c r="W49" s="12">
        <v>46331</v>
      </c>
      <c r="X49" s="7">
        <v>56</v>
      </c>
      <c r="Y49" s="15">
        <f>(IF(P49&gt;0,P49+R49,R49)-(X49*Ventas!AE87*1))</f>
        <v>0</v>
      </c>
      <c r="Z49" s="3"/>
      <c r="AA49" s="15">
        <f>(120*(Ventas!AE87*1) - IF(Y49&gt;0,Y49,0))</f>
        <v>0</v>
      </c>
      <c r="AB49" s="15">
        <f t="shared" si="2"/>
        <v>0</v>
      </c>
      <c r="AC49" s="15">
        <f t="shared" si="3"/>
        <v>0</v>
      </c>
      <c r="AD49" s="3"/>
      <c r="AE49" s="3"/>
      <c r="AF49" s="3"/>
      <c r="AG49" s="3"/>
      <c r="AH49" s="1" t="s">
        <v>37</v>
      </c>
    </row>
    <row r="50" spans="1:34" x14ac:dyDescent="0.25">
      <c r="A50" s="1"/>
      <c r="B50" s="1" t="s">
        <v>207</v>
      </c>
      <c r="C50" s="14" t="s">
        <v>206</v>
      </c>
      <c r="D50" s="3"/>
      <c r="E50" s="12">
        <v>46238</v>
      </c>
      <c r="F50" s="7">
        <v>1</v>
      </c>
      <c r="G50" s="15">
        <f>(D50-(0)+0-(F50*Ventas!AE88*1))</f>
        <v>0</v>
      </c>
      <c r="H50" s="3"/>
      <c r="I50" s="8">
        <v>0</v>
      </c>
      <c r="J50" s="15">
        <f t="shared" si="0"/>
        <v>0</v>
      </c>
      <c r="K50" s="3"/>
      <c r="L50" s="15">
        <v>6</v>
      </c>
      <c r="M50" s="17">
        <v>5.0000000000000001E-3</v>
      </c>
      <c r="N50" s="12">
        <v>46275</v>
      </c>
      <c r="O50" s="7">
        <v>37</v>
      </c>
      <c r="P50" s="15">
        <f>(IF(G50&gt;0,G50+I50,I50)-(O50*Ventas!AE88*1))</f>
        <v>0</v>
      </c>
      <c r="Q50" s="3"/>
      <c r="R50" s="8">
        <v>0</v>
      </c>
      <c r="S50" s="15">
        <f t="shared" si="1"/>
        <v>0</v>
      </c>
      <c r="T50" s="3"/>
      <c r="U50" s="15">
        <v>6</v>
      </c>
      <c r="V50" s="17">
        <v>5.0000000000000001E-3</v>
      </c>
      <c r="W50" s="12">
        <v>46331</v>
      </c>
      <c r="X50" s="7">
        <v>56</v>
      </c>
      <c r="Y50" s="15">
        <f>(IF(P50&gt;0,P50+R50,R50)-(X50*Ventas!AE88*1))</f>
        <v>0</v>
      </c>
      <c r="Z50" s="3"/>
      <c r="AA50" s="15">
        <f>(120*(Ventas!AE88*1) - IF(Y50&gt;0,Y50,0))</f>
        <v>0</v>
      </c>
      <c r="AB50" s="15">
        <f t="shared" si="2"/>
        <v>0</v>
      </c>
      <c r="AC50" s="15">
        <f t="shared" si="3"/>
        <v>0</v>
      </c>
      <c r="AD50" s="3"/>
      <c r="AE50" s="3"/>
      <c r="AF50" s="3"/>
      <c r="AG50" s="3"/>
      <c r="AH50" s="1" t="s">
        <v>37</v>
      </c>
    </row>
    <row r="51" spans="1:34" x14ac:dyDescent="0.25">
      <c r="A51" s="1"/>
      <c r="B51" s="1" t="s">
        <v>209</v>
      </c>
      <c r="C51" s="14" t="s">
        <v>208</v>
      </c>
      <c r="D51" s="3"/>
      <c r="E51" s="12">
        <v>46238</v>
      </c>
      <c r="F51" s="7">
        <v>1</v>
      </c>
      <c r="G51" s="15">
        <f>(D51-(0)+0-(F51*Ventas!AE89*1))</f>
        <v>0</v>
      </c>
      <c r="H51" s="3"/>
      <c r="I51" s="8">
        <v>0</v>
      </c>
      <c r="J51" s="15">
        <f t="shared" si="0"/>
        <v>0</v>
      </c>
      <c r="K51" s="3"/>
      <c r="L51" s="15">
        <v>6</v>
      </c>
      <c r="M51" s="17">
        <v>5.0000000000000001E-3</v>
      </c>
      <c r="N51" s="12">
        <v>46275</v>
      </c>
      <c r="O51" s="7">
        <v>37</v>
      </c>
      <c r="P51" s="15">
        <f>(IF(G51&gt;0,G51+I51,I51)-(O51*Ventas!AE89*1))</f>
        <v>0</v>
      </c>
      <c r="Q51" s="3"/>
      <c r="R51" s="8">
        <v>0</v>
      </c>
      <c r="S51" s="15">
        <f t="shared" si="1"/>
        <v>0</v>
      </c>
      <c r="T51" s="3"/>
      <c r="U51" s="15">
        <v>6</v>
      </c>
      <c r="V51" s="17">
        <v>5.0000000000000001E-3</v>
      </c>
      <c r="W51" s="12">
        <v>46331</v>
      </c>
      <c r="X51" s="7">
        <v>56</v>
      </c>
      <c r="Y51" s="15">
        <f>(IF(P51&gt;0,P51+R51,R51)-(X51*Ventas!AE89*1))</f>
        <v>0</v>
      </c>
      <c r="Z51" s="3"/>
      <c r="AA51" s="15">
        <f>(120*(Ventas!AE89*1) - IF(Y51&gt;0,Y51,0))</f>
        <v>0</v>
      </c>
      <c r="AB51" s="15">
        <f t="shared" si="2"/>
        <v>0</v>
      </c>
      <c r="AC51" s="15">
        <f t="shared" si="3"/>
        <v>0</v>
      </c>
      <c r="AD51" s="3"/>
      <c r="AE51" s="3"/>
      <c r="AF51" s="3"/>
      <c r="AG51" s="3"/>
      <c r="AH51" s="1" t="s">
        <v>37</v>
      </c>
    </row>
    <row r="52" spans="1:34" x14ac:dyDescent="0.25">
      <c r="A52" s="1"/>
      <c r="B52" s="1" t="s">
        <v>211</v>
      </c>
      <c r="C52" s="14" t="s">
        <v>210</v>
      </c>
      <c r="D52" s="3"/>
      <c r="E52" s="12">
        <v>46238</v>
      </c>
      <c r="F52" s="7">
        <v>1</v>
      </c>
      <c r="G52" s="15">
        <f>(D52-(0)+0-(F52*Ventas!AE90*1))</f>
        <v>-1.6783999999999999</v>
      </c>
      <c r="H52" s="18">
        <f>(G52/(Ventas!AE90*1)/60)</f>
        <v>-1.6666666666666666E-2</v>
      </c>
      <c r="I52" s="8">
        <v>0</v>
      </c>
      <c r="J52" s="15">
        <f t="shared" si="0"/>
        <v>0</v>
      </c>
      <c r="K52" s="3"/>
      <c r="L52" s="15">
        <v>84</v>
      </c>
      <c r="M52" s="17">
        <v>4.0200000000000001E-4</v>
      </c>
      <c r="N52" s="12">
        <v>46275</v>
      </c>
      <c r="O52" s="7">
        <v>37</v>
      </c>
      <c r="P52" s="15">
        <f>(IF(G52&gt;0,G52+I52,I52)-(O52*Ventas!AE90*1))</f>
        <v>-62.100799999999992</v>
      </c>
      <c r="Q52" s="18">
        <f>(P52/(Ventas!AE90*1)/60)</f>
        <v>-0.6166666666666667</v>
      </c>
      <c r="R52" s="8">
        <v>0</v>
      </c>
      <c r="S52" s="15">
        <f t="shared" si="1"/>
        <v>0</v>
      </c>
      <c r="T52" s="3"/>
      <c r="U52" s="15">
        <v>84</v>
      </c>
      <c r="V52" s="17">
        <v>4.0200000000000001E-4</v>
      </c>
      <c r="W52" s="12">
        <v>46331</v>
      </c>
      <c r="X52" s="7">
        <v>56</v>
      </c>
      <c r="Y52" s="15">
        <f>(IF(P52&gt;0,P52+R52,R52)-(X52*Ventas!AE90*1))</f>
        <v>-93.990399999999994</v>
      </c>
      <c r="Z52" s="18">
        <f>(Y52/(Ventas!AE90*1)/60)</f>
        <v>-0.93333333333333335</v>
      </c>
      <c r="AA52" s="15">
        <f>(120*(Ventas!AE90*1) - IF(Y52&gt;0,Y52,0))</f>
        <v>201.40799999999999</v>
      </c>
      <c r="AB52" s="15">
        <f t="shared" si="2"/>
        <v>201.40799999999999</v>
      </c>
      <c r="AC52" s="15">
        <f t="shared" si="3"/>
        <v>201.40799999999999</v>
      </c>
      <c r="AD52" s="16">
        <v>1.26</v>
      </c>
      <c r="AE52" s="8">
        <v>3027</v>
      </c>
      <c r="AF52" s="15">
        <f>(AC52-(60*Ventas!AE90*1))</f>
        <v>100.70399999999999</v>
      </c>
      <c r="AG52" s="18">
        <f>(AF52/(Ventas!AE90*1)/60)</f>
        <v>1</v>
      </c>
      <c r="AH52" s="1" t="s">
        <v>34</v>
      </c>
    </row>
    <row r="53" spans="1:34" x14ac:dyDescent="0.25">
      <c r="A53" s="1"/>
      <c r="B53" s="1" t="s">
        <v>213</v>
      </c>
      <c r="C53" s="14" t="s">
        <v>212</v>
      </c>
      <c r="D53" s="3"/>
      <c r="E53" s="12">
        <v>46238</v>
      </c>
      <c r="F53" s="7">
        <v>1</v>
      </c>
      <c r="G53" s="15">
        <f>(D53-(0)+0-(F53*Ventas!AE91*1))</f>
        <v>-1.3077000000000001</v>
      </c>
      <c r="H53" s="18">
        <f>(G53/(Ventas!AE91*1)/60)</f>
        <v>-1.6666666666666666E-2</v>
      </c>
      <c r="I53" s="8">
        <v>0</v>
      </c>
      <c r="J53" s="15">
        <f t="shared" si="0"/>
        <v>0</v>
      </c>
      <c r="K53" s="3"/>
      <c r="L53" s="15">
        <v>60</v>
      </c>
      <c r="M53" s="17">
        <v>3.9399999999999998E-4</v>
      </c>
      <c r="N53" s="12">
        <v>46275</v>
      </c>
      <c r="O53" s="7">
        <v>37</v>
      </c>
      <c r="P53" s="15">
        <f>(IF(G53&gt;0,G53+I53,I53)-(O53*Ventas!AE91*1))</f>
        <v>-48.384900000000002</v>
      </c>
      <c r="Q53" s="18">
        <f>(P53/(Ventas!AE91*1)/60)</f>
        <v>-0.6166666666666667</v>
      </c>
      <c r="R53" s="8">
        <v>0</v>
      </c>
      <c r="S53" s="15">
        <f t="shared" si="1"/>
        <v>0</v>
      </c>
      <c r="T53" s="3"/>
      <c r="U53" s="15">
        <v>60</v>
      </c>
      <c r="V53" s="17">
        <v>3.9399999999999998E-4</v>
      </c>
      <c r="W53" s="12">
        <v>46331</v>
      </c>
      <c r="X53" s="7">
        <v>56</v>
      </c>
      <c r="Y53" s="15">
        <f>(IF(P53&gt;0,P53+R53,R53)-(X53*Ventas!AE91*1))</f>
        <v>-73.231200000000001</v>
      </c>
      <c r="Z53" s="18">
        <f>(Y53/(Ventas!AE91*1)/60)</f>
        <v>-0.93333333333333335</v>
      </c>
      <c r="AA53" s="15">
        <f>(120*(Ventas!AE91*1) - IF(Y53&gt;0,Y53,0))</f>
        <v>156.92400000000001</v>
      </c>
      <c r="AB53" s="15">
        <f t="shared" si="2"/>
        <v>156.92400000000001</v>
      </c>
      <c r="AC53" s="15">
        <f t="shared" si="3"/>
        <v>156.92400000000001</v>
      </c>
      <c r="AD53" s="16">
        <v>1.47</v>
      </c>
      <c r="AE53" s="8">
        <v>3027</v>
      </c>
      <c r="AF53" s="15">
        <f>(AC53-(60*Ventas!AE91*1))</f>
        <v>78.462000000000003</v>
      </c>
      <c r="AG53" s="18">
        <f>(AF53/(Ventas!AE91*1)/60)</f>
        <v>1</v>
      </c>
      <c r="AH53" s="1" t="s">
        <v>34</v>
      </c>
    </row>
    <row r="54" spans="1:34" x14ac:dyDescent="0.25">
      <c r="A54" s="1"/>
      <c r="B54" s="1" t="s">
        <v>215</v>
      </c>
      <c r="C54" s="14" t="s">
        <v>214</v>
      </c>
      <c r="D54" s="3"/>
      <c r="E54" s="12">
        <v>46238</v>
      </c>
      <c r="F54" s="7">
        <v>1</v>
      </c>
      <c r="G54" s="15">
        <f>(D54-(0)+0-(F54*Ventas!AE92*1))</f>
        <v>-2.7040000000000002</v>
      </c>
      <c r="H54" s="18">
        <f>(G54/(Ventas!AE92*1)/60)</f>
        <v>-1.6666666666666666E-2</v>
      </c>
      <c r="I54" s="8">
        <v>0</v>
      </c>
      <c r="J54" s="15">
        <f t="shared" si="0"/>
        <v>0</v>
      </c>
      <c r="K54" s="3"/>
      <c r="L54" s="15">
        <v>84</v>
      </c>
      <c r="M54" s="17">
        <v>4.0200000000000001E-4</v>
      </c>
      <c r="N54" s="12">
        <v>46275</v>
      </c>
      <c r="O54" s="7">
        <v>37</v>
      </c>
      <c r="P54" s="15">
        <f>(IF(G54&gt;0,G54+I54,I54)-(O54*Ventas!AE92*1))</f>
        <v>-100.048</v>
      </c>
      <c r="Q54" s="18">
        <f>(P54/(Ventas!AE92*1)/60)</f>
        <v>-0.6166666666666667</v>
      </c>
      <c r="R54" s="8">
        <v>0</v>
      </c>
      <c r="S54" s="15">
        <f t="shared" si="1"/>
        <v>0</v>
      </c>
      <c r="T54" s="3"/>
      <c r="U54" s="15">
        <v>84</v>
      </c>
      <c r="V54" s="17">
        <v>4.0200000000000001E-4</v>
      </c>
      <c r="W54" s="12">
        <v>46331</v>
      </c>
      <c r="X54" s="7">
        <v>56</v>
      </c>
      <c r="Y54" s="15">
        <f>(IF(P54&gt;0,P54+R54,R54)-(X54*Ventas!AE92*1))</f>
        <v>-151.42400000000001</v>
      </c>
      <c r="Z54" s="18">
        <f>(Y54/(Ventas!AE92*1)/60)</f>
        <v>-0.93333333333333335</v>
      </c>
      <c r="AA54" s="15">
        <f>(120*(Ventas!AE92*1) - IF(Y54&gt;0,Y54,0))</f>
        <v>324.48</v>
      </c>
      <c r="AB54" s="15">
        <f t="shared" si="2"/>
        <v>324.48</v>
      </c>
      <c r="AC54" s="15">
        <f t="shared" si="3"/>
        <v>324.48</v>
      </c>
      <c r="AD54" s="16">
        <v>0.77</v>
      </c>
      <c r="AE54" s="8">
        <v>3010</v>
      </c>
      <c r="AF54" s="15">
        <f>(AC54-(60*Ventas!AE92*1))</f>
        <v>162.24</v>
      </c>
      <c r="AG54" s="18">
        <f>(AF54/(Ventas!AE92*1)/60)</f>
        <v>1</v>
      </c>
      <c r="AH54" s="1" t="s">
        <v>34</v>
      </c>
    </row>
    <row r="55" spans="1:34" x14ac:dyDescent="0.25">
      <c r="A55" s="1"/>
      <c r="B55" s="1" t="s">
        <v>217</v>
      </c>
      <c r="C55" s="14" t="s">
        <v>216</v>
      </c>
      <c r="D55" s="3"/>
      <c r="E55" s="12">
        <v>46238</v>
      </c>
      <c r="F55" s="7">
        <v>1</v>
      </c>
      <c r="G55" s="15">
        <f>(D55-(0)+0-(F55*Ventas!AE93*1))</f>
        <v>0</v>
      </c>
      <c r="H55" s="3"/>
      <c r="I55" s="8">
        <v>0</v>
      </c>
      <c r="J55" s="15">
        <f t="shared" si="0"/>
        <v>0</v>
      </c>
      <c r="K55" s="3"/>
      <c r="L55" s="15">
        <v>84</v>
      </c>
      <c r="M55" s="17">
        <v>4.0200000000000001E-4</v>
      </c>
      <c r="N55" s="12">
        <v>46275</v>
      </c>
      <c r="O55" s="7">
        <v>37</v>
      </c>
      <c r="P55" s="15">
        <f>(IF(G55&gt;0,G55+I55,I55)-(O55*Ventas!AE93*1))</f>
        <v>0</v>
      </c>
      <c r="Q55" s="3"/>
      <c r="R55" s="8">
        <v>0</v>
      </c>
      <c r="S55" s="15">
        <f t="shared" si="1"/>
        <v>0</v>
      </c>
      <c r="T55" s="3"/>
      <c r="U55" s="15">
        <v>84</v>
      </c>
      <c r="V55" s="17">
        <v>4.0200000000000001E-4</v>
      </c>
      <c r="W55" s="12">
        <v>46331</v>
      </c>
      <c r="X55" s="7">
        <v>56</v>
      </c>
      <c r="Y55" s="15">
        <f>(IF(P55&gt;0,P55+R55,R55)-(X55*Ventas!AE93*1))</f>
        <v>0</v>
      </c>
      <c r="Z55" s="3"/>
      <c r="AA55" s="15">
        <f>(120*(Ventas!AE93*1) - IF(Y55&gt;0,Y55,0))</f>
        <v>0</v>
      </c>
      <c r="AB55" s="15">
        <f t="shared" si="2"/>
        <v>0</v>
      </c>
      <c r="AC55" s="15">
        <f t="shared" si="3"/>
        <v>0</v>
      </c>
      <c r="AD55" s="16">
        <v>0.73</v>
      </c>
      <c r="AE55" s="8">
        <v>3010</v>
      </c>
      <c r="AF55" s="3"/>
      <c r="AG55" s="3"/>
      <c r="AH55" s="1" t="s">
        <v>34</v>
      </c>
    </row>
    <row r="56" spans="1:34" x14ac:dyDescent="0.25">
      <c r="A56" s="1"/>
      <c r="B56" s="1" t="s">
        <v>219</v>
      </c>
      <c r="C56" s="14" t="s">
        <v>218</v>
      </c>
      <c r="D56" s="8">
        <v>137</v>
      </c>
      <c r="E56" s="12">
        <v>46238</v>
      </c>
      <c r="F56" s="7">
        <v>1</v>
      </c>
      <c r="G56" s="15">
        <f>(D56-(0)+0-(F56*Ventas!AE94*1))</f>
        <v>135.39769999999999</v>
      </c>
      <c r="H56" s="18">
        <f>(G56/(Ventas!AE94*1)/60)</f>
        <v>1.4083681790759115</v>
      </c>
      <c r="I56" s="8">
        <v>120</v>
      </c>
      <c r="J56" s="15">
        <f t="shared" si="0"/>
        <v>255.39769999999999</v>
      </c>
      <c r="K56" s="15">
        <v>0.42</v>
      </c>
      <c r="L56" s="15">
        <v>120</v>
      </c>
      <c r="M56" s="17">
        <v>2.81E-4</v>
      </c>
      <c r="N56" s="12">
        <v>46275</v>
      </c>
      <c r="O56" s="7">
        <v>37</v>
      </c>
      <c r="P56" s="15">
        <f>(IF(G56&gt;0,G56+I56,I56)-(O56*Ventas!AE94*1))</f>
        <v>196.11259999999999</v>
      </c>
      <c r="Q56" s="18">
        <f>(P56/(Ventas!AE94*1)/60)</f>
        <v>2.0399072167093135</v>
      </c>
      <c r="R56" s="8">
        <v>0</v>
      </c>
      <c r="S56" s="15">
        <f t="shared" si="1"/>
        <v>196.11259999999999</v>
      </c>
      <c r="T56" s="3"/>
      <c r="U56" s="15">
        <v>120</v>
      </c>
      <c r="V56" s="17">
        <v>2.81E-4</v>
      </c>
      <c r="W56" s="12">
        <v>46331</v>
      </c>
      <c r="X56" s="7">
        <v>56</v>
      </c>
      <c r="Y56" s="15">
        <f>(IF(P56&gt;0,P56+R56,R56)-(X56*Ventas!AE94*1))</f>
        <v>106.38379999999998</v>
      </c>
      <c r="Z56" s="18">
        <f>(Y56/(Ventas!AE94*1)/60)</f>
        <v>1.1065738833759802</v>
      </c>
      <c r="AA56" s="15">
        <f>(120*(Ventas!AE94*1) - IF(Y56&gt;0,Y56,0))</f>
        <v>85.892200000000031</v>
      </c>
      <c r="AB56" s="15">
        <f t="shared" si="2"/>
        <v>85.892200000000031</v>
      </c>
      <c r="AC56" s="15">
        <f t="shared" si="3"/>
        <v>192.27600000000001</v>
      </c>
      <c r="AD56" s="16">
        <v>0.42</v>
      </c>
      <c r="AE56" s="8">
        <v>3025</v>
      </c>
      <c r="AF56" s="15">
        <f>(AC56-(60*Ventas!AE94*1))</f>
        <v>96.138000000000005</v>
      </c>
      <c r="AG56" s="18">
        <f>(AF56/(Ventas!AE94*1)/60)</f>
        <v>1</v>
      </c>
      <c r="AH56" s="1" t="s">
        <v>37</v>
      </c>
    </row>
    <row r="57" spans="1:34" x14ac:dyDescent="0.25">
      <c r="A57" s="1"/>
      <c r="B57" s="1" t="s">
        <v>221</v>
      </c>
      <c r="C57" s="14" t="s">
        <v>220</v>
      </c>
      <c r="D57" s="3"/>
      <c r="E57" s="12">
        <v>46238</v>
      </c>
      <c r="F57" s="7">
        <v>1</v>
      </c>
      <c r="G57" s="15">
        <f>(D57-(0)+0-(F57*Ventas!AE95*1))</f>
        <v>-3.5933000000000002</v>
      </c>
      <c r="H57" s="18">
        <f>(G57/(Ventas!AE95*1)/60)</f>
        <v>-1.6666666666666666E-2</v>
      </c>
      <c r="I57" s="8">
        <v>0</v>
      </c>
      <c r="J57" s="15">
        <f t="shared" si="0"/>
        <v>0</v>
      </c>
      <c r="K57" s="3"/>
      <c r="L57" s="15">
        <v>96</v>
      </c>
      <c r="M57" s="17">
        <v>4.5300000000000001E-4</v>
      </c>
      <c r="N57" s="12">
        <v>46275</v>
      </c>
      <c r="O57" s="7">
        <v>37</v>
      </c>
      <c r="P57" s="15">
        <f>(IF(G57&gt;0,G57+I57,I57)-(O57*Ventas!AE95*1))</f>
        <v>-132.9521</v>
      </c>
      <c r="Q57" s="18">
        <f>(P57/(Ventas!AE95*1)/60)</f>
        <v>-0.6166666666666667</v>
      </c>
      <c r="R57" s="8">
        <v>0</v>
      </c>
      <c r="S57" s="15">
        <f t="shared" si="1"/>
        <v>0</v>
      </c>
      <c r="T57" s="3"/>
      <c r="U57" s="15">
        <v>96</v>
      </c>
      <c r="V57" s="17">
        <v>4.5300000000000001E-4</v>
      </c>
      <c r="W57" s="12">
        <v>46331</v>
      </c>
      <c r="X57" s="7">
        <v>56</v>
      </c>
      <c r="Y57" s="15">
        <f>(IF(P57&gt;0,P57+R57,R57)-(X57*Ventas!AE95*1))</f>
        <v>-201.22480000000002</v>
      </c>
      <c r="Z57" s="18">
        <f>(Y57/(Ventas!AE95*1)/60)</f>
        <v>-0.93333333333333335</v>
      </c>
      <c r="AA57" s="15">
        <f>(120*(Ventas!AE95*1) - IF(Y57&gt;0,Y57,0))</f>
        <v>431.19600000000003</v>
      </c>
      <c r="AB57" s="15">
        <f t="shared" si="2"/>
        <v>431.19600000000003</v>
      </c>
      <c r="AC57" s="15">
        <f t="shared" si="3"/>
        <v>431.19600000000003</v>
      </c>
      <c r="AD57" s="16">
        <v>0.51</v>
      </c>
      <c r="AE57" s="8">
        <v>3010</v>
      </c>
      <c r="AF57" s="15">
        <f>(AC57-(60*Ventas!AE95*1))</f>
        <v>215.59800000000001</v>
      </c>
      <c r="AG57" s="18">
        <f>(AF57/(Ventas!AE95*1)/60)</f>
        <v>1</v>
      </c>
      <c r="AH57" s="1" t="s">
        <v>34</v>
      </c>
    </row>
    <row r="58" spans="1:34" x14ac:dyDescent="0.25">
      <c r="A58" s="1"/>
      <c r="B58" s="1" t="s">
        <v>223</v>
      </c>
      <c r="C58" s="14" t="s">
        <v>222</v>
      </c>
      <c r="D58" s="3"/>
      <c r="E58" s="12">
        <v>46238</v>
      </c>
      <c r="F58" s="7">
        <v>1</v>
      </c>
      <c r="G58" s="15">
        <f>(D58-(0)+0-(F58*Ventas!AE96*1))</f>
        <v>-0.56399999999999995</v>
      </c>
      <c r="H58" s="18">
        <f>(G58/(Ventas!AE96*1)/60)</f>
        <v>-1.6666666666666666E-2</v>
      </c>
      <c r="I58" s="8">
        <v>0</v>
      </c>
      <c r="J58" s="15">
        <f t="shared" si="0"/>
        <v>0</v>
      </c>
      <c r="K58" s="3"/>
      <c r="L58" s="15">
        <v>84</v>
      </c>
      <c r="M58" s="17">
        <v>4.0200000000000001E-4</v>
      </c>
      <c r="N58" s="12">
        <v>46275</v>
      </c>
      <c r="O58" s="7">
        <v>37</v>
      </c>
      <c r="P58" s="15">
        <f>(IF(G58&gt;0,G58+I58,I58)-(O58*Ventas!AE96*1))</f>
        <v>-20.867999999999999</v>
      </c>
      <c r="Q58" s="18">
        <f>(P58/(Ventas!AE96*1)/60)</f>
        <v>-0.6166666666666667</v>
      </c>
      <c r="R58" s="8">
        <v>0</v>
      </c>
      <c r="S58" s="15">
        <f t="shared" si="1"/>
        <v>0</v>
      </c>
      <c r="T58" s="3"/>
      <c r="U58" s="15">
        <v>84</v>
      </c>
      <c r="V58" s="17">
        <v>4.0200000000000001E-4</v>
      </c>
      <c r="W58" s="12">
        <v>46331</v>
      </c>
      <c r="X58" s="7">
        <v>56</v>
      </c>
      <c r="Y58" s="15">
        <f>(IF(P58&gt;0,P58+R58,R58)-(X58*Ventas!AE96*1))</f>
        <v>-31.583999999999996</v>
      </c>
      <c r="Z58" s="18">
        <f>(Y58/(Ventas!AE96*1)/60)</f>
        <v>-0.93333333333333335</v>
      </c>
      <c r="AA58" s="15">
        <f>(120*(Ventas!AE96*1) - IF(Y58&gt;0,Y58,0))</f>
        <v>67.679999999999993</v>
      </c>
      <c r="AB58" s="15">
        <f t="shared" si="2"/>
        <v>67.679999999999993</v>
      </c>
      <c r="AC58" s="15">
        <f t="shared" si="3"/>
        <v>67.679999999999993</v>
      </c>
      <c r="AD58" s="16">
        <v>0.81</v>
      </c>
      <c r="AE58" s="8">
        <v>3010</v>
      </c>
      <c r="AF58" s="15">
        <f>(AC58-(60*Ventas!AE96*1))</f>
        <v>33.839999999999996</v>
      </c>
      <c r="AG58" s="18">
        <f>(AF58/(Ventas!AE96*1)/60)</f>
        <v>1</v>
      </c>
      <c r="AH58" s="1" t="s">
        <v>34</v>
      </c>
    </row>
    <row r="59" spans="1:34" x14ac:dyDescent="0.25">
      <c r="A59" s="1"/>
      <c r="B59" s="1" t="s">
        <v>225</v>
      </c>
      <c r="C59" s="14" t="s">
        <v>224</v>
      </c>
      <c r="D59" s="8">
        <v>7</v>
      </c>
      <c r="E59" s="12">
        <v>46238</v>
      </c>
      <c r="F59" s="7">
        <v>1</v>
      </c>
      <c r="G59" s="15">
        <f>(D59-(0)+0-(F59*Ventas!AE97*1))</f>
        <v>6.9371999999999998</v>
      </c>
      <c r="H59" s="18">
        <f>(G59/(Ventas!AE97*1)/60)</f>
        <v>1.8410828025477708</v>
      </c>
      <c r="I59" s="8">
        <v>0</v>
      </c>
      <c r="J59" s="15">
        <f t="shared" si="0"/>
        <v>6.9371999999999998</v>
      </c>
      <c r="K59" s="3"/>
      <c r="L59" s="15">
        <v>6</v>
      </c>
      <c r="M59" s="17">
        <v>5.0000000000000001E-3</v>
      </c>
      <c r="N59" s="12">
        <v>46275</v>
      </c>
      <c r="O59" s="7">
        <v>37</v>
      </c>
      <c r="P59" s="15">
        <f>(IF(G59&gt;0,G59+I59,I59)-(O59*Ventas!AE97*1))</f>
        <v>4.6135999999999999</v>
      </c>
      <c r="Q59" s="18">
        <f>(P59/(Ventas!AE97*1)/60)</f>
        <v>1.2244161358811041</v>
      </c>
      <c r="R59" s="8">
        <v>0</v>
      </c>
      <c r="S59" s="15">
        <f t="shared" si="1"/>
        <v>4.6135999999999999</v>
      </c>
      <c r="T59" s="3"/>
      <c r="U59" s="15">
        <v>6</v>
      </c>
      <c r="V59" s="17">
        <v>5.0000000000000001E-3</v>
      </c>
      <c r="W59" s="12">
        <v>46331</v>
      </c>
      <c r="X59" s="7">
        <v>56</v>
      </c>
      <c r="Y59" s="15">
        <f>(IF(P59&gt;0,P59+R59,R59)-(X59*Ventas!AE97*1))</f>
        <v>1.0968</v>
      </c>
      <c r="Z59" s="18">
        <f>(Y59/(Ventas!AE97*1)/60)</f>
        <v>0.29108280254777075</v>
      </c>
      <c r="AA59" s="15">
        <f>(120*(Ventas!AE97*1) - IF(Y59&gt;0,Y59,0))</f>
        <v>6.4391999999999996</v>
      </c>
      <c r="AB59" s="15">
        <f t="shared" si="2"/>
        <v>6.4391999999999996</v>
      </c>
      <c r="AC59" s="15">
        <f t="shared" si="3"/>
        <v>7.5359999999999996</v>
      </c>
      <c r="AD59" s="16">
        <v>7.86</v>
      </c>
      <c r="AE59" s="8">
        <v>3027</v>
      </c>
      <c r="AF59" s="15">
        <f>(AC59-(60*Ventas!AE97*1))</f>
        <v>3.7679999999999998</v>
      </c>
      <c r="AG59" s="18">
        <f>(AF59/(Ventas!AE97*1)/60)</f>
        <v>1</v>
      </c>
      <c r="AH59" s="1" t="s">
        <v>37</v>
      </c>
    </row>
    <row r="60" spans="1:34" x14ac:dyDescent="0.25">
      <c r="A60" s="1"/>
      <c r="B60" s="1" t="s">
        <v>227</v>
      </c>
      <c r="C60" s="14" t="s">
        <v>226</v>
      </c>
      <c r="D60" s="8">
        <v>86</v>
      </c>
      <c r="E60" s="12">
        <v>46238</v>
      </c>
      <c r="F60" s="7">
        <v>1</v>
      </c>
      <c r="G60" s="15">
        <f>(D60-(0)+0-(F60*Ventas!AE98*1))</f>
        <v>85.281400000000005</v>
      </c>
      <c r="H60" s="18">
        <f>(G60/(Ventas!AE98*1)/60)</f>
        <v>1.9779525002319325</v>
      </c>
      <c r="I60" s="8">
        <v>0</v>
      </c>
      <c r="J60" s="15">
        <f t="shared" si="0"/>
        <v>85.281400000000005</v>
      </c>
      <c r="K60" s="3"/>
      <c r="L60" s="15">
        <v>80</v>
      </c>
      <c r="M60" s="17">
        <v>3.4000000000000002E-4</v>
      </c>
      <c r="N60" s="12">
        <v>46275</v>
      </c>
      <c r="O60" s="7">
        <v>37</v>
      </c>
      <c r="P60" s="15">
        <f>(IF(G60&gt;0,G60+I60,I60)-(O60*Ventas!AE98*1))</f>
        <v>58.693200000000004</v>
      </c>
      <c r="Q60" s="18">
        <f>(P60/(Ventas!AE98*1)/60)</f>
        <v>1.3612858335652658</v>
      </c>
      <c r="R60" s="8">
        <v>0</v>
      </c>
      <c r="S60" s="15">
        <f t="shared" si="1"/>
        <v>58.693200000000004</v>
      </c>
      <c r="T60" s="3"/>
      <c r="U60" s="15">
        <v>80</v>
      </c>
      <c r="V60" s="17">
        <v>3.4000000000000002E-4</v>
      </c>
      <c r="W60" s="12">
        <v>46331</v>
      </c>
      <c r="X60" s="7">
        <v>56</v>
      </c>
      <c r="Y60" s="15">
        <f>(IF(P60&gt;0,P60+R60,R60)-(X60*Ventas!AE98*1))</f>
        <v>18.451600000000006</v>
      </c>
      <c r="Z60" s="18">
        <f>(Y60/(Ventas!AE98*1)/60)</f>
        <v>0.4279525002319326</v>
      </c>
      <c r="AA60" s="15">
        <f>(120*(Ventas!AE98*1) - IF(Y60&gt;0,Y60,0))</f>
        <v>67.780399999999986</v>
      </c>
      <c r="AB60" s="15">
        <f t="shared" si="2"/>
        <v>67.780399999999986</v>
      </c>
      <c r="AC60" s="15">
        <f t="shared" si="3"/>
        <v>86.231999999999999</v>
      </c>
      <c r="AD60" s="16">
        <v>0.63</v>
      </c>
      <c r="AE60" s="8">
        <v>3027</v>
      </c>
      <c r="AF60" s="15">
        <f>(AC60-(60*Ventas!AE98*1))</f>
        <v>43.116</v>
      </c>
      <c r="AG60" s="18">
        <f>(AF60/(Ventas!AE98*1)/60)</f>
        <v>1</v>
      </c>
      <c r="AH60" s="1" t="s">
        <v>34</v>
      </c>
    </row>
    <row r="61" spans="1:34" x14ac:dyDescent="0.25">
      <c r="A61" s="1"/>
      <c r="B61" s="1" t="s">
        <v>229</v>
      </c>
      <c r="C61" s="14" t="s">
        <v>228</v>
      </c>
      <c r="D61" s="3"/>
      <c r="E61" s="12">
        <v>46238</v>
      </c>
      <c r="F61" s="7">
        <v>1</v>
      </c>
      <c r="G61" s="15">
        <f>(D61-(0)+0-(F61*Ventas!AE99*1))</f>
        <v>-1.1164000000000001</v>
      </c>
      <c r="H61" s="18">
        <f>(G61/(Ventas!AE99*1)/60)</f>
        <v>-1.6666666666666666E-2</v>
      </c>
      <c r="I61" s="8">
        <v>84</v>
      </c>
      <c r="J61" s="15">
        <f t="shared" si="0"/>
        <v>84</v>
      </c>
      <c r="K61" s="15">
        <v>1.2</v>
      </c>
      <c r="L61" s="15">
        <v>84</v>
      </c>
      <c r="M61" s="17">
        <v>4.0200000000000001E-4</v>
      </c>
      <c r="N61" s="12">
        <v>46275</v>
      </c>
      <c r="O61" s="7">
        <v>37</v>
      </c>
      <c r="P61" s="15">
        <f>(IF(G61&gt;0,G61+I61,I61)-(O61*Ventas!AE99*1))</f>
        <v>42.693199999999997</v>
      </c>
      <c r="Q61" s="18">
        <f>(P61/(Ventas!AE99*1)/60)</f>
        <v>0.63736414666188934</v>
      </c>
      <c r="R61" s="8">
        <v>0</v>
      </c>
      <c r="S61" s="15">
        <f t="shared" si="1"/>
        <v>42.693199999999997</v>
      </c>
      <c r="T61" s="3"/>
      <c r="U61" s="15">
        <v>84</v>
      </c>
      <c r="V61" s="17">
        <v>4.0200000000000001E-4</v>
      </c>
      <c r="W61" s="12">
        <v>46331</v>
      </c>
      <c r="X61" s="7">
        <v>56</v>
      </c>
      <c r="Y61" s="15">
        <f>(IF(P61&gt;0,P61+R61,R61)-(X61*Ventas!AE99*1))</f>
        <v>-19.825200000000002</v>
      </c>
      <c r="Z61" s="18">
        <f>(Y61/(Ventas!AE99*1)/60)</f>
        <v>-0.29596918667144395</v>
      </c>
      <c r="AA61" s="15">
        <f>(120*(Ventas!AE99*1) - IF(Y61&gt;0,Y61,0))</f>
        <v>133.96800000000002</v>
      </c>
      <c r="AB61" s="15">
        <f t="shared" si="2"/>
        <v>133.96800000000002</v>
      </c>
      <c r="AC61" s="15">
        <f t="shared" si="3"/>
        <v>133.96800000000002</v>
      </c>
      <c r="AD61" s="16">
        <v>1.2</v>
      </c>
      <c r="AE61" s="8">
        <v>3025</v>
      </c>
      <c r="AF61" s="15">
        <f>(AC61-(60*Ventas!AE99*1))</f>
        <v>66.984000000000009</v>
      </c>
      <c r="AG61" s="18">
        <f>(AF61/(Ventas!AE99*1)/60)</f>
        <v>1.0000000000000002</v>
      </c>
      <c r="AH61" s="1" t="s">
        <v>37</v>
      </c>
    </row>
    <row r="62" spans="1:34" x14ac:dyDescent="0.25">
      <c r="A62" s="1"/>
      <c r="B62" s="1" t="s">
        <v>231</v>
      </c>
      <c r="C62" s="14" t="s">
        <v>230</v>
      </c>
      <c r="D62" s="3"/>
      <c r="E62" s="12">
        <v>46238</v>
      </c>
      <c r="F62" s="7">
        <v>1</v>
      </c>
      <c r="G62" s="15">
        <f>(D62-(0)+0-(F62*Ventas!AE100*1))</f>
        <v>-8.3299999999999999E-2</v>
      </c>
      <c r="H62" s="18">
        <f>(G62/(Ventas!AE100*1)/60)</f>
        <v>-1.6666666666666666E-2</v>
      </c>
      <c r="I62" s="8">
        <v>0</v>
      </c>
      <c r="J62" s="15">
        <f t="shared" si="0"/>
        <v>0</v>
      </c>
      <c r="K62" s="3"/>
      <c r="L62" s="15">
        <v>84</v>
      </c>
      <c r="M62" s="17">
        <v>4.0200000000000001E-4</v>
      </c>
      <c r="N62" s="12">
        <v>46275</v>
      </c>
      <c r="O62" s="7">
        <v>37</v>
      </c>
      <c r="P62" s="15">
        <f>(IF(G62&gt;0,G62+I62,I62)-(O62*Ventas!AE100*1))</f>
        <v>-3.0821000000000001</v>
      </c>
      <c r="Q62" s="18">
        <f>(P62/(Ventas!AE100*1)/60)</f>
        <v>-0.6166666666666667</v>
      </c>
      <c r="R62" s="8">
        <v>0</v>
      </c>
      <c r="S62" s="15">
        <f t="shared" si="1"/>
        <v>0</v>
      </c>
      <c r="T62" s="3"/>
      <c r="U62" s="15">
        <v>84</v>
      </c>
      <c r="V62" s="17">
        <v>4.0200000000000001E-4</v>
      </c>
      <c r="W62" s="12">
        <v>46331</v>
      </c>
      <c r="X62" s="7">
        <v>56</v>
      </c>
      <c r="Y62" s="15">
        <f>(IF(P62&gt;0,P62+R62,R62)-(X62*Ventas!AE100*1))</f>
        <v>-4.6647999999999996</v>
      </c>
      <c r="Z62" s="18">
        <f>(Y62/(Ventas!AE100*1)/60)</f>
        <v>-0.93333333333333324</v>
      </c>
      <c r="AA62" s="15">
        <f>(120*(Ventas!AE100*1) - IF(Y62&gt;0,Y62,0))</f>
        <v>9.9960000000000004</v>
      </c>
      <c r="AB62" s="15">
        <f t="shared" si="2"/>
        <v>9.9960000000000004</v>
      </c>
      <c r="AC62" s="15">
        <f t="shared" si="3"/>
        <v>9.9960000000000004</v>
      </c>
      <c r="AD62" s="16">
        <v>0.97</v>
      </c>
      <c r="AE62" s="8">
        <v>3010</v>
      </c>
      <c r="AF62" s="15">
        <f>(AC62-(60*Ventas!AE100*1))</f>
        <v>4.9980000000000002</v>
      </c>
      <c r="AG62" s="18">
        <f>(AF62/(Ventas!AE100*1)/60)</f>
        <v>1</v>
      </c>
      <c r="AH62" s="1" t="s">
        <v>34</v>
      </c>
    </row>
    <row r="63" spans="1:34" x14ac:dyDescent="0.25">
      <c r="A63" s="1"/>
      <c r="B63" s="1" t="s">
        <v>233</v>
      </c>
      <c r="C63" s="14" t="s">
        <v>232</v>
      </c>
      <c r="D63" s="3"/>
      <c r="E63" s="12">
        <v>46238</v>
      </c>
      <c r="F63" s="7">
        <v>1</v>
      </c>
      <c r="G63" s="15">
        <f>(D63-(0)+0-(F63*Ventas!AE101*1))</f>
        <v>0</v>
      </c>
      <c r="H63" s="3"/>
      <c r="I63" s="8">
        <v>0</v>
      </c>
      <c r="J63" s="15">
        <f t="shared" si="0"/>
        <v>0</v>
      </c>
      <c r="K63" s="3"/>
      <c r="L63" s="15">
        <v>60</v>
      </c>
      <c r="M63" s="17">
        <v>4.7199999999999998E-4</v>
      </c>
      <c r="N63" s="12">
        <v>46275</v>
      </c>
      <c r="O63" s="7">
        <v>37</v>
      </c>
      <c r="P63" s="15">
        <f>(IF(G63&gt;0,G63+I63,I63)-(O63*Ventas!AE101*1))</f>
        <v>0</v>
      </c>
      <c r="Q63" s="3"/>
      <c r="R63" s="8">
        <v>0</v>
      </c>
      <c r="S63" s="15">
        <f t="shared" si="1"/>
        <v>0</v>
      </c>
      <c r="T63" s="3"/>
      <c r="U63" s="15">
        <v>60</v>
      </c>
      <c r="V63" s="17">
        <v>4.7199999999999998E-4</v>
      </c>
      <c r="W63" s="12">
        <v>46331</v>
      </c>
      <c r="X63" s="7">
        <v>56</v>
      </c>
      <c r="Y63" s="15">
        <f>(IF(P63&gt;0,P63+R63,R63)-(X63*Ventas!AE101*1))</f>
        <v>0</v>
      </c>
      <c r="Z63" s="3"/>
      <c r="AA63" s="15">
        <f>(120*(Ventas!AE101*1) - IF(Y63&gt;0,Y63,0))</f>
        <v>0</v>
      </c>
      <c r="AB63" s="15">
        <f t="shared" si="2"/>
        <v>0</v>
      </c>
      <c r="AC63" s="15">
        <f t="shared" si="3"/>
        <v>0</v>
      </c>
      <c r="AD63" s="16">
        <v>1.1499999999999999</v>
      </c>
      <c r="AE63" s="8">
        <v>3010</v>
      </c>
      <c r="AF63" s="3"/>
      <c r="AG63" s="3"/>
      <c r="AH63" s="1" t="s">
        <v>34</v>
      </c>
    </row>
    <row r="64" spans="1:34" x14ac:dyDescent="0.25">
      <c r="A64" s="1"/>
      <c r="B64" s="1" t="s">
        <v>235</v>
      </c>
      <c r="C64" s="14" t="s">
        <v>234</v>
      </c>
      <c r="D64" s="3"/>
      <c r="E64" s="12">
        <v>46238</v>
      </c>
      <c r="F64" s="7">
        <v>1</v>
      </c>
      <c r="G64" s="15">
        <f>(D64-(0)+0-(F64*Ventas!AE102*1))</f>
        <v>-0.71079999999999999</v>
      </c>
      <c r="H64" s="18">
        <f>(G64/(Ventas!AE102*1)/60)</f>
        <v>-1.6666666666666666E-2</v>
      </c>
      <c r="I64" s="8">
        <v>0</v>
      </c>
      <c r="J64" s="15">
        <f t="shared" si="0"/>
        <v>0</v>
      </c>
      <c r="K64" s="3"/>
      <c r="L64" s="15">
        <v>60</v>
      </c>
      <c r="M64" s="17">
        <v>4.7199999999999998E-4</v>
      </c>
      <c r="N64" s="12">
        <v>46275</v>
      </c>
      <c r="O64" s="7">
        <v>37</v>
      </c>
      <c r="P64" s="15">
        <f>(IF(G64&gt;0,G64+I64,I64)-(O64*Ventas!AE102*1))</f>
        <v>-26.299599999999998</v>
      </c>
      <c r="Q64" s="18">
        <f>(P64/(Ventas!AE102*1)/60)</f>
        <v>-0.6166666666666667</v>
      </c>
      <c r="R64" s="8">
        <v>0</v>
      </c>
      <c r="S64" s="15">
        <f t="shared" si="1"/>
        <v>0</v>
      </c>
      <c r="T64" s="3"/>
      <c r="U64" s="15">
        <v>60</v>
      </c>
      <c r="V64" s="17">
        <v>4.7199999999999998E-4</v>
      </c>
      <c r="W64" s="12">
        <v>46331</v>
      </c>
      <c r="X64" s="7">
        <v>56</v>
      </c>
      <c r="Y64" s="15">
        <f>(IF(P64&gt;0,P64+R64,R64)-(X64*Ventas!AE102*1))</f>
        <v>-39.8048</v>
      </c>
      <c r="Z64" s="18">
        <f>(Y64/(Ventas!AE102*1)/60)</f>
        <v>-0.93333333333333335</v>
      </c>
      <c r="AA64" s="15">
        <f>(120*(Ventas!AE102*1) - IF(Y64&gt;0,Y64,0))</f>
        <v>85.295999999999992</v>
      </c>
      <c r="AB64" s="15">
        <f t="shared" si="2"/>
        <v>85.295999999999992</v>
      </c>
      <c r="AC64" s="15">
        <f t="shared" si="3"/>
        <v>85.295999999999992</v>
      </c>
      <c r="AD64" s="16">
        <v>1.05</v>
      </c>
      <c r="AE64" s="8">
        <v>3010</v>
      </c>
      <c r="AF64" s="15">
        <f>(AC64-(60*Ventas!AE102*1))</f>
        <v>42.647999999999996</v>
      </c>
      <c r="AG64" s="18">
        <f>(AF64/(Ventas!AE102*1)/60)</f>
        <v>0.99999999999999989</v>
      </c>
      <c r="AH64" s="1" t="s">
        <v>34</v>
      </c>
    </row>
    <row r="65" spans="1:34" x14ac:dyDescent="0.25">
      <c r="A65" s="1"/>
      <c r="B65" s="1" t="s">
        <v>237</v>
      </c>
      <c r="C65" s="14" t="s">
        <v>236</v>
      </c>
      <c r="D65" s="8">
        <v>87</v>
      </c>
      <c r="E65" s="12">
        <v>46238</v>
      </c>
      <c r="F65" s="7">
        <v>1</v>
      </c>
      <c r="G65" s="15">
        <f>(D65-(0)+0-(F65*Ventas!AE103*1))</f>
        <v>85.799700000000001</v>
      </c>
      <c r="H65" s="18">
        <f>(G65/(Ventas!AE103*1)/60)</f>
        <v>1.1913646588352913</v>
      </c>
      <c r="I65" s="8">
        <v>120</v>
      </c>
      <c r="J65" s="15">
        <f t="shared" si="0"/>
        <v>205.7997</v>
      </c>
      <c r="K65" s="15">
        <v>0.42</v>
      </c>
      <c r="L65" s="15">
        <v>120</v>
      </c>
      <c r="M65" s="17">
        <v>3.3100000000000002E-4</v>
      </c>
      <c r="N65" s="12">
        <v>46275</v>
      </c>
      <c r="O65" s="7">
        <v>37</v>
      </c>
      <c r="P65" s="15">
        <f>(IF(G65&gt;0,G65+I65,I65)-(O65*Ventas!AE103*1))</f>
        <v>161.3886</v>
      </c>
      <c r="Q65" s="18">
        <f>(P65/(Ventas!AE103*1)/60)</f>
        <v>2.2409480963092561</v>
      </c>
      <c r="R65" s="8">
        <v>120</v>
      </c>
      <c r="S65" s="15">
        <f t="shared" si="1"/>
        <v>281.3886</v>
      </c>
      <c r="T65" s="15">
        <v>0.42</v>
      </c>
      <c r="U65" s="15">
        <v>120</v>
      </c>
      <c r="V65" s="17">
        <v>3.3100000000000002E-4</v>
      </c>
      <c r="W65" s="12">
        <v>46331</v>
      </c>
      <c r="X65" s="7">
        <v>56</v>
      </c>
      <c r="Y65" s="15">
        <f>(IF(P65&gt;0,P65+R65,R65)-(X65*Ventas!AE103*1))</f>
        <v>214.17180000000002</v>
      </c>
      <c r="Z65" s="18">
        <f>(Y65/(Ventas!AE103*1)/60)</f>
        <v>2.9738648671165544</v>
      </c>
      <c r="AA65" s="15">
        <f>(120*(Ventas!AE103*1) - IF(Y65&gt;0,Y65,0))</f>
        <v>-70.135800000000017</v>
      </c>
      <c r="AB65" s="15">
        <f t="shared" si="2"/>
        <v>0</v>
      </c>
      <c r="AC65" s="15">
        <f t="shared" si="3"/>
        <v>214.17180000000002</v>
      </c>
      <c r="AD65" s="16">
        <v>0.42</v>
      </c>
      <c r="AE65" s="8">
        <v>3025</v>
      </c>
      <c r="AF65" s="15">
        <f>(AC65-(60*Ventas!AE103*1))</f>
        <v>142.15380000000002</v>
      </c>
      <c r="AG65" s="18">
        <f>(AF65/(Ventas!AE103*1)/60)</f>
        <v>1.9738648671165544</v>
      </c>
      <c r="AH65" s="1" t="s">
        <v>37</v>
      </c>
    </row>
    <row r="66" spans="1:34" x14ac:dyDescent="0.25">
      <c r="A66" s="1"/>
      <c r="B66" s="1" t="s">
        <v>111</v>
      </c>
      <c r="C66" s="14" t="s">
        <v>110</v>
      </c>
      <c r="D66" s="3"/>
      <c r="E66" s="12">
        <v>46238</v>
      </c>
      <c r="F66" s="7">
        <v>1</v>
      </c>
      <c r="G66" s="15">
        <f>(D66-(0)+0-(F66*Ventas!AE40*1))</f>
        <v>0</v>
      </c>
      <c r="H66" s="3"/>
      <c r="I66" s="8">
        <v>0</v>
      </c>
      <c r="J66" s="15">
        <f t="shared" si="0"/>
        <v>0</v>
      </c>
      <c r="K66" s="3"/>
      <c r="L66" s="3"/>
      <c r="M66" s="3"/>
      <c r="N66" s="12">
        <v>46275</v>
      </c>
      <c r="O66" s="7">
        <v>37</v>
      </c>
      <c r="P66" s="15">
        <f>(IF(G66&gt;0,G66+I66,I66)-(O66*Ventas!AE40*1))</f>
        <v>0</v>
      </c>
      <c r="Q66" s="3"/>
      <c r="R66" s="8">
        <v>0</v>
      </c>
      <c r="S66" s="15">
        <f t="shared" si="1"/>
        <v>0</v>
      </c>
      <c r="T66" s="3"/>
      <c r="U66" s="3"/>
      <c r="V66" s="3"/>
      <c r="W66" s="12">
        <v>46331</v>
      </c>
      <c r="X66" s="7">
        <v>56</v>
      </c>
      <c r="Y66" s="15">
        <f>(IF(P66&gt;0,P66+R66,R66)-(X66*Ventas!AE40*1))</f>
        <v>0</v>
      </c>
      <c r="Z66" s="3"/>
      <c r="AA66" s="15">
        <f>(120*(Ventas!AE40*1) - IF(Y66&gt;0,Y66,0))</f>
        <v>0</v>
      </c>
      <c r="AB66" s="15">
        <f t="shared" si="2"/>
        <v>0</v>
      </c>
      <c r="AC66" s="15">
        <f t="shared" si="3"/>
        <v>0</v>
      </c>
      <c r="AD66" s="16">
        <v>1.6</v>
      </c>
      <c r="AE66" s="8">
        <v>3010</v>
      </c>
      <c r="AF66" s="3"/>
      <c r="AG66" s="3"/>
      <c r="AH66" s="1" t="s">
        <v>37</v>
      </c>
    </row>
    <row r="67" spans="1:34" x14ac:dyDescent="0.25">
      <c r="A67" s="1"/>
      <c r="B67" s="1" t="s">
        <v>113</v>
      </c>
      <c r="C67" s="14" t="s">
        <v>112</v>
      </c>
      <c r="D67" s="3"/>
      <c r="E67" s="12">
        <v>46238</v>
      </c>
      <c r="F67" s="7">
        <v>1</v>
      </c>
      <c r="G67" s="15">
        <f>(D67-(0)+0-(F67*Ventas!AE41*1))</f>
        <v>0</v>
      </c>
      <c r="H67" s="3"/>
      <c r="I67" s="8">
        <v>0</v>
      </c>
      <c r="J67" s="15">
        <f t="shared" si="0"/>
        <v>0</v>
      </c>
      <c r="K67" s="3"/>
      <c r="L67" s="3"/>
      <c r="M67" s="3"/>
      <c r="N67" s="12">
        <v>46275</v>
      </c>
      <c r="O67" s="7">
        <v>37</v>
      </c>
      <c r="P67" s="15">
        <f>(IF(G67&gt;0,G67+I67,I67)-(O67*Ventas!AE41*1))</f>
        <v>0</v>
      </c>
      <c r="Q67" s="3"/>
      <c r="R67" s="8">
        <v>0</v>
      </c>
      <c r="S67" s="15">
        <f t="shared" si="1"/>
        <v>0</v>
      </c>
      <c r="T67" s="3"/>
      <c r="U67" s="3"/>
      <c r="V67" s="3"/>
      <c r="W67" s="12">
        <v>46331</v>
      </c>
      <c r="X67" s="7">
        <v>56</v>
      </c>
      <c r="Y67" s="15">
        <f>(IF(P67&gt;0,P67+R67,R67)-(X67*Ventas!AE41*1))</f>
        <v>0</v>
      </c>
      <c r="Z67" s="3"/>
      <c r="AA67" s="15">
        <f>(120*(Ventas!AE41*1) - IF(Y67&gt;0,Y67,0))</f>
        <v>0</v>
      </c>
      <c r="AB67" s="15">
        <f t="shared" si="2"/>
        <v>0</v>
      </c>
      <c r="AC67" s="15">
        <f t="shared" si="3"/>
        <v>0</v>
      </c>
      <c r="AD67" s="16">
        <v>1.53</v>
      </c>
      <c r="AE67" s="8">
        <v>3010</v>
      </c>
      <c r="AF67" s="3"/>
      <c r="AG67" s="3"/>
      <c r="AH67" s="1" t="s">
        <v>34</v>
      </c>
    </row>
    <row r="68" spans="1:34" x14ac:dyDescent="0.25">
      <c r="A68" s="1"/>
      <c r="B68" s="1" t="s">
        <v>115</v>
      </c>
      <c r="C68" s="14" t="s">
        <v>114</v>
      </c>
      <c r="D68" s="3"/>
      <c r="E68" s="12">
        <v>46238</v>
      </c>
      <c r="F68" s="7">
        <v>1</v>
      </c>
      <c r="G68" s="15">
        <f>(D68-(0)+0-(F68*Ventas!AE42*1))</f>
        <v>0</v>
      </c>
      <c r="H68" s="3"/>
      <c r="I68" s="8">
        <v>0</v>
      </c>
      <c r="J68" s="15">
        <f t="shared" si="0"/>
        <v>0</v>
      </c>
      <c r="K68" s="3"/>
      <c r="L68" s="3"/>
      <c r="M68" s="3"/>
      <c r="N68" s="12">
        <v>46275</v>
      </c>
      <c r="O68" s="7">
        <v>37</v>
      </c>
      <c r="P68" s="15">
        <f>(IF(G68&gt;0,G68+I68,I68)-(O68*Ventas!AE42*1))</f>
        <v>0</v>
      </c>
      <c r="Q68" s="3"/>
      <c r="R68" s="8">
        <v>0</v>
      </c>
      <c r="S68" s="15">
        <f t="shared" si="1"/>
        <v>0</v>
      </c>
      <c r="T68" s="3"/>
      <c r="U68" s="3"/>
      <c r="V68" s="3"/>
      <c r="W68" s="12">
        <v>46331</v>
      </c>
      <c r="X68" s="7">
        <v>56</v>
      </c>
      <c r="Y68" s="15">
        <f>(IF(P68&gt;0,P68+R68,R68)-(X68*Ventas!AE42*1))</f>
        <v>0</v>
      </c>
      <c r="Z68" s="3"/>
      <c r="AA68" s="15">
        <f>(120*(Ventas!AE42*1) - IF(Y68&gt;0,Y68,0))</f>
        <v>0</v>
      </c>
      <c r="AB68" s="15">
        <f t="shared" si="2"/>
        <v>0</v>
      </c>
      <c r="AC68" s="15">
        <f t="shared" si="3"/>
        <v>0</v>
      </c>
      <c r="AD68" s="16">
        <v>1.3</v>
      </c>
      <c r="AE68" s="8">
        <v>3010</v>
      </c>
      <c r="AF68" s="3"/>
      <c r="AG68" s="3"/>
      <c r="AH68" s="1" t="s">
        <v>37</v>
      </c>
    </row>
    <row r="69" spans="1:34" x14ac:dyDescent="0.25">
      <c r="A69" s="1"/>
      <c r="B69" s="1" t="s">
        <v>239</v>
      </c>
      <c r="C69" s="14" t="s">
        <v>238</v>
      </c>
      <c r="D69" s="8">
        <v>42</v>
      </c>
      <c r="E69" s="12">
        <v>46238</v>
      </c>
      <c r="F69" s="7">
        <v>1</v>
      </c>
      <c r="G69" s="15">
        <f>(D69-(0)+0-(F69*Ventas!AE104*1))</f>
        <v>41.184100000000001</v>
      </c>
      <c r="H69" s="18">
        <f>(G69/(Ventas!AE104*1)/60)</f>
        <v>0.84128161130857548</v>
      </c>
      <c r="I69" s="8">
        <v>0</v>
      </c>
      <c r="J69" s="15">
        <f t="shared" ref="J69:J132" si="4">IF(G69&gt;0,G69+I69,I69)</f>
        <v>41.184100000000001</v>
      </c>
      <c r="K69" s="3"/>
      <c r="L69" s="15">
        <v>90</v>
      </c>
      <c r="M69" s="17">
        <v>3.39E-4</v>
      </c>
      <c r="N69" s="12">
        <v>46275</v>
      </c>
      <c r="O69" s="7">
        <v>37</v>
      </c>
      <c r="P69" s="15">
        <f>(IF(G69&gt;0,G69+I69,I69)-(O69*Ventas!AE104*1))</f>
        <v>10.995800000000003</v>
      </c>
      <c r="Q69" s="18">
        <f>(P69/(Ventas!AE104*1)/60)</f>
        <v>0.22461494464190881</v>
      </c>
      <c r="R69" s="8">
        <v>120</v>
      </c>
      <c r="S69" s="15">
        <f t="shared" ref="S69:S132" si="5">IF(P69&gt;0,P69+R69,R69)</f>
        <v>130.9958</v>
      </c>
      <c r="T69" s="15">
        <v>0.61</v>
      </c>
      <c r="U69" s="15">
        <v>90</v>
      </c>
      <c r="V69" s="17">
        <v>3.39E-4</v>
      </c>
      <c r="W69" s="12">
        <v>46331</v>
      </c>
      <c r="X69" s="7">
        <v>56</v>
      </c>
      <c r="Y69" s="15">
        <f>(IF(P69&gt;0,P69+R69,R69)-(X69*Ventas!AE104*1))</f>
        <v>85.305400000000006</v>
      </c>
      <c r="Z69" s="18">
        <f>(Y69/(Ventas!AE104*1)/60)</f>
        <v>1.7425624055235529</v>
      </c>
      <c r="AA69" s="15">
        <f>(120*(Ventas!AE104*1) - IF(Y69&gt;0,Y69,0))</f>
        <v>12.602599999999995</v>
      </c>
      <c r="AB69" s="15">
        <f t="shared" ref="AB69:AB132" si="6">IF(AA69&gt;0,AA69,0)</f>
        <v>12.602599999999995</v>
      </c>
      <c r="AC69" s="15">
        <f t="shared" ref="AC69:AC132" si="7">IF(Y69&gt;0,Y69+IF(AB69&gt;0,AB69,0),AB69)</f>
        <v>97.908000000000001</v>
      </c>
      <c r="AD69" s="16">
        <v>0.59</v>
      </c>
      <c r="AE69" s="8">
        <v>3027</v>
      </c>
      <c r="AF69" s="15">
        <f>(AC69-(60*Ventas!AE104*1))</f>
        <v>48.954000000000001</v>
      </c>
      <c r="AG69" s="18">
        <f>(AF69/(Ventas!AE104*1)/60)</f>
        <v>1.0000000000000002</v>
      </c>
      <c r="AH69" s="1" t="s">
        <v>37</v>
      </c>
    </row>
    <row r="70" spans="1:34" x14ac:dyDescent="0.25">
      <c r="A70" s="1"/>
      <c r="B70" s="1" t="s">
        <v>241</v>
      </c>
      <c r="C70" s="14" t="s">
        <v>240</v>
      </c>
      <c r="D70" s="8">
        <v>22</v>
      </c>
      <c r="E70" s="12">
        <v>46238</v>
      </c>
      <c r="F70" s="7">
        <v>1</v>
      </c>
      <c r="G70" s="15">
        <f>(D70-(0)+0-(F70*Ventas!AE105*1))</f>
        <v>21.917999999999999</v>
      </c>
      <c r="H70" s="18">
        <f>(G70/(Ventas!AE105*1)/60)</f>
        <v>4.4548780487804871</v>
      </c>
      <c r="I70" s="8">
        <v>0</v>
      </c>
      <c r="J70" s="15">
        <f t="shared" si="4"/>
        <v>21.917999999999999</v>
      </c>
      <c r="K70" s="3"/>
      <c r="L70" s="3"/>
      <c r="M70" s="17">
        <v>5.3699999999999998E-3</v>
      </c>
      <c r="N70" s="12">
        <v>46275</v>
      </c>
      <c r="O70" s="7">
        <v>37</v>
      </c>
      <c r="P70" s="15">
        <f>(IF(G70&gt;0,G70+I70,I70)-(O70*Ventas!AE105*1))</f>
        <v>18.884</v>
      </c>
      <c r="Q70" s="18">
        <f>(P70/(Ventas!AE105*1)/60)</f>
        <v>3.8382113821138208</v>
      </c>
      <c r="R70" s="8">
        <v>0</v>
      </c>
      <c r="S70" s="15">
        <f t="shared" si="5"/>
        <v>18.884</v>
      </c>
      <c r="T70" s="3"/>
      <c r="U70" s="3"/>
      <c r="V70" s="17">
        <v>5.3699999999999998E-3</v>
      </c>
      <c r="W70" s="12">
        <v>46331</v>
      </c>
      <c r="X70" s="7">
        <v>56</v>
      </c>
      <c r="Y70" s="15">
        <f>(IF(P70&gt;0,P70+R70,R70)-(X70*Ventas!AE105*1))</f>
        <v>14.292</v>
      </c>
      <c r="Z70" s="18">
        <f>(Y70/(Ventas!AE105*1)/60)</f>
        <v>2.9048780487804877</v>
      </c>
      <c r="AA70" s="15">
        <f>(120*(Ventas!AE105*1) - IF(Y70&gt;0,Y70,0))</f>
        <v>-4.452</v>
      </c>
      <c r="AB70" s="15">
        <f t="shared" si="6"/>
        <v>0</v>
      </c>
      <c r="AC70" s="15">
        <f t="shared" si="7"/>
        <v>14.292</v>
      </c>
      <c r="AD70" s="16">
        <v>11.35</v>
      </c>
      <c r="AE70" s="8">
        <v>3010</v>
      </c>
      <c r="AF70" s="15">
        <f>(AC70-(60*Ventas!AE105*1))</f>
        <v>9.3719999999999999</v>
      </c>
      <c r="AG70" s="18">
        <f>(AF70/(Ventas!AE105*1)/60)</f>
        <v>1.9048780487804877</v>
      </c>
      <c r="AH70" s="1" t="s">
        <v>37</v>
      </c>
    </row>
    <row r="71" spans="1:34" x14ac:dyDescent="0.25">
      <c r="A71" s="1"/>
      <c r="B71" s="1" t="s">
        <v>243</v>
      </c>
      <c r="C71" s="14" t="s">
        <v>242</v>
      </c>
      <c r="D71" s="3"/>
      <c r="E71" s="12">
        <v>46238</v>
      </c>
      <c r="F71" s="7">
        <v>1</v>
      </c>
      <c r="G71" s="15">
        <f>(D71-(0)+0-(F71*Ventas!AE106*1))</f>
        <v>0</v>
      </c>
      <c r="H71" s="3"/>
      <c r="I71" s="8">
        <v>0</v>
      </c>
      <c r="J71" s="15">
        <f t="shared" si="4"/>
        <v>0</v>
      </c>
      <c r="K71" s="3"/>
      <c r="L71" s="3"/>
      <c r="M71" s="3"/>
      <c r="N71" s="12">
        <v>46275</v>
      </c>
      <c r="O71" s="7">
        <v>37</v>
      </c>
      <c r="P71" s="15">
        <f>(IF(G71&gt;0,G71+I71,I71)-(O71*Ventas!AE106*1))</f>
        <v>0</v>
      </c>
      <c r="Q71" s="3"/>
      <c r="R71" s="8">
        <v>0</v>
      </c>
      <c r="S71" s="15">
        <f t="shared" si="5"/>
        <v>0</v>
      </c>
      <c r="T71" s="3"/>
      <c r="U71" s="3"/>
      <c r="V71" s="3"/>
      <c r="W71" s="12">
        <v>46331</v>
      </c>
      <c r="X71" s="7">
        <v>56</v>
      </c>
      <c r="Y71" s="15">
        <f>(IF(P71&gt;0,P71+R71,R71)-(X71*Ventas!AE106*1))</f>
        <v>0</v>
      </c>
      <c r="Z71" s="3"/>
      <c r="AA71" s="15">
        <f>(120*(Ventas!AE106*1) - IF(Y71&gt;0,Y71,0))</f>
        <v>0</v>
      </c>
      <c r="AB71" s="15">
        <f t="shared" si="6"/>
        <v>0</v>
      </c>
      <c r="AC71" s="15">
        <f t="shared" si="7"/>
        <v>0</v>
      </c>
      <c r="AD71" s="3"/>
      <c r="AE71" s="3"/>
      <c r="AF71" s="3"/>
      <c r="AG71" s="3"/>
      <c r="AH71" s="1" t="s">
        <v>37</v>
      </c>
    </row>
    <row r="72" spans="1:34" x14ac:dyDescent="0.25">
      <c r="A72" s="1"/>
      <c r="B72" s="1" t="s">
        <v>245</v>
      </c>
      <c r="C72" s="14" t="s">
        <v>244</v>
      </c>
      <c r="D72" s="3"/>
      <c r="E72" s="12">
        <v>46238</v>
      </c>
      <c r="F72" s="7">
        <v>1</v>
      </c>
      <c r="G72" s="15">
        <f>(D72-(0)+0-(F72*Ventas!AE107*1))</f>
        <v>0</v>
      </c>
      <c r="H72" s="3"/>
      <c r="I72" s="8">
        <v>0</v>
      </c>
      <c r="J72" s="15">
        <f t="shared" si="4"/>
        <v>0</v>
      </c>
      <c r="K72" s="3"/>
      <c r="L72" s="3"/>
      <c r="M72" s="3"/>
      <c r="N72" s="12">
        <v>46275</v>
      </c>
      <c r="O72" s="7">
        <v>37</v>
      </c>
      <c r="P72" s="15">
        <f>(IF(G72&gt;0,G72+I72,I72)-(O72*Ventas!AE107*1))</f>
        <v>0</v>
      </c>
      <c r="Q72" s="3"/>
      <c r="R72" s="8">
        <v>0</v>
      </c>
      <c r="S72" s="15">
        <f t="shared" si="5"/>
        <v>0</v>
      </c>
      <c r="T72" s="3"/>
      <c r="U72" s="3"/>
      <c r="V72" s="3"/>
      <c r="W72" s="12">
        <v>46331</v>
      </c>
      <c r="X72" s="7">
        <v>56</v>
      </c>
      <c r="Y72" s="15">
        <f>(IF(P72&gt;0,P72+R72,R72)-(X72*Ventas!AE107*1))</f>
        <v>0</v>
      </c>
      <c r="Z72" s="3"/>
      <c r="AA72" s="15">
        <f>(120*(Ventas!AE107*1) - IF(Y72&gt;0,Y72,0))</f>
        <v>0</v>
      </c>
      <c r="AB72" s="15">
        <f t="shared" si="6"/>
        <v>0</v>
      </c>
      <c r="AC72" s="15">
        <f t="shared" si="7"/>
        <v>0</v>
      </c>
      <c r="AD72" s="3"/>
      <c r="AE72" s="3"/>
      <c r="AF72" s="3"/>
      <c r="AG72" s="3"/>
      <c r="AH72" s="1" t="s">
        <v>37</v>
      </c>
    </row>
    <row r="73" spans="1:34" x14ac:dyDescent="0.25">
      <c r="A73" s="1"/>
      <c r="B73" s="1" t="s">
        <v>247</v>
      </c>
      <c r="C73" s="14" t="s">
        <v>246</v>
      </c>
      <c r="D73" s="3"/>
      <c r="E73" s="12">
        <v>46238</v>
      </c>
      <c r="F73" s="7">
        <v>1</v>
      </c>
      <c r="G73" s="15">
        <f>(D73-(0)+0-(F73*Ventas!AE108*1))</f>
        <v>0</v>
      </c>
      <c r="H73" s="3"/>
      <c r="I73" s="8">
        <v>0</v>
      </c>
      <c r="J73" s="15">
        <f t="shared" si="4"/>
        <v>0</v>
      </c>
      <c r="K73" s="3"/>
      <c r="L73" s="3"/>
      <c r="M73" s="3"/>
      <c r="N73" s="12">
        <v>46275</v>
      </c>
      <c r="O73" s="7">
        <v>37</v>
      </c>
      <c r="P73" s="15">
        <f>(IF(G73&gt;0,G73+I73,I73)-(O73*Ventas!AE108*1))</f>
        <v>0</v>
      </c>
      <c r="Q73" s="3"/>
      <c r="R73" s="8">
        <v>0</v>
      </c>
      <c r="S73" s="15">
        <f t="shared" si="5"/>
        <v>0</v>
      </c>
      <c r="T73" s="3"/>
      <c r="U73" s="3"/>
      <c r="V73" s="3"/>
      <c r="W73" s="12">
        <v>46331</v>
      </c>
      <c r="X73" s="7">
        <v>56</v>
      </c>
      <c r="Y73" s="15">
        <f>(IF(P73&gt;0,P73+R73,R73)-(X73*Ventas!AE108*1))</f>
        <v>0</v>
      </c>
      <c r="Z73" s="3"/>
      <c r="AA73" s="15">
        <f>(120*(Ventas!AE108*1) - IF(Y73&gt;0,Y73,0))</f>
        <v>0</v>
      </c>
      <c r="AB73" s="15">
        <f t="shared" si="6"/>
        <v>0</v>
      </c>
      <c r="AC73" s="15">
        <f t="shared" si="7"/>
        <v>0</v>
      </c>
      <c r="AD73" s="3"/>
      <c r="AE73" s="3"/>
      <c r="AF73" s="3"/>
      <c r="AG73" s="3"/>
      <c r="AH73" s="1" t="s">
        <v>37</v>
      </c>
    </row>
    <row r="74" spans="1:34" x14ac:dyDescent="0.25">
      <c r="A74" s="1"/>
      <c r="B74" s="1" t="s">
        <v>249</v>
      </c>
      <c r="C74" s="14" t="s">
        <v>248</v>
      </c>
      <c r="D74" s="8">
        <v>95</v>
      </c>
      <c r="E74" s="12">
        <v>46238</v>
      </c>
      <c r="F74" s="7">
        <v>1</v>
      </c>
      <c r="G74" s="15">
        <f>(D74-(0)+0-(F74*Ventas!AE109*1))</f>
        <v>94.081500000000005</v>
      </c>
      <c r="H74" s="18">
        <f>(G74/(Ventas!AE109*1)/60)</f>
        <v>1.7071584104518238</v>
      </c>
      <c r="I74" s="8">
        <v>0</v>
      </c>
      <c r="J74" s="15">
        <f t="shared" si="4"/>
        <v>94.081500000000005</v>
      </c>
      <c r="K74" s="3"/>
      <c r="L74" s="15">
        <v>90</v>
      </c>
      <c r="M74" s="17">
        <v>3.39E-4</v>
      </c>
      <c r="N74" s="12">
        <v>46275</v>
      </c>
      <c r="O74" s="7">
        <v>37</v>
      </c>
      <c r="P74" s="15">
        <f>(IF(G74&gt;0,G74+I74,I74)-(O74*Ventas!AE109*1))</f>
        <v>60.097000000000008</v>
      </c>
      <c r="Q74" s="18">
        <f>(P74/(Ventas!AE109*1)/60)</f>
        <v>1.0904917437851571</v>
      </c>
      <c r="R74" s="8">
        <v>0</v>
      </c>
      <c r="S74" s="15">
        <f t="shared" si="5"/>
        <v>60.097000000000008</v>
      </c>
      <c r="T74" s="3"/>
      <c r="U74" s="15">
        <v>90</v>
      </c>
      <c r="V74" s="17">
        <v>3.39E-4</v>
      </c>
      <c r="W74" s="12">
        <v>46331</v>
      </c>
      <c r="X74" s="7">
        <v>56</v>
      </c>
      <c r="Y74" s="15">
        <f>(IF(P74&gt;0,P74+R74,R74)-(X74*Ventas!AE109*1))</f>
        <v>8.6610000000000085</v>
      </c>
      <c r="Z74" s="18">
        <f>(Y74/(Ventas!AE109*1)/60)</f>
        <v>0.1571584104518238</v>
      </c>
      <c r="AA74" s="15">
        <f>(120*(Ventas!AE109*1) - IF(Y74&gt;0,Y74,0))</f>
        <v>101.559</v>
      </c>
      <c r="AB74" s="15">
        <f t="shared" si="6"/>
        <v>101.559</v>
      </c>
      <c r="AC74" s="15">
        <f t="shared" si="7"/>
        <v>110.22</v>
      </c>
      <c r="AD74" s="16">
        <v>1.41</v>
      </c>
      <c r="AE74" s="8">
        <v>3027</v>
      </c>
      <c r="AF74" s="15">
        <f>(AC74-(60*Ventas!AE109*1))</f>
        <v>55.11</v>
      </c>
      <c r="AG74" s="18">
        <f>(AF74/(Ventas!AE109*1)/60)</f>
        <v>1</v>
      </c>
      <c r="AH74" s="1" t="s">
        <v>37</v>
      </c>
    </row>
    <row r="75" spans="1:34" x14ac:dyDescent="0.25">
      <c r="A75" s="1"/>
      <c r="B75" s="1" t="s">
        <v>251</v>
      </c>
      <c r="C75" s="14" t="s">
        <v>250</v>
      </c>
      <c r="D75" s="3"/>
      <c r="E75" s="12">
        <v>46238</v>
      </c>
      <c r="F75" s="7">
        <v>1</v>
      </c>
      <c r="G75" s="15">
        <f>(D75-(0)+0-(F75*Ventas!AE110*1))</f>
        <v>-0.97330000000000005</v>
      </c>
      <c r="H75" s="18">
        <f>(G75/(Ventas!AE110*1)/60)</f>
        <v>-1.6666666666666666E-2</v>
      </c>
      <c r="I75" s="8">
        <v>120</v>
      </c>
      <c r="J75" s="15">
        <f t="shared" si="4"/>
        <v>120</v>
      </c>
      <c r="K75" s="15">
        <v>1.28</v>
      </c>
      <c r="L75" s="15">
        <v>90</v>
      </c>
      <c r="M75" s="17">
        <v>3.39E-4</v>
      </c>
      <c r="N75" s="12">
        <v>46275</v>
      </c>
      <c r="O75" s="7">
        <v>37</v>
      </c>
      <c r="P75" s="15">
        <f>(IF(G75&gt;0,G75+I75,I75)-(O75*Ventas!AE110*1))</f>
        <v>83.987899999999996</v>
      </c>
      <c r="Q75" s="18">
        <f>(P75/(Ventas!AE110*1)/60)</f>
        <v>1.4381982259666424</v>
      </c>
      <c r="R75" s="8">
        <v>120</v>
      </c>
      <c r="S75" s="15">
        <f t="shared" si="5"/>
        <v>203.9879</v>
      </c>
      <c r="T75" s="15">
        <v>1.29</v>
      </c>
      <c r="U75" s="15">
        <v>90</v>
      </c>
      <c r="V75" s="17">
        <v>3.39E-4</v>
      </c>
      <c r="W75" s="12">
        <v>46331</v>
      </c>
      <c r="X75" s="7">
        <v>56</v>
      </c>
      <c r="Y75" s="15">
        <f>(IF(P75&gt;0,P75+R75,R75)-(X75*Ventas!AE110*1))</f>
        <v>149.48309999999998</v>
      </c>
      <c r="Z75" s="18">
        <f>(Y75/(Ventas!AE110*1)/60)</f>
        <v>2.5597297852666183</v>
      </c>
      <c r="AA75" s="15">
        <f>(120*(Ventas!AE110*1) - IF(Y75&gt;0,Y75,0))</f>
        <v>-32.687099999999973</v>
      </c>
      <c r="AB75" s="15">
        <f t="shared" si="6"/>
        <v>0</v>
      </c>
      <c r="AC75" s="15">
        <f t="shared" si="7"/>
        <v>149.48309999999998</v>
      </c>
      <c r="AD75" s="16">
        <v>1.28</v>
      </c>
      <c r="AE75" s="8">
        <v>3025</v>
      </c>
      <c r="AF75" s="15">
        <f>(AC75-(60*Ventas!AE110*1))</f>
        <v>91.085099999999983</v>
      </c>
      <c r="AG75" s="18">
        <f>(AF75/(Ventas!AE110*1)/60)</f>
        <v>1.5597297852666183</v>
      </c>
      <c r="AH75" s="1" t="s">
        <v>37</v>
      </c>
    </row>
    <row r="76" spans="1:34" x14ac:dyDescent="0.25">
      <c r="A76" s="1"/>
      <c r="B76" s="1" t="s">
        <v>253</v>
      </c>
      <c r="C76" s="14" t="s">
        <v>252</v>
      </c>
      <c r="D76" s="8">
        <v>63</v>
      </c>
      <c r="E76" s="12">
        <v>46238</v>
      </c>
      <c r="F76" s="7">
        <v>1</v>
      </c>
      <c r="G76" s="15">
        <f>(D76-(0)+0-(F76*Ventas!AE111*1))</f>
        <v>62.2059</v>
      </c>
      <c r="H76" s="18">
        <f>(G76/(Ventas!AE111*1)/60)</f>
        <v>1.3055849389245686</v>
      </c>
      <c r="I76" s="8">
        <v>0</v>
      </c>
      <c r="J76" s="15">
        <f t="shared" si="4"/>
        <v>62.2059</v>
      </c>
      <c r="K76" s="3"/>
      <c r="L76" s="15">
        <v>84</v>
      </c>
      <c r="M76" s="17">
        <v>3.57E-4</v>
      </c>
      <c r="N76" s="12">
        <v>46275</v>
      </c>
      <c r="O76" s="7">
        <v>37</v>
      </c>
      <c r="P76" s="15">
        <f>(IF(G76&gt;0,G76+I76,I76)-(O76*Ventas!AE111*1))</f>
        <v>32.824199999999998</v>
      </c>
      <c r="Q76" s="18">
        <f>(P76/(Ventas!AE111*1)/60)</f>
        <v>0.68891827225790203</v>
      </c>
      <c r="R76" s="8">
        <v>84</v>
      </c>
      <c r="S76" s="15">
        <f t="shared" si="5"/>
        <v>116.82419999999999</v>
      </c>
      <c r="T76" s="15">
        <v>0.76</v>
      </c>
      <c r="U76" s="15">
        <v>84</v>
      </c>
      <c r="V76" s="17">
        <v>3.57E-4</v>
      </c>
      <c r="W76" s="12">
        <v>46331</v>
      </c>
      <c r="X76" s="7">
        <v>56</v>
      </c>
      <c r="Y76" s="15">
        <f>(IF(P76&gt;0,P76+R76,R76)-(X76*Ventas!AE111*1))</f>
        <v>72.354599999999991</v>
      </c>
      <c r="Z76" s="18">
        <f>(Y76/(Ventas!AE111*1)/60)</f>
        <v>1.5185870797128824</v>
      </c>
      <c r="AA76" s="15">
        <f>(120*(Ventas!AE111*1) - IF(Y76&gt;0,Y76,0))</f>
        <v>22.937400000000011</v>
      </c>
      <c r="AB76" s="15">
        <f t="shared" si="6"/>
        <v>22.937400000000011</v>
      </c>
      <c r="AC76" s="15">
        <f t="shared" si="7"/>
        <v>95.292000000000002</v>
      </c>
      <c r="AD76" s="16">
        <v>0.69</v>
      </c>
      <c r="AE76" s="8">
        <v>3027</v>
      </c>
      <c r="AF76" s="15">
        <f>(AC76-(60*Ventas!AE111*1))</f>
        <v>47.646000000000001</v>
      </c>
      <c r="AG76" s="18">
        <f>(AF76/(Ventas!AE111*1)/60)</f>
        <v>1</v>
      </c>
      <c r="AH76" s="1" t="s">
        <v>37</v>
      </c>
    </row>
    <row r="77" spans="1:34" x14ac:dyDescent="0.25">
      <c r="A77" s="1"/>
      <c r="B77" s="1" t="s">
        <v>255</v>
      </c>
      <c r="C77" s="14" t="s">
        <v>254</v>
      </c>
      <c r="D77" s="3"/>
      <c r="E77" s="12">
        <v>46238</v>
      </c>
      <c r="F77" s="7">
        <v>1</v>
      </c>
      <c r="G77" s="15">
        <f>(D77-(0)+0-(F77*Ventas!AE112*1))</f>
        <v>-0.35499999999999998</v>
      </c>
      <c r="H77" s="18">
        <f>(G77/(Ventas!AE112*1)/60)</f>
        <v>-1.6666666666666666E-2</v>
      </c>
      <c r="I77" s="8">
        <v>0</v>
      </c>
      <c r="J77" s="15">
        <f t="shared" si="4"/>
        <v>0</v>
      </c>
      <c r="K77" s="3"/>
      <c r="L77" s="15">
        <v>84</v>
      </c>
      <c r="M77" s="17">
        <v>4.0200000000000001E-4</v>
      </c>
      <c r="N77" s="12">
        <v>46275</v>
      </c>
      <c r="O77" s="7">
        <v>37</v>
      </c>
      <c r="P77" s="15">
        <f>(IF(G77&gt;0,G77+I77,I77)-(O77*Ventas!AE112*1))</f>
        <v>-13.135</v>
      </c>
      <c r="Q77" s="18">
        <f>(P77/(Ventas!AE112*1)/60)</f>
        <v>-0.6166666666666667</v>
      </c>
      <c r="R77" s="8">
        <v>0</v>
      </c>
      <c r="S77" s="15">
        <f t="shared" si="5"/>
        <v>0</v>
      </c>
      <c r="T77" s="3"/>
      <c r="U77" s="15">
        <v>84</v>
      </c>
      <c r="V77" s="17">
        <v>4.0200000000000001E-4</v>
      </c>
      <c r="W77" s="12">
        <v>46331</v>
      </c>
      <c r="X77" s="7">
        <v>56</v>
      </c>
      <c r="Y77" s="15">
        <f>(IF(P77&gt;0,P77+R77,R77)-(X77*Ventas!AE112*1))</f>
        <v>-19.88</v>
      </c>
      <c r="Z77" s="18">
        <f>(Y77/(Ventas!AE112*1)/60)</f>
        <v>-0.93333333333333335</v>
      </c>
      <c r="AA77" s="15">
        <f>(120*(Ventas!AE112*1) - IF(Y77&gt;0,Y77,0))</f>
        <v>42.599999999999994</v>
      </c>
      <c r="AB77" s="15">
        <f t="shared" si="6"/>
        <v>42.599999999999994</v>
      </c>
      <c r="AC77" s="15">
        <f t="shared" si="7"/>
        <v>42.599999999999994</v>
      </c>
      <c r="AD77" s="16">
        <v>0.67</v>
      </c>
      <c r="AE77" s="8">
        <v>3010</v>
      </c>
      <c r="AF77" s="15">
        <f>(AC77-(60*Ventas!AE112*1))</f>
        <v>21.299999999999997</v>
      </c>
      <c r="AG77" s="18">
        <f>(AF77/(Ventas!AE112*1)/60)</f>
        <v>0.99999999999999989</v>
      </c>
      <c r="AH77" s="1" t="s">
        <v>34</v>
      </c>
    </row>
    <row r="78" spans="1:34" x14ac:dyDescent="0.25">
      <c r="A78" s="1"/>
      <c r="B78" s="1" t="s">
        <v>257</v>
      </c>
      <c r="C78" s="14" t="s">
        <v>256</v>
      </c>
      <c r="D78" s="8">
        <v>65</v>
      </c>
      <c r="E78" s="12">
        <v>46238</v>
      </c>
      <c r="F78" s="7">
        <v>1</v>
      </c>
      <c r="G78" s="15">
        <f>(D78-(0)+0-(F78*Ventas!AE113*1))</f>
        <v>63.842100000000002</v>
      </c>
      <c r="H78" s="18">
        <f>(G78/(Ventas!AE113*1)/60)</f>
        <v>0.91893514120390363</v>
      </c>
      <c r="I78" s="8">
        <v>0</v>
      </c>
      <c r="J78" s="15">
        <f t="shared" si="4"/>
        <v>63.842100000000002</v>
      </c>
      <c r="K78" s="3"/>
      <c r="L78" s="15">
        <v>84</v>
      </c>
      <c r="M78" s="17">
        <v>3.57E-4</v>
      </c>
      <c r="N78" s="12">
        <v>46275</v>
      </c>
      <c r="O78" s="7">
        <v>37</v>
      </c>
      <c r="P78" s="15">
        <f>(IF(G78&gt;0,G78+I78,I78)-(O78*Ventas!AE113*1))</f>
        <v>20.999800000000008</v>
      </c>
      <c r="Q78" s="18">
        <f>(P78/(Ventas!AE113*1)/60)</f>
        <v>0.30226847453723704</v>
      </c>
      <c r="R78" s="8">
        <v>84</v>
      </c>
      <c r="S78" s="15">
        <f t="shared" si="5"/>
        <v>104.99980000000001</v>
      </c>
      <c r="T78" s="15">
        <v>0.76</v>
      </c>
      <c r="U78" s="15">
        <v>84</v>
      </c>
      <c r="V78" s="17">
        <v>3.57E-4</v>
      </c>
      <c r="W78" s="12">
        <v>46331</v>
      </c>
      <c r="X78" s="7">
        <v>56</v>
      </c>
      <c r="Y78" s="15">
        <f>(IF(P78&gt;0,P78+R78,R78)-(X78*Ventas!AE113*1))</f>
        <v>40.15740000000001</v>
      </c>
      <c r="Z78" s="18">
        <f>(Y78/(Ventas!AE113*1)/60)</f>
        <v>0.57802055445202538</v>
      </c>
      <c r="AA78" s="15">
        <f>(120*(Ventas!AE113*1) - IF(Y78&gt;0,Y78,0))</f>
        <v>98.790599999999969</v>
      </c>
      <c r="AB78" s="15">
        <f t="shared" si="6"/>
        <v>98.790599999999969</v>
      </c>
      <c r="AC78" s="15">
        <f t="shared" si="7"/>
        <v>138.94799999999998</v>
      </c>
      <c r="AD78" s="16">
        <v>0.71</v>
      </c>
      <c r="AE78" s="8">
        <v>3027</v>
      </c>
      <c r="AF78" s="15">
        <f>(AC78-(60*Ventas!AE113*1))</f>
        <v>69.47399999999999</v>
      </c>
      <c r="AG78" s="18">
        <f>(AF78/(Ventas!AE113*1)/60)</f>
        <v>0.99999999999999989</v>
      </c>
      <c r="AH78" s="1" t="s">
        <v>37</v>
      </c>
    </row>
    <row r="79" spans="1:34" x14ac:dyDescent="0.25">
      <c r="A79" s="1"/>
      <c r="B79" s="1" t="s">
        <v>259</v>
      </c>
      <c r="C79" s="14" t="s">
        <v>258</v>
      </c>
      <c r="D79" s="8">
        <v>47</v>
      </c>
      <c r="E79" s="12">
        <v>46238</v>
      </c>
      <c r="F79" s="7">
        <v>1</v>
      </c>
      <c r="G79" s="15">
        <f>(D79-(0)+0-(F79*Ventas!AE114*1))</f>
        <v>46.415900000000001</v>
      </c>
      <c r="H79" s="18">
        <f>(G79/(Ventas!AE114*1)/60)</f>
        <v>1.3244278947668779</v>
      </c>
      <c r="I79" s="8">
        <v>0</v>
      </c>
      <c r="J79" s="15">
        <f t="shared" si="4"/>
        <v>46.415900000000001</v>
      </c>
      <c r="K79" s="3"/>
      <c r="L79" s="15">
        <v>84</v>
      </c>
      <c r="M79" s="17">
        <v>3.57E-4</v>
      </c>
      <c r="N79" s="12">
        <v>46275</v>
      </c>
      <c r="O79" s="7">
        <v>37</v>
      </c>
      <c r="P79" s="15">
        <f>(IF(G79&gt;0,G79+I79,I79)-(O79*Ventas!AE114*1))</f>
        <v>24.804200000000002</v>
      </c>
      <c r="Q79" s="18">
        <f>(P79/(Ventas!AE114*1)/60)</f>
        <v>0.70776122810021136</v>
      </c>
      <c r="R79" s="8">
        <v>0</v>
      </c>
      <c r="S79" s="15">
        <f t="shared" si="5"/>
        <v>24.804200000000002</v>
      </c>
      <c r="T79" s="3"/>
      <c r="U79" s="15">
        <v>84</v>
      </c>
      <c r="V79" s="17">
        <v>3.57E-4</v>
      </c>
      <c r="W79" s="12">
        <v>46331</v>
      </c>
      <c r="X79" s="7">
        <v>56</v>
      </c>
      <c r="Y79" s="15">
        <f>(IF(P79&gt;0,P79+R79,R79)-(X79*Ventas!AE114*1))</f>
        <v>-7.9053999999999931</v>
      </c>
      <c r="Z79" s="18">
        <f>(Y79/(Ventas!AE114*1)/60)</f>
        <v>-0.22557210523312199</v>
      </c>
      <c r="AA79" s="15">
        <f>(120*(Ventas!AE114*1) - IF(Y79&gt;0,Y79,0))</f>
        <v>70.091999999999999</v>
      </c>
      <c r="AB79" s="15">
        <f t="shared" si="6"/>
        <v>70.091999999999999</v>
      </c>
      <c r="AC79" s="15">
        <f t="shared" si="7"/>
        <v>70.091999999999999</v>
      </c>
      <c r="AD79" s="16">
        <v>0.65</v>
      </c>
      <c r="AE79" s="8">
        <v>3010</v>
      </c>
      <c r="AF79" s="15">
        <f>(AC79-(60*Ventas!AE114*1))</f>
        <v>35.045999999999999</v>
      </c>
      <c r="AG79" s="18">
        <f>(AF79/(Ventas!AE114*1)/60)</f>
        <v>1.0000000000000002</v>
      </c>
      <c r="AH79" s="1" t="s">
        <v>37</v>
      </c>
    </row>
    <row r="80" spans="1:34" x14ac:dyDescent="0.25">
      <c r="A80" s="1"/>
      <c r="B80" s="1" t="s">
        <v>261</v>
      </c>
      <c r="C80" s="14" t="s">
        <v>260</v>
      </c>
      <c r="D80" s="3"/>
      <c r="E80" s="12">
        <v>46238</v>
      </c>
      <c r="F80" s="7">
        <v>1</v>
      </c>
      <c r="G80" s="15">
        <f>(D80-(0)+0-(F80*Ventas!AE115*1))</f>
        <v>-0.1867</v>
      </c>
      <c r="H80" s="18">
        <f>(G80/(Ventas!AE115*1)/60)</f>
        <v>-1.6666666666666666E-2</v>
      </c>
      <c r="I80" s="8">
        <v>0</v>
      </c>
      <c r="J80" s="15">
        <f t="shared" si="4"/>
        <v>0</v>
      </c>
      <c r="K80" s="3"/>
      <c r="L80" s="15">
        <v>84</v>
      </c>
      <c r="M80" s="17">
        <v>3.57E-4</v>
      </c>
      <c r="N80" s="12">
        <v>46275</v>
      </c>
      <c r="O80" s="7">
        <v>37</v>
      </c>
      <c r="P80" s="15">
        <f>(IF(G80&gt;0,G80+I80,I80)-(O80*Ventas!AE115*1))</f>
        <v>-6.9079000000000006</v>
      </c>
      <c r="Q80" s="18">
        <f>(P80/(Ventas!AE115*1)/60)</f>
        <v>-0.6166666666666667</v>
      </c>
      <c r="R80" s="8">
        <v>0</v>
      </c>
      <c r="S80" s="15">
        <f t="shared" si="5"/>
        <v>0</v>
      </c>
      <c r="T80" s="3"/>
      <c r="U80" s="15">
        <v>84</v>
      </c>
      <c r="V80" s="17">
        <v>3.57E-4</v>
      </c>
      <c r="W80" s="12">
        <v>46331</v>
      </c>
      <c r="X80" s="7">
        <v>56</v>
      </c>
      <c r="Y80" s="15">
        <f>(IF(P80&gt;0,P80+R80,R80)-(X80*Ventas!AE115*1))</f>
        <v>-10.4552</v>
      </c>
      <c r="Z80" s="18">
        <f>(Y80/(Ventas!AE115*1)/60)</f>
        <v>-0.93333333333333324</v>
      </c>
      <c r="AA80" s="15">
        <f>(120*(Ventas!AE115*1) - IF(Y80&gt;0,Y80,0))</f>
        <v>22.404</v>
      </c>
      <c r="AB80" s="15">
        <f t="shared" si="6"/>
        <v>22.404</v>
      </c>
      <c r="AC80" s="15">
        <f t="shared" si="7"/>
        <v>22.404</v>
      </c>
      <c r="AD80" s="16">
        <v>0.67</v>
      </c>
      <c r="AE80" s="8">
        <v>3010</v>
      </c>
      <c r="AF80" s="15">
        <f>(AC80-(60*Ventas!AE115*1))</f>
        <v>11.202</v>
      </c>
      <c r="AG80" s="18">
        <f>(AF80/(Ventas!AE115*1)/60)</f>
        <v>1</v>
      </c>
      <c r="AH80" s="1" t="s">
        <v>37</v>
      </c>
    </row>
    <row r="81" spans="1:34" x14ac:dyDescent="0.25">
      <c r="A81" s="1"/>
      <c r="B81" s="1" t="s">
        <v>263</v>
      </c>
      <c r="C81" s="14" t="s">
        <v>262</v>
      </c>
      <c r="D81" s="3"/>
      <c r="E81" s="12">
        <v>46238</v>
      </c>
      <c r="F81" s="7">
        <v>1</v>
      </c>
      <c r="G81" s="15">
        <f>(D81-(0)+0-(F81*Ventas!AE116*1))</f>
        <v>0</v>
      </c>
      <c r="H81" s="3"/>
      <c r="I81" s="8">
        <v>0</v>
      </c>
      <c r="J81" s="15">
        <f t="shared" si="4"/>
        <v>0</v>
      </c>
      <c r="K81" s="3"/>
      <c r="L81" s="15">
        <v>6</v>
      </c>
      <c r="M81" s="17">
        <v>5.0000000000000001E-3</v>
      </c>
      <c r="N81" s="12">
        <v>46275</v>
      </c>
      <c r="O81" s="7">
        <v>37</v>
      </c>
      <c r="P81" s="15">
        <f>(IF(G81&gt;0,G81+I81,I81)-(O81*Ventas!AE116*1))</f>
        <v>0</v>
      </c>
      <c r="Q81" s="3"/>
      <c r="R81" s="8">
        <v>0</v>
      </c>
      <c r="S81" s="15">
        <f t="shared" si="5"/>
        <v>0</v>
      </c>
      <c r="T81" s="3"/>
      <c r="U81" s="15">
        <v>6</v>
      </c>
      <c r="V81" s="17">
        <v>5.0000000000000001E-3</v>
      </c>
      <c r="W81" s="12">
        <v>46331</v>
      </c>
      <c r="X81" s="7">
        <v>56</v>
      </c>
      <c r="Y81" s="15">
        <f>(IF(P81&gt;0,P81+R81,R81)-(X81*Ventas!AE116*1))</f>
        <v>0</v>
      </c>
      <c r="Z81" s="3"/>
      <c r="AA81" s="15">
        <f>(120*(Ventas!AE116*1) - IF(Y81&gt;0,Y81,0))</f>
        <v>0</v>
      </c>
      <c r="AB81" s="15">
        <f t="shared" si="6"/>
        <v>0</v>
      </c>
      <c r="AC81" s="15">
        <f t="shared" si="7"/>
        <v>0</v>
      </c>
      <c r="AD81" s="3"/>
      <c r="AE81" s="3"/>
      <c r="AF81" s="3"/>
      <c r="AG81" s="3"/>
      <c r="AH81" s="1" t="s">
        <v>37</v>
      </c>
    </row>
    <row r="82" spans="1:34" x14ac:dyDescent="0.25">
      <c r="A82" s="1"/>
      <c r="B82" s="1" t="s">
        <v>265</v>
      </c>
      <c r="C82" s="14" t="s">
        <v>264</v>
      </c>
      <c r="D82" s="3"/>
      <c r="E82" s="12">
        <v>46238</v>
      </c>
      <c r="F82" s="7">
        <v>1</v>
      </c>
      <c r="G82" s="15">
        <f>(D82-(0)+0-(F82*Ventas!AE117*1))</f>
        <v>-1.0044</v>
      </c>
      <c r="H82" s="18">
        <f>(G82/(Ventas!AE117*1)/60)</f>
        <v>-1.6666666666666666E-2</v>
      </c>
      <c r="I82" s="8">
        <v>420</v>
      </c>
      <c r="J82" s="15">
        <f t="shared" si="4"/>
        <v>420</v>
      </c>
      <c r="K82" s="15">
        <v>0.6</v>
      </c>
      <c r="L82" s="15">
        <v>84</v>
      </c>
      <c r="M82" s="17">
        <v>3.57E-4</v>
      </c>
      <c r="N82" s="12">
        <v>46275</v>
      </c>
      <c r="O82" s="7">
        <v>37</v>
      </c>
      <c r="P82" s="15">
        <f>(IF(G82&gt;0,G82+I82,I82)-(O82*Ventas!AE117*1))</f>
        <v>382.8372</v>
      </c>
      <c r="Q82" s="18">
        <f>(P82/(Ventas!AE117*1)/60)</f>
        <v>6.3526682596575075</v>
      </c>
      <c r="R82" s="8">
        <v>84</v>
      </c>
      <c r="S82" s="15">
        <f t="shared" si="5"/>
        <v>466.8372</v>
      </c>
      <c r="T82" s="15">
        <v>0.61</v>
      </c>
      <c r="U82" s="15">
        <v>84</v>
      </c>
      <c r="V82" s="17">
        <v>3.57E-4</v>
      </c>
      <c r="W82" s="12">
        <v>46331</v>
      </c>
      <c r="X82" s="7">
        <v>56</v>
      </c>
      <c r="Y82" s="15">
        <f>(IF(P82&gt;0,P82+R82,R82)-(X82*Ventas!AE117*1))</f>
        <v>410.5908</v>
      </c>
      <c r="Z82" s="18">
        <f>(Y82/(Ventas!AE117*1)/60)</f>
        <v>6.8132019115890081</v>
      </c>
      <c r="AA82" s="15">
        <f>(120*(Ventas!AE117*1) - IF(Y82&gt;0,Y82,0))</f>
        <v>-290.06280000000004</v>
      </c>
      <c r="AB82" s="15">
        <f t="shared" si="6"/>
        <v>0</v>
      </c>
      <c r="AC82" s="15">
        <f t="shared" si="7"/>
        <v>410.5908</v>
      </c>
      <c r="AD82" s="16">
        <v>0.6</v>
      </c>
      <c r="AE82" s="8">
        <v>3025</v>
      </c>
      <c r="AF82" s="15">
        <f>(AC82-(60*Ventas!AE117*1))</f>
        <v>350.32679999999999</v>
      </c>
      <c r="AG82" s="18">
        <f>(AF82/(Ventas!AE117*1)/60)</f>
        <v>5.8132019115890081</v>
      </c>
      <c r="AH82" s="1" t="s">
        <v>37</v>
      </c>
    </row>
    <row r="83" spans="1:34" x14ac:dyDescent="0.25">
      <c r="A83" s="1"/>
      <c r="B83" s="1" t="s">
        <v>267</v>
      </c>
      <c r="C83" s="14" t="s">
        <v>266</v>
      </c>
      <c r="D83" s="8">
        <v>48</v>
      </c>
      <c r="E83" s="12">
        <v>46238</v>
      </c>
      <c r="F83" s="7">
        <v>1</v>
      </c>
      <c r="G83" s="15">
        <f>(D83-(0)+0-(F83*Ventas!AE118*1))</f>
        <v>47.409599999999998</v>
      </c>
      <c r="H83" s="18">
        <f>(G83/(Ventas!AE118*1)/60)</f>
        <v>1.3383468834688346</v>
      </c>
      <c r="I83" s="8">
        <v>168</v>
      </c>
      <c r="J83" s="15">
        <f t="shared" si="4"/>
        <v>215.40960000000001</v>
      </c>
      <c r="K83" s="15">
        <v>0.6</v>
      </c>
      <c r="L83" s="15">
        <v>84</v>
      </c>
      <c r="M83" s="17">
        <v>3.57E-4</v>
      </c>
      <c r="N83" s="12">
        <v>46275</v>
      </c>
      <c r="O83" s="7">
        <v>37</v>
      </c>
      <c r="P83" s="15">
        <f>(IF(G83&gt;0,G83+I83,I83)-(O83*Ventas!AE118*1))</f>
        <v>193.56480000000002</v>
      </c>
      <c r="Q83" s="18">
        <f>(P83/(Ventas!AE118*1)/60)</f>
        <v>5.4642276422764233</v>
      </c>
      <c r="R83" s="8">
        <v>168</v>
      </c>
      <c r="S83" s="15">
        <f t="shared" si="5"/>
        <v>361.56479999999999</v>
      </c>
      <c r="T83" s="15">
        <v>0.61</v>
      </c>
      <c r="U83" s="15">
        <v>84</v>
      </c>
      <c r="V83" s="17">
        <v>3.57E-4</v>
      </c>
      <c r="W83" s="12">
        <v>46331</v>
      </c>
      <c r="X83" s="7">
        <v>56</v>
      </c>
      <c r="Y83" s="15">
        <f>(IF(P83&gt;0,P83+R83,R83)-(X83*Ventas!AE118*1))</f>
        <v>328.50239999999997</v>
      </c>
      <c r="Z83" s="18">
        <f>(Y83/(Ventas!AE118*1)/60)</f>
        <v>9.2734417344173412</v>
      </c>
      <c r="AA83" s="15">
        <f>(120*(Ventas!AE118*1) - IF(Y83&gt;0,Y83,0))</f>
        <v>-257.65439999999995</v>
      </c>
      <c r="AB83" s="15">
        <f t="shared" si="6"/>
        <v>0</v>
      </c>
      <c r="AC83" s="15">
        <f t="shared" si="7"/>
        <v>328.50239999999997</v>
      </c>
      <c r="AD83" s="16">
        <v>0.6</v>
      </c>
      <c r="AE83" s="8">
        <v>3025</v>
      </c>
      <c r="AF83" s="15">
        <f>(AC83-(60*Ventas!AE118*1))</f>
        <v>293.07839999999999</v>
      </c>
      <c r="AG83" s="18">
        <f>(AF83/(Ventas!AE118*1)/60)</f>
        <v>8.273441734417343</v>
      </c>
      <c r="AH83" s="1" t="s">
        <v>37</v>
      </c>
    </row>
    <row r="84" spans="1:34" x14ac:dyDescent="0.25">
      <c r="A84" s="1"/>
      <c r="B84" s="1" t="s">
        <v>269</v>
      </c>
      <c r="C84" s="14" t="s">
        <v>268</v>
      </c>
      <c r="D84" s="8">
        <v>1052</v>
      </c>
      <c r="E84" s="12">
        <v>46238</v>
      </c>
      <c r="F84" s="7">
        <v>1</v>
      </c>
      <c r="G84" s="15">
        <f>(D84-(0)+0-(F84*Ventas!AE119*1))</f>
        <v>1048.346</v>
      </c>
      <c r="H84" s="18">
        <f>(G84/(Ventas!AE119*1)/60)</f>
        <v>4.7817277869002011</v>
      </c>
      <c r="I84" s="8">
        <v>0</v>
      </c>
      <c r="J84" s="15">
        <f t="shared" si="4"/>
        <v>1048.346</v>
      </c>
      <c r="K84" s="3"/>
      <c r="L84" s="15">
        <v>84</v>
      </c>
      <c r="M84" s="17">
        <v>3.57E-4</v>
      </c>
      <c r="N84" s="12">
        <v>46275</v>
      </c>
      <c r="O84" s="7">
        <v>37</v>
      </c>
      <c r="P84" s="15">
        <f>(IF(G84&gt;0,G84+I84,I84)-(O84*Ventas!AE119*1))</f>
        <v>913.14800000000002</v>
      </c>
      <c r="Q84" s="18">
        <f>(P84/(Ventas!AE119*1)/60)</f>
        <v>4.1650611202335339</v>
      </c>
      <c r="R84" s="8">
        <v>0</v>
      </c>
      <c r="S84" s="15">
        <f t="shared" si="5"/>
        <v>913.14800000000002</v>
      </c>
      <c r="T84" s="3"/>
      <c r="U84" s="15">
        <v>84</v>
      </c>
      <c r="V84" s="17">
        <v>3.57E-4</v>
      </c>
      <c r="W84" s="12">
        <v>46331</v>
      </c>
      <c r="X84" s="7">
        <v>56</v>
      </c>
      <c r="Y84" s="15">
        <f>(IF(P84&gt;0,P84+R84,R84)-(X84*Ventas!AE119*1))</f>
        <v>708.524</v>
      </c>
      <c r="Z84" s="18">
        <f>(Y84/(Ventas!AE119*1)/60)</f>
        <v>3.2317277869002008</v>
      </c>
      <c r="AA84" s="15">
        <f>(120*(Ventas!AE119*1) - IF(Y84&gt;0,Y84,0))</f>
        <v>-270.04399999999998</v>
      </c>
      <c r="AB84" s="15">
        <f t="shared" si="6"/>
        <v>0</v>
      </c>
      <c r="AC84" s="15">
        <f t="shared" si="7"/>
        <v>708.524</v>
      </c>
      <c r="AD84" s="16">
        <v>0.40010000000000001</v>
      </c>
      <c r="AE84" s="8">
        <v>3010</v>
      </c>
      <c r="AF84" s="15">
        <f>(AC84-(60*Ventas!AE119*1))</f>
        <v>489.28399999999999</v>
      </c>
      <c r="AG84" s="18">
        <f>(AF84/(Ventas!AE119*1)/60)</f>
        <v>2.2317277869002008</v>
      </c>
      <c r="AH84" s="1" t="s">
        <v>37</v>
      </c>
    </row>
    <row r="85" spans="1:34" x14ac:dyDescent="0.25">
      <c r="A85" s="1"/>
      <c r="B85" s="1" t="s">
        <v>271</v>
      </c>
      <c r="C85" s="14" t="s">
        <v>270</v>
      </c>
      <c r="D85" s="3"/>
      <c r="E85" s="12">
        <v>46238</v>
      </c>
      <c r="F85" s="7">
        <v>1</v>
      </c>
      <c r="G85" s="15">
        <f>(D85-(0)+0-(F85*Ventas!AE120*1))</f>
        <v>-2.5840000000000001</v>
      </c>
      <c r="H85" s="18">
        <f>(G85/(Ventas!AE120*1)/60)</f>
        <v>-1.6666666666666666E-2</v>
      </c>
      <c r="I85" s="8">
        <v>168</v>
      </c>
      <c r="J85" s="15">
        <f t="shared" si="4"/>
        <v>168</v>
      </c>
      <c r="K85" s="15">
        <v>0.75</v>
      </c>
      <c r="L85" s="15">
        <v>84</v>
      </c>
      <c r="M85" s="17">
        <v>3.57E-4</v>
      </c>
      <c r="N85" s="12">
        <v>46275</v>
      </c>
      <c r="O85" s="7">
        <v>37</v>
      </c>
      <c r="P85" s="15">
        <f>(IF(G85&gt;0,G85+I85,I85)-(O85*Ventas!AE120*1))</f>
        <v>72.391999999999996</v>
      </c>
      <c r="Q85" s="18">
        <f>(P85/(Ventas!AE120*1)/60)</f>
        <v>0.46692466460268311</v>
      </c>
      <c r="R85" s="8">
        <v>168</v>
      </c>
      <c r="S85" s="15">
        <f t="shared" si="5"/>
        <v>240.392</v>
      </c>
      <c r="T85" s="15">
        <v>0.76</v>
      </c>
      <c r="U85" s="15">
        <v>84</v>
      </c>
      <c r="V85" s="17">
        <v>3.57E-4</v>
      </c>
      <c r="W85" s="12">
        <v>46331</v>
      </c>
      <c r="X85" s="7">
        <v>56</v>
      </c>
      <c r="Y85" s="15">
        <f>(IF(P85&gt;0,P85+R85,R85)-(X85*Ventas!AE120*1))</f>
        <v>95.687999999999988</v>
      </c>
      <c r="Z85" s="18">
        <f>(Y85/(Ventas!AE120*1)/60)</f>
        <v>0.61718266253869958</v>
      </c>
      <c r="AA85" s="15">
        <f>(120*(Ventas!AE120*1) - IF(Y85&gt;0,Y85,0))</f>
        <v>214.392</v>
      </c>
      <c r="AB85" s="15">
        <f t="shared" si="6"/>
        <v>214.392</v>
      </c>
      <c r="AC85" s="15">
        <f t="shared" si="7"/>
        <v>310.08</v>
      </c>
      <c r="AD85" s="16">
        <v>0.75</v>
      </c>
      <c r="AE85" s="8">
        <v>3025</v>
      </c>
      <c r="AF85" s="15">
        <f>(AC85-(60*Ventas!AE120*1))</f>
        <v>155.04</v>
      </c>
      <c r="AG85" s="18">
        <f>(AF85/(Ventas!AE120*1)/60)</f>
        <v>0.99999999999999989</v>
      </c>
      <c r="AH85" s="1" t="s">
        <v>37</v>
      </c>
    </row>
    <row r="86" spans="1:34" x14ac:dyDescent="0.25">
      <c r="A86" s="1"/>
      <c r="B86" s="1" t="s">
        <v>273</v>
      </c>
      <c r="C86" s="14" t="s">
        <v>272</v>
      </c>
      <c r="D86" s="3"/>
      <c r="E86" s="12">
        <v>46238</v>
      </c>
      <c r="F86" s="7">
        <v>1</v>
      </c>
      <c r="G86" s="15">
        <f>(D86-(0)+0-(F86*Ventas!AE121*1))</f>
        <v>0</v>
      </c>
      <c r="H86" s="3"/>
      <c r="I86" s="8">
        <v>0</v>
      </c>
      <c r="J86" s="15">
        <f t="shared" si="4"/>
        <v>0</v>
      </c>
      <c r="K86" s="3"/>
      <c r="L86" s="15">
        <v>84</v>
      </c>
      <c r="M86" s="17">
        <v>3.57E-4</v>
      </c>
      <c r="N86" s="12">
        <v>46275</v>
      </c>
      <c r="O86" s="7">
        <v>37</v>
      </c>
      <c r="P86" s="15">
        <f>(IF(G86&gt;0,G86+I86,I86)-(O86*Ventas!AE121*1))</f>
        <v>0</v>
      </c>
      <c r="Q86" s="3"/>
      <c r="R86" s="8">
        <v>0</v>
      </c>
      <c r="S86" s="15">
        <f t="shared" si="5"/>
        <v>0</v>
      </c>
      <c r="T86" s="3"/>
      <c r="U86" s="15">
        <v>84</v>
      </c>
      <c r="V86" s="17">
        <v>3.57E-4</v>
      </c>
      <c r="W86" s="12">
        <v>46331</v>
      </c>
      <c r="X86" s="7">
        <v>56</v>
      </c>
      <c r="Y86" s="15">
        <f>(IF(P86&gt;0,P86+R86,R86)-(X86*Ventas!AE121*1))</f>
        <v>0</v>
      </c>
      <c r="Z86" s="3"/>
      <c r="AA86" s="15">
        <f>(120*(Ventas!AE121*1) - IF(Y86&gt;0,Y86,0))</f>
        <v>0</v>
      </c>
      <c r="AB86" s="15">
        <f t="shared" si="6"/>
        <v>0</v>
      </c>
      <c r="AC86" s="15">
        <f t="shared" si="7"/>
        <v>0</v>
      </c>
      <c r="AD86" s="3"/>
      <c r="AE86" s="8">
        <v>3010</v>
      </c>
      <c r="AF86" s="3"/>
      <c r="AG86" s="3"/>
      <c r="AH86" s="1" t="s">
        <v>37</v>
      </c>
    </row>
    <row r="87" spans="1:34" x14ac:dyDescent="0.25">
      <c r="A87" s="1"/>
      <c r="B87" s="1" t="s">
        <v>275</v>
      </c>
      <c r="C87" s="14" t="s">
        <v>274</v>
      </c>
      <c r="D87" s="3"/>
      <c r="E87" s="12">
        <v>46238</v>
      </c>
      <c r="F87" s="7">
        <v>1</v>
      </c>
      <c r="G87" s="15">
        <f>(D87-(0)+0-(F87*Ventas!AE122*1))</f>
        <v>0</v>
      </c>
      <c r="H87" s="3"/>
      <c r="I87" s="8">
        <v>0</v>
      </c>
      <c r="J87" s="15">
        <f t="shared" si="4"/>
        <v>0</v>
      </c>
      <c r="K87" s="3"/>
      <c r="L87" s="15">
        <v>84</v>
      </c>
      <c r="M87" s="17">
        <v>3.57E-4</v>
      </c>
      <c r="N87" s="12">
        <v>46275</v>
      </c>
      <c r="O87" s="7">
        <v>37</v>
      </c>
      <c r="P87" s="15">
        <f>(IF(G87&gt;0,G87+I87,I87)-(O87*Ventas!AE122*1))</f>
        <v>0</v>
      </c>
      <c r="Q87" s="3"/>
      <c r="R87" s="8">
        <v>0</v>
      </c>
      <c r="S87" s="15">
        <f t="shared" si="5"/>
        <v>0</v>
      </c>
      <c r="T87" s="3"/>
      <c r="U87" s="15">
        <v>84</v>
      </c>
      <c r="V87" s="17">
        <v>3.57E-4</v>
      </c>
      <c r="W87" s="12">
        <v>46331</v>
      </c>
      <c r="X87" s="7">
        <v>56</v>
      </c>
      <c r="Y87" s="15">
        <f>(IF(P87&gt;0,P87+R87,R87)-(X87*Ventas!AE122*1))</f>
        <v>0</v>
      </c>
      <c r="Z87" s="3"/>
      <c r="AA87" s="15">
        <f>(120*(Ventas!AE122*1) - IF(Y87&gt;0,Y87,0))</f>
        <v>0</v>
      </c>
      <c r="AB87" s="15">
        <f t="shared" si="6"/>
        <v>0</v>
      </c>
      <c r="AC87" s="15">
        <f t="shared" si="7"/>
        <v>0</v>
      </c>
      <c r="AD87" s="3"/>
      <c r="AE87" s="8">
        <v>3010</v>
      </c>
      <c r="AF87" s="3"/>
      <c r="AG87" s="3"/>
      <c r="AH87" s="1" t="s">
        <v>37</v>
      </c>
    </row>
    <row r="88" spans="1:34" x14ac:dyDescent="0.25">
      <c r="A88" s="1"/>
      <c r="B88" s="1" t="s">
        <v>277</v>
      </c>
      <c r="C88" s="14" t="s">
        <v>276</v>
      </c>
      <c r="D88" s="3"/>
      <c r="E88" s="12">
        <v>46238</v>
      </c>
      <c r="F88" s="7">
        <v>1</v>
      </c>
      <c r="G88" s="15">
        <f>(D88-(0)+0-(F88*Ventas!AE123*1))</f>
        <v>0</v>
      </c>
      <c r="H88" s="3"/>
      <c r="I88" s="8">
        <v>0</v>
      </c>
      <c r="J88" s="15">
        <f t="shared" si="4"/>
        <v>0</v>
      </c>
      <c r="K88" s="3"/>
      <c r="L88" s="15">
        <v>84</v>
      </c>
      <c r="M88" s="17">
        <v>3.57E-4</v>
      </c>
      <c r="N88" s="12">
        <v>46275</v>
      </c>
      <c r="O88" s="7">
        <v>37</v>
      </c>
      <c r="P88" s="15">
        <f>(IF(G88&gt;0,G88+I88,I88)-(O88*Ventas!AE123*1))</f>
        <v>0</v>
      </c>
      <c r="Q88" s="3"/>
      <c r="R88" s="8">
        <v>0</v>
      </c>
      <c r="S88" s="15">
        <f t="shared" si="5"/>
        <v>0</v>
      </c>
      <c r="T88" s="3"/>
      <c r="U88" s="15">
        <v>84</v>
      </c>
      <c r="V88" s="17">
        <v>3.57E-4</v>
      </c>
      <c r="W88" s="12">
        <v>46331</v>
      </c>
      <c r="X88" s="7">
        <v>56</v>
      </c>
      <c r="Y88" s="15">
        <f>(IF(P88&gt;0,P88+R88,R88)-(X88*Ventas!AE123*1))</f>
        <v>0</v>
      </c>
      <c r="Z88" s="3"/>
      <c r="AA88" s="15">
        <f>(120*(Ventas!AE123*1) - IF(Y88&gt;0,Y88,0))</f>
        <v>0</v>
      </c>
      <c r="AB88" s="15">
        <f t="shared" si="6"/>
        <v>0</v>
      </c>
      <c r="AC88" s="15">
        <f t="shared" si="7"/>
        <v>0</v>
      </c>
      <c r="AD88" s="3"/>
      <c r="AE88" s="8">
        <v>3010</v>
      </c>
      <c r="AF88" s="3"/>
      <c r="AG88" s="3"/>
      <c r="AH88" s="1" t="s">
        <v>37</v>
      </c>
    </row>
    <row r="89" spans="1:34" x14ac:dyDescent="0.25">
      <c r="A89" s="1"/>
      <c r="B89" s="1" t="s">
        <v>279</v>
      </c>
      <c r="C89" s="14" t="s">
        <v>278</v>
      </c>
      <c r="D89" s="3"/>
      <c r="E89" s="12">
        <v>46238</v>
      </c>
      <c r="F89" s="7">
        <v>1</v>
      </c>
      <c r="G89" s="15">
        <f>(D89-(0)+0-(F89*Ventas!AE124*1))</f>
        <v>0</v>
      </c>
      <c r="H89" s="3"/>
      <c r="I89" s="8">
        <v>0</v>
      </c>
      <c r="J89" s="15">
        <f t="shared" si="4"/>
        <v>0</v>
      </c>
      <c r="K89" s="3"/>
      <c r="L89" s="15">
        <v>44</v>
      </c>
      <c r="M89" s="17">
        <v>7.7300000000000003E-4</v>
      </c>
      <c r="N89" s="12">
        <v>46275</v>
      </c>
      <c r="O89" s="7">
        <v>37</v>
      </c>
      <c r="P89" s="15">
        <f>(IF(G89&gt;0,G89+I89,I89)-(O89*Ventas!AE124*1))</f>
        <v>0</v>
      </c>
      <c r="Q89" s="3"/>
      <c r="R89" s="8">
        <v>0</v>
      </c>
      <c r="S89" s="15">
        <f t="shared" si="5"/>
        <v>0</v>
      </c>
      <c r="T89" s="3"/>
      <c r="U89" s="15">
        <v>44</v>
      </c>
      <c r="V89" s="17">
        <v>7.7300000000000003E-4</v>
      </c>
      <c r="W89" s="12">
        <v>46331</v>
      </c>
      <c r="X89" s="7">
        <v>56</v>
      </c>
      <c r="Y89" s="15">
        <f>(IF(P89&gt;0,P89+R89,R89)-(X89*Ventas!AE124*1))</f>
        <v>0</v>
      </c>
      <c r="Z89" s="3"/>
      <c r="AA89" s="15">
        <f>(120*(Ventas!AE124*1) - IF(Y89&gt;0,Y89,0))</f>
        <v>0</v>
      </c>
      <c r="AB89" s="15">
        <f t="shared" si="6"/>
        <v>0</v>
      </c>
      <c r="AC89" s="15">
        <f t="shared" si="7"/>
        <v>0</v>
      </c>
      <c r="AD89" s="3"/>
      <c r="AE89" s="8">
        <v>3010</v>
      </c>
      <c r="AF89" s="3"/>
      <c r="AG89" s="3"/>
      <c r="AH89" s="1" t="s">
        <v>37</v>
      </c>
    </row>
    <row r="90" spans="1:34" x14ac:dyDescent="0.25">
      <c r="A90" s="1"/>
      <c r="B90" s="1" t="s">
        <v>281</v>
      </c>
      <c r="C90" s="14" t="s">
        <v>280</v>
      </c>
      <c r="D90" s="3"/>
      <c r="E90" s="12">
        <v>46238</v>
      </c>
      <c r="F90" s="7">
        <v>1</v>
      </c>
      <c r="G90" s="15">
        <f>(D90-(0)+0-(F90*Ventas!AE125*1))</f>
        <v>0</v>
      </c>
      <c r="H90" s="3"/>
      <c r="I90" s="8">
        <v>0</v>
      </c>
      <c r="J90" s="15">
        <f t="shared" si="4"/>
        <v>0</v>
      </c>
      <c r="K90" s="3"/>
      <c r="L90" s="15">
        <v>84</v>
      </c>
      <c r="M90" s="17">
        <v>3.57E-4</v>
      </c>
      <c r="N90" s="12">
        <v>46275</v>
      </c>
      <c r="O90" s="7">
        <v>37</v>
      </c>
      <c r="P90" s="15">
        <f>(IF(G90&gt;0,G90+I90,I90)-(O90*Ventas!AE125*1))</f>
        <v>0</v>
      </c>
      <c r="Q90" s="3"/>
      <c r="R90" s="8">
        <v>0</v>
      </c>
      <c r="S90" s="15">
        <f t="shared" si="5"/>
        <v>0</v>
      </c>
      <c r="T90" s="3"/>
      <c r="U90" s="15">
        <v>84</v>
      </c>
      <c r="V90" s="17">
        <v>3.57E-4</v>
      </c>
      <c r="W90" s="12">
        <v>46331</v>
      </c>
      <c r="X90" s="7">
        <v>56</v>
      </c>
      <c r="Y90" s="15">
        <f>(IF(P90&gt;0,P90+R90,R90)-(X90*Ventas!AE125*1))</f>
        <v>0</v>
      </c>
      <c r="Z90" s="3"/>
      <c r="AA90" s="15">
        <f>(120*(Ventas!AE125*1) - IF(Y90&gt;0,Y90,0))</f>
        <v>0</v>
      </c>
      <c r="AB90" s="15">
        <f t="shared" si="6"/>
        <v>0</v>
      </c>
      <c r="AC90" s="15">
        <f t="shared" si="7"/>
        <v>0</v>
      </c>
      <c r="AD90" s="3"/>
      <c r="AE90" s="8">
        <v>3010</v>
      </c>
      <c r="AF90" s="3"/>
      <c r="AG90" s="3"/>
      <c r="AH90" s="1" t="s">
        <v>37</v>
      </c>
    </row>
    <row r="91" spans="1:34" x14ac:dyDescent="0.25">
      <c r="A91" s="1"/>
      <c r="B91" s="1" t="s">
        <v>283</v>
      </c>
      <c r="C91" s="14" t="s">
        <v>282</v>
      </c>
      <c r="D91" s="3"/>
      <c r="E91" s="12">
        <v>46238</v>
      </c>
      <c r="F91" s="7">
        <v>1</v>
      </c>
      <c r="G91" s="15">
        <f>(D91-(0)+0-(F91*Ventas!AE126*1))</f>
        <v>0</v>
      </c>
      <c r="H91" s="3"/>
      <c r="I91" s="8">
        <v>0</v>
      </c>
      <c r="J91" s="15">
        <f t="shared" si="4"/>
        <v>0</v>
      </c>
      <c r="K91" s="3"/>
      <c r="L91" s="15">
        <v>44</v>
      </c>
      <c r="M91" s="17">
        <v>7.7300000000000003E-4</v>
      </c>
      <c r="N91" s="12">
        <v>46275</v>
      </c>
      <c r="O91" s="7">
        <v>37</v>
      </c>
      <c r="P91" s="15">
        <f>(IF(G91&gt;0,G91+I91,I91)-(O91*Ventas!AE126*1))</f>
        <v>0</v>
      </c>
      <c r="Q91" s="3"/>
      <c r="R91" s="8">
        <v>0</v>
      </c>
      <c r="S91" s="15">
        <f t="shared" si="5"/>
        <v>0</v>
      </c>
      <c r="T91" s="3"/>
      <c r="U91" s="15">
        <v>44</v>
      </c>
      <c r="V91" s="17">
        <v>7.7300000000000003E-4</v>
      </c>
      <c r="W91" s="12">
        <v>46331</v>
      </c>
      <c r="X91" s="7">
        <v>56</v>
      </c>
      <c r="Y91" s="15">
        <f>(IF(P91&gt;0,P91+R91,R91)-(X91*Ventas!AE126*1))</f>
        <v>0</v>
      </c>
      <c r="Z91" s="3"/>
      <c r="AA91" s="15">
        <f>(120*(Ventas!AE126*1) - IF(Y91&gt;0,Y91,0))</f>
        <v>0</v>
      </c>
      <c r="AB91" s="15">
        <f t="shared" si="6"/>
        <v>0</v>
      </c>
      <c r="AC91" s="15">
        <f t="shared" si="7"/>
        <v>0</v>
      </c>
      <c r="AD91" s="3"/>
      <c r="AE91" s="8">
        <v>3010</v>
      </c>
      <c r="AF91" s="3"/>
      <c r="AG91" s="3"/>
      <c r="AH91" s="1" t="s">
        <v>37</v>
      </c>
    </row>
    <row r="92" spans="1:34" x14ac:dyDescent="0.25">
      <c r="A92" s="1"/>
      <c r="B92" s="1" t="s">
        <v>285</v>
      </c>
      <c r="C92" s="14" t="s">
        <v>284</v>
      </c>
      <c r="D92" s="3"/>
      <c r="E92" s="12">
        <v>46238</v>
      </c>
      <c r="F92" s="7">
        <v>1</v>
      </c>
      <c r="G92" s="15">
        <f>(D92-(0)+0-(F92*Ventas!AE127*1))</f>
        <v>0</v>
      </c>
      <c r="H92" s="3"/>
      <c r="I92" s="8">
        <v>0</v>
      </c>
      <c r="J92" s="15">
        <f t="shared" si="4"/>
        <v>0</v>
      </c>
      <c r="K92" s="3"/>
      <c r="L92" s="15">
        <v>84</v>
      </c>
      <c r="M92" s="17">
        <v>3.57E-4</v>
      </c>
      <c r="N92" s="12">
        <v>46275</v>
      </c>
      <c r="O92" s="7">
        <v>37</v>
      </c>
      <c r="P92" s="15">
        <f>(IF(G92&gt;0,G92+I92,I92)-(O92*Ventas!AE127*1))</f>
        <v>0</v>
      </c>
      <c r="Q92" s="3"/>
      <c r="R92" s="8">
        <v>0</v>
      </c>
      <c r="S92" s="15">
        <f t="shared" si="5"/>
        <v>0</v>
      </c>
      <c r="T92" s="3"/>
      <c r="U92" s="15">
        <v>84</v>
      </c>
      <c r="V92" s="17">
        <v>3.57E-4</v>
      </c>
      <c r="W92" s="12">
        <v>46331</v>
      </c>
      <c r="X92" s="7">
        <v>56</v>
      </c>
      <c r="Y92" s="15">
        <f>(IF(P92&gt;0,P92+R92,R92)-(X92*Ventas!AE127*1))</f>
        <v>0</v>
      </c>
      <c r="Z92" s="3"/>
      <c r="AA92" s="15">
        <f>(120*(Ventas!AE127*1) - IF(Y92&gt;0,Y92,0))</f>
        <v>0</v>
      </c>
      <c r="AB92" s="15">
        <f t="shared" si="6"/>
        <v>0</v>
      </c>
      <c r="AC92" s="15">
        <f t="shared" si="7"/>
        <v>0</v>
      </c>
      <c r="AD92" s="3"/>
      <c r="AE92" s="8">
        <v>3010</v>
      </c>
      <c r="AF92" s="3"/>
      <c r="AG92" s="3"/>
      <c r="AH92" s="1" t="s">
        <v>37</v>
      </c>
    </row>
    <row r="93" spans="1:34" x14ac:dyDescent="0.25">
      <c r="A93" s="1"/>
      <c r="B93" s="1" t="s">
        <v>287</v>
      </c>
      <c r="C93" s="14" t="s">
        <v>286</v>
      </c>
      <c r="D93" s="3"/>
      <c r="E93" s="12">
        <v>46238</v>
      </c>
      <c r="F93" s="7">
        <v>1</v>
      </c>
      <c r="G93" s="15">
        <f>(D93-(0)+0-(F93*Ventas!AE128*1))</f>
        <v>0</v>
      </c>
      <c r="H93" s="3"/>
      <c r="I93" s="8">
        <v>0</v>
      </c>
      <c r="J93" s="15">
        <f t="shared" si="4"/>
        <v>0</v>
      </c>
      <c r="K93" s="3"/>
      <c r="L93" s="15">
        <v>84</v>
      </c>
      <c r="M93" s="17">
        <v>3.57E-4</v>
      </c>
      <c r="N93" s="12">
        <v>46275</v>
      </c>
      <c r="O93" s="7">
        <v>37</v>
      </c>
      <c r="P93" s="15">
        <f>(IF(G93&gt;0,G93+I93,I93)-(O93*Ventas!AE128*1))</f>
        <v>0</v>
      </c>
      <c r="Q93" s="3"/>
      <c r="R93" s="8">
        <v>0</v>
      </c>
      <c r="S93" s="15">
        <f t="shared" si="5"/>
        <v>0</v>
      </c>
      <c r="T93" s="3"/>
      <c r="U93" s="15">
        <v>84</v>
      </c>
      <c r="V93" s="17">
        <v>3.57E-4</v>
      </c>
      <c r="W93" s="12">
        <v>46331</v>
      </c>
      <c r="X93" s="7">
        <v>56</v>
      </c>
      <c r="Y93" s="15">
        <f>(IF(P93&gt;0,P93+R93,R93)-(X93*Ventas!AE128*1))</f>
        <v>0</v>
      </c>
      <c r="Z93" s="3"/>
      <c r="AA93" s="15">
        <f>(120*(Ventas!AE128*1) - IF(Y93&gt;0,Y93,0))</f>
        <v>0</v>
      </c>
      <c r="AB93" s="15">
        <f t="shared" si="6"/>
        <v>0</v>
      </c>
      <c r="AC93" s="15">
        <f t="shared" si="7"/>
        <v>0</v>
      </c>
      <c r="AD93" s="3"/>
      <c r="AE93" s="8">
        <v>3010</v>
      </c>
      <c r="AF93" s="3"/>
      <c r="AG93" s="3"/>
      <c r="AH93" s="1" t="s">
        <v>37</v>
      </c>
    </row>
    <row r="94" spans="1:34" x14ac:dyDescent="0.25">
      <c r="A94" s="1"/>
      <c r="B94" s="1" t="s">
        <v>289</v>
      </c>
      <c r="C94" s="14" t="s">
        <v>288</v>
      </c>
      <c r="D94" s="3"/>
      <c r="E94" s="12">
        <v>46238</v>
      </c>
      <c r="F94" s="7">
        <v>1</v>
      </c>
      <c r="G94" s="15">
        <f>(D94-(0)+0-(F94*Ventas!AE129*1))</f>
        <v>0</v>
      </c>
      <c r="H94" s="3"/>
      <c r="I94" s="8">
        <v>0</v>
      </c>
      <c r="J94" s="15">
        <f t="shared" si="4"/>
        <v>0</v>
      </c>
      <c r="K94" s="3"/>
      <c r="L94" s="15">
        <v>84</v>
      </c>
      <c r="M94" s="17">
        <v>3.57E-4</v>
      </c>
      <c r="N94" s="12">
        <v>46275</v>
      </c>
      <c r="O94" s="7">
        <v>37</v>
      </c>
      <c r="P94" s="15">
        <f>(IF(G94&gt;0,G94+I94,I94)-(O94*Ventas!AE129*1))</f>
        <v>0</v>
      </c>
      <c r="Q94" s="3"/>
      <c r="R94" s="8">
        <v>0</v>
      </c>
      <c r="S94" s="15">
        <f t="shared" si="5"/>
        <v>0</v>
      </c>
      <c r="T94" s="3"/>
      <c r="U94" s="15">
        <v>84</v>
      </c>
      <c r="V94" s="17">
        <v>3.57E-4</v>
      </c>
      <c r="W94" s="12">
        <v>46331</v>
      </c>
      <c r="X94" s="7">
        <v>56</v>
      </c>
      <c r="Y94" s="15">
        <f>(IF(P94&gt;0,P94+R94,R94)-(X94*Ventas!AE129*1))</f>
        <v>0</v>
      </c>
      <c r="Z94" s="3"/>
      <c r="AA94" s="15">
        <f>(120*(Ventas!AE129*1) - IF(Y94&gt;0,Y94,0))</f>
        <v>0</v>
      </c>
      <c r="AB94" s="15">
        <f t="shared" si="6"/>
        <v>0</v>
      </c>
      <c r="AC94" s="15">
        <f t="shared" si="7"/>
        <v>0</v>
      </c>
      <c r="AD94" s="3"/>
      <c r="AE94" s="8">
        <v>3010</v>
      </c>
      <c r="AF94" s="3"/>
      <c r="AG94" s="3"/>
      <c r="AH94" s="1" t="s">
        <v>37</v>
      </c>
    </row>
    <row r="95" spans="1:34" x14ac:dyDescent="0.25">
      <c r="A95" s="1"/>
      <c r="B95" s="1" t="s">
        <v>291</v>
      </c>
      <c r="C95" s="14" t="s">
        <v>290</v>
      </c>
      <c r="D95" s="3"/>
      <c r="E95" s="12">
        <v>46238</v>
      </c>
      <c r="F95" s="7">
        <v>1</v>
      </c>
      <c r="G95" s="15">
        <f>(D95-(0)+0-(F95*Ventas!AE130*1))</f>
        <v>0</v>
      </c>
      <c r="H95" s="3"/>
      <c r="I95" s="8">
        <v>0</v>
      </c>
      <c r="J95" s="15">
        <f t="shared" si="4"/>
        <v>0</v>
      </c>
      <c r="K95" s="3"/>
      <c r="L95" s="15">
        <v>84</v>
      </c>
      <c r="M95" s="17">
        <v>3.57E-4</v>
      </c>
      <c r="N95" s="12">
        <v>46275</v>
      </c>
      <c r="O95" s="7">
        <v>37</v>
      </c>
      <c r="P95" s="15">
        <f>(IF(G95&gt;0,G95+I95,I95)-(O95*Ventas!AE130*1))</f>
        <v>0</v>
      </c>
      <c r="Q95" s="3"/>
      <c r="R95" s="8">
        <v>0</v>
      </c>
      <c r="S95" s="15">
        <f t="shared" si="5"/>
        <v>0</v>
      </c>
      <c r="T95" s="3"/>
      <c r="U95" s="15">
        <v>84</v>
      </c>
      <c r="V95" s="17">
        <v>3.57E-4</v>
      </c>
      <c r="W95" s="12">
        <v>46331</v>
      </c>
      <c r="X95" s="7">
        <v>56</v>
      </c>
      <c r="Y95" s="15">
        <f>(IF(P95&gt;0,P95+R95,R95)-(X95*Ventas!AE130*1))</f>
        <v>0</v>
      </c>
      <c r="Z95" s="3"/>
      <c r="AA95" s="15">
        <f>(120*(Ventas!AE130*1) - IF(Y95&gt;0,Y95,0))</f>
        <v>0</v>
      </c>
      <c r="AB95" s="15">
        <f t="shared" si="6"/>
        <v>0</v>
      </c>
      <c r="AC95" s="15">
        <f t="shared" si="7"/>
        <v>0</v>
      </c>
      <c r="AD95" s="3"/>
      <c r="AE95" s="8">
        <v>3010</v>
      </c>
      <c r="AF95" s="3"/>
      <c r="AG95" s="3"/>
      <c r="AH95" s="1" t="s">
        <v>37</v>
      </c>
    </row>
    <row r="96" spans="1:34" x14ac:dyDescent="0.25">
      <c r="A96" s="1"/>
      <c r="B96" s="1" t="s">
        <v>293</v>
      </c>
      <c r="C96" s="14" t="s">
        <v>292</v>
      </c>
      <c r="D96" s="3"/>
      <c r="E96" s="12">
        <v>46238</v>
      </c>
      <c r="F96" s="7">
        <v>1</v>
      </c>
      <c r="G96" s="15">
        <f>(D96-(0)+0-(F96*Ventas!AE131*1))</f>
        <v>0</v>
      </c>
      <c r="H96" s="3"/>
      <c r="I96" s="8">
        <v>0</v>
      </c>
      <c r="J96" s="15">
        <f t="shared" si="4"/>
        <v>0</v>
      </c>
      <c r="K96" s="3"/>
      <c r="L96" s="15">
        <v>84</v>
      </c>
      <c r="M96" s="17">
        <v>3.57E-4</v>
      </c>
      <c r="N96" s="12">
        <v>46275</v>
      </c>
      <c r="O96" s="7">
        <v>37</v>
      </c>
      <c r="P96" s="15">
        <f>(IF(G96&gt;0,G96+I96,I96)-(O96*Ventas!AE131*1))</f>
        <v>0</v>
      </c>
      <c r="Q96" s="3"/>
      <c r="R96" s="8">
        <v>0</v>
      </c>
      <c r="S96" s="15">
        <f t="shared" si="5"/>
        <v>0</v>
      </c>
      <c r="T96" s="3"/>
      <c r="U96" s="15">
        <v>84</v>
      </c>
      <c r="V96" s="17">
        <v>3.57E-4</v>
      </c>
      <c r="W96" s="12">
        <v>46331</v>
      </c>
      <c r="X96" s="7">
        <v>56</v>
      </c>
      <c r="Y96" s="15">
        <f>(IF(P96&gt;0,P96+R96,R96)-(X96*Ventas!AE131*1))</f>
        <v>0</v>
      </c>
      <c r="Z96" s="3"/>
      <c r="AA96" s="15">
        <f>(120*(Ventas!AE131*1) - IF(Y96&gt;0,Y96,0))</f>
        <v>0</v>
      </c>
      <c r="AB96" s="15">
        <f t="shared" si="6"/>
        <v>0</v>
      </c>
      <c r="AC96" s="15">
        <f t="shared" si="7"/>
        <v>0</v>
      </c>
      <c r="AD96" s="3"/>
      <c r="AE96" s="8">
        <v>3010</v>
      </c>
      <c r="AF96" s="3"/>
      <c r="AG96" s="3"/>
      <c r="AH96" s="1" t="s">
        <v>37</v>
      </c>
    </row>
    <row r="97" spans="1:34" x14ac:dyDescent="0.25">
      <c r="A97" s="1"/>
      <c r="B97" s="1" t="s">
        <v>295</v>
      </c>
      <c r="C97" s="14" t="s">
        <v>294</v>
      </c>
      <c r="D97" s="3"/>
      <c r="E97" s="12">
        <v>46238</v>
      </c>
      <c r="F97" s="7">
        <v>1</v>
      </c>
      <c r="G97" s="15">
        <f>(D97-(0)+0-(F97*Ventas!AE132*1))</f>
        <v>0</v>
      </c>
      <c r="H97" s="3"/>
      <c r="I97" s="8">
        <v>0</v>
      </c>
      <c r="J97" s="15">
        <f t="shared" si="4"/>
        <v>0</v>
      </c>
      <c r="K97" s="3"/>
      <c r="L97" s="15">
        <v>84</v>
      </c>
      <c r="M97" s="17">
        <v>3.57E-4</v>
      </c>
      <c r="N97" s="12">
        <v>46275</v>
      </c>
      <c r="O97" s="7">
        <v>37</v>
      </c>
      <c r="P97" s="15">
        <f>(IF(G97&gt;0,G97+I97,I97)-(O97*Ventas!AE132*1))</f>
        <v>0</v>
      </c>
      <c r="Q97" s="3"/>
      <c r="R97" s="8">
        <v>0</v>
      </c>
      <c r="S97" s="15">
        <f t="shared" si="5"/>
        <v>0</v>
      </c>
      <c r="T97" s="3"/>
      <c r="U97" s="15">
        <v>84</v>
      </c>
      <c r="V97" s="17">
        <v>3.57E-4</v>
      </c>
      <c r="W97" s="12">
        <v>46331</v>
      </c>
      <c r="X97" s="7">
        <v>56</v>
      </c>
      <c r="Y97" s="15">
        <f>(IF(P97&gt;0,P97+R97,R97)-(X97*Ventas!AE132*1))</f>
        <v>0</v>
      </c>
      <c r="Z97" s="3"/>
      <c r="AA97" s="15">
        <f>(120*(Ventas!AE132*1) - IF(Y97&gt;0,Y97,0))</f>
        <v>0</v>
      </c>
      <c r="AB97" s="15">
        <f t="shared" si="6"/>
        <v>0</v>
      </c>
      <c r="AC97" s="15">
        <f t="shared" si="7"/>
        <v>0</v>
      </c>
      <c r="AD97" s="3"/>
      <c r="AE97" s="8">
        <v>3010</v>
      </c>
      <c r="AF97" s="3"/>
      <c r="AG97" s="3"/>
      <c r="AH97" s="1" t="s">
        <v>37</v>
      </c>
    </row>
    <row r="98" spans="1:34" x14ac:dyDescent="0.25">
      <c r="A98" s="1"/>
      <c r="B98" s="1" t="s">
        <v>297</v>
      </c>
      <c r="C98" s="14" t="s">
        <v>296</v>
      </c>
      <c r="D98" s="8">
        <v>78</v>
      </c>
      <c r="E98" s="12">
        <v>46238</v>
      </c>
      <c r="F98" s="7">
        <v>1</v>
      </c>
      <c r="G98" s="15">
        <f>(D98-(0)+0-(F98*Ventas!AE133*1))</f>
        <v>77.980599999999995</v>
      </c>
      <c r="H98" s="18">
        <f>(G98/(Ventas!AE133*1)/60)</f>
        <v>66.993642611683839</v>
      </c>
      <c r="I98" s="8">
        <v>0</v>
      </c>
      <c r="J98" s="15">
        <f t="shared" si="4"/>
        <v>77.980599999999995</v>
      </c>
      <c r="K98" s="3"/>
      <c r="L98" s="3"/>
      <c r="M98" s="3"/>
      <c r="N98" s="12">
        <v>46275</v>
      </c>
      <c r="O98" s="7">
        <v>37</v>
      </c>
      <c r="P98" s="15">
        <f>(IF(G98&gt;0,G98+I98,I98)-(O98*Ventas!AE133*1))</f>
        <v>77.262799999999999</v>
      </c>
      <c r="Q98" s="18">
        <f>(P98/(Ventas!AE133*1)/60)</f>
        <v>66.376975945017179</v>
      </c>
      <c r="R98" s="8">
        <v>0</v>
      </c>
      <c r="S98" s="15">
        <f t="shared" si="5"/>
        <v>77.262799999999999</v>
      </c>
      <c r="T98" s="3"/>
      <c r="U98" s="3"/>
      <c r="V98" s="3"/>
      <c r="W98" s="12">
        <v>46331</v>
      </c>
      <c r="X98" s="7">
        <v>56</v>
      </c>
      <c r="Y98" s="15">
        <f>(IF(P98&gt;0,P98+R98,R98)-(X98*Ventas!AE133*1))</f>
        <v>76.176400000000001</v>
      </c>
      <c r="Z98" s="18">
        <f>(Y98/(Ventas!AE133*1)/60)</f>
        <v>65.443642611683842</v>
      </c>
      <c r="AA98" s="15">
        <f>(120*(Ventas!AE133*1) - IF(Y98&gt;0,Y98,0))</f>
        <v>-73.848399999999998</v>
      </c>
      <c r="AB98" s="15">
        <f t="shared" si="6"/>
        <v>0</v>
      </c>
      <c r="AC98" s="15">
        <f t="shared" si="7"/>
        <v>76.176400000000001</v>
      </c>
      <c r="AD98" s="16">
        <v>0.59</v>
      </c>
      <c r="AE98" s="8">
        <v>3027</v>
      </c>
      <c r="AF98" s="15">
        <f>(AC98-(60*Ventas!AE133*1))</f>
        <v>75.0124</v>
      </c>
      <c r="AG98" s="18">
        <f>(AF98/(Ventas!AE133*1)/60)</f>
        <v>64.443642611683842</v>
      </c>
      <c r="AH98" s="1" t="s">
        <v>34</v>
      </c>
    </row>
    <row r="99" spans="1:34" x14ac:dyDescent="0.25">
      <c r="A99" s="1"/>
      <c r="B99" s="1" t="s">
        <v>299</v>
      </c>
      <c r="C99" s="14" t="s">
        <v>298</v>
      </c>
      <c r="D99" s="3"/>
      <c r="E99" s="12">
        <v>46238</v>
      </c>
      <c r="F99" s="7">
        <v>1</v>
      </c>
      <c r="G99" s="15">
        <f>(D99-(0)+0-(F99*Ventas!AE134*1))</f>
        <v>-0.78849999999999998</v>
      </c>
      <c r="H99" s="18">
        <f>(G99/(Ventas!AE134*1)/60)</f>
        <v>-1.6666666666666666E-2</v>
      </c>
      <c r="I99" s="8">
        <v>0</v>
      </c>
      <c r="J99" s="15">
        <f t="shared" si="4"/>
        <v>0</v>
      </c>
      <c r="K99" s="3"/>
      <c r="L99" s="15">
        <v>84</v>
      </c>
      <c r="M99" s="17">
        <v>3.57E-4</v>
      </c>
      <c r="N99" s="12">
        <v>46275</v>
      </c>
      <c r="O99" s="7">
        <v>37</v>
      </c>
      <c r="P99" s="15">
        <f>(IF(G99&gt;0,G99+I99,I99)-(O99*Ventas!AE134*1))</f>
        <v>-29.174499999999998</v>
      </c>
      <c r="Q99" s="18">
        <f>(P99/(Ventas!AE134*1)/60)</f>
        <v>-0.6166666666666667</v>
      </c>
      <c r="R99" s="8">
        <v>0</v>
      </c>
      <c r="S99" s="15">
        <f t="shared" si="5"/>
        <v>0</v>
      </c>
      <c r="T99" s="3"/>
      <c r="U99" s="15">
        <v>84</v>
      </c>
      <c r="V99" s="17">
        <v>3.57E-4</v>
      </c>
      <c r="W99" s="12">
        <v>46331</v>
      </c>
      <c r="X99" s="7">
        <v>56</v>
      </c>
      <c r="Y99" s="15">
        <f>(IF(P99&gt;0,P99+R99,R99)-(X99*Ventas!AE134*1))</f>
        <v>-44.155999999999999</v>
      </c>
      <c r="Z99" s="18">
        <f>(Y99/(Ventas!AE134*1)/60)</f>
        <v>-0.93333333333333335</v>
      </c>
      <c r="AA99" s="15">
        <f>(120*(Ventas!AE134*1) - IF(Y99&gt;0,Y99,0))</f>
        <v>94.62</v>
      </c>
      <c r="AB99" s="15">
        <f t="shared" si="6"/>
        <v>94.62</v>
      </c>
      <c r="AC99" s="15">
        <f t="shared" si="7"/>
        <v>94.62</v>
      </c>
      <c r="AD99" s="16">
        <v>0.77</v>
      </c>
      <c r="AE99" s="8">
        <v>3027</v>
      </c>
      <c r="AF99" s="15">
        <f>(AC99-(60*Ventas!AE134*1))</f>
        <v>47.31</v>
      </c>
      <c r="AG99" s="18">
        <f>(AF99/(Ventas!AE134*1)/60)</f>
        <v>1.0000000000000002</v>
      </c>
      <c r="AH99" s="1" t="s">
        <v>34</v>
      </c>
    </row>
    <row r="100" spans="1:34" x14ac:dyDescent="0.25">
      <c r="A100" s="1"/>
      <c r="B100" s="1" t="s">
        <v>301</v>
      </c>
      <c r="C100" s="14" t="s">
        <v>300</v>
      </c>
      <c r="D100" s="8">
        <v>42</v>
      </c>
      <c r="E100" s="12">
        <v>46238</v>
      </c>
      <c r="F100" s="7">
        <v>1</v>
      </c>
      <c r="G100" s="15">
        <f>(D100-(0)+0-(F100*Ventas!AE135*1))</f>
        <v>41.843499999999999</v>
      </c>
      <c r="H100" s="18">
        <f>(G100/(Ventas!AE135*1)/60)</f>
        <v>4.4561767838125661</v>
      </c>
      <c r="I100" s="8">
        <v>0</v>
      </c>
      <c r="J100" s="15">
        <f t="shared" si="4"/>
        <v>41.843499999999999</v>
      </c>
      <c r="K100" s="3"/>
      <c r="L100" s="15">
        <v>44</v>
      </c>
      <c r="M100" s="17">
        <v>8.0599999999999997E-4</v>
      </c>
      <c r="N100" s="12">
        <v>46275</v>
      </c>
      <c r="O100" s="7">
        <v>37</v>
      </c>
      <c r="P100" s="15">
        <f>(IF(G100&gt;0,G100+I100,I100)-(O100*Ventas!AE135*1))</f>
        <v>36.052999999999997</v>
      </c>
      <c r="Q100" s="18">
        <f>(P100/(Ventas!AE135*1)/60)</f>
        <v>3.8395101171458994</v>
      </c>
      <c r="R100" s="8">
        <v>0</v>
      </c>
      <c r="S100" s="15">
        <f t="shared" si="5"/>
        <v>36.052999999999997</v>
      </c>
      <c r="T100" s="3"/>
      <c r="U100" s="15">
        <v>44</v>
      </c>
      <c r="V100" s="17">
        <v>8.0599999999999997E-4</v>
      </c>
      <c r="W100" s="12">
        <v>46331</v>
      </c>
      <c r="X100" s="7">
        <v>56</v>
      </c>
      <c r="Y100" s="15">
        <f>(IF(P100&gt;0,P100+R100,R100)-(X100*Ventas!AE135*1))</f>
        <v>27.288999999999998</v>
      </c>
      <c r="Z100" s="18">
        <f>(Y100/(Ventas!AE135*1)/60)</f>
        <v>2.9061767838125663</v>
      </c>
      <c r="AA100" s="15">
        <f>(120*(Ventas!AE135*1) - IF(Y100&gt;0,Y100,0))</f>
        <v>-8.5089999999999968</v>
      </c>
      <c r="AB100" s="15">
        <f t="shared" si="6"/>
        <v>0</v>
      </c>
      <c r="AC100" s="15">
        <f t="shared" si="7"/>
        <v>27.288999999999998</v>
      </c>
      <c r="AD100" s="16">
        <v>1.78</v>
      </c>
      <c r="AE100" s="8">
        <v>3027</v>
      </c>
      <c r="AF100" s="15">
        <f>(AC100-(60*Ventas!AE135*1))</f>
        <v>17.898999999999997</v>
      </c>
      <c r="AG100" s="18">
        <f>(AF100/(Ventas!AE135*1)/60)</f>
        <v>1.9061767838125663</v>
      </c>
      <c r="AH100" s="1" t="s">
        <v>34</v>
      </c>
    </row>
    <row r="101" spans="1:34" x14ac:dyDescent="0.25">
      <c r="A101" s="1"/>
      <c r="B101" s="1" t="s">
        <v>303</v>
      </c>
      <c r="C101" s="14" t="s">
        <v>302</v>
      </c>
      <c r="D101" s="8">
        <v>65</v>
      </c>
      <c r="E101" s="12">
        <v>46238</v>
      </c>
      <c r="F101" s="7">
        <v>1</v>
      </c>
      <c r="G101" s="15">
        <f>(D101-(0)+0-(F101*Ventas!AE136*1))</f>
        <v>64.951800000000006</v>
      </c>
      <c r="H101" s="18">
        <f>(G101/(Ventas!AE136*1)/60)</f>
        <v>22.459128630705393</v>
      </c>
      <c r="I101" s="8">
        <v>0</v>
      </c>
      <c r="J101" s="15">
        <f t="shared" si="4"/>
        <v>64.951800000000006</v>
      </c>
      <c r="K101" s="3"/>
      <c r="L101" s="15">
        <v>44</v>
      </c>
      <c r="M101" s="17">
        <v>8.0599999999999997E-4</v>
      </c>
      <c r="N101" s="12">
        <v>46275</v>
      </c>
      <c r="O101" s="7">
        <v>37</v>
      </c>
      <c r="P101" s="15">
        <f>(IF(G101&gt;0,G101+I101,I101)-(O101*Ventas!AE136*1))</f>
        <v>63.168400000000005</v>
      </c>
      <c r="Q101" s="18">
        <f>(P101/(Ventas!AE136*1)/60)</f>
        <v>21.842461964038726</v>
      </c>
      <c r="R101" s="8">
        <v>0</v>
      </c>
      <c r="S101" s="15">
        <f t="shared" si="5"/>
        <v>63.168400000000005</v>
      </c>
      <c r="T101" s="3"/>
      <c r="U101" s="15">
        <v>44</v>
      </c>
      <c r="V101" s="17">
        <v>8.0599999999999997E-4</v>
      </c>
      <c r="W101" s="12">
        <v>46331</v>
      </c>
      <c r="X101" s="7">
        <v>56</v>
      </c>
      <c r="Y101" s="15">
        <f>(IF(P101&gt;0,P101+R101,R101)-(X101*Ventas!AE136*1))</f>
        <v>60.469200000000008</v>
      </c>
      <c r="Z101" s="18">
        <f>(Y101/(Ventas!AE136*1)/60)</f>
        <v>20.9091286307054</v>
      </c>
      <c r="AA101" s="15">
        <f>(120*(Ventas!AE136*1) - IF(Y101&gt;0,Y101,0))</f>
        <v>-54.685200000000009</v>
      </c>
      <c r="AB101" s="15">
        <f t="shared" si="6"/>
        <v>0</v>
      </c>
      <c r="AC101" s="15">
        <f t="shared" si="7"/>
        <v>60.469200000000008</v>
      </c>
      <c r="AD101" s="16">
        <v>1.78</v>
      </c>
      <c r="AE101" s="8">
        <v>3027</v>
      </c>
      <c r="AF101" s="15">
        <f>(AC101-(60*Ventas!AE136*1))</f>
        <v>57.577200000000005</v>
      </c>
      <c r="AG101" s="18">
        <f>(AF101/(Ventas!AE136*1)/60)</f>
        <v>19.909128630705393</v>
      </c>
      <c r="AH101" s="1" t="s">
        <v>34</v>
      </c>
    </row>
    <row r="102" spans="1:34" x14ac:dyDescent="0.25">
      <c r="A102" s="1"/>
      <c r="B102" s="1" t="s">
        <v>305</v>
      </c>
      <c r="C102" s="14" t="s">
        <v>304</v>
      </c>
      <c r="D102" s="8">
        <v>62</v>
      </c>
      <c r="E102" s="12">
        <v>46238</v>
      </c>
      <c r="F102" s="7">
        <v>1</v>
      </c>
      <c r="G102" s="15">
        <f>(D102-(0)+0-(F102*Ventas!AE137*1))</f>
        <v>61.938600000000001</v>
      </c>
      <c r="H102" s="18">
        <f>(G102/(Ventas!AE137*1)/60)</f>
        <v>16.8128664495114</v>
      </c>
      <c r="I102" s="8">
        <v>0</v>
      </c>
      <c r="J102" s="15">
        <f t="shared" si="4"/>
        <v>61.938600000000001</v>
      </c>
      <c r="K102" s="3"/>
      <c r="L102" s="15">
        <v>44</v>
      </c>
      <c r="M102" s="17">
        <v>8.0599999999999997E-4</v>
      </c>
      <c r="N102" s="12">
        <v>46275</v>
      </c>
      <c r="O102" s="7">
        <v>37</v>
      </c>
      <c r="P102" s="15">
        <f>(IF(G102&gt;0,G102+I102,I102)-(O102*Ventas!AE137*1))</f>
        <v>59.666800000000002</v>
      </c>
      <c r="Q102" s="18">
        <f>(P102/(Ventas!AE137*1)/60)</f>
        <v>16.196199782844733</v>
      </c>
      <c r="R102" s="8">
        <v>0</v>
      </c>
      <c r="S102" s="15">
        <f t="shared" si="5"/>
        <v>59.666800000000002</v>
      </c>
      <c r="T102" s="3"/>
      <c r="U102" s="15">
        <v>44</v>
      </c>
      <c r="V102" s="17">
        <v>8.0599999999999997E-4</v>
      </c>
      <c r="W102" s="12">
        <v>46331</v>
      </c>
      <c r="X102" s="7">
        <v>56</v>
      </c>
      <c r="Y102" s="15">
        <f>(IF(P102&gt;0,P102+R102,R102)-(X102*Ventas!AE137*1))</f>
        <v>56.228400000000001</v>
      </c>
      <c r="Z102" s="18">
        <f>(Y102/(Ventas!AE137*1)/60)</f>
        <v>15.262866449511399</v>
      </c>
      <c r="AA102" s="15">
        <f>(120*(Ventas!AE137*1) - IF(Y102&gt;0,Y102,0))</f>
        <v>-48.860399999999998</v>
      </c>
      <c r="AB102" s="15">
        <f t="shared" si="6"/>
        <v>0</v>
      </c>
      <c r="AC102" s="15">
        <f t="shared" si="7"/>
        <v>56.228400000000001</v>
      </c>
      <c r="AD102" s="16">
        <v>1.78</v>
      </c>
      <c r="AE102" s="8">
        <v>3027</v>
      </c>
      <c r="AF102" s="15">
        <f>(AC102-(60*Ventas!AE137*1))</f>
        <v>52.544400000000003</v>
      </c>
      <c r="AG102" s="18">
        <f>(AF102/(Ventas!AE137*1)/60)</f>
        <v>14.262866449511399</v>
      </c>
      <c r="AH102" s="1" t="s">
        <v>34</v>
      </c>
    </row>
    <row r="103" spans="1:34" x14ac:dyDescent="0.25">
      <c r="A103" s="1"/>
      <c r="B103" s="1" t="s">
        <v>307</v>
      </c>
      <c r="C103" s="14" t="s">
        <v>306</v>
      </c>
      <c r="D103" s="8">
        <v>55</v>
      </c>
      <c r="E103" s="12">
        <v>46238</v>
      </c>
      <c r="F103" s="7">
        <v>1</v>
      </c>
      <c r="G103" s="15">
        <f>(D103-(0)+0-(F103*Ventas!AE138*1))</f>
        <v>54.911099999999998</v>
      </c>
      <c r="H103" s="18">
        <f>(G103/(Ventas!AE138*1)/60)</f>
        <v>10.294544431946006</v>
      </c>
      <c r="I103" s="8">
        <v>0</v>
      </c>
      <c r="J103" s="15">
        <f t="shared" si="4"/>
        <v>54.911099999999998</v>
      </c>
      <c r="K103" s="3"/>
      <c r="L103" s="3"/>
      <c r="M103" s="3"/>
      <c r="N103" s="12">
        <v>46275</v>
      </c>
      <c r="O103" s="7">
        <v>37</v>
      </c>
      <c r="P103" s="15">
        <f>(IF(G103&gt;0,G103+I103,I103)-(O103*Ventas!AE138*1))</f>
        <v>51.6218</v>
      </c>
      <c r="Q103" s="18">
        <f>(P103/(Ventas!AE138*1)/60)</f>
        <v>9.6778777652793391</v>
      </c>
      <c r="R103" s="8">
        <v>168</v>
      </c>
      <c r="S103" s="15">
        <f t="shared" si="5"/>
        <v>219.62180000000001</v>
      </c>
      <c r="T103" s="15">
        <v>0.98</v>
      </c>
      <c r="U103" s="3"/>
      <c r="V103" s="3"/>
      <c r="W103" s="12">
        <v>46331</v>
      </c>
      <c r="X103" s="7">
        <v>56</v>
      </c>
      <c r="Y103" s="15">
        <f>(IF(P103&gt;0,P103+R103,R103)-(X103*Ventas!AE138*1))</f>
        <v>214.64340000000001</v>
      </c>
      <c r="Z103" s="18">
        <f>(Y103/(Ventas!AE138*1)/60)</f>
        <v>40.240607424071989</v>
      </c>
      <c r="AA103" s="15">
        <f>(120*(Ventas!AE138*1) - IF(Y103&gt;0,Y103,0))</f>
        <v>-203.97540000000001</v>
      </c>
      <c r="AB103" s="15">
        <f t="shared" si="6"/>
        <v>0</v>
      </c>
      <c r="AC103" s="15">
        <f t="shared" si="7"/>
        <v>214.64340000000001</v>
      </c>
      <c r="AD103" s="16">
        <v>0.85</v>
      </c>
      <c r="AE103" s="8">
        <v>3010</v>
      </c>
      <c r="AF103" s="15">
        <f>(AC103-(60*Ventas!AE138*1))</f>
        <v>209.30940000000001</v>
      </c>
      <c r="AG103" s="18">
        <f>(AF103/(Ventas!AE138*1)/60)</f>
        <v>39.240607424071989</v>
      </c>
      <c r="AH103" s="1" t="s">
        <v>34</v>
      </c>
    </row>
    <row r="104" spans="1:34" x14ac:dyDescent="0.25">
      <c r="A104" s="1"/>
      <c r="B104" s="1" t="s">
        <v>309</v>
      </c>
      <c r="C104" s="14" t="s">
        <v>308</v>
      </c>
      <c r="D104" s="8">
        <v>17</v>
      </c>
      <c r="E104" s="12">
        <v>46238</v>
      </c>
      <c r="F104" s="7">
        <v>1</v>
      </c>
      <c r="G104" s="15">
        <f>(D104-(0)+0-(F104*Ventas!AE139*1))</f>
        <v>16.6952</v>
      </c>
      <c r="H104" s="18">
        <f>(G104/(Ventas!AE139*1)/60)</f>
        <v>0.91290463692038482</v>
      </c>
      <c r="I104" s="8">
        <v>0</v>
      </c>
      <c r="J104" s="15">
        <f t="shared" si="4"/>
        <v>16.6952</v>
      </c>
      <c r="K104" s="3"/>
      <c r="L104" s="3"/>
      <c r="M104" s="3"/>
      <c r="N104" s="12">
        <v>46275</v>
      </c>
      <c r="O104" s="7">
        <v>37</v>
      </c>
      <c r="P104" s="15">
        <f>(IF(G104&gt;0,G104+I104,I104)-(O104*Ventas!AE139*1))</f>
        <v>5.4175999999999984</v>
      </c>
      <c r="Q104" s="18">
        <f>(P104/(Ventas!AE139*1)/60)</f>
        <v>0.29623797025371817</v>
      </c>
      <c r="R104" s="8">
        <v>0</v>
      </c>
      <c r="S104" s="15">
        <f t="shared" si="5"/>
        <v>5.4175999999999984</v>
      </c>
      <c r="T104" s="3"/>
      <c r="U104" s="3"/>
      <c r="V104" s="3"/>
      <c r="W104" s="12">
        <v>46331</v>
      </c>
      <c r="X104" s="7">
        <v>56</v>
      </c>
      <c r="Y104" s="15">
        <f>(IF(P104&gt;0,P104+R104,R104)-(X104*Ventas!AE139*1))</f>
        <v>-11.651200000000001</v>
      </c>
      <c r="Z104" s="18">
        <f>(Y104/(Ventas!AE139*1)/60)</f>
        <v>-0.63709536307961501</v>
      </c>
      <c r="AA104" s="15">
        <f>(120*(Ventas!AE139*1) - IF(Y104&gt;0,Y104,0))</f>
        <v>36.576000000000001</v>
      </c>
      <c r="AB104" s="15">
        <f t="shared" si="6"/>
        <v>36.576000000000001</v>
      </c>
      <c r="AC104" s="15">
        <f t="shared" si="7"/>
        <v>36.576000000000001</v>
      </c>
      <c r="AD104" s="16">
        <v>0.42</v>
      </c>
      <c r="AE104" s="8">
        <v>3010</v>
      </c>
      <c r="AF104" s="15">
        <f>(AC104-(60*Ventas!AE139*1))</f>
        <v>18.288</v>
      </c>
      <c r="AG104" s="18">
        <f>(AF104/(Ventas!AE139*1)/60)</f>
        <v>1</v>
      </c>
      <c r="AH104" s="1" t="s">
        <v>34</v>
      </c>
    </row>
    <row r="105" spans="1:34" x14ac:dyDescent="0.25">
      <c r="A105" s="1"/>
      <c r="B105" s="1" t="s">
        <v>311</v>
      </c>
      <c r="C105" s="14" t="s">
        <v>310</v>
      </c>
      <c r="D105" s="3"/>
      <c r="E105" s="12">
        <v>46238</v>
      </c>
      <c r="F105" s="7">
        <v>1</v>
      </c>
      <c r="G105" s="15">
        <f>(D105-(0)+0-(F105*Ventas!AE140*1))</f>
        <v>-0.22459999999999999</v>
      </c>
      <c r="H105" s="18">
        <f>(G105/(Ventas!AE140*1)/60)</f>
        <v>-1.6666666666666666E-2</v>
      </c>
      <c r="I105" s="8">
        <v>252</v>
      </c>
      <c r="J105" s="15">
        <f t="shared" si="4"/>
        <v>252</v>
      </c>
      <c r="K105" s="15">
        <v>1.05</v>
      </c>
      <c r="L105" s="3"/>
      <c r="M105" s="3"/>
      <c r="N105" s="12">
        <v>46275</v>
      </c>
      <c r="O105" s="7">
        <v>37</v>
      </c>
      <c r="P105" s="15">
        <f>(IF(G105&gt;0,G105+I105,I105)-(O105*Ventas!AE140*1))</f>
        <v>243.68979999999999</v>
      </c>
      <c r="Q105" s="18">
        <f>(P105/(Ventas!AE140*1)/60)</f>
        <v>18.083244286138321</v>
      </c>
      <c r="R105" s="8">
        <v>0</v>
      </c>
      <c r="S105" s="15">
        <f t="shared" si="5"/>
        <v>243.68979999999999</v>
      </c>
      <c r="T105" s="3"/>
      <c r="U105" s="3"/>
      <c r="V105" s="3"/>
      <c r="W105" s="12">
        <v>46331</v>
      </c>
      <c r="X105" s="7">
        <v>56</v>
      </c>
      <c r="Y105" s="15">
        <f>(IF(P105&gt;0,P105+R105,R105)-(X105*Ventas!AE140*1))</f>
        <v>231.1122</v>
      </c>
      <c r="Z105" s="18">
        <f>(Y105/(Ventas!AE140*1)/60)</f>
        <v>17.149910952804987</v>
      </c>
      <c r="AA105" s="15">
        <f>(120*(Ventas!AE140*1) - IF(Y105&gt;0,Y105,0))</f>
        <v>-204.1602</v>
      </c>
      <c r="AB105" s="15">
        <f t="shared" si="6"/>
        <v>0</v>
      </c>
      <c r="AC105" s="15">
        <f t="shared" si="7"/>
        <v>231.1122</v>
      </c>
      <c r="AD105" s="16">
        <v>1.05</v>
      </c>
      <c r="AE105" s="8">
        <v>3025</v>
      </c>
      <c r="AF105" s="15">
        <f>(AC105-(60*Ventas!AE140*1))</f>
        <v>217.6362</v>
      </c>
      <c r="AG105" s="18">
        <f>(AF105/(Ventas!AE140*1)/60)</f>
        <v>16.149910952804987</v>
      </c>
      <c r="AH105" s="1" t="s">
        <v>37</v>
      </c>
    </row>
    <row r="106" spans="1:34" x14ac:dyDescent="0.25">
      <c r="A106" s="1"/>
      <c r="B106" s="1" t="s">
        <v>313</v>
      </c>
      <c r="C106" s="14" t="s">
        <v>312</v>
      </c>
      <c r="D106" s="3"/>
      <c r="E106" s="12">
        <v>46238</v>
      </c>
      <c r="F106" s="7">
        <v>1</v>
      </c>
      <c r="G106" s="15">
        <f>(D106-(0)+0-(F106*Ventas!AE141*1))</f>
        <v>-0.77280000000000004</v>
      </c>
      <c r="H106" s="18">
        <f>(G106/(Ventas!AE141*1)/60)</f>
        <v>-1.6666666666666666E-2</v>
      </c>
      <c r="I106" s="8">
        <v>252</v>
      </c>
      <c r="J106" s="15">
        <f t="shared" si="4"/>
        <v>252</v>
      </c>
      <c r="K106" s="15">
        <v>1.73</v>
      </c>
      <c r="L106" s="3"/>
      <c r="M106" s="3"/>
      <c r="N106" s="12">
        <v>46275</v>
      </c>
      <c r="O106" s="7">
        <v>37</v>
      </c>
      <c r="P106" s="15">
        <f>(IF(G106&gt;0,G106+I106,I106)-(O106*Ventas!AE141*1))</f>
        <v>223.40639999999999</v>
      </c>
      <c r="Q106" s="18">
        <f>(P106/(Ventas!AE141*1)/60)</f>
        <v>4.8181159420289852</v>
      </c>
      <c r="R106" s="8">
        <v>0</v>
      </c>
      <c r="S106" s="15">
        <f t="shared" si="5"/>
        <v>223.40639999999999</v>
      </c>
      <c r="T106" s="3"/>
      <c r="U106" s="3"/>
      <c r="V106" s="3"/>
      <c r="W106" s="12">
        <v>46331</v>
      </c>
      <c r="X106" s="7">
        <v>56</v>
      </c>
      <c r="Y106" s="15">
        <f>(IF(P106&gt;0,P106+R106,R106)-(X106*Ventas!AE141*1))</f>
        <v>180.12959999999998</v>
      </c>
      <c r="Z106" s="18">
        <f>(Y106/(Ventas!AE141*1)/60)</f>
        <v>3.8847826086956516</v>
      </c>
      <c r="AA106" s="15">
        <f>(120*(Ventas!AE141*1) - IF(Y106&gt;0,Y106,0))</f>
        <v>-87.393599999999978</v>
      </c>
      <c r="AB106" s="15">
        <f t="shared" si="6"/>
        <v>0</v>
      </c>
      <c r="AC106" s="15">
        <f t="shared" si="7"/>
        <v>180.12959999999998</v>
      </c>
      <c r="AD106" s="16">
        <v>1.73</v>
      </c>
      <c r="AE106" s="8">
        <v>3025</v>
      </c>
      <c r="AF106" s="15">
        <f>(AC106-(60*Ventas!AE141*1))</f>
        <v>133.76159999999999</v>
      </c>
      <c r="AG106" s="18">
        <f>(AF106/(Ventas!AE141*1)/60)</f>
        <v>2.8847826086956516</v>
      </c>
      <c r="AH106" s="1" t="s">
        <v>37</v>
      </c>
    </row>
    <row r="107" spans="1:34" x14ac:dyDescent="0.25">
      <c r="A107" s="1"/>
      <c r="B107" s="1" t="s">
        <v>315</v>
      </c>
      <c r="C107" s="14" t="s">
        <v>314</v>
      </c>
      <c r="D107" s="8">
        <v>28</v>
      </c>
      <c r="E107" s="12">
        <v>46238</v>
      </c>
      <c r="F107" s="7">
        <v>1</v>
      </c>
      <c r="G107" s="15">
        <f>(D107-(0)+0-(F107*Ventas!AE142*1))</f>
        <v>26.6614</v>
      </c>
      <c r="H107" s="18">
        <f>(G107/(Ventas!AE142*1)/60)</f>
        <v>0.33195627272274514</v>
      </c>
      <c r="I107" s="8">
        <v>420</v>
      </c>
      <c r="J107" s="15">
        <f t="shared" si="4"/>
        <v>446.66140000000001</v>
      </c>
      <c r="K107" s="15">
        <v>1.1299999999999999</v>
      </c>
      <c r="L107" s="15">
        <v>84</v>
      </c>
      <c r="M107" s="17">
        <v>4.0200000000000001E-4</v>
      </c>
      <c r="N107" s="12">
        <v>46275</v>
      </c>
      <c r="O107" s="7">
        <v>37</v>
      </c>
      <c r="P107" s="15">
        <f>(IF(G107&gt;0,G107+I107,I107)-(O107*Ventas!AE142*1))</f>
        <v>397.13319999999999</v>
      </c>
      <c r="Q107" s="18">
        <f>(P107/(Ventas!AE142*1)/60)</f>
        <v>4.944633696897256</v>
      </c>
      <c r="R107" s="8">
        <v>84</v>
      </c>
      <c r="S107" s="15">
        <f t="shared" si="5"/>
        <v>481.13319999999999</v>
      </c>
      <c r="T107" s="15">
        <v>1.1399999999999999</v>
      </c>
      <c r="U107" s="15">
        <v>84</v>
      </c>
      <c r="V107" s="17">
        <v>4.0200000000000001E-4</v>
      </c>
      <c r="W107" s="12">
        <v>46331</v>
      </c>
      <c r="X107" s="7">
        <v>56</v>
      </c>
      <c r="Y107" s="15">
        <f>(IF(P107&gt;0,P107+R107,R107)-(X107*Ventas!AE142*1))</f>
        <v>406.17160000000001</v>
      </c>
      <c r="Z107" s="18">
        <f>(Y107/(Ventas!AE142*1)/60)</f>
        <v>5.0571691817321582</v>
      </c>
      <c r="AA107" s="15">
        <f>(120*(Ventas!AE142*1) - IF(Y107&gt;0,Y107,0))</f>
        <v>-245.53960000000001</v>
      </c>
      <c r="AB107" s="15">
        <f t="shared" si="6"/>
        <v>0</v>
      </c>
      <c r="AC107" s="15">
        <f t="shared" si="7"/>
        <v>406.17160000000001</v>
      </c>
      <c r="AD107" s="16">
        <v>1.1299999999999999</v>
      </c>
      <c r="AE107" s="8">
        <v>3025</v>
      </c>
      <c r="AF107" s="15">
        <f>(AC107-(60*Ventas!AE142*1))</f>
        <v>325.85559999999998</v>
      </c>
      <c r="AG107" s="18">
        <f>(AF107/(Ventas!AE142*1)/60)</f>
        <v>4.0571691817321582</v>
      </c>
      <c r="AH107" s="1" t="s">
        <v>37</v>
      </c>
    </row>
    <row r="108" spans="1:34" x14ac:dyDescent="0.25">
      <c r="A108" s="1"/>
      <c r="B108" s="1" t="s">
        <v>317</v>
      </c>
      <c r="C108" s="14" t="s">
        <v>316</v>
      </c>
      <c r="D108" s="3"/>
      <c r="E108" s="12">
        <v>46238</v>
      </c>
      <c r="F108" s="7">
        <v>1</v>
      </c>
      <c r="G108" s="15">
        <f>(D108-(0)+0-(F108*Ventas!AE143*1))</f>
        <v>-0.47289999999999999</v>
      </c>
      <c r="H108" s="18">
        <f>(G108/(Ventas!AE143*1)/60)</f>
        <v>-1.6666666666666666E-2</v>
      </c>
      <c r="I108" s="8">
        <v>420</v>
      </c>
      <c r="J108" s="15">
        <f t="shared" si="4"/>
        <v>420</v>
      </c>
      <c r="K108" s="15">
        <v>0.83</v>
      </c>
      <c r="L108" s="3"/>
      <c r="M108" s="3"/>
      <c r="N108" s="12">
        <v>46275</v>
      </c>
      <c r="O108" s="7">
        <v>37</v>
      </c>
      <c r="P108" s="15">
        <f>(IF(G108&gt;0,G108+I108,I108)-(O108*Ventas!AE143*1))</f>
        <v>402.5027</v>
      </c>
      <c r="Q108" s="18">
        <f>(P108/(Ventas!AE143*1)/60)</f>
        <v>14.185617114259534</v>
      </c>
      <c r="R108" s="8">
        <v>0</v>
      </c>
      <c r="S108" s="15">
        <f t="shared" si="5"/>
        <v>402.5027</v>
      </c>
      <c r="T108" s="3"/>
      <c r="U108" s="3"/>
      <c r="V108" s="3"/>
      <c r="W108" s="12">
        <v>46331</v>
      </c>
      <c r="X108" s="7">
        <v>56</v>
      </c>
      <c r="Y108" s="15">
        <f>(IF(P108&gt;0,P108+R108,R108)-(X108*Ventas!AE143*1))</f>
        <v>376.02030000000002</v>
      </c>
      <c r="Z108" s="18">
        <f>(Y108/(Ventas!AE143*1)/60)</f>
        <v>13.252283780926202</v>
      </c>
      <c r="AA108" s="15">
        <f>(120*(Ventas!AE143*1) - IF(Y108&gt;0,Y108,0))</f>
        <v>-319.27230000000003</v>
      </c>
      <c r="AB108" s="15">
        <f t="shared" si="6"/>
        <v>0</v>
      </c>
      <c r="AC108" s="15">
        <f t="shared" si="7"/>
        <v>376.02030000000002</v>
      </c>
      <c r="AD108" s="16">
        <v>0.83</v>
      </c>
      <c r="AE108" s="8">
        <v>3025</v>
      </c>
      <c r="AF108" s="15">
        <f>(AC108-(60*Ventas!AE143*1))</f>
        <v>347.6463</v>
      </c>
      <c r="AG108" s="18">
        <f>(AF108/(Ventas!AE143*1)/60)</f>
        <v>12.2522837809262</v>
      </c>
      <c r="AH108" s="1" t="s">
        <v>37</v>
      </c>
    </row>
    <row r="109" spans="1:34" x14ac:dyDescent="0.25">
      <c r="A109" s="1"/>
      <c r="B109" s="1" t="s">
        <v>319</v>
      </c>
      <c r="C109" s="14" t="s">
        <v>318</v>
      </c>
      <c r="D109" s="3"/>
      <c r="E109" s="12">
        <v>46238</v>
      </c>
      <c r="F109" s="7">
        <v>1</v>
      </c>
      <c r="G109" s="15">
        <f>(D109-(0)+0-(F109*Ventas!AE144*1))</f>
        <v>-0.7581</v>
      </c>
      <c r="H109" s="18">
        <f>(G109/(Ventas!AE144*1)/60)</f>
        <v>-1.6666666666666666E-2</v>
      </c>
      <c r="I109" s="8">
        <v>0</v>
      </c>
      <c r="J109" s="15">
        <f t="shared" si="4"/>
        <v>0</v>
      </c>
      <c r="K109" s="3"/>
      <c r="L109" s="3"/>
      <c r="M109" s="3"/>
      <c r="N109" s="12">
        <v>46275</v>
      </c>
      <c r="O109" s="7">
        <v>37</v>
      </c>
      <c r="P109" s="15">
        <f>(IF(G109&gt;0,G109+I109,I109)-(O109*Ventas!AE144*1))</f>
        <v>-28.049700000000001</v>
      </c>
      <c r="Q109" s="18">
        <f>(P109/(Ventas!AE144*1)/60)</f>
        <v>-0.6166666666666667</v>
      </c>
      <c r="R109" s="8">
        <v>0</v>
      </c>
      <c r="S109" s="15">
        <f t="shared" si="5"/>
        <v>0</v>
      </c>
      <c r="T109" s="3"/>
      <c r="U109" s="3"/>
      <c r="V109" s="3"/>
      <c r="W109" s="12">
        <v>46331</v>
      </c>
      <c r="X109" s="7">
        <v>56</v>
      </c>
      <c r="Y109" s="15">
        <f>(IF(P109&gt;0,P109+R109,R109)-(X109*Ventas!AE144*1))</f>
        <v>-42.453600000000002</v>
      </c>
      <c r="Z109" s="18">
        <f>(Y109/(Ventas!AE144*1)/60)</f>
        <v>-0.93333333333333335</v>
      </c>
      <c r="AA109" s="15">
        <f>(120*(Ventas!AE144*1) - IF(Y109&gt;0,Y109,0))</f>
        <v>90.971999999999994</v>
      </c>
      <c r="AB109" s="15">
        <f t="shared" si="6"/>
        <v>90.971999999999994</v>
      </c>
      <c r="AC109" s="15">
        <f t="shared" si="7"/>
        <v>90.971999999999994</v>
      </c>
      <c r="AD109" s="16">
        <v>0.72</v>
      </c>
      <c r="AE109" s="8">
        <v>3027</v>
      </c>
      <c r="AF109" s="15">
        <f>(AC109-(60*Ventas!AE144*1))</f>
        <v>45.485999999999997</v>
      </c>
      <c r="AG109" s="18">
        <f>(AF109/(Ventas!AE144*1)/60)</f>
        <v>1</v>
      </c>
      <c r="AH109" s="1" t="s">
        <v>34</v>
      </c>
    </row>
    <row r="110" spans="1:34" x14ac:dyDescent="0.25">
      <c r="A110" s="1"/>
      <c r="B110" s="1" t="s">
        <v>321</v>
      </c>
      <c r="C110" s="14" t="s">
        <v>320</v>
      </c>
      <c r="D110" s="3"/>
      <c r="E110" s="12">
        <v>46238</v>
      </c>
      <c r="F110" s="7">
        <v>1</v>
      </c>
      <c r="G110" s="15">
        <f>(D110-(0)+0-(F110*Ventas!AE145*1))</f>
        <v>-3.1848999999999998</v>
      </c>
      <c r="H110" s="18">
        <f>(G110/(Ventas!AE145*1)/60)</f>
        <v>-1.6666666666666666E-2</v>
      </c>
      <c r="I110" s="8">
        <v>0</v>
      </c>
      <c r="J110" s="15">
        <f t="shared" si="4"/>
        <v>0</v>
      </c>
      <c r="K110" s="3"/>
      <c r="L110" s="3"/>
      <c r="M110" s="3"/>
      <c r="N110" s="12">
        <v>46275</v>
      </c>
      <c r="O110" s="7">
        <v>37</v>
      </c>
      <c r="P110" s="15">
        <f>(IF(G110&gt;0,G110+I110,I110)-(O110*Ventas!AE145*1))</f>
        <v>-117.84129999999999</v>
      </c>
      <c r="Q110" s="18">
        <f>(P110/(Ventas!AE145*1)/60)</f>
        <v>-0.6166666666666667</v>
      </c>
      <c r="R110" s="8">
        <v>1260</v>
      </c>
      <c r="S110" s="15">
        <f t="shared" si="5"/>
        <v>1260</v>
      </c>
      <c r="T110" s="15">
        <v>0.83</v>
      </c>
      <c r="U110" s="3"/>
      <c r="V110" s="3"/>
      <c r="W110" s="12">
        <v>46331</v>
      </c>
      <c r="X110" s="7">
        <v>56</v>
      </c>
      <c r="Y110" s="15">
        <f>(IF(P110&gt;0,P110+R110,R110)-(X110*Ventas!AE145*1))</f>
        <v>1081.6456000000001</v>
      </c>
      <c r="Z110" s="18">
        <f>(Y110/(Ventas!AE145*1)/60)</f>
        <v>5.6602802809088733</v>
      </c>
      <c r="AA110" s="15">
        <f>(120*(Ventas!AE145*1) - IF(Y110&gt;0,Y110,0))</f>
        <v>-699.45760000000007</v>
      </c>
      <c r="AB110" s="15">
        <f t="shared" si="6"/>
        <v>0</v>
      </c>
      <c r="AC110" s="15">
        <f t="shared" si="7"/>
        <v>1081.6456000000001</v>
      </c>
      <c r="AD110" s="16">
        <v>0.77</v>
      </c>
      <c r="AE110" s="8">
        <v>3027</v>
      </c>
      <c r="AF110" s="15">
        <f>(AC110-(60*Ventas!AE145*1))</f>
        <v>890.55160000000001</v>
      </c>
      <c r="AG110" s="18">
        <f>(AF110/(Ventas!AE145*1)/60)</f>
        <v>4.6602802809088724</v>
      </c>
      <c r="AH110" s="1" t="s">
        <v>37</v>
      </c>
    </row>
    <row r="111" spans="1:34" x14ac:dyDescent="0.25">
      <c r="A111" s="1"/>
      <c r="B111" s="1" t="s">
        <v>323</v>
      </c>
      <c r="C111" s="14" t="s">
        <v>322</v>
      </c>
      <c r="D111" s="3"/>
      <c r="E111" s="12">
        <v>46238</v>
      </c>
      <c r="F111" s="7">
        <v>1</v>
      </c>
      <c r="G111" s="15">
        <f>(D111-(0)+0-(F111*Ventas!AE146*1))</f>
        <v>-1.0271999999999999</v>
      </c>
      <c r="H111" s="18">
        <f>(G111/(Ventas!AE146*1)/60)</f>
        <v>-1.6666666666666666E-2</v>
      </c>
      <c r="I111" s="8">
        <v>0</v>
      </c>
      <c r="J111" s="15">
        <f t="shared" si="4"/>
        <v>0</v>
      </c>
      <c r="K111" s="3"/>
      <c r="L111" s="3"/>
      <c r="M111" s="3"/>
      <c r="N111" s="12">
        <v>46275</v>
      </c>
      <c r="O111" s="7">
        <v>37</v>
      </c>
      <c r="P111" s="15">
        <f>(IF(G111&gt;0,G111+I111,I111)-(O111*Ventas!AE146*1))</f>
        <v>-38.006399999999999</v>
      </c>
      <c r="Q111" s="18">
        <f>(P111/(Ventas!AE146*1)/60)</f>
        <v>-0.6166666666666667</v>
      </c>
      <c r="R111" s="8">
        <v>84</v>
      </c>
      <c r="S111" s="15">
        <f t="shared" si="5"/>
        <v>84</v>
      </c>
      <c r="T111" s="15">
        <v>1.1399999999999999</v>
      </c>
      <c r="U111" s="3"/>
      <c r="V111" s="3"/>
      <c r="W111" s="12">
        <v>46331</v>
      </c>
      <c r="X111" s="7">
        <v>56</v>
      </c>
      <c r="Y111" s="15">
        <f>(IF(P111&gt;0,P111+R111,R111)-(X111*Ventas!AE146*1))</f>
        <v>26.476800000000004</v>
      </c>
      <c r="Z111" s="18">
        <f>(Y111/(Ventas!AE146*1)/60)</f>
        <v>0.42959501557632412</v>
      </c>
      <c r="AA111" s="15">
        <f>(120*(Ventas!AE146*1) - IF(Y111&gt;0,Y111,0))</f>
        <v>96.787199999999984</v>
      </c>
      <c r="AB111" s="15">
        <f t="shared" si="6"/>
        <v>96.787199999999984</v>
      </c>
      <c r="AC111" s="15">
        <f t="shared" si="7"/>
        <v>123.26399999999998</v>
      </c>
      <c r="AD111" s="16">
        <v>1.08</v>
      </c>
      <c r="AE111" s="8">
        <v>3027</v>
      </c>
      <c r="AF111" s="15">
        <f>(AC111-(60*Ventas!AE146*1))</f>
        <v>61.631999999999991</v>
      </c>
      <c r="AG111" s="18">
        <f>(AF111/(Ventas!AE146*1)/60)</f>
        <v>1</v>
      </c>
      <c r="AH111" s="1" t="s">
        <v>37</v>
      </c>
    </row>
    <row r="112" spans="1:34" x14ac:dyDescent="0.25">
      <c r="A112" s="1"/>
      <c r="B112" s="1" t="s">
        <v>325</v>
      </c>
      <c r="C112" s="14" t="s">
        <v>324</v>
      </c>
      <c r="D112" s="8">
        <v>47</v>
      </c>
      <c r="E112" s="12">
        <v>46238</v>
      </c>
      <c r="F112" s="7">
        <v>1</v>
      </c>
      <c r="G112" s="15">
        <f>(D112-(0)+0-(F112*Ventas!AE147*1))</f>
        <v>46.577399999999997</v>
      </c>
      <c r="H112" s="18">
        <f>(G112/(Ventas!AE147*1)/60)</f>
        <v>1.8369380028395645</v>
      </c>
      <c r="I112" s="8">
        <v>0</v>
      </c>
      <c r="J112" s="15">
        <f t="shared" si="4"/>
        <v>46.577399999999997</v>
      </c>
      <c r="K112" s="3"/>
      <c r="L112" s="3"/>
      <c r="M112" s="3"/>
      <c r="N112" s="12">
        <v>46275</v>
      </c>
      <c r="O112" s="7">
        <v>37</v>
      </c>
      <c r="P112" s="15">
        <f>(IF(G112&gt;0,G112+I112,I112)-(O112*Ventas!AE147*1))</f>
        <v>30.941199999999998</v>
      </c>
      <c r="Q112" s="18">
        <f>(P112/(Ventas!AE147*1)/60)</f>
        <v>1.2202713361728981</v>
      </c>
      <c r="R112" s="8">
        <v>168</v>
      </c>
      <c r="S112" s="15">
        <f t="shared" si="5"/>
        <v>198.94120000000001</v>
      </c>
      <c r="T112" s="15">
        <v>1.82</v>
      </c>
      <c r="U112" s="3"/>
      <c r="V112" s="3"/>
      <c r="W112" s="12">
        <v>46331</v>
      </c>
      <c r="X112" s="7">
        <v>56</v>
      </c>
      <c r="Y112" s="15">
        <f>(IF(P112&gt;0,P112+R112,R112)-(X112*Ventas!AE147*1))</f>
        <v>175.2756</v>
      </c>
      <c r="Z112" s="18">
        <f>(Y112/(Ventas!AE147*1)/60)</f>
        <v>6.9125887363937535</v>
      </c>
      <c r="AA112" s="15">
        <f>(120*(Ventas!AE147*1) - IF(Y112&gt;0,Y112,0))</f>
        <v>-124.56360000000001</v>
      </c>
      <c r="AB112" s="15">
        <f t="shared" si="6"/>
        <v>0</v>
      </c>
      <c r="AC112" s="15">
        <f t="shared" si="7"/>
        <v>175.2756</v>
      </c>
      <c r="AD112" s="16">
        <v>1.78</v>
      </c>
      <c r="AE112" s="8">
        <v>3027</v>
      </c>
      <c r="AF112" s="15">
        <f>(AC112-(60*Ventas!AE147*1))</f>
        <v>149.9196</v>
      </c>
      <c r="AG112" s="18">
        <f>(AF112/(Ventas!AE147*1)/60)</f>
        <v>5.9125887363937535</v>
      </c>
      <c r="AH112" s="1" t="s">
        <v>37</v>
      </c>
    </row>
    <row r="113" spans="1:34" x14ac:dyDescent="0.25">
      <c r="A113" s="1"/>
      <c r="B113" s="1" t="s">
        <v>327</v>
      </c>
      <c r="C113" s="14" t="s">
        <v>326</v>
      </c>
      <c r="D113" s="3"/>
      <c r="E113" s="12">
        <v>46238</v>
      </c>
      <c r="F113" s="7">
        <v>1</v>
      </c>
      <c r="G113" s="15">
        <f>(D113-(0)+0-(F113*Ventas!AE148*1))</f>
        <v>0</v>
      </c>
      <c r="H113" s="3"/>
      <c r="I113" s="8">
        <v>0</v>
      </c>
      <c r="J113" s="15">
        <f t="shared" si="4"/>
        <v>0</v>
      </c>
      <c r="K113" s="3"/>
      <c r="L113" s="3"/>
      <c r="M113" s="3"/>
      <c r="N113" s="12">
        <v>46275</v>
      </c>
      <c r="O113" s="7">
        <v>37</v>
      </c>
      <c r="P113" s="15">
        <f>(IF(G113&gt;0,G113+I113,I113)-(O113*Ventas!AE148*1))</f>
        <v>0</v>
      </c>
      <c r="Q113" s="3"/>
      <c r="R113" s="8">
        <v>0</v>
      </c>
      <c r="S113" s="15">
        <f t="shared" si="5"/>
        <v>0</v>
      </c>
      <c r="T113" s="3"/>
      <c r="U113" s="3"/>
      <c r="V113" s="3"/>
      <c r="W113" s="12">
        <v>46331</v>
      </c>
      <c r="X113" s="7">
        <v>56</v>
      </c>
      <c r="Y113" s="15">
        <f>(IF(P113&gt;0,P113+R113,R113)-(X113*Ventas!AE148*1))</f>
        <v>0</v>
      </c>
      <c r="Z113" s="3"/>
      <c r="AA113" s="15">
        <f>(120*(Ventas!AE148*1) - IF(Y113&gt;0,Y113,0))</f>
        <v>0</v>
      </c>
      <c r="AB113" s="15">
        <f t="shared" si="6"/>
        <v>0</v>
      </c>
      <c r="AC113" s="15">
        <f t="shared" si="7"/>
        <v>0</v>
      </c>
      <c r="AD113" s="3"/>
      <c r="AE113" s="3"/>
      <c r="AF113" s="3"/>
      <c r="AG113" s="3"/>
      <c r="AH113" s="1" t="s">
        <v>37</v>
      </c>
    </row>
    <row r="114" spans="1:34" x14ac:dyDescent="0.25">
      <c r="A114" s="1"/>
      <c r="B114" s="1" t="s">
        <v>329</v>
      </c>
      <c r="C114" s="14" t="s">
        <v>328</v>
      </c>
      <c r="D114" s="3"/>
      <c r="E114" s="12">
        <v>46238</v>
      </c>
      <c r="F114" s="7">
        <v>1</v>
      </c>
      <c r="G114" s="15">
        <f>(D114-(0)+0-(F114*Ventas!AE149*1))</f>
        <v>-2.0952000000000002</v>
      </c>
      <c r="H114" s="18">
        <f>(G114/(Ventas!AE149*1)/60)</f>
        <v>-1.6666666666666666E-2</v>
      </c>
      <c r="I114" s="8">
        <v>0</v>
      </c>
      <c r="J114" s="15">
        <f t="shared" si="4"/>
        <v>0</v>
      </c>
      <c r="K114" s="3"/>
      <c r="L114" s="3"/>
      <c r="M114" s="3"/>
      <c r="N114" s="12">
        <v>46275</v>
      </c>
      <c r="O114" s="7">
        <v>37</v>
      </c>
      <c r="P114" s="15">
        <f>(IF(G114&gt;0,G114+I114,I114)-(O114*Ventas!AE149*1))</f>
        <v>-77.522400000000005</v>
      </c>
      <c r="Q114" s="18">
        <f>(P114/(Ventas!AE149*1)/60)</f>
        <v>-0.6166666666666667</v>
      </c>
      <c r="R114" s="8">
        <v>84</v>
      </c>
      <c r="S114" s="15">
        <f t="shared" si="5"/>
        <v>84</v>
      </c>
      <c r="T114" s="15">
        <v>0.98</v>
      </c>
      <c r="U114" s="3"/>
      <c r="V114" s="3"/>
      <c r="W114" s="12">
        <v>46331</v>
      </c>
      <c r="X114" s="7">
        <v>56</v>
      </c>
      <c r="Y114" s="15">
        <f>(IF(P114&gt;0,P114+R114,R114)-(X114*Ventas!AE149*1))</f>
        <v>-33.33120000000001</v>
      </c>
      <c r="Z114" s="18">
        <f>(Y114/(Ventas!AE149*1)/60)</f>
        <v>-0.26513936617029404</v>
      </c>
      <c r="AA114" s="15">
        <f>(120*(Ventas!AE149*1) - IF(Y114&gt;0,Y114,0))</f>
        <v>251.42400000000004</v>
      </c>
      <c r="AB114" s="15">
        <f t="shared" si="6"/>
        <v>251.42400000000004</v>
      </c>
      <c r="AC114" s="15">
        <f t="shared" si="7"/>
        <v>251.42400000000004</v>
      </c>
      <c r="AD114" s="16">
        <v>0.96</v>
      </c>
      <c r="AE114" s="8">
        <v>3027</v>
      </c>
      <c r="AF114" s="15">
        <f>(AC114-(60*Ventas!AE149*1))</f>
        <v>125.71200000000002</v>
      </c>
      <c r="AG114" s="18">
        <f>(AF114/(Ventas!AE149*1)/60)</f>
        <v>1</v>
      </c>
      <c r="AH114" s="1" t="s">
        <v>37</v>
      </c>
    </row>
    <row r="115" spans="1:34" x14ac:dyDescent="0.25">
      <c r="A115" s="1"/>
      <c r="B115" s="1" t="s">
        <v>331</v>
      </c>
      <c r="C115" s="14" t="s">
        <v>330</v>
      </c>
      <c r="D115" s="3"/>
      <c r="E115" s="12">
        <v>46238</v>
      </c>
      <c r="F115" s="7">
        <v>1</v>
      </c>
      <c r="G115" s="15">
        <f>(D115-(0)+0-(F115*Ventas!AE150*1))</f>
        <v>-2.0661999999999998</v>
      </c>
      <c r="H115" s="18">
        <f>(G115/(Ventas!AE150*1)/60)</f>
        <v>-1.6666666666666666E-2</v>
      </c>
      <c r="I115" s="8">
        <v>0</v>
      </c>
      <c r="J115" s="15">
        <f t="shared" si="4"/>
        <v>0</v>
      </c>
      <c r="K115" s="3"/>
      <c r="L115" s="3"/>
      <c r="M115" s="3"/>
      <c r="N115" s="12">
        <v>46275</v>
      </c>
      <c r="O115" s="7">
        <v>37</v>
      </c>
      <c r="P115" s="15">
        <f>(IF(G115&gt;0,G115+I115,I115)-(O115*Ventas!AE150*1))</f>
        <v>-76.449399999999997</v>
      </c>
      <c r="Q115" s="18">
        <f>(P115/(Ventas!AE150*1)/60)</f>
        <v>-0.6166666666666667</v>
      </c>
      <c r="R115" s="8">
        <v>168</v>
      </c>
      <c r="S115" s="15">
        <f t="shared" si="5"/>
        <v>168</v>
      </c>
      <c r="T115" s="15">
        <v>0.98</v>
      </c>
      <c r="U115" s="3"/>
      <c r="V115" s="3"/>
      <c r="W115" s="12">
        <v>46331</v>
      </c>
      <c r="X115" s="7">
        <v>56</v>
      </c>
      <c r="Y115" s="15">
        <f>(IF(P115&gt;0,P115+R115,R115)-(X115*Ventas!AE150*1))</f>
        <v>52.292800000000014</v>
      </c>
      <c r="Z115" s="18">
        <f>(Y115/(Ventas!AE150*1)/60)</f>
        <v>0.42181137676249492</v>
      </c>
      <c r="AA115" s="15">
        <f>(120*(Ventas!AE150*1) - IF(Y115&gt;0,Y115,0))</f>
        <v>195.65119999999996</v>
      </c>
      <c r="AB115" s="15">
        <f t="shared" si="6"/>
        <v>195.65119999999996</v>
      </c>
      <c r="AC115" s="15">
        <f t="shared" si="7"/>
        <v>247.94399999999996</v>
      </c>
      <c r="AD115" s="16">
        <v>0.96</v>
      </c>
      <c r="AE115" s="8">
        <v>3027</v>
      </c>
      <c r="AF115" s="15">
        <f>(AC115-(60*Ventas!AE150*1))</f>
        <v>123.97199999999997</v>
      </c>
      <c r="AG115" s="18">
        <f>(AF115/(Ventas!AE150*1)/60)</f>
        <v>0.99999999999999978</v>
      </c>
      <c r="AH115" s="1" t="s">
        <v>37</v>
      </c>
    </row>
    <row r="116" spans="1:34" x14ac:dyDescent="0.25">
      <c r="A116" s="1"/>
      <c r="B116" s="1" t="s">
        <v>333</v>
      </c>
      <c r="C116" s="14" t="s">
        <v>332</v>
      </c>
      <c r="D116" s="3"/>
      <c r="E116" s="12">
        <v>46238</v>
      </c>
      <c r="F116" s="7">
        <v>1</v>
      </c>
      <c r="G116" s="15">
        <f>(D116-(0)+0-(F116*Ventas!AE151*1))</f>
        <v>0</v>
      </c>
      <c r="H116" s="3"/>
      <c r="I116" s="8">
        <v>168</v>
      </c>
      <c r="J116" s="15">
        <f t="shared" si="4"/>
        <v>168</v>
      </c>
      <c r="K116" s="15">
        <v>1.2</v>
      </c>
      <c r="L116" s="3"/>
      <c r="M116" s="3"/>
      <c r="N116" s="12">
        <v>46275</v>
      </c>
      <c r="O116" s="7">
        <v>37</v>
      </c>
      <c r="P116" s="15">
        <f>(IF(G116&gt;0,G116+I116,I116)-(O116*Ventas!AE151*1))</f>
        <v>168</v>
      </c>
      <c r="Q116" s="3"/>
      <c r="R116" s="8">
        <v>0</v>
      </c>
      <c r="S116" s="15">
        <f t="shared" si="5"/>
        <v>168</v>
      </c>
      <c r="T116" s="3"/>
      <c r="U116" s="3"/>
      <c r="V116" s="3"/>
      <c r="W116" s="12">
        <v>46331</v>
      </c>
      <c r="X116" s="7">
        <v>56</v>
      </c>
      <c r="Y116" s="15">
        <f>(IF(P116&gt;0,P116+R116,R116)-(X116*Ventas!AE151*1))</f>
        <v>168</v>
      </c>
      <c r="Z116" s="3"/>
      <c r="AA116" s="15">
        <f>(120*(Ventas!AE151*1) - IF(Y116&gt;0,Y116,0))</f>
        <v>-168</v>
      </c>
      <c r="AB116" s="15">
        <f t="shared" si="6"/>
        <v>0</v>
      </c>
      <c r="AC116" s="15">
        <f t="shared" si="7"/>
        <v>168</v>
      </c>
      <c r="AD116" s="16">
        <v>1.2</v>
      </c>
      <c r="AE116" s="8">
        <v>3025</v>
      </c>
      <c r="AF116" s="3"/>
      <c r="AG116" s="3"/>
      <c r="AH116" s="1" t="s">
        <v>37</v>
      </c>
    </row>
    <row r="117" spans="1:34" x14ac:dyDescent="0.25">
      <c r="A117" s="1"/>
      <c r="B117" s="1" t="s">
        <v>335</v>
      </c>
      <c r="C117" s="14" t="s">
        <v>334</v>
      </c>
      <c r="D117" s="3"/>
      <c r="E117" s="12">
        <v>46238</v>
      </c>
      <c r="F117" s="7">
        <v>1</v>
      </c>
      <c r="G117" s="15">
        <f>(D117-(0)+0-(F117*Ventas!AE152*1))</f>
        <v>0</v>
      </c>
      <c r="H117" s="3"/>
      <c r="I117" s="8">
        <v>0</v>
      </c>
      <c r="J117" s="15">
        <f t="shared" si="4"/>
        <v>0</v>
      </c>
      <c r="K117" s="3"/>
      <c r="L117" s="3"/>
      <c r="M117" s="3"/>
      <c r="N117" s="12">
        <v>46275</v>
      </c>
      <c r="O117" s="7">
        <v>37</v>
      </c>
      <c r="P117" s="15">
        <f>(IF(G117&gt;0,G117+I117,I117)-(O117*Ventas!AE152*1))</f>
        <v>0</v>
      </c>
      <c r="Q117" s="3"/>
      <c r="R117" s="8">
        <v>84</v>
      </c>
      <c r="S117" s="15">
        <f t="shared" si="5"/>
        <v>84</v>
      </c>
      <c r="T117" s="15">
        <v>1.1399999999999999</v>
      </c>
      <c r="U117" s="3"/>
      <c r="V117" s="3"/>
      <c r="W117" s="12">
        <v>46331</v>
      </c>
      <c r="X117" s="7">
        <v>56</v>
      </c>
      <c r="Y117" s="15">
        <f>(IF(P117&gt;0,P117+R117,R117)-(X117*Ventas!AE152*1))</f>
        <v>84</v>
      </c>
      <c r="Z117" s="3"/>
      <c r="AA117" s="15">
        <f>(120*(Ventas!AE152*1) - IF(Y117&gt;0,Y117,0))</f>
        <v>-84</v>
      </c>
      <c r="AB117" s="15">
        <f t="shared" si="6"/>
        <v>0</v>
      </c>
      <c r="AC117" s="15">
        <f t="shared" si="7"/>
        <v>84</v>
      </c>
      <c r="AD117" s="3"/>
      <c r="AE117" s="3"/>
      <c r="AF117" s="3"/>
      <c r="AG117" s="3"/>
      <c r="AH117" s="1" t="s">
        <v>37</v>
      </c>
    </row>
    <row r="118" spans="1:34" x14ac:dyDescent="0.25">
      <c r="A118" s="1"/>
      <c r="B118" s="1" t="s">
        <v>337</v>
      </c>
      <c r="C118" s="14" t="s">
        <v>336</v>
      </c>
      <c r="D118" s="3"/>
      <c r="E118" s="12">
        <v>46238</v>
      </c>
      <c r="F118" s="7">
        <v>1</v>
      </c>
      <c r="G118" s="15">
        <f>(D118-(0)+0-(F118*Ventas!AE153*1))</f>
        <v>0</v>
      </c>
      <c r="H118" s="3"/>
      <c r="I118" s="8">
        <v>0</v>
      </c>
      <c r="J118" s="15">
        <f t="shared" si="4"/>
        <v>0</v>
      </c>
      <c r="K118" s="3"/>
      <c r="L118" s="3"/>
      <c r="M118" s="3"/>
      <c r="N118" s="12">
        <v>46275</v>
      </c>
      <c r="O118" s="7">
        <v>37</v>
      </c>
      <c r="P118" s="15">
        <f>(IF(G118&gt;0,G118+I118,I118)-(O118*Ventas!AE153*1))</f>
        <v>0</v>
      </c>
      <c r="Q118" s="3"/>
      <c r="R118" s="8">
        <v>360</v>
      </c>
      <c r="S118" s="15">
        <f t="shared" si="5"/>
        <v>360</v>
      </c>
      <c r="T118" s="15">
        <v>0.38</v>
      </c>
      <c r="U118" s="3"/>
      <c r="V118" s="3"/>
      <c r="W118" s="12">
        <v>46331</v>
      </c>
      <c r="X118" s="7">
        <v>56</v>
      </c>
      <c r="Y118" s="15">
        <f>(IF(P118&gt;0,P118+R118,R118)-(X118*Ventas!AE153*1))</f>
        <v>360</v>
      </c>
      <c r="Z118" s="3"/>
      <c r="AA118" s="15">
        <f>(120*(Ventas!AE153*1) - IF(Y118&gt;0,Y118,0))</f>
        <v>-360</v>
      </c>
      <c r="AB118" s="15">
        <f t="shared" si="6"/>
        <v>0</v>
      </c>
      <c r="AC118" s="15">
        <f t="shared" si="7"/>
        <v>360</v>
      </c>
      <c r="AD118" s="3"/>
      <c r="AE118" s="3"/>
      <c r="AF118" s="3"/>
      <c r="AG118" s="3"/>
      <c r="AH118" s="1" t="s">
        <v>37</v>
      </c>
    </row>
    <row r="119" spans="1:34" x14ac:dyDescent="0.25">
      <c r="A119" s="1"/>
      <c r="B119" s="1" t="s">
        <v>339</v>
      </c>
      <c r="C119" s="14" t="s">
        <v>338</v>
      </c>
      <c r="D119" s="3"/>
      <c r="E119" s="12">
        <v>46238</v>
      </c>
      <c r="F119" s="7">
        <v>1</v>
      </c>
      <c r="G119" s="15">
        <f>(D119-(0)+0-(F119*Ventas!AE154*1))</f>
        <v>0</v>
      </c>
      <c r="H119" s="3"/>
      <c r="I119" s="8">
        <v>0</v>
      </c>
      <c r="J119" s="15">
        <f t="shared" si="4"/>
        <v>0</v>
      </c>
      <c r="K119" s="3"/>
      <c r="L119" s="3"/>
      <c r="M119" s="3"/>
      <c r="N119" s="12">
        <v>46275</v>
      </c>
      <c r="O119" s="7">
        <v>37</v>
      </c>
      <c r="P119" s="15">
        <f>(IF(G119&gt;0,G119+I119,I119)-(O119*Ventas!AE154*1))</f>
        <v>0</v>
      </c>
      <c r="Q119" s="3"/>
      <c r="R119" s="8">
        <v>120</v>
      </c>
      <c r="S119" s="15">
        <f t="shared" si="5"/>
        <v>120</v>
      </c>
      <c r="T119" s="15">
        <v>0.38</v>
      </c>
      <c r="U119" s="3"/>
      <c r="V119" s="3"/>
      <c r="W119" s="12">
        <v>46331</v>
      </c>
      <c r="X119" s="7">
        <v>56</v>
      </c>
      <c r="Y119" s="15">
        <f>(IF(P119&gt;0,P119+R119,R119)-(X119*Ventas!AE154*1))</f>
        <v>120</v>
      </c>
      <c r="Z119" s="3"/>
      <c r="AA119" s="15">
        <f>(120*(Ventas!AE154*1) - IF(Y119&gt;0,Y119,0))</f>
        <v>-120</v>
      </c>
      <c r="AB119" s="15">
        <f t="shared" si="6"/>
        <v>0</v>
      </c>
      <c r="AC119" s="15">
        <f t="shared" si="7"/>
        <v>120</v>
      </c>
      <c r="AD119" s="3"/>
      <c r="AE119" s="3"/>
      <c r="AF119" s="3"/>
      <c r="AG119" s="3"/>
      <c r="AH119" s="1" t="s">
        <v>37</v>
      </c>
    </row>
    <row r="120" spans="1:34" x14ac:dyDescent="0.25">
      <c r="A120" s="1"/>
      <c r="B120" s="1" t="s">
        <v>341</v>
      </c>
      <c r="C120" s="14" t="s">
        <v>340</v>
      </c>
      <c r="D120" s="3"/>
      <c r="E120" s="12">
        <v>46238</v>
      </c>
      <c r="F120" s="7">
        <v>1</v>
      </c>
      <c r="G120" s="15">
        <f>(D120-(0)+0-(F120*Ventas!AE155*1))</f>
        <v>0</v>
      </c>
      <c r="H120" s="3"/>
      <c r="I120" s="8">
        <v>0</v>
      </c>
      <c r="J120" s="15">
        <f t="shared" si="4"/>
        <v>0</v>
      </c>
      <c r="K120" s="3"/>
      <c r="L120" s="3"/>
      <c r="M120" s="3"/>
      <c r="N120" s="12">
        <v>46275</v>
      </c>
      <c r="O120" s="7">
        <v>37</v>
      </c>
      <c r="P120" s="15">
        <f>(IF(G120&gt;0,G120+I120,I120)-(O120*Ventas!AE155*1))</f>
        <v>0</v>
      </c>
      <c r="Q120" s="3"/>
      <c r="R120" s="8">
        <v>84</v>
      </c>
      <c r="S120" s="15">
        <f t="shared" si="5"/>
        <v>84</v>
      </c>
      <c r="T120" s="15">
        <v>0.98</v>
      </c>
      <c r="U120" s="3"/>
      <c r="V120" s="3"/>
      <c r="W120" s="12">
        <v>46331</v>
      </c>
      <c r="X120" s="7">
        <v>56</v>
      </c>
      <c r="Y120" s="15">
        <f>(IF(P120&gt;0,P120+R120,R120)-(X120*Ventas!AE155*1))</f>
        <v>84</v>
      </c>
      <c r="Z120" s="3"/>
      <c r="AA120" s="15">
        <f>(120*(Ventas!AE155*1) - IF(Y120&gt;0,Y120,0))</f>
        <v>-84</v>
      </c>
      <c r="AB120" s="15">
        <f t="shared" si="6"/>
        <v>0</v>
      </c>
      <c r="AC120" s="15">
        <f t="shared" si="7"/>
        <v>84</v>
      </c>
      <c r="AD120" s="3"/>
      <c r="AE120" s="3"/>
      <c r="AF120" s="3"/>
      <c r="AG120" s="3"/>
      <c r="AH120" s="1" t="s">
        <v>37</v>
      </c>
    </row>
    <row r="121" spans="1:34" x14ac:dyDescent="0.25">
      <c r="A121" s="1"/>
      <c r="B121" s="1" t="s">
        <v>343</v>
      </c>
      <c r="C121" s="14" t="s">
        <v>342</v>
      </c>
      <c r="D121" s="8">
        <v>29</v>
      </c>
      <c r="E121" s="12">
        <v>46238</v>
      </c>
      <c r="F121" s="7">
        <v>1</v>
      </c>
      <c r="G121" s="15">
        <f>(D121-(0)+0-(F121*Ventas!AE156*1))</f>
        <v>29</v>
      </c>
      <c r="H121" s="3"/>
      <c r="I121" s="8">
        <v>0</v>
      </c>
      <c r="J121" s="15">
        <f t="shared" si="4"/>
        <v>29</v>
      </c>
      <c r="K121" s="3"/>
      <c r="L121" s="3"/>
      <c r="M121" s="3"/>
      <c r="N121" s="12">
        <v>46275</v>
      </c>
      <c r="O121" s="7">
        <v>37</v>
      </c>
      <c r="P121" s="15">
        <f>(IF(G121&gt;0,G121+I121,I121)-(O121*Ventas!AE156*1))</f>
        <v>29</v>
      </c>
      <c r="Q121" s="3"/>
      <c r="R121" s="8">
        <v>0</v>
      </c>
      <c r="S121" s="15">
        <f t="shared" si="5"/>
        <v>29</v>
      </c>
      <c r="T121" s="3"/>
      <c r="U121" s="3"/>
      <c r="V121" s="3"/>
      <c r="W121" s="12">
        <v>46331</v>
      </c>
      <c r="X121" s="7">
        <v>56</v>
      </c>
      <c r="Y121" s="15">
        <f>(IF(P121&gt;0,P121+R121,R121)-(X121*Ventas!AE156*1))</f>
        <v>29</v>
      </c>
      <c r="Z121" s="3"/>
      <c r="AA121" s="15">
        <f>(120*(Ventas!AE156*1) - IF(Y121&gt;0,Y121,0))</f>
        <v>-29</v>
      </c>
      <c r="AB121" s="15">
        <f t="shared" si="6"/>
        <v>0</v>
      </c>
      <c r="AC121" s="15">
        <f t="shared" si="7"/>
        <v>29</v>
      </c>
      <c r="AD121" s="3"/>
      <c r="AE121" s="3"/>
      <c r="AF121" s="3"/>
      <c r="AG121" s="3"/>
      <c r="AH121" s="1" t="s">
        <v>34</v>
      </c>
    </row>
    <row r="122" spans="1:34" x14ac:dyDescent="0.25">
      <c r="A122" s="1"/>
      <c r="B122" s="1" t="s">
        <v>345</v>
      </c>
      <c r="C122" s="14" t="s">
        <v>344</v>
      </c>
      <c r="D122" s="3"/>
      <c r="E122" s="12">
        <v>46238</v>
      </c>
      <c r="F122" s="7">
        <v>1</v>
      </c>
      <c r="G122" s="15">
        <f>(D122-(0)+0-(F122*Ventas!AE157*1))</f>
        <v>0</v>
      </c>
      <c r="H122" s="3"/>
      <c r="I122" s="8">
        <v>0</v>
      </c>
      <c r="J122" s="15">
        <f t="shared" si="4"/>
        <v>0</v>
      </c>
      <c r="K122" s="3"/>
      <c r="L122" s="15">
        <v>10</v>
      </c>
      <c r="M122" s="17">
        <v>1.08E-3</v>
      </c>
      <c r="N122" s="12">
        <v>46275</v>
      </c>
      <c r="O122" s="7">
        <v>37</v>
      </c>
      <c r="P122" s="15">
        <f>(IF(G122&gt;0,G122+I122,I122)-(O122*Ventas!AE157*1))</f>
        <v>0</v>
      </c>
      <c r="Q122" s="3"/>
      <c r="R122" s="8">
        <v>0</v>
      </c>
      <c r="S122" s="15">
        <f t="shared" si="5"/>
        <v>0</v>
      </c>
      <c r="T122" s="3"/>
      <c r="U122" s="15">
        <v>10</v>
      </c>
      <c r="V122" s="17">
        <v>1.08E-3</v>
      </c>
      <c r="W122" s="12">
        <v>46331</v>
      </c>
      <c r="X122" s="7">
        <v>56</v>
      </c>
      <c r="Y122" s="15">
        <f>(IF(P122&gt;0,P122+R122,R122)-(X122*Ventas!AE157*1))</f>
        <v>0</v>
      </c>
      <c r="Z122" s="3"/>
      <c r="AA122" s="15">
        <f>(120*(Ventas!AE157*1) - IF(Y122&gt;0,Y122,0))</f>
        <v>0</v>
      </c>
      <c r="AB122" s="15">
        <f t="shared" si="6"/>
        <v>0</v>
      </c>
      <c r="AC122" s="15">
        <f t="shared" si="7"/>
        <v>0</v>
      </c>
      <c r="AD122" s="16">
        <v>1.06</v>
      </c>
      <c r="AE122" s="8">
        <v>3025</v>
      </c>
      <c r="AF122" s="3"/>
      <c r="AG122" s="3"/>
      <c r="AH122" s="1" t="s">
        <v>37</v>
      </c>
    </row>
    <row r="123" spans="1:34" x14ac:dyDescent="0.25">
      <c r="A123" s="1"/>
      <c r="B123" s="1" t="s">
        <v>347</v>
      </c>
      <c r="C123" s="14" t="s">
        <v>346</v>
      </c>
      <c r="D123" s="3"/>
      <c r="E123" s="12">
        <v>46238</v>
      </c>
      <c r="F123" s="7">
        <v>1</v>
      </c>
      <c r="G123" s="15">
        <f>(D123-(0)+0-(F123*Ventas!AE158*1))</f>
        <v>0</v>
      </c>
      <c r="H123" s="3"/>
      <c r="I123" s="8">
        <v>0</v>
      </c>
      <c r="J123" s="15">
        <f t="shared" si="4"/>
        <v>0</v>
      </c>
      <c r="K123" s="3"/>
      <c r="L123" s="15">
        <v>10</v>
      </c>
      <c r="M123" s="17">
        <v>1.08E-3</v>
      </c>
      <c r="N123" s="12">
        <v>46275</v>
      </c>
      <c r="O123" s="7">
        <v>37</v>
      </c>
      <c r="P123" s="15">
        <f>(IF(G123&gt;0,G123+I123,I123)-(O123*Ventas!AE158*1))</f>
        <v>0</v>
      </c>
      <c r="Q123" s="3"/>
      <c r="R123" s="8">
        <v>0</v>
      </c>
      <c r="S123" s="15">
        <f t="shared" si="5"/>
        <v>0</v>
      </c>
      <c r="T123" s="3"/>
      <c r="U123" s="15">
        <v>10</v>
      </c>
      <c r="V123" s="17">
        <v>1.08E-3</v>
      </c>
      <c r="W123" s="12">
        <v>46331</v>
      </c>
      <c r="X123" s="7">
        <v>56</v>
      </c>
      <c r="Y123" s="15">
        <f>(IF(P123&gt;0,P123+R123,R123)-(X123*Ventas!AE158*1))</f>
        <v>0</v>
      </c>
      <c r="Z123" s="3"/>
      <c r="AA123" s="15">
        <f>(120*(Ventas!AE158*1) - IF(Y123&gt;0,Y123,0))</f>
        <v>0</v>
      </c>
      <c r="AB123" s="15">
        <f t="shared" si="6"/>
        <v>0</v>
      </c>
      <c r="AC123" s="15">
        <f t="shared" si="7"/>
        <v>0</v>
      </c>
      <c r="AD123" s="16">
        <v>1.06</v>
      </c>
      <c r="AE123" s="8">
        <v>3025</v>
      </c>
      <c r="AF123" s="3"/>
      <c r="AG123" s="3"/>
      <c r="AH123" s="1" t="s">
        <v>37</v>
      </c>
    </row>
    <row r="124" spans="1:34" x14ac:dyDescent="0.25">
      <c r="A124" s="1" t="s">
        <v>350</v>
      </c>
      <c r="B124" s="1" t="s">
        <v>349</v>
      </c>
      <c r="C124" s="14" t="s">
        <v>348</v>
      </c>
      <c r="D124" s="3"/>
      <c r="E124" s="12">
        <v>46238</v>
      </c>
      <c r="F124" s="7">
        <v>1</v>
      </c>
      <c r="G124" s="15">
        <f>(D124-(0)+0-(F124*Ventas!AE159*1))</f>
        <v>0</v>
      </c>
      <c r="H124" s="3"/>
      <c r="I124" s="8">
        <v>0</v>
      </c>
      <c r="J124" s="15">
        <f t="shared" si="4"/>
        <v>0</v>
      </c>
      <c r="K124" s="3"/>
      <c r="L124" s="15">
        <v>60</v>
      </c>
      <c r="M124" s="17">
        <v>7.2499999999999995E-4</v>
      </c>
      <c r="N124" s="12">
        <v>46275</v>
      </c>
      <c r="O124" s="7">
        <v>37</v>
      </c>
      <c r="P124" s="15">
        <f>(IF(G124&gt;0,G124+I124,I124)-(O124*Ventas!AE159*1))</f>
        <v>0</v>
      </c>
      <c r="Q124" s="3"/>
      <c r="R124" s="8">
        <v>0</v>
      </c>
      <c r="S124" s="15">
        <f t="shared" si="5"/>
        <v>0</v>
      </c>
      <c r="T124" s="3"/>
      <c r="U124" s="15">
        <v>60</v>
      </c>
      <c r="V124" s="17">
        <v>7.2499999999999995E-4</v>
      </c>
      <c r="W124" s="12">
        <v>46331</v>
      </c>
      <c r="X124" s="7">
        <v>56</v>
      </c>
      <c r="Y124" s="15">
        <f>(IF(P124&gt;0,P124+R124,R124)-(X124*Ventas!AE159*1))</f>
        <v>0</v>
      </c>
      <c r="Z124" s="3"/>
      <c r="AA124" s="15">
        <f>(120*(Ventas!AE159*1) - IF(Y124&gt;0,Y124,0))</f>
        <v>0</v>
      </c>
      <c r="AB124" s="15">
        <f t="shared" si="6"/>
        <v>0</v>
      </c>
      <c r="AC124" s="15">
        <f t="shared" si="7"/>
        <v>0</v>
      </c>
      <c r="AD124" s="16">
        <v>0.77</v>
      </c>
      <c r="AE124" s="8">
        <v>3025</v>
      </c>
      <c r="AF124" s="3"/>
      <c r="AG124" s="3"/>
      <c r="AH124" s="1" t="s">
        <v>34</v>
      </c>
    </row>
    <row r="125" spans="1:34" x14ac:dyDescent="0.25">
      <c r="A125" s="1" t="s">
        <v>353</v>
      </c>
      <c r="B125" s="1" t="s">
        <v>352</v>
      </c>
      <c r="C125" s="14" t="s">
        <v>351</v>
      </c>
      <c r="D125" s="3"/>
      <c r="E125" s="12">
        <v>46238</v>
      </c>
      <c r="F125" s="7">
        <v>1</v>
      </c>
      <c r="G125" s="15">
        <f>(D125-(0)+0-(F125*Ventas!AE160*1))</f>
        <v>0</v>
      </c>
      <c r="H125" s="3"/>
      <c r="I125" s="8">
        <v>0</v>
      </c>
      <c r="J125" s="15">
        <f t="shared" si="4"/>
        <v>0</v>
      </c>
      <c r="K125" s="3"/>
      <c r="L125" s="15">
        <v>54</v>
      </c>
      <c r="M125" s="17">
        <v>8.0599999999999997E-4</v>
      </c>
      <c r="N125" s="12">
        <v>46275</v>
      </c>
      <c r="O125" s="7">
        <v>37</v>
      </c>
      <c r="P125" s="15">
        <f>(IF(G125&gt;0,G125+I125,I125)-(O125*Ventas!AE160*1))</f>
        <v>0</v>
      </c>
      <c r="Q125" s="3"/>
      <c r="R125" s="8">
        <v>0</v>
      </c>
      <c r="S125" s="15">
        <f t="shared" si="5"/>
        <v>0</v>
      </c>
      <c r="T125" s="3"/>
      <c r="U125" s="15">
        <v>54</v>
      </c>
      <c r="V125" s="17">
        <v>8.0599999999999997E-4</v>
      </c>
      <c r="W125" s="12">
        <v>46331</v>
      </c>
      <c r="X125" s="7">
        <v>56</v>
      </c>
      <c r="Y125" s="15">
        <f>(IF(P125&gt;0,P125+R125,R125)-(X125*Ventas!AE160*1))</f>
        <v>0</v>
      </c>
      <c r="Z125" s="3"/>
      <c r="AA125" s="15">
        <f>(120*(Ventas!AE160*1) - IF(Y125&gt;0,Y125,0))</f>
        <v>0</v>
      </c>
      <c r="AB125" s="15">
        <f t="shared" si="6"/>
        <v>0</v>
      </c>
      <c r="AC125" s="15">
        <f t="shared" si="7"/>
        <v>0</v>
      </c>
      <c r="AD125" s="16">
        <v>1.17</v>
      </c>
      <c r="AE125" s="8">
        <v>3027</v>
      </c>
      <c r="AF125" s="3"/>
      <c r="AG125" s="3"/>
      <c r="AH125" s="1" t="s">
        <v>34</v>
      </c>
    </row>
    <row r="126" spans="1:34" x14ac:dyDescent="0.25">
      <c r="A126" s="1" t="s">
        <v>356</v>
      </c>
      <c r="B126" s="1" t="s">
        <v>355</v>
      </c>
      <c r="C126" s="14" t="s">
        <v>354</v>
      </c>
      <c r="D126" s="3"/>
      <c r="E126" s="12">
        <v>46238</v>
      </c>
      <c r="F126" s="7">
        <v>1</v>
      </c>
      <c r="G126" s="15">
        <f>(D126-(0)+0-(F126*Ventas!AE161*1))</f>
        <v>-2.0663</v>
      </c>
      <c r="H126" s="18">
        <f>(G126/(Ventas!AE161*1)/60)</f>
        <v>-1.6666666666666666E-2</v>
      </c>
      <c r="I126" s="8">
        <v>0</v>
      </c>
      <c r="J126" s="15">
        <f t="shared" si="4"/>
        <v>0</v>
      </c>
      <c r="K126" s="3"/>
      <c r="L126" s="15">
        <v>52</v>
      </c>
      <c r="M126" s="17">
        <v>6.4899999999999995E-4</v>
      </c>
      <c r="N126" s="12">
        <v>46275</v>
      </c>
      <c r="O126" s="7">
        <v>37</v>
      </c>
      <c r="P126" s="15">
        <f>(IF(G126&gt;0,G126+I126,I126)-(O126*Ventas!AE161*1))</f>
        <v>-76.453100000000006</v>
      </c>
      <c r="Q126" s="18">
        <f>(P126/(Ventas!AE161*1)/60)</f>
        <v>-0.6166666666666667</v>
      </c>
      <c r="R126" s="8">
        <v>0</v>
      </c>
      <c r="S126" s="15">
        <f t="shared" si="5"/>
        <v>0</v>
      </c>
      <c r="T126" s="3"/>
      <c r="U126" s="15">
        <v>52</v>
      </c>
      <c r="V126" s="17">
        <v>6.4899999999999995E-4</v>
      </c>
      <c r="W126" s="12">
        <v>46331</v>
      </c>
      <c r="X126" s="7">
        <v>56</v>
      </c>
      <c r="Y126" s="15">
        <f>(IF(P126&gt;0,P126+R126,R126)-(X126*Ventas!AE161*1))</f>
        <v>-115.7128</v>
      </c>
      <c r="Z126" s="18">
        <f>(Y126/(Ventas!AE161*1)/60)</f>
        <v>-0.93333333333333335</v>
      </c>
      <c r="AA126" s="15">
        <f>(120*(Ventas!AE161*1) - IF(Y126&gt;0,Y126,0))</f>
        <v>247.95600000000002</v>
      </c>
      <c r="AB126" s="15">
        <f t="shared" si="6"/>
        <v>247.95600000000002</v>
      </c>
      <c r="AC126" s="15">
        <f t="shared" si="7"/>
        <v>247.95600000000002</v>
      </c>
      <c r="AD126" s="16">
        <v>1.17</v>
      </c>
      <c r="AE126" s="8">
        <v>3027</v>
      </c>
      <c r="AF126" s="15">
        <f>(AC126-(60*Ventas!AE161*1))</f>
        <v>123.97800000000001</v>
      </c>
      <c r="AG126" s="18">
        <f>(AF126/(Ventas!AE161*1)/60)</f>
        <v>1</v>
      </c>
      <c r="AH126" s="1" t="s">
        <v>34</v>
      </c>
    </row>
    <row r="127" spans="1:34" x14ac:dyDescent="0.25">
      <c r="A127" s="1" t="s">
        <v>359</v>
      </c>
      <c r="B127" s="1" t="s">
        <v>358</v>
      </c>
      <c r="C127" s="14" t="s">
        <v>357</v>
      </c>
      <c r="D127" s="8">
        <v>258</v>
      </c>
      <c r="E127" s="12">
        <v>46238</v>
      </c>
      <c r="F127" s="7">
        <v>1</v>
      </c>
      <c r="G127" s="15">
        <f>(D127-(0)+0-(F127*Ventas!AE162*1))</f>
        <v>256.7663</v>
      </c>
      <c r="H127" s="18">
        <f>(G127/(Ventas!AE162*1)/60)</f>
        <v>3.4687836048742264</v>
      </c>
      <c r="I127" s="8">
        <v>0</v>
      </c>
      <c r="J127" s="15">
        <f t="shared" si="4"/>
        <v>256.7663</v>
      </c>
      <c r="K127" s="3"/>
      <c r="L127" s="15">
        <v>52</v>
      </c>
      <c r="M127" s="17">
        <v>6.4899999999999995E-4</v>
      </c>
      <c r="N127" s="12">
        <v>46275</v>
      </c>
      <c r="O127" s="7">
        <v>37</v>
      </c>
      <c r="P127" s="15">
        <f>(IF(G127&gt;0,G127+I127,I127)-(O127*Ventas!AE162*1))</f>
        <v>211.11939999999998</v>
      </c>
      <c r="Q127" s="18">
        <f>(P127/(Ventas!AE162*1)/60)</f>
        <v>2.8521169382075597</v>
      </c>
      <c r="R127" s="8">
        <v>0</v>
      </c>
      <c r="S127" s="15">
        <f t="shared" si="5"/>
        <v>211.11939999999998</v>
      </c>
      <c r="T127" s="3"/>
      <c r="U127" s="15">
        <v>52</v>
      </c>
      <c r="V127" s="17">
        <v>6.4899999999999995E-4</v>
      </c>
      <c r="W127" s="12">
        <v>46331</v>
      </c>
      <c r="X127" s="7">
        <v>56</v>
      </c>
      <c r="Y127" s="15">
        <f>(IF(P127&gt;0,P127+R127,R127)-(X127*Ventas!AE162*1))</f>
        <v>142.03219999999999</v>
      </c>
      <c r="Z127" s="18">
        <f>(Y127/(Ventas!AE162*1)/60)</f>
        <v>1.9187836048742264</v>
      </c>
      <c r="AA127" s="15">
        <f>(120*(Ventas!AE162*1) - IF(Y127&gt;0,Y127,0))</f>
        <v>6.0118000000000222</v>
      </c>
      <c r="AB127" s="15">
        <f t="shared" si="6"/>
        <v>6.0118000000000222</v>
      </c>
      <c r="AC127" s="15">
        <f t="shared" si="7"/>
        <v>148.04400000000001</v>
      </c>
      <c r="AD127" s="16">
        <v>1.05</v>
      </c>
      <c r="AE127" s="8">
        <v>3027</v>
      </c>
      <c r="AF127" s="15">
        <f>(AC127-(60*Ventas!AE162*1))</f>
        <v>74.022000000000006</v>
      </c>
      <c r="AG127" s="18">
        <f>(AF127/(Ventas!AE162*1)/60)</f>
        <v>1.0000000000000002</v>
      </c>
      <c r="AH127" s="1" t="s">
        <v>34</v>
      </c>
    </row>
    <row r="128" spans="1:34" x14ac:dyDescent="0.25">
      <c r="A128" s="1" t="s">
        <v>362</v>
      </c>
      <c r="B128" s="1" t="s">
        <v>361</v>
      </c>
      <c r="C128" s="14" t="s">
        <v>360</v>
      </c>
      <c r="D128" s="3"/>
      <c r="E128" s="12">
        <v>46238</v>
      </c>
      <c r="F128" s="7">
        <v>1</v>
      </c>
      <c r="G128" s="15">
        <f>(D128-(0)+0-(F128*Ventas!AE163*1))</f>
        <v>0</v>
      </c>
      <c r="H128" s="3"/>
      <c r="I128" s="8">
        <v>0</v>
      </c>
      <c r="J128" s="15">
        <f t="shared" si="4"/>
        <v>0</v>
      </c>
      <c r="K128" s="3"/>
      <c r="L128" s="15">
        <v>52</v>
      </c>
      <c r="M128" s="17">
        <v>6.4899999999999995E-4</v>
      </c>
      <c r="N128" s="12">
        <v>46275</v>
      </c>
      <c r="O128" s="7">
        <v>37</v>
      </c>
      <c r="P128" s="15">
        <f>(IF(G128&gt;0,G128+I128,I128)-(O128*Ventas!AE163*1))</f>
        <v>0</v>
      </c>
      <c r="Q128" s="3"/>
      <c r="R128" s="8">
        <v>0</v>
      </c>
      <c r="S128" s="15">
        <f t="shared" si="5"/>
        <v>0</v>
      </c>
      <c r="T128" s="3"/>
      <c r="U128" s="15">
        <v>52</v>
      </c>
      <c r="V128" s="17">
        <v>6.4899999999999995E-4</v>
      </c>
      <c r="W128" s="12">
        <v>46331</v>
      </c>
      <c r="X128" s="7">
        <v>56</v>
      </c>
      <c r="Y128" s="15">
        <f>(IF(P128&gt;0,P128+R128,R128)-(X128*Ventas!AE163*1))</f>
        <v>0</v>
      </c>
      <c r="Z128" s="3"/>
      <c r="AA128" s="15">
        <f>(120*(Ventas!AE163*1) - IF(Y128&gt;0,Y128,0))</f>
        <v>0</v>
      </c>
      <c r="AB128" s="15">
        <f t="shared" si="6"/>
        <v>0</v>
      </c>
      <c r="AC128" s="15">
        <f t="shared" si="7"/>
        <v>0</v>
      </c>
      <c r="AD128" s="16">
        <v>1.45</v>
      </c>
      <c r="AE128" s="8">
        <v>3017</v>
      </c>
      <c r="AF128" s="3"/>
      <c r="AG128" s="3"/>
      <c r="AH128" s="1" t="s">
        <v>34</v>
      </c>
    </row>
    <row r="129" spans="1:34" x14ac:dyDescent="0.25">
      <c r="A129" s="1" t="s">
        <v>365</v>
      </c>
      <c r="B129" s="1" t="s">
        <v>364</v>
      </c>
      <c r="C129" s="14" t="s">
        <v>363</v>
      </c>
      <c r="D129" s="3"/>
      <c r="E129" s="12">
        <v>46238</v>
      </c>
      <c r="F129" s="7">
        <v>1</v>
      </c>
      <c r="G129" s="15">
        <f>(D129-(0)+0-(F129*Ventas!AE164*1))</f>
        <v>0</v>
      </c>
      <c r="H129" s="3"/>
      <c r="I129" s="8">
        <v>0</v>
      </c>
      <c r="J129" s="15">
        <f t="shared" si="4"/>
        <v>0</v>
      </c>
      <c r="K129" s="3"/>
      <c r="L129" s="15">
        <v>52</v>
      </c>
      <c r="M129" s="17">
        <v>6.4899999999999995E-4</v>
      </c>
      <c r="N129" s="12">
        <v>46275</v>
      </c>
      <c r="O129" s="7">
        <v>37</v>
      </c>
      <c r="P129" s="15">
        <f>(IF(G129&gt;0,G129+I129,I129)-(O129*Ventas!AE164*1))</f>
        <v>0</v>
      </c>
      <c r="Q129" s="3"/>
      <c r="R129" s="8">
        <v>0</v>
      </c>
      <c r="S129" s="15">
        <f t="shared" si="5"/>
        <v>0</v>
      </c>
      <c r="T129" s="3"/>
      <c r="U129" s="15">
        <v>52</v>
      </c>
      <c r="V129" s="17">
        <v>6.4899999999999995E-4</v>
      </c>
      <c r="W129" s="12">
        <v>46331</v>
      </c>
      <c r="X129" s="7">
        <v>56</v>
      </c>
      <c r="Y129" s="15">
        <f>(IF(P129&gt;0,P129+R129,R129)-(X129*Ventas!AE164*1))</f>
        <v>0</v>
      </c>
      <c r="Z129" s="3"/>
      <c r="AA129" s="15">
        <f>(120*(Ventas!AE164*1) - IF(Y129&gt;0,Y129,0))</f>
        <v>0</v>
      </c>
      <c r="AB129" s="15">
        <f t="shared" si="6"/>
        <v>0</v>
      </c>
      <c r="AC129" s="15">
        <f t="shared" si="7"/>
        <v>0</v>
      </c>
      <c r="AD129" s="16">
        <v>1.45</v>
      </c>
      <c r="AE129" s="8">
        <v>3017</v>
      </c>
      <c r="AF129" s="3"/>
      <c r="AG129" s="3"/>
      <c r="AH129" s="1" t="s">
        <v>34</v>
      </c>
    </row>
    <row r="130" spans="1:34" x14ac:dyDescent="0.25">
      <c r="A130" s="1"/>
      <c r="B130" s="1" t="s">
        <v>367</v>
      </c>
      <c r="C130" s="14" t="s">
        <v>366</v>
      </c>
      <c r="D130" s="3"/>
      <c r="E130" s="12">
        <v>46238</v>
      </c>
      <c r="F130" s="7">
        <v>1</v>
      </c>
      <c r="G130" s="15">
        <f>(D130-(0)+0-(F130*Ventas!AE165*1))</f>
        <v>0</v>
      </c>
      <c r="H130" s="3"/>
      <c r="I130" s="8">
        <v>0</v>
      </c>
      <c r="J130" s="15">
        <f t="shared" si="4"/>
        <v>0</v>
      </c>
      <c r="K130" s="3"/>
      <c r="L130" s="15">
        <v>10</v>
      </c>
      <c r="M130" s="17">
        <v>1.08E-3</v>
      </c>
      <c r="N130" s="12">
        <v>46275</v>
      </c>
      <c r="O130" s="7">
        <v>37</v>
      </c>
      <c r="P130" s="15">
        <f>(IF(G130&gt;0,G130+I130,I130)-(O130*Ventas!AE165*1))</f>
        <v>0</v>
      </c>
      <c r="Q130" s="3"/>
      <c r="R130" s="8">
        <v>0</v>
      </c>
      <c r="S130" s="15">
        <f t="shared" si="5"/>
        <v>0</v>
      </c>
      <c r="T130" s="3"/>
      <c r="U130" s="15">
        <v>10</v>
      </c>
      <c r="V130" s="17">
        <v>1.08E-3</v>
      </c>
      <c r="W130" s="12">
        <v>46331</v>
      </c>
      <c r="X130" s="7">
        <v>56</v>
      </c>
      <c r="Y130" s="15">
        <f>(IF(P130&gt;0,P130+R130,R130)-(X130*Ventas!AE165*1))</f>
        <v>0</v>
      </c>
      <c r="Z130" s="3"/>
      <c r="AA130" s="15">
        <f>(120*(Ventas!AE165*1) - IF(Y130&gt;0,Y130,0))</f>
        <v>0</v>
      </c>
      <c r="AB130" s="15">
        <f t="shared" si="6"/>
        <v>0</v>
      </c>
      <c r="AC130" s="15">
        <f t="shared" si="7"/>
        <v>0</v>
      </c>
      <c r="AD130" s="16">
        <v>21.23</v>
      </c>
      <c r="AE130" s="8">
        <v>3025</v>
      </c>
      <c r="AF130" s="3"/>
      <c r="AG130" s="3"/>
      <c r="AH130" s="1" t="s">
        <v>34</v>
      </c>
    </row>
    <row r="131" spans="1:34" x14ac:dyDescent="0.25">
      <c r="A131" s="1"/>
      <c r="B131" s="1" t="s">
        <v>93</v>
      </c>
      <c r="C131" s="14" t="s">
        <v>92</v>
      </c>
      <c r="D131" s="3"/>
      <c r="E131" s="12">
        <v>46238</v>
      </c>
      <c r="F131" s="7">
        <v>1</v>
      </c>
      <c r="G131" s="15">
        <f>(D131-(0)+0-(F131*Ventas!AE31*1))</f>
        <v>0</v>
      </c>
      <c r="H131" s="3"/>
      <c r="I131" s="8">
        <v>0</v>
      </c>
      <c r="J131" s="15">
        <f t="shared" si="4"/>
        <v>0</v>
      </c>
      <c r="K131" s="3"/>
      <c r="L131" s="15">
        <v>70</v>
      </c>
      <c r="M131" s="17">
        <v>4.3600000000000003E-4</v>
      </c>
      <c r="N131" s="12">
        <v>46275</v>
      </c>
      <c r="O131" s="7">
        <v>37</v>
      </c>
      <c r="P131" s="15">
        <f>(IF(G131&gt;0,G131+I131,I131)-(O131*Ventas!AE31*1))</f>
        <v>0</v>
      </c>
      <c r="Q131" s="3"/>
      <c r="R131" s="8">
        <v>0</v>
      </c>
      <c r="S131" s="15">
        <f t="shared" si="5"/>
        <v>0</v>
      </c>
      <c r="T131" s="3"/>
      <c r="U131" s="15">
        <v>70</v>
      </c>
      <c r="V131" s="17">
        <v>4.3600000000000003E-4</v>
      </c>
      <c r="W131" s="12">
        <v>46331</v>
      </c>
      <c r="X131" s="7">
        <v>56</v>
      </c>
      <c r="Y131" s="15">
        <f>(IF(P131&gt;0,P131+R131,R131)-(X131*Ventas!AE31*1))</f>
        <v>0</v>
      </c>
      <c r="Z131" s="3"/>
      <c r="AA131" s="15">
        <f>(120*(Ventas!AE31*1) - IF(Y131&gt;0,Y131,0))</f>
        <v>0</v>
      </c>
      <c r="AB131" s="15">
        <f t="shared" si="6"/>
        <v>0</v>
      </c>
      <c r="AC131" s="15">
        <f t="shared" si="7"/>
        <v>0</v>
      </c>
      <c r="AD131" s="16">
        <v>3.33</v>
      </c>
      <c r="AE131" s="8">
        <v>3017</v>
      </c>
      <c r="AF131" s="3"/>
      <c r="AG131" s="3"/>
      <c r="AH131" s="1" t="s">
        <v>34</v>
      </c>
    </row>
    <row r="132" spans="1:34" x14ac:dyDescent="0.25">
      <c r="A132" s="1"/>
      <c r="B132" s="1" t="s">
        <v>369</v>
      </c>
      <c r="C132" s="14" t="s">
        <v>368</v>
      </c>
      <c r="D132" s="8">
        <v>54</v>
      </c>
      <c r="E132" s="12">
        <v>46238</v>
      </c>
      <c r="F132" s="7">
        <v>1</v>
      </c>
      <c r="G132" s="15">
        <f>(D132-(0)+0-(F132*Ventas!AE166*1))</f>
        <v>53.551400000000001</v>
      </c>
      <c r="H132" s="18">
        <f>(G132/(Ventas!AE166*1)/60)</f>
        <v>1.9895749739931641</v>
      </c>
      <c r="I132" s="8">
        <v>52</v>
      </c>
      <c r="J132" s="15">
        <f t="shared" si="4"/>
        <v>105.5514</v>
      </c>
      <c r="K132" s="15">
        <v>1.01</v>
      </c>
      <c r="L132" s="15">
        <v>52</v>
      </c>
      <c r="M132" s="17">
        <v>8.3699999999999996E-4</v>
      </c>
      <c r="N132" s="12">
        <v>46275</v>
      </c>
      <c r="O132" s="7">
        <v>37</v>
      </c>
      <c r="P132" s="15">
        <f>(IF(G132&gt;0,G132+I132,I132)-(O132*Ventas!AE166*1))</f>
        <v>88.95320000000001</v>
      </c>
      <c r="Q132" s="18">
        <f>(P132/(Ventas!AE166*1)/60)</f>
        <v>3.3048447020359641</v>
      </c>
      <c r="R132" s="8">
        <v>0</v>
      </c>
      <c r="S132" s="15">
        <f t="shared" si="5"/>
        <v>88.95320000000001</v>
      </c>
      <c r="T132" s="3"/>
      <c r="U132" s="15">
        <v>52</v>
      </c>
      <c r="V132" s="17">
        <v>8.3699999999999996E-4</v>
      </c>
      <c r="W132" s="12">
        <v>46331</v>
      </c>
      <c r="X132" s="7">
        <v>56</v>
      </c>
      <c r="Y132" s="15">
        <f>(IF(P132&gt;0,P132+R132,R132)-(X132*Ventas!AE166*1))</f>
        <v>63.831600000000009</v>
      </c>
      <c r="Z132" s="18">
        <f>(Y132/(Ventas!AE166*1)/60)</f>
        <v>2.3715113687026306</v>
      </c>
      <c r="AA132" s="15">
        <f>(120*(Ventas!AE166*1) - IF(Y132&gt;0,Y132,0))</f>
        <v>-9.999600000000008</v>
      </c>
      <c r="AB132" s="15">
        <f t="shared" si="6"/>
        <v>0</v>
      </c>
      <c r="AC132" s="15">
        <f t="shared" si="7"/>
        <v>63.831600000000009</v>
      </c>
      <c r="AD132" s="16">
        <v>1.01</v>
      </c>
      <c r="AE132" s="8">
        <v>3025</v>
      </c>
      <c r="AF132" s="15">
        <f>(AC132-(60*Ventas!AE166*1))</f>
        <v>36.915600000000012</v>
      </c>
      <c r="AG132" s="18">
        <f>(AF132/(Ventas!AE166*1)/60)</f>
        <v>1.3715113687026308</v>
      </c>
      <c r="AH132" s="1" t="s">
        <v>37</v>
      </c>
    </row>
    <row r="133" spans="1:34" x14ac:dyDescent="0.25">
      <c r="A133" s="1"/>
      <c r="B133" s="1" t="s">
        <v>371</v>
      </c>
      <c r="C133" s="14" t="s">
        <v>370</v>
      </c>
      <c r="D133" s="8">
        <v>35</v>
      </c>
      <c r="E133" s="12">
        <v>46238</v>
      </c>
      <c r="F133" s="7">
        <v>1</v>
      </c>
      <c r="G133" s="15">
        <f>(D133-(0)+0-(F133*Ventas!AE167*1))</f>
        <v>34.808799999999998</v>
      </c>
      <c r="H133" s="18">
        <f>(G133/(Ventas!AE167*1)/60)</f>
        <v>3.0342398884239885</v>
      </c>
      <c r="I133" s="8">
        <v>0</v>
      </c>
      <c r="J133" s="15">
        <f t="shared" ref="J133:J196" si="8">IF(G133&gt;0,G133+I133,I133)</f>
        <v>34.808799999999998</v>
      </c>
      <c r="K133" s="3"/>
      <c r="L133" s="15">
        <v>65</v>
      </c>
      <c r="M133" s="17">
        <v>6.69E-4</v>
      </c>
      <c r="N133" s="12">
        <v>46275</v>
      </c>
      <c r="O133" s="7">
        <v>37</v>
      </c>
      <c r="P133" s="15">
        <f>(IF(G133&gt;0,G133+I133,I133)-(O133*Ventas!AE167*1))</f>
        <v>27.734399999999997</v>
      </c>
      <c r="Q133" s="18">
        <f>(P133/(Ventas!AE167*1)/60)</f>
        <v>2.4175732217573218</v>
      </c>
      <c r="R133" s="8">
        <v>0</v>
      </c>
      <c r="S133" s="15">
        <f t="shared" ref="S133:S196" si="9">IF(P133&gt;0,P133+R133,R133)</f>
        <v>27.734399999999997</v>
      </c>
      <c r="T133" s="3"/>
      <c r="U133" s="15">
        <v>65</v>
      </c>
      <c r="V133" s="17">
        <v>6.69E-4</v>
      </c>
      <c r="W133" s="12">
        <v>46331</v>
      </c>
      <c r="X133" s="7">
        <v>56</v>
      </c>
      <c r="Y133" s="15">
        <f>(IF(P133&gt;0,P133+R133,R133)-(X133*Ventas!AE167*1))</f>
        <v>17.027199999999997</v>
      </c>
      <c r="Z133" s="18">
        <f>(Y133/(Ventas!AE167*1)/60)</f>
        <v>1.4842398884239885</v>
      </c>
      <c r="AA133" s="15">
        <f>(120*(Ventas!AE167*1) - IF(Y133&gt;0,Y133,0))</f>
        <v>5.9168000000000056</v>
      </c>
      <c r="AB133" s="15">
        <f t="shared" ref="AB133:AB196" si="10">IF(AA133&gt;0,AA133,0)</f>
        <v>5.9168000000000056</v>
      </c>
      <c r="AC133" s="15">
        <f t="shared" ref="AC133:AC196" si="11">IF(Y133&gt;0,Y133+IF(AB133&gt;0,AB133,0),AB133)</f>
        <v>22.944000000000003</v>
      </c>
      <c r="AD133" s="16">
        <v>0.94</v>
      </c>
      <c r="AE133" s="8">
        <v>3027</v>
      </c>
      <c r="AF133" s="15">
        <f>(AC133-(60*Ventas!AE167*1))</f>
        <v>11.472000000000001</v>
      </c>
      <c r="AG133" s="18">
        <f>(AF133/(Ventas!AE167*1)/60)</f>
        <v>1.0000000000000002</v>
      </c>
      <c r="AH133" s="1" t="s">
        <v>37</v>
      </c>
    </row>
    <row r="134" spans="1:34" x14ac:dyDescent="0.25">
      <c r="A134" s="1"/>
      <c r="B134" s="1" t="s">
        <v>373</v>
      </c>
      <c r="C134" s="14" t="s">
        <v>372</v>
      </c>
      <c r="D134" s="8">
        <v>75</v>
      </c>
      <c r="E134" s="12">
        <v>46238</v>
      </c>
      <c r="F134" s="7">
        <v>1</v>
      </c>
      <c r="G134" s="15">
        <f>(D134-(0)+0-(F134*Ventas!AE168*1))</f>
        <v>74.365899999999996</v>
      </c>
      <c r="H134" s="18">
        <f>(G134/(Ventas!AE168*1)/60)</f>
        <v>1.954631235872365</v>
      </c>
      <c r="I134" s="8">
        <v>0</v>
      </c>
      <c r="J134" s="15">
        <f t="shared" si="8"/>
        <v>74.365899999999996</v>
      </c>
      <c r="K134" s="3"/>
      <c r="L134" s="15">
        <v>52</v>
      </c>
      <c r="M134" s="17">
        <v>6.4899999999999995E-4</v>
      </c>
      <c r="N134" s="12">
        <v>46275</v>
      </c>
      <c r="O134" s="7">
        <v>37</v>
      </c>
      <c r="P134" s="15">
        <f>(IF(G134&gt;0,G134+I134,I134)-(O134*Ventas!AE168*1))</f>
        <v>50.904199999999996</v>
      </c>
      <c r="Q134" s="18">
        <f>(P134/(Ventas!AE168*1)/60)</f>
        <v>1.3379645692056983</v>
      </c>
      <c r="R134" s="8">
        <v>0</v>
      </c>
      <c r="S134" s="15">
        <f t="shared" si="9"/>
        <v>50.904199999999996</v>
      </c>
      <c r="T134" s="3"/>
      <c r="U134" s="15">
        <v>52</v>
      </c>
      <c r="V134" s="17">
        <v>6.4899999999999995E-4</v>
      </c>
      <c r="W134" s="12">
        <v>46331</v>
      </c>
      <c r="X134" s="7">
        <v>56</v>
      </c>
      <c r="Y134" s="15">
        <f>(IF(P134&gt;0,P134+R134,R134)-(X134*Ventas!AE168*1))</f>
        <v>15.394599999999997</v>
      </c>
      <c r="Z134" s="18">
        <f>(Y134/(Ventas!AE168*1)/60)</f>
        <v>0.40463123587236499</v>
      </c>
      <c r="AA134" s="15">
        <f>(120*(Ventas!AE168*1) - IF(Y134&gt;0,Y134,0))</f>
        <v>60.697400000000002</v>
      </c>
      <c r="AB134" s="15">
        <f t="shared" si="10"/>
        <v>60.697400000000002</v>
      </c>
      <c r="AC134" s="15">
        <f t="shared" si="11"/>
        <v>76.091999999999999</v>
      </c>
      <c r="AD134" s="16">
        <v>0.84</v>
      </c>
      <c r="AE134" s="8">
        <v>3027</v>
      </c>
      <c r="AF134" s="15">
        <f>(AC134-(60*Ventas!AE168*1))</f>
        <v>38.045999999999999</v>
      </c>
      <c r="AG134" s="18">
        <f>(AF134/(Ventas!AE168*1)/60)</f>
        <v>1</v>
      </c>
      <c r="AH134" s="1" t="s">
        <v>37</v>
      </c>
    </row>
    <row r="135" spans="1:34" x14ac:dyDescent="0.25">
      <c r="A135" s="1" t="s">
        <v>376</v>
      </c>
      <c r="B135" s="1" t="s">
        <v>375</v>
      </c>
      <c r="C135" s="14" t="s">
        <v>374</v>
      </c>
      <c r="D135" s="8">
        <v>53</v>
      </c>
      <c r="E135" s="12">
        <v>46238</v>
      </c>
      <c r="F135" s="7">
        <v>1</v>
      </c>
      <c r="G135" s="15">
        <f>(D135-(0)+0-(F135*Ventas!AE169*1))</f>
        <v>52.9056</v>
      </c>
      <c r="H135" s="18">
        <f>(G135/(Ventas!AE169*1)/60)</f>
        <v>9.3406779661016959</v>
      </c>
      <c r="I135" s="8">
        <v>0</v>
      </c>
      <c r="J135" s="15">
        <f t="shared" si="8"/>
        <v>52.9056</v>
      </c>
      <c r="K135" s="3"/>
      <c r="L135" s="15">
        <v>52</v>
      </c>
      <c r="M135" s="17">
        <v>6.4899999999999995E-4</v>
      </c>
      <c r="N135" s="12">
        <v>46275</v>
      </c>
      <c r="O135" s="7">
        <v>37</v>
      </c>
      <c r="P135" s="15">
        <f>(IF(G135&gt;0,G135+I135,I135)-(O135*Ventas!AE169*1))</f>
        <v>49.412799999999997</v>
      </c>
      <c r="Q135" s="18">
        <f>(P135/(Ventas!AE169*1)/60)</f>
        <v>8.7240112994350287</v>
      </c>
      <c r="R135" s="8">
        <v>0</v>
      </c>
      <c r="S135" s="15">
        <f t="shared" si="9"/>
        <v>49.412799999999997</v>
      </c>
      <c r="T135" s="3"/>
      <c r="U135" s="15">
        <v>52</v>
      </c>
      <c r="V135" s="17">
        <v>6.4899999999999995E-4</v>
      </c>
      <c r="W135" s="12">
        <v>46331</v>
      </c>
      <c r="X135" s="7">
        <v>56</v>
      </c>
      <c r="Y135" s="15">
        <f>(IF(P135&gt;0,P135+R135,R135)-(X135*Ventas!AE169*1))</f>
        <v>44.126399999999997</v>
      </c>
      <c r="Z135" s="18">
        <f>(Y135/(Ventas!AE169*1)/60)</f>
        <v>7.7906779661016943</v>
      </c>
      <c r="AA135" s="15">
        <f>(120*(Ventas!AE169*1) - IF(Y135&gt;0,Y135,0))</f>
        <v>-32.798400000000001</v>
      </c>
      <c r="AB135" s="15">
        <f t="shared" si="10"/>
        <v>0</v>
      </c>
      <c r="AC135" s="15">
        <f t="shared" si="11"/>
        <v>44.126399999999997</v>
      </c>
      <c r="AD135" s="16">
        <v>0.81</v>
      </c>
      <c r="AE135" s="8">
        <v>3010</v>
      </c>
      <c r="AF135" s="15">
        <f>(AC135-(60*Ventas!AE169*1))</f>
        <v>38.462399999999995</v>
      </c>
      <c r="AG135" s="18">
        <f>(AF135/(Ventas!AE169*1)/60)</f>
        <v>6.7906779661016943</v>
      </c>
      <c r="AH135" s="1" t="s">
        <v>37</v>
      </c>
    </row>
    <row r="136" spans="1:34" x14ac:dyDescent="0.25">
      <c r="A136" s="1" t="s">
        <v>379</v>
      </c>
      <c r="B136" s="1" t="s">
        <v>378</v>
      </c>
      <c r="C136" s="14" t="s">
        <v>377</v>
      </c>
      <c r="D136" s="3"/>
      <c r="E136" s="12">
        <v>46238</v>
      </c>
      <c r="F136" s="7">
        <v>1</v>
      </c>
      <c r="G136" s="15">
        <f>(D136-(0)+0-(F136*Ventas!AE170*1))</f>
        <v>0</v>
      </c>
      <c r="H136" s="3"/>
      <c r="I136" s="8">
        <v>0</v>
      </c>
      <c r="J136" s="15">
        <f t="shared" si="8"/>
        <v>0</v>
      </c>
      <c r="K136" s="3"/>
      <c r="L136" s="15">
        <v>52</v>
      </c>
      <c r="M136" s="17">
        <v>6.4899999999999995E-4</v>
      </c>
      <c r="N136" s="12">
        <v>46275</v>
      </c>
      <c r="O136" s="7">
        <v>37</v>
      </c>
      <c r="P136" s="15">
        <f>(IF(G136&gt;0,G136+I136,I136)-(O136*Ventas!AE170*1))</f>
        <v>0</v>
      </c>
      <c r="Q136" s="3"/>
      <c r="R136" s="8">
        <v>0</v>
      </c>
      <c r="S136" s="15">
        <f t="shared" si="9"/>
        <v>0</v>
      </c>
      <c r="T136" s="3"/>
      <c r="U136" s="15">
        <v>52</v>
      </c>
      <c r="V136" s="17">
        <v>6.4899999999999995E-4</v>
      </c>
      <c r="W136" s="12">
        <v>46331</v>
      </c>
      <c r="X136" s="7">
        <v>56</v>
      </c>
      <c r="Y136" s="15">
        <f>(IF(P136&gt;0,P136+R136,R136)-(X136*Ventas!AE170*1))</f>
        <v>0</v>
      </c>
      <c r="Z136" s="3"/>
      <c r="AA136" s="15">
        <f>(120*(Ventas!AE170*1) - IF(Y136&gt;0,Y136,0))</f>
        <v>0</v>
      </c>
      <c r="AB136" s="15">
        <f t="shared" si="10"/>
        <v>0</v>
      </c>
      <c r="AC136" s="15">
        <f t="shared" si="11"/>
        <v>0</v>
      </c>
      <c r="AD136" s="16">
        <v>1.3</v>
      </c>
      <c r="AE136" s="8">
        <v>3017</v>
      </c>
      <c r="AF136" s="3"/>
      <c r="AG136" s="3"/>
      <c r="AH136" s="1" t="s">
        <v>34</v>
      </c>
    </row>
    <row r="137" spans="1:34" x14ac:dyDescent="0.25">
      <c r="A137" s="1" t="s">
        <v>379</v>
      </c>
      <c r="B137" s="1" t="s">
        <v>381</v>
      </c>
      <c r="C137" s="14" t="s">
        <v>380</v>
      </c>
      <c r="D137" s="3"/>
      <c r="E137" s="12">
        <v>46238</v>
      </c>
      <c r="F137" s="7">
        <v>1</v>
      </c>
      <c r="G137" s="15">
        <f>(D137-(0)+0-(F137*Ventas!AE171*1))</f>
        <v>0</v>
      </c>
      <c r="H137" s="3"/>
      <c r="I137" s="8">
        <v>0</v>
      </c>
      <c r="J137" s="15">
        <f t="shared" si="8"/>
        <v>0</v>
      </c>
      <c r="K137" s="3"/>
      <c r="L137" s="15">
        <v>52</v>
      </c>
      <c r="M137" s="17">
        <v>6.4899999999999995E-4</v>
      </c>
      <c r="N137" s="12">
        <v>46275</v>
      </c>
      <c r="O137" s="7">
        <v>37</v>
      </c>
      <c r="P137" s="15">
        <f>(IF(G137&gt;0,G137+I137,I137)-(O137*Ventas!AE171*1))</f>
        <v>0</v>
      </c>
      <c r="Q137" s="3"/>
      <c r="R137" s="8">
        <v>0</v>
      </c>
      <c r="S137" s="15">
        <f t="shared" si="9"/>
        <v>0</v>
      </c>
      <c r="T137" s="3"/>
      <c r="U137" s="15">
        <v>52</v>
      </c>
      <c r="V137" s="17">
        <v>6.4899999999999995E-4</v>
      </c>
      <c r="W137" s="12">
        <v>46331</v>
      </c>
      <c r="X137" s="7">
        <v>56</v>
      </c>
      <c r="Y137" s="15">
        <f>(IF(P137&gt;0,P137+R137,R137)-(X137*Ventas!AE171*1))</f>
        <v>0</v>
      </c>
      <c r="Z137" s="3"/>
      <c r="AA137" s="15">
        <f>(120*(Ventas!AE171*1) - IF(Y137&gt;0,Y137,0))</f>
        <v>0</v>
      </c>
      <c r="AB137" s="15">
        <f t="shared" si="10"/>
        <v>0</v>
      </c>
      <c r="AC137" s="15">
        <f t="shared" si="11"/>
        <v>0</v>
      </c>
      <c r="AD137" s="16">
        <v>1.34</v>
      </c>
      <c r="AE137" s="8">
        <v>3027</v>
      </c>
      <c r="AF137" s="3"/>
      <c r="AG137" s="3"/>
      <c r="AH137" s="1" t="s">
        <v>37</v>
      </c>
    </row>
    <row r="138" spans="1:34" x14ac:dyDescent="0.25">
      <c r="A138" s="1" t="s">
        <v>384</v>
      </c>
      <c r="B138" s="1" t="s">
        <v>383</v>
      </c>
      <c r="C138" s="14" t="s">
        <v>382</v>
      </c>
      <c r="D138" s="3"/>
      <c r="E138" s="12">
        <v>46238</v>
      </c>
      <c r="F138" s="7">
        <v>1</v>
      </c>
      <c r="G138" s="15">
        <f>(D138-(0)+0-(F138*Ventas!AE172*1))</f>
        <v>0</v>
      </c>
      <c r="H138" s="3"/>
      <c r="I138" s="8">
        <v>0</v>
      </c>
      <c r="J138" s="15">
        <f t="shared" si="8"/>
        <v>0</v>
      </c>
      <c r="K138" s="3"/>
      <c r="L138" s="15">
        <v>52</v>
      </c>
      <c r="M138" s="17">
        <v>6.4899999999999995E-4</v>
      </c>
      <c r="N138" s="12">
        <v>46275</v>
      </c>
      <c r="O138" s="7">
        <v>37</v>
      </c>
      <c r="P138" s="15">
        <f>(IF(G138&gt;0,G138+I138,I138)-(O138*Ventas!AE172*1))</f>
        <v>0</v>
      </c>
      <c r="Q138" s="3"/>
      <c r="R138" s="8">
        <v>0</v>
      </c>
      <c r="S138" s="15">
        <f t="shared" si="9"/>
        <v>0</v>
      </c>
      <c r="T138" s="3"/>
      <c r="U138" s="15">
        <v>52</v>
      </c>
      <c r="V138" s="17">
        <v>6.4899999999999995E-4</v>
      </c>
      <c r="W138" s="12">
        <v>46331</v>
      </c>
      <c r="X138" s="7">
        <v>56</v>
      </c>
      <c r="Y138" s="15">
        <f>(IF(P138&gt;0,P138+R138,R138)-(X138*Ventas!AE172*1))</f>
        <v>0</v>
      </c>
      <c r="Z138" s="3"/>
      <c r="AA138" s="15">
        <f>(120*(Ventas!AE172*1) - IF(Y138&gt;0,Y138,0))</f>
        <v>0</v>
      </c>
      <c r="AB138" s="15">
        <f t="shared" si="10"/>
        <v>0</v>
      </c>
      <c r="AC138" s="15">
        <f t="shared" si="11"/>
        <v>0</v>
      </c>
      <c r="AD138" s="16">
        <v>1.3</v>
      </c>
      <c r="AE138" s="8">
        <v>3017</v>
      </c>
      <c r="AF138" s="3"/>
      <c r="AG138" s="3"/>
      <c r="AH138" s="1" t="s">
        <v>34</v>
      </c>
    </row>
    <row r="139" spans="1:34" x14ac:dyDescent="0.25">
      <c r="A139" s="1" t="s">
        <v>384</v>
      </c>
      <c r="B139" s="1" t="s">
        <v>386</v>
      </c>
      <c r="C139" s="14" t="s">
        <v>385</v>
      </c>
      <c r="D139" s="3"/>
      <c r="E139" s="12">
        <v>46238</v>
      </c>
      <c r="F139" s="7">
        <v>1</v>
      </c>
      <c r="G139" s="15">
        <f>(D139-(0)+0-(F139*Ventas!AE173*1))</f>
        <v>0</v>
      </c>
      <c r="H139" s="3"/>
      <c r="I139" s="8">
        <v>0</v>
      </c>
      <c r="J139" s="15">
        <f t="shared" si="8"/>
        <v>0</v>
      </c>
      <c r="K139" s="3"/>
      <c r="L139" s="15">
        <v>52</v>
      </c>
      <c r="M139" s="17">
        <v>6.4899999999999995E-4</v>
      </c>
      <c r="N139" s="12">
        <v>46275</v>
      </c>
      <c r="O139" s="7">
        <v>37</v>
      </c>
      <c r="P139" s="15">
        <f>(IF(G139&gt;0,G139+I139,I139)-(O139*Ventas!AE173*1))</f>
        <v>0</v>
      </c>
      <c r="Q139" s="3"/>
      <c r="R139" s="8">
        <v>0</v>
      </c>
      <c r="S139" s="15">
        <f t="shared" si="9"/>
        <v>0</v>
      </c>
      <c r="T139" s="3"/>
      <c r="U139" s="15">
        <v>52</v>
      </c>
      <c r="V139" s="17">
        <v>6.4899999999999995E-4</v>
      </c>
      <c r="W139" s="12">
        <v>46331</v>
      </c>
      <c r="X139" s="7">
        <v>56</v>
      </c>
      <c r="Y139" s="15">
        <f>(IF(P139&gt;0,P139+R139,R139)-(X139*Ventas!AE173*1))</f>
        <v>0</v>
      </c>
      <c r="Z139" s="3"/>
      <c r="AA139" s="15">
        <f>(120*(Ventas!AE173*1) - IF(Y139&gt;0,Y139,0))</f>
        <v>0</v>
      </c>
      <c r="AB139" s="15">
        <f t="shared" si="10"/>
        <v>0</v>
      </c>
      <c r="AC139" s="15">
        <f t="shared" si="11"/>
        <v>0</v>
      </c>
      <c r="AD139" s="16">
        <v>1.34</v>
      </c>
      <c r="AE139" s="8">
        <v>3027</v>
      </c>
      <c r="AF139" s="3"/>
      <c r="AG139" s="3"/>
      <c r="AH139" s="1" t="s">
        <v>37</v>
      </c>
    </row>
    <row r="140" spans="1:34" x14ac:dyDescent="0.25">
      <c r="A140" s="1" t="s">
        <v>389</v>
      </c>
      <c r="B140" s="1" t="s">
        <v>388</v>
      </c>
      <c r="C140" s="14" t="s">
        <v>387</v>
      </c>
      <c r="D140" s="3"/>
      <c r="E140" s="12">
        <v>46238</v>
      </c>
      <c r="F140" s="7">
        <v>1</v>
      </c>
      <c r="G140" s="15">
        <f>(D140-(0)+0-(F140*Ventas!AE174*1))</f>
        <v>0</v>
      </c>
      <c r="H140" s="3"/>
      <c r="I140" s="8">
        <v>0</v>
      </c>
      <c r="J140" s="15">
        <f t="shared" si="8"/>
        <v>0</v>
      </c>
      <c r="K140" s="3"/>
      <c r="L140" s="15">
        <v>52</v>
      </c>
      <c r="M140" s="17">
        <v>6.4899999999999995E-4</v>
      </c>
      <c r="N140" s="12">
        <v>46275</v>
      </c>
      <c r="O140" s="7">
        <v>37</v>
      </c>
      <c r="P140" s="15">
        <f>(IF(G140&gt;0,G140+I140,I140)-(O140*Ventas!AE174*1))</f>
        <v>0</v>
      </c>
      <c r="Q140" s="3"/>
      <c r="R140" s="8">
        <v>0</v>
      </c>
      <c r="S140" s="15">
        <f t="shared" si="9"/>
        <v>0</v>
      </c>
      <c r="T140" s="3"/>
      <c r="U140" s="15">
        <v>52</v>
      </c>
      <c r="V140" s="17">
        <v>6.4899999999999995E-4</v>
      </c>
      <c r="W140" s="12">
        <v>46331</v>
      </c>
      <c r="X140" s="7">
        <v>56</v>
      </c>
      <c r="Y140" s="15">
        <f>(IF(P140&gt;0,P140+R140,R140)-(X140*Ventas!AE174*1))</f>
        <v>0</v>
      </c>
      <c r="Z140" s="3"/>
      <c r="AA140" s="15">
        <f>(120*(Ventas!AE174*1) - IF(Y140&gt;0,Y140,0))</f>
        <v>0</v>
      </c>
      <c r="AB140" s="15">
        <f t="shared" si="10"/>
        <v>0</v>
      </c>
      <c r="AC140" s="15">
        <f t="shared" si="11"/>
        <v>0</v>
      </c>
      <c r="AD140" s="16">
        <v>1.21</v>
      </c>
      <c r="AE140" s="8">
        <v>3017</v>
      </c>
      <c r="AF140" s="3"/>
      <c r="AG140" s="3"/>
      <c r="AH140" s="1" t="s">
        <v>34</v>
      </c>
    </row>
    <row r="141" spans="1:34" x14ac:dyDescent="0.25">
      <c r="A141" s="1" t="s">
        <v>362</v>
      </c>
      <c r="B141" s="1" t="s">
        <v>391</v>
      </c>
      <c r="C141" s="14" t="s">
        <v>390</v>
      </c>
      <c r="D141" s="3"/>
      <c r="E141" s="12">
        <v>46238</v>
      </c>
      <c r="F141" s="7">
        <v>1</v>
      </c>
      <c r="G141" s="15">
        <f>(D141-(0)+0-(F141*Ventas!AE175*1))</f>
        <v>0</v>
      </c>
      <c r="H141" s="3"/>
      <c r="I141" s="8">
        <v>0</v>
      </c>
      <c r="J141" s="15">
        <f t="shared" si="8"/>
        <v>0</v>
      </c>
      <c r="K141" s="3"/>
      <c r="L141" s="15">
        <v>52</v>
      </c>
      <c r="M141" s="17">
        <v>6.4899999999999995E-4</v>
      </c>
      <c r="N141" s="12">
        <v>46275</v>
      </c>
      <c r="O141" s="7">
        <v>37</v>
      </c>
      <c r="P141" s="15">
        <f>(IF(G141&gt;0,G141+I141,I141)-(O141*Ventas!AE175*1))</f>
        <v>0</v>
      </c>
      <c r="Q141" s="3"/>
      <c r="R141" s="8">
        <v>0</v>
      </c>
      <c r="S141" s="15">
        <f t="shared" si="9"/>
        <v>0</v>
      </c>
      <c r="T141" s="3"/>
      <c r="U141" s="15">
        <v>52</v>
      </c>
      <c r="V141" s="17">
        <v>6.4899999999999995E-4</v>
      </c>
      <c r="W141" s="12">
        <v>46331</v>
      </c>
      <c r="X141" s="7">
        <v>56</v>
      </c>
      <c r="Y141" s="15">
        <f>(IF(P141&gt;0,P141+R141,R141)-(X141*Ventas!AE175*1))</f>
        <v>0</v>
      </c>
      <c r="Z141" s="3"/>
      <c r="AA141" s="15">
        <f>(120*(Ventas!AE175*1) - IF(Y141&gt;0,Y141,0))</f>
        <v>0</v>
      </c>
      <c r="AB141" s="15">
        <f t="shared" si="10"/>
        <v>0</v>
      </c>
      <c r="AC141" s="15">
        <f t="shared" si="11"/>
        <v>0</v>
      </c>
      <c r="AD141" s="16">
        <v>1.68</v>
      </c>
      <c r="AE141" s="8">
        <v>3017</v>
      </c>
      <c r="AF141" s="3"/>
      <c r="AG141" s="3"/>
      <c r="AH141" s="1" t="s">
        <v>34</v>
      </c>
    </row>
    <row r="142" spans="1:34" x14ac:dyDescent="0.25">
      <c r="A142" s="1" t="s">
        <v>365</v>
      </c>
      <c r="B142" s="1" t="s">
        <v>393</v>
      </c>
      <c r="C142" s="14" t="s">
        <v>392</v>
      </c>
      <c r="D142" s="3"/>
      <c r="E142" s="12">
        <v>46238</v>
      </c>
      <c r="F142" s="7">
        <v>1</v>
      </c>
      <c r="G142" s="15">
        <f>(D142-(0)+0-(F142*Ventas!AE176*1))</f>
        <v>0</v>
      </c>
      <c r="H142" s="3"/>
      <c r="I142" s="8">
        <v>0</v>
      </c>
      <c r="J142" s="15">
        <f t="shared" si="8"/>
        <v>0</v>
      </c>
      <c r="K142" s="3"/>
      <c r="L142" s="15">
        <v>52</v>
      </c>
      <c r="M142" s="17">
        <v>6.4899999999999995E-4</v>
      </c>
      <c r="N142" s="12">
        <v>46275</v>
      </c>
      <c r="O142" s="7">
        <v>37</v>
      </c>
      <c r="P142" s="15">
        <f>(IF(G142&gt;0,G142+I142,I142)-(O142*Ventas!AE176*1))</f>
        <v>0</v>
      </c>
      <c r="Q142" s="3"/>
      <c r="R142" s="8">
        <v>0</v>
      </c>
      <c r="S142" s="15">
        <f t="shared" si="9"/>
        <v>0</v>
      </c>
      <c r="T142" s="3"/>
      <c r="U142" s="15">
        <v>52</v>
      </c>
      <c r="V142" s="17">
        <v>6.4899999999999995E-4</v>
      </c>
      <c r="W142" s="12">
        <v>46331</v>
      </c>
      <c r="X142" s="7">
        <v>56</v>
      </c>
      <c r="Y142" s="15">
        <f>(IF(P142&gt;0,P142+R142,R142)-(X142*Ventas!AE176*1))</f>
        <v>0</v>
      </c>
      <c r="Z142" s="3"/>
      <c r="AA142" s="15">
        <f>(120*(Ventas!AE176*1) - IF(Y142&gt;0,Y142,0))</f>
        <v>0</v>
      </c>
      <c r="AB142" s="15">
        <f t="shared" si="10"/>
        <v>0</v>
      </c>
      <c r="AC142" s="15">
        <f t="shared" si="11"/>
        <v>0</v>
      </c>
      <c r="AD142" s="16">
        <v>1.68</v>
      </c>
      <c r="AE142" s="8">
        <v>3017</v>
      </c>
      <c r="AF142" s="3"/>
      <c r="AG142" s="3"/>
      <c r="AH142" s="1" t="s">
        <v>34</v>
      </c>
    </row>
    <row r="143" spans="1:34" x14ac:dyDescent="0.25">
      <c r="A143" s="1" t="s">
        <v>396</v>
      </c>
      <c r="B143" s="1" t="s">
        <v>395</v>
      </c>
      <c r="C143" s="14" t="s">
        <v>394</v>
      </c>
      <c r="D143" s="3"/>
      <c r="E143" s="12">
        <v>46238</v>
      </c>
      <c r="F143" s="7">
        <v>1</v>
      </c>
      <c r="G143" s="15">
        <f>(D143-(0)+0-(F143*Ventas!AE177*1))</f>
        <v>0</v>
      </c>
      <c r="H143" s="3"/>
      <c r="I143" s="8">
        <v>0</v>
      </c>
      <c r="J143" s="15">
        <f t="shared" si="8"/>
        <v>0</v>
      </c>
      <c r="K143" s="3"/>
      <c r="L143" s="15">
        <v>52</v>
      </c>
      <c r="M143" s="17">
        <v>6.4899999999999995E-4</v>
      </c>
      <c r="N143" s="12">
        <v>46275</v>
      </c>
      <c r="O143" s="7">
        <v>37</v>
      </c>
      <c r="P143" s="15">
        <f>(IF(G143&gt;0,G143+I143,I143)-(O143*Ventas!AE177*1))</f>
        <v>0</v>
      </c>
      <c r="Q143" s="3"/>
      <c r="R143" s="8">
        <v>0</v>
      </c>
      <c r="S143" s="15">
        <f t="shared" si="9"/>
        <v>0</v>
      </c>
      <c r="T143" s="3"/>
      <c r="U143" s="15">
        <v>52</v>
      </c>
      <c r="V143" s="17">
        <v>6.4899999999999995E-4</v>
      </c>
      <c r="W143" s="12">
        <v>46331</v>
      </c>
      <c r="X143" s="7">
        <v>56</v>
      </c>
      <c r="Y143" s="15">
        <f>(IF(P143&gt;0,P143+R143,R143)-(X143*Ventas!AE177*1))</f>
        <v>0</v>
      </c>
      <c r="Z143" s="3"/>
      <c r="AA143" s="15">
        <f>(120*(Ventas!AE177*1) - IF(Y143&gt;0,Y143,0))</f>
        <v>0</v>
      </c>
      <c r="AB143" s="15">
        <f t="shared" si="10"/>
        <v>0</v>
      </c>
      <c r="AC143" s="15">
        <f t="shared" si="11"/>
        <v>0</v>
      </c>
      <c r="AD143" s="3"/>
      <c r="AE143" s="3"/>
      <c r="AF143" s="3"/>
      <c r="AG143" s="3"/>
      <c r="AH143" s="1" t="s">
        <v>37</v>
      </c>
    </row>
    <row r="144" spans="1:34" x14ac:dyDescent="0.25">
      <c r="A144" s="1" t="s">
        <v>399</v>
      </c>
      <c r="B144" s="1" t="s">
        <v>398</v>
      </c>
      <c r="C144" s="14" t="s">
        <v>397</v>
      </c>
      <c r="D144" s="3"/>
      <c r="E144" s="12">
        <v>46238</v>
      </c>
      <c r="F144" s="7">
        <v>1</v>
      </c>
      <c r="G144" s="15">
        <f>(D144-(0)+0-(F144*Ventas!AE178*1))</f>
        <v>0</v>
      </c>
      <c r="H144" s="3"/>
      <c r="I144" s="8">
        <v>0</v>
      </c>
      <c r="J144" s="15">
        <f t="shared" si="8"/>
        <v>0</v>
      </c>
      <c r="K144" s="3"/>
      <c r="L144" s="15">
        <v>52</v>
      </c>
      <c r="M144" s="17">
        <v>6.4899999999999995E-4</v>
      </c>
      <c r="N144" s="12">
        <v>46275</v>
      </c>
      <c r="O144" s="7">
        <v>37</v>
      </c>
      <c r="P144" s="15">
        <f>(IF(G144&gt;0,G144+I144,I144)-(O144*Ventas!AE178*1))</f>
        <v>0</v>
      </c>
      <c r="Q144" s="3"/>
      <c r="R144" s="8">
        <v>0</v>
      </c>
      <c r="S144" s="15">
        <f t="shared" si="9"/>
        <v>0</v>
      </c>
      <c r="T144" s="3"/>
      <c r="U144" s="15">
        <v>52</v>
      </c>
      <c r="V144" s="17">
        <v>6.4899999999999995E-4</v>
      </c>
      <c r="W144" s="12">
        <v>46331</v>
      </c>
      <c r="X144" s="7">
        <v>56</v>
      </c>
      <c r="Y144" s="15">
        <f>(IF(P144&gt;0,P144+R144,R144)-(X144*Ventas!AE178*1))</f>
        <v>0</v>
      </c>
      <c r="Z144" s="3"/>
      <c r="AA144" s="15">
        <f>(120*(Ventas!AE178*1) - IF(Y144&gt;0,Y144,0))</f>
        <v>0</v>
      </c>
      <c r="AB144" s="15">
        <f t="shared" si="10"/>
        <v>0</v>
      </c>
      <c r="AC144" s="15">
        <f t="shared" si="11"/>
        <v>0</v>
      </c>
      <c r="AD144" s="16">
        <v>3.37</v>
      </c>
      <c r="AE144" s="8">
        <v>3010</v>
      </c>
      <c r="AF144" s="3"/>
      <c r="AG144" s="3"/>
      <c r="AH144" s="1" t="s">
        <v>34</v>
      </c>
    </row>
    <row r="145" spans="1:34" x14ac:dyDescent="0.25">
      <c r="A145" s="1" t="s">
        <v>402</v>
      </c>
      <c r="B145" s="1" t="s">
        <v>401</v>
      </c>
      <c r="C145" s="14" t="s">
        <v>400</v>
      </c>
      <c r="D145" s="3"/>
      <c r="E145" s="12">
        <v>46238</v>
      </c>
      <c r="F145" s="7">
        <v>1</v>
      </c>
      <c r="G145" s="15">
        <f>(D145-(0)+0-(F145*Ventas!AE179*1))</f>
        <v>0</v>
      </c>
      <c r="H145" s="3"/>
      <c r="I145" s="8">
        <v>0</v>
      </c>
      <c r="J145" s="15">
        <f t="shared" si="8"/>
        <v>0</v>
      </c>
      <c r="K145" s="3"/>
      <c r="L145" s="15">
        <v>52</v>
      </c>
      <c r="M145" s="17">
        <v>6.4899999999999995E-4</v>
      </c>
      <c r="N145" s="12">
        <v>46275</v>
      </c>
      <c r="O145" s="7">
        <v>37</v>
      </c>
      <c r="P145" s="15">
        <f>(IF(G145&gt;0,G145+I145,I145)-(O145*Ventas!AE179*1))</f>
        <v>0</v>
      </c>
      <c r="Q145" s="3"/>
      <c r="R145" s="8">
        <v>0</v>
      </c>
      <c r="S145" s="15">
        <f t="shared" si="9"/>
        <v>0</v>
      </c>
      <c r="T145" s="3"/>
      <c r="U145" s="15">
        <v>52</v>
      </c>
      <c r="V145" s="17">
        <v>6.4899999999999995E-4</v>
      </c>
      <c r="W145" s="12">
        <v>46331</v>
      </c>
      <c r="X145" s="7">
        <v>56</v>
      </c>
      <c r="Y145" s="15">
        <f>(IF(P145&gt;0,P145+R145,R145)-(X145*Ventas!AE179*1))</f>
        <v>0</v>
      </c>
      <c r="Z145" s="3"/>
      <c r="AA145" s="15">
        <f>(120*(Ventas!AE179*1) - IF(Y145&gt;0,Y145,0))</f>
        <v>0</v>
      </c>
      <c r="AB145" s="15">
        <f t="shared" si="10"/>
        <v>0</v>
      </c>
      <c r="AC145" s="15">
        <f t="shared" si="11"/>
        <v>0</v>
      </c>
      <c r="AD145" s="16">
        <v>2.81</v>
      </c>
      <c r="AE145" s="8">
        <v>3010</v>
      </c>
      <c r="AF145" s="3"/>
      <c r="AG145" s="3"/>
      <c r="AH145" s="1" t="s">
        <v>34</v>
      </c>
    </row>
    <row r="146" spans="1:34" x14ac:dyDescent="0.25">
      <c r="A146" s="1" t="s">
        <v>405</v>
      </c>
      <c r="B146" s="1" t="s">
        <v>404</v>
      </c>
      <c r="C146" s="14" t="s">
        <v>403</v>
      </c>
      <c r="D146" s="3"/>
      <c r="E146" s="12">
        <v>46238</v>
      </c>
      <c r="F146" s="7">
        <v>1</v>
      </c>
      <c r="G146" s="15">
        <f>(D146-(0)+0-(F146*Ventas!AE180*1))</f>
        <v>0</v>
      </c>
      <c r="H146" s="3"/>
      <c r="I146" s="8">
        <v>0</v>
      </c>
      <c r="J146" s="15">
        <f t="shared" si="8"/>
        <v>0</v>
      </c>
      <c r="K146" s="3"/>
      <c r="L146" s="15">
        <v>52</v>
      </c>
      <c r="M146" s="17">
        <v>6.4899999999999995E-4</v>
      </c>
      <c r="N146" s="12">
        <v>46275</v>
      </c>
      <c r="O146" s="7">
        <v>37</v>
      </c>
      <c r="P146" s="15">
        <f>(IF(G146&gt;0,G146+I146,I146)-(O146*Ventas!AE180*1))</f>
        <v>0</v>
      </c>
      <c r="Q146" s="3"/>
      <c r="R146" s="8">
        <v>0</v>
      </c>
      <c r="S146" s="15">
        <f t="shared" si="9"/>
        <v>0</v>
      </c>
      <c r="T146" s="3"/>
      <c r="U146" s="15">
        <v>52</v>
      </c>
      <c r="V146" s="17">
        <v>6.4899999999999995E-4</v>
      </c>
      <c r="W146" s="12">
        <v>46331</v>
      </c>
      <c r="X146" s="7">
        <v>56</v>
      </c>
      <c r="Y146" s="15">
        <f>(IF(P146&gt;0,P146+R146,R146)-(X146*Ventas!AE180*1))</f>
        <v>0</v>
      </c>
      <c r="Z146" s="3"/>
      <c r="AA146" s="15">
        <f>(120*(Ventas!AE180*1) - IF(Y146&gt;0,Y146,0))</f>
        <v>0</v>
      </c>
      <c r="AB146" s="15">
        <f t="shared" si="10"/>
        <v>0</v>
      </c>
      <c r="AC146" s="15">
        <f t="shared" si="11"/>
        <v>0</v>
      </c>
      <c r="AD146" s="16">
        <v>2.4900000000000002</v>
      </c>
      <c r="AE146" s="8">
        <v>3025</v>
      </c>
      <c r="AF146" s="3"/>
      <c r="AG146" s="3"/>
      <c r="AH146" s="1" t="s">
        <v>34</v>
      </c>
    </row>
    <row r="147" spans="1:34" x14ac:dyDescent="0.25">
      <c r="A147" s="1" t="s">
        <v>408</v>
      </c>
      <c r="B147" s="1" t="s">
        <v>407</v>
      </c>
      <c r="C147" s="14" t="s">
        <v>406</v>
      </c>
      <c r="D147" s="3"/>
      <c r="E147" s="12">
        <v>46238</v>
      </c>
      <c r="F147" s="7">
        <v>1</v>
      </c>
      <c r="G147" s="15">
        <f>(D147-(0)+0-(F147*Ventas!AE181*1))</f>
        <v>0</v>
      </c>
      <c r="H147" s="3"/>
      <c r="I147" s="8">
        <v>0</v>
      </c>
      <c r="J147" s="15">
        <f t="shared" si="8"/>
        <v>0</v>
      </c>
      <c r="K147" s="3"/>
      <c r="L147" s="15">
        <v>52</v>
      </c>
      <c r="M147" s="17">
        <v>6.4899999999999995E-4</v>
      </c>
      <c r="N147" s="12">
        <v>46275</v>
      </c>
      <c r="O147" s="7">
        <v>37</v>
      </c>
      <c r="P147" s="15">
        <f>(IF(G147&gt;0,G147+I147,I147)-(O147*Ventas!AE181*1))</f>
        <v>0</v>
      </c>
      <c r="Q147" s="3"/>
      <c r="R147" s="8">
        <v>0</v>
      </c>
      <c r="S147" s="15">
        <f t="shared" si="9"/>
        <v>0</v>
      </c>
      <c r="T147" s="3"/>
      <c r="U147" s="15">
        <v>52</v>
      </c>
      <c r="V147" s="17">
        <v>6.4899999999999995E-4</v>
      </c>
      <c r="W147" s="12">
        <v>46331</v>
      </c>
      <c r="X147" s="7">
        <v>56</v>
      </c>
      <c r="Y147" s="15">
        <f>(IF(P147&gt;0,P147+R147,R147)-(X147*Ventas!AE181*1))</f>
        <v>0</v>
      </c>
      <c r="Z147" s="3"/>
      <c r="AA147" s="15">
        <f>(120*(Ventas!AE181*1) - IF(Y147&gt;0,Y147,0))</f>
        <v>0</v>
      </c>
      <c r="AB147" s="15">
        <f t="shared" si="10"/>
        <v>0</v>
      </c>
      <c r="AC147" s="15">
        <f t="shared" si="11"/>
        <v>0</v>
      </c>
      <c r="AD147" s="3"/>
      <c r="AE147" s="3"/>
      <c r="AF147" s="3"/>
      <c r="AG147" s="3"/>
      <c r="AH147" s="1" t="s">
        <v>34</v>
      </c>
    </row>
    <row r="148" spans="1:34" x14ac:dyDescent="0.25">
      <c r="A148" s="1" t="s">
        <v>411</v>
      </c>
      <c r="B148" s="1" t="s">
        <v>410</v>
      </c>
      <c r="C148" s="14" t="s">
        <v>409</v>
      </c>
      <c r="D148" s="3"/>
      <c r="E148" s="12">
        <v>46238</v>
      </c>
      <c r="F148" s="7">
        <v>1</v>
      </c>
      <c r="G148" s="15">
        <f>(D148-(0)+0-(F148*Ventas!AE182*1))</f>
        <v>0</v>
      </c>
      <c r="H148" s="3"/>
      <c r="I148" s="8">
        <v>0</v>
      </c>
      <c r="J148" s="15">
        <f t="shared" si="8"/>
        <v>0</v>
      </c>
      <c r="K148" s="3"/>
      <c r="L148" s="15">
        <v>120</v>
      </c>
      <c r="M148" s="17">
        <v>3.3100000000000002E-4</v>
      </c>
      <c r="N148" s="12">
        <v>46275</v>
      </c>
      <c r="O148" s="7">
        <v>37</v>
      </c>
      <c r="P148" s="15">
        <f>(IF(G148&gt;0,G148+I148,I148)-(O148*Ventas!AE182*1))</f>
        <v>0</v>
      </c>
      <c r="Q148" s="3"/>
      <c r="R148" s="8">
        <v>0</v>
      </c>
      <c r="S148" s="15">
        <f t="shared" si="9"/>
        <v>0</v>
      </c>
      <c r="T148" s="3"/>
      <c r="U148" s="15">
        <v>120</v>
      </c>
      <c r="V148" s="17">
        <v>3.3100000000000002E-4</v>
      </c>
      <c r="W148" s="12">
        <v>46331</v>
      </c>
      <c r="X148" s="7">
        <v>56</v>
      </c>
      <c r="Y148" s="15">
        <f>(IF(P148&gt;0,P148+R148,R148)-(X148*Ventas!AE182*1))</f>
        <v>0</v>
      </c>
      <c r="Z148" s="3"/>
      <c r="AA148" s="15">
        <f>(120*(Ventas!AE182*1) - IF(Y148&gt;0,Y148,0))</f>
        <v>0</v>
      </c>
      <c r="AB148" s="15">
        <f t="shared" si="10"/>
        <v>0</v>
      </c>
      <c r="AC148" s="15">
        <f t="shared" si="11"/>
        <v>0</v>
      </c>
      <c r="AD148" s="16">
        <v>1.46</v>
      </c>
      <c r="AE148" s="8">
        <v>3025</v>
      </c>
      <c r="AF148" s="3"/>
      <c r="AG148" s="3"/>
      <c r="AH148" s="1" t="s">
        <v>34</v>
      </c>
    </row>
    <row r="149" spans="1:34" x14ac:dyDescent="0.25">
      <c r="A149" s="1" t="s">
        <v>414</v>
      </c>
      <c r="B149" s="1" t="s">
        <v>413</v>
      </c>
      <c r="C149" s="14" t="s">
        <v>412</v>
      </c>
      <c r="D149" s="3"/>
      <c r="E149" s="12">
        <v>46238</v>
      </c>
      <c r="F149" s="7">
        <v>1</v>
      </c>
      <c r="G149" s="15">
        <f>(D149-(0)+0-(F149*Ventas!AE183*1))</f>
        <v>0</v>
      </c>
      <c r="H149" s="3"/>
      <c r="I149" s="8">
        <v>0</v>
      </c>
      <c r="J149" s="15">
        <f t="shared" si="8"/>
        <v>0</v>
      </c>
      <c r="K149" s="3"/>
      <c r="L149" s="15">
        <v>120</v>
      </c>
      <c r="M149" s="17">
        <v>3.3100000000000002E-4</v>
      </c>
      <c r="N149" s="12">
        <v>46275</v>
      </c>
      <c r="O149" s="7">
        <v>37</v>
      </c>
      <c r="P149" s="15">
        <f>(IF(G149&gt;0,G149+I149,I149)-(O149*Ventas!AE183*1))</f>
        <v>0</v>
      </c>
      <c r="Q149" s="3"/>
      <c r="R149" s="8">
        <v>0</v>
      </c>
      <c r="S149" s="15">
        <f t="shared" si="9"/>
        <v>0</v>
      </c>
      <c r="T149" s="3"/>
      <c r="U149" s="15">
        <v>120</v>
      </c>
      <c r="V149" s="17">
        <v>3.3100000000000002E-4</v>
      </c>
      <c r="W149" s="12">
        <v>46331</v>
      </c>
      <c r="X149" s="7">
        <v>56</v>
      </c>
      <c r="Y149" s="15">
        <f>(IF(P149&gt;0,P149+R149,R149)-(X149*Ventas!AE183*1))</f>
        <v>0</v>
      </c>
      <c r="Z149" s="3"/>
      <c r="AA149" s="15">
        <f>(120*(Ventas!AE183*1) - IF(Y149&gt;0,Y149,0))</f>
        <v>0</v>
      </c>
      <c r="AB149" s="15">
        <f t="shared" si="10"/>
        <v>0</v>
      </c>
      <c r="AC149" s="15">
        <f t="shared" si="11"/>
        <v>0</v>
      </c>
      <c r="AD149" s="16">
        <v>1.61</v>
      </c>
      <c r="AE149" s="8">
        <v>3025</v>
      </c>
      <c r="AF149" s="3"/>
      <c r="AG149" s="3"/>
      <c r="AH149" s="1" t="s">
        <v>34</v>
      </c>
    </row>
    <row r="150" spans="1:34" x14ac:dyDescent="0.25">
      <c r="A150" s="1" t="s">
        <v>417</v>
      </c>
      <c r="B150" s="1" t="s">
        <v>416</v>
      </c>
      <c r="C150" s="14" t="s">
        <v>415</v>
      </c>
      <c r="D150" s="3"/>
      <c r="E150" s="12">
        <v>46238</v>
      </c>
      <c r="F150" s="7">
        <v>1</v>
      </c>
      <c r="G150" s="15">
        <f>(D150-(0)+0-(F150*Ventas!AE184*1))</f>
        <v>0</v>
      </c>
      <c r="H150" s="3"/>
      <c r="I150" s="8">
        <v>0</v>
      </c>
      <c r="J150" s="15">
        <f t="shared" si="8"/>
        <v>0</v>
      </c>
      <c r="K150" s="3"/>
      <c r="L150" s="15">
        <v>120</v>
      </c>
      <c r="M150" s="17">
        <v>3.3100000000000002E-4</v>
      </c>
      <c r="N150" s="12">
        <v>46275</v>
      </c>
      <c r="O150" s="7">
        <v>37</v>
      </c>
      <c r="P150" s="15">
        <f>(IF(G150&gt;0,G150+I150,I150)-(O150*Ventas!AE184*1))</f>
        <v>0</v>
      </c>
      <c r="Q150" s="3"/>
      <c r="R150" s="8">
        <v>0</v>
      </c>
      <c r="S150" s="15">
        <f t="shared" si="9"/>
        <v>0</v>
      </c>
      <c r="T150" s="3"/>
      <c r="U150" s="15">
        <v>120</v>
      </c>
      <c r="V150" s="17">
        <v>3.3100000000000002E-4</v>
      </c>
      <c r="W150" s="12">
        <v>46331</v>
      </c>
      <c r="X150" s="7">
        <v>56</v>
      </c>
      <c r="Y150" s="15">
        <f>(IF(P150&gt;0,P150+R150,R150)-(X150*Ventas!AE184*1))</f>
        <v>0</v>
      </c>
      <c r="Z150" s="3"/>
      <c r="AA150" s="15">
        <f>(120*(Ventas!AE184*1) - IF(Y150&gt;0,Y150,0))</f>
        <v>0</v>
      </c>
      <c r="AB150" s="15">
        <f t="shared" si="10"/>
        <v>0</v>
      </c>
      <c r="AC150" s="15">
        <f t="shared" si="11"/>
        <v>0</v>
      </c>
      <c r="AD150" s="3"/>
      <c r="AE150" s="3"/>
      <c r="AF150" s="3"/>
      <c r="AG150" s="3"/>
      <c r="AH150" s="1" t="s">
        <v>37</v>
      </c>
    </row>
    <row r="151" spans="1:34" x14ac:dyDescent="0.25">
      <c r="A151" s="1" t="s">
        <v>396</v>
      </c>
      <c r="B151" s="1" t="s">
        <v>419</v>
      </c>
      <c r="C151" s="14" t="s">
        <v>418</v>
      </c>
      <c r="D151" s="3"/>
      <c r="E151" s="12">
        <v>46238</v>
      </c>
      <c r="F151" s="7">
        <v>1</v>
      </c>
      <c r="G151" s="15">
        <f>(D151-(0)+0-(F151*Ventas!AE185*1))</f>
        <v>0</v>
      </c>
      <c r="H151" s="3"/>
      <c r="I151" s="8">
        <v>0</v>
      </c>
      <c r="J151" s="15">
        <f t="shared" si="8"/>
        <v>0</v>
      </c>
      <c r="K151" s="3"/>
      <c r="L151" s="15">
        <v>52</v>
      </c>
      <c r="M151" s="17">
        <v>6.4899999999999995E-4</v>
      </c>
      <c r="N151" s="12">
        <v>46275</v>
      </c>
      <c r="O151" s="7">
        <v>37</v>
      </c>
      <c r="P151" s="15">
        <f>(IF(G151&gt;0,G151+I151,I151)-(O151*Ventas!AE185*1))</f>
        <v>0</v>
      </c>
      <c r="Q151" s="3"/>
      <c r="R151" s="8">
        <v>0</v>
      </c>
      <c r="S151" s="15">
        <f t="shared" si="9"/>
        <v>0</v>
      </c>
      <c r="T151" s="3"/>
      <c r="U151" s="15">
        <v>52</v>
      </c>
      <c r="V151" s="17">
        <v>6.4899999999999995E-4</v>
      </c>
      <c r="W151" s="12">
        <v>46331</v>
      </c>
      <c r="X151" s="7">
        <v>56</v>
      </c>
      <c r="Y151" s="15">
        <f>(IF(P151&gt;0,P151+R151,R151)-(X151*Ventas!AE185*1))</f>
        <v>0</v>
      </c>
      <c r="Z151" s="3"/>
      <c r="AA151" s="15">
        <f>(120*(Ventas!AE185*1) - IF(Y151&gt;0,Y151,0))</f>
        <v>0</v>
      </c>
      <c r="AB151" s="15">
        <f t="shared" si="10"/>
        <v>0</v>
      </c>
      <c r="AC151" s="15">
        <f t="shared" si="11"/>
        <v>0</v>
      </c>
      <c r="AD151" s="16">
        <v>1.17</v>
      </c>
      <c r="AE151" s="8">
        <v>3025</v>
      </c>
      <c r="AF151" s="3"/>
      <c r="AG151" s="3"/>
      <c r="AH151" s="1" t="s">
        <v>34</v>
      </c>
    </row>
    <row r="152" spans="1:34" x14ac:dyDescent="0.25">
      <c r="A152" s="1" t="s">
        <v>422</v>
      </c>
      <c r="B152" s="1" t="s">
        <v>421</v>
      </c>
      <c r="C152" s="14" t="s">
        <v>420</v>
      </c>
      <c r="D152" s="8">
        <v>406</v>
      </c>
      <c r="E152" s="12">
        <v>46238</v>
      </c>
      <c r="F152" s="7">
        <v>1</v>
      </c>
      <c r="G152" s="15">
        <f>(D152-(0)+0-(F152*Ventas!AE186*1))</f>
        <v>396.42320000000001</v>
      </c>
      <c r="H152" s="18">
        <f>(G152/(Ventas!AE186*1)/60)</f>
        <v>0.68990198535349323</v>
      </c>
      <c r="I152" s="8">
        <v>0</v>
      </c>
      <c r="J152" s="15">
        <f t="shared" si="8"/>
        <v>396.42320000000001</v>
      </c>
      <c r="K152" s="3"/>
      <c r="L152" s="15">
        <v>52</v>
      </c>
      <c r="M152" s="17">
        <v>6.4899999999999995E-4</v>
      </c>
      <c r="N152" s="12">
        <v>46275</v>
      </c>
      <c r="O152" s="7">
        <v>37</v>
      </c>
      <c r="P152" s="15">
        <f>(IF(G152&gt;0,G152+I152,I152)-(O152*Ventas!AE186*1))</f>
        <v>42.08159999999998</v>
      </c>
      <c r="Q152" s="18">
        <f>(P152/(Ventas!AE186*1)/60)</f>
        <v>7.3235318686826464E-2</v>
      </c>
      <c r="R152" s="8">
        <v>0</v>
      </c>
      <c r="S152" s="15">
        <f t="shared" si="9"/>
        <v>42.08159999999998</v>
      </c>
      <c r="T152" s="3"/>
      <c r="U152" s="15">
        <v>52</v>
      </c>
      <c r="V152" s="17">
        <v>6.4899999999999995E-4</v>
      </c>
      <c r="W152" s="12">
        <v>46331</v>
      </c>
      <c r="X152" s="7">
        <v>56</v>
      </c>
      <c r="Y152" s="15">
        <f>(IF(P152&gt;0,P152+R152,R152)-(X152*Ventas!AE186*1))</f>
        <v>-494.2192</v>
      </c>
      <c r="Z152" s="18">
        <f>(Y152/(Ventas!AE186*1)/60)</f>
        <v>-0.86009801464650681</v>
      </c>
      <c r="AA152" s="15">
        <f>(120*(Ventas!AE186*1) - IF(Y152&gt;0,Y152,0))</f>
        <v>1149.2160000000001</v>
      </c>
      <c r="AB152" s="15">
        <f t="shared" si="10"/>
        <v>1149.2160000000001</v>
      </c>
      <c r="AC152" s="15">
        <f t="shared" si="11"/>
        <v>1149.2160000000001</v>
      </c>
      <c r="AD152" s="16">
        <v>0.86</v>
      </c>
      <c r="AE152" s="8">
        <v>3027</v>
      </c>
      <c r="AF152" s="15">
        <f>(AC152-(60*Ventas!AE186*1))</f>
        <v>574.60800000000006</v>
      </c>
      <c r="AG152" s="18">
        <f>(AF152/(Ventas!AE186*1)/60)</f>
        <v>1.0000000000000002</v>
      </c>
      <c r="AH152" s="1" t="s">
        <v>37</v>
      </c>
    </row>
    <row r="153" spans="1:34" x14ac:dyDescent="0.25">
      <c r="A153" s="1" t="s">
        <v>359</v>
      </c>
      <c r="B153" s="1" t="s">
        <v>424</v>
      </c>
      <c r="C153" s="14" t="s">
        <v>423</v>
      </c>
      <c r="D153" s="3"/>
      <c r="E153" s="12">
        <v>46238</v>
      </c>
      <c r="F153" s="7">
        <v>1</v>
      </c>
      <c r="G153" s="15">
        <f>(D153-(0)+0-(F153*Ventas!AE187*1))</f>
        <v>0</v>
      </c>
      <c r="H153" s="3"/>
      <c r="I153" s="8">
        <v>0</v>
      </c>
      <c r="J153" s="15">
        <f t="shared" si="8"/>
        <v>0</v>
      </c>
      <c r="K153" s="3"/>
      <c r="L153" s="15">
        <v>60</v>
      </c>
      <c r="M153" s="17">
        <v>7.2499999999999995E-4</v>
      </c>
      <c r="N153" s="12">
        <v>46275</v>
      </c>
      <c r="O153" s="7">
        <v>37</v>
      </c>
      <c r="P153" s="15">
        <f>(IF(G153&gt;0,G153+I153,I153)-(O153*Ventas!AE187*1))</f>
        <v>0</v>
      </c>
      <c r="Q153" s="3"/>
      <c r="R153" s="8">
        <v>0</v>
      </c>
      <c r="S153" s="15">
        <f t="shared" si="9"/>
        <v>0</v>
      </c>
      <c r="T153" s="3"/>
      <c r="U153" s="15">
        <v>60</v>
      </c>
      <c r="V153" s="17">
        <v>7.2499999999999995E-4</v>
      </c>
      <c r="W153" s="12">
        <v>46331</v>
      </c>
      <c r="X153" s="7">
        <v>56</v>
      </c>
      <c r="Y153" s="15">
        <f>(IF(P153&gt;0,P153+R153,R153)-(X153*Ventas!AE187*1))</f>
        <v>0</v>
      </c>
      <c r="Z153" s="3"/>
      <c r="AA153" s="15">
        <f>(120*(Ventas!AE187*1) - IF(Y153&gt;0,Y153,0))</f>
        <v>0</v>
      </c>
      <c r="AB153" s="15">
        <f t="shared" si="10"/>
        <v>0</v>
      </c>
      <c r="AC153" s="15">
        <f t="shared" si="11"/>
        <v>0</v>
      </c>
      <c r="AD153" s="3"/>
      <c r="AE153" s="3"/>
      <c r="AF153" s="3"/>
      <c r="AG153" s="3"/>
      <c r="AH153" s="1" t="s">
        <v>37</v>
      </c>
    </row>
    <row r="154" spans="1:34" x14ac:dyDescent="0.25">
      <c r="A154" s="1" t="s">
        <v>427</v>
      </c>
      <c r="B154" s="1" t="s">
        <v>426</v>
      </c>
      <c r="C154" s="14" t="s">
        <v>425</v>
      </c>
      <c r="D154" s="3"/>
      <c r="E154" s="12">
        <v>46238</v>
      </c>
      <c r="F154" s="7">
        <v>1</v>
      </c>
      <c r="G154" s="15">
        <f>(D154-(0)+0-(F154*Ventas!AE188*1))</f>
        <v>0</v>
      </c>
      <c r="H154" s="3"/>
      <c r="I154" s="8">
        <v>0</v>
      </c>
      <c r="J154" s="15">
        <f t="shared" si="8"/>
        <v>0</v>
      </c>
      <c r="K154" s="3"/>
      <c r="L154" s="15">
        <v>52</v>
      </c>
      <c r="M154" s="17">
        <v>6.4899999999999995E-4</v>
      </c>
      <c r="N154" s="12">
        <v>46275</v>
      </c>
      <c r="O154" s="7">
        <v>37</v>
      </c>
      <c r="P154" s="15">
        <f>(IF(G154&gt;0,G154+I154,I154)-(O154*Ventas!AE188*1))</f>
        <v>0</v>
      </c>
      <c r="Q154" s="3"/>
      <c r="R154" s="8">
        <v>0</v>
      </c>
      <c r="S154" s="15">
        <f t="shared" si="9"/>
        <v>0</v>
      </c>
      <c r="T154" s="3"/>
      <c r="U154" s="15">
        <v>52</v>
      </c>
      <c r="V154" s="17">
        <v>6.4899999999999995E-4</v>
      </c>
      <c r="W154" s="12">
        <v>46331</v>
      </c>
      <c r="X154" s="7">
        <v>56</v>
      </c>
      <c r="Y154" s="15">
        <f>(IF(P154&gt;0,P154+R154,R154)-(X154*Ventas!AE188*1))</f>
        <v>0</v>
      </c>
      <c r="Z154" s="3"/>
      <c r="AA154" s="15">
        <f>(120*(Ventas!AE188*1) - IF(Y154&gt;0,Y154,0))</f>
        <v>0</v>
      </c>
      <c r="AB154" s="15">
        <f t="shared" si="10"/>
        <v>0</v>
      </c>
      <c r="AC154" s="15">
        <f t="shared" si="11"/>
        <v>0</v>
      </c>
      <c r="AD154" s="3"/>
      <c r="AE154" s="3"/>
      <c r="AF154" s="3"/>
      <c r="AG154" s="3"/>
      <c r="AH154" s="1" t="s">
        <v>37</v>
      </c>
    </row>
    <row r="155" spans="1:34" x14ac:dyDescent="0.25">
      <c r="A155" s="1" t="s">
        <v>430</v>
      </c>
      <c r="B155" s="1" t="s">
        <v>429</v>
      </c>
      <c r="C155" s="14" t="s">
        <v>428</v>
      </c>
      <c r="D155" s="3"/>
      <c r="E155" s="12">
        <v>46238</v>
      </c>
      <c r="F155" s="7">
        <v>1</v>
      </c>
      <c r="G155" s="15">
        <f>(D155-(0)+0-(F155*Ventas!AE189*1))</f>
        <v>0</v>
      </c>
      <c r="H155" s="3"/>
      <c r="I155" s="8">
        <v>0</v>
      </c>
      <c r="J155" s="15">
        <f t="shared" si="8"/>
        <v>0</v>
      </c>
      <c r="K155" s="3"/>
      <c r="L155" s="15">
        <v>52</v>
      </c>
      <c r="M155" s="17">
        <v>6.4899999999999995E-4</v>
      </c>
      <c r="N155" s="12">
        <v>46275</v>
      </c>
      <c r="O155" s="7">
        <v>37</v>
      </c>
      <c r="P155" s="15">
        <f>(IF(G155&gt;0,G155+I155,I155)-(O155*Ventas!AE189*1))</f>
        <v>0</v>
      </c>
      <c r="Q155" s="3"/>
      <c r="R155" s="8">
        <v>0</v>
      </c>
      <c r="S155" s="15">
        <f t="shared" si="9"/>
        <v>0</v>
      </c>
      <c r="T155" s="3"/>
      <c r="U155" s="15">
        <v>52</v>
      </c>
      <c r="V155" s="17">
        <v>6.4899999999999995E-4</v>
      </c>
      <c r="W155" s="12">
        <v>46331</v>
      </c>
      <c r="X155" s="7">
        <v>56</v>
      </c>
      <c r="Y155" s="15">
        <f>(IF(P155&gt;0,P155+R155,R155)-(X155*Ventas!AE189*1))</f>
        <v>0</v>
      </c>
      <c r="Z155" s="3"/>
      <c r="AA155" s="15">
        <f>(120*(Ventas!AE189*1) - IF(Y155&gt;0,Y155,0))</f>
        <v>0</v>
      </c>
      <c r="AB155" s="15">
        <f t="shared" si="10"/>
        <v>0</v>
      </c>
      <c r="AC155" s="15">
        <f t="shared" si="11"/>
        <v>0</v>
      </c>
      <c r="AD155" s="16">
        <v>2.0499999999999998</v>
      </c>
      <c r="AE155" s="8">
        <v>3025</v>
      </c>
      <c r="AF155" s="3"/>
      <c r="AG155" s="3"/>
      <c r="AH155" s="1" t="s">
        <v>34</v>
      </c>
    </row>
    <row r="156" spans="1:34" x14ac:dyDescent="0.25">
      <c r="A156" s="1" t="s">
        <v>433</v>
      </c>
      <c r="B156" s="1" t="s">
        <v>432</v>
      </c>
      <c r="C156" s="14" t="s">
        <v>431</v>
      </c>
      <c r="D156" s="3"/>
      <c r="E156" s="12">
        <v>46238</v>
      </c>
      <c r="F156" s="7">
        <v>1</v>
      </c>
      <c r="G156" s="15">
        <f>(D156-(0)+0-(F156*Ventas!AE190*1))</f>
        <v>0</v>
      </c>
      <c r="H156" s="3"/>
      <c r="I156" s="8">
        <v>0</v>
      </c>
      <c r="J156" s="15">
        <f t="shared" si="8"/>
        <v>0</v>
      </c>
      <c r="K156" s="3"/>
      <c r="L156" s="15">
        <v>52</v>
      </c>
      <c r="M156" s="17">
        <v>6.4899999999999995E-4</v>
      </c>
      <c r="N156" s="12">
        <v>46275</v>
      </c>
      <c r="O156" s="7">
        <v>37</v>
      </c>
      <c r="P156" s="15">
        <f>(IF(G156&gt;0,G156+I156,I156)-(O156*Ventas!AE190*1))</f>
        <v>0</v>
      </c>
      <c r="Q156" s="3"/>
      <c r="R156" s="8">
        <v>0</v>
      </c>
      <c r="S156" s="15">
        <f t="shared" si="9"/>
        <v>0</v>
      </c>
      <c r="T156" s="3"/>
      <c r="U156" s="15">
        <v>52</v>
      </c>
      <c r="V156" s="17">
        <v>6.4899999999999995E-4</v>
      </c>
      <c r="W156" s="12">
        <v>46331</v>
      </c>
      <c r="X156" s="7">
        <v>56</v>
      </c>
      <c r="Y156" s="15">
        <f>(IF(P156&gt;0,P156+R156,R156)-(X156*Ventas!AE190*1))</f>
        <v>0</v>
      </c>
      <c r="Z156" s="3"/>
      <c r="AA156" s="15">
        <f>(120*(Ventas!AE190*1) - IF(Y156&gt;0,Y156,0))</f>
        <v>0</v>
      </c>
      <c r="AB156" s="15">
        <f t="shared" si="10"/>
        <v>0</v>
      </c>
      <c r="AC156" s="15">
        <f t="shared" si="11"/>
        <v>0</v>
      </c>
      <c r="AD156" s="3"/>
      <c r="AE156" s="3"/>
      <c r="AF156" s="3"/>
      <c r="AG156" s="3"/>
      <c r="AH156" s="1" t="s">
        <v>37</v>
      </c>
    </row>
    <row r="157" spans="1:34" x14ac:dyDescent="0.25">
      <c r="A157" s="1" t="s">
        <v>436</v>
      </c>
      <c r="B157" s="1" t="s">
        <v>435</v>
      </c>
      <c r="C157" s="14" t="s">
        <v>434</v>
      </c>
      <c r="D157" s="3"/>
      <c r="E157" s="12">
        <v>46238</v>
      </c>
      <c r="F157" s="7">
        <v>1</v>
      </c>
      <c r="G157" s="15">
        <f>(D157-(0)+0-(F157*Ventas!AE191*1))</f>
        <v>0</v>
      </c>
      <c r="H157" s="3"/>
      <c r="I157" s="8">
        <v>0</v>
      </c>
      <c r="J157" s="15">
        <f t="shared" si="8"/>
        <v>0</v>
      </c>
      <c r="K157" s="3"/>
      <c r="L157" s="15">
        <v>52</v>
      </c>
      <c r="M157" s="17">
        <v>6.4899999999999995E-4</v>
      </c>
      <c r="N157" s="12">
        <v>46275</v>
      </c>
      <c r="O157" s="7">
        <v>37</v>
      </c>
      <c r="P157" s="15">
        <f>(IF(G157&gt;0,G157+I157,I157)-(O157*Ventas!AE191*1))</f>
        <v>0</v>
      </c>
      <c r="Q157" s="3"/>
      <c r="R157" s="8">
        <v>0</v>
      </c>
      <c r="S157" s="15">
        <f t="shared" si="9"/>
        <v>0</v>
      </c>
      <c r="T157" s="3"/>
      <c r="U157" s="15">
        <v>52</v>
      </c>
      <c r="V157" s="17">
        <v>6.4899999999999995E-4</v>
      </c>
      <c r="W157" s="12">
        <v>46331</v>
      </c>
      <c r="X157" s="7">
        <v>56</v>
      </c>
      <c r="Y157" s="15">
        <f>(IF(P157&gt;0,P157+R157,R157)-(X157*Ventas!AE191*1))</f>
        <v>0</v>
      </c>
      <c r="Z157" s="3"/>
      <c r="AA157" s="15">
        <f>(120*(Ventas!AE191*1) - IF(Y157&gt;0,Y157,0))</f>
        <v>0</v>
      </c>
      <c r="AB157" s="15">
        <f t="shared" si="10"/>
        <v>0</v>
      </c>
      <c r="AC157" s="15">
        <f t="shared" si="11"/>
        <v>0</v>
      </c>
      <c r="AD157" s="16">
        <v>2.2200000000000002</v>
      </c>
      <c r="AE157" s="8">
        <v>3017</v>
      </c>
      <c r="AF157" s="3"/>
      <c r="AG157" s="3"/>
      <c r="AH157" s="1" t="s">
        <v>34</v>
      </c>
    </row>
    <row r="158" spans="1:34" x14ac:dyDescent="0.25">
      <c r="A158" s="1" t="s">
        <v>439</v>
      </c>
      <c r="B158" s="1" t="s">
        <v>438</v>
      </c>
      <c r="C158" s="14" t="s">
        <v>437</v>
      </c>
      <c r="D158" s="8">
        <v>87</v>
      </c>
      <c r="E158" s="12">
        <v>46238</v>
      </c>
      <c r="F158" s="7">
        <v>1</v>
      </c>
      <c r="G158" s="15">
        <f>(D158-(0)+0-(F158*Ventas!AE192*1))</f>
        <v>86.132900000000006</v>
      </c>
      <c r="H158" s="18">
        <f>(G158/(Ventas!AE192*1)/60)</f>
        <v>1.6555741360089189</v>
      </c>
      <c r="I158" s="8">
        <v>0</v>
      </c>
      <c r="J158" s="15">
        <f t="shared" si="8"/>
        <v>86.132900000000006</v>
      </c>
      <c r="K158" s="3"/>
      <c r="L158" s="15">
        <v>52</v>
      </c>
      <c r="M158" s="17">
        <v>6.4899999999999995E-4</v>
      </c>
      <c r="N158" s="12">
        <v>46275</v>
      </c>
      <c r="O158" s="7">
        <v>37</v>
      </c>
      <c r="P158" s="15">
        <f>(IF(G158&gt;0,G158+I158,I158)-(O158*Ventas!AE192*1))</f>
        <v>54.050200000000004</v>
      </c>
      <c r="Q158" s="18">
        <f>(P158/(Ventas!AE192*1)/60)</f>
        <v>1.038907469342252</v>
      </c>
      <c r="R158" s="8">
        <v>0</v>
      </c>
      <c r="S158" s="15">
        <f t="shared" si="9"/>
        <v>54.050200000000004</v>
      </c>
      <c r="T158" s="3"/>
      <c r="U158" s="15">
        <v>52</v>
      </c>
      <c r="V158" s="17">
        <v>6.4899999999999995E-4</v>
      </c>
      <c r="W158" s="12">
        <v>46331</v>
      </c>
      <c r="X158" s="7">
        <v>56</v>
      </c>
      <c r="Y158" s="15">
        <f>(IF(P158&gt;0,P158+R158,R158)-(X158*Ventas!AE192*1))</f>
        <v>5.492600000000003</v>
      </c>
      <c r="Z158" s="18">
        <f>(Y158/(Ventas!AE192*1)/60)</f>
        <v>0.10557413600891867</v>
      </c>
      <c r="AA158" s="15">
        <f>(120*(Ventas!AE192*1) - IF(Y158&gt;0,Y158,0))</f>
        <v>98.559399999999982</v>
      </c>
      <c r="AB158" s="15">
        <f t="shared" si="10"/>
        <v>98.559399999999982</v>
      </c>
      <c r="AC158" s="15">
        <f t="shared" si="11"/>
        <v>104.05199999999999</v>
      </c>
      <c r="AD158" s="16">
        <v>1.48</v>
      </c>
      <c r="AE158" s="8">
        <v>3027</v>
      </c>
      <c r="AF158" s="15">
        <f>(AC158-(60*Ventas!AE192*1))</f>
        <v>52.025999999999996</v>
      </c>
      <c r="AG158" s="18">
        <f>(AF158/(Ventas!AE192*1)/60)</f>
        <v>1</v>
      </c>
      <c r="AH158" s="1" t="s">
        <v>37</v>
      </c>
    </row>
    <row r="159" spans="1:34" x14ac:dyDescent="0.25">
      <c r="A159" s="1"/>
      <c r="B159" s="1" t="s">
        <v>441</v>
      </c>
      <c r="C159" s="14" t="s">
        <v>440</v>
      </c>
      <c r="D159" s="3"/>
      <c r="E159" s="12">
        <v>46238</v>
      </c>
      <c r="F159" s="7">
        <v>1</v>
      </c>
      <c r="G159" s="15">
        <f>(D159-(0)+0-(F159*Ventas!AE193*1))</f>
        <v>0</v>
      </c>
      <c r="H159" s="3"/>
      <c r="I159" s="8">
        <v>0</v>
      </c>
      <c r="J159" s="15">
        <f t="shared" si="8"/>
        <v>0</v>
      </c>
      <c r="K159" s="3"/>
      <c r="L159" s="15">
        <v>70</v>
      </c>
      <c r="M159" s="17">
        <v>4.3600000000000003E-4</v>
      </c>
      <c r="N159" s="12">
        <v>46275</v>
      </c>
      <c r="O159" s="7">
        <v>37</v>
      </c>
      <c r="P159" s="15">
        <f>(IF(G159&gt;0,G159+I159,I159)-(O159*Ventas!AE193*1))</f>
        <v>0</v>
      </c>
      <c r="Q159" s="3"/>
      <c r="R159" s="8">
        <v>0</v>
      </c>
      <c r="S159" s="15">
        <f t="shared" si="9"/>
        <v>0</v>
      </c>
      <c r="T159" s="3"/>
      <c r="U159" s="15">
        <v>70</v>
      </c>
      <c r="V159" s="17">
        <v>4.3600000000000003E-4</v>
      </c>
      <c r="W159" s="12">
        <v>46331</v>
      </c>
      <c r="X159" s="7">
        <v>56</v>
      </c>
      <c r="Y159" s="15">
        <f>(IF(P159&gt;0,P159+R159,R159)-(X159*Ventas!AE193*1))</f>
        <v>0</v>
      </c>
      <c r="Z159" s="3"/>
      <c r="AA159" s="15">
        <f>(120*(Ventas!AE193*1) - IF(Y159&gt;0,Y159,0))</f>
        <v>0</v>
      </c>
      <c r="AB159" s="15">
        <f t="shared" si="10"/>
        <v>0</v>
      </c>
      <c r="AC159" s="15">
        <f t="shared" si="11"/>
        <v>0</v>
      </c>
      <c r="AD159" s="3"/>
      <c r="AE159" s="3"/>
      <c r="AF159" s="3"/>
      <c r="AG159" s="3"/>
      <c r="AH159" s="1" t="s">
        <v>37</v>
      </c>
    </row>
    <row r="160" spans="1:34" x14ac:dyDescent="0.25">
      <c r="A160" s="1" t="s">
        <v>444</v>
      </c>
      <c r="B160" s="1" t="s">
        <v>443</v>
      </c>
      <c r="C160" s="14" t="s">
        <v>442</v>
      </c>
      <c r="D160" s="3"/>
      <c r="E160" s="12">
        <v>46238</v>
      </c>
      <c r="F160" s="7">
        <v>1</v>
      </c>
      <c r="G160" s="15">
        <f>(D160-(0)+0-(F160*Ventas!AE194*1))</f>
        <v>0</v>
      </c>
      <c r="H160" s="3"/>
      <c r="I160" s="8">
        <v>0</v>
      </c>
      <c r="J160" s="15">
        <f t="shared" si="8"/>
        <v>0</v>
      </c>
      <c r="K160" s="3"/>
      <c r="L160" s="15">
        <v>52</v>
      </c>
      <c r="M160" s="17">
        <v>6.4899999999999995E-4</v>
      </c>
      <c r="N160" s="12">
        <v>46275</v>
      </c>
      <c r="O160" s="7">
        <v>37</v>
      </c>
      <c r="P160" s="15">
        <f>(IF(G160&gt;0,G160+I160,I160)-(O160*Ventas!AE194*1))</f>
        <v>0</v>
      </c>
      <c r="Q160" s="3"/>
      <c r="R160" s="8">
        <v>0</v>
      </c>
      <c r="S160" s="15">
        <f t="shared" si="9"/>
        <v>0</v>
      </c>
      <c r="T160" s="3"/>
      <c r="U160" s="15">
        <v>52</v>
      </c>
      <c r="V160" s="17">
        <v>6.4899999999999995E-4</v>
      </c>
      <c r="W160" s="12">
        <v>46331</v>
      </c>
      <c r="X160" s="7">
        <v>56</v>
      </c>
      <c r="Y160" s="15">
        <f>(IF(P160&gt;0,P160+R160,R160)-(X160*Ventas!AE194*1))</f>
        <v>0</v>
      </c>
      <c r="Z160" s="3"/>
      <c r="AA160" s="15">
        <f>(120*(Ventas!AE194*1) - IF(Y160&gt;0,Y160,0))</f>
        <v>0</v>
      </c>
      <c r="AB160" s="15">
        <f t="shared" si="10"/>
        <v>0</v>
      </c>
      <c r="AC160" s="15">
        <f t="shared" si="11"/>
        <v>0</v>
      </c>
      <c r="AD160" s="16">
        <v>1.47</v>
      </c>
      <c r="AE160" s="8">
        <v>3025</v>
      </c>
      <c r="AF160" s="3"/>
      <c r="AG160" s="3"/>
      <c r="AH160" s="1" t="s">
        <v>37</v>
      </c>
    </row>
    <row r="161" spans="1:34" x14ac:dyDescent="0.25">
      <c r="A161" s="1" t="s">
        <v>447</v>
      </c>
      <c r="B161" s="1" t="s">
        <v>446</v>
      </c>
      <c r="C161" s="14" t="s">
        <v>445</v>
      </c>
      <c r="D161" s="8">
        <v>327</v>
      </c>
      <c r="E161" s="12">
        <v>46238</v>
      </c>
      <c r="F161" s="7">
        <v>1</v>
      </c>
      <c r="G161" s="15">
        <f>(D161-(0)+0-(F161*Ventas!AE195*1))</f>
        <v>324.62889999999999</v>
      </c>
      <c r="H161" s="18">
        <f>(G161/(Ventas!AE195*1)/60)</f>
        <v>2.2818445728424219</v>
      </c>
      <c r="I161" s="8">
        <v>0</v>
      </c>
      <c r="J161" s="15">
        <f t="shared" si="8"/>
        <v>324.62889999999999</v>
      </c>
      <c r="K161" s="3"/>
      <c r="L161" s="15">
        <v>52</v>
      </c>
      <c r="M161" s="17">
        <v>6.4899999999999995E-4</v>
      </c>
      <c r="N161" s="12">
        <v>46275</v>
      </c>
      <c r="O161" s="7">
        <v>37</v>
      </c>
      <c r="P161" s="15">
        <f>(IF(G161&gt;0,G161+I161,I161)-(O161*Ventas!AE195*1))</f>
        <v>236.89819999999997</v>
      </c>
      <c r="Q161" s="18">
        <f>(P161/(Ventas!AE195*1)/60)</f>
        <v>1.665177906175755</v>
      </c>
      <c r="R161" s="8">
        <v>52</v>
      </c>
      <c r="S161" s="15">
        <f t="shared" si="9"/>
        <v>288.89819999999997</v>
      </c>
      <c r="T161" s="15">
        <v>1.52</v>
      </c>
      <c r="U161" s="15">
        <v>52</v>
      </c>
      <c r="V161" s="17">
        <v>6.4899999999999995E-4</v>
      </c>
      <c r="W161" s="12">
        <v>46331</v>
      </c>
      <c r="X161" s="7">
        <v>56</v>
      </c>
      <c r="Y161" s="15">
        <f>(IF(P161&gt;0,P161+R161,R161)-(X161*Ventas!AE195*1))</f>
        <v>156.11659999999995</v>
      </c>
      <c r="Z161" s="18">
        <f>(Y161/(Ventas!AE195*1)/60)</f>
        <v>1.0973570635288821</v>
      </c>
      <c r="AA161" s="15">
        <f>(120*(Ventas!AE195*1) - IF(Y161&gt;0,Y161,0))</f>
        <v>128.41540000000009</v>
      </c>
      <c r="AB161" s="15">
        <f t="shared" si="10"/>
        <v>128.41540000000009</v>
      </c>
      <c r="AC161" s="15">
        <f t="shared" si="11"/>
        <v>284.53200000000004</v>
      </c>
      <c r="AD161" s="16">
        <v>1.48</v>
      </c>
      <c r="AE161" s="8">
        <v>3027</v>
      </c>
      <c r="AF161" s="15">
        <f>(AC161-(60*Ventas!AE195*1))</f>
        <v>142.26600000000002</v>
      </c>
      <c r="AG161" s="18">
        <f>(AF161/(Ventas!AE195*1)/60)</f>
        <v>1</v>
      </c>
      <c r="AH161" s="1" t="s">
        <v>37</v>
      </c>
    </row>
    <row r="162" spans="1:34" x14ac:dyDescent="0.25">
      <c r="A162" s="1" t="s">
        <v>405</v>
      </c>
      <c r="B162" s="1" t="s">
        <v>449</v>
      </c>
      <c r="C162" s="14" t="s">
        <v>448</v>
      </c>
      <c r="D162" s="3"/>
      <c r="E162" s="12">
        <v>46238</v>
      </c>
      <c r="F162" s="7">
        <v>1</v>
      </c>
      <c r="G162" s="15">
        <f>(D162-(0)+0-(F162*Ventas!AE196*1))</f>
        <v>-7.3042999999999996</v>
      </c>
      <c r="H162" s="18">
        <f>(G162/(Ventas!AE196*1)/60)</f>
        <v>-1.6666666666666666E-2</v>
      </c>
      <c r="I162" s="8">
        <v>156</v>
      </c>
      <c r="J162" s="15">
        <f t="shared" si="8"/>
        <v>156</v>
      </c>
      <c r="K162" s="15">
        <v>1.58</v>
      </c>
      <c r="L162" s="15">
        <v>52</v>
      </c>
      <c r="M162" s="17">
        <v>6.4899999999999995E-4</v>
      </c>
      <c r="N162" s="12">
        <v>46275</v>
      </c>
      <c r="O162" s="7">
        <v>37</v>
      </c>
      <c r="P162" s="15">
        <f>(IF(G162&gt;0,G162+I162,I162)-(O162*Ventas!AE196*1))</f>
        <v>-114.25909999999999</v>
      </c>
      <c r="Q162" s="18">
        <f>(P162/(Ventas!AE196*1)/60)</f>
        <v>-0.26071195505843586</v>
      </c>
      <c r="R162" s="8">
        <v>832</v>
      </c>
      <c r="S162" s="15">
        <f t="shared" si="9"/>
        <v>832</v>
      </c>
      <c r="T162" s="15">
        <v>1.59</v>
      </c>
      <c r="U162" s="15">
        <v>52</v>
      </c>
      <c r="V162" s="17">
        <v>6.4899999999999995E-4</v>
      </c>
      <c r="W162" s="12">
        <v>46331</v>
      </c>
      <c r="X162" s="7">
        <v>56</v>
      </c>
      <c r="Y162" s="15">
        <f>(IF(P162&gt;0,P162+R162,R162)-(X162*Ventas!AE196*1))</f>
        <v>422.95920000000001</v>
      </c>
      <c r="Z162" s="18">
        <f>(Y162/(Ventas!AE196*1)/60)</f>
        <v>0.96509179524389743</v>
      </c>
      <c r="AA162" s="15">
        <f>(120*(Ventas!AE196*1) - IF(Y162&gt;0,Y162,0))</f>
        <v>453.55679999999995</v>
      </c>
      <c r="AB162" s="15">
        <f t="shared" si="10"/>
        <v>453.55679999999995</v>
      </c>
      <c r="AC162" s="15">
        <f t="shared" si="11"/>
        <v>876.51599999999996</v>
      </c>
      <c r="AD162" s="16">
        <v>1.58</v>
      </c>
      <c r="AE162" s="8">
        <v>3025</v>
      </c>
      <c r="AF162" s="15">
        <f>(AC162-(60*Ventas!AE196*1))</f>
        <v>438.25799999999998</v>
      </c>
      <c r="AG162" s="18">
        <f>(AF162/(Ventas!AE196*1)/60)</f>
        <v>1</v>
      </c>
      <c r="AH162" s="1" t="s">
        <v>37</v>
      </c>
    </row>
    <row r="163" spans="1:34" x14ac:dyDescent="0.25">
      <c r="A163" s="1" t="s">
        <v>408</v>
      </c>
      <c r="B163" s="1" t="s">
        <v>451</v>
      </c>
      <c r="C163" s="14" t="s">
        <v>450</v>
      </c>
      <c r="D163" s="8">
        <v>569</v>
      </c>
      <c r="E163" s="12">
        <v>46238</v>
      </c>
      <c r="F163" s="7">
        <v>1</v>
      </c>
      <c r="G163" s="15">
        <f>(D163-(0)+0-(F163*Ventas!AE197*1))</f>
        <v>564.79219999999998</v>
      </c>
      <c r="H163" s="18">
        <f>(G163/(Ventas!AE197*1)/60)</f>
        <v>2.2370843037533472</v>
      </c>
      <c r="I163" s="8">
        <v>0</v>
      </c>
      <c r="J163" s="15">
        <f t="shared" si="8"/>
        <v>564.79219999999998</v>
      </c>
      <c r="K163" s="3"/>
      <c r="L163" s="15">
        <v>52</v>
      </c>
      <c r="M163" s="17">
        <v>6.4899999999999995E-4</v>
      </c>
      <c r="N163" s="12">
        <v>46275</v>
      </c>
      <c r="O163" s="7">
        <v>37</v>
      </c>
      <c r="P163" s="15">
        <f>(IF(G163&gt;0,G163+I163,I163)-(O163*Ventas!AE197*1))</f>
        <v>409.10360000000003</v>
      </c>
      <c r="Q163" s="18">
        <f>(P163/(Ventas!AE197*1)/60)</f>
        <v>1.6204176370866805</v>
      </c>
      <c r="R163" s="8">
        <v>0</v>
      </c>
      <c r="S163" s="15">
        <f t="shared" si="9"/>
        <v>409.10360000000003</v>
      </c>
      <c r="T163" s="3"/>
      <c r="U163" s="15">
        <v>52</v>
      </c>
      <c r="V163" s="17">
        <v>6.4899999999999995E-4</v>
      </c>
      <c r="W163" s="12">
        <v>46331</v>
      </c>
      <c r="X163" s="7">
        <v>56</v>
      </c>
      <c r="Y163" s="15">
        <f>(IF(P163&gt;0,P163+R163,R163)-(X163*Ventas!AE197*1))</f>
        <v>173.46680000000003</v>
      </c>
      <c r="Z163" s="18">
        <f>(Y163/(Ventas!AE197*1)/60)</f>
        <v>0.68708430375334706</v>
      </c>
      <c r="AA163" s="15">
        <f>(120*(Ventas!AE197*1) - IF(Y163&gt;0,Y163,0))</f>
        <v>331.46919999999994</v>
      </c>
      <c r="AB163" s="15">
        <f t="shared" si="10"/>
        <v>331.46919999999994</v>
      </c>
      <c r="AC163" s="15">
        <f t="shared" si="11"/>
        <v>504.93599999999998</v>
      </c>
      <c r="AD163" s="16">
        <v>1.2417</v>
      </c>
      <c r="AE163" s="8">
        <v>3010</v>
      </c>
      <c r="AF163" s="15">
        <f>(AC163-(60*Ventas!AE197*1))</f>
        <v>252.46799999999999</v>
      </c>
      <c r="AG163" s="18">
        <f>(AF163/(Ventas!AE197*1)/60)</f>
        <v>1</v>
      </c>
      <c r="AH163" s="1" t="s">
        <v>37</v>
      </c>
    </row>
    <row r="164" spans="1:34" x14ac:dyDescent="0.25">
      <c r="A164" s="1" t="s">
        <v>427</v>
      </c>
      <c r="B164" s="1" t="s">
        <v>453</v>
      </c>
      <c r="C164" s="14" t="s">
        <v>452</v>
      </c>
      <c r="D164" s="8">
        <v>133</v>
      </c>
      <c r="E164" s="12">
        <v>46238</v>
      </c>
      <c r="F164" s="7">
        <v>1</v>
      </c>
      <c r="G164" s="15">
        <f>(D164-(0)+0-(F164*Ventas!AE198*1))</f>
        <v>132.3877</v>
      </c>
      <c r="H164" s="18">
        <f>(G164/(Ventas!AE198*1)/60)</f>
        <v>3.60356306821275</v>
      </c>
      <c r="I164" s="8">
        <v>0</v>
      </c>
      <c r="J164" s="15">
        <f t="shared" si="8"/>
        <v>132.3877</v>
      </c>
      <c r="K164" s="3"/>
      <c r="L164" s="15">
        <v>52</v>
      </c>
      <c r="M164" s="17">
        <v>6.4899999999999995E-4</v>
      </c>
      <c r="N164" s="12">
        <v>46275</v>
      </c>
      <c r="O164" s="7">
        <v>37</v>
      </c>
      <c r="P164" s="15">
        <f>(IF(G164&gt;0,G164+I164,I164)-(O164*Ventas!AE198*1))</f>
        <v>109.73259999999999</v>
      </c>
      <c r="Q164" s="18">
        <f>(P164/(Ventas!AE198*1)/60)</f>
        <v>2.9868964015460833</v>
      </c>
      <c r="R164" s="8">
        <v>0</v>
      </c>
      <c r="S164" s="15">
        <f t="shared" si="9"/>
        <v>109.73259999999999</v>
      </c>
      <c r="T164" s="3"/>
      <c r="U164" s="15">
        <v>52</v>
      </c>
      <c r="V164" s="17">
        <v>6.4899999999999995E-4</v>
      </c>
      <c r="W164" s="12">
        <v>46331</v>
      </c>
      <c r="X164" s="7">
        <v>56</v>
      </c>
      <c r="Y164" s="15">
        <f>(IF(P164&gt;0,P164+R164,R164)-(X164*Ventas!AE198*1))</f>
        <v>75.443799999999996</v>
      </c>
      <c r="Z164" s="18">
        <f>(Y164/(Ventas!AE198*1)/60)</f>
        <v>2.0535630682127497</v>
      </c>
      <c r="AA164" s="15">
        <f>(120*(Ventas!AE198*1) - IF(Y164&gt;0,Y164,0))</f>
        <v>-1.9677999999999969</v>
      </c>
      <c r="AB164" s="15">
        <f t="shared" si="10"/>
        <v>0</v>
      </c>
      <c r="AC164" s="15">
        <f t="shared" si="11"/>
        <v>75.443799999999996</v>
      </c>
      <c r="AD164" s="16">
        <v>1.2</v>
      </c>
      <c r="AE164" s="8">
        <v>3010</v>
      </c>
      <c r="AF164" s="15">
        <f>(AC164-(60*Ventas!AE198*1))</f>
        <v>38.705799999999996</v>
      </c>
      <c r="AG164" s="18">
        <f>(AF164/(Ventas!AE198*1)/60)</f>
        <v>1.0535630682127497</v>
      </c>
      <c r="AH164" s="1" t="s">
        <v>34</v>
      </c>
    </row>
    <row r="165" spans="1:34" x14ac:dyDescent="0.25">
      <c r="A165" s="1" t="s">
        <v>362</v>
      </c>
      <c r="B165" s="1" t="s">
        <v>455</v>
      </c>
      <c r="C165" s="14" t="s">
        <v>454</v>
      </c>
      <c r="D165" s="3"/>
      <c r="E165" s="12">
        <v>46238</v>
      </c>
      <c r="F165" s="7">
        <v>1</v>
      </c>
      <c r="G165" s="15">
        <f>(D165-(0)+0-(F165*Ventas!AE199*1))</f>
        <v>-2.5939000000000001</v>
      </c>
      <c r="H165" s="18">
        <f>(G165/(Ventas!AE199*1)/60)</f>
        <v>-1.6666666666666666E-2</v>
      </c>
      <c r="I165" s="8">
        <v>0</v>
      </c>
      <c r="J165" s="15">
        <f t="shared" si="8"/>
        <v>0</v>
      </c>
      <c r="K165" s="3"/>
      <c r="L165" s="15">
        <v>52</v>
      </c>
      <c r="M165" s="17">
        <v>6.4899999999999995E-4</v>
      </c>
      <c r="N165" s="12">
        <v>46275</v>
      </c>
      <c r="O165" s="7">
        <v>37</v>
      </c>
      <c r="P165" s="15">
        <f>(IF(G165&gt;0,G165+I165,I165)-(O165*Ventas!AE199*1))</f>
        <v>-95.974299999999999</v>
      </c>
      <c r="Q165" s="18">
        <f>(P165/(Ventas!AE199*1)/60)</f>
        <v>-0.6166666666666667</v>
      </c>
      <c r="R165" s="8">
        <v>0</v>
      </c>
      <c r="S165" s="15">
        <f t="shared" si="9"/>
        <v>0</v>
      </c>
      <c r="T165" s="3"/>
      <c r="U165" s="15">
        <v>52</v>
      </c>
      <c r="V165" s="17">
        <v>6.4899999999999995E-4</v>
      </c>
      <c r="W165" s="12">
        <v>46331</v>
      </c>
      <c r="X165" s="7">
        <v>56</v>
      </c>
      <c r="Y165" s="15">
        <f>(IF(P165&gt;0,P165+R165,R165)-(X165*Ventas!AE199*1))</f>
        <v>-145.25839999999999</v>
      </c>
      <c r="Z165" s="18">
        <f>(Y165/(Ventas!AE199*1)/60)</f>
        <v>-0.93333333333333324</v>
      </c>
      <c r="AA165" s="15">
        <f>(120*(Ventas!AE199*1) - IF(Y165&gt;0,Y165,0))</f>
        <v>311.26800000000003</v>
      </c>
      <c r="AB165" s="15">
        <f t="shared" si="10"/>
        <v>311.26800000000003</v>
      </c>
      <c r="AC165" s="15">
        <f t="shared" si="11"/>
        <v>311.26800000000003</v>
      </c>
      <c r="AD165" s="16">
        <v>1.27</v>
      </c>
      <c r="AE165" s="8">
        <v>3010</v>
      </c>
      <c r="AF165" s="15">
        <f>(AC165-(60*Ventas!AE199*1))</f>
        <v>155.63400000000001</v>
      </c>
      <c r="AG165" s="18">
        <f>(AF165/(Ventas!AE199*1)/60)</f>
        <v>1</v>
      </c>
      <c r="AH165" s="1" t="s">
        <v>34</v>
      </c>
    </row>
    <row r="166" spans="1:34" x14ac:dyDescent="0.25">
      <c r="A166" s="1" t="s">
        <v>444</v>
      </c>
      <c r="B166" s="1" t="s">
        <v>457</v>
      </c>
      <c r="C166" s="14" t="s">
        <v>456</v>
      </c>
      <c r="D166" s="3"/>
      <c r="E166" s="12">
        <v>46238</v>
      </c>
      <c r="F166" s="7">
        <v>1</v>
      </c>
      <c r="G166" s="15">
        <f>(D166-(0)+0-(F166*Ventas!AE200*1))</f>
        <v>-2.2496999999999998</v>
      </c>
      <c r="H166" s="18">
        <f>(G166/(Ventas!AE200*1)/60)</f>
        <v>-1.6666666666666666E-2</v>
      </c>
      <c r="I166" s="8">
        <v>312</v>
      </c>
      <c r="J166" s="15">
        <f t="shared" si="8"/>
        <v>312</v>
      </c>
      <c r="K166" s="15">
        <v>1.34</v>
      </c>
      <c r="L166" s="15">
        <v>52</v>
      </c>
      <c r="M166" s="17">
        <v>6.4899999999999995E-4</v>
      </c>
      <c r="N166" s="12">
        <v>46275</v>
      </c>
      <c r="O166" s="7">
        <v>37</v>
      </c>
      <c r="P166" s="15">
        <f>(IF(G166&gt;0,G166+I166,I166)-(O166*Ventas!AE200*1))</f>
        <v>228.7611</v>
      </c>
      <c r="Q166" s="18">
        <f>(P166/(Ventas!AE200*1)/60)</f>
        <v>1.6947526336844914</v>
      </c>
      <c r="R166" s="8">
        <v>52</v>
      </c>
      <c r="S166" s="15">
        <f t="shared" si="9"/>
        <v>280.7611</v>
      </c>
      <c r="T166" s="15">
        <v>1.35</v>
      </c>
      <c r="U166" s="15">
        <v>52</v>
      </c>
      <c r="V166" s="17">
        <v>6.4899999999999995E-4</v>
      </c>
      <c r="W166" s="12">
        <v>46331</v>
      </c>
      <c r="X166" s="7">
        <v>56</v>
      </c>
      <c r="Y166" s="15">
        <f>(IF(P166&gt;0,P166+R166,R166)-(X166*Ventas!AE200*1))</f>
        <v>154.77790000000002</v>
      </c>
      <c r="Z166" s="18">
        <f>(Y166/(Ventas!AE200*1)/60)</f>
        <v>1.1466558504096844</v>
      </c>
      <c r="AA166" s="15">
        <f>(120*(Ventas!AE200*1) - IF(Y166&gt;0,Y166,0))</f>
        <v>115.18609999999998</v>
      </c>
      <c r="AB166" s="15">
        <f t="shared" si="10"/>
        <v>115.18609999999998</v>
      </c>
      <c r="AC166" s="15">
        <f t="shared" si="11"/>
        <v>269.964</v>
      </c>
      <c r="AD166" s="16">
        <v>1.34</v>
      </c>
      <c r="AE166" s="8">
        <v>3025</v>
      </c>
      <c r="AF166" s="15">
        <f>(AC166-(60*Ventas!AE200*1))</f>
        <v>134.982</v>
      </c>
      <c r="AG166" s="18">
        <f>(AF166/(Ventas!AE200*1)/60)</f>
        <v>1.0000000000000002</v>
      </c>
      <c r="AH166" s="1" t="s">
        <v>37</v>
      </c>
    </row>
    <row r="167" spans="1:34" x14ac:dyDescent="0.25">
      <c r="A167" s="1" t="s">
        <v>365</v>
      </c>
      <c r="B167" s="1" t="s">
        <v>459</v>
      </c>
      <c r="C167" s="14" t="s">
        <v>458</v>
      </c>
      <c r="D167" s="8">
        <v>2</v>
      </c>
      <c r="E167" s="12">
        <v>46238</v>
      </c>
      <c r="F167" s="7">
        <v>1</v>
      </c>
      <c r="G167" s="15">
        <f>(D167-(0)+0-(F167*Ventas!AE201*1))</f>
        <v>0.8136000000000001</v>
      </c>
      <c r="H167" s="18">
        <f>(G167/(Ventas!AE201*1)/60)</f>
        <v>1.1429534726904925E-2</v>
      </c>
      <c r="I167" s="8">
        <v>0</v>
      </c>
      <c r="J167" s="15">
        <f t="shared" si="8"/>
        <v>0.8136000000000001</v>
      </c>
      <c r="K167" s="3"/>
      <c r="L167" s="15">
        <v>52</v>
      </c>
      <c r="M167" s="17">
        <v>6.4899999999999995E-4</v>
      </c>
      <c r="N167" s="12">
        <v>46275</v>
      </c>
      <c r="O167" s="7">
        <v>37</v>
      </c>
      <c r="P167" s="15">
        <f>(IF(G167&gt;0,G167+I167,I167)-(O167*Ventas!AE201*1))</f>
        <v>-43.083199999999998</v>
      </c>
      <c r="Q167" s="18">
        <f>(P167/(Ventas!AE201*1)/60)</f>
        <v>-0.6052371319397617</v>
      </c>
      <c r="R167" s="8">
        <v>0</v>
      </c>
      <c r="S167" s="15">
        <f t="shared" si="9"/>
        <v>0</v>
      </c>
      <c r="T167" s="3"/>
      <c r="U167" s="15">
        <v>52</v>
      </c>
      <c r="V167" s="17">
        <v>6.4899999999999995E-4</v>
      </c>
      <c r="W167" s="12">
        <v>46331</v>
      </c>
      <c r="X167" s="7">
        <v>56</v>
      </c>
      <c r="Y167" s="15">
        <f>(IF(P167&gt;0,P167+R167,R167)-(X167*Ventas!AE201*1))</f>
        <v>-66.438400000000001</v>
      </c>
      <c r="Z167" s="18">
        <f>(Y167/(Ventas!AE201*1)/60)</f>
        <v>-0.93333333333333346</v>
      </c>
      <c r="AA167" s="15">
        <f>(120*(Ventas!AE201*1) - IF(Y167&gt;0,Y167,0))</f>
        <v>142.36799999999999</v>
      </c>
      <c r="AB167" s="15">
        <f t="shared" si="10"/>
        <v>142.36799999999999</v>
      </c>
      <c r="AC167" s="15">
        <f t="shared" si="11"/>
        <v>142.36799999999999</v>
      </c>
      <c r="AD167" s="16">
        <v>1.3</v>
      </c>
      <c r="AE167" s="8">
        <v>3010</v>
      </c>
      <c r="AF167" s="15">
        <f>(AC167-(60*Ventas!AE201*1))</f>
        <v>71.183999999999997</v>
      </c>
      <c r="AG167" s="18">
        <f>(AF167/(Ventas!AE201*1)/60)</f>
        <v>1</v>
      </c>
      <c r="AH167" s="1" t="s">
        <v>34</v>
      </c>
    </row>
    <row r="168" spans="1:34" x14ac:dyDescent="0.25">
      <c r="A168" s="1" t="s">
        <v>462</v>
      </c>
      <c r="B168" s="1" t="s">
        <v>461</v>
      </c>
      <c r="C168" s="14" t="s">
        <v>460</v>
      </c>
      <c r="D168" s="8">
        <v>12</v>
      </c>
      <c r="E168" s="12">
        <v>46238</v>
      </c>
      <c r="F168" s="7">
        <v>1</v>
      </c>
      <c r="G168" s="15">
        <f>(D168-(0)+0-(F168*Ventas!AE202*1))</f>
        <v>11.3735</v>
      </c>
      <c r="H168" s="18">
        <f>(G168/(Ventas!AE202*1)/60)</f>
        <v>0.30256717212024481</v>
      </c>
      <c r="I168" s="8">
        <v>48</v>
      </c>
      <c r="J168" s="15">
        <f t="shared" si="8"/>
        <v>59.3735</v>
      </c>
      <c r="K168" s="15">
        <v>3.45</v>
      </c>
      <c r="L168" s="15">
        <v>48</v>
      </c>
      <c r="M168" s="17">
        <v>7.0299999999999996E-4</v>
      </c>
      <c r="N168" s="12">
        <v>46275</v>
      </c>
      <c r="O168" s="7">
        <v>37</v>
      </c>
      <c r="P168" s="15">
        <f>(IF(G168&gt;0,G168+I168,I168)-(O168*Ventas!AE202*1))</f>
        <v>36.192999999999998</v>
      </c>
      <c r="Q168" s="18">
        <f>(P168/(Ventas!AE202*1)/60)</f>
        <v>0.96283586060122384</v>
      </c>
      <c r="R168" s="8">
        <v>0</v>
      </c>
      <c r="S168" s="15">
        <f t="shared" si="9"/>
        <v>36.192999999999998</v>
      </c>
      <c r="T168" s="3"/>
      <c r="U168" s="15">
        <v>48</v>
      </c>
      <c r="V168" s="17">
        <v>7.0299999999999996E-4</v>
      </c>
      <c r="W168" s="12">
        <v>46331</v>
      </c>
      <c r="X168" s="7">
        <v>56</v>
      </c>
      <c r="Y168" s="15">
        <f>(IF(P168&gt;0,P168+R168,R168)-(X168*Ventas!AE202*1))</f>
        <v>1.1090000000000018</v>
      </c>
      <c r="Z168" s="18">
        <f>(Y168/(Ventas!AE202*1)/60)</f>
        <v>2.9502527267890447E-2</v>
      </c>
      <c r="AA168" s="15">
        <f>(120*(Ventas!AE202*1) - IF(Y168&gt;0,Y168,0))</f>
        <v>74.070999999999998</v>
      </c>
      <c r="AB168" s="15">
        <f t="shared" si="10"/>
        <v>74.070999999999998</v>
      </c>
      <c r="AC168" s="15">
        <f t="shared" si="11"/>
        <v>75.180000000000007</v>
      </c>
      <c r="AD168" s="16">
        <v>3.45</v>
      </c>
      <c r="AE168" s="8">
        <v>3025</v>
      </c>
      <c r="AF168" s="15">
        <f>(AC168-(60*Ventas!AE202*1))</f>
        <v>37.590000000000011</v>
      </c>
      <c r="AG168" s="18">
        <f>(AF168/(Ventas!AE202*1)/60)</f>
        <v>1.0000000000000004</v>
      </c>
      <c r="AH168" s="1" t="s">
        <v>37</v>
      </c>
    </row>
    <row r="169" spans="1:34" x14ac:dyDescent="0.25">
      <c r="A169" s="1" t="s">
        <v>465</v>
      </c>
      <c r="B169" s="1" t="s">
        <v>464</v>
      </c>
      <c r="C169" s="14" t="s">
        <v>463</v>
      </c>
      <c r="D169" s="8">
        <v>74</v>
      </c>
      <c r="E169" s="12">
        <v>46238</v>
      </c>
      <c r="F169" s="7">
        <v>1</v>
      </c>
      <c r="G169" s="15">
        <f>(D169-(0)+0-(F169*Ventas!AE203*1))</f>
        <v>73.664199999999994</v>
      </c>
      <c r="H169" s="18">
        <f>(G169/(Ventas!AE203*1)/60)</f>
        <v>3.6561544570180664</v>
      </c>
      <c r="I169" s="8">
        <v>0</v>
      </c>
      <c r="J169" s="15">
        <f t="shared" si="8"/>
        <v>73.664199999999994</v>
      </c>
      <c r="K169" s="3"/>
      <c r="L169" s="15">
        <v>48</v>
      </c>
      <c r="M169" s="17">
        <v>7.0299999999999996E-4</v>
      </c>
      <c r="N169" s="12">
        <v>46275</v>
      </c>
      <c r="O169" s="7">
        <v>37</v>
      </c>
      <c r="P169" s="15">
        <f>(IF(G169&gt;0,G169+I169,I169)-(O169*Ventas!AE203*1))</f>
        <v>61.239599999999996</v>
      </c>
      <c r="Q169" s="18">
        <f>(P169/(Ventas!AE203*1)/60)</f>
        <v>3.0394877903513997</v>
      </c>
      <c r="R169" s="8">
        <v>0</v>
      </c>
      <c r="S169" s="15">
        <f t="shared" si="9"/>
        <v>61.239599999999996</v>
      </c>
      <c r="T169" s="3"/>
      <c r="U169" s="15">
        <v>48</v>
      </c>
      <c r="V169" s="17">
        <v>7.0299999999999996E-4</v>
      </c>
      <c r="W169" s="12">
        <v>46331</v>
      </c>
      <c r="X169" s="7">
        <v>56</v>
      </c>
      <c r="Y169" s="15">
        <f>(IF(P169&gt;0,P169+R169,R169)-(X169*Ventas!AE203*1))</f>
        <v>42.434799999999996</v>
      </c>
      <c r="Z169" s="18">
        <f>(Y169/(Ventas!AE203*1)/60)</f>
        <v>2.1061544570180661</v>
      </c>
      <c r="AA169" s="15">
        <f>(120*(Ventas!AE203*1) - IF(Y169&gt;0,Y169,0))</f>
        <v>-2.1387999999999963</v>
      </c>
      <c r="AB169" s="15">
        <f t="shared" si="10"/>
        <v>0</v>
      </c>
      <c r="AC169" s="15">
        <f t="shared" si="11"/>
        <v>42.434799999999996</v>
      </c>
      <c r="AD169" s="16">
        <v>3.7</v>
      </c>
      <c r="AE169" s="8">
        <v>3027</v>
      </c>
      <c r="AF169" s="15">
        <f>(AC169-(60*Ventas!AE203*1))</f>
        <v>22.286799999999996</v>
      </c>
      <c r="AG169" s="18">
        <f>(AF169/(Ventas!AE203*1)/60)</f>
        <v>1.1061544570180664</v>
      </c>
      <c r="AH169" s="1" t="s">
        <v>37</v>
      </c>
    </row>
    <row r="170" spans="1:34" x14ac:dyDescent="0.25">
      <c r="A170" s="1" t="s">
        <v>468</v>
      </c>
      <c r="B170" s="1" t="s">
        <v>467</v>
      </c>
      <c r="C170" s="14" t="s">
        <v>466</v>
      </c>
      <c r="D170" s="3"/>
      <c r="E170" s="12">
        <v>46238</v>
      </c>
      <c r="F170" s="7">
        <v>1</v>
      </c>
      <c r="G170" s="15">
        <f>(D170-(0)+0-(F170*Ventas!AE204*1))</f>
        <v>-0.50639999999999996</v>
      </c>
      <c r="H170" s="18">
        <f>(G170/(Ventas!AE204*1)/60)</f>
        <v>-1.6666666666666666E-2</v>
      </c>
      <c r="I170" s="8">
        <v>0</v>
      </c>
      <c r="J170" s="15">
        <f t="shared" si="8"/>
        <v>0</v>
      </c>
      <c r="K170" s="3"/>
      <c r="L170" s="15">
        <v>52</v>
      </c>
      <c r="M170" s="17">
        <v>6.4899999999999995E-4</v>
      </c>
      <c r="N170" s="12">
        <v>46275</v>
      </c>
      <c r="O170" s="7">
        <v>37</v>
      </c>
      <c r="P170" s="15">
        <f>(IF(G170&gt;0,G170+I170,I170)-(O170*Ventas!AE204*1))</f>
        <v>-18.736799999999999</v>
      </c>
      <c r="Q170" s="18">
        <f>(P170/(Ventas!AE204*1)/60)</f>
        <v>-0.6166666666666667</v>
      </c>
      <c r="R170" s="8">
        <v>0</v>
      </c>
      <c r="S170" s="15">
        <f t="shared" si="9"/>
        <v>0</v>
      </c>
      <c r="T170" s="3"/>
      <c r="U170" s="15">
        <v>52</v>
      </c>
      <c r="V170" s="17">
        <v>6.4899999999999995E-4</v>
      </c>
      <c r="W170" s="12">
        <v>46331</v>
      </c>
      <c r="X170" s="7">
        <v>56</v>
      </c>
      <c r="Y170" s="15">
        <f>(IF(P170&gt;0,P170+R170,R170)-(X170*Ventas!AE204*1))</f>
        <v>-28.358399999999996</v>
      </c>
      <c r="Z170" s="18">
        <f>(Y170/(Ventas!AE204*1)/60)</f>
        <v>-0.93333333333333335</v>
      </c>
      <c r="AA170" s="15">
        <f>(120*(Ventas!AE204*1) - IF(Y170&gt;0,Y170,0))</f>
        <v>60.767999999999994</v>
      </c>
      <c r="AB170" s="15">
        <f t="shared" si="10"/>
        <v>60.767999999999994</v>
      </c>
      <c r="AC170" s="15">
        <f t="shared" si="11"/>
        <v>60.767999999999994</v>
      </c>
      <c r="AD170" s="16">
        <v>3.65</v>
      </c>
      <c r="AE170" s="8">
        <v>3010</v>
      </c>
      <c r="AF170" s="15">
        <f>(AC170-(60*Ventas!AE204*1))</f>
        <v>30.383999999999997</v>
      </c>
      <c r="AG170" s="18">
        <f>(AF170/(Ventas!AE204*1)/60)</f>
        <v>1</v>
      </c>
      <c r="AH170" s="1" t="s">
        <v>34</v>
      </c>
    </row>
    <row r="171" spans="1:34" x14ac:dyDescent="0.25">
      <c r="A171" s="1" t="s">
        <v>471</v>
      </c>
      <c r="B171" s="1" t="s">
        <v>470</v>
      </c>
      <c r="C171" s="14" t="s">
        <v>469</v>
      </c>
      <c r="D171" s="3"/>
      <c r="E171" s="12">
        <v>46238</v>
      </c>
      <c r="F171" s="7">
        <v>1</v>
      </c>
      <c r="G171" s="15">
        <f>(D171-(0)+0-(F171*Ventas!AE205*1))</f>
        <v>-1.1998</v>
      </c>
      <c r="H171" s="18">
        <f>(G171/(Ventas!AE205*1)/60)</f>
        <v>-1.6666666666666666E-2</v>
      </c>
      <c r="I171" s="8">
        <v>0</v>
      </c>
      <c r="J171" s="15">
        <f t="shared" si="8"/>
        <v>0</v>
      </c>
      <c r="K171" s="3"/>
      <c r="L171" s="15">
        <v>52</v>
      </c>
      <c r="M171" s="17">
        <v>6.4899999999999995E-4</v>
      </c>
      <c r="N171" s="12">
        <v>46275</v>
      </c>
      <c r="O171" s="7">
        <v>37</v>
      </c>
      <c r="P171" s="15">
        <f>(IF(G171&gt;0,G171+I171,I171)-(O171*Ventas!AE205*1))</f>
        <v>-44.392600000000002</v>
      </c>
      <c r="Q171" s="18">
        <f>(P171/(Ventas!AE205*1)/60)</f>
        <v>-0.6166666666666667</v>
      </c>
      <c r="R171" s="8">
        <v>0</v>
      </c>
      <c r="S171" s="15">
        <f t="shared" si="9"/>
        <v>0</v>
      </c>
      <c r="T171" s="3"/>
      <c r="U171" s="15">
        <v>52</v>
      </c>
      <c r="V171" s="17">
        <v>6.4899999999999995E-4</v>
      </c>
      <c r="W171" s="12">
        <v>46331</v>
      </c>
      <c r="X171" s="7">
        <v>56</v>
      </c>
      <c r="Y171" s="15">
        <f>(IF(P171&gt;0,P171+R171,R171)-(X171*Ventas!AE205*1))</f>
        <v>-67.188800000000001</v>
      </c>
      <c r="Z171" s="18">
        <f>(Y171/(Ventas!AE205*1)/60)</f>
        <v>-0.93333333333333335</v>
      </c>
      <c r="AA171" s="15">
        <f>(120*(Ventas!AE205*1) - IF(Y171&gt;0,Y171,0))</f>
        <v>143.976</v>
      </c>
      <c r="AB171" s="15">
        <f t="shared" si="10"/>
        <v>143.976</v>
      </c>
      <c r="AC171" s="15">
        <f t="shared" si="11"/>
        <v>143.976</v>
      </c>
      <c r="AD171" s="16">
        <v>3.35</v>
      </c>
      <c r="AE171" s="8">
        <v>3027</v>
      </c>
      <c r="AF171" s="15">
        <f>(AC171-(60*Ventas!AE205*1))</f>
        <v>71.988</v>
      </c>
      <c r="AG171" s="18">
        <f>(AF171/(Ventas!AE205*1)/60)</f>
        <v>1</v>
      </c>
      <c r="AH171" s="1" t="s">
        <v>34</v>
      </c>
    </row>
    <row r="172" spans="1:34" x14ac:dyDescent="0.25">
      <c r="A172" s="1" t="s">
        <v>474</v>
      </c>
      <c r="B172" s="1" t="s">
        <v>473</v>
      </c>
      <c r="C172" s="14" t="s">
        <v>472</v>
      </c>
      <c r="D172" s="3"/>
      <c r="E172" s="12">
        <v>46238</v>
      </c>
      <c r="F172" s="7">
        <v>1</v>
      </c>
      <c r="G172" s="15">
        <f>(D172-(0)+0-(F172*Ventas!AE206*1))</f>
        <v>-0.2707</v>
      </c>
      <c r="H172" s="18">
        <f>(G172/(Ventas!AE206*1)/60)</f>
        <v>-1.6666666666666666E-2</v>
      </c>
      <c r="I172" s="8">
        <v>0</v>
      </c>
      <c r="J172" s="15">
        <f t="shared" si="8"/>
        <v>0</v>
      </c>
      <c r="K172" s="3"/>
      <c r="L172" s="15">
        <v>52</v>
      </c>
      <c r="M172" s="17">
        <v>6.4899999999999995E-4</v>
      </c>
      <c r="N172" s="12">
        <v>46275</v>
      </c>
      <c r="O172" s="7">
        <v>37</v>
      </c>
      <c r="P172" s="15">
        <f>(IF(G172&gt;0,G172+I172,I172)-(O172*Ventas!AE206*1))</f>
        <v>-10.0159</v>
      </c>
      <c r="Q172" s="18">
        <f>(P172/(Ventas!AE206*1)/60)</f>
        <v>-0.6166666666666667</v>
      </c>
      <c r="R172" s="8">
        <v>0</v>
      </c>
      <c r="S172" s="15">
        <f t="shared" si="9"/>
        <v>0</v>
      </c>
      <c r="T172" s="3"/>
      <c r="U172" s="15">
        <v>52</v>
      </c>
      <c r="V172" s="17">
        <v>6.4899999999999995E-4</v>
      </c>
      <c r="W172" s="12">
        <v>46331</v>
      </c>
      <c r="X172" s="7">
        <v>56</v>
      </c>
      <c r="Y172" s="15">
        <f>(IF(P172&gt;0,P172+R172,R172)-(X172*Ventas!AE206*1))</f>
        <v>-15.1592</v>
      </c>
      <c r="Z172" s="18">
        <f>(Y172/(Ventas!AE206*1)/60)</f>
        <v>-0.93333333333333335</v>
      </c>
      <c r="AA172" s="15">
        <f>(120*(Ventas!AE206*1) - IF(Y172&gt;0,Y172,0))</f>
        <v>32.484000000000002</v>
      </c>
      <c r="AB172" s="15">
        <f t="shared" si="10"/>
        <v>32.484000000000002</v>
      </c>
      <c r="AC172" s="15">
        <f t="shared" si="11"/>
        <v>32.484000000000002</v>
      </c>
      <c r="AD172" s="16">
        <v>4.1399999999999997</v>
      </c>
      <c r="AE172" s="8">
        <v>3010</v>
      </c>
      <c r="AF172" s="15">
        <f>(AC172-(60*Ventas!AE206*1))</f>
        <v>16.242000000000001</v>
      </c>
      <c r="AG172" s="18">
        <f>(AF172/(Ventas!AE206*1)/60)</f>
        <v>1.0000000000000002</v>
      </c>
      <c r="AH172" s="1" t="s">
        <v>34</v>
      </c>
    </row>
    <row r="173" spans="1:34" x14ac:dyDescent="0.25">
      <c r="A173" s="1" t="s">
        <v>477</v>
      </c>
      <c r="B173" s="1" t="s">
        <v>476</v>
      </c>
      <c r="C173" s="14" t="s">
        <v>475</v>
      </c>
      <c r="D173" s="3"/>
      <c r="E173" s="12">
        <v>46238</v>
      </c>
      <c r="F173" s="7">
        <v>1</v>
      </c>
      <c r="G173" s="15">
        <f>(D173-(0)+0-(F173*Ventas!AE207*1))</f>
        <v>-0.27779999999999999</v>
      </c>
      <c r="H173" s="18">
        <f>(G173/(Ventas!AE207*1)/60)</f>
        <v>-1.6666666666666666E-2</v>
      </c>
      <c r="I173" s="8">
        <v>0</v>
      </c>
      <c r="J173" s="15">
        <f t="shared" si="8"/>
        <v>0</v>
      </c>
      <c r="K173" s="3"/>
      <c r="L173" s="15">
        <v>40</v>
      </c>
      <c r="M173" s="17">
        <v>8.4400000000000002E-4</v>
      </c>
      <c r="N173" s="12">
        <v>46275</v>
      </c>
      <c r="O173" s="7">
        <v>37</v>
      </c>
      <c r="P173" s="15">
        <f>(IF(G173&gt;0,G173+I173,I173)-(O173*Ventas!AE207*1))</f>
        <v>-10.278599999999999</v>
      </c>
      <c r="Q173" s="18">
        <f>(P173/(Ventas!AE207*1)/60)</f>
        <v>-0.6166666666666667</v>
      </c>
      <c r="R173" s="8">
        <v>0</v>
      </c>
      <c r="S173" s="15">
        <f t="shared" si="9"/>
        <v>0</v>
      </c>
      <c r="T173" s="3"/>
      <c r="U173" s="15">
        <v>40</v>
      </c>
      <c r="V173" s="17">
        <v>8.4400000000000002E-4</v>
      </c>
      <c r="W173" s="12">
        <v>46331</v>
      </c>
      <c r="X173" s="7">
        <v>56</v>
      </c>
      <c r="Y173" s="15">
        <f>(IF(P173&gt;0,P173+R173,R173)-(X173*Ventas!AE207*1))</f>
        <v>-15.556799999999999</v>
      </c>
      <c r="Z173" s="18">
        <f>(Y173/(Ventas!AE207*1)/60)</f>
        <v>-0.93333333333333335</v>
      </c>
      <c r="AA173" s="15">
        <f>(120*(Ventas!AE207*1) - IF(Y173&gt;0,Y173,0))</f>
        <v>33.335999999999999</v>
      </c>
      <c r="AB173" s="15">
        <f t="shared" si="10"/>
        <v>33.335999999999999</v>
      </c>
      <c r="AC173" s="15">
        <f t="shared" si="11"/>
        <v>33.335999999999999</v>
      </c>
      <c r="AD173" s="16">
        <v>4.71</v>
      </c>
      <c r="AE173" s="8">
        <v>3017</v>
      </c>
      <c r="AF173" s="15">
        <f>(AC173-(60*Ventas!AE207*1))</f>
        <v>16.667999999999999</v>
      </c>
      <c r="AG173" s="18">
        <f>(AF173/(Ventas!AE207*1)/60)</f>
        <v>1</v>
      </c>
      <c r="AH173" s="1" t="s">
        <v>34</v>
      </c>
    </row>
    <row r="174" spans="1:34" x14ac:dyDescent="0.25">
      <c r="A174" s="1" t="s">
        <v>480</v>
      </c>
      <c r="B174" s="1" t="s">
        <v>479</v>
      </c>
      <c r="C174" s="14" t="s">
        <v>478</v>
      </c>
      <c r="D174" s="3"/>
      <c r="E174" s="12">
        <v>46238</v>
      </c>
      <c r="F174" s="7">
        <v>1</v>
      </c>
      <c r="G174" s="15">
        <f>(D174-(0)+0-(F174*Ventas!AE208*1))</f>
        <v>0</v>
      </c>
      <c r="H174" s="3"/>
      <c r="I174" s="8">
        <v>0</v>
      </c>
      <c r="J174" s="15">
        <f t="shared" si="8"/>
        <v>0</v>
      </c>
      <c r="K174" s="3"/>
      <c r="L174" s="15">
        <v>40</v>
      </c>
      <c r="M174" s="17">
        <v>8.4400000000000002E-4</v>
      </c>
      <c r="N174" s="12">
        <v>46275</v>
      </c>
      <c r="O174" s="7">
        <v>37</v>
      </c>
      <c r="P174" s="15">
        <f>(IF(G174&gt;0,G174+I174,I174)-(O174*Ventas!AE208*1))</f>
        <v>0</v>
      </c>
      <c r="Q174" s="3"/>
      <c r="R174" s="8">
        <v>0</v>
      </c>
      <c r="S174" s="15">
        <f t="shared" si="9"/>
        <v>0</v>
      </c>
      <c r="T174" s="3"/>
      <c r="U174" s="15">
        <v>40</v>
      </c>
      <c r="V174" s="17">
        <v>8.4400000000000002E-4</v>
      </c>
      <c r="W174" s="12">
        <v>46331</v>
      </c>
      <c r="X174" s="7">
        <v>56</v>
      </c>
      <c r="Y174" s="15">
        <f>(IF(P174&gt;0,P174+R174,R174)-(X174*Ventas!AE208*1))</f>
        <v>0</v>
      </c>
      <c r="Z174" s="3"/>
      <c r="AA174" s="15">
        <f>(120*(Ventas!AE208*1) - IF(Y174&gt;0,Y174,0))</f>
        <v>0</v>
      </c>
      <c r="AB174" s="15">
        <f t="shared" si="10"/>
        <v>0</v>
      </c>
      <c r="AC174" s="15">
        <f t="shared" si="11"/>
        <v>0</v>
      </c>
      <c r="AD174" s="16">
        <v>9.5</v>
      </c>
      <c r="AE174" s="8">
        <v>3010</v>
      </c>
      <c r="AF174" s="3"/>
      <c r="AG174" s="3"/>
      <c r="AH174" s="1" t="s">
        <v>34</v>
      </c>
    </row>
    <row r="175" spans="1:34" x14ac:dyDescent="0.25">
      <c r="A175" s="1" t="s">
        <v>462</v>
      </c>
      <c r="B175" s="1" t="s">
        <v>482</v>
      </c>
      <c r="C175" s="14" t="s">
        <v>481</v>
      </c>
      <c r="D175" s="3"/>
      <c r="E175" s="12">
        <v>46238</v>
      </c>
      <c r="F175" s="7">
        <v>1</v>
      </c>
      <c r="G175" s="15">
        <f>(D175-(0)+0-(F175*Ventas!AE209*1))</f>
        <v>0</v>
      </c>
      <c r="H175" s="3"/>
      <c r="I175" s="8">
        <v>0</v>
      </c>
      <c r="J175" s="15">
        <f t="shared" si="8"/>
        <v>0</v>
      </c>
      <c r="K175" s="3"/>
      <c r="L175" s="15">
        <v>48</v>
      </c>
      <c r="M175" s="17">
        <v>6.2500000000000001E-4</v>
      </c>
      <c r="N175" s="12">
        <v>46275</v>
      </c>
      <c r="O175" s="7">
        <v>37</v>
      </c>
      <c r="P175" s="15">
        <f>(IF(G175&gt;0,G175+I175,I175)-(O175*Ventas!AE209*1))</f>
        <v>0</v>
      </c>
      <c r="Q175" s="3"/>
      <c r="R175" s="8">
        <v>0</v>
      </c>
      <c r="S175" s="15">
        <f t="shared" si="9"/>
        <v>0</v>
      </c>
      <c r="T175" s="3"/>
      <c r="U175" s="15">
        <v>48</v>
      </c>
      <c r="V175" s="17">
        <v>6.2500000000000001E-4</v>
      </c>
      <c r="W175" s="12">
        <v>46331</v>
      </c>
      <c r="X175" s="7">
        <v>56</v>
      </c>
      <c r="Y175" s="15">
        <f>(IF(P175&gt;0,P175+R175,R175)-(X175*Ventas!AE209*1))</f>
        <v>0</v>
      </c>
      <c r="Z175" s="3"/>
      <c r="AA175" s="15">
        <f>(120*(Ventas!AE209*1) - IF(Y175&gt;0,Y175,0))</f>
        <v>0</v>
      </c>
      <c r="AB175" s="15">
        <f t="shared" si="10"/>
        <v>0</v>
      </c>
      <c r="AC175" s="15">
        <f t="shared" si="11"/>
        <v>0</v>
      </c>
      <c r="AD175" s="3"/>
      <c r="AE175" s="3"/>
      <c r="AF175" s="3"/>
      <c r="AG175" s="3"/>
      <c r="AH175" s="1" t="s">
        <v>37</v>
      </c>
    </row>
    <row r="176" spans="1:34" x14ac:dyDescent="0.25">
      <c r="A176" s="1" t="s">
        <v>465</v>
      </c>
      <c r="B176" s="1" t="s">
        <v>484</v>
      </c>
      <c r="C176" s="14" t="s">
        <v>483</v>
      </c>
      <c r="D176" s="3"/>
      <c r="E176" s="12">
        <v>46238</v>
      </c>
      <c r="F176" s="7">
        <v>1</v>
      </c>
      <c r="G176" s="15">
        <f>(D176-(0)+0-(F176*Ventas!AE210*1))</f>
        <v>0</v>
      </c>
      <c r="H176" s="3"/>
      <c r="I176" s="8">
        <v>0</v>
      </c>
      <c r="J176" s="15">
        <f t="shared" si="8"/>
        <v>0</v>
      </c>
      <c r="K176" s="3"/>
      <c r="L176" s="15">
        <v>48</v>
      </c>
      <c r="M176" s="17">
        <v>6.2500000000000001E-4</v>
      </c>
      <c r="N176" s="12">
        <v>46275</v>
      </c>
      <c r="O176" s="7">
        <v>37</v>
      </c>
      <c r="P176" s="15">
        <f>(IF(G176&gt;0,G176+I176,I176)-(O176*Ventas!AE210*1))</f>
        <v>0</v>
      </c>
      <c r="Q176" s="3"/>
      <c r="R176" s="8">
        <v>0</v>
      </c>
      <c r="S176" s="15">
        <f t="shared" si="9"/>
        <v>0</v>
      </c>
      <c r="T176" s="3"/>
      <c r="U176" s="15">
        <v>48</v>
      </c>
      <c r="V176" s="17">
        <v>6.2500000000000001E-4</v>
      </c>
      <c r="W176" s="12">
        <v>46331</v>
      </c>
      <c r="X176" s="7">
        <v>56</v>
      </c>
      <c r="Y176" s="15">
        <f>(IF(P176&gt;0,P176+R176,R176)-(X176*Ventas!AE210*1))</f>
        <v>0</v>
      </c>
      <c r="Z176" s="3"/>
      <c r="AA176" s="15">
        <f>(120*(Ventas!AE210*1) - IF(Y176&gt;0,Y176,0))</f>
        <v>0</v>
      </c>
      <c r="AB176" s="15">
        <f t="shared" si="10"/>
        <v>0</v>
      </c>
      <c r="AC176" s="15">
        <f t="shared" si="11"/>
        <v>0</v>
      </c>
      <c r="AD176" s="3"/>
      <c r="AE176" s="3"/>
      <c r="AF176" s="3"/>
      <c r="AG176" s="3"/>
      <c r="AH176" s="1" t="s">
        <v>37</v>
      </c>
    </row>
    <row r="177" spans="1:34" x14ac:dyDescent="0.25">
      <c r="A177" s="1" t="s">
        <v>487</v>
      </c>
      <c r="B177" s="1" t="s">
        <v>486</v>
      </c>
      <c r="C177" s="14" t="s">
        <v>485</v>
      </c>
      <c r="D177" s="3"/>
      <c r="E177" s="12">
        <v>46238</v>
      </c>
      <c r="F177" s="7">
        <v>1</v>
      </c>
      <c r="G177" s="15">
        <f>(D177-(0)+0-(F177*Ventas!AE211*1))</f>
        <v>0</v>
      </c>
      <c r="H177" s="3"/>
      <c r="I177" s="8">
        <v>0</v>
      </c>
      <c r="J177" s="15">
        <f t="shared" si="8"/>
        <v>0</v>
      </c>
      <c r="K177" s="3"/>
      <c r="L177" s="15">
        <v>40</v>
      </c>
      <c r="M177" s="17">
        <v>8.4400000000000002E-4</v>
      </c>
      <c r="N177" s="12">
        <v>46275</v>
      </c>
      <c r="O177" s="7">
        <v>37</v>
      </c>
      <c r="P177" s="15">
        <f>(IF(G177&gt;0,G177+I177,I177)-(O177*Ventas!AE211*1))</f>
        <v>0</v>
      </c>
      <c r="Q177" s="3"/>
      <c r="R177" s="8">
        <v>0</v>
      </c>
      <c r="S177" s="15">
        <f t="shared" si="9"/>
        <v>0</v>
      </c>
      <c r="T177" s="3"/>
      <c r="U177" s="15">
        <v>40</v>
      </c>
      <c r="V177" s="17">
        <v>8.4400000000000002E-4</v>
      </c>
      <c r="W177" s="12">
        <v>46331</v>
      </c>
      <c r="X177" s="7">
        <v>56</v>
      </c>
      <c r="Y177" s="15">
        <f>(IF(P177&gt;0,P177+R177,R177)-(X177*Ventas!AE211*1))</f>
        <v>0</v>
      </c>
      <c r="Z177" s="3"/>
      <c r="AA177" s="15">
        <f>(120*(Ventas!AE211*1) - IF(Y177&gt;0,Y177,0))</f>
        <v>0</v>
      </c>
      <c r="AB177" s="15">
        <f t="shared" si="10"/>
        <v>0</v>
      </c>
      <c r="AC177" s="15">
        <f t="shared" si="11"/>
        <v>0</v>
      </c>
      <c r="AD177" s="16">
        <v>5.07</v>
      </c>
      <c r="AE177" s="8">
        <v>3010</v>
      </c>
      <c r="AF177" s="3"/>
      <c r="AG177" s="3"/>
      <c r="AH177" s="1" t="s">
        <v>34</v>
      </c>
    </row>
    <row r="178" spans="1:34" x14ac:dyDescent="0.25">
      <c r="A178" s="1" t="s">
        <v>490</v>
      </c>
      <c r="B178" s="1" t="s">
        <v>489</v>
      </c>
      <c r="C178" s="14" t="s">
        <v>488</v>
      </c>
      <c r="D178" s="3"/>
      <c r="E178" s="12">
        <v>46238</v>
      </c>
      <c r="F178" s="7">
        <v>1</v>
      </c>
      <c r="G178" s="15">
        <f>(D178-(0)+0-(F178*Ventas!AE212*1))</f>
        <v>-0.51490000000000002</v>
      </c>
      <c r="H178" s="18">
        <f>(G178/(Ventas!AE212*1)/60)</f>
        <v>-1.6666666666666666E-2</v>
      </c>
      <c r="I178" s="8">
        <v>0</v>
      </c>
      <c r="J178" s="15">
        <f t="shared" si="8"/>
        <v>0</v>
      </c>
      <c r="K178" s="3"/>
      <c r="L178" s="15">
        <v>40</v>
      </c>
      <c r="M178" s="17">
        <v>8.4400000000000002E-4</v>
      </c>
      <c r="N178" s="12">
        <v>46275</v>
      </c>
      <c r="O178" s="7">
        <v>37</v>
      </c>
      <c r="P178" s="15">
        <f>(IF(G178&gt;0,G178+I178,I178)-(O178*Ventas!AE212*1))</f>
        <v>-19.051300000000001</v>
      </c>
      <c r="Q178" s="18">
        <f>(P178/(Ventas!AE212*1)/60)</f>
        <v>-0.6166666666666667</v>
      </c>
      <c r="R178" s="8">
        <v>0</v>
      </c>
      <c r="S178" s="15">
        <f t="shared" si="9"/>
        <v>0</v>
      </c>
      <c r="T178" s="3"/>
      <c r="U178" s="15">
        <v>40</v>
      </c>
      <c r="V178" s="17">
        <v>8.4400000000000002E-4</v>
      </c>
      <c r="W178" s="12">
        <v>46331</v>
      </c>
      <c r="X178" s="7">
        <v>56</v>
      </c>
      <c r="Y178" s="15">
        <f>(IF(P178&gt;0,P178+R178,R178)-(X178*Ventas!AE212*1))</f>
        <v>-28.834400000000002</v>
      </c>
      <c r="Z178" s="18">
        <f>(Y178/(Ventas!AE212*1)/60)</f>
        <v>-0.93333333333333335</v>
      </c>
      <c r="AA178" s="15">
        <f>(120*(Ventas!AE212*1) - IF(Y178&gt;0,Y178,0))</f>
        <v>61.788000000000004</v>
      </c>
      <c r="AB178" s="15">
        <f t="shared" si="10"/>
        <v>61.788000000000004</v>
      </c>
      <c r="AC178" s="15">
        <f t="shared" si="11"/>
        <v>61.788000000000004</v>
      </c>
      <c r="AD178" s="16">
        <v>5.35</v>
      </c>
      <c r="AE178" s="8">
        <v>3010</v>
      </c>
      <c r="AF178" s="15">
        <f>(AC178-(60*Ventas!AE212*1))</f>
        <v>30.894000000000002</v>
      </c>
      <c r="AG178" s="18">
        <f>(AF178/(Ventas!AE212*1)/60)</f>
        <v>1</v>
      </c>
      <c r="AH178" s="1" t="s">
        <v>34</v>
      </c>
    </row>
    <row r="179" spans="1:34" x14ac:dyDescent="0.25">
      <c r="A179" s="1" t="s">
        <v>493</v>
      </c>
      <c r="B179" s="1" t="s">
        <v>492</v>
      </c>
      <c r="C179" s="14" t="s">
        <v>491</v>
      </c>
      <c r="D179" s="3"/>
      <c r="E179" s="12">
        <v>46238</v>
      </c>
      <c r="F179" s="7">
        <v>1</v>
      </c>
      <c r="G179" s="15">
        <f>(D179-(0)+0-(F179*Ventas!AE213*1))</f>
        <v>-6.3170000000000002</v>
      </c>
      <c r="H179" s="18">
        <f>(G179/(Ventas!AE213*1)/60)</f>
        <v>-1.6666666666666666E-2</v>
      </c>
      <c r="I179" s="8">
        <v>0</v>
      </c>
      <c r="J179" s="15">
        <f t="shared" si="8"/>
        <v>0</v>
      </c>
      <c r="K179" s="3"/>
      <c r="L179" s="15">
        <v>52</v>
      </c>
      <c r="M179" s="17">
        <v>6.4899999999999995E-4</v>
      </c>
      <c r="N179" s="12">
        <v>46275</v>
      </c>
      <c r="O179" s="7">
        <v>37</v>
      </c>
      <c r="P179" s="15">
        <f>(IF(G179&gt;0,G179+I179,I179)-(O179*Ventas!AE213*1))</f>
        <v>-233.72900000000001</v>
      </c>
      <c r="Q179" s="18">
        <f>(P179/(Ventas!AE213*1)/60)</f>
        <v>-0.6166666666666667</v>
      </c>
      <c r="R179" s="8">
        <v>572</v>
      </c>
      <c r="S179" s="15">
        <f t="shared" si="9"/>
        <v>572</v>
      </c>
      <c r="T179" s="15">
        <v>1.59</v>
      </c>
      <c r="U179" s="15">
        <v>52</v>
      </c>
      <c r="V179" s="17">
        <v>6.4899999999999995E-4</v>
      </c>
      <c r="W179" s="12">
        <v>46331</v>
      </c>
      <c r="X179" s="7">
        <v>56</v>
      </c>
      <c r="Y179" s="15">
        <f>(IF(P179&gt;0,P179+R179,R179)-(X179*Ventas!AE213*1))</f>
        <v>218.24799999999999</v>
      </c>
      <c r="Z179" s="18">
        <f>(Y179/(Ventas!AE213*1)/60)</f>
        <v>0.57582185636641869</v>
      </c>
      <c r="AA179" s="15">
        <f>(120*(Ventas!AE213*1) - IF(Y179&gt;0,Y179,0))</f>
        <v>539.79199999999992</v>
      </c>
      <c r="AB179" s="15">
        <f t="shared" si="10"/>
        <v>539.79199999999992</v>
      </c>
      <c r="AC179" s="15">
        <f t="shared" si="11"/>
        <v>758.04</v>
      </c>
      <c r="AD179" s="16">
        <v>1.55</v>
      </c>
      <c r="AE179" s="8">
        <v>3027</v>
      </c>
      <c r="AF179" s="15">
        <f>(AC179-(60*Ventas!AE213*1))</f>
        <v>379.02</v>
      </c>
      <c r="AG179" s="18">
        <f>(AF179/(Ventas!AE213*1)/60)</f>
        <v>0.99999999999999989</v>
      </c>
      <c r="AH179" s="1" t="s">
        <v>37</v>
      </c>
    </row>
    <row r="180" spans="1:34" x14ac:dyDescent="0.25">
      <c r="A180" s="1" t="s">
        <v>496</v>
      </c>
      <c r="B180" s="1" t="s">
        <v>495</v>
      </c>
      <c r="C180" s="14" t="s">
        <v>494</v>
      </c>
      <c r="D180" s="3"/>
      <c r="E180" s="12">
        <v>46238</v>
      </c>
      <c r="F180" s="7">
        <v>1</v>
      </c>
      <c r="G180" s="15">
        <f>(D180-(0)+0-(F180*Ventas!AE214*1))</f>
        <v>-2.9443999999999999</v>
      </c>
      <c r="H180" s="18">
        <f>(G180/(Ventas!AE214*1)/60)</f>
        <v>-1.6666666666666666E-2</v>
      </c>
      <c r="I180" s="8">
        <v>0</v>
      </c>
      <c r="J180" s="15">
        <f t="shared" si="8"/>
        <v>0</v>
      </c>
      <c r="K180" s="3"/>
      <c r="L180" s="15">
        <v>52</v>
      </c>
      <c r="M180" s="17">
        <v>6.4899999999999995E-4</v>
      </c>
      <c r="N180" s="12">
        <v>46275</v>
      </c>
      <c r="O180" s="7">
        <v>37</v>
      </c>
      <c r="P180" s="15">
        <f>(IF(G180&gt;0,G180+I180,I180)-(O180*Ventas!AE214*1))</f>
        <v>-108.94279999999999</v>
      </c>
      <c r="Q180" s="18">
        <f>(P180/(Ventas!AE214*1)/60)</f>
        <v>-0.6166666666666667</v>
      </c>
      <c r="R180" s="8">
        <v>260</v>
      </c>
      <c r="S180" s="15">
        <f t="shared" si="9"/>
        <v>260</v>
      </c>
      <c r="T180" s="15">
        <v>1.59</v>
      </c>
      <c r="U180" s="15">
        <v>52</v>
      </c>
      <c r="V180" s="17">
        <v>6.4899999999999995E-4</v>
      </c>
      <c r="W180" s="12">
        <v>46331</v>
      </c>
      <c r="X180" s="7">
        <v>56</v>
      </c>
      <c r="Y180" s="15">
        <f>(IF(P180&gt;0,P180+R180,R180)-(X180*Ventas!AE214*1))</f>
        <v>95.113600000000019</v>
      </c>
      <c r="Z180" s="18">
        <f>(Y180/(Ventas!AE214*1)/60)</f>
        <v>0.53838699452067218</v>
      </c>
      <c r="AA180" s="15">
        <f>(120*(Ventas!AE214*1) - IF(Y180&gt;0,Y180,0))</f>
        <v>258.21439999999996</v>
      </c>
      <c r="AB180" s="15">
        <f t="shared" si="10"/>
        <v>258.21439999999996</v>
      </c>
      <c r="AC180" s="15">
        <f t="shared" si="11"/>
        <v>353.32799999999997</v>
      </c>
      <c r="AD180" s="16">
        <v>1.48</v>
      </c>
      <c r="AE180" s="8">
        <v>3010</v>
      </c>
      <c r="AF180" s="15">
        <f>(AC180-(60*Ventas!AE214*1))</f>
        <v>176.66399999999999</v>
      </c>
      <c r="AG180" s="18">
        <f>(AF180/(Ventas!AE214*1)/60)</f>
        <v>1</v>
      </c>
      <c r="AH180" s="1" t="s">
        <v>37</v>
      </c>
    </row>
    <row r="181" spans="1:34" x14ac:dyDescent="0.25">
      <c r="A181" s="1" t="s">
        <v>499</v>
      </c>
      <c r="B181" s="1" t="s">
        <v>498</v>
      </c>
      <c r="C181" s="14" t="s">
        <v>497</v>
      </c>
      <c r="D181" s="3"/>
      <c r="E181" s="12">
        <v>46238</v>
      </c>
      <c r="F181" s="7">
        <v>1</v>
      </c>
      <c r="G181" s="15">
        <f>(D181-(0)+0-(F181*Ventas!AE215*1))</f>
        <v>-3.7993999999999999</v>
      </c>
      <c r="H181" s="18">
        <f>(G181/(Ventas!AE215*1)/60)</f>
        <v>-1.6666666666666666E-2</v>
      </c>
      <c r="I181" s="8">
        <v>416</v>
      </c>
      <c r="J181" s="15">
        <f t="shared" si="8"/>
        <v>416</v>
      </c>
      <c r="K181" s="15">
        <v>2.25</v>
      </c>
      <c r="L181" s="15">
        <v>52</v>
      </c>
      <c r="M181" s="17">
        <v>6.4899999999999995E-4</v>
      </c>
      <c r="N181" s="12">
        <v>46275</v>
      </c>
      <c r="O181" s="7">
        <v>37</v>
      </c>
      <c r="P181" s="15">
        <f>(IF(G181&gt;0,G181+I181,I181)-(O181*Ventas!AE215*1))</f>
        <v>275.42219999999998</v>
      </c>
      <c r="Q181" s="18">
        <f>(P181/(Ventas!AE215*1)/60)</f>
        <v>1.2081828709796283</v>
      </c>
      <c r="R181" s="8">
        <v>260</v>
      </c>
      <c r="S181" s="15">
        <f t="shared" si="9"/>
        <v>535.42219999999998</v>
      </c>
      <c r="T181" s="15">
        <v>2.27</v>
      </c>
      <c r="U181" s="15">
        <v>52</v>
      </c>
      <c r="V181" s="17">
        <v>6.4899999999999995E-4</v>
      </c>
      <c r="W181" s="12">
        <v>46331</v>
      </c>
      <c r="X181" s="7">
        <v>56</v>
      </c>
      <c r="Y181" s="15">
        <f>(IF(P181&gt;0,P181+R181,R181)-(X181*Ventas!AE215*1))</f>
        <v>322.6558</v>
      </c>
      <c r="Z181" s="18">
        <f>(Y181/(Ventas!AE215*1)/60)</f>
        <v>1.4153804986752294</v>
      </c>
      <c r="AA181" s="15">
        <f>(120*(Ventas!AE215*1) - IF(Y181&gt;0,Y181,0))</f>
        <v>133.2722</v>
      </c>
      <c r="AB181" s="15">
        <f t="shared" si="10"/>
        <v>133.2722</v>
      </c>
      <c r="AC181" s="15">
        <f t="shared" si="11"/>
        <v>455.928</v>
      </c>
      <c r="AD181" s="16">
        <v>2.25</v>
      </c>
      <c r="AE181" s="8">
        <v>3025</v>
      </c>
      <c r="AF181" s="15">
        <f>(AC181-(60*Ventas!AE215*1))</f>
        <v>227.964</v>
      </c>
      <c r="AG181" s="18">
        <f>(AF181/(Ventas!AE215*1)/60)</f>
        <v>1</v>
      </c>
      <c r="AH181" s="1" t="s">
        <v>37</v>
      </c>
    </row>
    <row r="182" spans="1:34" x14ac:dyDescent="0.25">
      <c r="A182" s="1" t="s">
        <v>502</v>
      </c>
      <c r="B182" s="1" t="s">
        <v>501</v>
      </c>
      <c r="C182" s="14" t="s">
        <v>500</v>
      </c>
      <c r="D182" s="3"/>
      <c r="E182" s="12">
        <v>46238</v>
      </c>
      <c r="F182" s="7">
        <v>1</v>
      </c>
      <c r="G182" s="15">
        <f>(D182-(0)+0-(F182*Ventas!AE216*1))</f>
        <v>-5.694</v>
      </c>
      <c r="H182" s="18">
        <f>(G182/(Ventas!AE216*1)/60)</f>
        <v>-1.6666666666666666E-2</v>
      </c>
      <c r="I182" s="8">
        <v>572</v>
      </c>
      <c r="J182" s="15">
        <f t="shared" si="8"/>
        <v>572</v>
      </c>
      <c r="K182" s="15">
        <v>1.95</v>
      </c>
      <c r="L182" s="15">
        <v>52</v>
      </c>
      <c r="M182" s="17">
        <v>6.4899999999999995E-4</v>
      </c>
      <c r="N182" s="12">
        <v>46275</v>
      </c>
      <c r="O182" s="7">
        <v>37</v>
      </c>
      <c r="P182" s="15">
        <f>(IF(G182&gt;0,G182+I182,I182)-(O182*Ventas!AE216*1))</f>
        <v>361.322</v>
      </c>
      <c r="Q182" s="18">
        <f>(P182/(Ventas!AE216*1)/60)</f>
        <v>1.0576103500761034</v>
      </c>
      <c r="R182" s="8">
        <v>468</v>
      </c>
      <c r="S182" s="15">
        <f t="shared" si="9"/>
        <v>829.322</v>
      </c>
      <c r="T182" s="15">
        <v>1.97</v>
      </c>
      <c r="U182" s="15">
        <v>52</v>
      </c>
      <c r="V182" s="17">
        <v>6.4899999999999995E-4</v>
      </c>
      <c r="W182" s="12">
        <v>46331</v>
      </c>
      <c r="X182" s="7">
        <v>56</v>
      </c>
      <c r="Y182" s="15">
        <f>(IF(P182&gt;0,P182+R182,R182)-(X182*Ventas!AE216*1))</f>
        <v>510.45800000000003</v>
      </c>
      <c r="Z182" s="18">
        <f>(Y182/(Ventas!AE216*1)/60)</f>
        <v>1.4941400304414003</v>
      </c>
      <c r="AA182" s="15">
        <f>(120*(Ventas!AE216*1) - IF(Y182&gt;0,Y182,0))</f>
        <v>172.82199999999995</v>
      </c>
      <c r="AB182" s="15">
        <f t="shared" si="10"/>
        <v>172.82199999999995</v>
      </c>
      <c r="AC182" s="15">
        <f t="shared" si="11"/>
        <v>683.28</v>
      </c>
      <c r="AD182" s="16">
        <v>1.95</v>
      </c>
      <c r="AE182" s="8">
        <v>3025</v>
      </c>
      <c r="AF182" s="15">
        <f>(AC182-(60*Ventas!AE216*1))</f>
        <v>341.64</v>
      </c>
      <c r="AG182" s="18">
        <f>(AF182/(Ventas!AE216*1)/60)</f>
        <v>1</v>
      </c>
      <c r="AH182" s="1" t="s">
        <v>37</v>
      </c>
    </row>
    <row r="183" spans="1:34" x14ac:dyDescent="0.25">
      <c r="A183" s="1"/>
      <c r="B183" s="1" t="s">
        <v>504</v>
      </c>
      <c r="C183" s="14" t="s">
        <v>503</v>
      </c>
      <c r="D183" s="3"/>
      <c r="E183" s="12">
        <v>46238</v>
      </c>
      <c r="F183" s="7">
        <v>1</v>
      </c>
      <c r="G183" s="15">
        <f>(D183-(0)+0-(F183*Ventas!AE217*1))</f>
        <v>0</v>
      </c>
      <c r="H183" s="3"/>
      <c r="I183" s="8">
        <v>0</v>
      </c>
      <c r="J183" s="15">
        <f t="shared" si="8"/>
        <v>0</v>
      </c>
      <c r="K183" s="3"/>
      <c r="L183" s="3"/>
      <c r="M183" s="3"/>
      <c r="N183" s="12">
        <v>46275</v>
      </c>
      <c r="O183" s="7">
        <v>37</v>
      </c>
      <c r="P183" s="15">
        <f>(IF(G183&gt;0,G183+I183,I183)-(O183*Ventas!AE217*1))</f>
        <v>0</v>
      </c>
      <c r="Q183" s="3"/>
      <c r="R183" s="8">
        <v>0</v>
      </c>
      <c r="S183" s="15">
        <f t="shared" si="9"/>
        <v>0</v>
      </c>
      <c r="T183" s="3"/>
      <c r="U183" s="3"/>
      <c r="V183" s="3"/>
      <c r="W183" s="12">
        <v>46331</v>
      </c>
      <c r="X183" s="7">
        <v>56</v>
      </c>
      <c r="Y183" s="15">
        <f>(IF(P183&gt;0,P183+R183,R183)-(X183*Ventas!AE217*1))</f>
        <v>0</v>
      </c>
      <c r="Z183" s="3"/>
      <c r="AA183" s="15">
        <f>(120*(Ventas!AE217*1) - IF(Y183&gt;0,Y183,0))</f>
        <v>0</v>
      </c>
      <c r="AB183" s="15">
        <f t="shared" si="10"/>
        <v>0</v>
      </c>
      <c r="AC183" s="15">
        <f t="shared" si="11"/>
        <v>0</v>
      </c>
      <c r="AD183" s="3"/>
      <c r="AE183" s="3"/>
      <c r="AF183" s="3"/>
      <c r="AG183" s="3"/>
      <c r="AH183" s="1" t="s">
        <v>37</v>
      </c>
    </row>
    <row r="184" spans="1:34" x14ac:dyDescent="0.25">
      <c r="A184" s="1"/>
      <c r="B184" s="1" t="s">
        <v>506</v>
      </c>
      <c r="C184" s="14" t="s">
        <v>505</v>
      </c>
      <c r="D184" s="3"/>
      <c r="E184" s="12">
        <v>46238</v>
      </c>
      <c r="F184" s="7">
        <v>1</v>
      </c>
      <c r="G184" s="15">
        <f>(D184-(0)+0-(F184*Ventas!AE218*1))</f>
        <v>0</v>
      </c>
      <c r="H184" s="3"/>
      <c r="I184" s="8">
        <v>0</v>
      </c>
      <c r="J184" s="15">
        <f t="shared" si="8"/>
        <v>0</v>
      </c>
      <c r="K184" s="3"/>
      <c r="L184" s="3"/>
      <c r="M184" s="3"/>
      <c r="N184" s="12">
        <v>46275</v>
      </c>
      <c r="O184" s="7">
        <v>37</v>
      </c>
      <c r="P184" s="15">
        <f>(IF(G184&gt;0,G184+I184,I184)-(O184*Ventas!AE218*1))</f>
        <v>0</v>
      </c>
      <c r="Q184" s="3"/>
      <c r="R184" s="8">
        <v>0</v>
      </c>
      <c r="S184" s="15">
        <f t="shared" si="9"/>
        <v>0</v>
      </c>
      <c r="T184" s="3"/>
      <c r="U184" s="3"/>
      <c r="V184" s="3"/>
      <c r="W184" s="12">
        <v>46331</v>
      </c>
      <c r="X184" s="7">
        <v>56</v>
      </c>
      <c r="Y184" s="15">
        <f>(IF(P184&gt;0,P184+R184,R184)-(X184*Ventas!AE218*1))</f>
        <v>0</v>
      </c>
      <c r="Z184" s="3"/>
      <c r="AA184" s="15">
        <f>(120*(Ventas!AE218*1) - IF(Y184&gt;0,Y184,0))</f>
        <v>0</v>
      </c>
      <c r="AB184" s="15">
        <f t="shared" si="10"/>
        <v>0</v>
      </c>
      <c r="AC184" s="15">
        <f t="shared" si="11"/>
        <v>0</v>
      </c>
      <c r="AD184" s="3"/>
      <c r="AE184" s="3"/>
      <c r="AF184" s="3"/>
      <c r="AG184" s="3"/>
      <c r="AH184" s="1" t="s">
        <v>37</v>
      </c>
    </row>
    <row r="185" spans="1:34" x14ac:dyDescent="0.25">
      <c r="A185" s="1" t="s">
        <v>362</v>
      </c>
      <c r="B185" s="1" t="s">
        <v>508</v>
      </c>
      <c r="C185" s="14" t="s">
        <v>507</v>
      </c>
      <c r="D185" s="8">
        <v>2254</v>
      </c>
      <c r="E185" s="12">
        <v>46238</v>
      </c>
      <c r="F185" s="7">
        <v>1</v>
      </c>
      <c r="G185" s="15">
        <f>(D185-(0)+0-(F185*Ventas!AE219*1))</f>
        <v>2253.0210999999999</v>
      </c>
      <c r="H185" s="18">
        <f>(G185/(Ventas!AE219*1)/60)</f>
        <v>38.359742227670516</v>
      </c>
      <c r="I185" s="8">
        <v>0</v>
      </c>
      <c r="J185" s="15">
        <f t="shared" si="8"/>
        <v>2253.0210999999999</v>
      </c>
      <c r="K185" s="3"/>
      <c r="L185" s="15">
        <v>52</v>
      </c>
      <c r="M185" s="17">
        <v>5.7700000000000004E-4</v>
      </c>
      <c r="N185" s="12">
        <v>46275</v>
      </c>
      <c r="O185" s="7">
        <v>37</v>
      </c>
      <c r="P185" s="15">
        <f>(IF(G185&gt;0,G185+I185,I185)-(O185*Ventas!AE219*1))</f>
        <v>2216.8017999999997</v>
      </c>
      <c r="Q185" s="18">
        <f>(P185/(Ventas!AE219*1)/60)</f>
        <v>37.743075561003842</v>
      </c>
      <c r="R185" s="8">
        <v>0</v>
      </c>
      <c r="S185" s="15">
        <f t="shared" si="9"/>
        <v>2216.8017999999997</v>
      </c>
      <c r="T185" s="3"/>
      <c r="U185" s="15">
        <v>52</v>
      </c>
      <c r="V185" s="17">
        <v>5.7700000000000004E-4</v>
      </c>
      <c r="W185" s="12">
        <v>46331</v>
      </c>
      <c r="X185" s="7">
        <v>56</v>
      </c>
      <c r="Y185" s="15">
        <f>(IF(P185&gt;0,P185+R185,R185)-(X185*Ventas!AE219*1))</f>
        <v>2161.9833999999996</v>
      </c>
      <c r="Z185" s="18">
        <f>(Y185/(Ventas!AE219*1)/60)</f>
        <v>36.809742227670512</v>
      </c>
      <c r="AA185" s="15">
        <f>(120*(Ventas!AE219*1) - IF(Y185&gt;0,Y185,0))</f>
        <v>-2044.5153999999995</v>
      </c>
      <c r="AB185" s="15">
        <f t="shared" si="10"/>
        <v>0</v>
      </c>
      <c r="AC185" s="15">
        <f t="shared" si="11"/>
        <v>2161.9833999999996</v>
      </c>
      <c r="AD185" s="16">
        <v>1.0832999999999999</v>
      </c>
      <c r="AE185" s="8">
        <v>3010</v>
      </c>
      <c r="AF185" s="15">
        <f>(AC185-(60*Ventas!AE219*1))</f>
        <v>2103.2493999999997</v>
      </c>
      <c r="AG185" s="18">
        <f>(AF185/(Ventas!AE219*1)/60)</f>
        <v>35.809742227670512</v>
      </c>
      <c r="AH185" s="1" t="s">
        <v>37</v>
      </c>
    </row>
    <row r="186" spans="1:34" x14ac:dyDescent="0.25">
      <c r="A186" s="1" t="s">
        <v>365</v>
      </c>
      <c r="B186" s="1" t="s">
        <v>510</v>
      </c>
      <c r="C186" s="14" t="s">
        <v>509</v>
      </c>
      <c r="D186" s="8">
        <v>1187</v>
      </c>
      <c r="E186" s="12">
        <v>46238</v>
      </c>
      <c r="F186" s="7">
        <v>1</v>
      </c>
      <c r="G186" s="15">
        <f>(D186-(0)+0-(F186*Ventas!AE220*1))</f>
        <v>1186.6437000000001</v>
      </c>
      <c r="H186" s="18">
        <f>(G186/(Ventas!AE220*1)/60)</f>
        <v>55.507704181869215</v>
      </c>
      <c r="I186" s="8">
        <v>0</v>
      </c>
      <c r="J186" s="15">
        <f t="shared" si="8"/>
        <v>1186.6437000000001</v>
      </c>
      <c r="K186" s="3"/>
      <c r="L186" s="15">
        <v>52</v>
      </c>
      <c r="M186" s="17">
        <v>5.7700000000000004E-4</v>
      </c>
      <c r="N186" s="12">
        <v>46275</v>
      </c>
      <c r="O186" s="7">
        <v>37</v>
      </c>
      <c r="P186" s="15">
        <f>(IF(G186&gt;0,G186+I186,I186)-(O186*Ventas!AE220*1))</f>
        <v>1173.4606000000001</v>
      </c>
      <c r="Q186" s="18">
        <f>(P186/(Ventas!AE220*1)/60)</f>
        <v>54.891037515202548</v>
      </c>
      <c r="R186" s="8">
        <v>0</v>
      </c>
      <c r="S186" s="15">
        <f t="shared" si="9"/>
        <v>1173.4606000000001</v>
      </c>
      <c r="T186" s="3"/>
      <c r="U186" s="15">
        <v>52</v>
      </c>
      <c r="V186" s="17">
        <v>5.7700000000000004E-4</v>
      </c>
      <c r="W186" s="12">
        <v>46331</v>
      </c>
      <c r="X186" s="7">
        <v>56</v>
      </c>
      <c r="Y186" s="15">
        <f>(IF(P186&gt;0,P186+R186,R186)-(X186*Ventas!AE220*1))</f>
        <v>1153.5078000000001</v>
      </c>
      <c r="Z186" s="18">
        <f>(Y186/(Ventas!AE220*1)/60)</f>
        <v>53.957704181869211</v>
      </c>
      <c r="AA186" s="15">
        <f>(120*(Ventas!AE220*1) - IF(Y186&gt;0,Y186,0))</f>
        <v>-1110.7518</v>
      </c>
      <c r="AB186" s="15">
        <f t="shared" si="10"/>
        <v>0</v>
      </c>
      <c r="AC186" s="15">
        <f t="shared" si="11"/>
        <v>1153.5078000000001</v>
      </c>
      <c r="AD186" s="16">
        <v>1.0832999999999999</v>
      </c>
      <c r="AE186" s="8">
        <v>3010</v>
      </c>
      <c r="AF186" s="15">
        <f>(AC186-(60*Ventas!AE220*1))</f>
        <v>1132.1298000000002</v>
      </c>
      <c r="AG186" s="18">
        <f>(AF186/(Ventas!AE220*1)/60)</f>
        <v>52.957704181869218</v>
      </c>
      <c r="AH186" s="1" t="s">
        <v>37</v>
      </c>
    </row>
    <row r="187" spans="1:34" x14ac:dyDescent="0.25">
      <c r="A187" s="1" t="s">
        <v>353</v>
      </c>
      <c r="B187" s="1" t="s">
        <v>512</v>
      </c>
      <c r="C187" s="14" t="s">
        <v>511</v>
      </c>
      <c r="D187" s="8">
        <v>984</v>
      </c>
      <c r="E187" s="12">
        <v>46238</v>
      </c>
      <c r="F187" s="7">
        <v>1</v>
      </c>
      <c r="G187" s="15">
        <f>(D187-(0)+0-(F187*Ventas!AE221*1))</f>
        <v>982.63670000000002</v>
      </c>
      <c r="H187" s="18">
        <f>(G187/(Ventas!AE221*1)/60)</f>
        <v>12.012967309714176</v>
      </c>
      <c r="I187" s="8">
        <v>0</v>
      </c>
      <c r="J187" s="15">
        <f t="shared" si="8"/>
        <v>982.63670000000002</v>
      </c>
      <c r="K187" s="3"/>
      <c r="L187" s="15">
        <v>52</v>
      </c>
      <c r="M187" s="17">
        <v>5.7700000000000004E-4</v>
      </c>
      <c r="N187" s="12">
        <v>46275</v>
      </c>
      <c r="O187" s="7">
        <v>37</v>
      </c>
      <c r="P187" s="15">
        <f>(IF(G187&gt;0,G187+I187,I187)-(O187*Ventas!AE221*1))</f>
        <v>932.19460000000004</v>
      </c>
      <c r="Q187" s="18">
        <f>(P187/(Ventas!AE221*1)/60)</f>
        <v>11.396300643047509</v>
      </c>
      <c r="R187" s="8">
        <v>0</v>
      </c>
      <c r="S187" s="15">
        <f t="shared" si="9"/>
        <v>932.19460000000004</v>
      </c>
      <c r="T187" s="3"/>
      <c r="U187" s="15">
        <v>52</v>
      </c>
      <c r="V187" s="17">
        <v>5.7700000000000004E-4</v>
      </c>
      <c r="W187" s="12">
        <v>46331</v>
      </c>
      <c r="X187" s="7">
        <v>56</v>
      </c>
      <c r="Y187" s="15">
        <f>(IF(P187&gt;0,P187+R187,R187)-(X187*Ventas!AE221*1))</f>
        <v>855.84980000000007</v>
      </c>
      <c r="Z187" s="18">
        <f>(Y187/(Ventas!AE221*1)/60)</f>
        <v>10.462967309714175</v>
      </c>
      <c r="AA187" s="15">
        <f>(120*(Ventas!AE221*1) - IF(Y187&gt;0,Y187,0))</f>
        <v>-692.25380000000007</v>
      </c>
      <c r="AB187" s="15">
        <f t="shared" si="10"/>
        <v>0</v>
      </c>
      <c r="AC187" s="15">
        <f t="shared" si="11"/>
        <v>855.84980000000007</v>
      </c>
      <c r="AD187" s="16">
        <v>1.18</v>
      </c>
      <c r="AE187" s="8">
        <v>3027</v>
      </c>
      <c r="AF187" s="15">
        <f>(AC187-(60*Ventas!AE221*1))</f>
        <v>774.05180000000007</v>
      </c>
      <c r="AG187" s="18">
        <f>(AF187/(Ventas!AE221*1)/60)</f>
        <v>9.4629673097141751</v>
      </c>
      <c r="AH187" s="1" t="s">
        <v>37</v>
      </c>
    </row>
    <row r="188" spans="1:34" x14ac:dyDescent="0.25">
      <c r="A188" s="1" t="s">
        <v>356</v>
      </c>
      <c r="B188" s="1" t="s">
        <v>514</v>
      </c>
      <c r="C188" s="14" t="s">
        <v>513</v>
      </c>
      <c r="D188" s="8">
        <v>594</v>
      </c>
      <c r="E188" s="12">
        <v>46238</v>
      </c>
      <c r="F188" s="7">
        <v>1</v>
      </c>
      <c r="G188" s="15">
        <f>(D188-(0)+0-(F188*Ventas!AE222*1))</f>
        <v>593.21140000000003</v>
      </c>
      <c r="H188" s="18">
        <f>(G188/(Ventas!AE222*1)/60)</f>
        <v>12.537226308225549</v>
      </c>
      <c r="I188" s="8">
        <v>0</v>
      </c>
      <c r="J188" s="15">
        <f t="shared" si="8"/>
        <v>593.21140000000003</v>
      </c>
      <c r="K188" s="3"/>
      <c r="L188" s="15">
        <v>52</v>
      </c>
      <c r="M188" s="17">
        <v>5.7700000000000004E-4</v>
      </c>
      <c r="N188" s="12">
        <v>46275</v>
      </c>
      <c r="O188" s="7">
        <v>37</v>
      </c>
      <c r="P188" s="15">
        <f>(IF(G188&gt;0,G188+I188,I188)-(O188*Ventas!AE222*1))</f>
        <v>564.03320000000008</v>
      </c>
      <c r="Q188" s="18">
        <f>(P188/(Ventas!AE222*1)/60)</f>
        <v>11.920559641558883</v>
      </c>
      <c r="R188" s="8">
        <v>0</v>
      </c>
      <c r="S188" s="15">
        <f t="shared" si="9"/>
        <v>564.03320000000008</v>
      </c>
      <c r="T188" s="3"/>
      <c r="U188" s="15">
        <v>52</v>
      </c>
      <c r="V188" s="17">
        <v>5.7700000000000004E-4</v>
      </c>
      <c r="W188" s="12">
        <v>46331</v>
      </c>
      <c r="X188" s="7">
        <v>56</v>
      </c>
      <c r="Y188" s="15">
        <f>(IF(P188&gt;0,P188+R188,R188)-(X188*Ventas!AE222*1))</f>
        <v>519.87160000000006</v>
      </c>
      <c r="Z188" s="18">
        <f>(Y188/(Ventas!AE222*1)/60)</f>
        <v>10.98722630822555</v>
      </c>
      <c r="AA188" s="15">
        <f>(120*(Ventas!AE222*1) - IF(Y188&gt;0,Y188,0))</f>
        <v>-425.23960000000005</v>
      </c>
      <c r="AB188" s="15">
        <f t="shared" si="10"/>
        <v>0</v>
      </c>
      <c r="AC188" s="15">
        <f t="shared" si="11"/>
        <v>519.87160000000006</v>
      </c>
      <c r="AD188" s="16">
        <v>1.18</v>
      </c>
      <c r="AE188" s="8">
        <v>3027</v>
      </c>
      <c r="AF188" s="15">
        <f>(AC188-(60*Ventas!AE222*1))</f>
        <v>472.55560000000008</v>
      </c>
      <c r="AG188" s="18">
        <f>(AF188/(Ventas!AE222*1)/60)</f>
        <v>9.9872263082255497</v>
      </c>
      <c r="AH188" s="1" t="s">
        <v>37</v>
      </c>
    </row>
    <row r="189" spans="1:34" x14ac:dyDescent="0.25">
      <c r="A189" s="1" t="s">
        <v>359</v>
      </c>
      <c r="B189" s="1" t="s">
        <v>516</v>
      </c>
      <c r="C189" s="14" t="s">
        <v>515</v>
      </c>
      <c r="D189" s="8">
        <v>148</v>
      </c>
      <c r="E189" s="12">
        <v>46238</v>
      </c>
      <c r="F189" s="7">
        <v>1</v>
      </c>
      <c r="G189" s="15">
        <f>(D189-(0)+0-(F189*Ventas!AE223*1))</f>
        <v>147.5094</v>
      </c>
      <c r="H189" s="18">
        <f>(G189/(Ventas!AE223*1)/60)</f>
        <v>5.0111903791275987</v>
      </c>
      <c r="I189" s="8">
        <v>0</v>
      </c>
      <c r="J189" s="15">
        <f t="shared" si="8"/>
        <v>147.5094</v>
      </c>
      <c r="K189" s="3"/>
      <c r="L189" s="15">
        <v>52</v>
      </c>
      <c r="M189" s="17">
        <v>5.7700000000000004E-4</v>
      </c>
      <c r="N189" s="12">
        <v>46275</v>
      </c>
      <c r="O189" s="7">
        <v>37</v>
      </c>
      <c r="P189" s="15">
        <f>(IF(G189&gt;0,G189+I189,I189)-(O189*Ventas!AE223*1))</f>
        <v>129.35720000000001</v>
      </c>
      <c r="Q189" s="18">
        <f>(P189/(Ventas!AE223*1)/60)</f>
        <v>4.3945237124609333</v>
      </c>
      <c r="R189" s="8">
        <v>0</v>
      </c>
      <c r="S189" s="15">
        <f t="shared" si="9"/>
        <v>129.35720000000001</v>
      </c>
      <c r="T189" s="3"/>
      <c r="U189" s="15">
        <v>52</v>
      </c>
      <c r="V189" s="17">
        <v>5.7700000000000004E-4</v>
      </c>
      <c r="W189" s="12">
        <v>46331</v>
      </c>
      <c r="X189" s="7">
        <v>56</v>
      </c>
      <c r="Y189" s="15">
        <f>(IF(P189&gt;0,P189+R189,R189)-(X189*Ventas!AE223*1))</f>
        <v>101.8836</v>
      </c>
      <c r="Z189" s="18">
        <f>(Y189/(Ventas!AE223*1)/60)</f>
        <v>3.4611903791275993</v>
      </c>
      <c r="AA189" s="15">
        <f>(120*(Ventas!AE223*1) - IF(Y189&gt;0,Y189,0))</f>
        <v>-43.011600000000001</v>
      </c>
      <c r="AB189" s="15">
        <f t="shared" si="10"/>
        <v>0</v>
      </c>
      <c r="AC189" s="15">
        <f t="shared" si="11"/>
        <v>101.8836</v>
      </c>
      <c r="AD189" s="16">
        <v>0.99</v>
      </c>
      <c r="AE189" s="8">
        <v>3010</v>
      </c>
      <c r="AF189" s="15">
        <f>(AC189-(60*Ventas!AE223*1))</f>
        <v>72.447599999999994</v>
      </c>
      <c r="AG189" s="18">
        <f>(AF189/(Ventas!AE223*1)/60)</f>
        <v>2.4611903791275989</v>
      </c>
      <c r="AH189" s="1" t="s">
        <v>37</v>
      </c>
    </row>
    <row r="190" spans="1:34" x14ac:dyDescent="0.25">
      <c r="A190" s="1" t="s">
        <v>519</v>
      </c>
      <c r="B190" s="1" t="s">
        <v>518</v>
      </c>
      <c r="C190" s="14" t="s">
        <v>517</v>
      </c>
      <c r="D190" s="3"/>
      <c r="E190" s="12">
        <v>46238</v>
      </c>
      <c r="F190" s="7">
        <v>1</v>
      </c>
      <c r="G190" s="15">
        <f>(D190-(0)+0-(F190*Ventas!AE224*1))</f>
        <v>-1.7745</v>
      </c>
      <c r="H190" s="18">
        <f>(G190/(Ventas!AE224*1)/60)</f>
        <v>-1.6666666666666666E-2</v>
      </c>
      <c r="I190" s="8">
        <v>208</v>
      </c>
      <c r="J190" s="15">
        <f t="shared" si="8"/>
        <v>208</v>
      </c>
      <c r="K190" s="15">
        <v>3.23</v>
      </c>
      <c r="L190" s="15">
        <v>52</v>
      </c>
      <c r="M190" s="17">
        <v>5.7700000000000004E-4</v>
      </c>
      <c r="N190" s="12">
        <v>46275</v>
      </c>
      <c r="O190" s="7">
        <v>37</v>
      </c>
      <c r="P190" s="15">
        <f>(IF(G190&gt;0,G190+I190,I190)-(O190*Ventas!AE224*1))</f>
        <v>142.34350000000001</v>
      </c>
      <c r="Q190" s="18">
        <f>(P190/(Ventas!AE224*1)/60)</f>
        <v>1.3369352869352871</v>
      </c>
      <c r="R190" s="8">
        <v>312</v>
      </c>
      <c r="S190" s="15">
        <f t="shared" si="9"/>
        <v>454.34350000000001</v>
      </c>
      <c r="T190" s="15">
        <v>3.26</v>
      </c>
      <c r="U190" s="15">
        <v>52</v>
      </c>
      <c r="V190" s="17">
        <v>5.7700000000000004E-4</v>
      </c>
      <c r="W190" s="12">
        <v>46331</v>
      </c>
      <c r="X190" s="7">
        <v>56</v>
      </c>
      <c r="Y190" s="15">
        <f>(IF(P190&gt;0,P190+R190,R190)-(X190*Ventas!AE224*1))</f>
        <v>354.97149999999999</v>
      </c>
      <c r="Z190" s="18">
        <f>(Y190/(Ventas!AE224*1)/60)</f>
        <v>3.3340048840048842</v>
      </c>
      <c r="AA190" s="15">
        <f>(120*(Ventas!AE224*1) - IF(Y190&gt;0,Y190,0))</f>
        <v>-142.03149999999999</v>
      </c>
      <c r="AB190" s="15">
        <f t="shared" si="10"/>
        <v>0</v>
      </c>
      <c r="AC190" s="15">
        <f t="shared" si="11"/>
        <v>354.97149999999999</v>
      </c>
      <c r="AD190" s="16">
        <v>3.23</v>
      </c>
      <c r="AE190" s="8">
        <v>3025</v>
      </c>
      <c r="AF190" s="15">
        <f>(AC190-(60*Ventas!AE224*1))</f>
        <v>248.50149999999999</v>
      </c>
      <c r="AG190" s="18">
        <f>(AF190/(Ventas!AE224*1)/60)</f>
        <v>2.3340048840048842</v>
      </c>
      <c r="AH190" s="1" t="s">
        <v>37</v>
      </c>
    </row>
    <row r="191" spans="1:34" x14ac:dyDescent="0.25">
      <c r="A191" s="1" t="s">
        <v>522</v>
      </c>
      <c r="B191" s="1" t="s">
        <v>521</v>
      </c>
      <c r="C191" s="14" t="s">
        <v>520</v>
      </c>
      <c r="D191" s="3"/>
      <c r="E191" s="12">
        <v>46238</v>
      </c>
      <c r="F191" s="7">
        <v>1</v>
      </c>
      <c r="G191" s="15">
        <f>(D191-(0)+0-(F191*Ventas!AE225*1))</f>
        <v>-1.4938</v>
      </c>
      <c r="H191" s="18">
        <f>(G191/(Ventas!AE225*1)/60)</f>
        <v>-1.6666666666666666E-2</v>
      </c>
      <c r="I191" s="8">
        <v>0</v>
      </c>
      <c r="J191" s="15">
        <f t="shared" si="8"/>
        <v>0</v>
      </c>
      <c r="K191" s="3"/>
      <c r="L191" s="15">
        <v>10</v>
      </c>
      <c r="M191" s="17">
        <v>1.08E-3</v>
      </c>
      <c r="N191" s="12">
        <v>46275</v>
      </c>
      <c r="O191" s="7">
        <v>37</v>
      </c>
      <c r="P191" s="15">
        <f>(IF(G191&gt;0,G191+I191,I191)-(O191*Ventas!AE225*1))</f>
        <v>-55.270600000000002</v>
      </c>
      <c r="Q191" s="18">
        <f>(P191/(Ventas!AE225*1)/60)</f>
        <v>-0.6166666666666667</v>
      </c>
      <c r="R191" s="8">
        <v>0</v>
      </c>
      <c r="S191" s="15">
        <f t="shared" si="9"/>
        <v>0</v>
      </c>
      <c r="T191" s="3"/>
      <c r="U191" s="15">
        <v>10</v>
      </c>
      <c r="V191" s="17">
        <v>1.08E-3</v>
      </c>
      <c r="W191" s="12">
        <v>46331</v>
      </c>
      <c r="X191" s="7">
        <v>56</v>
      </c>
      <c r="Y191" s="15">
        <f>(IF(P191&gt;0,P191+R191,R191)-(X191*Ventas!AE225*1))</f>
        <v>-83.652799999999999</v>
      </c>
      <c r="Z191" s="18">
        <f>(Y191/(Ventas!AE225*1)/60)</f>
        <v>-0.93333333333333335</v>
      </c>
      <c r="AA191" s="15">
        <f>(120*(Ventas!AE225*1) - IF(Y191&gt;0,Y191,0))</f>
        <v>179.256</v>
      </c>
      <c r="AB191" s="15">
        <f t="shared" si="10"/>
        <v>179.256</v>
      </c>
      <c r="AC191" s="15">
        <f t="shared" si="11"/>
        <v>179.256</v>
      </c>
      <c r="AD191" s="16">
        <v>6.83</v>
      </c>
      <c r="AE191" s="8">
        <v>3010</v>
      </c>
      <c r="AF191" s="15">
        <f>(AC191-(60*Ventas!AE225*1))</f>
        <v>89.628</v>
      </c>
      <c r="AG191" s="18">
        <f>(AF191/(Ventas!AE225*1)/60)</f>
        <v>1</v>
      </c>
      <c r="AH191" s="1" t="s">
        <v>34</v>
      </c>
    </row>
    <row r="192" spans="1:34" x14ac:dyDescent="0.25">
      <c r="A192" s="1" t="s">
        <v>396</v>
      </c>
      <c r="B192" s="1" t="s">
        <v>524</v>
      </c>
      <c r="C192" s="14" t="s">
        <v>523</v>
      </c>
      <c r="D192" s="8">
        <v>2077</v>
      </c>
      <c r="E192" s="12">
        <v>46238</v>
      </c>
      <c r="F192" s="7">
        <v>1</v>
      </c>
      <c r="G192" s="15">
        <f>(D192-(0)+0-(F192*Ventas!AE226*1))</f>
        <v>2074.86</v>
      </c>
      <c r="H192" s="18">
        <f>(G192/(Ventas!AE226*1)/60)</f>
        <v>16.159345794392525</v>
      </c>
      <c r="I192" s="8">
        <v>0</v>
      </c>
      <c r="J192" s="15">
        <f t="shared" si="8"/>
        <v>2074.86</v>
      </c>
      <c r="K192" s="3"/>
      <c r="L192" s="15">
        <v>52</v>
      </c>
      <c r="M192" s="17">
        <v>5.7700000000000004E-4</v>
      </c>
      <c r="N192" s="12">
        <v>46275</v>
      </c>
      <c r="O192" s="7">
        <v>37</v>
      </c>
      <c r="P192" s="15">
        <f>(IF(G192&gt;0,G192+I192,I192)-(O192*Ventas!AE226*1))</f>
        <v>1995.68</v>
      </c>
      <c r="Q192" s="18">
        <f>(P192/(Ventas!AE226*1)/60)</f>
        <v>15.542679127725856</v>
      </c>
      <c r="R192" s="8">
        <v>0</v>
      </c>
      <c r="S192" s="15">
        <f t="shared" si="9"/>
        <v>1995.68</v>
      </c>
      <c r="T192" s="3"/>
      <c r="U192" s="15">
        <v>52</v>
      </c>
      <c r="V192" s="17">
        <v>5.7700000000000004E-4</v>
      </c>
      <c r="W192" s="12">
        <v>46331</v>
      </c>
      <c r="X192" s="7">
        <v>56</v>
      </c>
      <c r="Y192" s="15">
        <f>(IF(P192&gt;0,P192+R192,R192)-(X192*Ventas!AE226*1))</f>
        <v>1875.8400000000001</v>
      </c>
      <c r="Z192" s="18">
        <f>(Y192/(Ventas!AE226*1)/60)</f>
        <v>14.609345794392523</v>
      </c>
      <c r="AA192" s="15">
        <f>(120*(Ventas!AE226*1) - IF(Y192&gt;0,Y192,0))</f>
        <v>-1619.0400000000002</v>
      </c>
      <c r="AB192" s="15">
        <f t="shared" si="10"/>
        <v>0</v>
      </c>
      <c r="AC192" s="15">
        <f t="shared" si="11"/>
        <v>1875.8400000000001</v>
      </c>
      <c r="AD192" s="16">
        <v>0.8</v>
      </c>
      <c r="AE192" s="8">
        <v>3010</v>
      </c>
      <c r="AF192" s="15">
        <f>(AC192-(60*Ventas!AE226*1))</f>
        <v>1747.44</v>
      </c>
      <c r="AG192" s="18">
        <f>(AF192/(Ventas!AE226*1)/60)</f>
        <v>13.609345794392523</v>
      </c>
      <c r="AH192" s="1" t="s">
        <v>37</v>
      </c>
    </row>
    <row r="193" spans="1:34" x14ac:dyDescent="0.25">
      <c r="A193" s="1" t="s">
        <v>527</v>
      </c>
      <c r="B193" s="1" t="s">
        <v>526</v>
      </c>
      <c r="C193" s="14" t="s">
        <v>525</v>
      </c>
      <c r="D193" s="3"/>
      <c r="E193" s="12">
        <v>46238</v>
      </c>
      <c r="F193" s="7">
        <v>1</v>
      </c>
      <c r="G193" s="15">
        <f>(D193-(0)+0-(F193*Ventas!AE227*1))</f>
        <v>-1.2337</v>
      </c>
      <c r="H193" s="18">
        <f>(G193/(Ventas!AE227*1)/60)</f>
        <v>-1.6666666666666666E-2</v>
      </c>
      <c r="I193" s="8">
        <v>156</v>
      </c>
      <c r="J193" s="15">
        <f t="shared" si="8"/>
        <v>156</v>
      </c>
      <c r="K193" s="15">
        <v>2.85</v>
      </c>
      <c r="L193" s="15">
        <v>52</v>
      </c>
      <c r="M193" s="17">
        <v>5.7700000000000004E-4</v>
      </c>
      <c r="N193" s="12">
        <v>46275</v>
      </c>
      <c r="O193" s="7">
        <v>37</v>
      </c>
      <c r="P193" s="15">
        <f>(IF(G193&gt;0,G193+I193,I193)-(O193*Ventas!AE227*1))</f>
        <v>110.3531</v>
      </c>
      <c r="Q193" s="18">
        <f>(P193/(Ventas!AE227*1)/60)</f>
        <v>1.4908148928696872</v>
      </c>
      <c r="R193" s="8">
        <v>156</v>
      </c>
      <c r="S193" s="15">
        <f t="shared" si="9"/>
        <v>266.35309999999998</v>
      </c>
      <c r="T193" s="15">
        <v>2.88</v>
      </c>
      <c r="U193" s="15">
        <v>52</v>
      </c>
      <c r="V193" s="17">
        <v>5.7700000000000004E-4</v>
      </c>
      <c r="W193" s="12">
        <v>46331</v>
      </c>
      <c r="X193" s="7">
        <v>56</v>
      </c>
      <c r="Y193" s="15">
        <f>(IF(P193&gt;0,P193+R193,R193)-(X193*Ventas!AE227*1))</f>
        <v>197.26589999999999</v>
      </c>
      <c r="Z193" s="18">
        <f>(Y193/(Ventas!AE227*1)/60)</f>
        <v>2.6649631190727079</v>
      </c>
      <c r="AA193" s="15">
        <f>(120*(Ventas!AE227*1) - IF(Y193&gt;0,Y193,0))</f>
        <v>-49.221899999999977</v>
      </c>
      <c r="AB193" s="15">
        <f t="shared" si="10"/>
        <v>0</v>
      </c>
      <c r="AC193" s="15">
        <f t="shared" si="11"/>
        <v>197.26589999999999</v>
      </c>
      <c r="AD193" s="16">
        <v>2.85</v>
      </c>
      <c r="AE193" s="8">
        <v>3025</v>
      </c>
      <c r="AF193" s="15">
        <f>(AC193-(60*Ventas!AE227*1))</f>
        <v>123.24389999999998</v>
      </c>
      <c r="AG193" s="18">
        <f>(AF193/(Ventas!AE227*1)/60)</f>
        <v>1.6649631190727079</v>
      </c>
      <c r="AH193" s="1" t="s">
        <v>37</v>
      </c>
    </row>
    <row r="194" spans="1:34" x14ac:dyDescent="0.25">
      <c r="A194" s="1"/>
      <c r="B194" s="1" t="s">
        <v>529</v>
      </c>
      <c r="C194" s="14" t="s">
        <v>528</v>
      </c>
      <c r="D194" s="3"/>
      <c r="E194" s="12">
        <v>46238</v>
      </c>
      <c r="F194" s="7">
        <v>1</v>
      </c>
      <c r="G194" s="15">
        <f>(D194-(0)+0-(F194*Ventas!AE228*1))</f>
        <v>0</v>
      </c>
      <c r="H194" s="3"/>
      <c r="I194" s="8">
        <v>0</v>
      </c>
      <c r="J194" s="15">
        <f t="shared" si="8"/>
        <v>0</v>
      </c>
      <c r="K194" s="3"/>
      <c r="L194" s="15">
        <v>10</v>
      </c>
      <c r="M194" s="17">
        <v>1.08E-3</v>
      </c>
      <c r="N194" s="12">
        <v>46275</v>
      </c>
      <c r="O194" s="7">
        <v>37</v>
      </c>
      <c r="P194" s="15">
        <f>(IF(G194&gt;0,G194+I194,I194)-(O194*Ventas!AE228*1))</f>
        <v>0</v>
      </c>
      <c r="Q194" s="3"/>
      <c r="R194" s="8">
        <v>0</v>
      </c>
      <c r="S194" s="15">
        <f t="shared" si="9"/>
        <v>0</v>
      </c>
      <c r="T194" s="3"/>
      <c r="U194" s="15">
        <v>10</v>
      </c>
      <c r="V194" s="17">
        <v>1.08E-3</v>
      </c>
      <c r="W194" s="12">
        <v>46331</v>
      </c>
      <c r="X194" s="7">
        <v>56</v>
      </c>
      <c r="Y194" s="15">
        <f>(IF(P194&gt;0,P194+R194,R194)-(X194*Ventas!AE228*1))</f>
        <v>0</v>
      </c>
      <c r="Z194" s="3"/>
      <c r="AA194" s="15">
        <f>(120*(Ventas!AE228*1) - IF(Y194&gt;0,Y194,0))</f>
        <v>0</v>
      </c>
      <c r="AB194" s="15">
        <f t="shared" si="10"/>
        <v>0</v>
      </c>
      <c r="AC194" s="15">
        <f t="shared" si="11"/>
        <v>0</v>
      </c>
      <c r="AD194" s="3"/>
      <c r="AE194" s="8">
        <v>3010</v>
      </c>
      <c r="AF194" s="3"/>
      <c r="AG194" s="3"/>
      <c r="AH194" s="1" t="s">
        <v>37</v>
      </c>
    </row>
    <row r="195" spans="1:34" x14ac:dyDescent="0.25">
      <c r="A195" s="1"/>
      <c r="B195" s="1" t="s">
        <v>531</v>
      </c>
      <c r="C195" s="14" t="s">
        <v>530</v>
      </c>
      <c r="D195" s="3"/>
      <c r="E195" s="12">
        <v>46238</v>
      </c>
      <c r="F195" s="7">
        <v>1</v>
      </c>
      <c r="G195" s="15">
        <f>(D195-(0)+0-(F195*Ventas!AE229*1))</f>
        <v>0</v>
      </c>
      <c r="H195" s="3"/>
      <c r="I195" s="8">
        <v>0</v>
      </c>
      <c r="J195" s="15">
        <f t="shared" si="8"/>
        <v>0</v>
      </c>
      <c r="K195" s="3"/>
      <c r="L195" s="15">
        <v>36</v>
      </c>
      <c r="M195" s="17">
        <v>8.3299999999999997E-4</v>
      </c>
      <c r="N195" s="12">
        <v>46275</v>
      </c>
      <c r="O195" s="7">
        <v>37</v>
      </c>
      <c r="P195" s="15">
        <f>(IF(G195&gt;0,G195+I195,I195)-(O195*Ventas!AE229*1))</f>
        <v>0</v>
      </c>
      <c r="Q195" s="3"/>
      <c r="R195" s="8">
        <v>0</v>
      </c>
      <c r="S195" s="15">
        <f t="shared" si="9"/>
        <v>0</v>
      </c>
      <c r="T195" s="3"/>
      <c r="U195" s="15">
        <v>36</v>
      </c>
      <c r="V195" s="17">
        <v>8.3299999999999997E-4</v>
      </c>
      <c r="W195" s="12">
        <v>46331</v>
      </c>
      <c r="X195" s="7">
        <v>56</v>
      </c>
      <c r="Y195" s="15">
        <f>(IF(P195&gt;0,P195+R195,R195)-(X195*Ventas!AE229*1))</f>
        <v>0</v>
      </c>
      <c r="Z195" s="3"/>
      <c r="AA195" s="15">
        <f>(120*(Ventas!AE229*1) - IF(Y195&gt;0,Y195,0))</f>
        <v>0</v>
      </c>
      <c r="AB195" s="15">
        <f t="shared" si="10"/>
        <v>0</v>
      </c>
      <c r="AC195" s="15">
        <f t="shared" si="11"/>
        <v>0</v>
      </c>
      <c r="AD195" s="3"/>
      <c r="AE195" s="8">
        <v>3010</v>
      </c>
      <c r="AF195" s="3"/>
      <c r="AG195" s="3"/>
      <c r="AH195" s="1" t="s">
        <v>37</v>
      </c>
    </row>
    <row r="196" spans="1:34" x14ac:dyDescent="0.25">
      <c r="A196" s="1" t="s">
        <v>396</v>
      </c>
      <c r="B196" s="1" t="s">
        <v>533</v>
      </c>
      <c r="C196" s="14" t="s">
        <v>532</v>
      </c>
      <c r="D196" s="3"/>
      <c r="E196" s="12">
        <v>46238</v>
      </c>
      <c r="F196" s="7">
        <v>1</v>
      </c>
      <c r="G196" s="15">
        <f>(D196-(0)+0-(F196*Ventas!AE230*1))</f>
        <v>0</v>
      </c>
      <c r="H196" s="3"/>
      <c r="I196" s="8">
        <v>0</v>
      </c>
      <c r="J196" s="15">
        <f t="shared" si="8"/>
        <v>0</v>
      </c>
      <c r="K196" s="3"/>
      <c r="L196" s="15">
        <v>52</v>
      </c>
      <c r="M196" s="17">
        <v>5.7700000000000004E-4</v>
      </c>
      <c r="N196" s="12">
        <v>46275</v>
      </c>
      <c r="O196" s="7">
        <v>37</v>
      </c>
      <c r="P196" s="15">
        <f>(IF(G196&gt;0,G196+I196,I196)-(O196*Ventas!AE230*1))</f>
        <v>0</v>
      </c>
      <c r="Q196" s="3"/>
      <c r="R196" s="8">
        <v>0</v>
      </c>
      <c r="S196" s="15">
        <f t="shared" si="9"/>
        <v>0</v>
      </c>
      <c r="T196" s="3"/>
      <c r="U196" s="15">
        <v>52</v>
      </c>
      <c r="V196" s="17">
        <v>5.7700000000000004E-4</v>
      </c>
      <c r="W196" s="12">
        <v>46331</v>
      </c>
      <c r="X196" s="7">
        <v>56</v>
      </c>
      <c r="Y196" s="15">
        <f>(IF(P196&gt;0,P196+R196,R196)-(X196*Ventas!AE230*1))</f>
        <v>0</v>
      </c>
      <c r="Z196" s="3"/>
      <c r="AA196" s="15">
        <f>(120*(Ventas!AE230*1) - IF(Y196&gt;0,Y196,0))</f>
        <v>0</v>
      </c>
      <c r="AB196" s="15">
        <f t="shared" si="10"/>
        <v>0</v>
      </c>
      <c r="AC196" s="15">
        <f t="shared" si="11"/>
        <v>0</v>
      </c>
      <c r="AD196" s="3"/>
      <c r="AE196" s="8">
        <v>3010</v>
      </c>
      <c r="AF196" s="3"/>
      <c r="AG196" s="3"/>
      <c r="AH196" s="1" t="s">
        <v>37</v>
      </c>
    </row>
    <row r="197" spans="1:34" x14ac:dyDescent="0.25">
      <c r="A197" s="1"/>
      <c r="B197" s="1" t="s">
        <v>535</v>
      </c>
      <c r="C197" s="14" t="s">
        <v>534</v>
      </c>
      <c r="D197" s="3"/>
      <c r="E197" s="12">
        <v>46238</v>
      </c>
      <c r="F197" s="7">
        <v>1</v>
      </c>
      <c r="G197" s="15">
        <f>(D197-(0)+0-(F197*Ventas!AE231*1))</f>
        <v>-0.4375</v>
      </c>
      <c r="H197" s="18">
        <f>(G197/(Ventas!AE231*1)/60)</f>
        <v>-1.6666666666666666E-2</v>
      </c>
      <c r="I197" s="8">
        <v>36</v>
      </c>
      <c r="J197" s="15">
        <f t="shared" ref="J197:J260" si="12">IF(G197&gt;0,G197+I197,I197)</f>
        <v>36</v>
      </c>
      <c r="K197" s="15">
        <v>5.26</v>
      </c>
      <c r="L197" s="3"/>
      <c r="M197" s="3"/>
      <c r="N197" s="12">
        <v>46275</v>
      </c>
      <c r="O197" s="7">
        <v>37</v>
      </c>
      <c r="P197" s="15">
        <f>(IF(G197&gt;0,G197+I197,I197)-(O197*Ventas!AE231*1))</f>
        <v>19.8125</v>
      </c>
      <c r="Q197" s="18">
        <f>(P197/(Ventas!AE231*1)/60)</f>
        <v>0.75476190476190474</v>
      </c>
      <c r="R197" s="8">
        <v>288</v>
      </c>
      <c r="S197" s="15">
        <f t="shared" ref="S197:S260" si="13">IF(P197&gt;0,P197+R197,R197)</f>
        <v>307.8125</v>
      </c>
      <c r="T197" s="15">
        <v>5.3</v>
      </c>
      <c r="U197" s="3"/>
      <c r="V197" s="3"/>
      <c r="W197" s="12">
        <v>46331</v>
      </c>
      <c r="X197" s="7">
        <v>56</v>
      </c>
      <c r="Y197" s="15">
        <f>(IF(P197&gt;0,P197+R197,R197)-(X197*Ventas!AE231*1))</f>
        <v>283.3125</v>
      </c>
      <c r="Z197" s="18">
        <f>(Y197/(Ventas!AE231*1)/60)</f>
        <v>10.792857142857143</v>
      </c>
      <c r="AA197" s="15">
        <f>(120*(Ventas!AE231*1) - IF(Y197&gt;0,Y197,0))</f>
        <v>-230.8125</v>
      </c>
      <c r="AB197" s="15">
        <f t="shared" ref="AB197:AB260" si="14">IF(AA197&gt;0,AA197,0)</f>
        <v>0</v>
      </c>
      <c r="AC197" s="15">
        <f t="shared" ref="AC197:AC260" si="15">IF(Y197&gt;0,Y197+IF(AB197&gt;0,AB197,0),AB197)</f>
        <v>283.3125</v>
      </c>
      <c r="AD197" s="16">
        <v>5.26</v>
      </c>
      <c r="AE197" s="8">
        <v>3025</v>
      </c>
      <c r="AF197" s="15">
        <f>(AC197-(60*Ventas!AE231*1))</f>
        <v>257.0625</v>
      </c>
      <c r="AG197" s="18">
        <f>(AF197/(Ventas!AE231*1)/60)</f>
        <v>9.7928571428571427</v>
      </c>
      <c r="AH197" s="1" t="s">
        <v>34</v>
      </c>
    </row>
    <row r="198" spans="1:34" x14ac:dyDescent="0.25">
      <c r="A198" s="1"/>
      <c r="B198" s="1" t="s">
        <v>537</v>
      </c>
      <c r="C198" s="14" t="s">
        <v>536</v>
      </c>
      <c r="D198" s="3"/>
      <c r="E198" s="12">
        <v>46238</v>
      </c>
      <c r="F198" s="7">
        <v>1</v>
      </c>
      <c r="G198" s="15">
        <f>(D198-(0)+0-(F198*Ventas!AE232*1))</f>
        <v>-0.7097</v>
      </c>
      <c r="H198" s="18">
        <f>(G198/(Ventas!AE232*1)/60)</f>
        <v>-1.6666666666666666E-2</v>
      </c>
      <c r="I198" s="8">
        <v>88</v>
      </c>
      <c r="J198" s="15">
        <f t="shared" si="12"/>
        <v>88</v>
      </c>
      <c r="K198" s="15">
        <v>5.86</v>
      </c>
      <c r="L198" s="15">
        <v>44</v>
      </c>
      <c r="M198" s="17">
        <v>7.7300000000000003E-4</v>
      </c>
      <c r="N198" s="12">
        <v>46275</v>
      </c>
      <c r="O198" s="7">
        <v>37</v>
      </c>
      <c r="P198" s="15">
        <f>(IF(G198&gt;0,G198+I198,I198)-(O198*Ventas!AE232*1))</f>
        <v>61.741100000000003</v>
      </c>
      <c r="Q198" s="18">
        <f>(P198/(Ventas!AE232*1)/60)</f>
        <v>1.4499342445164625</v>
      </c>
      <c r="R198" s="8">
        <v>88</v>
      </c>
      <c r="S198" s="15">
        <f t="shared" si="13"/>
        <v>149.74110000000002</v>
      </c>
      <c r="T198" s="15">
        <v>5.91</v>
      </c>
      <c r="U198" s="15">
        <v>44</v>
      </c>
      <c r="V198" s="17">
        <v>7.7300000000000003E-4</v>
      </c>
      <c r="W198" s="12">
        <v>46331</v>
      </c>
      <c r="X198" s="7">
        <v>56</v>
      </c>
      <c r="Y198" s="15">
        <f>(IF(P198&gt;0,P198+R198,R198)-(X198*Ventas!AE232*1))</f>
        <v>109.99790000000002</v>
      </c>
      <c r="Z198" s="18">
        <f>(Y198/(Ventas!AE232*1)/60)</f>
        <v>2.5832018223662581</v>
      </c>
      <c r="AA198" s="15">
        <f>(120*(Ventas!AE232*1) - IF(Y198&gt;0,Y198,0))</f>
        <v>-24.833900000000014</v>
      </c>
      <c r="AB198" s="15">
        <f t="shared" si="14"/>
        <v>0</v>
      </c>
      <c r="AC198" s="15">
        <f t="shared" si="15"/>
        <v>109.99790000000002</v>
      </c>
      <c r="AD198" s="16">
        <v>5.86</v>
      </c>
      <c r="AE198" s="8">
        <v>3025</v>
      </c>
      <c r="AF198" s="15">
        <f>(AC198-(60*Ventas!AE232*1))</f>
        <v>67.415900000000022</v>
      </c>
      <c r="AG198" s="18">
        <f>(AF198/(Ventas!AE232*1)/60)</f>
        <v>1.5832018223662587</v>
      </c>
      <c r="AH198" s="1" t="s">
        <v>37</v>
      </c>
    </row>
    <row r="199" spans="1:34" x14ac:dyDescent="0.25">
      <c r="A199" s="1"/>
      <c r="B199" s="1" t="s">
        <v>539</v>
      </c>
      <c r="C199" s="14" t="s">
        <v>538</v>
      </c>
      <c r="D199" s="3"/>
      <c r="E199" s="12">
        <v>46238</v>
      </c>
      <c r="F199" s="7">
        <v>1</v>
      </c>
      <c r="G199" s="15">
        <f>(D199-(0)+0-(F199*Ventas!AE233*1))</f>
        <v>-0.6653</v>
      </c>
      <c r="H199" s="18">
        <f>(G199/(Ventas!AE233*1)/60)</f>
        <v>-1.6666666666666666E-2</v>
      </c>
      <c r="I199" s="8">
        <v>288</v>
      </c>
      <c r="J199" s="15">
        <f t="shared" si="12"/>
        <v>288</v>
      </c>
      <c r="K199" s="15">
        <v>3.3</v>
      </c>
      <c r="L199" s="3"/>
      <c r="M199" s="3"/>
      <c r="N199" s="12">
        <v>46275</v>
      </c>
      <c r="O199" s="7">
        <v>37</v>
      </c>
      <c r="P199" s="15">
        <f>(IF(G199&gt;0,G199+I199,I199)-(O199*Ventas!AE233*1))</f>
        <v>263.38389999999998</v>
      </c>
      <c r="Q199" s="18">
        <f>(P199/(Ventas!AE233*1)/60)</f>
        <v>6.5981236534896528</v>
      </c>
      <c r="R199" s="8">
        <v>0</v>
      </c>
      <c r="S199" s="15">
        <f t="shared" si="13"/>
        <v>263.38389999999998</v>
      </c>
      <c r="T199" s="3"/>
      <c r="U199" s="3"/>
      <c r="V199" s="3"/>
      <c r="W199" s="12">
        <v>46331</v>
      </c>
      <c r="X199" s="7">
        <v>56</v>
      </c>
      <c r="Y199" s="15">
        <f>(IF(P199&gt;0,P199+R199,R199)-(X199*Ventas!AE233*1))</f>
        <v>226.12709999999998</v>
      </c>
      <c r="Z199" s="18">
        <f>(Y199/(Ventas!AE233*1)/60)</f>
        <v>5.6647903201563192</v>
      </c>
      <c r="AA199" s="15">
        <f>(120*(Ventas!AE233*1) - IF(Y199&gt;0,Y199,0))</f>
        <v>-146.29109999999997</v>
      </c>
      <c r="AB199" s="15">
        <f t="shared" si="14"/>
        <v>0</v>
      </c>
      <c r="AC199" s="15">
        <f t="shared" si="15"/>
        <v>226.12709999999998</v>
      </c>
      <c r="AD199" s="16">
        <v>3.3</v>
      </c>
      <c r="AE199" s="8">
        <v>3025</v>
      </c>
      <c r="AF199" s="15">
        <f>(AC199-(60*Ventas!AE233*1))</f>
        <v>186.20909999999998</v>
      </c>
      <c r="AG199" s="18">
        <f>(AF199/(Ventas!AE233*1)/60)</f>
        <v>4.6647903201563192</v>
      </c>
      <c r="AH199" s="1" t="s">
        <v>37</v>
      </c>
    </row>
    <row r="200" spans="1:34" x14ac:dyDescent="0.25">
      <c r="A200" s="1"/>
      <c r="B200" s="1" t="s">
        <v>541</v>
      </c>
      <c r="C200" s="14" t="s">
        <v>540</v>
      </c>
      <c r="D200" s="8">
        <v>1</v>
      </c>
      <c r="E200" s="12">
        <v>46238</v>
      </c>
      <c r="F200" s="7">
        <v>1</v>
      </c>
      <c r="G200" s="15">
        <f>(D200-(0)+0-(F200*Ventas!AE234*1))</f>
        <v>-0.5</v>
      </c>
      <c r="H200" s="18">
        <f>(G200/(Ventas!AE234*1)/60)</f>
        <v>-5.5555555555555549E-3</v>
      </c>
      <c r="I200" s="8">
        <v>0</v>
      </c>
      <c r="J200" s="15">
        <f t="shared" si="12"/>
        <v>0</v>
      </c>
      <c r="K200" s="3"/>
      <c r="L200" s="3"/>
      <c r="M200" s="3"/>
      <c r="N200" s="12">
        <v>46275</v>
      </c>
      <c r="O200" s="7">
        <v>37</v>
      </c>
      <c r="P200" s="15">
        <f>(IF(G200&gt;0,G200+I200,I200)-(O200*Ventas!AE234*1))</f>
        <v>-55.5</v>
      </c>
      <c r="Q200" s="18">
        <f>(P200/(Ventas!AE234*1)/60)</f>
        <v>-0.6166666666666667</v>
      </c>
      <c r="R200" s="8">
        <v>108</v>
      </c>
      <c r="S200" s="15">
        <f t="shared" si="13"/>
        <v>108</v>
      </c>
      <c r="T200" s="15">
        <v>12.88</v>
      </c>
      <c r="U200" s="3"/>
      <c r="V200" s="3"/>
      <c r="W200" s="12">
        <v>46331</v>
      </c>
      <c r="X200" s="7">
        <v>56</v>
      </c>
      <c r="Y200" s="15">
        <f>(IF(P200&gt;0,P200+R200,R200)-(X200*Ventas!AE234*1))</f>
        <v>24</v>
      </c>
      <c r="Z200" s="18">
        <f>(Y200/(Ventas!AE234*1)/60)</f>
        <v>0.26666666666666666</v>
      </c>
      <c r="AA200" s="15">
        <f>(120*(Ventas!AE234*1) - IF(Y200&gt;0,Y200,0))</f>
        <v>156</v>
      </c>
      <c r="AB200" s="15">
        <f t="shared" si="14"/>
        <v>156</v>
      </c>
      <c r="AC200" s="15">
        <f t="shared" si="15"/>
        <v>180</v>
      </c>
      <c r="AD200" s="16">
        <v>12.23</v>
      </c>
      <c r="AE200" s="8">
        <v>3027</v>
      </c>
      <c r="AF200" s="15">
        <f>(AC200-(60*Ventas!AE234*1))</f>
        <v>90</v>
      </c>
      <c r="AG200" s="18">
        <f>(AF200/(Ventas!AE234*1)/60)</f>
        <v>1</v>
      </c>
      <c r="AH200" s="1" t="s">
        <v>37</v>
      </c>
    </row>
    <row r="201" spans="1:34" x14ac:dyDescent="0.25">
      <c r="A201" s="1"/>
      <c r="B201" s="1" t="s">
        <v>543</v>
      </c>
      <c r="C201" s="14" t="s">
        <v>542</v>
      </c>
      <c r="D201" s="3"/>
      <c r="E201" s="12">
        <v>46238</v>
      </c>
      <c r="F201" s="7">
        <v>1</v>
      </c>
      <c r="G201" s="15">
        <f>(D201-(0)+0-(F201*Ventas!AE235*1))</f>
        <v>-0.71560000000000001</v>
      </c>
      <c r="H201" s="18">
        <f>(G201/(Ventas!AE235*1)/60)</f>
        <v>-1.6666666666666666E-2</v>
      </c>
      <c r="I201" s="8">
        <v>0</v>
      </c>
      <c r="J201" s="15">
        <f t="shared" si="12"/>
        <v>0</v>
      </c>
      <c r="K201" s="3"/>
      <c r="L201" s="3"/>
      <c r="M201" s="3"/>
      <c r="N201" s="12">
        <v>46275</v>
      </c>
      <c r="O201" s="7">
        <v>37</v>
      </c>
      <c r="P201" s="15">
        <f>(IF(G201&gt;0,G201+I201,I201)-(O201*Ventas!AE235*1))</f>
        <v>-26.4772</v>
      </c>
      <c r="Q201" s="18">
        <f>(P201/(Ventas!AE235*1)/60)</f>
        <v>-0.6166666666666667</v>
      </c>
      <c r="R201" s="8">
        <v>220</v>
      </c>
      <c r="S201" s="15">
        <f t="shared" si="13"/>
        <v>220</v>
      </c>
      <c r="T201" s="15">
        <v>5.91</v>
      </c>
      <c r="U201" s="3"/>
      <c r="V201" s="3"/>
      <c r="W201" s="12">
        <v>46331</v>
      </c>
      <c r="X201" s="7">
        <v>56</v>
      </c>
      <c r="Y201" s="15">
        <f>(IF(P201&gt;0,P201+R201,R201)-(X201*Ventas!AE235*1))</f>
        <v>179.9264</v>
      </c>
      <c r="Z201" s="18">
        <f>(Y201/(Ventas!AE235*1)/60)</f>
        <v>4.1905720141606109</v>
      </c>
      <c r="AA201" s="15">
        <f>(120*(Ventas!AE235*1) - IF(Y201&gt;0,Y201,0))</f>
        <v>-94.054400000000001</v>
      </c>
      <c r="AB201" s="15">
        <f t="shared" si="14"/>
        <v>0</v>
      </c>
      <c r="AC201" s="15">
        <f t="shared" si="15"/>
        <v>179.9264</v>
      </c>
      <c r="AD201" s="16">
        <v>5.77</v>
      </c>
      <c r="AE201" s="8">
        <v>3027</v>
      </c>
      <c r="AF201" s="15">
        <f>(AC201-(60*Ventas!AE235*1))</f>
        <v>136.99039999999999</v>
      </c>
      <c r="AG201" s="18">
        <f>(AF201/(Ventas!AE235*1)/60)</f>
        <v>3.1905720141606109</v>
      </c>
      <c r="AH201" s="1" t="s">
        <v>37</v>
      </c>
    </row>
    <row r="202" spans="1:34" x14ac:dyDescent="0.25">
      <c r="A202" s="1"/>
      <c r="B202" s="1" t="s">
        <v>545</v>
      </c>
      <c r="C202" s="14" t="s">
        <v>544</v>
      </c>
      <c r="D202" s="3"/>
      <c r="E202" s="12">
        <v>46238</v>
      </c>
      <c r="F202" s="7">
        <v>1</v>
      </c>
      <c r="G202" s="15">
        <f>(D202-(0)+0-(F202*Ventas!AE236*1))</f>
        <v>0</v>
      </c>
      <c r="H202" s="3"/>
      <c r="I202" s="8">
        <v>120</v>
      </c>
      <c r="J202" s="15">
        <f t="shared" si="12"/>
        <v>120</v>
      </c>
      <c r="K202" s="15">
        <v>6.01</v>
      </c>
      <c r="L202" s="3"/>
      <c r="M202" s="3"/>
      <c r="N202" s="12">
        <v>46275</v>
      </c>
      <c r="O202" s="7">
        <v>37</v>
      </c>
      <c r="P202" s="15">
        <f>(IF(G202&gt;0,G202+I202,I202)-(O202*Ventas!AE236*1))</f>
        <v>120</v>
      </c>
      <c r="Q202" s="3"/>
      <c r="R202" s="8">
        <v>0</v>
      </c>
      <c r="S202" s="15">
        <f t="shared" si="13"/>
        <v>120</v>
      </c>
      <c r="T202" s="3"/>
      <c r="U202" s="3"/>
      <c r="V202" s="3"/>
      <c r="W202" s="12">
        <v>46331</v>
      </c>
      <c r="X202" s="7">
        <v>56</v>
      </c>
      <c r="Y202" s="15">
        <f>(IF(P202&gt;0,P202+R202,R202)-(X202*Ventas!AE236*1))</f>
        <v>120</v>
      </c>
      <c r="Z202" s="3"/>
      <c r="AA202" s="15">
        <f>(120*(Ventas!AE236*1) - IF(Y202&gt;0,Y202,0))</f>
        <v>-120</v>
      </c>
      <c r="AB202" s="15">
        <f t="shared" si="14"/>
        <v>0</v>
      </c>
      <c r="AC202" s="15">
        <f t="shared" si="15"/>
        <v>120</v>
      </c>
      <c r="AD202" s="16">
        <v>6.01</v>
      </c>
      <c r="AE202" s="8">
        <v>3025</v>
      </c>
      <c r="AF202" s="3"/>
      <c r="AG202" s="3"/>
      <c r="AH202" s="1" t="s">
        <v>37</v>
      </c>
    </row>
    <row r="203" spans="1:34" x14ac:dyDescent="0.25">
      <c r="A203" s="1"/>
      <c r="B203" s="1" t="s">
        <v>547</v>
      </c>
      <c r="C203" s="14" t="s">
        <v>546</v>
      </c>
      <c r="D203" s="3"/>
      <c r="E203" s="12">
        <v>46238</v>
      </c>
      <c r="F203" s="7">
        <v>1</v>
      </c>
      <c r="G203" s="15">
        <f>(D203-(0)+0-(F203*Ventas!AE237*1))</f>
        <v>0</v>
      </c>
      <c r="H203" s="3"/>
      <c r="I203" s="8">
        <v>120</v>
      </c>
      <c r="J203" s="15">
        <f t="shared" si="12"/>
        <v>120</v>
      </c>
      <c r="K203" s="15">
        <v>6.01</v>
      </c>
      <c r="L203" s="3"/>
      <c r="M203" s="3"/>
      <c r="N203" s="12">
        <v>46275</v>
      </c>
      <c r="O203" s="7">
        <v>37</v>
      </c>
      <c r="P203" s="15">
        <f>(IF(G203&gt;0,G203+I203,I203)-(O203*Ventas!AE237*1))</f>
        <v>120</v>
      </c>
      <c r="Q203" s="3"/>
      <c r="R203" s="8">
        <v>0</v>
      </c>
      <c r="S203" s="15">
        <f t="shared" si="13"/>
        <v>120</v>
      </c>
      <c r="T203" s="3"/>
      <c r="U203" s="3"/>
      <c r="V203" s="3"/>
      <c r="W203" s="12">
        <v>46331</v>
      </c>
      <c r="X203" s="7">
        <v>56</v>
      </c>
      <c r="Y203" s="15">
        <f>(IF(P203&gt;0,P203+R203,R203)-(X203*Ventas!AE237*1))</f>
        <v>120</v>
      </c>
      <c r="Z203" s="3"/>
      <c r="AA203" s="15">
        <f>(120*(Ventas!AE237*1) - IF(Y203&gt;0,Y203,0))</f>
        <v>-120</v>
      </c>
      <c r="AB203" s="15">
        <f t="shared" si="14"/>
        <v>0</v>
      </c>
      <c r="AC203" s="15">
        <f t="shared" si="15"/>
        <v>120</v>
      </c>
      <c r="AD203" s="16">
        <v>6.01</v>
      </c>
      <c r="AE203" s="8">
        <v>3025</v>
      </c>
      <c r="AF203" s="3"/>
      <c r="AG203" s="3"/>
      <c r="AH203" s="1" t="s">
        <v>37</v>
      </c>
    </row>
    <row r="204" spans="1:34" x14ac:dyDescent="0.25">
      <c r="A204" s="1"/>
      <c r="B204" s="1" t="s">
        <v>549</v>
      </c>
      <c r="C204" s="14" t="s">
        <v>548</v>
      </c>
      <c r="D204" s="3"/>
      <c r="E204" s="12">
        <v>46238</v>
      </c>
      <c r="F204" s="7">
        <v>1</v>
      </c>
      <c r="G204" s="15">
        <f>(D204-(0)+0-(F204*Ventas!AE238*1))</f>
        <v>0</v>
      </c>
      <c r="H204" s="3"/>
      <c r="I204" s="8">
        <v>312</v>
      </c>
      <c r="J204" s="15">
        <f t="shared" si="12"/>
        <v>312</v>
      </c>
      <c r="K204" s="15">
        <v>0.9</v>
      </c>
      <c r="L204" s="3"/>
      <c r="M204" s="3"/>
      <c r="N204" s="12">
        <v>46275</v>
      </c>
      <c r="O204" s="7">
        <v>37</v>
      </c>
      <c r="P204" s="15">
        <f>(IF(G204&gt;0,G204+I204,I204)-(O204*Ventas!AE238*1))</f>
        <v>312</v>
      </c>
      <c r="Q204" s="3"/>
      <c r="R204" s="8">
        <v>728</v>
      </c>
      <c r="S204" s="15">
        <f t="shared" si="13"/>
        <v>1040</v>
      </c>
      <c r="T204" s="15">
        <v>0.91</v>
      </c>
      <c r="U204" s="3"/>
      <c r="V204" s="3"/>
      <c r="W204" s="12">
        <v>46331</v>
      </c>
      <c r="X204" s="7">
        <v>56</v>
      </c>
      <c r="Y204" s="15">
        <f>(IF(P204&gt;0,P204+R204,R204)-(X204*Ventas!AE238*1))</f>
        <v>1040</v>
      </c>
      <c r="Z204" s="3"/>
      <c r="AA204" s="15">
        <f>(120*(Ventas!AE238*1) - IF(Y204&gt;0,Y204,0))</f>
        <v>-1040</v>
      </c>
      <c r="AB204" s="15">
        <f t="shared" si="14"/>
        <v>0</v>
      </c>
      <c r="AC204" s="15">
        <f t="shared" si="15"/>
        <v>1040</v>
      </c>
      <c r="AD204" s="16">
        <v>0.9</v>
      </c>
      <c r="AE204" s="8">
        <v>3025</v>
      </c>
      <c r="AF204" s="3"/>
      <c r="AG204" s="3"/>
      <c r="AH204" s="1" t="s">
        <v>37</v>
      </c>
    </row>
    <row r="205" spans="1:34" x14ac:dyDescent="0.25">
      <c r="A205" s="1"/>
      <c r="B205" s="1" t="s">
        <v>551</v>
      </c>
      <c r="C205" s="14" t="s">
        <v>550</v>
      </c>
      <c r="D205" s="3"/>
      <c r="E205" s="12">
        <v>46238</v>
      </c>
      <c r="F205" s="7">
        <v>1</v>
      </c>
      <c r="G205" s="15">
        <f>(D205-(0)+0-(F205*Ventas!AE239*1))</f>
        <v>0</v>
      </c>
      <c r="H205" s="3"/>
      <c r="I205" s="8">
        <v>208</v>
      </c>
      <c r="J205" s="15">
        <f t="shared" si="12"/>
        <v>208</v>
      </c>
      <c r="K205" s="15">
        <v>0.9</v>
      </c>
      <c r="L205" s="3"/>
      <c r="M205" s="3"/>
      <c r="N205" s="12">
        <v>46275</v>
      </c>
      <c r="O205" s="7">
        <v>37</v>
      </c>
      <c r="P205" s="15">
        <f>(IF(G205&gt;0,G205+I205,I205)-(O205*Ventas!AE239*1))</f>
        <v>208</v>
      </c>
      <c r="Q205" s="3"/>
      <c r="R205" s="8">
        <v>0</v>
      </c>
      <c r="S205" s="15">
        <f t="shared" si="13"/>
        <v>208</v>
      </c>
      <c r="T205" s="3"/>
      <c r="U205" s="3"/>
      <c r="V205" s="3"/>
      <c r="W205" s="12">
        <v>46331</v>
      </c>
      <c r="X205" s="7">
        <v>56</v>
      </c>
      <c r="Y205" s="15">
        <f>(IF(P205&gt;0,P205+R205,R205)-(X205*Ventas!AE239*1))</f>
        <v>208</v>
      </c>
      <c r="Z205" s="3"/>
      <c r="AA205" s="15">
        <f>(120*(Ventas!AE239*1) - IF(Y205&gt;0,Y205,0))</f>
        <v>-208</v>
      </c>
      <c r="AB205" s="15">
        <f t="shared" si="14"/>
        <v>0</v>
      </c>
      <c r="AC205" s="15">
        <f t="shared" si="15"/>
        <v>208</v>
      </c>
      <c r="AD205" s="16">
        <v>0.9</v>
      </c>
      <c r="AE205" s="8">
        <v>3025</v>
      </c>
      <c r="AF205" s="3"/>
      <c r="AG205" s="3"/>
      <c r="AH205" s="1" t="s">
        <v>37</v>
      </c>
    </row>
    <row r="206" spans="1:34" x14ac:dyDescent="0.25">
      <c r="A206" s="1"/>
      <c r="B206" s="1" t="s">
        <v>553</v>
      </c>
      <c r="C206" s="14" t="s">
        <v>552</v>
      </c>
      <c r="D206" s="3"/>
      <c r="E206" s="12">
        <v>46238</v>
      </c>
      <c r="F206" s="7">
        <v>1</v>
      </c>
      <c r="G206" s="15">
        <f>(D206-(0)+0-(F206*Ventas!AE240*1))</f>
        <v>0</v>
      </c>
      <c r="H206" s="3"/>
      <c r="I206" s="8">
        <v>104</v>
      </c>
      <c r="J206" s="15">
        <f t="shared" si="12"/>
        <v>104</v>
      </c>
      <c r="K206" s="15">
        <v>1.28</v>
      </c>
      <c r="L206" s="3"/>
      <c r="M206" s="3"/>
      <c r="N206" s="12">
        <v>46275</v>
      </c>
      <c r="O206" s="7">
        <v>37</v>
      </c>
      <c r="P206" s="15">
        <f>(IF(G206&gt;0,G206+I206,I206)-(O206*Ventas!AE240*1))</f>
        <v>104</v>
      </c>
      <c r="Q206" s="3"/>
      <c r="R206" s="8">
        <v>0</v>
      </c>
      <c r="S206" s="15">
        <f t="shared" si="13"/>
        <v>104</v>
      </c>
      <c r="T206" s="3"/>
      <c r="U206" s="3"/>
      <c r="V206" s="3"/>
      <c r="W206" s="12">
        <v>46331</v>
      </c>
      <c r="X206" s="7">
        <v>56</v>
      </c>
      <c r="Y206" s="15">
        <f>(IF(P206&gt;0,P206+R206,R206)-(X206*Ventas!AE240*1))</f>
        <v>104</v>
      </c>
      <c r="Z206" s="3"/>
      <c r="AA206" s="15">
        <f>(120*(Ventas!AE240*1) - IF(Y206&gt;0,Y206,0))</f>
        <v>-104</v>
      </c>
      <c r="AB206" s="15">
        <f t="shared" si="14"/>
        <v>0</v>
      </c>
      <c r="AC206" s="15">
        <f t="shared" si="15"/>
        <v>104</v>
      </c>
      <c r="AD206" s="16">
        <v>1.28</v>
      </c>
      <c r="AE206" s="8">
        <v>3025</v>
      </c>
      <c r="AF206" s="3"/>
      <c r="AG206" s="3"/>
      <c r="AH206" s="1" t="s">
        <v>37</v>
      </c>
    </row>
    <row r="207" spans="1:34" x14ac:dyDescent="0.25">
      <c r="A207" s="1"/>
      <c r="B207" s="1" t="s">
        <v>555</v>
      </c>
      <c r="C207" s="14" t="s">
        <v>554</v>
      </c>
      <c r="D207" s="3"/>
      <c r="E207" s="12">
        <v>46238</v>
      </c>
      <c r="F207" s="7">
        <v>1</v>
      </c>
      <c r="G207" s="15">
        <f>(D207-(0)+0-(F207*Ventas!AE241*1))</f>
        <v>0</v>
      </c>
      <c r="H207" s="3"/>
      <c r="I207" s="8">
        <v>104</v>
      </c>
      <c r="J207" s="15">
        <f t="shared" si="12"/>
        <v>104</v>
      </c>
      <c r="K207" s="15">
        <v>1.28</v>
      </c>
      <c r="L207" s="3"/>
      <c r="M207" s="3"/>
      <c r="N207" s="12">
        <v>46275</v>
      </c>
      <c r="O207" s="7">
        <v>37</v>
      </c>
      <c r="P207" s="15">
        <f>(IF(G207&gt;0,G207+I207,I207)-(O207*Ventas!AE241*1))</f>
        <v>104</v>
      </c>
      <c r="Q207" s="3"/>
      <c r="R207" s="8">
        <v>0</v>
      </c>
      <c r="S207" s="15">
        <f t="shared" si="13"/>
        <v>104</v>
      </c>
      <c r="T207" s="3"/>
      <c r="U207" s="3"/>
      <c r="V207" s="3"/>
      <c r="W207" s="12">
        <v>46331</v>
      </c>
      <c r="X207" s="7">
        <v>56</v>
      </c>
      <c r="Y207" s="15">
        <f>(IF(P207&gt;0,P207+R207,R207)-(X207*Ventas!AE241*1))</f>
        <v>104</v>
      </c>
      <c r="Z207" s="3"/>
      <c r="AA207" s="15">
        <f>(120*(Ventas!AE241*1) - IF(Y207&gt;0,Y207,0))</f>
        <v>-104</v>
      </c>
      <c r="AB207" s="15">
        <f t="shared" si="14"/>
        <v>0</v>
      </c>
      <c r="AC207" s="15">
        <f t="shared" si="15"/>
        <v>104</v>
      </c>
      <c r="AD207" s="16">
        <v>1.28</v>
      </c>
      <c r="AE207" s="8">
        <v>3025</v>
      </c>
      <c r="AF207" s="3"/>
      <c r="AG207" s="3"/>
      <c r="AH207" s="1" t="s">
        <v>37</v>
      </c>
    </row>
    <row r="208" spans="1:34" x14ac:dyDescent="0.25">
      <c r="A208" s="1"/>
      <c r="B208" s="1" t="s">
        <v>557</v>
      </c>
      <c r="C208" s="14" t="s">
        <v>556</v>
      </c>
      <c r="D208" s="3"/>
      <c r="E208" s="12">
        <v>46238</v>
      </c>
      <c r="F208" s="7">
        <v>1</v>
      </c>
      <c r="G208" s="15">
        <f>(D208-(0)+0-(F208*Ventas!AE242*1))</f>
        <v>0</v>
      </c>
      <c r="H208" s="3"/>
      <c r="I208" s="8">
        <v>52</v>
      </c>
      <c r="J208" s="15">
        <f t="shared" si="12"/>
        <v>52</v>
      </c>
      <c r="K208" s="15">
        <v>1.28</v>
      </c>
      <c r="L208" s="3"/>
      <c r="M208" s="3"/>
      <c r="N208" s="12">
        <v>46275</v>
      </c>
      <c r="O208" s="7">
        <v>37</v>
      </c>
      <c r="P208" s="15">
        <f>(IF(G208&gt;0,G208+I208,I208)-(O208*Ventas!AE242*1))</f>
        <v>52</v>
      </c>
      <c r="Q208" s="3"/>
      <c r="R208" s="8">
        <v>0</v>
      </c>
      <c r="S208" s="15">
        <f t="shared" si="13"/>
        <v>52</v>
      </c>
      <c r="T208" s="3"/>
      <c r="U208" s="3"/>
      <c r="V208" s="3"/>
      <c r="W208" s="12">
        <v>46331</v>
      </c>
      <c r="X208" s="7">
        <v>56</v>
      </c>
      <c r="Y208" s="15">
        <f>(IF(P208&gt;0,P208+R208,R208)-(X208*Ventas!AE242*1))</f>
        <v>52</v>
      </c>
      <c r="Z208" s="3"/>
      <c r="AA208" s="15">
        <f>(120*(Ventas!AE242*1) - IF(Y208&gt;0,Y208,0))</f>
        <v>-52</v>
      </c>
      <c r="AB208" s="15">
        <f t="shared" si="14"/>
        <v>0</v>
      </c>
      <c r="AC208" s="15">
        <f t="shared" si="15"/>
        <v>52</v>
      </c>
      <c r="AD208" s="16">
        <v>1.28</v>
      </c>
      <c r="AE208" s="8">
        <v>3025</v>
      </c>
      <c r="AF208" s="3"/>
      <c r="AG208" s="3"/>
      <c r="AH208" s="1" t="s">
        <v>37</v>
      </c>
    </row>
    <row r="209" spans="1:34" x14ac:dyDescent="0.25">
      <c r="A209" s="1"/>
      <c r="B209" s="1" t="s">
        <v>559</v>
      </c>
      <c r="C209" s="14" t="s">
        <v>558</v>
      </c>
      <c r="D209" s="3"/>
      <c r="E209" s="12">
        <v>46238</v>
      </c>
      <c r="F209" s="7">
        <v>1</v>
      </c>
      <c r="G209" s="15">
        <f>(D209-(0)+0-(F209*Ventas!AE243*1))</f>
        <v>0</v>
      </c>
      <c r="H209" s="3"/>
      <c r="I209" s="8">
        <v>0</v>
      </c>
      <c r="J209" s="15">
        <f t="shared" si="12"/>
        <v>0</v>
      </c>
      <c r="K209" s="3"/>
      <c r="L209" s="3"/>
      <c r="M209" s="3"/>
      <c r="N209" s="12">
        <v>46275</v>
      </c>
      <c r="O209" s="7">
        <v>37</v>
      </c>
      <c r="P209" s="15">
        <f>(IF(G209&gt;0,G209+I209,I209)-(O209*Ventas!AE243*1))</f>
        <v>0</v>
      </c>
      <c r="Q209" s="3"/>
      <c r="R209" s="8">
        <v>0</v>
      </c>
      <c r="S209" s="15">
        <f t="shared" si="13"/>
        <v>0</v>
      </c>
      <c r="T209" s="3"/>
      <c r="U209" s="3"/>
      <c r="V209" s="3"/>
      <c r="W209" s="12">
        <v>46331</v>
      </c>
      <c r="X209" s="7">
        <v>56</v>
      </c>
      <c r="Y209" s="15">
        <f>(IF(P209&gt;0,P209+R209,R209)-(X209*Ventas!AE243*1))</f>
        <v>0</v>
      </c>
      <c r="Z209" s="3"/>
      <c r="AA209" s="15">
        <f>(120*(Ventas!AE243*1) - IF(Y209&gt;0,Y209,0))</f>
        <v>0</v>
      </c>
      <c r="AB209" s="15">
        <f t="shared" si="14"/>
        <v>0</v>
      </c>
      <c r="AC209" s="15">
        <f t="shared" si="15"/>
        <v>0</v>
      </c>
      <c r="AD209" s="3"/>
      <c r="AE209" s="3"/>
      <c r="AF209" s="3"/>
      <c r="AG209" s="3"/>
      <c r="AH209" s="1" t="s">
        <v>37</v>
      </c>
    </row>
    <row r="210" spans="1:34" x14ac:dyDescent="0.25">
      <c r="A210" s="1"/>
      <c r="B210" s="1" t="s">
        <v>561</v>
      </c>
      <c r="C210" s="14" t="s">
        <v>560</v>
      </c>
      <c r="D210" s="3"/>
      <c r="E210" s="12">
        <v>46238</v>
      </c>
      <c r="F210" s="7">
        <v>1</v>
      </c>
      <c r="G210" s="15">
        <f>(D210-(0)+0-(F210*Ventas!AE244*1))</f>
        <v>0</v>
      </c>
      <c r="H210" s="3"/>
      <c r="I210" s="8">
        <v>1</v>
      </c>
      <c r="J210" s="15">
        <f t="shared" si="12"/>
        <v>1</v>
      </c>
      <c r="K210" s="3"/>
      <c r="L210" s="3"/>
      <c r="M210" s="3"/>
      <c r="N210" s="12">
        <v>46275</v>
      </c>
      <c r="O210" s="7">
        <v>37</v>
      </c>
      <c r="P210" s="15">
        <f>(IF(G210&gt;0,G210+I210,I210)-(O210*Ventas!AE244*1))</f>
        <v>1</v>
      </c>
      <c r="Q210" s="3"/>
      <c r="R210" s="8">
        <v>0</v>
      </c>
      <c r="S210" s="15">
        <f t="shared" si="13"/>
        <v>1</v>
      </c>
      <c r="T210" s="3"/>
      <c r="U210" s="3"/>
      <c r="V210" s="3"/>
      <c r="W210" s="12">
        <v>46331</v>
      </c>
      <c r="X210" s="7">
        <v>56</v>
      </c>
      <c r="Y210" s="15">
        <f>(IF(P210&gt;0,P210+R210,R210)-(X210*Ventas!AE244*1))</f>
        <v>1</v>
      </c>
      <c r="Z210" s="3"/>
      <c r="AA210" s="15">
        <f>(120*(Ventas!AE244*1) - IF(Y210&gt;0,Y210,0))</f>
        <v>-1</v>
      </c>
      <c r="AB210" s="15">
        <f t="shared" si="14"/>
        <v>0</v>
      </c>
      <c r="AC210" s="15">
        <f t="shared" si="15"/>
        <v>1</v>
      </c>
      <c r="AD210" s="3"/>
      <c r="AE210" s="8">
        <v>3025</v>
      </c>
      <c r="AF210" s="3"/>
      <c r="AG210" s="3"/>
      <c r="AH210" s="1" t="s">
        <v>37</v>
      </c>
    </row>
    <row r="211" spans="1:34" x14ac:dyDescent="0.25">
      <c r="A211" s="1"/>
      <c r="B211" s="1" t="s">
        <v>563</v>
      </c>
      <c r="C211" s="14" t="s">
        <v>562</v>
      </c>
      <c r="D211" s="3"/>
      <c r="E211" s="12">
        <v>46238</v>
      </c>
      <c r="F211" s="7">
        <v>1</v>
      </c>
      <c r="G211" s="15">
        <f>(D211-(0)+0-(F211*Ventas!AE245*1))</f>
        <v>0</v>
      </c>
      <c r="H211" s="3"/>
      <c r="I211" s="8">
        <v>1</v>
      </c>
      <c r="J211" s="15">
        <f t="shared" si="12"/>
        <v>1</v>
      </c>
      <c r="K211" s="3"/>
      <c r="L211" s="3"/>
      <c r="M211" s="3"/>
      <c r="N211" s="12">
        <v>46275</v>
      </c>
      <c r="O211" s="7">
        <v>37</v>
      </c>
      <c r="P211" s="15">
        <f>(IF(G211&gt;0,G211+I211,I211)-(O211*Ventas!AE245*1))</f>
        <v>1</v>
      </c>
      <c r="Q211" s="3"/>
      <c r="R211" s="8">
        <v>0</v>
      </c>
      <c r="S211" s="15">
        <f t="shared" si="13"/>
        <v>1</v>
      </c>
      <c r="T211" s="3"/>
      <c r="U211" s="3"/>
      <c r="V211" s="3"/>
      <c r="W211" s="12">
        <v>46331</v>
      </c>
      <c r="X211" s="7">
        <v>56</v>
      </c>
      <c r="Y211" s="15">
        <f>(IF(P211&gt;0,P211+R211,R211)-(X211*Ventas!AE245*1))</f>
        <v>1</v>
      </c>
      <c r="Z211" s="3"/>
      <c r="AA211" s="15">
        <f>(120*(Ventas!AE245*1) - IF(Y211&gt;0,Y211,0))</f>
        <v>-1</v>
      </c>
      <c r="AB211" s="15">
        <f t="shared" si="14"/>
        <v>0</v>
      </c>
      <c r="AC211" s="15">
        <f t="shared" si="15"/>
        <v>1</v>
      </c>
      <c r="AD211" s="3"/>
      <c r="AE211" s="8">
        <v>3025</v>
      </c>
      <c r="AF211" s="3"/>
      <c r="AG211" s="3"/>
      <c r="AH211" s="1" t="s">
        <v>37</v>
      </c>
    </row>
    <row r="212" spans="1:34" x14ac:dyDescent="0.25">
      <c r="A212" s="1"/>
      <c r="B212" s="1" t="s">
        <v>565</v>
      </c>
      <c r="C212" s="14" t="s">
        <v>564</v>
      </c>
      <c r="D212" s="3"/>
      <c r="E212" s="12">
        <v>46238</v>
      </c>
      <c r="F212" s="7">
        <v>1</v>
      </c>
      <c r="G212" s="15">
        <f>(D212-(0)+0-(F212*Ventas!AE246*1))</f>
        <v>0</v>
      </c>
      <c r="H212" s="3"/>
      <c r="I212" s="8">
        <v>1</v>
      </c>
      <c r="J212" s="15">
        <f t="shared" si="12"/>
        <v>1</v>
      </c>
      <c r="K212" s="3"/>
      <c r="L212" s="3"/>
      <c r="M212" s="3"/>
      <c r="N212" s="12">
        <v>46275</v>
      </c>
      <c r="O212" s="7">
        <v>37</v>
      </c>
      <c r="P212" s="15">
        <f>(IF(G212&gt;0,G212+I212,I212)-(O212*Ventas!AE246*1))</f>
        <v>1</v>
      </c>
      <c r="Q212" s="3"/>
      <c r="R212" s="8">
        <v>0</v>
      </c>
      <c r="S212" s="15">
        <f t="shared" si="13"/>
        <v>1</v>
      </c>
      <c r="T212" s="3"/>
      <c r="U212" s="3"/>
      <c r="V212" s="3"/>
      <c r="W212" s="12">
        <v>46331</v>
      </c>
      <c r="X212" s="7">
        <v>56</v>
      </c>
      <c r="Y212" s="15">
        <f>(IF(P212&gt;0,P212+R212,R212)-(X212*Ventas!AE246*1))</f>
        <v>1</v>
      </c>
      <c r="Z212" s="3"/>
      <c r="AA212" s="15">
        <f>(120*(Ventas!AE246*1) - IF(Y212&gt;0,Y212,0))</f>
        <v>-1</v>
      </c>
      <c r="AB212" s="15">
        <f t="shared" si="14"/>
        <v>0</v>
      </c>
      <c r="AC212" s="15">
        <f t="shared" si="15"/>
        <v>1</v>
      </c>
      <c r="AD212" s="3"/>
      <c r="AE212" s="8">
        <v>3025</v>
      </c>
      <c r="AF212" s="3"/>
      <c r="AG212" s="3"/>
      <c r="AH212" s="1" t="s">
        <v>37</v>
      </c>
    </row>
    <row r="213" spans="1:34" x14ac:dyDescent="0.25">
      <c r="A213" s="1"/>
      <c r="B213" s="1" t="s">
        <v>567</v>
      </c>
      <c r="C213" s="14" t="s">
        <v>566</v>
      </c>
      <c r="D213" s="3"/>
      <c r="E213" s="12">
        <v>46238</v>
      </c>
      <c r="F213" s="7">
        <v>1</v>
      </c>
      <c r="G213" s="15">
        <f>(D213-(0)+0-(F213*Ventas!AE247*1))</f>
        <v>0</v>
      </c>
      <c r="H213" s="3"/>
      <c r="I213" s="8">
        <v>1</v>
      </c>
      <c r="J213" s="15">
        <f t="shared" si="12"/>
        <v>1</v>
      </c>
      <c r="K213" s="3"/>
      <c r="L213" s="3"/>
      <c r="M213" s="3"/>
      <c r="N213" s="12">
        <v>46275</v>
      </c>
      <c r="O213" s="7">
        <v>37</v>
      </c>
      <c r="P213" s="15">
        <f>(IF(G213&gt;0,G213+I213,I213)-(O213*Ventas!AE247*1))</f>
        <v>1</v>
      </c>
      <c r="Q213" s="3"/>
      <c r="R213" s="8">
        <v>0</v>
      </c>
      <c r="S213" s="15">
        <f t="shared" si="13"/>
        <v>1</v>
      </c>
      <c r="T213" s="3"/>
      <c r="U213" s="3"/>
      <c r="V213" s="3"/>
      <c r="W213" s="12">
        <v>46331</v>
      </c>
      <c r="X213" s="7">
        <v>56</v>
      </c>
      <c r="Y213" s="15">
        <f>(IF(P213&gt;0,P213+R213,R213)-(X213*Ventas!AE247*1))</f>
        <v>1</v>
      </c>
      <c r="Z213" s="3"/>
      <c r="AA213" s="15">
        <f>(120*(Ventas!AE247*1) - IF(Y213&gt;0,Y213,0))</f>
        <v>-1</v>
      </c>
      <c r="AB213" s="15">
        <f t="shared" si="14"/>
        <v>0</v>
      </c>
      <c r="AC213" s="15">
        <f t="shared" si="15"/>
        <v>1</v>
      </c>
      <c r="AD213" s="3"/>
      <c r="AE213" s="8">
        <v>3025</v>
      </c>
      <c r="AF213" s="3"/>
      <c r="AG213" s="3"/>
      <c r="AH213" s="1" t="s">
        <v>37</v>
      </c>
    </row>
    <row r="214" spans="1:34" x14ac:dyDescent="0.25">
      <c r="A214" s="1"/>
      <c r="B214" s="1" t="s">
        <v>569</v>
      </c>
      <c r="C214" s="14" t="s">
        <v>568</v>
      </c>
      <c r="D214" s="3"/>
      <c r="E214" s="12">
        <v>46238</v>
      </c>
      <c r="F214" s="7">
        <v>1</v>
      </c>
      <c r="G214" s="15">
        <f>(D214-(0)+0-(F214*Ventas!AE248*1))</f>
        <v>0</v>
      </c>
      <c r="H214" s="3"/>
      <c r="I214" s="8">
        <v>1</v>
      </c>
      <c r="J214" s="15">
        <f t="shared" si="12"/>
        <v>1</v>
      </c>
      <c r="K214" s="3"/>
      <c r="L214" s="3"/>
      <c r="M214" s="3"/>
      <c r="N214" s="12">
        <v>46275</v>
      </c>
      <c r="O214" s="7">
        <v>37</v>
      </c>
      <c r="P214" s="15">
        <f>(IF(G214&gt;0,G214+I214,I214)-(O214*Ventas!AE248*1))</f>
        <v>1</v>
      </c>
      <c r="Q214" s="3"/>
      <c r="R214" s="8">
        <v>0</v>
      </c>
      <c r="S214" s="15">
        <f t="shared" si="13"/>
        <v>1</v>
      </c>
      <c r="T214" s="3"/>
      <c r="U214" s="3"/>
      <c r="V214" s="3"/>
      <c r="W214" s="12">
        <v>46331</v>
      </c>
      <c r="X214" s="7">
        <v>56</v>
      </c>
      <c r="Y214" s="15">
        <f>(IF(P214&gt;0,P214+R214,R214)-(X214*Ventas!AE248*1))</f>
        <v>1</v>
      </c>
      <c r="Z214" s="3"/>
      <c r="AA214" s="15">
        <f>(120*(Ventas!AE248*1) - IF(Y214&gt;0,Y214,0))</f>
        <v>-1</v>
      </c>
      <c r="AB214" s="15">
        <f t="shared" si="14"/>
        <v>0</v>
      </c>
      <c r="AC214" s="15">
        <f t="shared" si="15"/>
        <v>1</v>
      </c>
      <c r="AD214" s="3"/>
      <c r="AE214" s="8">
        <v>3025</v>
      </c>
      <c r="AF214" s="3"/>
      <c r="AG214" s="3"/>
      <c r="AH214" s="1" t="s">
        <v>37</v>
      </c>
    </row>
    <row r="215" spans="1:34" x14ac:dyDescent="0.25">
      <c r="A215" s="1"/>
      <c r="B215" s="1" t="s">
        <v>571</v>
      </c>
      <c r="C215" s="14" t="s">
        <v>570</v>
      </c>
      <c r="D215" s="3"/>
      <c r="E215" s="12">
        <v>46238</v>
      </c>
      <c r="F215" s="7">
        <v>1</v>
      </c>
      <c r="G215" s="15">
        <f>(D215-(0)+0-(F215*Ventas!AE249*1))</f>
        <v>0</v>
      </c>
      <c r="H215" s="3"/>
      <c r="I215" s="8">
        <v>1</v>
      </c>
      <c r="J215" s="15">
        <f t="shared" si="12"/>
        <v>1</v>
      </c>
      <c r="K215" s="3"/>
      <c r="L215" s="3"/>
      <c r="M215" s="3"/>
      <c r="N215" s="12">
        <v>46275</v>
      </c>
      <c r="O215" s="7">
        <v>37</v>
      </c>
      <c r="P215" s="15">
        <f>(IF(G215&gt;0,G215+I215,I215)-(O215*Ventas!AE249*1))</f>
        <v>1</v>
      </c>
      <c r="Q215" s="3"/>
      <c r="R215" s="8">
        <v>0</v>
      </c>
      <c r="S215" s="15">
        <f t="shared" si="13"/>
        <v>1</v>
      </c>
      <c r="T215" s="3"/>
      <c r="U215" s="3"/>
      <c r="V215" s="3"/>
      <c r="W215" s="12">
        <v>46331</v>
      </c>
      <c r="X215" s="7">
        <v>56</v>
      </c>
      <c r="Y215" s="15">
        <f>(IF(P215&gt;0,P215+R215,R215)-(X215*Ventas!AE249*1))</f>
        <v>1</v>
      </c>
      <c r="Z215" s="3"/>
      <c r="AA215" s="15">
        <f>(120*(Ventas!AE249*1) - IF(Y215&gt;0,Y215,0))</f>
        <v>-1</v>
      </c>
      <c r="AB215" s="15">
        <f t="shared" si="14"/>
        <v>0</v>
      </c>
      <c r="AC215" s="15">
        <f t="shared" si="15"/>
        <v>1</v>
      </c>
      <c r="AD215" s="3"/>
      <c r="AE215" s="8">
        <v>3025</v>
      </c>
      <c r="AF215" s="3"/>
      <c r="AG215" s="3"/>
      <c r="AH215" s="1" t="s">
        <v>37</v>
      </c>
    </row>
    <row r="216" spans="1:34" x14ac:dyDescent="0.25">
      <c r="A216" s="1"/>
      <c r="B216" s="1" t="s">
        <v>573</v>
      </c>
      <c r="C216" s="14" t="s">
        <v>572</v>
      </c>
      <c r="D216" s="3"/>
      <c r="E216" s="12">
        <v>46238</v>
      </c>
      <c r="F216" s="7">
        <v>1</v>
      </c>
      <c r="G216" s="15">
        <f>(D216-(0)+0-(F216*Ventas!AE250*1))</f>
        <v>0</v>
      </c>
      <c r="H216" s="3"/>
      <c r="I216" s="8">
        <v>0</v>
      </c>
      <c r="J216" s="15">
        <f t="shared" si="12"/>
        <v>0</v>
      </c>
      <c r="K216" s="3"/>
      <c r="L216" s="3"/>
      <c r="M216" s="3"/>
      <c r="N216" s="12">
        <v>46275</v>
      </c>
      <c r="O216" s="7">
        <v>37</v>
      </c>
      <c r="P216" s="15">
        <f>(IF(G216&gt;0,G216+I216,I216)-(O216*Ventas!AE250*1))</f>
        <v>0</v>
      </c>
      <c r="Q216" s="3"/>
      <c r="R216" s="8">
        <v>18</v>
      </c>
      <c r="S216" s="15">
        <f t="shared" si="13"/>
        <v>18</v>
      </c>
      <c r="T216" s="15">
        <v>11.36</v>
      </c>
      <c r="U216" s="3"/>
      <c r="V216" s="3"/>
      <c r="W216" s="12">
        <v>46331</v>
      </c>
      <c r="X216" s="7">
        <v>56</v>
      </c>
      <c r="Y216" s="15">
        <f>(IF(P216&gt;0,P216+R216,R216)-(X216*Ventas!AE250*1))</f>
        <v>18</v>
      </c>
      <c r="Z216" s="3"/>
      <c r="AA216" s="15">
        <f>(120*(Ventas!AE250*1) - IF(Y216&gt;0,Y216,0))</f>
        <v>-18</v>
      </c>
      <c r="AB216" s="15">
        <f t="shared" si="14"/>
        <v>0</v>
      </c>
      <c r="AC216" s="15">
        <f t="shared" si="15"/>
        <v>18</v>
      </c>
      <c r="AD216" s="3"/>
      <c r="AE216" s="3"/>
      <c r="AF216" s="3"/>
      <c r="AG216" s="3"/>
      <c r="AH216" s="1" t="s">
        <v>34</v>
      </c>
    </row>
    <row r="217" spans="1:34" x14ac:dyDescent="0.25">
      <c r="A217" s="1"/>
      <c r="B217" s="1" t="s">
        <v>73</v>
      </c>
      <c r="C217" s="14" t="s">
        <v>72</v>
      </c>
      <c r="D217" s="3"/>
      <c r="E217" s="12">
        <v>46238</v>
      </c>
      <c r="F217" s="7">
        <v>1</v>
      </c>
      <c r="G217" s="15">
        <f>(D217-(0)+0-(F217*Ventas!AE21*1.3))</f>
        <v>0</v>
      </c>
      <c r="H217" s="3"/>
      <c r="I217" s="8">
        <v>0</v>
      </c>
      <c r="J217" s="15">
        <f t="shared" si="12"/>
        <v>0</v>
      </c>
      <c r="K217" s="3"/>
      <c r="L217" s="15">
        <v>10</v>
      </c>
      <c r="M217" s="17">
        <v>1E-3</v>
      </c>
      <c r="N217" s="12">
        <v>46275</v>
      </c>
      <c r="O217" s="7">
        <v>37</v>
      </c>
      <c r="P217" s="15">
        <f>(IF(G217&gt;0,G217+I217,I217)-(O217*Ventas!AE21*1.1649))</f>
        <v>0</v>
      </c>
      <c r="Q217" s="3"/>
      <c r="R217" s="8">
        <v>0</v>
      </c>
      <c r="S217" s="15">
        <f t="shared" si="13"/>
        <v>0</v>
      </c>
      <c r="T217" s="3"/>
      <c r="U217" s="15">
        <v>10</v>
      </c>
      <c r="V217" s="17">
        <v>1E-3</v>
      </c>
      <c r="W217" s="12">
        <v>46331</v>
      </c>
      <c r="X217" s="7">
        <v>56</v>
      </c>
      <c r="Y217" s="15">
        <f>(IF(P217&gt;0,P217+R217,R217)-(X217*Ventas!AE21*0.8357))</f>
        <v>0</v>
      </c>
      <c r="Z217" s="3"/>
      <c r="AA217" s="15">
        <f>(120*(Ventas!AE21*1.3117) - IF(Y217&gt;0,Y217,0))</f>
        <v>0</v>
      </c>
      <c r="AB217" s="15">
        <f t="shared" si="14"/>
        <v>0</v>
      </c>
      <c r="AC217" s="15">
        <f t="shared" si="15"/>
        <v>0</v>
      </c>
      <c r="AD217" s="3"/>
      <c r="AE217" s="3"/>
      <c r="AF217" s="3"/>
      <c r="AG217" s="3"/>
      <c r="AH217" s="1" t="s">
        <v>37</v>
      </c>
    </row>
    <row r="218" spans="1:34" x14ac:dyDescent="0.25">
      <c r="A218" s="1"/>
      <c r="B218" s="1" t="s">
        <v>75</v>
      </c>
      <c r="C218" s="14" t="s">
        <v>74</v>
      </c>
      <c r="D218" s="3"/>
      <c r="E218" s="12">
        <v>46238</v>
      </c>
      <c r="F218" s="7">
        <v>1</v>
      </c>
      <c r="G218" s="15">
        <f>(D218-(0)+0-(F218*Ventas!AE22*1.3))</f>
        <v>0</v>
      </c>
      <c r="H218" s="3"/>
      <c r="I218" s="8">
        <v>0</v>
      </c>
      <c r="J218" s="15">
        <f t="shared" si="12"/>
        <v>0</v>
      </c>
      <c r="K218" s="3"/>
      <c r="L218" s="15">
        <v>10</v>
      </c>
      <c r="M218" s="17">
        <v>1E-3</v>
      </c>
      <c r="N218" s="12">
        <v>46275</v>
      </c>
      <c r="O218" s="7">
        <v>37</v>
      </c>
      <c r="P218" s="15">
        <f>(IF(G218&gt;0,G218+I218,I218)-(O218*Ventas!AE22*1.1649))</f>
        <v>0</v>
      </c>
      <c r="Q218" s="3"/>
      <c r="R218" s="8">
        <v>0</v>
      </c>
      <c r="S218" s="15">
        <f t="shared" si="13"/>
        <v>0</v>
      </c>
      <c r="T218" s="3"/>
      <c r="U218" s="15">
        <v>10</v>
      </c>
      <c r="V218" s="17">
        <v>1E-3</v>
      </c>
      <c r="W218" s="12">
        <v>46331</v>
      </c>
      <c r="X218" s="7">
        <v>56</v>
      </c>
      <c r="Y218" s="15">
        <f>(IF(P218&gt;0,P218+R218,R218)-(X218*Ventas!AE22*0.8357))</f>
        <v>0</v>
      </c>
      <c r="Z218" s="3"/>
      <c r="AA218" s="15">
        <f>(120*(Ventas!AE22*1.3117) - IF(Y218&gt;0,Y218,0))</f>
        <v>0</v>
      </c>
      <c r="AB218" s="15">
        <f t="shared" si="14"/>
        <v>0</v>
      </c>
      <c r="AC218" s="15">
        <f t="shared" si="15"/>
        <v>0</v>
      </c>
      <c r="AD218" s="3"/>
      <c r="AE218" s="3"/>
      <c r="AF218" s="3"/>
      <c r="AG218" s="3"/>
      <c r="AH218" s="1" t="s">
        <v>37</v>
      </c>
    </row>
    <row r="219" spans="1:34" x14ac:dyDescent="0.25">
      <c r="A219" s="1"/>
      <c r="B219" s="1" t="s">
        <v>77</v>
      </c>
      <c r="C219" s="14" t="s">
        <v>76</v>
      </c>
      <c r="D219" s="3"/>
      <c r="E219" s="12">
        <v>46238</v>
      </c>
      <c r="F219" s="7">
        <v>1</v>
      </c>
      <c r="G219" s="15">
        <f>(D219-(0)+0-(F219*Ventas!AE23*1.3))</f>
        <v>0</v>
      </c>
      <c r="H219" s="3"/>
      <c r="I219" s="8">
        <v>0</v>
      </c>
      <c r="J219" s="15">
        <f t="shared" si="12"/>
        <v>0</v>
      </c>
      <c r="K219" s="3"/>
      <c r="L219" s="15">
        <v>8</v>
      </c>
      <c r="M219" s="17">
        <v>1.25E-3</v>
      </c>
      <c r="N219" s="12">
        <v>46275</v>
      </c>
      <c r="O219" s="7">
        <v>37</v>
      </c>
      <c r="P219" s="15">
        <f>(IF(G219&gt;0,G219+I219,I219)-(O219*Ventas!AE23*1.1649))</f>
        <v>0</v>
      </c>
      <c r="Q219" s="3"/>
      <c r="R219" s="8">
        <v>0</v>
      </c>
      <c r="S219" s="15">
        <f t="shared" si="13"/>
        <v>0</v>
      </c>
      <c r="T219" s="3"/>
      <c r="U219" s="15">
        <v>8</v>
      </c>
      <c r="V219" s="17">
        <v>1.25E-3</v>
      </c>
      <c r="W219" s="12">
        <v>46331</v>
      </c>
      <c r="X219" s="7">
        <v>56</v>
      </c>
      <c r="Y219" s="15">
        <f>(IF(P219&gt;0,P219+R219,R219)-(X219*Ventas!AE23*0.8357))</f>
        <v>0</v>
      </c>
      <c r="Z219" s="3"/>
      <c r="AA219" s="15">
        <f>(120*(Ventas!AE23*1.3117) - IF(Y219&gt;0,Y219,0))</f>
        <v>0</v>
      </c>
      <c r="AB219" s="15">
        <f t="shared" si="14"/>
        <v>0</v>
      </c>
      <c r="AC219" s="15">
        <f t="shared" si="15"/>
        <v>0</v>
      </c>
      <c r="AD219" s="3"/>
      <c r="AE219" s="3"/>
      <c r="AF219" s="3"/>
      <c r="AG219" s="3"/>
      <c r="AH219" s="1" t="s">
        <v>37</v>
      </c>
    </row>
    <row r="220" spans="1:34" x14ac:dyDescent="0.25">
      <c r="A220" s="1"/>
      <c r="B220" s="1" t="s">
        <v>79</v>
      </c>
      <c r="C220" s="14" t="s">
        <v>78</v>
      </c>
      <c r="D220" s="3"/>
      <c r="E220" s="12">
        <v>46238</v>
      </c>
      <c r="F220" s="7">
        <v>1</v>
      </c>
      <c r="G220" s="15">
        <f>(D220-(0)+0-(F220*Ventas!AE24*1.3))</f>
        <v>0</v>
      </c>
      <c r="H220" s="3"/>
      <c r="I220" s="8">
        <v>0</v>
      </c>
      <c r="J220" s="15">
        <f t="shared" si="12"/>
        <v>0</v>
      </c>
      <c r="K220" s="3"/>
      <c r="L220" s="15">
        <v>8</v>
      </c>
      <c r="M220" s="17">
        <v>1.25E-3</v>
      </c>
      <c r="N220" s="12">
        <v>46275</v>
      </c>
      <c r="O220" s="7">
        <v>37</v>
      </c>
      <c r="P220" s="15">
        <f>(IF(G220&gt;0,G220+I220,I220)-(O220*Ventas!AE24*1.1649))</f>
        <v>0</v>
      </c>
      <c r="Q220" s="3"/>
      <c r="R220" s="8">
        <v>0</v>
      </c>
      <c r="S220" s="15">
        <f t="shared" si="13"/>
        <v>0</v>
      </c>
      <c r="T220" s="3"/>
      <c r="U220" s="15">
        <v>8</v>
      </c>
      <c r="V220" s="17">
        <v>1.25E-3</v>
      </c>
      <c r="W220" s="12">
        <v>46331</v>
      </c>
      <c r="X220" s="7">
        <v>56</v>
      </c>
      <c r="Y220" s="15">
        <f>(IF(P220&gt;0,P220+R220,R220)-(X220*Ventas!AE24*0.8357))</f>
        <v>0</v>
      </c>
      <c r="Z220" s="3"/>
      <c r="AA220" s="15">
        <f>(120*(Ventas!AE24*1.3117) - IF(Y220&gt;0,Y220,0))</f>
        <v>0</v>
      </c>
      <c r="AB220" s="15">
        <f t="shared" si="14"/>
        <v>0</v>
      </c>
      <c r="AC220" s="15">
        <f t="shared" si="15"/>
        <v>0</v>
      </c>
      <c r="AD220" s="3"/>
      <c r="AE220" s="3"/>
      <c r="AF220" s="3"/>
      <c r="AG220" s="3"/>
      <c r="AH220" s="1" t="s">
        <v>37</v>
      </c>
    </row>
    <row r="221" spans="1:34" x14ac:dyDescent="0.25">
      <c r="A221" s="1"/>
      <c r="B221" s="1" t="s">
        <v>57</v>
      </c>
      <c r="C221" s="14" t="s">
        <v>56</v>
      </c>
      <c r="D221" s="3"/>
      <c r="E221" s="12">
        <v>46238</v>
      </c>
      <c r="F221" s="7">
        <v>1</v>
      </c>
      <c r="G221" s="15">
        <f>(D221-(0)+0-(F221*Ventas!AE13*1))</f>
        <v>0</v>
      </c>
      <c r="H221" s="3"/>
      <c r="I221" s="8">
        <v>0</v>
      </c>
      <c r="J221" s="15">
        <f t="shared" si="12"/>
        <v>0</v>
      </c>
      <c r="K221" s="3"/>
      <c r="L221" s="15">
        <v>70</v>
      </c>
      <c r="M221" s="17">
        <v>4.0499999999999998E-4</v>
      </c>
      <c r="N221" s="12">
        <v>46275</v>
      </c>
      <c r="O221" s="7">
        <v>37</v>
      </c>
      <c r="P221" s="15">
        <f>(IF(G221&gt;0,G221+I221,I221)-(O221*Ventas!AE13*0.9189))</f>
        <v>0</v>
      </c>
      <c r="Q221" s="3"/>
      <c r="R221" s="8">
        <v>0</v>
      </c>
      <c r="S221" s="15">
        <f t="shared" si="13"/>
        <v>0</v>
      </c>
      <c r="T221" s="3"/>
      <c r="U221" s="15">
        <v>70</v>
      </c>
      <c r="V221" s="17">
        <v>4.0499999999999998E-4</v>
      </c>
      <c r="W221" s="12">
        <v>46331</v>
      </c>
      <c r="X221" s="7">
        <v>56</v>
      </c>
      <c r="Y221" s="15">
        <f>(IF(P221&gt;0,P221+R221,R221)-(X221*Ventas!AE13*0.925))</f>
        <v>0</v>
      </c>
      <c r="Z221" s="3"/>
      <c r="AA221" s="15">
        <f>(120*(Ventas!AE13*1.485) - IF(Y221&gt;0,Y221,0))</f>
        <v>0</v>
      </c>
      <c r="AB221" s="15">
        <f t="shared" si="14"/>
        <v>0</v>
      </c>
      <c r="AC221" s="15">
        <f t="shared" si="15"/>
        <v>0</v>
      </c>
      <c r="AD221" s="16">
        <v>0.51</v>
      </c>
      <c r="AE221" s="8">
        <v>3025</v>
      </c>
      <c r="AF221" s="3"/>
      <c r="AG221" s="3"/>
      <c r="AH221" s="1" t="s">
        <v>34</v>
      </c>
    </row>
    <row r="222" spans="1:34" x14ac:dyDescent="0.25">
      <c r="A222" s="1"/>
      <c r="B222" s="1" t="s">
        <v>59</v>
      </c>
      <c r="C222" s="14" t="s">
        <v>58</v>
      </c>
      <c r="D222" s="3"/>
      <c r="E222" s="12">
        <v>46238</v>
      </c>
      <c r="F222" s="7">
        <v>1</v>
      </c>
      <c r="G222" s="15">
        <f>(D222-(0)+0-(F222*Ventas!AE14*1))</f>
        <v>0</v>
      </c>
      <c r="H222" s="3"/>
      <c r="I222" s="8">
        <v>0</v>
      </c>
      <c r="J222" s="15">
        <f t="shared" si="12"/>
        <v>0</v>
      </c>
      <c r="K222" s="3"/>
      <c r="L222" s="15">
        <v>120</v>
      </c>
      <c r="M222" s="17">
        <v>2.9999999999999997E-4</v>
      </c>
      <c r="N222" s="12">
        <v>46275</v>
      </c>
      <c r="O222" s="7">
        <v>37</v>
      </c>
      <c r="P222" s="15">
        <f>(IF(G222&gt;0,G222+I222,I222)-(O222*Ventas!AE14*0.9189))</f>
        <v>0</v>
      </c>
      <c r="Q222" s="3"/>
      <c r="R222" s="8">
        <v>0</v>
      </c>
      <c r="S222" s="15">
        <f t="shared" si="13"/>
        <v>0</v>
      </c>
      <c r="T222" s="3"/>
      <c r="U222" s="15">
        <v>120</v>
      </c>
      <c r="V222" s="17">
        <v>2.9999999999999997E-4</v>
      </c>
      <c r="W222" s="12">
        <v>46331</v>
      </c>
      <c r="X222" s="7">
        <v>56</v>
      </c>
      <c r="Y222" s="15">
        <f>(IF(P222&gt;0,P222+R222,R222)-(X222*Ventas!AE14*0.925))</f>
        <v>0</v>
      </c>
      <c r="Z222" s="3"/>
      <c r="AA222" s="15">
        <f>(120*(Ventas!AE14*1.485) - IF(Y222&gt;0,Y222,0))</f>
        <v>0</v>
      </c>
      <c r="AB222" s="15">
        <f t="shared" si="14"/>
        <v>0</v>
      </c>
      <c r="AC222" s="15">
        <f t="shared" si="15"/>
        <v>0</v>
      </c>
      <c r="AD222" s="16">
        <v>0.6</v>
      </c>
      <c r="AE222" s="8">
        <v>3025</v>
      </c>
      <c r="AF222" s="3"/>
      <c r="AG222" s="3"/>
      <c r="AH222" s="1" t="s">
        <v>37</v>
      </c>
    </row>
    <row r="223" spans="1:34" x14ac:dyDescent="0.25">
      <c r="A223" s="1"/>
      <c r="B223" s="1" t="s">
        <v>61</v>
      </c>
      <c r="C223" s="14" t="s">
        <v>60</v>
      </c>
      <c r="D223" s="3"/>
      <c r="E223" s="12">
        <v>46238</v>
      </c>
      <c r="F223" s="7">
        <v>1</v>
      </c>
      <c r="G223" s="15">
        <f>(D223-(0)+0-(F223*Ventas!AE15*1))</f>
        <v>0</v>
      </c>
      <c r="H223" s="3"/>
      <c r="I223" s="8">
        <v>0</v>
      </c>
      <c r="J223" s="15">
        <f t="shared" si="12"/>
        <v>0</v>
      </c>
      <c r="K223" s="3"/>
      <c r="L223" s="15">
        <v>70</v>
      </c>
      <c r="M223" s="17">
        <v>4.0499999999999998E-4</v>
      </c>
      <c r="N223" s="12">
        <v>46275</v>
      </c>
      <c r="O223" s="7">
        <v>37</v>
      </c>
      <c r="P223" s="15">
        <f>(IF(G223&gt;0,G223+I223,I223)-(O223*Ventas!AE15*0.9189))</f>
        <v>0</v>
      </c>
      <c r="Q223" s="3"/>
      <c r="R223" s="8">
        <v>0</v>
      </c>
      <c r="S223" s="15">
        <f t="shared" si="13"/>
        <v>0</v>
      </c>
      <c r="T223" s="3"/>
      <c r="U223" s="15">
        <v>70</v>
      </c>
      <c r="V223" s="17">
        <v>4.0499999999999998E-4</v>
      </c>
      <c r="W223" s="12">
        <v>46331</v>
      </c>
      <c r="X223" s="7">
        <v>56</v>
      </c>
      <c r="Y223" s="15">
        <f>(IF(P223&gt;0,P223+R223,R223)-(X223*Ventas!AE15*0.925))</f>
        <v>0</v>
      </c>
      <c r="Z223" s="3"/>
      <c r="AA223" s="15">
        <f>(120*(Ventas!AE15*1.485) - IF(Y223&gt;0,Y223,0))</f>
        <v>0</v>
      </c>
      <c r="AB223" s="15">
        <f t="shared" si="14"/>
        <v>0</v>
      </c>
      <c r="AC223" s="15">
        <f t="shared" si="15"/>
        <v>0</v>
      </c>
      <c r="AD223" s="16">
        <v>0.98</v>
      </c>
      <c r="AE223" s="8">
        <v>3010</v>
      </c>
      <c r="AF223" s="3"/>
      <c r="AG223" s="3"/>
      <c r="AH223" s="1" t="s">
        <v>34</v>
      </c>
    </row>
    <row r="224" spans="1:34" x14ac:dyDescent="0.25">
      <c r="A224" s="1"/>
      <c r="B224" s="1" t="s">
        <v>63</v>
      </c>
      <c r="C224" s="14" t="s">
        <v>62</v>
      </c>
      <c r="D224" s="3"/>
      <c r="E224" s="12">
        <v>46238</v>
      </c>
      <c r="F224" s="7">
        <v>1</v>
      </c>
      <c r="G224" s="15">
        <f>(D224-(0)+0-(F224*Ventas!AE16*1))</f>
        <v>-1.9410000000000001</v>
      </c>
      <c r="H224" s="18">
        <f>(G224/(Ventas!AE16*1)/60)</f>
        <v>-1.6666666666666666E-2</v>
      </c>
      <c r="I224" s="8">
        <v>0</v>
      </c>
      <c r="J224" s="15">
        <f t="shared" si="12"/>
        <v>0</v>
      </c>
      <c r="K224" s="3"/>
      <c r="L224" s="15">
        <v>120</v>
      </c>
      <c r="M224" s="17">
        <v>3.3100000000000002E-4</v>
      </c>
      <c r="N224" s="12">
        <v>46275</v>
      </c>
      <c r="O224" s="7">
        <v>37</v>
      </c>
      <c r="P224" s="15">
        <f>(IF(G224&gt;0,G224+I224,I224)-(O224*Ventas!AE16*0.9189))</f>
        <v>-65.992641300000017</v>
      </c>
      <c r="Q224" s="18">
        <f>(P224/(Ventas!AE16*0.9189)/60)</f>
        <v>-0.61666666666666681</v>
      </c>
      <c r="R224" s="8">
        <v>0</v>
      </c>
      <c r="S224" s="15">
        <f t="shared" si="13"/>
        <v>0</v>
      </c>
      <c r="T224" s="3"/>
      <c r="U224" s="15">
        <v>120</v>
      </c>
      <c r="V224" s="17">
        <v>3.3100000000000002E-4</v>
      </c>
      <c r="W224" s="12">
        <v>46331</v>
      </c>
      <c r="X224" s="7">
        <v>56</v>
      </c>
      <c r="Y224" s="15">
        <f>(IF(P224&gt;0,P224+R224,R224)-(X224*Ventas!AE16*0.925))</f>
        <v>-100.5438</v>
      </c>
      <c r="Z224" s="18">
        <f>(Y224/(Ventas!AE16*0.925)/60)</f>
        <v>-0.93333333333333335</v>
      </c>
      <c r="AA224" s="15">
        <f>(120*(Ventas!AE16*1.485) - IF(Y224&gt;0,Y224,0))</f>
        <v>345.88620000000003</v>
      </c>
      <c r="AB224" s="15">
        <f t="shared" si="14"/>
        <v>345.88620000000003</v>
      </c>
      <c r="AC224" s="15">
        <f t="shared" si="15"/>
        <v>345.88620000000003</v>
      </c>
      <c r="AD224" s="16">
        <v>1.08</v>
      </c>
      <c r="AE224" s="8">
        <v>3027</v>
      </c>
      <c r="AF224" s="15">
        <f>(AC224-(60*Ventas!AE16*1.485))</f>
        <v>172.94310000000002</v>
      </c>
      <c r="AG224" s="18">
        <f>(AF224/(Ventas!AE16*1.485)/60)</f>
        <v>1</v>
      </c>
      <c r="AH224" s="1" t="s">
        <v>34</v>
      </c>
    </row>
    <row r="225" spans="1:34" x14ac:dyDescent="0.25">
      <c r="A225" s="1"/>
      <c r="B225" s="1" t="s">
        <v>65</v>
      </c>
      <c r="C225" s="14" t="s">
        <v>64</v>
      </c>
      <c r="D225" s="8">
        <v>61</v>
      </c>
      <c r="E225" s="12">
        <v>46238</v>
      </c>
      <c r="F225" s="7">
        <v>1</v>
      </c>
      <c r="G225" s="15">
        <f>(D225-(0)+0-(F225*Ventas!AE17*1))</f>
        <v>59.730899999999998</v>
      </c>
      <c r="H225" s="18">
        <f>(G225/(Ventas!AE17*1)/60)</f>
        <v>0.78442597116066515</v>
      </c>
      <c r="I225" s="8">
        <v>156</v>
      </c>
      <c r="J225" s="15">
        <f t="shared" si="12"/>
        <v>215.73089999999999</v>
      </c>
      <c r="K225" s="15">
        <v>1.65</v>
      </c>
      <c r="L225" s="15">
        <v>60</v>
      </c>
      <c r="M225" s="17">
        <v>7.2499999999999995E-4</v>
      </c>
      <c r="N225" s="12">
        <v>46275</v>
      </c>
      <c r="O225" s="7">
        <v>37</v>
      </c>
      <c r="P225" s="15">
        <f>(IF(G225&gt;0,G225+I225,I225)-(O225*Ventas!AE17*0.9189))</f>
        <v>172.58238836999999</v>
      </c>
      <c r="Q225" s="18">
        <f>(P225/(Ventas!AE17*0.9189)/60)</f>
        <v>2.4665000515916988</v>
      </c>
      <c r="R225" s="8">
        <v>0</v>
      </c>
      <c r="S225" s="15">
        <f t="shared" si="13"/>
        <v>172.58238836999999</v>
      </c>
      <c r="T225" s="3"/>
      <c r="U225" s="15">
        <v>60</v>
      </c>
      <c r="V225" s="17">
        <v>7.2499999999999995E-4</v>
      </c>
      <c r="W225" s="12">
        <v>46331</v>
      </c>
      <c r="X225" s="7">
        <v>56</v>
      </c>
      <c r="Y225" s="15">
        <f>(IF(P225&gt;0,P225+R225,R225)-(X225*Ventas!AE17*0.925))</f>
        <v>106.84300836999999</v>
      </c>
      <c r="Z225" s="18">
        <f>(Y225/(Ventas!AE17*0.925)/60)</f>
        <v>1.5169011503505712</v>
      </c>
      <c r="AA225" s="15">
        <f>(120*(Ventas!AE17*1.485) - IF(Y225&gt;0,Y225,0))</f>
        <v>119.31061163</v>
      </c>
      <c r="AB225" s="15">
        <f t="shared" si="14"/>
        <v>119.31061163</v>
      </c>
      <c r="AC225" s="15">
        <f t="shared" si="15"/>
        <v>226.15361999999999</v>
      </c>
      <c r="AD225" s="16">
        <v>1.65</v>
      </c>
      <c r="AE225" s="8">
        <v>3025</v>
      </c>
      <c r="AF225" s="15">
        <f>(AC225-(60*Ventas!AE17*1.485))</f>
        <v>113.07681000000001</v>
      </c>
      <c r="AG225" s="18">
        <f>(AF225/(Ventas!AE17*1.485)/60)</f>
        <v>1.0000000000000002</v>
      </c>
      <c r="AH225" s="1" t="s">
        <v>37</v>
      </c>
    </row>
    <row r="226" spans="1:34" x14ac:dyDescent="0.25">
      <c r="A226" s="1"/>
      <c r="B226" s="1" t="s">
        <v>71</v>
      </c>
      <c r="C226" s="14" t="s">
        <v>70</v>
      </c>
      <c r="D226" s="3"/>
      <c r="E226" s="12">
        <v>46238</v>
      </c>
      <c r="F226" s="7">
        <v>1</v>
      </c>
      <c r="G226" s="15">
        <f>(D226-(0)+0-(F226*Ventas!AE20*1))</f>
        <v>-2.9845999999999999</v>
      </c>
      <c r="H226" s="18">
        <f>(G226/(Ventas!AE20*1)/60)</f>
        <v>-1.6666666666666666E-2</v>
      </c>
      <c r="I226" s="8">
        <v>0</v>
      </c>
      <c r="J226" s="15">
        <f t="shared" si="12"/>
        <v>0</v>
      </c>
      <c r="K226" s="3"/>
      <c r="L226" s="15">
        <v>52</v>
      </c>
      <c r="M226" s="17">
        <v>8.3699999999999996E-4</v>
      </c>
      <c r="N226" s="12">
        <v>46275</v>
      </c>
      <c r="O226" s="7">
        <v>37</v>
      </c>
      <c r="P226" s="15">
        <f>(IF(G226&gt;0,G226+I226,I226)-(O226*Ventas!AE20*0.9189))</f>
        <v>-101.47431078000001</v>
      </c>
      <c r="Q226" s="18">
        <f>(P226/(Ventas!AE20*0.9189)/60)</f>
        <v>-0.6166666666666667</v>
      </c>
      <c r="R226" s="8">
        <v>0</v>
      </c>
      <c r="S226" s="15">
        <f t="shared" si="13"/>
        <v>0</v>
      </c>
      <c r="T226" s="3"/>
      <c r="U226" s="15">
        <v>52</v>
      </c>
      <c r="V226" s="17">
        <v>8.3699999999999996E-4</v>
      </c>
      <c r="W226" s="12">
        <v>46331</v>
      </c>
      <c r="X226" s="7">
        <v>56</v>
      </c>
      <c r="Y226" s="15">
        <f>(IF(P226&gt;0,P226+R226,R226)-(X226*Ventas!AE20*0.925))</f>
        <v>-154.60228000000001</v>
      </c>
      <c r="Z226" s="18">
        <f>(Y226/(Ventas!AE20*0.925)/60)</f>
        <v>-0.93333333333333335</v>
      </c>
      <c r="AA226" s="15">
        <f>(120*(Ventas!AE20*1.485) - IF(Y226&gt;0,Y226,0))</f>
        <v>531.85572000000002</v>
      </c>
      <c r="AB226" s="15">
        <f t="shared" si="14"/>
        <v>531.85572000000002</v>
      </c>
      <c r="AC226" s="15">
        <f t="shared" si="15"/>
        <v>531.85572000000002</v>
      </c>
      <c r="AD226" s="16">
        <v>1.27</v>
      </c>
      <c r="AE226" s="8">
        <v>3010</v>
      </c>
      <c r="AF226" s="15">
        <f>(AC226-(60*Ventas!AE20*1.485))</f>
        <v>265.92786000000001</v>
      </c>
      <c r="AG226" s="18">
        <f>(AF226/(Ventas!AE20*1.485)/60)</f>
        <v>1</v>
      </c>
      <c r="AH226" s="1" t="s">
        <v>37</v>
      </c>
    </row>
    <row r="227" spans="1:34" x14ac:dyDescent="0.25">
      <c r="A227" s="1"/>
      <c r="B227" s="1" t="s">
        <v>81</v>
      </c>
      <c r="C227" s="14" t="s">
        <v>80</v>
      </c>
      <c r="D227" s="8">
        <v>137</v>
      </c>
      <c r="E227" s="12">
        <v>46238</v>
      </c>
      <c r="F227" s="7">
        <v>1</v>
      </c>
      <c r="G227" s="15">
        <f>(D227-(0)+0-(F227*Ventas!AE25*1))</f>
        <v>136.8288</v>
      </c>
      <c r="H227" s="18">
        <f>(G227/(Ventas!AE25*1)/60)</f>
        <v>13.320560747663553</v>
      </c>
      <c r="I227" s="8">
        <v>0</v>
      </c>
      <c r="J227" s="15">
        <f t="shared" si="12"/>
        <v>136.8288</v>
      </c>
      <c r="K227" s="3"/>
      <c r="L227" s="15">
        <v>60</v>
      </c>
      <c r="M227" s="17">
        <v>7.2499999999999995E-4</v>
      </c>
      <c r="N227" s="12">
        <v>46275</v>
      </c>
      <c r="O227" s="7">
        <v>37</v>
      </c>
      <c r="P227" s="15">
        <f>(IF(G227&gt;0,G227+I227,I227)-(O227*Ventas!AE25*0.9189))</f>
        <v>131.00811984000001</v>
      </c>
      <c r="Q227" s="18">
        <f>(P227/(Ventas!AE25*0.9189)/60)</f>
        <v>13.879536127612962</v>
      </c>
      <c r="R227" s="8">
        <v>0</v>
      </c>
      <c r="S227" s="15">
        <f t="shared" si="13"/>
        <v>131.00811984000001</v>
      </c>
      <c r="T227" s="3"/>
      <c r="U227" s="15">
        <v>60</v>
      </c>
      <c r="V227" s="17">
        <v>7.2499999999999995E-4</v>
      </c>
      <c r="W227" s="12">
        <v>46331</v>
      </c>
      <c r="X227" s="7">
        <v>56</v>
      </c>
      <c r="Y227" s="15">
        <f>(IF(P227&gt;0,P227+R227,R227)-(X227*Ventas!AE25*0.925))</f>
        <v>122.13995984</v>
      </c>
      <c r="Z227" s="18">
        <f>(Y227/(Ventas!AE25*0.925)/60)</f>
        <v>12.854672880356992</v>
      </c>
      <c r="AA227" s="15">
        <f>(120*(Ventas!AE25*1.485) - IF(Y227&gt;0,Y227,0))</f>
        <v>-91.632119840000001</v>
      </c>
      <c r="AB227" s="15">
        <f t="shared" si="14"/>
        <v>0</v>
      </c>
      <c r="AC227" s="15">
        <f t="shared" si="15"/>
        <v>122.13995984</v>
      </c>
      <c r="AD227" s="16">
        <v>0.96</v>
      </c>
      <c r="AE227" s="8">
        <v>3010</v>
      </c>
      <c r="AF227" s="15">
        <f>(AC227-(60*Ventas!AE25*1.485))</f>
        <v>106.88603984</v>
      </c>
      <c r="AG227" s="18">
        <f>(AF227/(Ventas!AE25*1.485)/60)</f>
        <v>7.0071194709294389</v>
      </c>
      <c r="AH227" s="1" t="s">
        <v>34</v>
      </c>
    </row>
    <row r="228" spans="1:34" x14ac:dyDescent="0.25">
      <c r="A228" s="1"/>
      <c r="B228" s="1" t="s">
        <v>83</v>
      </c>
      <c r="C228" s="14" t="s">
        <v>82</v>
      </c>
      <c r="D228" s="3"/>
      <c r="E228" s="12">
        <v>46238</v>
      </c>
      <c r="F228" s="7">
        <v>1</v>
      </c>
      <c r="G228" s="15">
        <f>(D228-(0)+0-(F228*Ventas!AE26*1))</f>
        <v>-0.28050000000000003</v>
      </c>
      <c r="H228" s="18">
        <f>(G228/(Ventas!AE26*1)/60)</f>
        <v>-1.6666666666666666E-2</v>
      </c>
      <c r="I228" s="8">
        <v>0</v>
      </c>
      <c r="J228" s="15">
        <f t="shared" si="12"/>
        <v>0</v>
      </c>
      <c r="K228" s="3"/>
      <c r="L228" s="15">
        <v>60</v>
      </c>
      <c r="M228" s="17">
        <v>7.2499999999999995E-4</v>
      </c>
      <c r="N228" s="12">
        <v>46275</v>
      </c>
      <c r="O228" s="7">
        <v>37</v>
      </c>
      <c r="P228" s="15">
        <f>(IF(G228&gt;0,G228+I228,I228)-(O228*Ventas!AE26*0.9189))</f>
        <v>-9.5368036500000013</v>
      </c>
      <c r="Q228" s="18">
        <f>(P228/(Ventas!AE26*0.9189)/60)</f>
        <v>-0.6166666666666667</v>
      </c>
      <c r="R228" s="8">
        <v>0</v>
      </c>
      <c r="S228" s="15">
        <f t="shared" si="13"/>
        <v>0</v>
      </c>
      <c r="T228" s="3"/>
      <c r="U228" s="15">
        <v>60</v>
      </c>
      <c r="V228" s="17">
        <v>7.2499999999999995E-4</v>
      </c>
      <c r="W228" s="12">
        <v>46331</v>
      </c>
      <c r="X228" s="7">
        <v>56</v>
      </c>
      <c r="Y228" s="15">
        <f>(IF(P228&gt;0,P228+R228,R228)-(X228*Ventas!AE26*0.925))</f>
        <v>-14.529900000000003</v>
      </c>
      <c r="Z228" s="18">
        <f>(Y228/(Ventas!AE26*0.925)/60)</f>
        <v>-0.93333333333333335</v>
      </c>
      <c r="AA228" s="15">
        <f>(120*(Ventas!AE26*1.485) - IF(Y228&gt;0,Y228,0))</f>
        <v>49.98510000000001</v>
      </c>
      <c r="AB228" s="15">
        <f t="shared" si="14"/>
        <v>49.98510000000001</v>
      </c>
      <c r="AC228" s="15">
        <f t="shared" si="15"/>
        <v>49.98510000000001</v>
      </c>
      <c r="AD228" s="16">
        <v>0.96</v>
      </c>
      <c r="AE228" s="8">
        <v>3010</v>
      </c>
      <c r="AF228" s="15">
        <f>(AC228-(60*Ventas!AE26*1.485))</f>
        <v>24.992550000000005</v>
      </c>
      <c r="AG228" s="18">
        <f>(AF228/(Ventas!AE26*1.485)/60)</f>
        <v>1</v>
      </c>
      <c r="AH228" s="1" t="s">
        <v>34</v>
      </c>
    </row>
    <row r="229" spans="1:34" x14ac:dyDescent="0.25">
      <c r="A229" s="1"/>
      <c r="B229" s="1" t="s">
        <v>85</v>
      </c>
      <c r="C229" s="14" t="s">
        <v>84</v>
      </c>
      <c r="D229" s="8">
        <v>21</v>
      </c>
      <c r="E229" s="12">
        <v>46238</v>
      </c>
      <c r="F229" s="7">
        <v>1</v>
      </c>
      <c r="G229" s="15">
        <f>(D229-(0)+0-(F229*Ventas!AE27*1))</f>
        <v>20.556000000000001</v>
      </c>
      <c r="H229" s="18">
        <f>(G229/(Ventas!AE27*1)/60)</f>
        <v>0.77162162162162162</v>
      </c>
      <c r="I229" s="8">
        <v>0</v>
      </c>
      <c r="J229" s="15">
        <f t="shared" si="12"/>
        <v>20.556000000000001</v>
      </c>
      <c r="K229" s="3"/>
      <c r="L229" s="15">
        <v>60</v>
      </c>
      <c r="M229" s="17">
        <v>7.2499999999999995E-4</v>
      </c>
      <c r="N229" s="12">
        <v>46275</v>
      </c>
      <c r="O229" s="7">
        <v>37</v>
      </c>
      <c r="P229" s="15">
        <f>(IF(G229&gt;0,G229+I229,I229)-(O229*Ventas!AE27*0.9189))</f>
        <v>5.4603108000000002</v>
      </c>
      <c r="Q229" s="18">
        <f>(P229/(Ventas!AE27*0.9189)/60)</f>
        <v>0.22305650410449626</v>
      </c>
      <c r="R229" s="8">
        <v>0</v>
      </c>
      <c r="S229" s="15">
        <f t="shared" si="13"/>
        <v>5.4603108000000002</v>
      </c>
      <c r="T229" s="3"/>
      <c r="U229" s="15">
        <v>60</v>
      </c>
      <c r="V229" s="17">
        <v>7.2499999999999995E-4</v>
      </c>
      <c r="W229" s="12">
        <v>46331</v>
      </c>
      <c r="X229" s="7">
        <v>56</v>
      </c>
      <c r="Y229" s="15">
        <f>(IF(P229&gt;0,P229+R229,R229)-(X229*Ventas!AE27*0.925))</f>
        <v>-17.5388892</v>
      </c>
      <c r="Z229" s="18">
        <f>(Y229/(Ventas!AE27*0.925)/60)</f>
        <v>-0.71174779644509367</v>
      </c>
      <c r="AA229" s="15">
        <f>(120*(Ventas!AE27*1.485) - IF(Y229&gt;0,Y229,0))</f>
        <v>79.120800000000003</v>
      </c>
      <c r="AB229" s="15">
        <f t="shared" si="14"/>
        <v>79.120800000000003</v>
      </c>
      <c r="AC229" s="15">
        <f t="shared" si="15"/>
        <v>79.120800000000003</v>
      </c>
      <c r="AD229" s="16">
        <v>0.96</v>
      </c>
      <c r="AE229" s="8">
        <v>3010</v>
      </c>
      <c r="AF229" s="15">
        <f>(AC229-(60*Ventas!AE27*1.485))</f>
        <v>39.560400000000001</v>
      </c>
      <c r="AG229" s="18">
        <f>(AF229/(Ventas!AE27*1.485)/60)</f>
        <v>1</v>
      </c>
      <c r="AH229" s="1" t="s">
        <v>34</v>
      </c>
    </row>
    <row r="230" spans="1:34" x14ac:dyDescent="0.25">
      <c r="A230" s="1"/>
      <c r="B230" s="1" t="s">
        <v>87</v>
      </c>
      <c r="C230" s="14" t="s">
        <v>86</v>
      </c>
      <c r="D230" s="3"/>
      <c r="E230" s="12">
        <v>46238</v>
      </c>
      <c r="F230" s="7">
        <v>1</v>
      </c>
      <c r="G230" s="15">
        <f>(D230-(0)+0-(F230*Ventas!AE28*1))</f>
        <v>0</v>
      </c>
      <c r="H230" s="3"/>
      <c r="I230" s="8">
        <v>0</v>
      </c>
      <c r="J230" s="15">
        <f t="shared" si="12"/>
        <v>0</v>
      </c>
      <c r="K230" s="3"/>
      <c r="L230" s="15">
        <v>70</v>
      </c>
      <c r="M230" s="17">
        <v>4.0499999999999998E-4</v>
      </c>
      <c r="N230" s="12">
        <v>46275</v>
      </c>
      <c r="O230" s="7">
        <v>37</v>
      </c>
      <c r="P230" s="15">
        <f>(IF(G230&gt;0,G230+I230,I230)-(O230*Ventas!AE28*0.9189))</f>
        <v>0</v>
      </c>
      <c r="Q230" s="3"/>
      <c r="R230" s="8">
        <v>0</v>
      </c>
      <c r="S230" s="15">
        <f t="shared" si="13"/>
        <v>0</v>
      </c>
      <c r="T230" s="3"/>
      <c r="U230" s="15">
        <v>70</v>
      </c>
      <c r="V230" s="17">
        <v>4.0499999999999998E-4</v>
      </c>
      <c r="W230" s="12">
        <v>46331</v>
      </c>
      <c r="X230" s="7">
        <v>56</v>
      </c>
      <c r="Y230" s="15">
        <f>(IF(P230&gt;0,P230+R230,R230)-(X230*Ventas!AE28*0.925))</f>
        <v>0</v>
      </c>
      <c r="Z230" s="3"/>
      <c r="AA230" s="15">
        <f>(120*(Ventas!AE28*1.485) - IF(Y230&gt;0,Y230,0))</f>
        <v>0</v>
      </c>
      <c r="AB230" s="15">
        <f t="shared" si="14"/>
        <v>0</v>
      </c>
      <c r="AC230" s="15">
        <f t="shared" si="15"/>
        <v>0</v>
      </c>
      <c r="AD230" s="16">
        <v>1.21</v>
      </c>
      <c r="AE230" s="8">
        <v>3017</v>
      </c>
      <c r="AF230" s="3"/>
      <c r="AG230" s="3"/>
      <c r="AH230" s="1" t="s">
        <v>34</v>
      </c>
    </row>
    <row r="231" spans="1:34" x14ac:dyDescent="0.25">
      <c r="A231" s="1"/>
      <c r="B231" s="1" t="s">
        <v>89</v>
      </c>
      <c r="C231" s="14" t="s">
        <v>88</v>
      </c>
      <c r="D231" s="3"/>
      <c r="E231" s="12">
        <v>46238</v>
      </c>
      <c r="F231" s="7">
        <v>1</v>
      </c>
      <c r="G231" s="15">
        <f>(D231-(0)+0-(F231*Ventas!AE29*1))</f>
        <v>0</v>
      </c>
      <c r="H231" s="3"/>
      <c r="I231" s="8">
        <v>0</v>
      </c>
      <c r="J231" s="15">
        <f t="shared" si="12"/>
        <v>0</v>
      </c>
      <c r="K231" s="3"/>
      <c r="L231" s="15">
        <v>70</v>
      </c>
      <c r="M231" s="17">
        <v>4.0499999999999998E-4</v>
      </c>
      <c r="N231" s="12">
        <v>46275</v>
      </c>
      <c r="O231" s="7">
        <v>37</v>
      </c>
      <c r="P231" s="15">
        <f>(IF(G231&gt;0,G231+I231,I231)-(O231*Ventas!AE29*0.9189))</f>
        <v>0</v>
      </c>
      <c r="Q231" s="3"/>
      <c r="R231" s="8">
        <v>0</v>
      </c>
      <c r="S231" s="15">
        <f t="shared" si="13"/>
        <v>0</v>
      </c>
      <c r="T231" s="3"/>
      <c r="U231" s="15">
        <v>70</v>
      </c>
      <c r="V231" s="17">
        <v>4.0499999999999998E-4</v>
      </c>
      <c r="W231" s="12">
        <v>46331</v>
      </c>
      <c r="X231" s="7">
        <v>56</v>
      </c>
      <c r="Y231" s="15">
        <f>(IF(P231&gt;0,P231+R231,R231)-(X231*Ventas!AE29*0.925))</f>
        <v>0</v>
      </c>
      <c r="Z231" s="3"/>
      <c r="AA231" s="15">
        <f>(120*(Ventas!AE29*1.485) - IF(Y231&gt;0,Y231,0))</f>
        <v>0</v>
      </c>
      <c r="AB231" s="15">
        <f t="shared" si="14"/>
        <v>0</v>
      </c>
      <c r="AC231" s="15">
        <f t="shared" si="15"/>
        <v>0</v>
      </c>
      <c r="AD231" s="16">
        <v>0.53</v>
      </c>
      <c r="AE231" s="8">
        <v>3017</v>
      </c>
      <c r="AF231" s="3"/>
      <c r="AG231" s="3"/>
      <c r="AH231" s="1" t="s">
        <v>34</v>
      </c>
    </row>
    <row r="232" spans="1:34" x14ac:dyDescent="0.25">
      <c r="A232" s="1"/>
      <c r="B232" s="1" t="s">
        <v>91</v>
      </c>
      <c r="C232" s="14" t="s">
        <v>90</v>
      </c>
      <c r="D232" s="8">
        <v>1</v>
      </c>
      <c r="E232" s="12">
        <v>46238</v>
      </c>
      <c r="F232" s="7">
        <v>1</v>
      </c>
      <c r="G232" s="15">
        <f>(D232-(0)+0-(F232*Ventas!AE30*1))</f>
        <v>0.77990000000000004</v>
      </c>
      <c r="H232" s="18">
        <f>(G232/(Ventas!AE30*1)/60)</f>
        <v>5.9056489474481298E-2</v>
      </c>
      <c r="I232" s="8">
        <v>0</v>
      </c>
      <c r="J232" s="15">
        <f t="shared" si="12"/>
        <v>0.77990000000000004</v>
      </c>
      <c r="K232" s="3"/>
      <c r="L232" s="15">
        <v>70</v>
      </c>
      <c r="M232" s="17">
        <v>4.0499999999999998E-4</v>
      </c>
      <c r="N232" s="12">
        <v>46275</v>
      </c>
      <c r="O232" s="7">
        <v>37</v>
      </c>
      <c r="P232" s="15">
        <f>(IF(G232&gt;0,G232+I232,I232)-(O232*Ventas!AE30*0.9189))</f>
        <v>-6.7033459299999993</v>
      </c>
      <c r="Q232" s="18">
        <f>(P232/(Ventas!AE30*0.9189)/60)</f>
        <v>-0.55239798729515566</v>
      </c>
      <c r="R232" s="8">
        <v>0</v>
      </c>
      <c r="S232" s="15">
        <f t="shared" si="13"/>
        <v>0</v>
      </c>
      <c r="T232" s="3"/>
      <c r="U232" s="15">
        <v>70</v>
      </c>
      <c r="V232" s="17">
        <v>4.0499999999999998E-4</v>
      </c>
      <c r="W232" s="12">
        <v>46331</v>
      </c>
      <c r="X232" s="7">
        <v>56</v>
      </c>
      <c r="Y232" s="15">
        <f>(IF(P232&gt;0,P232+R232,R232)-(X232*Ventas!AE30*0.925))</f>
        <v>-11.40118</v>
      </c>
      <c r="Z232" s="18">
        <f>(Y232/(Ventas!AE30*0.925)/60)</f>
        <v>-0.93333333333333335</v>
      </c>
      <c r="AA232" s="15">
        <f>(120*(Ventas!AE30*1.485) - IF(Y232&gt;0,Y232,0))</f>
        <v>39.221820000000001</v>
      </c>
      <c r="AB232" s="15">
        <f t="shared" si="14"/>
        <v>39.221820000000001</v>
      </c>
      <c r="AC232" s="15">
        <f t="shared" si="15"/>
        <v>39.221820000000001</v>
      </c>
      <c r="AD232" s="16">
        <v>13.34</v>
      </c>
      <c r="AE232" s="8">
        <v>3010</v>
      </c>
      <c r="AF232" s="15">
        <f>(AC232-(60*Ventas!AE30*1.485))</f>
        <v>19.610910000000001</v>
      </c>
      <c r="AG232" s="18">
        <f>(AF232/(Ventas!AE30*1.485)/60)</f>
        <v>1.0000000000000002</v>
      </c>
      <c r="AH232" s="1" t="s">
        <v>34</v>
      </c>
    </row>
    <row r="233" spans="1:34" x14ac:dyDescent="0.25">
      <c r="A233" s="1"/>
      <c r="B233" s="1" t="s">
        <v>95</v>
      </c>
      <c r="C233" s="14" t="s">
        <v>94</v>
      </c>
      <c r="D233" s="3"/>
      <c r="E233" s="12">
        <v>46238</v>
      </c>
      <c r="F233" s="7">
        <v>1</v>
      </c>
      <c r="G233" s="15">
        <f>(D233-(0)+0-(F233*Ventas!AE32*1))</f>
        <v>0</v>
      </c>
      <c r="H233" s="3"/>
      <c r="I233" s="8">
        <v>0</v>
      </c>
      <c r="J233" s="15">
        <f t="shared" si="12"/>
        <v>0</v>
      </c>
      <c r="K233" s="3"/>
      <c r="L233" s="15">
        <v>12</v>
      </c>
      <c r="M233" s="17">
        <v>2.264E-3</v>
      </c>
      <c r="N233" s="12">
        <v>46275</v>
      </c>
      <c r="O233" s="7">
        <v>37</v>
      </c>
      <c r="P233" s="15">
        <f>(IF(G233&gt;0,G233+I233,I233)-(O233*Ventas!AE32*0.9189))</f>
        <v>0</v>
      </c>
      <c r="Q233" s="3"/>
      <c r="R233" s="8">
        <v>0</v>
      </c>
      <c r="S233" s="15">
        <f t="shared" si="13"/>
        <v>0</v>
      </c>
      <c r="T233" s="3"/>
      <c r="U233" s="15">
        <v>12</v>
      </c>
      <c r="V233" s="17">
        <v>2.264E-3</v>
      </c>
      <c r="W233" s="12">
        <v>46331</v>
      </c>
      <c r="X233" s="7">
        <v>56</v>
      </c>
      <c r="Y233" s="15">
        <f>(IF(P233&gt;0,P233+R233,R233)-(X233*Ventas!AE32*0.925))</f>
        <v>0</v>
      </c>
      <c r="Z233" s="3"/>
      <c r="AA233" s="15">
        <f>(120*(Ventas!AE32*1.485) - IF(Y233&gt;0,Y233,0))</f>
        <v>0</v>
      </c>
      <c r="AB233" s="15">
        <f t="shared" si="14"/>
        <v>0</v>
      </c>
      <c r="AC233" s="15">
        <f t="shared" si="15"/>
        <v>0</v>
      </c>
      <c r="AD233" s="16">
        <v>14.2</v>
      </c>
      <c r="AE233" s="8">
        <v>3025</v>
      </c>
      <c r="AF233" s="3"/>
      <c r="AG233" s="3"/>
      <c r="AH233" s="1" t="s">
        <v>34</v>
      </c>
    </row>
    <row r="234" spans="1:34" x14ac:dyDescent="0.25">
      <c r="A234" s="1"/>
      <c r="B234" s="1" t="s">
        <v>97</v>
      </c>
      <c r="C234" s="14" t="s">
        <v>96</v>
      </c>
      <c r="D234" s="3"/>
      <c r="E234" s="12">
        <v>46238</v>
      </c>
      <c r="F234" s="7">
        <v>1</v>
      </c>
      <c r="G234" s="15">
        <f>(D234-(0)+0-(F234*Ventas!AE33*1))</f>
        <v>0</v>
      </c>
      <c r="H234" s="3"/>
      <c r="I234" s="8">
        <v>0</v>
      </c>
      <c r="J234" s="15">
        <f t="shared" si="12"/>
        <v>0</v>
      </c>
      <c r="K234" s="3"/>
      <c r="L234" s="15">
        <v>52</v>
      </c>
      <c r="M234" s="17">
        <v>5.7700000000000004E-4</v>
      </c>
      <c r="N234" s="12">
        <v>46275</v>
      </c>
      <c r="O234" s="7">
        <v>37</v>
      </c>
      <c r="P234" s="15">
        <f>(IF(G234&gt;0,G234+I234,I234)-(O234*Ventas!AE33*0.9189))</f>
        <v>0</v>
      </c>
      <c r="Q234" s="3"/>
      <c r="R234" s="8">
        <v>0</v>
      </c>
      <c r="S234" s="15">
        <f t="shared" si="13"/>
        <v>0</v>
      </c>
      <c r="T234" s="3"/>
      <c r="U234" s="15">
        <v>52</v>
      </c>
      <c r="V234" s="17">
        <v>5.7700000000000004E-4</v>
      </c>
      <c r="W234" s="12">
        <v>46331</v>
      </c>
      <c r="X234" s="7">
        <v>56</v>
      </c>
      <c r="Y234" s="15">
        <f>(IF(P234&gt;0,P234+R234,R234)-(X234*Ventas!AE33*0.925))</f>
        <v>0</v>
      </c>
      <c r="Z234" s="3"/>
      <c r="AA234" s="15">
        <f>(120*(Ventas!AE33*1.485) - IF(Y234&gt;0,Y234,0))</f>
        <v>0</v>
      </c>
      <c r="AB234" s="15">
        <f t="shared" si="14"/>
        <v>0</v>
      </c>
      <c r="AC234" s="15">
        <f t="shared" si="15"/>
        <v>0</v>
      </c>
      <c r="AD234" s="3"/>
      <c r="AE234" s="3"/>
      <c r="AF234" s="3"/>
      <c r="AG234" s="3"/>
      <c r="AH234" s="1" t="s">
        <v>37</v>
      </c>
    </row>
    <row r="235" spans="1:34" x14ac:dyDescent="0.25">
      <c r="A235" s="1"/>
      <c r="B235" s="1" t="s">
        <v>99</v>
      </c>
      <c r="C235" s="14" t="s">
        <v>98</v>
      </c>
      <c r="D235" s="8">
        <v>1</v>
      </c>
      <c r="E235" s="12">
        <v>46238</v>
      </c>
      <c r="F235" s="7">
        <v>1</v>
      </c>
      <c r="G235" s="15">
        <f>(D235-(0)+0-(F235*Ventas!AE34*1))</f>
        <v>1</v>
      </c>
      <c r="H235" s="3"/>
      <c r="I235" s="8">
        <v>0</v>
      </c>
      <c r="J235" s="15">
        <f t="shared" si="12"/>
        <v>1</v>
      </c>
      <c r="K235" s="3"/>
      <c r="L235" s="15">
        <v>70</v>
      </c>
      <c r="M235" s="17">
        <v>4.0499999999999998E-4</v>
      </c>
      <c r="N235" s="12">
        <v>46275</v>
      </c>
      <c r="O235" s="7">
        <v>37</v>
      </c>
      <c r="P235" s="15">
        <f>(IF(G235&gt;0,G235+I235,I235)-(O235*Ventas!AE34*0.9189))</f>
        <v>1</v>
      </c>
      <c r="Q235" s="3"/>
      <c r="R235" s="8">
        <v>0</v>
      </c>
      <c r="S235" s="15">
        <f t="shared" si="13"/>
        <v>1</v>
      </c>
      <c r="T235" s="3"/>
      <c r="U235" s="15">
        <v>70</v>
      </c>
      <c r="V235" s="17">
        <v>4.0499999999999998E-4</v>
      </c>
      <c r="W235" s="12">
        <v>46331</v>
      </c>
      <c r="X235" s="7">
        <v>56</v>
      </c>
      <c r="Y235" s="15">
        <f>(IF(P235&gt;0,P235+R235,R235)-(X235*Ventas!AE34*0.925))</f>
        <v>1</v>
      </c>
      <c r="Z235" s="3"/>
      <c r="AA235" s="15">
        <f>(120*(Ventas!AE34*1.485) - IF(Y235&gt;0,Y235,0))</f>
        <v>-1</v>
      </c>
      <c r="AB235" s="15">
        <f t="shared" si="14"/>
        <v>0</v>
      </c>
      <c r="AC235" s="15">
        <f t="shared" si="15"/>
        <v>1</v>
      </c>
      <c r="AD235" s="16">
        <v>0.81</v>
      </c>
      <c r="AE235" s="8">
        <v>3010</v>
      </c>
      <c r="AF235" s="3"/>
      <c r="AG235" s="3"/>
      <c r="AH235" s="1" t="s">
        <v>34</v>
      </c>
    </row>
    <row r="236" spans="1:34" x14ac:dyDescent="0.25">
      <c r="A236" s="1"/>
      <c r="B236" s="1" t="s">
        <v>101</v>
      </c>
      <c r="C236" s="14" t="s">
        <v>100</v>
      </c>
      <c r="D236" s="3"/>
      <c r="E236" s="12">
        <v>46238</v>
      </c>
      <c r="F236" s="7">
        <v>1</v>
      </c>
      <c r="G236" s="15">
        <f>(D236-(0)+0-(F236*Ventas!AE35*1))</f>
        <v>0</v>
      </c>
      <c r="H236" s="3"/>
      <c r="I236" s="8">
        <v>480</v>
      </c>
      <c r="J236" s="15">
        <f t="shared" si="12"/>
        <v>480</v>
      </c>
      <c r="K236" s="15">
        <v>0.56999999999999995</v>
      </c>
      <c r="L236" s="15">
        <v>70</v>
      </c>
      <c r="M236" s="17">
        <v>4.0499999999999998E-4</v>
      </c>
      <c r="N236" s="12">
        <v>46275</v>
      </c>
      <c r="O236" s="7">
        <v>37</v>
      </c>
      <c r="P236" s="15">
        <f>(IF(G236&gt;0,G236+I236,I236)-(O236*Ventas!AE35*0.9189))</f>
        <v>480</v>
      </c>
      <c r="Q236" s="3"/>
      <c r="R236" s="8">
        <v>0</v>
      </c>
      <c r="S236" s="15">
        <f t="shared" si="13"/>
        <v>480</v>
      </c>
      <c r="T236" s="3"/>
      <c r="U236" s="15">
        <v>70</v>
      </c>
      <c r="V236" s="17">
        <v>4.0499999999999998E-4</v>
      </c>
      <c r="W236" s="12">
        <v>46331</v>
      </c>
      <c r="X236" s="7">
        <v>56</v>
      </c>
      <c r="Y236" s="15">
        <f>(IF(P236&gt;0,P236+R236,R236)-(X236*Ventas!AE35*0.925))</f>
        <v>480</v>
      </c>
      <c r="Z236" s="3"/>
      <c r="AA236" s="15">
        <f>(120*(Ventas!AE35*1.485) - IF(Y236&gt;0,Y236,0))</f>
        <v>-480</v>
      </c>
      <c r="AB236" s="15">
        <f t="shared" si="14"/>
        <v>0</v>
      </c>
      <c r="AC236" s="15">
        <f t="shared" si="15"/>
        <v>480</v>
      </c>
      <c r="AD236" s="16">
        <v>0.56999999999999995</v>
      </c>
      <c r="AE236" s="8">
        <v>3025</v>
      </c>
      <c r="AF236" s="3"/>
      <c r="AG236" s="3"/>
      <c r="AH236" s="1" t="s">
        <v>34</v>
      </c>
    </row>
    <row r="237" spans="1:34" x14ac:dyDescent="0.25">
      <c r="A237" s="1"/>
      <c r="B237" s="1" t="s">
        <v>117</v>
      </c>
      <c r="C237" s="14" t="s">
        <v>116</v>
      </c>
      <c r="D237" s="8">
        <v>142</v>
      </c>
      <c r="E237" s="12">
        <v>46238</v>
      </c>
      <c r="F237" s="7">
        <v>1</v>
      </c>
      <c r="G237" s="15">
        <f>(D237-(0)+0-(F237*Ventas!AE43*1))</f>
        <v>141.41159999999999</v>
      </c>
      <c r="H237" s="18">
        <f>(G237/(Ventas!AE43*1)/60)</f>
        <v>4.0055404486743704</v>
      </c>
      <c r="I237" s="8">
        <v>0</v>
      </c>
      <c r="J237" s="15">
        <f t="shared" si="12"/>
        <v>141.41159999999999</v>
      </c>
      <c r="K237" s="3"/>
      <c r="L237" s="15">
        <v>60</v>
      </c>
      <c r="M237" s="17">
        <v>7.2499999999999995E-4</v>
      </c>
      <c r="N237" s="12">
        <v>46275</v>
      </c>
      <c r="O237" s="7">
        <v>37</v>
      </c>
      <c r="P237" s="15">
        <f>(IF(G237&gt;0,G237+I237,I237)-(O237*Ventas!AE43*0.9189))</f>
        <v>121.40641187999999</v>
      </c>
      <c r="Q237" s="18">
        <f>(P237/(Ventas!AE43*0.9189)/60)</f>
        <v>3.74239356695437</v>
      </c>
      <c r="R237" s="8">
        <v>0</v>
      </c>
      <c r="S237" s="15">
        <f t="shared" si="13"/>
        <v>121.40641187999999</v>
      </c>
      <c r="T237" s="3"/>
      <c r="U237" s="15">
        <v>60</v>
      </c>
      <c r="V237" s="17">
        <v>7.2499999999999995E-4</v>
      </c>
      <c r="W237" s="12">
        <v>46331</v>
      </c>
      <c r="X237" s="7">
        <v>56</v>
      </c>
      <c r="Y237" s="15">
        <f>(IF(P237&gt;0,P237+R237,R237)-(X237*Ventas!AE43*0.925))</f>
        <v>90.927291879999984</v>
      </c>
      <c r="Z237" s="18">
        <f>(Y237/(Ventas!AE43*0.925)/60)</f>
        <v>2.7843806652335541</v>
      </c>
      <c r="AA237" s="15">
        <f>(120*(Ventas!AE43*1.485) - IF(Y237&gt;0,Y237,0))</f>
        <v>13.925588120000029</v>
      </c>
      <c r="AB237" s="15">
        <f t="shared" si="14"/>
        <v>13.925588120000029</v>
      </c>
      <c r="AC237" s="15">
        <f t="shared" si="15"/>
        <v>104.85288000000001</v>
      </c>
      <c r="AD237" s="16">
        <v>0.85</v>
      </c>
      <c r="AE237" s="8">
        <v>3010</v>
      </c>
      <c r="AF237" s="15">
        <f>(AC237-(60*Ventas!AE43*1.485))</f>
        <v>52.426440000000007</v>
      </c>
      <c r="AG237" s="18">
        <f>(AF237/(Ventas!AE43*1.485)/60)</f>
        <v>0.99999999999999989</v>
      </c>
      <c r="AH237" s="1" t="s">
        <v>37</v>
      </c>
    </row>
    <row r="238" spans="1:34" x14ac:dyDescent="0.25">
      <c r="A238" s="1"/>
      <c r="B238" s="1" t="s">
        <v>119</v>
      </c>
      <c r="C238" s="14" t="s">
        <v>118</v>
      </c>
      <c r="D238" s="8">
        <v>330</v>
      </c>
      <c r="E238" s="12">
        <v>46238</v>
      </c>
      <c r="F238" s="7">
        <v>1</v>
      </c>
      <c r="G238" s="15">
        <f>(D238-(0)+0-(F238*Ventas!AE44*1))</f>
        <v>327.93520000000001</v>
      </c>
      <c r="H238" s="18">
        <f>(G238/(Ventas!AE44*1)/60)</f>
        <v>2.6470295751000905</v>
      </c>
      <c r="I238" s="8">
        <v>240</v>
      </c>
      <c r="J238" s="15">
        <f t="shared" si="12"/>
        <v>567.93520000000001</v>
      </c>
      <c r="K238" s="15">
        <v>0.9</v>
      </c>
      <c r="L238" s="15">
        <v>96</v>
      </c>
      <c r="M238" s="17">
        <v>4.5300000000000001E-4</v>
      </c>
      <c r="N238" s="12">
        <v>46275</v>
      </c>
      <c r="O238" s="7">
        <v>37</v>
      </c>
      <c r="P238" s="15">
        <f>(IF(G238&gt;0,G238+I238,I238)-(O238*Ventas!AE44*0.9189))</f>
        <v>497.73344536000002</v>
      </c>
      <c r="Q238" s="18">
        <f>(P238/(Ventas!AE44*0.9189)/60)</f>
        <v>4.3721930628750831</v>
      </c>
      <c r="R238" s="8">
        <v>0</v>
      </c>
      <c r="S238" s="15">
        <f t="shared" si="13"/>
        <v>497.73344536000002</v>
      </c>
      <c r="T238" s="3"/>
      <c r="U238" s="15">
        <v>96</v>
      </c>
      <c r="V238" s="17">
        <v>4.5300000000000001E-4</v>
      </c>
      <c r="W238" s="12">
        <v>46331</v>
      </c>
      <c r="X238" s="7">
        <v>56</v>
      </c>
      <c r="Y238" s="15">
        <f>(IF(P238&gt;0,P238+R238,R238)-(X238*Ventas!AE44*0.925))</f>
        <v>390.77680536000003</v>
      </c>
      <c r="Z238" s="18">
        <f>(Y238/(Ventas!AE44*0.925)/60)</f>
        <v>3.4100268888027898</v>
      </c>
      <c r="AA238" s="15">
        <f>(120*(Ventas!AE44*1.485) - IF(Y238&gt;0,Y238,0))</f>
        <v>-22.829445360000022</v>
      </c>
      <c r="AB238" s="15">
        <f t="shared" si="14"/>
        <v>0</v>
      </c>
      <c r="AC238" s="15">
        <f t="shared" si="15"/>
        <v>390.77680536000003</v>
      </c>
      <c r="AD238" s="16">
        <v>0.9</v>
      </c>
      <c r="AE238" s="8">
        <v>3025</v>
      </c>
      <c r="AF238" s="15">
        <f>(AC238-(60*Ventas!AE44*1.485))</f>
        <v>206.80312536</v>
      </c>
      <c r="AG238" s="18">
        <f>(AF238/(Ventas!AE44*1.485)/60)</f>
        <v>1.1240908229916364</v>
      </c>
      <c r="AH238" s="1" t="s">
        <v>37</v>
      </c>
    </row>
    <row r="239" spans="1:34" x14ac:dyDescent="0.25">
      <c r="A239" s="1"/>
      <c r="B239" s="1" t="s">
        <v>121</v>
      </c>
      <c r="C239" s="14" t="s">
        <v>120</v>
      </c>
      <c r="D239" s="3"/>
      <c r="E239" s="12">
        <v>46238</v>
      </c>
      <c r="F239" s="7">
        <v>1</v>
      </c>
      <c r="G239" s="15">
        <f>(D239-(0)+0-(F239*Ventas!AE45*1))</f>
        <v>0</v>
      </c>
      <c r="H239" s="3"/>
      <c r="I239" s="8">
        <v>0</v>
      </c>
      <c r="J239" s="15">
        <f t="shared" si="12"/>
        <v>0</v>
      </c>
      <c r="K239" s="3"/>
      <c r="L239" s="15">
        <v>70</v>
      </c>
      <c r="M239" s="17">
        <v>4.0499999999999998E-4</v>
      </c>
      <c r="N239" s="12">
        <v>46275</v>
      </c>
      <c r="O239" s="7">
        <v>37</v>
      </c>
      <c r="P239" s="15">
        <f>(IF(G239&gt;0,G239+I239,I239)-(O239*Ventas!AE45*0.9189))</f>
        <v>0</v>
      </c>
      <c r="Q239" s="3"/>
      <c r="R239" s="8">
        <v>0</v>
      </c>
      <c r="S239" s="15">
        <f t="shared" si="13"/>
        <v>0</v>
      </c>
      <c r="T239" s="3"/>
      <c r="U239" s="15">
        <v>70</v>
      </c>
      <c r="V239" s="17">
        <v>4.0499999999999998E-4</v>
      </c>
      <c r="W239" s="12">
        <v>46331</v>
      </c>
      <c r="X239" s="7">
        <v>56</v>
      </c>
      <c r="Y239" s="15">
        <f>(IF(P239&gt;0,P239+R239,R239)-(X239*Ventas!AE45*0.925))</f>
        <v>0</v>
      </c>
      <c r="Z239" s="3"/>
      <c r="AA239" s="15">
        <f>(120*(Ventas!AE45*1.485) - IF(Y239&gt;0,Y239,0))</f>
        <v>0</v>
      </c>
      <c r="AB239" s="15">
        <f t="shared" si="14"/>
        <v>0</v>
      </c>
      <c r="AC239" s="15">
        <f t="shared" si="15"/>
        <v>0</v>
      </c>
      <c r="AD239" s="16">
        <v>0.77</v>
      </c>
      <c r="AE239" s="8">
        <v>3010</v>
      </c>
      <c r="AF239" s="3"/>
      <c r="AG239" s="3"/>
      <c r="AH239" s="1" t="s">
        <v>34</v>
      </c>
    </row>
    <row r="240" spans="1:34" x14ac:dyDescent="0.25">
      <c r="A240" s="1"/>
      <c r="B240" s="1" t="s">
        <v>123</v>
      </c>
      <c r="C240" s="14" t="s">
        <v>122</v>
      </c>
      <c r="D240" s="3"/>
      <c r="E240" s="12">
        <v>46238</v>
      </c>
      <c r="F240" s="7">
        <v>1</v>
      </c>
      <c r="G240" s="15">
        <f>(D240-(0)+0-(F240*Ventas!AE46*1))</f>
        <v>0</v>
      </c>
      <c r="H240" s="3"/>
      <c r="I240" s="8">
        <v>0</v>
      </c>
      <c r="J240" s="15">
        <f t="shared" si="12"/>
        <v>0</v>
      </c>
      <c r="K240" s="3"/>
      <c r="L240" s="15">
        <v>70</v>
      </c>
      <c r="M240" s="17">
        <v>4.0499999999999998E-4</v>
      </c>
      <c r="N240" s="12">
        <v>46275</v>
      </c>
      <c r="O240" s="7">
        <v>37</v>
      </c>
      <c r="P240" s="15">
        <f>(IF(G240&gt;0,G240+I240,I240)-(O240*Ventas!AE46*0.9189))</f>
        <v>0</v>
      </c>
      <c r="Q240" s="3"/>
      <c r="R240" s="8">
        <v>0</v>
      </c>
      <c r="S240" s="15">
        <f t="shared" si="13"/>
        <v>0</v>
      </c>
      <c r="T240" s="3"/>
      <c r="U240" s="15">
        <v>70</v>
      </c>
      <c r="V240" s="17">
        <v>4.0499999999999998E-4</v>
      </c>
      <c r="W240" s="12">
        <v>46331</v>
      </c>
      <c r="X240" s="7">
        <v>56</v>
      </c>
      <c r="Y240" s="15">
        <f>(IF(P240&gt;0,P240+R240,R240)-(X240*Ventas!AE46*0.925))</f>
        <v>0</v>
      </c>
      <c r="Z240" s="3"/>
      <c r="AA240" s="15">
        <f>(120*(Ventas!AE46*1.485) - IF(Y240&gt;0,Y240,0))</f>
        <v>0</v>
      </c>
      <c r="AB240" s="15">
        <f t="shared" si="14"/>
        <v>0</v>
      </c>
      <c r="AC240" s="15">
        <f t="shared" si="15"/>
        <v>0</v>
      </c>
      <c r="AD240" s="16">
        <v>0.77</v>
      </c>
      <c r="AE240" s="8">
        <v>3010</v>
      </c>
      <c r="AF240" s="3"/>
      <c r="AG240" s="3"/>
      <c r="AH240" s="1" t="s">
        <v>34</v>
      </c>
    </row>
    <row r="241" spans="1:34" x14ac:dyDescent="0.25">
      <c r="A241" s="1"/>
      <c r="B241" s="1" t="s">
        <v>125</v>
      </c>
      <c r="C241" s="14" t="s">
        <v>124</v>
      </c>
      <c r="D241" s="8">
        <v>71</v>
      </c>
      <c r="E241" s="12">
        <v>46238</v>
      </c>
      <c r="F241" s="7">
        <v>1</v>
      </c>
      <c r="G241" s="15">
        <f>(D241-(0)+0-(F241*Ventas!AE47*1))</f>
        <v>70.750200000000007</v>
      </c>
      <c r="H241" s="18">
        <f>(G241/(Ventas!AE47*1)/60)</f>
        <v>4.7204563650920743</v>
      </c>
      <c r="I241" s="8">
        <v>0</v>
      </c>
      <c r="J241" s="15">
        <f t="shared" si="12"/>
        <v>70.750200000000007</v>
      </c>
      <c r="K241" s="3"/>
      <c r="L241" s="15">
        <v>52</v>
      </c>
      <c r="M241" s="17">
        <v>5.7700000000000004E-4</v>
      </c>
      <c r="N241" s="12">
        <v>46275</v>
      </c>
      <c r="O241" s="7">
        <v>37</v>
      </c>
      <c r="P241" s="15">
        <f>(IF(G241&gt;0,G241+I241,I241)-(O241*Ventas!AE47*0.9189))</f>
        <v>62.257174860000006</v>
      </c>
      <c r="Q241" s="18">
        <f>(P241/(Ventas!AE47*0.9189)/60)</f>
        <v>4.5204063174361453</v>
      </c>
      <c r="R241" s="8">
        <v>0</v>
      </c>
      <c r="S241" s="15">
        <f t="shared" si="13"/>
        <v>62.257174860000006</v>
      </c>
      <c r="T241" s="3"/>
      <c r="U241" s="15">
        <v>52</v>
      </c>
      <c r="V241" s="17">
        <v>5.7700000000000004E-4</v>
      </c>
      <c r="W241" s="12">
        <v>46331</v>
      </c>
      <c r="X241" s="7">
        <v>56</v>
      </c>
      <c r="Y241" s="15">
        <f>(IF(P241&gt;0,P241+R241,R241)-(X241*Ventas!AE47*0.925))</f>
        <v>49.317534860000009</v>
      </c>
      <c r="Z241" s="18">
        <f>(Y241/(Ventas!AE47*0.925)/60)</f>
        <v>3.5572627370364764</v>
      </c>
      <c r="AA241" s="15">
        <f>(120*(Ventas!AE47*1.485) - IF(Y241&gt;0,Y241,0))</f>
        <v>-4.8031748600000057</v>
      </c>
      <c r="AB241" s="15">
        <f t="shared" si="14"/>
        <v>0</v>
      </c>
      <c r="AC241" s="15">
        <f t="shared" si="15"/>
        <v>49.317534860000009</v>
      </c>
      <c r="AD241" s="16">
        <v>1.18</v>
      </c>
      <c r="AE241" s="8">
        <v>3027</v>
      </c>
      <c r="AF241" s="15">
        <f>(AC241-(60*Ventas!AE47*1.485))</f>
        <v>27.060354860000007</v>
      </c>
      <c r="AG241" s="18">
        <f>(AF241/(Ventas!AE47*1.485)/60)</f>
        <v>1.2158033883897243</v>
      </c>
      <c r="AH241" s="1" t="s">
        <v>37</v>
      </c>
    </row>
    <row r="242" spans="1:34" x14ac:dyDescent="0.25">
      <c r="A242" s="1"/>
      <c r="B242" s="1" t="s">
        <v>127</v>
      </c>
      <c r="C242" s="14" t="s">
        <v>126</v>
      </c>
      <c r="D242" s="8">
        <v>79</v>
      </c>
      <c r="E242" s="12">
        <v>46238</v>
      </c>
      <c r="F242" s="7">
        <v>1</v>
      </c>
      <c r="G242" s="15">
        <f>(D242-(0)+0-(F242*Ventas!AE48*1))</f>
        <v>78.754199999999997</v>
      </c>
      <c r="H242" s="18">
        <f>(G242/(Ventas!AE48*1)/60)</f>
        <v>5.3399918633034984</v>
      </c>
      <c r="I242" s="8">
        <v>0</v>
      </c>
      <c r="J242" s="15">
        <f t="shared" si="12"/>
        <v>78.754199999999997</v>
      </c>
      <c r="K242" s="3"/>
      <c r="L242" s="15">
        <v>52</v>
      </c>
      <c r="M242" s="17">
        <v>5.7700000000000004E-4</v>
      </c>
      <c r="N242" s="12">
        <v>46275</v>
      </c>
      <c r="O242" s="7">
        <v>37</v>
      </c>
      <c r="P242" s="15">
        <f>(IF(G242&gt;0,G242+I242,I242)-(O242*Ventas!AE48*0.9189))</f>
        <v>70.397172060000003</v>
      </c>
      <c r="Q242" s="18">
        <f>(P242/(Ventas!AE48*0.9189)/60)</f>
        <v>5.1946205934307308</v>
      </c>
      <c r="R242" s="8">
        <v>0</v>
      </c>
      <c r="S242" s="15">
        <f t="shared" si="13"/>
        <v>70.397172060000003</v>
      </c>
      <c r="T242" s="3"/>
      <c r="U242" s="15">
        <v>52</v>
      </c>
      <c r="V242" s="17">
        <v>5.7700000000000004E-4</v>
      </c>
      <c r="W242" s="12">
        <v>46331</v>
      </c>
      <c r="X242" s="7">
        <v>56</v>
      </c>
      <c r="Y242" s="15">
        <f>(IF(P242&gt;0,P242+R242,R242)-(X242*Ventas!AE48*0.925))</f>
        <v>57.664732060000006</v>
      </c>
      <c r="Z242" s="18">
        <f>(Y242/(Ventas!AE48*0.925)/60)</f>
        <v>4.22703084321099</v>
      </c>
      <c r="AA242" s="15">
        <f>(120*(Ventas!AE48*1.485) - IF(Y242&gt;0,Y242,0))</f>
        <v>-13.863172060000004</v>
      </c>
      <c r="AB242" s="15">
        <f t="shared" si="14"/>
        <v>0</v>
      </c>
      <c r="AC242" s="15">
        <f t="shared" si="15"/>
        <v>57.664732060000006</v>
      </c>
      <c r="AD242" s="16">
        <v>1.18</v>
      </c>
      <c r="AE242" s="8">
        <v>3027</v>
      </c>
      <c r="AF242" s="15">
        <f>(AC242-(60*Ventas!AE48*1.485))</f>
        <v>35.763952060000008</v>
      </c>
      <c r="AG242" s="18">
        <f>(AF242/(Ventas!AE48*1.485)/60)</f>
        <v>1.6329990100809197</v>
      </c>
      <c r="AH242" s="1" t="s">
        <v>37</v>
      </c>
    </row>
    <row r="243" spans="1:34" x14ac:dyDescent="0.25">
      <c r="A243" s="1"/>
      <c r="B243" s="1" t="s">
        <v>129</v>
      </c>
      <c r="C243" s="14" t="s">
        <v>128</v>
      </c>
      <c r="D243" s="8">
        <v>92</v>
      </c>
      <c r="E243" s="12">
        <v>46238</v>
      </c>
      <c r="F243" s="7">
        <v>1</v>
      </c>
      <c r="G243" s="15">
        <f>(D243-(0)+0-(F243*Ventas!AE49*1))</f>
        <v>91.523099999999999</v>
      </c>
      <c r="H243" s="18">
        <f>(G243/(Ventas!AE49*1)/60)</f>
        <v>3.198542671419585</v>
      </c>
      <c r="I243" s="8">
        <v>0</v>
      </c>
      <c r="J243" s="15">
        <f t="shared" si="12"/>
        <v>91.523099999999999</v>
      </c>
      <c r="K243" s="3"/>
      <c r="L243" s="15">
        <v>52</v>
      </c>
      <c r="M243" s="17">
        <v>5.7700000000000004E-4</v>
      </c>
      <c r="N243" s="12">
        <v>46275</v>
      </c>
      <c r="O243" s="7">
        <v>37</v>
      </c>
      <c r="P243" s="15">
        <f>(IF(G243&gt;0,G243+I243,I243)-(O243*Ventas!AE49*0.9189))</f>
        <v>75.308833829999998</v>
      </c>
      <c r="Q243" s="18">
        <f>(P243/(Ventas!AE49*0.9189)/60)</f>
        <v>2.8641720224394214</v>
      </c>
      <c r="R243" s="8">
        <v>0</v>
      </c>
      <c r="S243" s="15">
        <f t="shared" si="13"/>
        <v>75.308833829999998</v>
      </c>
      <c r="T243" s="3"/>
      <c r="U243" s="15">
        <v>52</v>
      </c>
      <c r="V243" s="17">
        <v>5.7700000000000004E-4</v>
      </c>
      <c r="W243" s="12">
        <v>46331</v>
      </c>
      <c r="X243" s="7">
        <v>56</v>
      </c>
      <c r="Y243" s="15">
        <f>(IF(P243&gt;0,P243+R243,R243)-(X243*Ventas!AE49*0.925))</f>
        <v>50.605413829999996</v>
      </c>
      <c r="Z243" s="18">
        <f>(Y243/(Ventas!AE49*0.925)/60)</f>
        <v>1.9119506357689202</v>
      </c>
      <c r="AA243" s="15">
        <f>(120*(Ventas!AE49*1.485) - IF(Y243&gt;0,Y243,0))</f>
        <v>34.378166170000007</v>
      </c>
      <c r="AB243" s="15">
        <f t="shared" si="14"/>
        <v>34.378166170000007</v>
      </c>
      <c r="AC243" s="15">
        <f t="shared" si="15"/>
        <v>84.983580000000003</v>
      </c>
      <c r="AD243" s="16">
        <v>1.1499999999999999</v>
      </c>
      <c r="AE243" s="8">
        <v>3027</v>
      </c>
      <c r="AF243" s="15">
        <f>(AC243-(60*Ventas!AE49*1.485))</f>
        <v>42.491790000000002</v>
      </c>
      <c r="AG243" s="18">
        <f>(AF243/(Ventas!AE49*1.485)/60)</f>
        <v>1</v>
      </c>
      <c r="AH243" s="1" t="s">
        <v>37</v>
      </c>
    </row>
    <row r="244" spans="1:34" x14ac:dyDescent="0.25">
      <c r="A244" s="1"/>
      <c r="B244" s="1" t="s">
        <v>131</v>
      </c>
      <c r="C244" s="14" t="s">
        <v>130</v>
      </c>
      <c r="D244" s="3"/>
      <c r="E244" s="12">
        <v>46238</v>
      </c>
      <c r="F244" s="7">
        <v>1</v>
      </c>
      <c r="G244" s="15">
        <f>(D244-(0)+0-(F244*Ventas!AE50*1))</f>
        <v>-2.1657999999999999</v>
      </c>
      <c r="H244" s="18">
        <f>(G244/(Ventas!AE50*1)/60)</f>
        <v>-1.6666666666666666E-2</v>
      </c>
      <c r="I244" s="8">
        <v>0</v>
      </c>
      <c r="J244" s="15">
        <f t="shared" si="12"/>
        <v>0</v>
      </c>
      <c r="K244" s="3"/>
      <c r="L244" s="15">
        <v>120</v>
      </c>
      <c r="M244" s="17">
        <v>2.9999999999999997E-4</v>
      </c>
      <c r="N244" s="12">
        <v>46275</v>
      </c>
      <c r="O244" s="7">
        <v>37</v>
      </c>
      <c r="P244" s="15">
        <f>(IF(G244&gt;0,G244+I244,I244)-(O244*Ventas!AE50*0.9189))</f>
        <v>-73.635683939999993</v>
      </c>
      <c r="Q244" s="18">
        <f>(P244/(Ventas!AE50*0.9189)/60)</f>
        <v>-0.61666666666666659</v>
      </c>
      <c r="R244" s="8">
        <v>0</v>
      </c>
      <c r="S244" s="15">
        <f t="shared" si="13"/>
        <v>0</v>
      </c>
      <c r="T244" s="3"/>
      <c r="U244" s="15">
        <v>120</v>
      </c>
      <c r="V244" s="17">
        <v>2.9999999999999997E-4</v>
      </c>
      <c r="W244" s="12">
        <v>46331</v>
      </c>
      <c r="X244" s="7">
        <v>56</v>
      </c>
      <c r="Y244" s="15">
        <f>(IF(P244&gt;0,P244+R244,R244)-(X244*Ventas!AE50*0.925))</f>
        <v>-112.18844</v>
      </c>
      <c r="Z244" s="18">
        <f>(Y244/(Ventas!AE50*0.925)/60)</f>
        <v>-0.93333333333333335</v>
      </c>
      <c r="AA244" s="15">
        <f>(120*(Ventas!AE50*1.485) - IF(Y244&gt;0,Y244,0))</f>
        <v>385.94556</v>
      </c>
      <c r="AB244" s="15">
        <f t="shared" si="14"/>
        <v>385.94556</v>
      </c>
      <c r="AC244" s="15">
        <f t="shared" si="15"/>
        <v>385.94556</v>
      </c>
      <c r="AD244" s="16">
        <v>0.56000000000000005</v>
      </c>
      <c r="AE244" s="8">
        <v>3027</v>
      </c>
      <c r="AF244" s="15">
        <f>(AC244-(60*Ventas!AE50*1.485))</f>
        <v>192.97277999999997</v>
      </c>
      <c r="AG244" s="18">
        <f>(AF244/(Ventas!AE50*1.485)/60)</f>
        <v>0.99999999999999978</v>
      </c>
      <c r="AH244" s="1" t="s">
        <v>37</v>
      </c>
    </row>
    <row r="245" spans="1:34" x14ac:dyDescent="0.25">
      <c r="A245" s="1"/>
      <c r="B245" s="1" t="s">
        <v>133</v>
      </c>
      <c r="C245" s="14" t="s">
        <v>132</v>
      </c>
      <c r="D245" s="8">
        <v>8</v>
      </c>
      <c r="E245" s="12">
        <v>46238</v>
      </c>
      <c r="F245" s="7">
        <v>1</v>
      </c>
      <c r="G245" s="15">
        <f>(D245-(0)+0-(F245*Ventas!AE51*1))</f>
        <v>6.9729999999999999</v>
      </c>
      <c r="H245" s="18">
        <f>(G245/(Ventas!AE51*1)/60)</f>
        <v>0.1131613112625771</v>
      </c>
      <c r="I245" s="8">
        <v>360</v>
      </c>
      <c r="J245" s="15">
        <f t="shared" si="12"/>
        <v>366.97300000000001</v>
      </c>
      <c r="K245" s="15">
        <v>0.56999999999999995</v>
      </c>
      <c r="L245" s="15">
        <v>120</v>
      </c>
      <c r="M245" s="17">
        <v>7.67E-4</v>
      </c>
      <c r="N245" s="12">
        <v>46275</v>
      </c>
      <c r="O245" s="7">
        <v>37</v>
      </c>
      <c r="P245" s="15">
        <f>(IF(G245&gt;0,G245+I245,I245)-(O245*Ventas!AE51*0.9189))</f>
        <v>332.05571889999999</v>
      </c>
      <c r="Q245" s="18">
        <f>(P245/(Ventas!AE51*0.9189)/60)</f>
        <v>5.8643653477838136</v>
      </c>
      <c r="R245" s="8">
        <v>0</v>
      </c>
      <c r="S245" s="15">
        <f t="shared" si="13"/>
        <v>332.05571889999999</v>
      </c>
      <c r="T245" s="3"/>
      <c r="U245" s="15">
        <v>120</v>
      </c>
      <c r="V245" s="17">
        <v>7.67E-4</v>
      </c>
      <c r="W245" s="12">
        <v>46331</v>
      </c>
      <c r="X245" s="7">
        <v>56</v>
      </c>
      <c r="Y245" s="15">
        <f>(IF(P245&gt;0,P245+R245,R245)-(X245*Ventas!AE51*0.925))</f>
        <v>278.85711889999999</v>
      </c>
      <c r="Z245" s="18">
        <f>(Y245/(Ventas!AE51*0.925)/60)</f>
        <v>4.8923589024272571</v>
      </c>
      <c r="AA245" s="15">
        <f>(120*(Ventas!AE51*1.485) - IF(Y245&gt;0,Y245,0))</f>
        <v>-95.845718900000008</v>
      </c>
      <c r="AB245" s="15">
        <f t="shared" si="14"/>
        <v>0</v>
      </c>
      <c r="AC245" s="15">
        <f t="shared" si="15"/>
        <v>278.85711889999999</v>
      </c>
      <c r="AD245" s="16">
        <v>0.56999999999999995</v>
      </c>
      <c r="AE245" s="8">
        <v>3025</v>
      </c>
      <c r="AF245" s="15">
        <f>(AC245-(60*Ventas!AE51*1.485))</f>
        <v>187.3514189</v>
      </c>
      <c r="AG245" s="18">
        <f>(AF245/(Ventas!AE51*1.485)/60)</f>
        <v>2.0474289459563724</v>
      </c>
      <c r="AH245" s="1" t="s">
        <v>34</v>
      </c>
    </row>
    <row r="246" spans="1:34" x14ac:dyDescent="0.25">
      <c r="A246" s="1"/>
      <c r="B246" s="1" t="s">
        <v>135</v>
      </c>
      <c r="C246" s="14" t="s">
        <v>134</v>
      </c>
      <c r="D246" s="8">
        <v>90</v>
      </c>
      <c r="E246" s="12">
        <v>46238</v>
      </c>
      <c r="F246" s="7">
        <v>1</v>
      </c>
      <c r="G246" s="15">
        <f>(D246-(0)+0-(F246*Ventas!AE52*1))</f>
        <v>89.331999999999994</v>
      </c>
      <c r="H246" s="18">
        <f>(G246/(Ventas!AE52*1)/60)</f>
        <v>2.2288423153692611</v>
      </c>
      <c r="I246" s="8">
        <v>120</v>
      </c>
      <c r="J246" s="15">
        <f t="shared" si="12"/>
        <v>209.33199999999999</v>
      </c>
      <c r="K246" s="15">
        <v>0.56999999999999995</v>
      </c>
      <c r="L246" s="15">
        <v>120</v>
      </c>
      <c r="M246" s="17">
        <v>7.67E-4</v>
      </c>
      <c r="N246" s="12">
        <v>46275</v>
      </c>
      <c r="O246" s="7">
        <v>37</v>
      </c>
      <c r="P246" s="15">
        <f>(IF(G246&gt;0,G246+I246,I246)-(O246*Ventas!AE52*0.9189))</f>
        <v>186.62046759999998</v>
      </c>
      <c r="Q246" s="18">
        <f>(P246/(Ventas!AE52*0.9189)/60)</f>
        <v>5.0671447289336866</v>
      </c>
      <c r="R246" s="8">
        <v>0</v>
      </c>
      <c r="S246" s="15">
        <f t="shared" si="13"/>
        <v>186.62046759999998</v>
      </c>
      <c r="T246" s="3"/>
      <c r="U246" s="15">
        <v>120</v>
      </c>
      <c r="V246" s="17">
        <v>7.67E-4</v>
      </c>
      <c r="W246" s="12">
        <v>46331</v>
      </c>
      <c r="X246" s="7">
        <v>56</v>
      </c>
      <c r="Y246" s="15">
        <f>(IF(P246&gt;0,P246+R246,R246)-(X246*Ventas!AE52*0.925))</f>
        <v>152.01806759999999</v>
      </c>
      <c r="Z246" s="18">
        <f>(Y246/(Ventas!AE52*0.925)/60)</f>
        <v>4.1003956303608984</v>
      </c>
      <c r="AA246" s="15">
        <f>(120*(Ventas!AE52*1.485) - IF(Y246&gt;0,Y246,0))</f>
        <v>-32.980467599999983</v>
      </c>
      <c r="AB246" s="15">
        <f t="shared" si="14"/>
        <v>0</v>
      </c>
      <c r="AC246" s="15">
        <f t="shared" si="15"/>
        <v>152.01806759999999</v>
      </c>
      <c r="AD246" s="16">
        <v>0.56999999999999995</v>
      </c>
      <c r="AE246" s="8">
        <v>3025</v>
      </c>
      <c r="AF246" s="15">
        <f>(AC246-(60*Ventas!AE52*1.485))</f>
        <v>92.499267599999982</v>
      </c>
      <c r="AG246" s="18">
        <f>(AF246/(Ventas!AE52*1.485)/60)</f>
        <v>1.5541184902921426</v>
      </c>
      <c r="AH246" s="1" t="s">
        <v>34</v>
      </c>
    </row>
    <row r="247" spans="1:34" x14ac:dyDescent="0.25">
      <c r="A247" s="1"/>
      <c r="B247" s="1" t="s">
        <v>137</v>
      </c>
      <c r="C247" s="14" t="s">
        <v>136</v>
      </c>
      <c r="D247" s="3"/>
      <c r="E247" s="12">
        <v>46238</v>
      </c>
      <c r="F247" s="7">
        <v>1</v>
      </c>
      <c r="G247" s="15">
        <f>(D247-(0)+0-(F247*Ventas!AE53*1))</f>
        <v>-1.0943000000000001</v>
      </c>
      <c r="H247" s="18">
        <f>(G247/(Ventas!AE53*1)/60)</f>
        <v>-1.6666666666666666E-2</v>
      </c>
      <c r="I247" s="8">
        <v>0</v>
      </c>
      <c r="J247" s="15">
        <f t="shared" si="12"/>
        <v>0</v>
      </c>
      <c r="K247" s="3"/>
      <c r="L247" s="3"/>
      <c r="M247" s="3"/>
      <c r="N247" s="12">
        <v>46275</v>
      </c>
      <c r="O247" s="7">
        <v>37</v>
      </c>
      <c r="P247" s="15">
        <f>(IF(G247&gt;0,G247+I247,I247)-(O247*Ventas!AE53*0.9189))</f>
        <v>-37.205433990000003</v>
      </c>
      <c r="Q247" s="18">
        <f>(P247/(Ventas!AE53*0.9189)/60)</f>
        <v>-0.6166666666666667</v>
      </c>
      <c r="R247" s="8">
        <v>52</v>
      </c>
      <c r="S247" s="15">
        <f t="shared" si="13"/>
        <v>52</v>
      </c>
      <c r="T247" s="15">
        <v>1.35</v>
      </c>
      <c r="U247" s="3"/>
      <c r="V247" s="3"/>
      <c r="W247" s="12">
        <v>46331</v>
      </c>
      <c r="X247" s="7">
        <v>56</v>
      </c>
      <c r="Y247" s="15">
        <f>(IF(P247&gt;0,P247+R247,R247)-(X247*Ventas!AE53*0.925))</f>
        <v>-4.684740000000005</v>
      </c>
      <c r="Z247" s="18">
        <f>(Y247/(Ventas!AE53*0.925)/60)</f>
        <v>-7.7135821739678173E-2</v>
      </c>
      <c r="AA247" s="15">
        <f>(120*(Ventas!AE53*1.485) - IF(Y247&gt;0,Y247,0))</f>
        <v>195.00426000000002</v>
      </c>
      <c r="AB247" s="15">
        <f t="shared" si="14"/>
        <v>195.00426000000002</v>
      </c>
      <c r="AC247" s="15">
        <f t="shared" si="15"/>
        <v>195.00426000000002</v>
      </c>
      <c r="AD247" s="16">
        <v>1.26</v>
      </c>
      <c r="AE247" s="8">
        <v>3010</v>
      </c>
      <c r="AF247" s="15">
        <f>(AC247-(60*Ventas!AE53*1.485))</f>
        <v>97.502130000000008</v>
      </c>
      <c r="AG247" s="18">
        <f>(AF247/(Ventas!AE53*1.485)/60)</f>
        <v>1</v>
      </c>
      <c r="AH247" s="1" t="s">
        <v>37</v>
      </c>
    </row>
    <row r="248" spans="1:34" x14ac:dyDescent="0.25">
      <c r="A248" s="1"/>
      <c r="B248" s="1" t="s">
        <v>139</v>
      </c>
      <c r="C248" s="14" t="s">
        <v>138</v>
      </c>
      <c r="D248" s="8">
        <v>758</v>
      </c>
      <c r="E248" s="12">
        <v>46238</v>
      </c>
      <c r="F248" s="7">
        <v>1</v>
      </c>
      <c r="G248" s="15">
        <f>(D248-(0)+0-(F248*Ventas!AE54*1))</f>
        <v>754.4787</v>
      </c>
      <c r="H248" s="18">
        <f>(G248/(Ventas!AE54*1)/60)</f>
        <v>3.5710234856445058</v>
      </c>
      <c r="I248" s="8">
        <v>0</v>
      </c>
      <c r="J248" s="15">
        <f t="shared" si="12"/>
        <v>754.4787</v>
      </c>
      <c r="K248" s="3"/>
      <c r="L248" s="3"/>
      <c r="M248" s="3"/>
      <c r="N248" s="12">
        <v>46275</v>
      </c>
      <c r="O248" s="7">
        <v>37</v>
      </c>
      <c r="P248" s="15">
        <f>(IF(G248&gt;0,G248+I248,I248)-(O248*Ventas!AE54*0.9189))</f>
        <v>634.75696490999997</v>
      </c>
      <c r="Q248" s="18">
        <f>(P248/(Ventas!AE54*0.9189)/60)</f>
        <v>3.2695271364071234</v>
      </c>
      <c r="R248" s="8">
        <v>0</v>
      </c>
      <c r="S248" s="15">
        <f t="shared" si="13"/>
        <v>634.75696490999997</v>
      </c>
      <c r="T248" s="3"/>
      <c r="U248" s="3"/>
      <c r="V248" s="3"/>
      <c r="W248" s="12">
        <v>46331</v>
      </c>
      <c r="X248" s="7">
        <v>56</v>
      </c>
      <c r="Y248" s="15">
        <f>(IF(P248&gt;0,P248+R248,R248)-(X248*Ventas!AE54*0.925))</f>
        <v>452.35362490999995</v>
      </c>
      <c r="Z248" s="18">
        <f>(Y248/(Ventas!AE54*0.925)/60)</f>
        <v>2.3146325970931594</v>
      </c>
      <c r="AA248" s="15">
        <f>(120*(Ventas!AE54*1.485) - IF(Y248&gt;0,Y248,0))</f>
        <v>175.14203509000009</v>
      </c>
      <c r="AB248" s="15">
        <f t="shared" si="14"/>
        <v>175.14203509000009</v>
      </c>
      <c r="AC248" s="15">
        <f t="shared" si="15"/>
        <v>627.49566000000004</v>
      </c>
      <c r="AD248" s="16">
        <v>0.54200000000000004</v>
      </c>
      <c r="AE248" s="8">
        <v>3010</v>
      </c>
      <c r="AF248" s="15">
        <f>(AC248-(60*Ventas!AE54*1.485))</f>
        <v>313.74782999999996</v>
      </c>
      <c r="AG248" s="18">
        <f>(AF248/(Ventas!AE54*1.485)/60)</f>
        <v>0.99999999999999989</v>
      </c>
      <c r="AH248" s="1" t="s">
        <v>37</v>
      </c>
    </row>
    <row r="249" spans="1:34" x14ac:dyDescent="0.25">
      <c r="A249" s="1"/>
      <c r="B249" s="1" t="s">
        <v>141</v>
      </c>
      <c r="C249" s="14" t="s">
        <v>140</v>
      </c>
      <c r="D249" s="8">
        <v>87</v>
      </c>
      <c r="E249" s="12">
        <v>46238</v>
      </c>
      <c r="F249" s="7">
        <v>1</v>
      </c>
      <c r="G249" s="15">
        <f>(D249-(0)+0-(F249*Ventas!AE55*1))</f>
        <v>84.256799999999998</v>
      </c>
      <c r="H249" s="18">
        <f>(G249/(Ventas!AE55*1)/60)</f>
        <v>0.51191309419655873</v>
      </c>
      <c r="I249" s="8">
        <v>416</v>
      </c>
      <c r="J249" s="15">
        <f t="shared" si="12"/>
        <v>500.2568</v>
      </c>
      <c r="K249" s="15">
        <v>1.35</v>
      </c>
      <c r="L249" s="3"/>
      <c r="M249" s="3"/>
      <c r="N249" s="12">
        <v>46275</v>
      </c>
      <c r="O249" s="7">
        <v>37</v>
      </c>
      <c r="P249" s="15">
        <f>(IF(G249&gt;0,G249+I249,I249)-(O249*Ventas!AE55*0.9189))</f>
        <v>406.98992024</v>
      </c>
      <c r="Q249" s="18">
        <f>(P249/(Ventas!AE55*0.9189)/60)</f>
        <v>2.6909565123992878</v>
      </c>
      <c r="R249" s="8">
        <v>364</v>
      </c>
      <c r="S249" s="15">
        <f t="shared" si="13"/>
        <v>770.98992023999995</v>
      </c>
      <c r="T249" s="15">
        <v>1.36</v>
      </c>
      <c r="U249" s="3"/>
      <c r="V249" s="3"/>
      <c r="W249" s="12">
        <v>46331</v>
      </c>
      <c r="X249" s="7">
        <v>56</v>
      </c>
      <c r="Y249" s="15">
        <f>(IF(P249&gt;0,P249+R249,R249)-(X249*Ventas!AE55*0.925))</f>
        <v>628.89216023999995</v>
      </c>
      <c r="Z249" s="18">
        <f>(Y249/(Ventas!AE55*0.925)/60)</f>
        <v>4.1307196976504068</v>
      </c>
      <c r="AA249" s="15">
        <f>(120*(Ventas!AE55*1.485) - IF(Y249&gt;0,Y249,0))</f>
        <v>-140.05392023999997</v>
      </c>
      <c r="AB249" s="15">
        <f t="shared" si="14"/>
        <v>0</v>
      </c>
      <c r="AC249" s="15">
        <f t="shared" si="15"/>
        <v>628.89216023999995</v>
      </c>
      <c r="AD249" s="16">
        <v>1.35</v>
      </c>
      <c r="AE249" s="8">
        <v>3025</v>
      </c>
      <c r="AF249" s="15">
        <f>(AC249-(60*Ventas!AE55*1.485))</f>
        <v>384.47304023999993</v>
      </c>
      <c r="AG249" s="18">
        <f>(AF249/(Ventas!AE55*1.485)/60)</f>
        <v>1.5730072190751687</v>
      </c>
      <c r="AH249" s="1" t="s">
        <v>37</v>
      </c>
    </row>
    <row r="250" spans="1:34" x14ac:dyDescent="0.25">
      <c r="A250" s="1"/>
      <c r="B250" s="1" t="s">
        <v>575</v>
      </c>
      <c r="C250" s="14" t="s">
        <v>574</v>
      </c>
      <c r="D250" s="3"/>
      <c r="E250" s="12">
        <v>46238</v>
      </c>
      <c r="F250" s="7">
        <v>1</v>
      </c>
      <c r="G250" s="15">
        <f>(D250-(0)+0-(F250*Ventas!AE251*1))</f>
        <v>-0.71240000000000003</v>
      </c>
      <c r="H250" s="18">
        <f>(G250/(Ventas!AE251*1)/60)</f>
        <v>-1.6666666666666666E-2</v>
      </c>
      <c r="I250" s="8">
        <v>0</v>
      </c>
      <c r="J250" s="15">
        <f t="shared" si="12"/>
        <v>0</v>
      </c>
      <c r="K250" s="3"/>
      <c r="L250" s="15">
        <v>25</v>
      </c>
      <c r="M250" s="17">
        <v>1.2199999999999999E-3</v>
      </c>
      <c r="N250" s="12">
        <v>46275</v>
      </c>
      <c r="O250" s="7">
        <v>37</v>
      </c>
      <c r="P250" s="15">
        <f>(IF(G250&gt;0,G250+I250,I250)-(O250*Ventas!AE251*0.9189))</f>
        <v>-24.221101320000002</v>
      </c>
      <c r="Q250" s="18">
        <f>(P250/(Ventas!AE251*0.9189)/60)</f>
        <v>-0.6166666666666667</v>
      </c>
      <c r="R250" s="8">
        <v>0</v>
      </c>
      <c r="S250" s="15">
        <f t="shared" si="13"/>
        <v>0</v>
      </c>
      <c r="T250" s="3"/>
      <c r="U250" s="15">
        <v>25</v>
      </c>
      <c r="V250" s="17">
        <v>1.2199999999999999E-3</v>
      </c>
      <c r="W250" s="12">
        <v>46331</v>
      </c>
      <c r="X250" s="7">
        <v>56</v>
      </c>
      <c r="Y250" s="15">
        <f>(IF(P250&gt;0,P250+R250,R250)-(X250*Ventas!AE251*0.925))</f>
        <v>-36.902320000000003</v>
      </c>
      <c r="Z250" s="18">
        <f>(Y250/(Ventas!AE251*0.925)/60)</f>
        <v>-0.93333333333333335</v>
      </c>
      <c r="AA250" s="15">
        <f>(120*(Ventas!AE251*1.485) - IF(Y250&gt;0,Y250,0))</f>
        <v>126.94968</v>
      </c>
      <c r="AB250" s="15">
        <f t="shared" si="14"/>
        <v>126.94968</v>
      </c>
      <c r="AC250" s="15">
        <f t="shared" si="15"/>
        <v>126.94968</v>
      </c>
      <c r="AD250" s="16">
        <v>4.37</v>
      </c>
      <c r="AE250" s="8">
        <v>3010</v>
      </c>
      <c r="AF250" s="15">
        <f>(AC250-(60*Ventas!AE251*1.485))</f>
        <v>63.47484</v>
      </c>
      <c r="AG250" s="18">
        <f>(AF250/(Ventas!AE251*1.485)/60)</f>
        <v>1</v>
      </c>
      <c r="AH250" s="1" t="s">
        <v>37</v>
      </c>
    </row>
    <row r="251" spans="1:34" x14ac:dyDescent="0.25">
      <c r="A251" s="1"/>
      <c r="B251" s="1" t="s">
        <v>577</v>
      </c>
      <c r="C251" s="14" t="s">
        <v>576</v>
      </c>
      <c r="D251" s="8">
        <v>81</v>
      </c>
      <c r="E251" s="12">
        <v>46238</v>
      </c>
      <c r="F251" s="7">
        <v>1</v>
      </c>
      <c r="G251" s="15">
        <f>(D251-(0)+0-(F251*Ventas!AE252*1))</f>
        <v>80.487799999999993</v>
      </c>
      <c r="H251" s="18">
        <f>(G251/(Ventas!AE252*1)/60)</f>
        <v>2.6190225172458672</v>
      </c>
      <c r="I251" s="8">
        <v>0</v>
      </c>
      <c r="J251" s="15">
        <f t="shared" si="12"/>
        <v>80.487799999999993</v>
      </c>
      <c r="K251" s="3"/>
      <c r="L251" s="15">
        <v>25</v>
      </c>
      <c r="M251" s="17">
        <v>1.2199999999999999E-3</v>
      </c>
      <c r="N251" s="12">
        <v>46275</v>
      </c>
      <c r="O251" s="7">
        <v>37</v>
      </c>
      <c r="P251" s="15">
        <f>(IF(G251&gt;0,G251+I251,I251)-(O251*Ventas!AE252*0.9189))</f>
        <v>63.073358539999994</v>
      </c>
      <c r="Q251" s="18">
        <f>(P251/(Ventas!AE252*0.9189)/60)</f>
        <v>2.23350475268894</v>
      </c>
      <c r="R251" s="8">
        <v>0</v>
      </c>
      <c r="S251" s="15">
        <f t="shared" si="13"/>
        <v>63.073358539999994</v>
      </c>
      <c r="T251" s="3"/>
      <c r="U251" s="15">
        <v>25</v>
      </c>
      <c r="V251" s="17">
        <v>1.2199999999999999E-3</v>
      </c>
      <c r="W251" s="12">
        <v>46331</v>
      </c>
      <c r="X251" s="7">
        <v>56</v>
      </c>
      <c r="Y251" s="15">
        <f>(IF(P251&gt;0,P251+R251,R251)-(X251*Ventas!AE252*0.925))</f>
        <v>36.541398539999989</v>
      </c>
      <c r="Z251" s="18">
        <f>(Y251/(Ventas!AE252*0.925)/60)</f>
        <v>1.2854423609865229</v>
      </c>
      <c r="AA251" s="15">
        <f>(120*(Ventas!AE252*1.485) - IF(Y251&gt;0,Y251,0))</f>
        <v>54.732641460000011</v>
      </c>
      <c r="AB251" s="15">
        <f t="shared" si="14"/>
        <v>54.732641460000011</v>
      </c>
      <c r="AC251" s="15">
        <f t="shared" si="15"/>
        <v>91.274039999999999</v>
      </c>
      <c r="AD251" s="16">
        <v>4.37</v>
      </c>
      <c r="AE251" s="8">
        <v>3010</v>
      </c>
      <c r="AF251" s="15">
        <f>(AC251-(60*Ventas!AE252*1.485))</f>
        <v>45.63702</v>
      </c>
      <c r="AG251" s="18">
        <f>(AF251/(Ventas!AE252*1.485)/60)</f>
        <v>1</v>
      </c>
      <c r="AH251" s="1" t="s">
        <v>37</v>
      </c>
    </row>
    <row r="252" spans="1:34" x14ac:dyDescent="0.25">
      <c r="A252" s="1"/>
      <c r="B252" s="1" t="s">
        <v>69</v>
      </c>
      <c r="C252" s="14" t="s">
        <v>68</v>
      </c>
      <c r="D252" s="3"/>
      <c r="E252" s="12">
        <v>46238</v>
      </c>
      <c r="F252" s="7">
        <v>1</v>
      </c>
      <c r="G252" s="15">
        <f>(D252-(0)+0-(F252*Ventas!AE19*1))</f>
        <v>0</v>
      </c>
      <c r="H252" s="3"/>
      <c r="I252" s="8">
        <v>0</v>
      </c>
      <c r="J252" s="15">
        <f t="shared" si="12"/>
        <v>0</v>
      </c>
      <c r="K252" s="3"/>
      <c r="L252" s="15">
        <v>20</v>
      </c>
      <c r="M252" s="17">
        <v>1.5250000000000001E-3</v>
      </c>
      <c r="N252" s="12">
        <v>46275</v>
      </c>
      <c r="O252" s="7">
        <v>37</v>
      </c>
      <c r="P252" s="15">
        <f>(IF(G252&gt;0,G252+I252,I252)-(O252*Ventas!AE19*0.9189))</f>
        <v>0</v>
      </c>
      <c r="Q252" s="3"/>
      <c r="R252" s="8">
        <v>0</v>
      </c>
      <c r="S252" s="15">
        <f t="shared" si="13"/>
        <v>0</v>
      </c>
      <c r="T252" s="3"/>
      <c r="U252" s="15">
        <v>20</v>
      </c>
      <c r="V252" s="17">
        <v>1.5250000000000001E-3</v>
      </c>
      <c r="W252" s="12">
        <v>46331</v>
      </c>
      <c r="X252" s="7">
        <v>56</v>
      </c>
      <c r="Y252" s="15">
        <f>(IF(P252&gt;0,P252+R252,R252)-(X252*Ventas!AE19*0.925))</f>
        <v>0</v>
      </c>
      <c r="Z252" s="3"/>
      <c r="AA252" s="15">
        <f>(120*(Ventas!AE19*1.485) - IF(Y252&gt;0,Y252,0))</f>
        <v>0</v>
      </c>
      <c r="AB252" s="15">
        <f t="shared" si="14"/>
        <v>0</v>
      </c>
      <c r="AC252" s="15">
        <f t="shared" si="15"/>
        <v>0</v>
      </c>
      <c r="AD252" s="16">
        <v>5.38</v>
      </c>
      <c r="AE252" s="8">
        <v>3025</v>
      </c>
      <c r="AF252" s="3"/>
      <c r="AG252" s="3"/>
      <c r="AH252" s="1" t="s">
        <v>37</v>
      </c>
    </row>
    <row r="253" spans="1:34" x14ac:dyDescent="0.25">
      <c r="A253" s="1"/>
      <c r="B253" s="1" t="s">
        <v>579</v>
      </c>
      <c r="C253" s="14" t="s">
        <v>578</v>
      </c>
      <c r="D253" s="8">
        <v>68</v>
      </c>
      <c r="E253" s="12">
        <v>46238</v>
      </c>
      <c r="F253" s="7">
        <v>1</v>
      </c>
      <c r="G253" s="15">
        <f>(D253-(0)+0-(F253*Ventas!AE253*1))</f>
        <v>67.907899999999998</v>
      </c>
      <c r="H253" s="18">
        <f>(G253/(Ventas!AE253*1)/60)</f>
        <v>12.288798407528049</v>
      </c>
      <c r="I253" s="8">
        <v>0</v>
      </c>
      <c r="J253" s="15">
        <f t="shared" si="12"/>
        <v>67.907899999999998</v>
      </c>
      <c r="K253" s="3"/>
      <c r="L253" s="15">
        <v>70</v>
      </c>
      <c r="M253" s="17">
        <v>4.0000000000000002E-4</v>
      </c>
      <c r="N253" s="12">
        <v>46275</v>
      </c>
      <c r="O253" s="7">
        <v>37</v>
      </c>
      <c r="P253" s="15">
        <f>(IF(G253&gt;0,G253+I253,I253)-(O253*Ventas!AE253*0.9189))</f>
        <v>64.776564469999997</v>
      </c>
      <c r="Q253" s="18">
        <f>(P253/(Ventas!AE253*0.9189)/60)</f>
        <v>12.756712816985578</v>
      </c>
      <c r="R253" s="8">
        <v>0</v>
      </c>
      <c r="S253" s="15">
        <f t="shared" si="13"/>
        <v>64.776564469999997</v>
      </c>
      <c r="T253" s="3"/>
      <c r="U253" s="15">
        <v>70</v>
      </c>
      <c r="V253" s="17">
        <v>4.0000000000000002E-4</v>
      </c>
      <c r="W253" s="12">
        <v>46331</v>
      </c>
      <c r="X253" s="7">
        <v>56</v>
      </c>
      <c r="Y253" s="15">
        <f>(IF(P253&gt;0,P253+R253,R253)-(X253*Ventas!AE253*0.925))</f>
        <v>60.005784469999995</v>
      </c>
      <c r="Z253" s="18">
        <f>(Y253/(Ventas!AE253*0.925)/60)</f>
        <v>11.739254134264558</v>
      </c>
      <c r="AA253" s="15">
        <f>(120*(Ventas!AE253*1.485) - IF(Y253&gt;0,Y253,0))</f>
        <v>-43.59356446999999</v>
      </c>
      <c r="AB253" s="15">
        <f t="shared" si="14"/>
        <v>0</v>
      </c>
      <c r="AC253" s="15">
        <f t="shared" si="15"/>
        <v>60.005784469999995</v>
      </c>
      <c r="AD253" s="16">
        <v>6.87</v>
      </c>
      <c r="AE253" s="8">
        <v>3010</v>
      </c>
      <c r="AF253" s="15">
        <f>(AC253-(60*Ventas!AE253*1.485))</f>
        <v>51.799674469999992</v>
      </c>
      <c r="AG253" s="18">
        <f>(AF253/(Ventas!AE253*1.485)/60)</f>
        <v>6.3123300162927363</v>
      </c>
      <c r="AH253" s="1" t="s">
        <v>37</v>
      </c>
    </row>
    <row r="254" spans="1:34" x14ac:dyDescent="0.25">
      <c r="A254" s="1"/>
      <c r="B254" s="1" t="s">
        <v>581</v>
      </c>
      <c r="C254" s="14" t="s">
        <v>580</v>
      </c>
      <c r="D254" s="8">
        <v>24</v>
      </c>
      <c r="E254" s="12">
        <v>46238</v>
      </c>
      <c r="F254" s="7">
        <v>1</v>
      </c>
      <c r="G254" s="15">
        <f>(D254-(0)+0-(F254*Ventas!AE254*1))</f>
        <v>22.959399999999999</v>
      </c>
      <c r="H254" s="18">
        <f>(G254/(Ventas!AE254*1)/60)</f>
        <v>0.36772695239925679</v>
      </c>
      <c r="I254" s="8">
        <v>44</v>
      </c>
      <c r="J254" s="15">
        <f t="shared" si="12"/>
        <v>66.959400000000002</v>
      </c>
      <c r="K254" s="15">
        <v>4.2</v>
      </c>
      <c r="L254" s="15">
        <v>25</v>
      </c>
      <c r="M254" s="17">
        <v>1.2199999999999999E-3</v>
      </c>
      <c r="N254" s="12">
        <v>46275</v>
      </c>
      <c r="O254" s="7">
        <v>37</v>
      </c>
      <c r="P254" s="15">
        <f>(IF(G254&gt;0,G254+I254,I254)-(O254*Ventas!AE254*0.9189))</f>
        <v>31.579728419999995</v>
      </c>
      <c r="Q254" s="18">
        <f>(P254/(Ventas!AE254*0.9189)/60)</f>
        <v>0.55043376575628455</v>
      </c>
      <c r="R254" s="8">
        <v>0</v>
      </c>
      <c r="S254" s="15">
        <f t="shared" si="13"/>
        <v>31.579728419999995</v>
      </c>
      <c r="T254" s="3"/>
      <c r="U254" s="15">
        <v>25</v>
      </c>
      <c r="V254" s="17">
        <v>1.2199999999999999E-3</v>
      </c>
      <c r="W254" s="12">
        <v>46331</v>
      </c>
      <c r="X254" s="7">
        <v>56</v>
      </c>
      <c r="Y254" s="15">
        <f>(IF(P254&gt;0,P254+R254,R254)-(X254*Ventas!AE254*0.925))</f>
        <v>-22.323351580000008</v>
      </c>
      <c r="Z254" s="18">
        <f>(Y254/(Ventas!AE254*0.925)/60)</f>
        <v>-0.38652945511338754</v>
      </c>
      <c r="AA254" s="15">
        <f>(120*(Ventas!AE254*1.485) - IF(Y254&gt;0,Y254,0))</f>
        <v>185.43492000000001</v>
      </c>
      <c r="AB254" s="15">
        <f t="shared" si="14"/>
        <v>185.43492000000001</v>
      </c>
      <c r="AC254" s="15">
        <f t="shared" si="15"/>
        <v>185.43492000000001</v>
      </c>
      <c r="AD254" s="16">
        <v>4.2</v>
      </c>
      <c r="AE254" s="8">
        <v>3025</v>
      </c>
      <c r="AF254" s="15">
        <f>(AC254-(60*Ventas!AE254*1.485))</f>
        <v>92.717460000000003</v>
      </c>
      <c r="AG254" s="18">
        <f>(AF254/(Ventas!AE254*1.485)/60)</f>
        <v>1</v>
      </c>
      <c r="AH254" s="1" t="s">
        <v>37</v>
      </c>
    </row>
    <row r="255" spans="1:34" x14ac:dyDescent="0.25">
      <c r="A255" s="1"/>
      <c r="B255" s="1" t="s">
        <v>583</v>
      </c>
      <c r="C255" s="14" t="s">
        <v>582</v>
      </c>
      <c r="D255" s="3"/>
      <c r="E255" s="12">
        <v>46238</v>
      </c>
      <c r="F255" s="7">
        <v>1</v>
      </c>
      <c r="G255" s="15">
        <f>(D255-(0)+0-(F255*Ventas!AE255*1))</f>
        <v>-0.67030000000000001</v>
      </c>
      <c r="H255" s="18">
        <f>(G255/(Ventas!AE255*1)/60)</f>
        <v>-1.6666666666666666E-2</v>
      </c>
      <c r="I255" s="8">
        <v>0</v>
      </c>
      <c r="J255" s="15">
        <f t="shared" si="12"/>
        <v>0</v>
      </c>
      <c r="K255" s="3"/>
      <c r="L255" s="15">
        <v>25</v>
      </c>
      <c r="M255" s="17">
        <v>1.2199999999999999E-3</v>
      </c>
      <c r="N255" s="12">
        <v>46275</v>
      </c>
      <c r="O255" s="7">
        <v>37</v>
      </c>
      <c r="P255" s="15">
        <f>(IF(G255&gt;0,G255+I255,I255)-(O255*Ventas!AE255*0.9189))</f>
        <v>-22.789730790000004</v>
      </c>
      <c r="Q255" s="18">
        <f>(P255/(Ventas!AE255*0.9189)/60)</f>
        <v>-0.61666666666666681</v>
      </c>
      <c r="R255" s="8">
        <v>0</v>
      </c>
      <c r="S255" s="15">
        <f t="shared" si="13"/>
        <v>0</v>
      </c>
      <c r="T255" s="3"/>
      <c r="U255" s="15">
        <v>25</v>
      </c>
      <c r="V255" s="17">
        <v>1.2199999999999999E-3</v>
      </c>
      <c r="W255" s="12">
        <v>46331</v>
      </c>
      <c r="X255" s="7">
        <v>56</v>
      </c>
      <c r="Y255" s="15">
        <f>(IF(P255&gt;0,P255+R255,R255)-(X255*Ventas!AE255*0.925))</f>
        <v>-34.721540000000005</v>
      </c>
      <c r="Z255" s="18">
        <f>(Y255/(Ventas!AE255*0.925)/60)</f>
        <v>-0.93333333333333335</v>
      </c>
      <c r="AA255" s="15">
        <f>(120*(Ventas!AE255*1.485) - IF(Y255&gt;0,Y255,0))</f>
        <v>119.44746000000001</v>
      </c>
      <c r="AB255" s="15">
        <f t="shared" si="14"/>
        <v>119.44746000000001</v>
      </c>
      <c r="AC255" s="15">
        <f t="shared" si="15"/>
        <v>119.44746000000001</v>
      </c>
      <c r="AD255" s="16">
        <v>4.33</v>
      </c>
      <c r="AE255" s="8">
        <v>3027</v>
      </c>
      <c r="AF255" s="15">
        <f>(AC255-(60*Ventas!AE255*1.485))</f>
        <v>59.723729999999996</v>
      </c>
      <c r="AG255" s="18">
        <f>(AF255/(Ventas!AE255*1.485)/60)</f>
        <v>0.99999999999999989</v>
      </c>
      <c r="AH255" s="1" t="s">
        <v>37</v>
      </c>
    </row>
    <row r="256" spans="1:34" x14ac:dyDescent="0.25">
      <c r="A256" s="1"/>
      <c r="B256" s="1" t="s">
        <v>585</v>
      </c>
      <c r="C256" s="14" t="s">
        <v>584</v>
      </c>
      <c r="D256" s="3"/>
      <c r="E256" s="12">
        <v>46238</v>
      </c>
      <c r="F256" s="7">
        <v>1</v>
      </c>
      <c r="G256" s="15">
        <f>(D256-(0)+0-(F256*Ventas!AE256*1))</f>
        <v>0</v>
      </c>
      <c r="H256" s="3"/>
      <c r="I256" s="8">
        <v>0</v>
      </c>
      <c r="J256" s="15">
        <f t="shared" si="12"/>
        <v>0</v>
      </c>
      <c r="K256" s="3"/>
      <c r="L256" s="15">
        <v>44</v>
      </c>
      <c r="M256" s="17">
        <v>8.4699999999999999E-4</v>
      </c>
      <c r="N256" s="12">
        <v>46275</v>
      </c>
      <c r="O256" s="7">
        <v>37</v>
      </c>
      <c r="P256" s="15">
        <f>(IF(G256&gt;0,G256+I256,I256)-(O256*Ventas!AE256*0.9189))</f>
        <v>0</v>
      </c>
      <c r="Q256" s="3"/>
      <c r="R256" s="8">
        <v>0</v>
      </c>
      <c r="S256" s="15">
        <f t="shared" si="13"/>
        <v>0</v>
      </c>
      <c r="T256" s="3"/>
      <c r="U256" s="15">
        <v>44</v>
      </c>
      <c r="V256" s="17">
        <v>8.4699999999999999E-4</v>
      </c>
      <c r="W256" s="12">
        <v>46331</v>
      </c>
      <c r="X256" s="7">
        <v>56</v>
      </c>
      <c r="Y256" s="15">
        <f>(IF(P256&gt;0,P256+R256,R256)-(X256*Ventas!AE256*0.925))</f>
        <v>0</v>
      </c>
      <c r="Z256" s="3"/>
      <c r="AA256" s="15">
        <f>(120*(Ventas!AE256*1.485) - IF(Y256&gt;0,Y256,0))</f>
        <v>0</v>
      </c>
      <c r="AB256" s="15">
        <f t="shared" si="14"/>
        <v>0</v>
      </c>
      <c r="AC256" s="15">
        <f t="shared" si="15"/>
        <v>0</v>
      </c>
      <c r="AD256" s="16">
        <v>7.75</v>
      </c>
      <c r="AE256" s="8">
        <v>3027</v>
      </c>
      <c r="AF256" s="3"/>
      <c r="AG256" s="3"/>
      <c r="AH256" s="1" t="s">
        <v>37</v>
      </c>
    </row>
    <row r="257" spans="1:34" x14ac:dyDescent="0.25">
      <c r="A257" s="1"/>
      <c r="B257" s="1" t="s">
        <v>587</v>
      </c>
      <c r="C257" s="14" t="s">
        <v>586</v>
      </c>
      <c r="D257" s="3"/>
      <c r="E257" s="12">
        <v>46238</v>
      </c>
      <c r="F257" s="7">
        <v>1</v>
      </c>
      <c r="G257" s="15">
        <f>(D257-(0)+0-(F257*Ventas!AE257*1))</f>
        <v>0</v>
      </c>
      <c r="H257" s="3"/>
      <c r="I257" s="8">
        <v>0</v>
      </c>
      <c r="J257" s="15">
        <f t="shared" si="12"/>
        <v>0</v>
      </c>
      <c r="K257" s="3"/>
      <c r="L257" s="15">
        <v>70</v>
      </c>
      <c r="M257" s="17">
        <v>4.3600000000000003E-4</v>
      </c>
      <c r="N257" s="12">
        <v>46275</v>
      </c>
      <c r="O257" s="7">
        <v>37</v>
      </c>
      <c r="P257" s="15">
        <f>(IF(G257&gt;0,G257+I257,I257)-(O257*Ventas!AE257*0.9189))</f>
        <v>0</v>
      </c>
      <c r="Q257" s="3"/>
      <c r="R257" s="8">
        <v>0</v>
      </c>
      <c r="S257" s="15">
        <f t="shared" si="13"/>
        <v>0</v>
      </c>
      <c r="T257" s="3"/>
      <c r="U257" s="15">
        <v>70</v>
      </c>
      <c r="V257" s="17">
        <v>4.3600000000000003E-4</v>
      </c>
      <c r="W257" s="12">
        <v>46331</v>
      </c>
      <c r="X257" s="7">
        <v>56</v>
      </c>
      <c r="Y257" s="15">
        <f>(IF(P257&gt;0,P257+R257,R257)-(X257*Ventas!AE257*0.925))</f>
        <v>0</v>
      </c>
      <c r="Z257" s="3"/>
      <c r="AA257" s="15">
        <f>(120*(Ventas!AE257*1.485) - IF(Y257&gt;0,Y257,0))</f>
        <v>0</v>
      </c>
      <c r="AB257" s="15">
        <f t="shared" si="14"/>
        <v>0</v>
      </c>
      <c r="AC257" s="15">
        <f t="shared" si="15"/>
        <v>0</v>
      </c>
      <c r="AD257" s="3"/>
      <c r="AE257" s="3"/>
      <c r="AF257" s="3"/>
      <c r="AG257" s="3"/>
      <c r="AH257" s="1" t="s">
        <v>34</v>
      </c>
    </row>
    <row r="258" spans="1:34" x14ac:dyDescent="0.25">
      <c r="A258" s="1"/>
      <c r="B258" s="1" t="s">
        <v>589</v>
      </c>
      <c r="C258" s="14" t="s">
        <v>588</v>
      </c>
      <c r="D258" s="8">
        <v>57</v>
      </c>
      <c r="E258" s="12">
        <v>46238</v>
      </c>
      <c r="F258" s="7">
        <v>1</v>
      </c>
      <c r="G258" s="15">
        <f>(D258-(0)+0-(F258*Ventas!AE258*1))</f>
        <v>56.694400000000002</v>
      </c>
      <c r="H258" s="18">
        <f>(G258/(Ventas!AE258*1)/60)</f>
        <v>3.0919720767888306</v>
      </c>
      <c r="I258" s="8">
        <v>44</v>
      </c>
      <c r="J258" s="15">
        <f t="shared" si="12"/>
        <v>100.6944</v>
      </c>
      <c r="K258" s="15">
        <v>7.49</v>
      </c>
      <c r="L258" s="15">
        <v>44</v>
      </c>
      <c r="M258" s="17">
        <v>7.67E-4</v>
      </c>
      <c r="N258" s="12">
        <v>46275</v>
      </c>
      <c r="O258" s="7">
        <v>37</v>
      </c>
      <c r="P258" s="15">
        <f>(IF(G258&gt;0,G258+I258,I258)-(O258*Ventas!AE258*0.9189))</f>
        <v>90.304213919999995</v>
      </c>
      <c r="Q258" s="18">
        <f>(P258/(Ventas!AE258*0.9189)/60)</f>
        <v>5.3596343852967836</v>
      </c>
      <c r="R258" s="8">
        <v>0</v>
      </c>
      <c r="S258" s="15">
        <f t="shared" si="13"/>
        <v>90.304213919999995</v>
      </c>
      <c r="T258" s="3"/>
      <c r="U258" s="15">
        <v>44</v>
      </c>
      <c r="V258" s="17">
        <v>7.67E-4</v>
      </c>
      <c r="W258" s="12">
        <v>46331</v>
      </c>
      <c r="X258" s="7">
        <v>56</v>
      </c>
      <c r="Y258" s="15">
        <f>(IF(P258&gt;0,P258+R258,R258)-(X258*Ventas!AE258*0.925))</f>
        <v>74.47413392</v>
      </c>
      <c r="Z258" s="18">
        <f>(Y258/(Ventas!AE258*0.925)/60)</f>
        <v>4.3909564360171691</v>
      </c>
      <c r="AA258" s="15">
        <f>(120*(Ventas!AE258*1.485) - IF(Y258&gt;0,Y258,0))</f>
        <v>-20.016213919999998</v>
      </c>
      <c r="AB258" s="15">
        <f t="shared" si="14"/>
        <v>0</v>
      </c>
      <c r="AC258" s="15">
        <f t="shared" si="15"/>
        <v>74.47413392</v>
      </c>
      <c r="AD258" s="16">
        <v>7.49</v>
      </c>
      <c r="AE258" s="8">
        <v>3025</v>
      </c>
      <c r="AF258" s="15">
        <f>(AC258-(60*Ventas!AE258*1.485))</f>
        <v>47.245173919999999</v>
      </c>
      <c r="AG258" s="18">
        <f>(AF258/(Ventas!AE258*1.485)/60)</f>
        <v>1.7351075443204589</v>
      </c>
      <c r="AH258" s="1" t="s">
        <v>37</v>
      </c>
    </row>
    <row r="259" spans="1:34" x14ac:dyDescent="0.25">
      <c r="A259" s="1"/>
      <c r="B259" s="1" t="s">
        <v>591</v>
      </c>
      <c r="C259" s="14" t="s">
        <v>590</v>
      </c>
      <c r="D259" s="3"/>
      <c r="E259" s="12">
        <v>46238</v>
      </c>
      <c r="F259" s="7">
        <v>1</v>
      </c>
      <c r="G259" s="15">
        <f>(D259-(0)+0-(F259*Ventas!AE259*1))</f>
        <v>-0.27939999999999998</v>
      </c>
      <c r="H259" s="18">
        <f>(G259/(Ventas!AE259*1)/60)</f>
        <v>-1.6666666666666666E-2</v>
      </c>
      <c r="I259" s="8">
        <v>0</v>
      </c>
      <c r="J259" s="15">
        <f t="shared" si="12"/>
        <v>0</v>
      </c>
      <c r="K259" s="3"/>
      <c r="L259" s="15">
        <v>44</v>
      </c>
      <c r="M259" s="17">
        <v>7.67E-4</v>
      </c>
      <c r="N259" s="12">
        <v>46275</v>
      </c>
      <c r="O259" s="7">
        <v>37</v>
      </c>
      <c r="P259" s="15">
        <f>(IF(G259&gt;0,G259+I259,I259)-(O259*Ventas!AE259*0.9189))</f>
        <v>-9.4994044199999994</v>
      </c>
      <c r="Q259" s="18">
        <f>(P259/(Ventas!AE259*0.9189)/60)</f>
        <v>-0.61666666666666659</v>
      </c>
      <c r="R259" s="8">
        <v>0</v>
      </c>
      <c r="S259" s="15">
        <f t="shared" si="13"/>
        <v>0</v>
      </c>
      <c r="T259" s="3"/>
      <c r="U259" s="15">
        <v>44</v>
      </c>
      <c r="V259" s="17">
        <v>7.67E-4</v>
      </c>
      <c r="W259" s="12">
        <v>46331</v>
      </c>
      <c r="X259" s="7">
        <v>56</v>
      </c>
      <c r="Y259" s="15">
        <f>(IF(P259&gt;0,P259+R259,R259)-(X259*Ventas!AE259*0.925))</f>
        <v>-14.47292</v>
      </c>
      <c r="Z259" s="18">
        <f>(Y259/(Ventas!AE259*0.925)/60)</f>
        <v>-0.93333333333333346</v>
      </c>
      <c r="AA259" s="15">
        <f>(120*(Ventas!AE259*1.485) - IF(Y259&gt;0,Y259,0))</f>
        <v>49.789080000000006</v>
      </c>
      <c r="AB259" s="15">
        <f t="shared" si="14"/>
        <v>49.789080000000006</v>
      </c>
      <c r="AC259" s="15">
        <f t="shared" si="15"/>
        <v>49.789080000000006</v>
      </c>
      <c r="AD259" s="16">
        <v>6.21</v>
      </c>
      <c r="AE259" s="8">
        <v>3027</v>
      </c>
      <c r="AF259" s="15">
        <f>(AC259-(60*Ventas!AE259*1.485))</f>
        <v>24.894540000000006</v>
      </c>
      <c r="AG259" s="18">
        <f>(AF259/(Ventas!AE259*1.485)/60)</f>
        <v>1.0000000000000002</v>
      </c>
      <c r="AH259" s="1" t="s">
        <v>37</v>
      </c>
    </row>
    <row r="260" spans="1:34" x14ac:dyDescent="0.25">
      <c r="A260" s="1"/>
      <c r="B260" s="1" t="s">
        <v>593</v>
      </c>
      <c r="C260" s="14" t="s">
        <v>592</v>
      </c>
      <c r="D260" s="8">
        <v>78</v>
      </c>
      <c r="E260" s="12">
        <v>46238</v>
      </c>
      <c r="F260" s="7">
        <v>1</v>
      </c>
      <c r="G260" s="15">
        <f>(D260-(0)+0-(F260*Ventas!AE260*1))</f>
        <v>77.864500000000007</v>
      </c>
      <c r="H260" s="18">
        <f>(G260/(Ventas!AE260*1)/60)</f>
        <v>9.5774292742927436</v>
      </c>
      <c r="I260" s="8">
        <v>0</v>
      </c>
      <c r="J260" s="15">
        <f t="shared" si="12"/>
        <v>77.864500000000007</v>
      </c>
      <c r="K260" s="3"/>
      <c r="L260" s="15">
        <v>44</v>
      </c>
      <c r="M260" s="17">
        <v>7.67E-4</v>
      </c>
      <c r="N260" s="12">
        <v>46275</v>
      </c>
      <c r="O260" s="7">
        <v>37</v>
      </c>
      <c r="P260" s="15">
        <f>(IF(G260&gt;0,G260+I260,I260)-(O260*Ventas!AE260*0.9189))</f>
        <v>73.257594850000004</v>
      </c>
      <c r="Q260" s="18">
        <f>(P260/(Ventas!AE260*0.9189)/60)</f>
        <v>9.8060444817637862</v>
      </c>
      <c r="R260" s="8">
        <v>0</v>
      </c>
      <c r="S260" s="15">
        <f t="shared" si="13"/>
        <v>73.257594850000004</v>
      </c>
      <c r="T260" s="3"/>
      <c r="U260" s="15">
        <v>44</v>
      </c>
      <c r="V260" s="17">
        <v>7.67E-4</v>
      </c>
      <c r="W260" s="12">
        <v>46331</v>
      </c>
      <c r="X260" s="7">
        <v>56</v>
      </c>
      <c r="Y260" s="15">
        <f>(IF(P260&gt;0,P260+R260,R260)-(X260*Ventas!AE260*0.925))</f>
        <v>66.238694850000002</v>
      </c>
      <c r="Z260" s="18">
        <f>(Y260/(Ventas!AE260*0.925)/60)</f>
        <v>8.8080442604966596</v>
      </c>
      <c r="AA260" s="15">
        <f>(120*(Ventas!AE260*1.485) - IF(Y260&gt;0,Y260,0))</f>
        <v>-42.092594849999998</v>
      </c>
      <c r="AB260" s="15">
        <f t="shared" si="14"/>
        <v>0</v>
      </c>
      <c r="AC260" s="15">
        <f t="shared" si="15"/>
        <v>66.238694850000002</v>
      </c>
      <c r="AD260" s="16">
        <v>7.2225999999999999</v>
      </c>
      <c r="AE260" s="8">
        <v>3025</v>
      </c>
      <c r="AF260" s="15">
        <f>(AC260-(60*Ventas!AE260*1.485))</f>
        <v>54.16564485</v>
      </c>
      <c r="AG260" s="18">
        <f>(AF260/(Ventas!AE260*1.485)/60)</f>
        <v>4.4864922161342822</v>
      </c>
      <c r="AH260" s="1" t="s">
        <v>37</v>
      </c>
    </row>
    <row r="261" spans="1:34" x14ac:dyDescent="0.25">
      <c r="A261" s="1"/>
      <c r="B261" s="1" t="s">
        <v>595</v>
      </c>
      <c r="C261" s="14" t="s">
        <v>594</v>
      </c>
      <c r="D261" s="3"/>
      <c r="E261" s="12">
        <v>46238</v>
      </c>
      <c r="F261" s="7">
        <v>1</v>
      </c>
      <c r="G261" s="15">
        <f>(D261-(0)+0-(F261*Ventas!AE261*1))</f>
        <v>-9.1600000000000001E-2</v>
      </c>
      <c r="H261" s="18">
        <f>(G261/(Ventas!AE261*1)/60)</f>
        <v>-1.6666666666666666E-2</v>
      </c>
      <c r="I261" s="8">
        <v>0</v>
      </c>
      <c r="J261" s="15">
        <f t="shared" ref="J261:J298" si="16">IF(G261&gt;0,G261+I261,I261)</f>
        <v>0</v>
      </c>
      <c r="K261" s="3"/>
      <c r="L261" s="15">
        <v>44</v>
      </c>
      <c r="M261" s="17">
        <v>7.67E-4</v>
      </c>
      <c r="N261" s="12">
        <v>46275</v>
      </c>
      <c r="O261" s="7">
        <v>37</v>
      </c>
      <c r="P261" s="15">
        <f>(IF(G261&gt;0,G261+I261,I261)-(O261*Ventas!AE261*0.9189))</f>
        <v>-3.1143358800000005</v>
      </c>
      <c r="Q261" s="18">
        <f>(P261/(Ventas!AE261*0.9189)/60)</f>
        <v>-0.6166666666666667</v>
      </c>
      <c r="R261" s="8">
        <v>0</v>
      </c>
      <c r="S261" s="15">
        <f t="shared" ref="S261:S298" si="17">IF(P261&gt;0,P261+R261,R261)</f>
        <v>0</v>
      </c>
      <c r="T261" s="3"/>
      <c r="U261" s="15">
        <v>44</v>
      </c>
      <c r="V261" s="17">
        <v>7.67E-4</v>
      </c>
      <c r="W261" s="12">
        <v>46331</v>
      </c>
      <c r="X261" s="7">
        <v>56</v>
      </c>
      <c r="Y261" s="15">
        <f>(IF(P261&gt;0,P261+R261,R261)-(X261*Ventas!AE261*0.925))</f>
        <v>-4.7448800000000002</v>
      </c>
      <c r="Z261" s="18">
        <f>(Y261/(Ventas!AE261*0.925)/60)</f>
        <v>-0.93333333333333335</v>
      </c>
      <c r="AA261" s="15">
        <f>(120*(Ventas!AE261*1.485) - IF(Y261&gt;0,Y261,0))</f>
        <v>16.323119999999999</v>
      </c>
      <c r="AB261" s="15">
        <f t="shared" ref="AB261:AB298" si="18">IF(AA261&gt;0,AA261,0)</f>
        <v>16.323119999999999</v>
      </c>
      <c r="AC261" s="15">
        <f t="shared" ref="AC261:AC298" si="19">IF(Y261&gt;0,Y261+IF(AB261&gt;0,AB261,0),AB261)</f>
        <v>16.323119999999999</v>
      </c>
      <c r="AD261" s="16">
        <v>5.48</v>
      </c>
      <c r="AE261" s="8">
        <v>3010</v>
      </c>
      <c r="AF261" s="15">
        <f>(AC261-(60*Ventas!AE261*1.485))</f>
        <v>8.1615599999999979</v>
      </c>
      <c r="AG261" s="18">
        <f>(AF261/(Ventas!AE261*1.485)/60)</f>
        <v>0.99999999999999967</v>
      </c>
      <c r="AH261" s="1" t="s">
        <v>34</v>
      </c>
    </row>
    <row r="262" spans="1:34" x14ac:dyDescent="0.25">
      <c r="A262" s="1"/>
      <c r="B262" s="1" t="s">
        <v>597</v>
      </c>
      <c r="C262" s="14" t="s">
        <v>596</v>
      </c>
      <c r="D262" s="3"/>
      <c r="E262" s="12">
        <v>46238</v>
      </c>
      <c r="F262" s="7">
        <v>1</v>
      </c>
      <c r="G262" s="15">
        <f>(D262-(0)+0-(F262*Ventas!AE262*1))</f>
        <v>-0.14410000000000001</v>
      </c>
      <c r="H262" s="18">
        <f>(G262/(Ventas!AE262*1)/60)</f>
        <v>-1.6666666666666666E-2</v>
      </c>
      <c r="I262" s="8">
        <v>0</v>
      </c>
      <c r="J262" s="15">
        <f t="shared" si="16"/>
        <v>0</v>
      </c>
      <c r="K262" s="3"/>
      <c r="L262" s="15">
        <v>44</v>
      </c>
      <c r="M262" s="17">
        <v>7.67E-4</v>
      </c>
      <c r="N262" s="12">
        <v>46275</v>
      </c>
      <c r="O262" s="7">
        <v>37</v>
      </c>
      <c r="P262" s="15">
        <f>(IF(G262&gt;0,G262+I262,I262)-(O262*Ventas!AE262*0.9189))</f>
        <v>-4.8992991300000011</v>
      </c>
      <c r="Q262" s="18">
        <f>(P262/(Ventas!AE262*0.9189)/60)</f>
        <v>-0.6166666666666667</v>
      </c>
      <c r="R262" s="8">
        <v>0</v>
      </c>
      <c r="S262" s="15">
        <f t="shared" si="17"/>
        <v>0</v>
      </c>
      <c r="T262" s="3"/>
      <c r="U262" s="15">
        <v>44</v>
      </c>
      <c r="V262" s="17">
        <v>7.67E-4</v>
      </c>
      <c r="W262" s="12">
        <v>46331</v>
      </c>
      <c r="X262" s="7">
        <v>56</v>
      </c>
      <c r="Y262" s="15">
        <f>(IF(P262&gt;0,P262+R262,R262)-(X262*Ventas!AE262*0.925))</f>
        <v>-7.4643800000000011</v>
      </c>
      <c r="Z262" s="18">
        <f>(Y262/(Ventas!AE262*0.925)/60)</f>
        <v>-0.93333333333333346</v>
      </c>
      <c r="AA262" s="15">
        <f>(120*(Ventas!AE262*1.485) - IF(Y262&gt;0,Y262,0))</f>
        <v>25.678620000000002</v>
      </c>
      <c r="AB262" s="15">
        <f t="shared" si="18"/>
        <v>25.678620000000002</v>
      </c>
      <c r="AC262" s="15">
        <f t="shared" si="19"/>
        <v>25.678620000000002</v>
      </c>
      <c r="AD262" s="16">
        <v>5.48</v>
      </c>
      <c r="AE262" s="8">
        <v>3010</v>
      </c>
      <c r="AF262" s="15">
        <f>(AC262-(60*Ventas!AE262*1.485))</f>
        <v>12.839309999999999</v>
      </c>
      <c r="AG262" s="18">
        <f>(AF262/(Ventas!AE262*1.485)/60)</f>
        <v>0.99999999999999989</v>
      </c>
      <c r="AH262" s="1" t="s">
        <v>34</v>
      </c>
    </row>
    <row r="263" spans="1:34" x14ac:dyDescent="0.25">
      <c r="A263" s="1"/>
      <c r="B263" s="1" t="s">
        <v>599</v>
      </c>
      <c r="C263" s="14" t="s">
        <v>598</v>
      </c>
      <c r="D263" s="8">
        <v>52</v>
      </c>
      <c r="E263" s="12">
        <v>46238</v>
      </c>
      <c r="F263" s="7">
        <v>1</v>
      </c>
      <c r="G263" s="15">
        <f>(D263-(0)+0-(F263*Ventas!AE263*1))</f>
        <v>51.909500000000001</v>
      </c>
      <c r="H263" s="18">
        <f>(G263/(Ventas!AE263*1)/60)</f>
        <v>9.5597605893186017</v>
      </c>
      <c r="I263" s="8">
        <v>0</v>
      </c>
      <c r="J263" s="15">
        <f t="shared" si="16"/>
        <v>51.909500000000001</v>
      </c>
      <c r="K263" s="3"/>
      <c r="L263" s="15">
        <v>44</v>
      </c>
      <c r="M263" s="17">
        <v>7.67E-4</v>
      </c>
      <c r="N263" s="12">
        <v>46275</v>
      </c>
      <c r="O263" s="7">
        <v>37</v>
      </c>
      <c r="P263" s="15">
        <f>(IF(G263&gt;0,G263+I263,I263)-(O263*Ventas!AE263*0.9189))</f>
        <v>48.832563350000001</v>
      </c>
      <c r="Q263" s="18">
        <f>(P263/(Ventas!AE263*0.9189)/60)</f>
        <v>9.7868163993019923</v>
      </c>
      <c r="R263" s="8">
        <v>0</v>
      </c>
      <c r="S263" s="15">
        <f t="shared" si="17"/>
        <v>48.832563350000001</v>
      </c>
      <c r="T263" s="3"/>
      <c r="U263" s="15">
        <v>44</v>
      </c>
      <c r="V263" s="17">
        <v>7.67E-4</v>
      </c>
      <c r="W263" s="12">
        <v>46331</v>
      </c>
      <c r="X263" s="7">
        <v>56</v>
      </c>
      <c r="Y263" s="15">
        <f>(IF(P263&gt;0,P263+R263,R263)-(X263*Ventas!AE263*0.925))</f>
        <v>44.144663350000002</v>
      </c>
      <c r="Z263" s="18">
        <f>(Y263/(Ventas!AE263*0.925)/60)</f>
        <v>8.788942979443533</v>
      </c>
      <c r="AA263" s="15">
        <f>(120*(Ventas!AE263*1.485) - IF(Y263&gt;0,Y263,0))</f>
        <v>-28.017563350000003</v>
      </c>
      <c r="AB263" s="15">
        <f t="shared" si="18"/>
        <v>0</v>
      </c>
      <c r="AC263" s="15">
        <f t="shared" si="19"/>
        <v>44.144663350000002</v>
      </c>
      <c r="AD263" s="16">
        <v>7.38</v>
      </c>
      <c r="AE263" s="8">
        <v>3027</v>
      </c>
      <c r="AF263" s="15">
        <f>(AC263-(60*Ventas!AE263*1.485))</f>
        <v>36.081113350000003</v>
      </c>
      <c r="AG263" s="18">
        <f>(AF263/(Ventas!AE263*1.485)/60)</f>
        <v>4.4745941117745911</v>
      </c>
      <c r="AH263" s="1" t="s">
        <v>37</v>
      </c>
    </row>
    <row r="264" spans="1:34" x14ac:dyDescent="0.25">
      <c r="A264" s="1"/>
      <c r="B264" s="1" t="s">
        <v>601</v>
      </c>
      <c r="C264" s="14" t="s">
        <v>600</v>
      </c>
      <c r="D264" s="8">
        <v>58</v>
      </c>
      <c r="E264" s="12">
        <v>46238</v>
      </c>
      <c r="F264" s="7">
        <v>1</v>
      </c>
      <c r="G264" s="15">
        <f>(D264-(0)+0-(F264*Ventas!AE264*1))</f>
        <v>57.837699999999998</v>
      </c>
      <c r="H264" s="18">
        <f>(G264/(Ventas!AE264*1)/60)</f>
        <v>5.939381803245019</v>
      </c>
      <c r="I264" s="8">
        <v>0</v>
      </c>
      <c r="J264" s="15">
        <f t="shared" si="16"/>
        <v>57.837699999999998</v>
      </c>
      <c r="K264" s="3"/>
      <c r="L264" s="15">
        <v>44</v>
      </c>
      <c r="M264" s="17">
        <v>7.67E-4</v>
      </c>
      <c r="N264" s="12">
        <v>46275</v>
      </c>
      <c r="O264" s="7">
        <v>37</v>
      </c>
      <c r="P264" s="15">
        <f>(IF(G264&gt;0,G264+I264,I264)-(O264*Ventas!AE264*0.9189))</f>
        <v>52.319613609999998</v>
      </c>
      <c r="Q264" s="18">
        <f>(P264/(Ventas!AE264*0.9189)/60)</f>
        <v>5.8469113105289141</v>
      </c>
      <c r="R264" s="8">
        <v>0</v>
      </c>
      <c r="S264" s="15">
        <f t="shared" si="17"/>
        <v>52.319613609999998</v>
      </c>
      <c r="T264" s="3"/>
      <c r="U264" s="15">
        <v>44</v>
      </c>
      <c r="V264" s="17">
        <v>7.67E-4</v>
      </c>
      <c r="W264" s="12">
        <v>46331</v>
      </c>
      <c r="X264" s="7">
        <v>56</v>
      </c>
      <c r="Y264" s="15">
        <f>(IF(P264&gt;0,P264+R264,R264)-(X264*Ventas!AE264*0.925))</f>
        <v>43.912473609999999</v>
      </c>
      <c r="Z264" s="18">
        <f>(Y264/(Ventas!AE264*0.925)/60)</f>
        <v>4.8750199674720935</v>
      </c>
      <c r="AA264" s="15">
        <f>(120*(Ventas!AE264*1.485) - IF(Y264&gt;0,Y264,0))</f>
        <v>-14.990613609999997</v>
      </c>
      <c r="AB264" s="15">
        <f t="shared" si="18"/>
        <v>0</v>
      </c>
      <c r="AC264" s="15">
        <f t="shared" si="19"/>
        <v>43.912473609999999</v>
      </c>
      <c r="AD264" s="16">
        <v>5.42</v>
      </c>
      <c r="AE264" s="8">
        <v>3010</v>
      </c>
      <c r="AF264" s="15">
        <f>(AC264-(60*Ventas!AE264*1.485))</f>
        <v>29.451543610000002</v>
      </c>
      <c r="AG264" s="18">
        <f>(AF264/(Ventas!AE264*1.485)/60)</f>
        <v>2.0366285992671287</v>
      </c>
      <c r="AH264" s="1" t="s">
        <v>37</v>
      </c>
    </row>
    <row r="265" spans="1:34" x14ac:dyDescent="0.25">
      <c r="A265" s="1"/>
      <c r="B265" s="1" t="s">
        <v>603</v>
      </c>
      <c r="C265" s="14" t="s">
        <v>602</v>
      </c>
      <c r="D265" s="8">
        <v>58</v>
      </c>
      <c r="E265" s="12">
        <v>46238</v>
      </c>
      <c r="F265" s="7">
        <v>1</v>
      </c>
      <c r="G265" s="15">
        <f>(D265-(0)+0-(F265*Ventas!AE265*1))</f>
        <v>57.6935</v>
      </c>
      <c r="H265" s="18">
        <f>(G265/(Ventas!AE265*1)/60)</f>
        <v>3.1372213159325719</v>
      </c>
      <c r="I265" s="8">
        <v>0</v>
      </c>
      <c r="J265" s="15">
        <f t="shared" si="16"/>
        <v>57.6935</v>
      </c>
      <c r="K265" s="3"/>
      <c r="L265" s="15">
        <v>44</v>
      </c>
      <c r="M265" s="17">
        <v>7.67E-4</v>
      </c>
      <c r="N265" s="12">
        <v>46275</v>
      </c>
      <c r="O265" s="7">
        <v>37</v>
      </c>
      <c r="P265" s="15">
        <f>(IF(G265&gt;0,G265+I265,I265)-(O265*Ventas!AE265*0.9189))</f>
        <v>47.272714550000003</v>
      </c>
      <c r="Q265" s="18">
        <f>(P265/(Ventas!AE265*0.9189)/60)</f>
        <v>2.7974385851916121</v>
      </c>
      <c r="R265" s="8">
        <v>0</v>
      </c>
      <c r="S265" s="15">
        <f t="shared" si="17"/>
        <v>47.272714550000003</v>
      </c>
      <c r="T265" s="3"/>
      <c r="U265" s="15">
        <v>44</v>
      </c>
      <c r="V265" s="17">
        <v>7.67E-4</v>
      </c>
      <c r="W265" s="12">
        <v>46331</v>
      </c>
      <c r="X265" s="7">
        <v>56</v>
      </c>
      <c r="Y265" s="15">
        <f>(IF(P265&gt;0,P265+R265,R265)-(X265*Ventas!AE265*0.925))</f>
        <v>31.396014550000004</v>
      </c>
      <c r="Z265" s="18">
        <f>(Y265/(Ventas!AE265*0.925)/60)</f>
        <v>1.8456572784856637</v>
      </c>
      <c r="AA265" s="15">
        <f>(120*(Ventas!AE265*1.485) - IF(Y265&gt;0,Y265,0))</f>
        <v>23.222285450000001</v>
      </c>
      <c r="AB265" s="15">
        <f t="shared" si="18"/>
        <v>23.222285450000001</v>
      </c>
      <c r="AC265" s="15">
        <f t="shared" si="19"/>
        <v>54.618300000000005</v>
      </c>
      <c r="AD265" s="16">
        <v>5.42</v>
      </c>
      <c r="AE265" s="8">
        <v>3010</v>
      </c>
      <c r="AF265" s="15">
        <f>(AC265-(60*Ventas!AE265*1.485))</f>
        <v>27.309150000000002</v>
      </c>
      <c r="AG265" s="18">
        <f>(AF265/(Ventas!AE265*1.485)/60)</f>
        <v>1</v>
      </c>
      <c r="AH265" s="1" t="s">
        <v>37</v>
      </c>
    </row>
    <row r="266" spans="1:34" x14ac:dyDescent="0.25">
      <c r="A266" s="1"/>
      <c r="B266" s="1" t="s">
        <v>605</v>
      </c>
      <c r="C266" s="14" t="s">
        <v>604</v>
      </c>
      <c r="D266" s="8">
        <v>113</v>
      </c>
      <c r="E266" s="12">
        <v>46238</v>
      </c>
      <c r="F266" s="7">
        <v>1</v>
      </c>
      <c r="G266" s="15">
        <f>(D266-(0)+0-(F266*Ventas!AE266*1))</f>
        <v>112.5158</v>
      </c>
      <c r="H266" s="18">
        <f>(G266/(Ventas!AE266*1)/60)</f>
        <v>3.872910642984992</v>
      </c>
      <c r="I266" s="8">
        <v>0</v>
      </c>
      <c r="J266" s="15">
        <f t="shared" si="16"/>
        <v>112.5158</v>
      </c>
      <c r="K266" s="3"/>
      <c r="L266" s="15">
        <v>44</v>
      </c>
      <c r="M266" s="17">
        <v>7.7300000000000003E-4</v>
      </c>
      <c r="N266" s="12">
        <v>46275</v>
      </c>
      <c r="O266" s="7">
        <v>37</v>
      </c>
      <c r="P266" s="15">
        <f>(IF(G266&gt;0,G266+I266,I266)-(O266*Ventas!AE266*0.9189))</f>
        <v>96.053338940000003</v>
      </c>
      <c r="Q266" s="18">
        <f>(P266/(Ventas!AE266*0.9189)/60)</f>
        <v>3.5980581597398982</v>
      </c>
      <c r="R266" s="8">
        <v>0</v>
      </c>
      <c r="S266" s="15">
        <f t="shared" si="17"/>
        <v>96.053338940000003</v>
      </c>
      <c r="T266" s="3"/>
      <c r="U266" s="15">
        <v>44</v>
      </c>
      <c r="V266" s="17">
        <v>7.7300000000000003E-4</v>
      </c>
      <c r="W266" s="12">
        <v>46331</v>
      </c>
      <c r="X266" s="7">
        <v>56</v>
      </c>
      <c r="Y266" s="15">
        <f>(IF(P266&gt;0,P266+R266,R266)-(X266*Ventas!AE266*0.925))</f>
        <v>70.971778940000007</v>
      </c>
      <c r="Z266" s="18">
        <f>(Y266/(Ventas!AE266*0.925)/60)</f>
        <v>2.6409970915153074</v>
      </c>
      <c r="AA266" s="15">
        <f>(120*(Ventas!AE266*1.485) - IF(Y266&gt;0,Y266,0))</f>
        <v>15.312661059999996</v>
      </c>
      <c r="AB266" s="15">
        <f t="shared" si="18"/>
        <v>15.312661059999996</v>
      </c>
      <c r="AC266" s="15">
        <f t="shared" si="19"/>
        <v>86.284440000000004</v>
      </c>
      <c r="AD266" s="16">
        <v>3.5423</v>
      </c>
      <c r="AE266" s="8">
        <v>3010</v>
      </c>
      <c r="AF266" s="15">
        <f>(AC266-(60*Ventas!AE266*1.485))</f>
        <v>43.142220000000002</v>
      </c>
      <c r="AG266" s="18">
        <f>(AF266/(Ventas!AE266*1.485)/60)</f>
        <v>1</v>
      </c>
      <c r="AH266" s="1" t="s">
        <v>37</v>
      </c>
    </row>
    <row r="267" spans="1:34" x14ac:dyDescent="0.25">
      <c r="A267" s="1"/>
      <c r="B267" s="1" t="s">
        <v>607</v>
      </c>
      <c r="C267" s="14" t="s">
        <v>606</v>
      </c>
      <c r="D267" s="8">
        <v>10</v>
      </c>
      <c r="E267" s="12">
        <v>46238</v>
      </c>
      <c r="F267" s="7">
        <v>1</v>
      </c>
      <c r="G267" s="15">
        <f>(D267-(0)+0-(F267*Ventas!AE267*1))</f>
        <v>9.8758999999999997</v>
      </c>
      <c r="H267" s="18">
        <f>(G267/(Ventas!AE267*1)/60)</f>
        <v>1.3263362879398335</v>
      </c>
      <c r="I267" s="8">
        <v>44</v>
      </c>
      <c r="J267" s="15">
        <f t="shared" si="16"/>
        <v>53.875900000000001</v>
      </c>
      <c r="K267" s="15">
        <v>5.26</v>
      </c>
      <c r="L267" s="15">
        <v>44</v>
      </c>
      <c r="M267" s="17">
        <v>7.7300000000000003E-4</v>
      </c>
      <c r="N267" s="12">
        <v>46275</v>
      </c>
      <c r="O267" s="7">
        <v>37</v>
      </c>
      <c r="P267" s="15">
        <f>(IF(G267&gt;0,G267+I267,I267)-(O267*Ventas!AE267*0.9189))</f>
        <v>49.656586869999998</v>
      </c>
      <c r="Q267" s="18">
        <f>(P267/(Ventas!AE267*0.9189)/60)</f>
        <v>7.2574755557823858</v>
      </c>
      <c r="R267" s="8">
        <v>0</v>
      </c>
      <c r="S267" s="15">
        <f t="shared" si="17"/>
        <v>49.656586869999998</v>
      </c>
      <c r="T267" s="3"/>
      <c r="U267" s="15">
        <v>44</v>
      </c>
      <c r="V267" s="17">
        <v>7.7300000000000003E-4</v>
      </c>
      <c r="W267" s="12">
        <v>46331</v>
      </c>
      <c r="X267" s="7">
        <v>56</v>
      </c>
      <c r="Y267" s="15">
        <f>(IF(P267&gt;0,P267+R267,R267)-(X267*Ventas!AE267*0.925))</f>
        <v>43.228206869999994</v>
      </c>
      <c r="Z267" s="18">
        <f>(Y267/(Ventas!AE267*0.925)/60)</f>
        <v>6.2762821133784863</v>
      </c>
      <c r="AA267" s="15">
        <f>(120*(Ventas!AE267*1.485) - IF(Y267&gt;0,Y267,0))</f>
        <v>-21.113586869999992</v>
      </c>
      <c r="AB267" s="15">
        <f t="shared" si="18"/>
        <v>0</v>
      </c>
      <c r="AC267" s="15">
        <f t="shared" si="19"/>
        <v>43.228206869999994</v>
      </c>
      <c r="AD267" s="16">
        <v>5.26</v>
      </c>
      <c r="AE267" s="8">
        <v>3025</v>
      </c>
      <c r="AF267" s="15">
        <f>(AC267-(60*Ventas!AE267*1.485))</f>
        <v>32.170896869999993</v>
      </c>
      <c r="AG267" s="18">
        <f>(AF267/(Ventas!AE267*1.485)/60)</f>
        <v>2.9094686564815486</v>
      </c>
      <c r="AH267" s="1" t="s">
        <v>37</v>
      </c>
    </row>
    <row r="268" spans="1:34" x14ac:dyDescent="0.25">
      <c r="A268" s="1"/>
      <c r="B268" s="1" t="s">
        <v>609</v>
      </c>
      <c r="C268" s="14" t="s">
        <v>608</v>
      </c>
      <c r="D268" s="8">
        <v>13</v>
      </c>
      <c r="E268" s="12">
        <v>46238</v>
      </c>
      <c r="F268" s="7">
        <v>1</v>
      </c>
      <c r="G268" s="15">
        <f>(D268-(0)+0-(F268*Ventas!AE268*1))</f>
        <v>12.889099999999999</v>
      </c>
      <c r="H268" s="18">
        <f>(G268/(Ventas!AE268*1)/60)</f>
        <v>1.9370453862338441</v>
      </c>
      <c r="I268" s="8">
        <v>0</v>
      </c>
      <c r="J268" s="15">
        <f t="shared" si="16"/>
        <v>12.889099999999999</v>
      </c>
      <c r="K268" s="3"/>
      <c r="L268" s="15">
        <v>44</v>
      </c>
      <c r="M268" s="17">
        <v>7.7300000000000003E-4</v>
      </c>
      <c r="N268" s="12">
        <v>46275</v>
      </c>
      <c r="O268" s="7">
        <v>37</v>
      </c>
      <c r="P268" s="15">
        <f>(IF(G268&gt;0,G268+I268,I268)-(O268*Ventas!AE268*0.9189))</f>
        <v>9.118577629999999</v>
      </c>
      <c r="Q268" s="18">
        <f>(P268/(Ventas!AE268*0.9189)/60)</f>
        <v>1.4913378890345459</v>
      </c>
      <c r="R268" s="8">
        <v>0</v>
      </c>
      <c r="S268" s="15">
        <f t="shared" si="17"/>
        <v>9.118577629999999</v>
      </c>
      <c r="T268" s="3"/>
      <c r="U268" s="15">
        <v>44</v>
      </c>
      <c r="V268" s="17">
        <v>7.7300000000000003E-4</v>
      </c>
      <c r="W268" s="12">
        <v>46331</v>
      </c>
      <c r="X268" s="7">
        <v>56</v>
      </c>
      <c r="Y268" s="15">
        <f>(IF(P268&gt;0,P268+R268,R268)-(X268*Ventas!AE268*0.925))</f>
        <v>3.3739576299999987</v>
      </c>
      <c r="Z268" s="18">
        <f>(Y268/(Ventas!AE268*0.925)/60)</f>
        <v>0.54816978691947105</v>
      </c>
      <c r="AA268" s="15">
        <f>(120*(Ventas!AE268*1.485) - IF(Y268&gt;0,Y268,0))</f>
        <v>16.388422370000001</v>
      </c>
      <c r="AB268" s="15">
        <f t="shared" si="18"/>
        <v>16.388422370000001</v>
      </c>
      <c r="AC268" s="15">
        <f t="shared" si="19"/>
        <v>19.76238</v>
      </c>
      <c r="AD268" s="16">
        <v>5.7</v>
      </c>
      <c r="AE268" s="8">
        <v>3010</v>
      </c>
      <c r="AF268" s="15">
        <f>(AC268-(60*Ventas!AE268*1.485))</f>
        <v>9.8811900000000001</v>
      </c>
      <c r="AG268" s="18">
        <f>(AF268/(Ventas!AE268*1.485)/60)</f>
        <v>0.99999999999999989</v>
      </c>
      <c r="AH268" s="1" t="s">
        <v>37</v>
      </c>
    </row>
    <row r="269" spans="1:34" x14ac:dyDescent="0.25">
      <c r="A269" s="1"/>
      <c r="B269" s="1" t="s">
        <v>611</v>
      </c>
      <c r="C269" s="14" t="s">
        <v>610</v>
      </c>
      <c r="D269" s="8">
        <v>37</v>
      </c>
      <c r="E269" s="12">
        <v>46238</v>
      </c>
      <c r="F269" s="7">
        <v>1</v>
      </c>
      <c r="G269" s="15">
        <f>(D269-(0)+0-(F269*Ventas!AE269*1))</f>
        <v>36.930799999999998</v>
      </c>
      <c r="H269" s="18">
        <f>(G269/(Ventas!AE269*1)/60)</f>
        <v>8.8947013487475903</v>
      </c>
      <c r="I269" s="8">
        <v>0</v>
      </c>
      <c r="J269" s="15">
        <f t="shared" si="16"/>
        <v>36.930799999999998</v>
      </c>
      <c r="K269" s="3"/>
      <c r="L269" s="15">
        <v>44</v>
      </c>
      <c r="M269" s="17">
        <v>7.7300000000000003E-4</v>
      </c>
      <c r="N269" s="12">
        <v>46275</v>
      </c>
      <c r="O269" s="7">
        <v>37</v>
      </c>
      <c r="P269" s="15">
        <f>(IF(G269&gt;0,G269+I269,I269)-(O269*Ventas!AE269*0.9189))</f>
        <v>34.578048439999996</v>
      </c>
      <c r="Q269" s="18">
        <f>(P269/(Ventas!AE269*0.9189)/60)</f>
        <v>9.0630605601780285</v>
      </c>
      <c r="R269" s="8">
        <v>0</v>
      </c>
      <c r="S269" s="15">
        <f t="shared" si="17"/>
        <v>34.578048439999996</v>
      </c>
      <c r="T269" s="3"/>
      <c r="U269" s="15">
        <v>44</v>
      </c>
      <c r="V269" s="17">
        <v>7.7300000000000003E-4</v>
      </c>
      <c r="W269" s="12">
        <v>46331</v>
      </c>
      <c r="X269" s="7">
        <v>56</v>
      </c>
      <c r="Y269" s="15">
        <f>(IF(P269&gt;0,P269+R269,R269)-(X269*Ventas!AE269*0.925))</f>
        <v>30.993488439999997</v>
      </c>
      <c r="Z269" s="18">
        <f>(Y269/(Ventas!AE269*0.925)/60)</f>
        <v>8.0699600166640622</v>
      </c>
      <c r="AA269" s="15">
        <f>(120*(Ventas!AE269*1.485) - IF(Y269&gt;0,Y269,0))</f>
        <v>-18.662048439999996</v>
      </c>
      <c r="AB269" s="15">
        <f t="shared" si="18"/>
        <v>0</v>
      </c>
      <c r="AC269" s="15">
        <f t="shared" si="19"/>
        <v>30.993488439999997</v>
      </c>
      <c r="AD269" s="16">
        <v>5.7</v>
      </c>
      <c r="AE269" s="8">
        <v>3010</v>
      </c>
      <c r="AF269" s="15">
        <f>(AC269-(60*Ventas!AE269*1.485))</f>
        <v>24.827768439999996</v>
      </c>
      <c r="AG269" s="18">
        <f>(AF269/(Ventas!AE269*1.485)/60)</f>
        <v>4.0267427713227324</v>
      </c>
      <c r="AH269" s="1" t="s">
        <v>37</v>
      </c>
    </row>
    <row r="270" spans="1:34" x14ac:dyDescent="0.25">
      <c r="A270" s="1"/>
      <c r="B270" s="1" t="s">
        <v>613</v>
      </c>
      <c r="C270" s="14" t="s">
        <v>612</v>
      </c>
      <c r="D270" s="3"/>
      <c r="E270" s="12">
        <v>46238</v>
      </c>
      <c r="F270" s="7">
        <v>1</v>
      </c>
      <c r="G270" s="15">
        <f>(D270-(0)+0-(F270*Ventas!AE270*1))</f>
        <v>0</v>
      </c>
      <c r="H270" s="3"/>
      <c r="I270" s="8">
        <v>0</v>
      </c>
      <c r="J270" s="15">
        <f t="shared" si="16"/>
        <v>0</v>
      </c>
      <c r="K270" s="3"/>
      <c r="L270" s="15">
        <v>44</v>
      </c>
      <c r="M270" s="17">
        <v>8.4699999999999999E-4</v>
      </c>
      <c r="N270" s="12">
        <v>46275</v>
      </c>
      <c r="O270" s="7">
        <v>37</v>
      </c>
      <c r="P270" s="15">
        <f>(IF(G270&gt;0,G270+I270,I270)-(O270*Ventas!AE270*0.9189))</f>
        <v>0</v>
      </c>
      <c r="Q270" s="3"/>
      <c r="R270" s="8">
        <v>0</v>
      </c>
      <c r="S270" s="15">
        <f t="shared" si="17"/>
        <v>0</v>
      </c>
      <c r="T270" s="3"/>
      <c r="U270" s="15">
        <v>44</v>
      </c>
      <c r="V270" s="17">
        <v>8.4699999999999999E-4</v>
      </c>
      <c r="W270" s="12">
        <v>46331</v>
      </c>
      <c r="X270" s="7">
        <v>56</v>
      </c>
      <c r="Y270" s="15">
        <f>(IF(P270&gt;0,P270+R270,R270)-(X270*Ventas!AE270*0.925))</f>
        <v>0</v>
      </c>
      <c r="Z270" s="3"/>
      <c r="AA270" s="15">
        <f>(120*(Ventas!AE270*1.485) - IF(Y270&gt;0,Y270,0))</f>
        <v>0</v>
      </c>
      <c r="AB270" s="15">
        <f t="shared" si="18"/>
        <v>0</v>
      </c>
      <c r="AC270" s="15">
        <f t="shared" si="19"/>
        <v>0</v>
      </c>
      <c r="AD270" s="16">
        <v>7</v>
      </c>
      <c r="AE270" s="8">
        <v>3027</v>
      </c>
      <c r="AF270" s="3"/>
      <c r="AG270" s="3"/>
      <c r="AH270" s="1" t="s">
        <v>37</v>
      </c>
    </row>
    <row r="271" spans="1:34" x14ac:dyDescent="0.25">
      <c r="A271" s="1"/>
      <c r="B271" s="1" t="s">
        <v>659</v>
      </c>
      <c r="C271" s="14" t="s">
        <v>658</v>
      </c>
      <c r="D271" s="3"/>
      <c r="E271" s="12">
        <v>46238</v>
      </c>
      <c r="F271" s="7">
        <v>1</v>
      </c>
      <c r="G271" s="15">
        <f>(D271-(0)+0-(F271*Ventas!AE293*1))</f>
        <v>0</v>
      </c>
      <c r="H271" s="3"/>
      <c r="I271" s="8">
        <v>0</v>
      </c>
      <c r="J271" s="15">
        <f t="shared" si="16"/>
        <v>0</v>
      </c>
      <c r="K271" s="3"/>
      <c r="L271" s="15">
        <v>12</v>
      </c>
      <c r="M271" s="17">
        <v>3.5829999999999998E-3</v>
      </c>
      <c r="N271" s="12">
        <v>46275</v>
      </c>
      <c r="O271" s="7">
        <v>37</v>
      </c>
      <c r="P271" s="15">
        <f>(IF(G271&gt;0,G271+I271,I271)-(O271*Ventas!AE293*0.9189))</f>
        <v>0</v>
      </c>
      <c r="Q271" s="3"/>
      <c r="R271" s="8">
        <v>0</v>
      </c>
      <c r="S271" s="15">
        <f t="shared" si="17"/>
        <v>0</v>
      </c>
      <c r="T271" s="3"/>
      <c r="U271" s="15">
        <v>12</v>
      </c>
      <c r="V271" s="17">
        <v>3.5829999999999998E-3</v>
      </c>
      <c r="W271" s="12">
        <v>46331</v>
      </c>
      <c r="X271" s="7">
        <v>56</v>
      </c>
      <c r="Y271" s="15">
        <f>(IF(P271&gt;0,P271+R271,R271)-(X271*Ventas!AE293*0.925))</f>
        <v>0</v>
      </c>
      <c r="Z271" s="3"/>
      <c r="AA271" s="15">
        <f>(120*(Ventas!AE293*1.485) - IF(Y271&gt;0,Y271,0))</f>
        <v>0</v>
      </c>
      <c r="AB271" s="15">
        <f t="shared" si="18"/>
        <v>0</v>
      </c>
      <c r="AC271" s="15">
        <f t="shared" si="19"/>
        <v>0</v>
      </c>
      <c r="AD271" s="16">
        <v>12.71</v>
      </c>
      <c r="AE271" s="8">
        <v>3027</v>
      </c>
      <c r="AF271" s="3"/>
      <c r="AG271" s="3"/>
      <c r="AH271" s="1" t="s">
        <v>37</v>
      </c>
    </row>
    <row r="272" spans="1:34" x14ac:dyDescent="0.25">
      <c r="A272" s="1"/>
      <c r="B272" s="1" t="s">
        <v>661</v>
      </c>
      <c r="C272" s="14" t="s">
        <v>660</v>
      </c>
      <c r="D272" s="3"/>
      <c r="E272" s="12">
        <v>46238</v>
      </c>
      <c r="F272" s="7">
        <v>1</v>
      </c>
      <c r="G272" s="15">
        <f>(D272-(0)+0-(F272*Ventas!AE294*1))</f>
        <v>0</v>
      </c>
      <c r="H272" s="3"/>
      <c r="I272" s="8">
        <v>0</v>
      </c>
      <c r="J272" s="15">
        <f t="shared" si="16"/>
        <v>0</v>
      </c>
      <c r="K272" s="3"/>
      <c r="L272" s="15">
        <v>12</v>
      </c>
      <c r="M272" s="17">
        <v>3.5829999999999998E-3</v>
      </c>
      <c r="N272" s="12">
        <v>46275</v>
      </c>
      <c r="O272" s="7">
        <v>37</v>
      </c>
      <c r="P272" s="15">
        <f>(IF(G272&gt;0,G272+I272,I272)-(O272*Ventas!AE294*0.9189))</f>
        <v>0</v>
      </c>
      <c r="Q272" s="3"/>
      <c r="R272" s="8">
        <v>0</v>
      </c>
      <c r="S272" s="15">
        <f t="shared" si="17"/>
        <v>0</v>
      </c>
      <c r="T272" s="3"/>
      <c r="U272" s="15">
        <v>12</v>
      </c>
      <c r="V272" s="17">
        <v>3.5829999999999998E-3</v>
      </c>
      <c r="W272" s="12">
        <v>46331</v>
      </c>
      <c r="X272" s="7">
        <v>56</v>
      </c>
      <c r="Y272" s="15">
        <f>(IF(P272&gt;0,P272+R272,R272)-(X272*Ventas!AE294*0.925))</f>
        <v>0</v>
      </c>
      <c r="Z272" s="3"/>
      <c r="AA272" s="15">
        <f>(120*(Ventas!AE294*1.485) - IF(Y272&gt;0,Y272,0))</f>
        <v>0</v>
      </c>
      <c r="AB272" s="15">
        <f t="shared" si="18"/>
        <v>0</v>
      </c>
      <c r="AC272" s="15">
        <f t="shared" si="19"/>
        <v>0</v>
      </c>
      <c r="AD272" s="16">
        <v>11.14</v>
      </c>
      <c r="AE272" s="8">
        <v>3027</v>
      </c>
      <c r="AF272" s="3"/>
      <c r="AG272" s="3"/>
      <c r="AH272" s="1" t="s">
        <v>37</v>
      </c>
    </row>
    <row r="273" spans="1:34" x14ac:dyDescent="0.25">
      <c r="A273" s="1"/>
      <c r="B273" s="1" t="s">
        <v>615</v>
      </c>
      <c r="C273" s="14" t="s">
        <v>614</v>
      </c>
      <c r="D273" s="3"/>
      <c r="E273" s="12">
        <v>46238</v>
      </c>
      <c r="F273" s="7">
        <v>1</v>
      </c>
      <c r="G273" s="15">
        <f>(D273-(0)+0-(F273*Ventas!AE271*1))</f>
        <v>0</v>
      </c>
      <c r="H273" s="3"/>
      <c r="I273" s="8">
        <v>0</v>
      </c>
      <c r="J273" s="15">
        <f t="shared" si="16"/>
        <v>0</v>
      </c>
      <c r="K273" s="3"/>
      <c r="L273" s="15">
        <v>44</v>
      </c>
      <c r="M273" s="17">
        <v>7.7300000000000003E-4</v>
      </c>
      <c r="N273" s="12">
        <v>46275</v>
      </c>
      <c r="O273" s="7">
        <v>37</v>
      </c>
      <c r="P273" s="15">
        <f>(IF(G273&gt;0,G273+I273,I273)-(O273*Ventas!AE271*0.9189))</f>
        <v>0</v>
      </c>
      <c r="Q273" s="3"/>
      <c r="R273" s="8">
        <v>0</v>
      </c>
      <c r="S273" s="15">
        <f t="shared" si="17"/>
        <v>0</v>
      </c>
      <c r="T273" s="3"/>
      <c r="U273" s="15">
        <v>44</v>
      </c>
      <c r="V273" s="17">
        <v>7.7300000000000003E-4</v>
      </c>
      <c r="W273" s="12">
        <v>46331</v>
      </c>
      <c r="X273" s="7">
        <v>56</v>
      </c>
      <c r="Y273" s="15">
        <f>(IF(P273&gt;0,P273+R273,R273)-(X273*Ventas!AE271*0.925))</f>
        <v>0</v>
      </c>
      <c r="Z273" s="3"/>
      <c r="AA273" s="15">
        <f>(120*(Ventas!AE271*1.485) - IF(Y273&gt;0,Y273,0))</f>
        <v>0</v>
      </c>
      <c r="AB273" s="15">
        <f t="shared" si="18"/>
        <v>0</v>
      </c>
      <c r="AC273" s="15">
        <f t="shared" si="19"/>
        <v>0</v>
      </c>
      <c r="AD273" s="3"/>
      <c r="AE273" s="8">
        <v>3010</v>
      </c>
      <c r="AF273" s="3"/>
      <c r="AG273" s="3"/>
      <c r="AH273" s="1" t="s">
        <v>37</v>
      </c>
    </row>
    <row r="274" spans="1:34" x14ac:dyDescent="0.25">
      <c r="A274" s="1"/>
      <c r="B274" s="1" t="s">
        <v>617</v>
      </c>
      <c r="C274" s="14" t="s">
        <v>616</v>
      </c>
      <c r="D274" s="3"/>
      <c r="E274" s="12">
        <v>46238</v>
      </c>
      <c r="F274" s="7">
        <v>1</v>
      </c>
      <c r="G274" s="15">
        <f>(D274-(0)+0-(F274*Ventas!AE272*1))</f>
        <v>0</v>
      </c>
      <c r="H274" s="3"/>
      <c r="I274" s="8">
        <v>0</v>
      </c>
      <c r="J274" s="15">
        <f t="shared" si="16"/>
        <v>0</v>
      </c>
      <c r="K274" s="3"/>
      <c r="L274" s="15">
        <v>44</v>
      </c>
      <c r="M274" s="17">
        <v>7.7300000000000003E-4</v>
      </c>
      <c r="N274" s="12">
        <v>46275</v>
      </c>
      <c r="O274" s="7">
        <v>37</v>
      </c>
      <c r="P274" s="15">
        <f>(IF(G274&gt;0,G274+I274,I274)-(O274*Ventas!AE272*0.9189))</f>
        <v>0</v>
      </c>
      <c r="Q274" s="3"/>
      <c r="R274" s="8">
        <v>0</v>
      </c>
      <c r="S274" s="15">
        <f t="shared" si="17"/>
        <v>0</v>
      </c>
      <c r="T274" s="3"/>
      <c r="U274" s="15">
        <v>44</v>
      </c>
      <c r="V274" s="17">
        <v>7.7300000000000003E-4</v>
      </c>
      <c r="W274" s="12">
        <v>46331</v>
      </c>
      <c r="X274" s="7">
        <v>56</v>
      </c>
      <c r="Y274" s="15">
        <f>(IF(P274&gt;0,P274+R274,R274)-(X274*Ventas!AE272*0.925))</f>
        <v>0</v>
      </c>
      <c r="Z274" s="3"/>
      <c r="AA274" s="15">
        <f>(120*(Ventas!AE272*1.485) - IF(Y274&gt;0,Y274,0))</f>
        <v>0</v>
      </c>
      <c r="AB274" s="15">
        <f t="shared" si="18"/>
        <v>0</v>
      </c>
      <c r="AC274" s="15">
        <f t="shared" si="19"/>
        <v>0</v>
      </c>
      <c r="AD274" s="3"/>
      <c r="AE274" s="8">
        <v>3010</v>
      </c>
      <c r="AF274" s="3"/>
      <c r="AG274" s="3"/>
      <c r="AH274" s="1" t="s">
        <v>37</v>
      </c>
    </row>
    <row r="275" spans="1:34" x14ac:dyDescent="0.25">
      <c r="A275" s="1"/>
      <c r="B275" s="1" t="s">
        <v>619</v>
      </c>
      <c r="C275" s="14" t="s">
        <v>618</v>
      </c>
      <c r="D275" s="3"/>
      <c r="E275" s="12">
        <v>46238</v>
      </c>
      <c r="F275" s="7">
        <v>1</v>
      </c>
      <c r="G275" s="15">
        <f>(D275-(0)+0-(F275*Ventas!AE273*1))</f>
        <v>0</v>
      </c>
      <c r="H275" s="3"/>
      <c r="I275" s="8">
        <v>0</v>
      </c>
      <c r="J275" s="15">
        <f t="shared" si="16"/>
        <v>0</v>
      </c>
      <c r="K275" s="3"/>
      <c r="L275" s="15">
        <v>44</v>
      </c>
      <c r="M275" s="17">
        <v>7.7300000000000003E-4</v>
      </c>
      <c r="N275" s="12">
        <v>46275</v>
      </c>
      <c r="O275" s="7">
        <v>37</v>
      </c>
      <c r="P275" s="15">
        <f>(IF(G275&gt;0,G275+I275,I275)-(O275*Ventas!AE273*0.9189))</f>
        <v>0</v>
      </c>
      <c r="Q275" s="3"/>
      <c r="R275" s="8">
        <v>0</v>
      </c>
      <c r="S275" s="15">
        <f t="shared" si="17"/>
        <v>0</v>
      </c>
      <c r="T275" s="3"/>
      <c r="U275" s="15">
        <v>44</v>
      </c>
      <c r="V275" s="17">
        <v>7.7300000000000003E-4</v>
      </c>
      <c r="W275" s="12">
        <v>46331</v>
      </c>
      <c r="X275" s="7">
        <v>56</v>
      </c>
      <c r="Y275" s="15">
        <f>(IF(P275&gt;0,P275+R275,R275)-(X275*Ventas!AE273*0.925))</f>
        <v>0</v>
      </c>
      <c r="Z275" s="3"/>
      <c r="AA275" s="15">
        <f>(120*(Ventas!AE273*1.485) - IF(Y275&gt;0,Y275,0))</f>
        <v>0</v>
      </c>
      <c r="AB275" s="15">
        <f t="shared" si="18"/>
        <v>0</v>
      </c>
      <c r="AC275" s="15">
        <f t="shared" si="19"/>
        <v>0</v>
      </c>
      <c r="AD275" s="3"/>
      <c r="AE275" s="8">
        <v>3010</v>
      </c>
      <c r="AF275" s="3"/>
      <c r="AG275" s="3"/>
      <c r="AH275" s="1" t="s">
        <v>37</v>
      </c>
    </row>
    <row r="276" spans="1:34" x14ac:dyDescent="0.25">
      <c r="A276" s="1"/>
      <c r="B276" s="1" t="s">
        <v>621</v>
      </c>
      <c r="C276" s="14" t="s">
        <v>620</v>
      </c>
      <c r="D276" s="3"/>
      <c r="E276" s="12">
        <v>46238</v>
      </c>
      <c r="F276" s="7">
        <v>1</v>
      </c>
      <c r="G276" s="15">
        <f>(D276-(0)+0-(F276*Ventas!AE274*1))</f>
        <v>0</v>
      </c>
      <c r="H276" s="3"/>
      <c r="I276" s="8">
        <v>0</v>
      </c>
      <c r="J276" s="15">
        <f t="shared" si="16"/>
        <v>0</v>
      </c>
      <c r="K276" s="3"/>
      <c r="L276" s="15">
        <v>44</v>
      </c>
      <c r="M276" s="17">
        <v>7.7300000000000003E-4</v>
      </c>
      <c r="N276" s="12">
        <v>46275</v>
      </c>
      <c r="O276" s="7">
        <v>37</v>
      </c>
      <c r="P276" s="15">
        <f>(IF(G276&gt;0,G276+I276,I276)-(O276*Ventas!AE274*0.9189))</f>
        <v>0</v>
      </c>
      <c r="Q276" s="3"/>
      <c r="R276" s="8">
        <v>0</v>
      </c>
      <c r="S276" s="15">
        <f t="shared" si="17"/>
        <v>0</v>
      </c>
      <c r="T276" s="3"/>
      <c r="U276" s="15">
        <v>44</v>
      </c>
      <c r="V276" s="17">
        <v>7.7300000000000003E-4</v>
      </c>
      <c r="W276" s="12">
        <v>46331</v>
      </c>
      <c r="X276" s="7">
        <v>56</v>
      </c>
      <c r="Y276" s="15">
        <f>(IF(P276&gt;0,P276+R276,R276)-(X276*Ventas!AE274*0.925))</f>
        <v>0</v>
      </c>
      <c r="Z276" s="3"/>
      <c r="AA276" s="15">
        <f>(120*(Ventas!AE274*1.485) - IF(Y276&gt;0,Y276,0))</f>
        <v>0</v>
      </c>
      <c r="AB276" s="15">
        <f t="shared" si="18"/>
        <v>0</v>
      </c>
      <c r="AC276" s="15">
        <f t="shared" si="19"/>
        <v>0</v>
      </c>
      <c r="AD276" s="3"/>
      <c r="AE276" s="8">
        <v>3010</v>
      </c>
      <c r="AF276" s="3"/>
      <c r="AG276" s="3"/>
      <c r="AH276" s="1" t="s">
        <v>37</v>
      </c>
    </row>
    <row r="277" spans="1:34" x14ac:dyDescent="0.25">
      <c r="A277" s="1"/>
      <c r="B277" s="1" t="s">
        <v>623</v>
      </c>
      <c r="C277" s="14" t="s">
        <v>622</v>
      </c>
      <c r="D277" s="8">
        <v>49</v>
      </c>
      <c r="E277" s="12">
        <v>46238</v>
      </c>
      <c r="F277" s="7">
        <v>1</v>
      </c>
      <c r="G277" s="15">
        <f>(D277-(0)+0-(F277*Ventas!AE275*1))</f>
        <v>48.709200000000003</v>
      </c>
      <c r="H277" s="18">
        <f>(G277/(Ventas!AE275*1)/60)</f>
        <v>2.7916781292984871</v>
      </c>
      <c r="I277" s="8">
        <v>0</v>
      </c>
      <c r="J277" s="15">
        <f t="shared" si="16"/>
        <v>48.709200000000003</v>
      </c>
      <c r="K277" s="3"/>
      <c r="L277" s="3"/>
      <c r="M277" s="3"/>
      <c r="N277" s="12">
        <v>46275</v>
      </c>
      <c r="O277" s="7">
        <v>37</v>
      </c>
      <c r="P277" s="15">
        <f>(IF(G277&gt;0,G277+I277,I277)-(O277*Ventas!AE275*0.9189))</f>
        <v>38.822203560000005</v>
      </c>
      <c r="Q277" s="18">
        <f>(P277/(Ventas!AE275*0.9189)/60)</f>
        <v>2.4213985518538332</v>
      </c>
      <c r="R277" s="8">
        <v>0</v>
      </c>
      <c r="S277" s="15">
        <f t="shared" si="17"/>
        <v>38.822203560000005</v>
      </c>
      <c r="T277" s="3"/>
      <c r="U277" s="3"/>
      <c r="V277" s="3"/>
      <c r="W277" s="12">
        <v>46331</v>
      </c>
      <c r="X277" s="7">
        <v>56</v>
      </c>
      <c r="Y277" s="15">
        <f>(IF(P277&gt;0,P277+R277,R277)-(X277*Ventas!AE275*0.925))</f>
        <v>23.758763560000006</v>
      </c>
      <c r="Z277" s="18">
        <f>(Y277/(Ventas!AE275*0.925)/60)</f>
        <v>1.4720970767190853</v>
      </c>
      <c r="AA277" s="15">
        <f>(120*(Ventas!AE275*1.485) - IF(Y277&gt;0,Y277,0))</f>
        <v>28.061796440000002</v>
      </c>
      <c r="AB277" s="15">
        <f t="shared" si="18"/>
        <v>28.061796440000002</v>
      </c>
      <c r="AC277" s="15">
        <f t="shared" si="19"/>
        <v>51.820560000000008</v>
      </c>
      <c r="AD277" s="16">
        <v>3.52</v>
      </c>
      <c r="AE277" s="8">
        <v>3010</v>
      </c>
      <c r="AF277" s="15">
        <f>(AC277-(60*Ventas!AE275*1.485))</f>
        <v>25.910280000000004</v>
      </c>
      <c r="AG277" s="18">
        <f>(AF277/(Ventas!AE275*1.485)/60)</f>
        <v>1</v>
      </c>
      <c r="AH277" s="1" t="s">
        <v>37</v>
      </c>
    </row>
    <row r="278" spans="1:34" x14ac:dyDescent="0.25">
      <c r="A278" s="1"/>
      <c r="B278" s="1" t="s">
        <v>625</v>
      </c>
      <c r="C278" s="14" t="s">
        <v>624</v>
      </c>
      <c r="D278" s="8">
        <v>57</v>
      </c>
      <c r="E278" s="12">
        <v>46238</v>
      </c>
      <c r="F278" s="7">
        <v>1</v>
      </c>
      <c r="G278" s="15">
        <f>(D278-(0)+0-(F278*Ventas!AE276*1))</f>
        <v>56.604399999999998</v>
      </c>
      <c r="H278" s="18">
        <f>(G278/(Ventas!AE276*1)/60)</f>
        <v>2.3847489046174588</v>
      </c>
      <c r="I278" s="8">
        <v>108</v>
      </c>
      <c r="J278" s="15">
        <f t="shared" si="16"/>
        <v>164.6044</v>
      </c>
      <c r="K278" s="15">
        <v>6.91</v>
      </c>
      <c r="L278" s="3"/>
      <c r="M278" s="3"/>
      <c r="N278" s="12">
        <v>46275</v>
      </c>
      <c r="O278" s="7">
        <v>37</v>
      </c>
      <c r="P278" s="15">
        <f>(IF(G278&gt;0,G278+I278,I278)-(O278*Ventas!AE276*0.9189))</f>
        <v>151.15427692</v>
      </c>
      <c r="Q278" s="18">
        <f>(P278/(Ventas!AE276*0.9189)/60)</f>
        <v>6.9301822404339415</v>
      </c>
      <c r="R278" s="8">
        <v>0</v>
      </c>
      <c r="S278" s="15">
        <f t="shared" si="17"/>
        <v>151.15427692</v>
      </c>
      <c r="T278" s="3"/>
      <c r="U278" s="3"/>
      <c r="V278" s="3"/>
      <c r="W278" s="12">
        <v>46331</v>
      </c>
      <c r="X278" s="7">
        <v>56</v>
      </c>
      <c r="Y278" s="15">
        <f>(IF(P278&gt;0,P278+R278,R278)-(X278*Ventas!AE276*0.925))</f>
        <v>130.66219691999999</v>
      </c>
      <c r="Z278" s="18">
        <f>(Y278/(Ventas!AE276*0.925)/60)</f>
        <v>5.9511471647582859</v>
      </c>
      <c r="AA278" s="15">
        <f>(120*(Ventas!AE276*1.485) - IF(Y278&gt;0,Y278,0))</f>
        <v>-60.166276919999973</v>
      </c>
      <c r="AB278" s="15">
        <f t="shared" si="18"/>
        <v>0</v>
      </c>
      <c r="AC278" s="15">
        <f t="shared" si="19"/>
        <v>130.66219691999999</v>
      </c>
      <c r="AD278" s="16">
        <v>6.91</v>
      </c>
      <c r="AE278" s="8">
        <v>3025</v>
      </c>
      <c r="AF278" s="15">
        <f>(AC278-(60*Ventas!AE276*1.485))</f>
        <v>95.414236919999979</v>
      </c>
      <c r="AG278" s="18">
        <f>(AF278/(Ventas!AE276*1.485)/60)</f>
        <v>2.7069435201356327</v>
      </c>
      <c r="AH278" s="1" t="s">
        <v>37</v>
      </c>
    </row>
    <row r="279" spans="1:34" x14ac:dyDescent="0.25">
      <c r="A279" s="1"/>
      <c r="B279" s="1" t="s">
        <v>627</v>
      </c>
      <c r="C279" s="14" t="s">
        <v>626</v>
      </c>
      <c r="D279" s="8">
        <v>9</v>
      </c>
      <c r="E279" s="12">
        <v>46238</v>
      </c>
      <c r="F279" s="7">
        <v>1</v>
      </c>
      <c r="G279" s="15">
        <f>(D279-(0)+0-(F279*Ventas!AE277*1))</f>
        <v>8.3415999999999997</v>
      </c>
      <c r="H279" s="18">
        <f>(G279/(Ventas!AE277*1)/60)</f>
        <v>0.21115836371000404</v>
      </c>
      <c r="I279" s="8">
        <v>108</v>
      </c>
      <c r="J279" s="15">
        <f t="shared" si="16"/>
        <v>116.3416</v>
      </c>
      <c r="K279" s="15">
        <v>6.91</v>
      </c>
      <c r="L279" s="3"/>
      <c r="M279" s="3"/>
      <c r="N279" s="12">
        <v>46275</v>
      </c>
      <c r="O279" s="7">
        <v>37</v>
      </c>
      <c r="P279" s="15">
        <f>(IF(G279&gt;0,G279+I279,I279)-(O279*Ventas!AE277*0.9189))</f>
        <v>93.956460879999995</v>
      </c>
      <c r="Q279" s="18">
        <f>(P279/(Ventas!AE277*0.9189)/60)</f>
        <v>2.5883161695832544</v>
      </c>
      <c r="R279" s="8">
        <v>0</v>
      </c>
      <c r="S279" s="15">
        <f t="shared" si="17"/>
        <v>93.956460879999995</v>
      </c>
      <c r="T279" s="3"/>
      <c r="U279" s="3"/>
      <c r="V279" s="3"/>
      <c r="W279" s="12">
        <v>46331</v>
      </c>
      <c r="X279" s="7">
        <v>56</v>
      </c>
      <c r="Y279" s="15">
        <f>(IF(P279&gt;0,P279+R279,R279)-(X279*Ventas!AE277*0.925))</f>
        <v>59.851340879999995</v>
      </c>
      <c r="Z279" s="18">
        <f>(Y279/(Ventas!AE277*0.925)/60)</f>
        <v>1.6379139404288856</v>
      </c>
      <c r="AA279" s="15">
        <f>(120*(Ventas!AE277*1.485) - IF(Y279&gt;0,Y279,0))</f>
        <v>57.475539120000008</v>
      </c>
      <c r="AB279" s="15">
        <f t="shared" si="18"/>
        <v>57.475539120000008</v>
      </c>
      <c r="AC279" s="15">
        <f t="shared" si="19"/>
        <v>117.32688</v>
      </c>
      <c r="AD279" s="16">
        <v>6.91</v>
      </c>
      <c r="AE279" s="8">
        <v>3025</v>
      </c>
      <c r="AF279" s="15">
        <f>(AC279-(60*Ventas!AE277*1.485))</f>
        <v>58.663440000000001</v>
      </c>
      <c r="AG279" s="18">
        <f>(AF279/(Ventas!AE277*1.485)/60)</f>
        <v>1</v>
      </c>
      <c r="AH279" s="1" t="s">
        <v>37</v>
      </c>
    </row>
    <row r="280" spans="1:34" x14ac:dyDescent="0.25">
      <c r="A280" s="1"/>
      <c r="B280" s="1" t="s">
        <v>629</v>
      </c>
      <c r="C280" s="14" t="s">
        <v>628</v>
      </c>
      <c r="D280" s="8">
        <v>46</v>
      </c>
      <c r="E280" s="12">
        <v>46238</v>
      </c>
      <c r="F280" s="7">
        <v>1</v>
      </c>
      <c r="G280" s="15">
        <f>(D280-(0)+0-(F280*Ventas!AE278*1))</f>
        <v>45.633200000000002</v>
      </c>
      <c r="H280" s="18">
        <f>(G280/(Ventas!AE278*1)/60)</f>
        <v>2.0734823700472558</v>
      </c>
      <c r="I280" s="8">
        <v>0</v>
      </c>
      <c r="J280" s="15">
        <f t="shared" si="16"/>
        <v>45.633200000000002</v>
      </c>
      <c r="K280" s="3"/>
      <c r="L280" s="3"/>
      <c r="M280" s="3"/>
      <c r="N280" s="12">
        <v>46275</v>
      </c>
      <c r="O280" s="7">
        <v>37</v>
      </c>
      <c r="P280" s="15">
        <f>(IF(G280&gt;0,G280+I280,I280)-(O280*Ventas!AE278*0.9189))</f>
        <v>33.162256760000005</v>
      </c>
      <c r="Q280" s="18">
        <f>(P280/(Ventas!AE278*0.9189)/60)</f>
        <v>1.6398164871555727</v>
      </c>
      <c r="R280" s="8">
        <v>88</v>
      </c>
      <c r="S280" s="15">
        <f t="shared" si="17"/>
        <v>121.16225676000001</v>
      </c>
      <c r="T280" s="15">
        <v>4.0199999999999996</v>
      </c>
      <c r="U280" s="3"/>
      <c r="V280" s="3"/>
      <c r="W280" s="12">
        <v>46331</v>
      </c>
      <c r="X280" s="7">
        <v>56</v>
      </c>
      <c r="Y280" s="15">
        <f>(IF(P280&gt;0,P280+R280,R280)-(X280*Ventas!AE278*0.925))</f>
        <v>102.16201676</v>
      </c>
      <c r="Z280" s="18">
        <f>(Y280/(Ventas!AE278*0.925)/60)</f>
        <v>5.0184216432353832</v>
      </c>
      <c r="AA280" s="15">
        <f>(120*(Ventas!AE278*1.485) - IF(Y280&gt;0,Y280,0))</f>
        <v>-36.798256760000001</v>
      </c>
      <c r="AB280" s="15">
        <f t="shared" si="18"/>
        <v>0</v>
      </c>
      <c r="AC280" s="15">
        <f t="shared" si="19"/>
        <v>102.16201676</v>
      </c>
      <c r="AD280" s="16">
        <v>3.92</v>
      </c>
      <c r="AE280" s="8">
        <v>3027</v>
      </c>
      <c r="AF280" s="15">
        <f>(AC280-(60*Ventas!AE278*1.485))</f>
        <v>69.480136759999994</v>
      </c>
      <c r="AG280" s="18">
        <f>(AF280/(Ventas!AE278*1.485)/60)</f>
        <v>2.1259528754159795</v>
      </c>
      <c r="AH280" s="1" t="s">
        <v>37</v>
      </c>
    </row>
    <row r="281" spans="1:34" x14ac:dyDescent="0.25">
      <c r="A281" s="1"/>
      <c r="B281" s="1" t="s">
        <v>631</v>
      </c>
      <c r="C281" s="14" t="s">
        <v>630</v>
      </c>
      <c r="D281" s="3"/>
      <c r="E281" s="12">
        <v>46238</v>
      </c>
      <c r="F281" s="7">
        <v>1</v>
      </c>
      <c r="G281" s="15">
        <f>(D281-(0)+0-(F281*Ventas!AE279*1))</f>
        <v>0</v>
      </c>
      <c r="H281" s="3"/>
      <c r="I281" s="8">
        <v>0</v>
      </c>
      <c r="J281" s="15">
        <f t="shared" si="16"/>
        <v>0</v>
      </c>
      <c r="K281" s="3"/>
      <c r="L281" s="3"/>
      <c r="M281" s="3"/>
      <c r="N281" s="12">
        <v>46275</v>
      </c>
      <c r="O281" s="7">
        <v>37</v>
      </c>
      <c r="P281" s="15">
        <f>(IF(G281&gt;0,G281+I281,I281)-(O281*Ventas!AE279*0.9189))</f>
        <v>0</v>
      </c>
      <c r="Q281" s="3"/>
      <c r="R281" s="8">
        <v>132</v>
      </c>
      <c r="S281" s="15">
        <f t="shared" si="17"/>
        <v>132</v>
      </c>
      <c r="T281" s="15">
        <v>4.0199999999999996</v>
      </c>
      <c r="U281" s="3"/>
      <c r="V281" s="3"/>
      <c r="W281" s="12">
        <v>46331</v>
      </c>
      <c r="X281" s="7">
        <v>56</v>
      </c>
      <c r="Y281" s="15">
        <f>(IF(P281&gt;0,P281+R281,R281)-(X281*Ventas!AE279*0.925))</f>
        <v>132</v>
      </c>
      <c r="Z281" s="3"/>
      <c r="AA281" s="15">
        <f>(120*(Ventas!AE279*1.485) - IF(Y281&gt;0,Y281,0))</f>
        <v>-132</v>
      </c>
      <c r="AB281" s="15">
        <f t="shared" si="18"/>
        <v>0</v>
      </c>
      <c r="AC281" s="15">
        <f t="shared" si="19"/>
        <v>132</v>
      </c>
      <c r="AD281" s="3"/>
      <c r="AE281" s="3"/>
      <c r="AF281" s="3"/>
      <c r="AG281" s="3"/>
      <c r="AH281" s="1" t="s">
        <v>37</v>
      </c>
    </row>
    <row r="282" spans="1:34" x14ac:dyDescent="0.25">
      <c r="A282" s="1"/>
      <c r="B282" s="1" t="s">
        <v>633</v>
      </c>
      <c r="C282" s="14" t="s">
        <v>632</v>
      </c>
      <c r="D282" s="3"/>
      <c r="E282" s="12">
        <v>46238</v>
      </c>
      <c r="F282" s="7">
        <v>1</v>
      </c>
      <c r="G282" s="15">
        <f>(D282-(0)+0-(F282*Ventas!AE280*1))</f>
        <v>0</v>
      </c>
      <c r="H282" s="3"/>
      <c r="I282" s="8">
        <v>108</v>
      </c>
      <c r="J282" s="15">
        <f t="shared" si="16"/>
        <v>108</v>
      </c>
      <c r="K282" s="15">
        <v>7.36</v>
      </c>
      <c r="L282" s="3"/>
      <c r="M282" s="3"/>
      <c r="N282" s="12">
        <v>46275</v>
      </c>
      <c r="O282" s="7">
        <v>37</v>
      </c>
      <c r="P282" s="15">
        <f>(IF(G282&gt;0,G282+I282,I282)-(O282*Ventas!AE280*0.9189))</f>
        <v>108</v>
      </c>
      <c r="Q282" s="3"/>
      <c r="R282" s="8">
        <v>0</v>
      </c>
      <c r="S282" s="15">
        <f t="shared" si="17"/>
        <v>108</v>
      </c>
      <c r="T282" s="3"/>
      <c r="U282" s="3"/>
      <c r="V282" s="3"/>
      <c r="W282" s="12">
        <v>46331</v>
      </c>
      <c r="X282" s="7">
        <v>56</v>
      </c>
      <c r="Y282" s="15">
        <f>(IF(P282&gt;0,P282+R282,R282)-(X282*Ventas!AE280*0.925))</f>
        <v>108</v>
      </c>
      <c r="Z282" s="3"/>
      <c r="AA282" s="15">
        <f>(120*(Ventas!AE280*1.485) - IF(Y282&gt;0,Y282,0))</f>
        <v>-108</v>
      </c>
      <c r="AB282" s="15">
        <f t="shared" si="18"/>
        <v>0</v>
      </c>
      <c r="AC282" s="15">
        <f t="shared" si="19"/>
        <v>108</v>
      </c>
      <c r="AD282" s="16">
        <v>7.36</v>
      </c>
      <c r="AE282" s="8">
        <v>3025</v>
      </c>
      <c r="AF282" s="3"/>
      <c r="AG282" s="3"/>
      <c r="AH282" s="1" t="s">
        <v>37</v>
      </c>
    </row>
    <row r="283" spans="1:34" x14ac:dyDescent="0.25">
      <c r="A283" s="1"/>
      <c r="B283" s="1" t="s">
        <v>635</v>
      </c>
      <c r="C283" s="14" t="s">
        <v>634</v>
      </c>
      <c r="D283" s="3"/>
      <c r="E283" s="12">
        <v>46238</v>
      </c>
      <c r="F283" s="7">
        <v>1</v>
      </c>
      <c r="G283" s="15">
        <f>(D283-(0)+0-(F283*Ventas!AE281*1))</f>
        <v>0</v>
      </c>
      <c r="H283" s="3"/>
      <c r="I283" s="8">
        <v>108</v>
      </c>
      <c r="J283" s="15">
        <f t="shared" si="16"/>
        <v>108</v>
      </c>
      <c r="K283" s="15">
        <v>7.36</v>
      </c>
      <c r="L283" s="3"/>
      <c r="M283" s="3"/>
      <c r="N283" s="12">
        <v>46275</v>
      </c>
      <c r="O283" s="7">
        <v>37</v>
      </c>
      <c r="P283" s="15">
        <f>(IF(G283&gt;0,G283+I283,I283)-(O283*Ventas!AE281*0.9189))</f>
        <v>108</v>
      </c>
      <c r="Q283" s="3"/>
      <c r="R283" s="8">
        <v>0</v>
      </c>
      <c r="S283" s="15">
        <f t="shared" si="17"/>
        <v>108</v>
      </c>
      <c r="T283" s="3"/>
      <c r="U283" s="3"/>
      <c r="V283" s="3"/>
      <c r="W283" s="12">
        <v>46331</v>
      </c>
      <c r="X283" s="7">
        <v>56</v>
      </c>
      <c r="Y283" s="15">
        <f>(IF(P283&gt;0,P283+R283,R283)-(X283*Ventas!AE281*0.925))</f>
        <v>108</v>
      </c>
      <c r="Z283" s="3"/>
      <c r="AA283" s="15">
        <f>(120*(Ventas!AE281*1.485) - IF(Y283&gt;0,Y283,0))</f>
        <v>-108</v>
      </c>
      <c r="AB283" s="15">
        <f t="shared" si="18"/>
        <v>0</v>
      </c>
      <c r="AC283" s="15">
        <f t="shared" si="19"/>
        <v>108</v>
      </c>
      <c r="AD283" s="16">
        <v>7.36</v>
      </c>
      <c r="AE283" s="8">
        <v>3025</v>
      </c>
      <c r="AF283" s="3"/>
      <c r="AG283" s="3"/>
      <c r="AH283" s="1" t="s">
        <v>37</v>
      </c>
    </row>
    <row r="284" spans="1:34" x14ac:dyDescent="0.25">
      <c r="A284" s="1"/>
      <c r="B284" s="1" t="s">
        <v>637</v>
      </c>
      <c r="C284" s="14" t="s">
        <v>636</v>
      </c>
      <c r="D284" s="3"/>
      <c r="E284" s="12">
        <v>46238</v>
      </c>
      <c r="F284" s="7">
        <v>1</v>
      </c>
      <c r="G284" s="15">
        <f>(D284-(0)+0-(F284*Ventas!AE282*1))</f>
        <v>0</v>
      </c>
      <c r="H284" s="3"/>
      <c r="I284" s="8">
        <v>88</v>
      </c>
      <c r="J284" s="15">
        <f t="shared" si="16"/>
        <v>88</v>
      </c>
      <c r="K284" s="15">
        <v>5.41</v>
      </c>
      <c r="L284" s="3"/>
      <c r="M284" s="3"/>
      <c r="N284" s="12">
        <v>46275</v>
      </c>
      <c r="O284" s="7">
        <v>37</v>
      </c>
      <c r="P284" s="15">
        <f>(IF(G284&gt;0,G284+I284,I284)-(O284*Ventas!AE282*0.9189))</f>
        <v>88</v>
      </c>
      <c r="Q284" s="3"/>
      <c r="R284" s="8">
        <v>0</v>
      </c>
      <c r="S284" s="15">
        <f t="shared" si="17"/>
        <v>88</v>
      </c>
      <c r="T284" s="3"/>
      <c r="U284" s="3"/>
      <c r="V284" s="3"/>
      <c r="W284" s="12">
        <v>46331</v>
      </c>
      <c r="X284" s="7">
        <v>56</v>
      </c>
      <c r="Y284" s="15">
        <f>(IF(P284&gt;0,P284+R284,R284)-(X284*Ventas!AE282*0.925))</f>
        <v>88</v>
      </c>
      <c r="Z284" s="3"/>
      <c r="AA284" s="15">
        <f>(120*(Ventas!AE282*1.485) - IF(Y284&gt;0,Y284,0))</f>
        <v>-88</v>
      </c>
      <c r="AB284" s="15">
        <f t="shared" si="18"/>
        <v>0</v>
      </c>
      <c r="AC284" s="15">
        <f t="shared" si="19"/>
        <v>88</v>
      </c>
      <c r="AD284" s="16">
        <v>5.41</v>
      </c>
      <c r="AE284" s="8">
        <v>3025</v>
      </c>
      <c r="AF284" s="3"/>
      <c r="AG284" s="3"/>
      <c r="AH284" s="1" t="s">
        <v>37</v>
      </c>
    </row>
    <row r="285" spans="1:34" x14ac:dyDescent="0.25">
      <c r="A285" s="1"/>
      <c r="B285" s="1" t="s">
        <v>639</v>
      </c>
      <c r="C285" s="14" t="s">
        <v>638</v>
      </c>
      <c r="D285" s="3"/>
      <c r="E285" s="12">
        <v>46238</v>
      </c>
      <c r="F285" s="7">
        <v>1</v>
      </c>
      <c r="G285" s="15">
        <f>(D285-(0)+0-(F285*Ventas!AE283*1))</f>
        <v>0</v>
      </c>
      <c r="H285" s="3"/>
      <c r="I285" s="8">
        <v>0</v>
      </c>
      <c r="J285" s="15">
        <f t="shared" si="16"/>
        <v>0</v>
      </c>
      <c r="K285" s="3"/>
      <c r="L285" s="3"/>
      <c r="M285" s="3"/>
      <c r="N285" s="12">
        <v>46275</v>
      </c>
      <c r="O285" s="7">
        <v>37</v>
      </c>
      <c r="P285" s="15">
        <f>(IF(G285&gt;0,G285+I285,I285)-(O285*Ventas!AE283*0.9189))</f>
        <v>0</v>
      </c>
      <c r="Q285" s="3"/>
      <c r="R285" s="8">
        <v>0</v>
      </c>
      <c r="S285" s="15">
        <f t="shared" si="17"/>
        <v>0</v>
      </c>
      <c r="T285" s="3"/>
      <c r="U285" s="3"/>
      <c r="V285" s="3"/>
      <c r="W285" s="12">
        <v>46331</v>
      </c>
      <c r="X285" s="7">
        <v>56</v>
      </c>
      <c r="Y285" s="15">
        <f>(IF(P285&gt;0,P285+R285,R285)-(X285*Ventas!AE283*0.925))</f>
        <v>0</v>
      </c>
      <c r="Z285" s="3"/>
      <c r="AA285" s="15">
        <f>(120*(Ventas!AE283*1.485) - IF(Y285&gt;0,Y285,0))</f>
        <v>0</v>
      </c>
      <c r="AB285" s="15">
        <f t="shared" si="18"/>
        <v>0</v>
      </c>
      <c r="AC285" s="15">
        <f t="shared" si="19"/>
        <v>0</v>
      </c>
      <c r="AD285" s="3"/>
      <c r="AE285" s="3"/>
      <c r="AF285" s="3"/>
      <c r="AG285" s="3"/>
      <c r="AH285" s="1" t="s">
        <v>37</v>
      </c>
    </row>
    <row r="286" spans="1:34" x14ac:dyDescent="0.25">
      <c r="A286" s="1"/>
      <c r="B286" s="1" t="s">
        <v>641</v>
      </c>
      <c r="C286" s="14" t="s">
        <v>640</v>
      </c>
      <c r="D286" s="3"/>
      <c r="E286" s="12">
        <v>46238</v>
      </c>
      <c r="F286" s="7">
        <v>1</v>
      </c>
      <c r="G286" s="15">
        <f>(D286-(0)+0-(F286*Ventas!AE284*1))</f>
        <v>0</v>
      </c>
      <c r="H286" s="3"/>
      <c r="I286" s="8">
        <v>0</v>
      </c>
      <c r="J286" s="15">
        <f t="shared" si="16"/>
        <v>0</v>
      </c>
      <c r="K286" s="3"/>
      <c r="L286" s="3"/>
      <c r="M286" s="3"/>
      <c r="N286" s="12">
        <v>46275</v>
      </c>
      <c r="O286" s="7">
        <v>37</v>
      </c>
      <c r="P286" s="15">
        <f>(IF(G286&gt;0,G286+I286,I286)-(O286*Ventas!AE284*0.9189))</f>
        <v>0</v>
      </c>
      <c r="Q286" s="3"/>
      <c r="R286" s="8">
        <v>0</v>
      </c>
      <c r="S286" s="15">
        <f t="shared" si="17"/>
        <v>0</v>
      </c>
      <c r="T286" s="3"/>
      <c r="U286" s="3"/>
      <c r="V286" s="3"/>
      <c r="W286" s="12">
        <v>46331</v>
      </c>
      <c r="X286" s="7">
        <v>56</v>
      </c>
      <c r="Y286" s="15">
        <f>(IF(P286&gt;0,P286+R286,R286)-(X286*Ventas!AE284*0.925))</f>
        <v>0</v>
      </c>
      <c r="Z286" s="3"/>
      <c r="AA286" s="15">
        <f>(120*(Ventas!AE284*1.485) - IF(Y286&gt;0,Y286,0))</f>
        <v>0</v>
      </c>
      <c r="AB286" s="15">
        <f t="shared" si="18"/>
        <v>0</v>
      </c>
      <c r="AC286" s="15">
        <f t="shared" si="19"/>
        <v>0</v>
      </c>
      <c r="AD286" s="3"/>
      <c r="AE286" s="3"/>
      <c r="AF286" s="3"/>
      <c r="AG286" s="3"/>
      <c r="AH286" s="1" t="s">
        <v>37</v>
      </c>
    </row>
    <row r="287" spans="1:34" x14ac:dyDescent="0.25">
      <c r="A287" s="1"/>
      <c r="B287" s="1" t="s">
        <v>643</v>
      </c>
      <c r="C287" s="14" t="s">
        <v>642</v>
      </c>
      <c r="D287" s="3"/>
      <c r="E287" s="12">
        <v>46238</v>
      </c>
      <c r="F287" s="7">
        <v>1</v>
      </c>
      <c r="G287" s="15">
        <f>(D287-(0)+0-(F287*Ventas!AE285*1))</f>
        <v>0</v>
      </c>
      <c r="H287" s="3"/>
      <c r="I287" s="8">
        <v>88</v>
      </c>
      <c r="J287" s="15">
        <f t="shared" si="16"/>
        <v>88</v>
      </c>
      <c r="K287" s="15">
        <v>3.6</v>
      </c>
      <c r="L287" s="3"/>
      <c r="M287" s="3"/>
      <c r="N287" s="12">
        <v>46275</v>
      </c>
      <c r="O287" s="7">
        <v>37</v>
      </c>
      <c r="P287" s="15">
        <f>(IF(G287&gt;0,G287+I287,I287)-(O287*Ventas!AE285*0.9189))</f>
        <v>88</v>
      </c>
      <c r="Q287" s="3"/>
      <c r="R287" s="8">
        <v>0</v>
      </c>
      <c r="S287" s="15">
        <f t="shared" si="17"/>
        <v>88</v>
      </c>
      <c r="T287" s="3"/>
      <c r="U287" s="3"/>
      <c r="V287" s="3"/>
      <c r="W287" s="12">
        <v>46331</v>
      </c>
      <c r="X287" s="7">
        <v>56</v>
      </c>
      <c r="Y287" s="15">
        <f>(IF(P287&gt;0,P287+R287,R287)-(X287*Ventas!AE285*0.925))</f>
        <v>88</v>
      </c>
      <c r="Z287" s="3"/>
      <c r="AA287" s="15">
        <f>(120*(Ventas!AE285*1.485) - IF(Y287&gt;0,Y287,0))</f>
        <v>-88</v>
      </c>
      <c r="AB287" s="15">
        <f t="shared" si="18"/>
        <v>0</v>
      </c>
      <c r="AC287" s="15">
        <f t="shared" si="19"/>
        <v>88</v>
      </c>
      <c r="AD287" s="16">
        <v>3.6</v>
      </c>
      <c r="AE287" s="8">
        <v>3025</v>
      </c>
      <c r="AF287" s="3"/>
      <c r="AG287" s="3"/>
      <c r="AH287" s="1" t="s">
        <v>37</v>
      </c>
    </row>
    <row r="288" spans="1:34" x14ac:dyDescent="0.25">
      <c r="A288" s="1"/>
      <c r="B288" s="1" t="s">
        <v>645</v>
      </c>
      <c r="C288" s="14" t="s">
        <v>644</v>
      </c>
      <c r="D288" s="3"/>
      <c r="E288" s="12">
        <v>46238</v>
      </c>
      <c r="F288" s="7">
        <v>1</v>
      </c>
      <c r="G288" s="15">
        <f>(D288-(0)+0-(F288*Ventas!AE286*1))</f>
        <v>0</v>
      </c>
      <c r="H288" s="3"/>
      <c r="I288" s="8">
        <v>1</v>
      </c>
      <c r="J288" s="15">
        <f t="shared" si="16"/>
        <v>1</v>
      </c>
      <c r="K288" s="3"/>
      <c r="L288" s="3"/>
      <c r="M288" s="3"/>
      <c r="N288" s="12">
        <v>46275</v>
      </c>
      <c r="O288" s="7">
        <v>37</v>
      </c>
      <c r="P288" s="15">
        <f>(IF(G288&gt;0,G288+I288,I288)-(O288*Ventas!AE286*0.9189))</f>
        <v>1</v>
      </c>
      <c r="Q288" s="3"/>
      <c r="R288" s="8">
        <v>0</v>
      </c>
      <c r="S288" s="15">
        <f t="shared" si="17"/>
        <v>1</v>
      </c>
      <c r="T288" s="3"/>
      <c r="U288" s="3"/>
      <c r="V288" s="3"/>
      <c r="W288" s="12">
        <v>46331</v>
      </c>
      <c r="X288" s="7">
        <v>56</v>
      </c>
      <c r="Y288" s="15">
        <f>(IF(P288&gt;0,P288+R288,R288)-(X288*Ventas!AE286*0.925))</f>
        <v>1</v>
      </c>
      <c r="Z288" s="3"/>
      <c r="AA288" s="15">
        <f>(120*(Ventas!AE286*1.485) - IF(Y288&gt;0,Y288,0))</f>
        <v>-1</v>
      </c>
      <c r="AB288" s="15">
        <f t="shared" si="18"/>
        <v>0</v>
      </c>
      <c r="AC288" s="15">
        <f t="shared" si="19"/>
        <v>1</v>
      </c>
      <c r="AD288" s="3"/>
      <c r="AE288" s="8">
        <v>3025</v>
      </c>
      <c r="AF288" s="3"/>
      <c r="AG288" s="3"/>
      <c r="AH288" s="1" t="s">
        <v>37</v>
      </c>
    </row>
    <row r="289" spans="1:34" x14ac:dyDescent="0.25">
      <c r="A289" s="1"/>
      <c r="B289" s="1" t="s">
        <v>647</v>
      </c>
      <c r="C289" s="14" t="s">
        <v>646</v>
      </c>
      <c r="D289" s="3"/>
      <c r="E289" s="12">
        <v>46238</v>
      </c>
      <c r="F289" s="7">
        <v>1</v>
      </c>
      <c r="G289" s="15">
        <f>(D289-(0)+0-(F289*Ventas!AE287*1))</f>
        <v>0</v>
      </c>
      <c r="H289" s="3"/>
      <c r="I289" s="8">
        <v>1</v>
      </c>
      <c r="J289" s="15">
        <f t="shared" si="16"/>
        <v>1</v>
      </c>
      <c r="K289" s="3"/>
      <c r="L289" s="3"/>
      <c r="M289" s="3"/>
      <c r="N289" s="12">
        <v>46275</v>
      </c>
      <c r="O289" s="7">
        <v>37</v>
      </c>
      <c r="P289" s="15">
        <f>(IF(G289&gt;0,G289+I289,I289)-(O289*Ventas!AE287*0.9189))</f>
        <v>1</v>
      </c>
      <c r="Q289" s="3"/>
      <c r="R289" s="8">
        <v>0</v>
      </c>
      <c r="S289" s="15">
        <f t="shared" si="17"/>
        <v>1</v>
      </c>
      <c r="T289" s="3"/>
      <c r="U289" s="3"/>
      <c r="V289" s="3"/>
      <c r="W289" s="12">
        <v>46331</v>
      </c>
      <c r="X289" s="7">
        <v>56</v>
      </c>
      <c r="Y289" s="15">
        <f>(IF(P289&gt;0,P289+R289,R289)-(X289*Ventas!AE287*0.925))</f>
        <v>1</v>
      </c>
      <c r="Z289" s="3"/>
      <c r="AA289" s="15">
        <f>(120*(Ventas!AE287*1.485) - IF(Y289&gt;0,Y289,0))</f>
        <v>-1</v>
      </c>
      <c r="AB289" s="15">
        <f t="shared" si="18"/>
        <v>0</v>
      </c>
      <c r="AC289" s="15">
        <f t="shared" si="19"/>
        <v>1</v>
      </c>
      <c r="AD289" s="3"/>
      <c r="AE289" s="8">
        <v>3025</v>
      </c>
      <c r="AF289" s="3"/>
      <c r="AG289" s="3"/>
      <c r="AH289" s="1" t="s">
        <v>37</v>
      </c>
    </row>
    <row r="290" spans="1:34" x14ac:dyDescent="0.25">
      <c r="A290" s="1"/>
      <c r="B290" s="1" t="s">
        <v>649</v>
      </c>
      <c r="C290" s="14" t="s">
        <v>648</v>
      </c>
      <c r="D290" s="3"/>
      <c r="E290" s="12">
        <v>46238</v>
      </c>
      <c r="F290" s="7">
        <v>1</v>
      </c>
      <c r="G290" s="15">
        <f>(D290-(0)+0-(F290*Ventas!AE288*1))</f>
        <v>0</v>
      </c>
      <c r="H290" s="3"/>
      <c r="I290" s="8">
        <v>1</v>
      </c>
      <c r="J290" s="15">
        <f t="shared" si="16"/>
        <v>1</v>
      </c>
      <c r="K290" s="3"/>
      <c r="L290" s="3"/>
      <c r="M290" s="3"/>
      <c r="N290" s="12">
        <v>46275</v>
      </c>
      <c r="O290" s="7">
        <v>37</v>
      </c>
      <c r="P290" s="15">
        <f>(IF(G290&gt;0,G290+I290,I290)-(O290*Ventas!AE288*0.9189))</f>
        <v>1</v>
      </c>
      <c r="Q290" s="3"/>
      <c r="R290" s="8">
        <v>0</v>
      </c>
      <c r="S290" s="15">
        <f t="shared" si="17"/>
        <v>1</v>
      </c>
      <c r="T290" s="3"/>
      <c r="U290" s="3"/>
      <c r="V290" s="3"/>
      <c r="W290" s="12">
        <v>46331</v>
      </c>
      <c r="X290" s="7">
        <v>56</v>
      </c>
      <c r="Y290" s="15">
        <f>(IF(P290&gt;0,P290+R290,R290)-(X290*Ventas!AE288*0.925))</f>
        <v>1</v>
      </c>
      <c r="Z290" s="3"/>
      <c r="AA290" s="15">
        <f>(120*(Ventas!AE288*1.485) - IF(Y290&gt;0,Y290,0))</f>
        <v>-1</v>
      </c>
      <c r="AB290" s="15">
        <f t="shared" si="18"/>
        <v>0</v>
      </c>
      <c r="AC290" s="15">
        <f t="shared" si="19"/>
        <v>1</v>
      </c>
      <c r="AD290" s="3"/>
      <c r="AE290" s="8">
        <v>3025</v>
      </c>
      <c r="AF290" s="3"/>
      <c r="AG290" s="3"/>
      <c r="AH290" s="1" t="s">
        <v>37</v>
      </c>
    </row>
    <row r="291" spans="1:34" x14ac:dyDescent="0.25">
      <c r="A291" s="1"/>
      <c r="B291" s="1" t="s">
        <v>651</v>
      </c>
      <c r="C291" s="14" t="s">
        <v>650</v>
      </c>
      <c r="D291" s="3"/>
      <c r="E291" s="12">
        <v>46238</v>
      </c>
      <c r="F291" s="7">
        <v>1</v>
      </c>
      <c r="G291" s="15">
        <f>(D291-(0)+0-(F291*Ventas!AE289*1))</f>
        <v>0</v>
      </c>
      <c r="H291" s="3"/>
      <c r="I291" s="8">
        <v>0</v>
      </c>
      <c r="J291" s="15">
        <f t="shared" si="16"/>
        <v>0</v>
      </c>
      <c r="K291" s="3"/>
      <c r="L291" s="3"/>
      <c r="M291" s="3"/>
      <c r="N291" s="12">
        <v>46275</v>
      </c>
      <c r="O291" s="7">
        <v>37</v>
      </c>
      <c r="P291" s="15">
        <f>(IF(G291&gt;0,G291+I291,I291)-(O291*Ventas!AE289*0.9189))</f>
        <v>0</v>
      </c>
      <c r="Q291" s="3"/>
      <c r="R291" s="8">
        <v>162</v>
      </c>
      <c r="S291" s="15">
        <f t="shared" si="17"/>
        <v>162</v>
      </c>
      <c r="T291" s="15">
        <v>8.33</v>
      </c>
      <c r="U291" s="3"/>
      <c r="V291" s="3"/>
      <c r="W291" s="12">
        <v>46331</v>
      </c>
      <c r="X291" s="7">
        <v>56</v>
      </c>
      <c r="Y291" s="15">
        <f>(IF(P291&gt;0,P291+R291,R291)-(X291*Ventas!AE289*0.925))</f>
        <v>162</v>
      </c>
      <c r="Z291" s="3"/>
      <c r="AA291" s="15">
        <f>(120*(Ventas!AE289*1.485) - IF(Y291&gt;0,Y291,0))</f>
        <v>-162</v>
      </c>
      <c r="AB291" s="15">
        <f t="shared" si="18"/>
        <v>0</v>
      </c>
      <c r="AC291" s="15">
        <f t="shared" si="19"/>
        <v>162</v>
      </c>
      <c r="AD291" s="3"/>
      <c r="AE291" s="3"/>
      <c r="AF291" s="3"/>
      <c r="AG291" s="3"/>
      <c r="AH291" s="1" t="s">
        <v>37</v>
      </c>
    </row>
    <row r="292" spans="1:34" x14ac:dyDescent="0.25">
      <c r="A292" s="1"/>
      <c r="B292" s="1" t="s">
        <v>653</v>
      </c>
      <c r="C292" s="14" t="s">
        <v>652</v>
      </c>
      <c r="D292" s="3"/>
      <c r="E292" s="12">
        <v>46238</v>
      </c>
      <c r="F292" s="7">
        <v>1</v>
      </c>
      <c r="G292" s="15">
        <f>(D292-(0)+0-(F292*Ventas!AE290*1))</f>
        <v>0</v>
      </c>
      <c r="H292" s="3"/>
      <c r="I292" s="8">
        <v>0</v>
      </c>
      <c r="J292" s="15">
        <f t="shared" si="16"/>
        <v>0</v>
      </c>
      <c r="K292" s="3"/>
      <c r="L292" s="3"/>
      <c r="M292" s="3"/>
      <c r="N292" s="12">
        <v>46275</v>
      </c>
      <c r="O292" s="7">
        <v>37</v>
      </c>
      <c r="P292" s="15">
        <f>(IF(G292&gt;0,G292+I292,I292)-(O292*Ventas!AE290*0.9189))</f>
        <v>0</v>
      </c>
      <c r="Q292" s="3"/>
      <c r="R292" s="8">
        <v>0</v>
      </c>
      <c r="S292" s="15">
        <f t="shared" si="17"/>
        <v>0</v>
      </c>
      <c r="T292" s="3"/>
      <c r="U292" s="3"/>
      <c r="V292" s="3"/>
      <c r="W292" s="12">
        <v>46331</v>
      </c>
      <c r="X292" s="7">
        <v>56</v>
      </c>
      <c r="Y292" s="15">
        <f>(IF(P292&gt;0,P292+R292,R292)-(X292*Ventas!AE290*0.925))</f>
        <v>0</v>
      </c>
      <c r="Z292" s="3"/>
      <c r="AA292" s="15">
        <f>(120*(Ventas!AE290*1.485) - IF(Y292&gt;0,Y292,0))</f>
        <v>0</v>
      </c>
      <c r="AB292" s="15">
        <f t="shared" si="18"/>
        <v>0</v>
      </c>
      <c r="AC292" s="15">
        <f t="shared" si="19"/>
        <v>0</v>
      </c>
      <c r="AD292" s="3"/>
      <c r="AE292" s="3"/>
      <c r="AF292" s="3"/>
      <c r="AG292" s="3"/>
      <c r="AH292" s="1" t="s">
        <v>37</v>
      </c>
    </row>
    <row r="293" spans="1:34" x14ac:dyDescent="0.25">
      <c r="A293" s="1"/>
      <c r="B293" s="1" t="s">
        <v>33</v>
      </c>
      <c r="C293" s="14" t="s">
        <v>32</v>
      </c>
      <c r="D293" s="3"/>
      <c r="E293" s="12">
        <v>46238</v>
      </c>
      <c r="F293" s="7">
        <v>1</v>
      </c>
      <c r="G293" s="15">
        <f>(D293-(0)+0-(F293*Ventas!AE2*1))</f>
        <v>0</v>
      </c>
      <c r="H293" s="3"/>
      <c r="I293" s="8">
        <v>0</v>
      </c>
      <c r="J293" s="15">
        <f t="shared" si="16"/>
        <v>0</v>
      </c>
      <c r="K293" s="3"/>
      <c r="L293" s="15">
        <v>60</v>
      </c>
      <c r="M293" s="17">
        <v>2.7169999999999998E-3</v>
      </c>
      <c r="N293" s="12">
        <v>46275</v>
      </c>
      <c r="O293" s="7">
        <v>37</v>
      </c>
      <c r="P293" s="15">
        <f>(IF(G293&gt;0,G293+I293,I293)-(O293*Ventas!AE2*0.9459))</f>
        <v>0</v>
      </c>
      <c r="Q293" s="3"/>
      <c r="R293" s="8">
        <v>0</v>
      </c>
      <c r="S293" s="15">
        <f t="shared" si="17"/>
        <v>0</v>
      </c>
      <c r="T293" s="3"/>
      <c r="U293" s="15">
        <v>60</v>
      </c>
      <c r="V293" s="17">
        <v>2.7169999999999998E-3</v>
      </c>
      <c r="W293" s="12">
        <v>46331</v>
      </c>
      <c r="X293" s="7">
        <v>56</v>
      </c>
      <c r="Y293" s="15">
        <f>(IF(P293&gt;0,P293+R293,R293)-(X293*Ventas!AE2*0.9554))</f>
        <v>0</v>
      </c>
      <c r="Z293" s="3"/>
      <c r="AA293" s="15">
        <f>(120*(Ventas!AE2*1.5117) - IF(Y293&gt;0,Y293,0))</f>
        <v>0</v>
      </c>
      <c r="AB293" s="15">
        <f t="shared" si="18"/>
        <v>0</v>
      </c>
      <c r="AC293" s="15">
        <f t="shared" si="19"/>
        <v>0</v>
      </c>
      <c r="AD293" s="16">
        <v>5.95</v>
      </c>
      <c r="AE293" s="8">
        <v>3017</v>
      </c>
      <c r="AF293" s="3"/>
      <c r="AG293" s="3"/>
      <c r="AH293" s="1" t="s">
        <v>34</v>
      </c>
    </row>
    <row r="294" spans="1:34" x14ac:dyDescent="0.25">
      <c r="A294" s="1"/>
      <c r="B294" s="1" t="s">
        <v>36</v>
      </c>
      <c r="C294" s="14" t="s">
        <v>35</v>
      </c>
      <c r="D294" s="8">
        <v>23</v>
      </c>
      <c r="E294" s="12">
        <v>46238</v>
      </c>
      <c r="F294" s="7">
        <v>1</v>
      </c>
      <c r="G294" s="15">
        <f>(D294-(0)+0-(F294*Ventas!AE3*1))</f>
        <v>22.939</v>
      </c>
      <c r="H294" s="18">
        <f>(G294/(Ventas!AE3*1)/60)</f>
        <v>6.2674863387978137</v>
      </c>
      <c r="I294" s="8">
        <v>0</v>
      </c>
      <c r="J294" s="15">
        <f t="shared" si="16"/>
        <v>22.939</v>
      </c>
      <c r="K294" s="3"/>
      <c r="L294" s="15">
        <v>10</v>
      </c>
      <c r="M294" s="17">
        <v>3.3999999999999998E-3</v>
      </c>
      <c r="N294" s="12">
        <v>46275</v>
      </c>
      <c r="O294" s="7">
        <v>37</v>
      </c>
      <c r="P294" s="15">
        <f>(IF(G294&gt;0,G294+I294,I294)-(O294*Ventas!AE3*0.9459))</f>
        <v>20.804103699999999</v>
      </c>
      <c r="Q294" s="18">
        <f>(P294/(Ventas!AE3*0.9459)/60)</f>
        <v>6.0092835805030278</v>
      </c>
      <c r="R294" s="8">
        <v>0</v>
      </c>
      <c r="S294" s="15">
        <f t="shared" si="17"/>
        <v>20.804103699999999</v>
      </c>
      <c r="T294" s="3"/>
      <c r="U294" s="15">
        <v>10</v>
      </c>
      <c r="V294" s="17">
        <v>3.3999999999999998E-3</v>
      </c>
      <c r="W294" s="12">
        <v>46331</v>
      </c>
      <c r="X294" s="7">
        <v>56</v>
      </c>
      <c r="Y294" s="15">
        <f>(IF(P294&gt;0,P294+R294,R294)-(X294*Ventas!AE3*0.9554))</f>
        <v>17.5404573</v>
      </c>
      <c r="Z294" s="18">
        <f>(Y294/(Ventas!AE3*0.9554)/60)</f>
        <v>5.0161970610541626</v>
      </c>
      <c r="AA294" s="15">
        <f>(120*(Ventas!AE3*1.5117) - IF(Y294&gt;0,Y294,0))</f>
        <v>-6.474813300000001</v>
      </c>
      <c r="AB294" s="15">
        <f t="shared" si="18"/>
        <v>0</v>
      </c>
      <c r="AC294" s="15">
        <f t="shared" si="19"/>
        <v>17.5404573</v>
      </c>
      <c r="AD294" s="16">
        <v>9.7200000000000006</v>
      </c>
      <c r="AE294" s="8">
        <v>3010</v>
      </c>
      <c r="AF294" s="15">
        <f>(AC294-(60*Ventas!AE3*1.5117))</f>
        <v>12.0076353</v>
      </c>
      <c r="AG294" s="18">
        <f>(AF294/(Ventas!AE3*1.5117)/60)</f>
        <v>2.1702551247808084</v>
      </c>
      <c r="AH294" s="1" t="s">
        <v>37</v>
      </c>
    </row>
    <row r="295" spans="1:34" x14ac:dyDescent="0.25">
      <c r="A295" s="1"/>
      <c r="B295" s="1" t="s">
        <v>41</v>
      </c>
      <c r="C295" s="14" t="s">
        <v>40</v>
      </c>
      <c r="D295" s="8">
        <v>11</v>
      </c>
      <c r="E295" s="12">
        <v>46238</v>
      </c>
      <c r="F295" s="7">
        <v>1</v>
      </c>
      <c r="G295" s="15">
        <f>(D295-(0)+0-(F295*Ventas!AE5*1))</f>
        <v>10.982200000000001</v>
      </c>
      <c r="H295" s="18">
        <f>(G295/(Ventas!AE5*1)/60)</f>
        <v>10.282958801498127</v>
      </c>
      <c r="I295" s="8">
        <v>0</v>
      </c>
      <c r="J295" s="15">
        <f t="shared" si="16"/>
        <v>10.982200000000001</v>
      </c>
      <c r="K295" s="3"/>
      <c r="L295" s="3"/>
      <c r="M295" s="17">
        <v>3.6110000000000001E-3</v>
      </c>
      <c r="N295" s="12">
        <v>46275</v>
      </c>
      <c r="O295" s="7">
        <v>37</v>
      </c>
      <c r="P295" s="15">
        <f>(IF(G295&gt;0,G295+I295,I295)-(O295*Ventas!AE5*0.9459))</f>
        <v>10.35923026</v>
      </c>
      <c r="Q295" s="18">
        <f>(P295/(Ventas!AE5*0.9459)/60)</f>
        <v>10.254417804734253</v>
      </c>
      <c r="R295" s="8">
        <v>0</v>
      </c>
      <c r="S295" s="15">
        <f t="shared" si="17"/>
        <v>10.35923026</v>
      </c>
      <c r="T295" s="3"/>
      <c r="U295" s="3"/>
      <c r="V295" s="17">
        <v>3.6110000000000001E-3</v>
      </c>
      <c r="W295" s="12">
        <v>46331</v>
      </c>
      <c r="X295" s="7">
        <v>56</v>
      </c>
      <c r="Y295" s="15">
        <f>(IF(P295&gt;0,P295+R295,R295)-(X295*Ventas!AE5*0.9554))</f>
        <v>9.4068875399999996</v>
      </c>
      <c r="Z295" s="18">
        <f>(Y295/(Ventas!AE5*0.9554)/60)</f>
        <v>9.219119881548524</v>
      </c>
      <c r="AA295" s="15">
        <f>(120*(Ventas!AE5*1.5117) - IF(Y295&gt;0,Y295,0))</f>
        <v>-6.1778963400000002</v>
      </c>
      <c r="AB295" s="15">
        <f t="shared" si="18"/>
        <v>0</v>
      </c>
      <c r="AC295" s="15">
        <f t="shared" si="19"/>
        <v>9.4068875399999996</v>
      </c>
      <c r="AD295" s="16">
        <v>12.5244</v>
      </c>
      <c r="AE295" s="8">
        <v>3025</v>
      </c>
      <c r="AF295" s="15">
        <f>(AC295-(60*Ventas!AE5*1.5117))</f>
        <v>7.7923919399999999</v>
      </c>
      <c r="AG295" s="18">
        <f>(AF295/(Ventas!AE5*1.5117)/60)</f>
        <v>4.8265179168032422</v>
      </c>
      <c r="AH295" s="1" t="s">
        <v>37</v>
      </c>
    </row>
    <row r="296" spans="1:34" x14ac:dyDescent="0.25">
      <c r="A296" s="1"/>
      <c r="B296" s="1" t="s">
        <v>655</v>
      </c>
      <c r="C296" s="14" t="s">
        <v>654</v>
      </c>
      <c r="D296" s="3"/>
      <c r="E296" s="12">
        <v>46238</v>
      </c>
      <c r="F296" s="7">
        <v>1</v>
      </c>
      <c r="G296" s="15">
        <f>(D296-(0)+0-(F296*Ventas!AE291*1))</f>
        <v>-0.48309999999999997</v>
      </c>
      <c r="H296" s="18">
        <f>(G296/(Ventas!AE291*1)/60)</f>
        <v>-1.6666666666666666E-2</v>
      </c>
      <c r="I296" s="8">
        <v>0</v>
      </c>
      <c r="J296" s="15">
        <f t="shared" si="16"/>
        <v>0</v>
      </c>
      <c r="K296" s="3"/>
      <c r="L296" s="15">
        <v>39</v>
      </c>
      <c r="M296" s="17">
        <v>1.256E-3</v>
      </c>
      <c r="N296" s="12">
        <v>46275</v>
      </c>
      <c r="O296" s="7">
        <v>37</v>
      </c>
      <c r="P296" s="15">
        <f>(IF(G296&gt;0,G296+I296,I296)-(O296*Ventas!AE291*0.9189))</f>
        <v>-16.425061830000001</v>
      </c>
      <c r="Q296" s="18">
        <f>(P296/(Ventas!AE291*0.9189)/60)</f>
        <v>-0.6166666666666667</v>
      </c>
      <c r="R296" s="8">
        <v>0</v>
      </c>
      <c r="S296" s="15">
        <f t="shared" si="17"/>
        <v>0</v>
      </c>
      <c r="T296" s="3"/>
      <c r="U296" s="15">
        <v>39</v>
      </c>
      <c r="V296" s="17">
        <v>1.256E-3</v>
      </c>
      <c r="W296" s="12">
        <v>46331</v>
      </c>
      <c r="X296" s="7">
        <v>56</v>
      </c>
      <c r="Y296" s="15">
        <f>(IF(P296&gt;0,P296+R296,R296)-(X296*Ventas!AE291*0.925))</f>
        <v>-25.02458</v>
      </c>
      <c r="Z296" s="18">
        <f>(Y296/(Ventas!AE291*0.925)/60)</f>
        <v>-0.93333333333333346</v>
      </c>
      <c r="AA296" s="15">
        <f>(120*(Ventas!AE291*1.485) - IF(Y296&gt;0,Y296,0))</f>
        <v>86.088419999999999</v>
      </c>
      <c r="AB296" s="15">
        <f t="shared" si="18"/>
        <v>86.088419999999999</v>
      </c>
      <c r="AC296" s="15">
        <f t="shared" si="19"/>
        <v>86.088419999999999</v>
      </c>
      <c r="AD296" s="16">
        <v>3.51</v>
      </c>
      <c r="AE296" s="8">
        <v>3010</v>
      </c>
      <c r="AF296" s="15">
        <f>(AC296-(60*Ventas!AE291*1.485))</f>
        <v>43.04421</v>
      </c>
      <c r="AG296" s="18">
        <f>(AF296/(Ventas!AE291*1.485)/60)</f>
        <v>1</v>
      </c>
      <c r="AH296" s="1" t="s">
        <v>34</v>
      </c>
    </row>
    <row r="297" spans="1:34" x14ac:dyDescent="0.25">
      <c r="A297" s="1"/>
      <c r="B297" s="1" t="s">
        <v>657</v>
      </c>
      <c r="C297" s="14" t="s">
        <v>656</v>
      </c>
      <c r="D297" s="3"/>
      <c r="E297" s="12">
        <v>46238</v>
      </c>
      <c r="F297" s="7">
        <v>1</v>
      </c>
      <c r="G297" s="15">
        <f>(D297-(0)+0-(F297*Ventas!AE292*1))</f>
        <v>-0.2457</v>
      </c>
      <c r="H297" s="18">
        <f>(G297/(Ventas!AE292*1)/60)</f>
        <v>-1.6666666666666666E-2</v>
      </c>
      <c r="I297" s="8">
        <v>45</v>
      </c>
      <c r="J297" s="15">
        <f t="shared" si="16"/>
        <v>45</v>
      </c>
      <c r="K297" s="15">
        <v>2.99</v>
      </c>
      <c r="L297" s="15">
        <v>45</v>
      </c>
      <c r="M297" s="17">
        <v>9.6699999999999998E-4</v>
      </c>
      <c r="N297" s="12">
        <v>46275</v>
      </c>
      <c r="O297" s="7">
        <v>37</v>
      </c>
      <c r="P297" s="15">
        <f>(IF(G297&gt;0,G297+I297,I297)-(O297*Ventas!AE292*0.9189))</f>
        <v>36.646371989999999</v>
      </c>
      <c r="Q297" s="18">
        <f>(P297/(Ventas!AE292*0.9189)/60)</f>
        <v>2.7052432827326722</v>
      </c>
      <c r="R297" s="8">
        <v>0</v>
      </c>
      <c r="S297" s="15">
        <f t="shared" si="17"/>
        <v>36.646371989999999</v>
      </c>
      <c r="T297" s="3"/>
      <c r="U297" s="15">
        <v>45</v>
      </c>
      <c r="V297" s="17">
        <v>9.6699999999999998E-4</v>
      </c>
      <c r="W297" s="12">
        <v>46331</v>
      </c>
      <c r="X297" s="7">
        <v>56</v>
      </c>
      <c r="Y297" s="15">
        <f>(IF(P297&gt;0,P297+R297,R297)-(X297*Ventas!AE292*0.925))</f>
        <v>23.919111989999998</v>
      </c>
      <c r="Z297" s="18">
        <f>(Y297/(Ventas!AE292*0.925)/60)</f>
        <v>1.7540699666699664</v>
      </c>
      <c r="AA297" s="15">
        <f>(120*(Ventas!AE292*1.485) - IF(Y297&gt;0,Y297,0))</f>
        <v>19.864628010000004</v>
      </c>
      <c r="AB297" s="15">
        <f t="shared" si="18"/>
        <v>19.864628010000004</v>
      </c>
      <c r="AC297" s="15">
        <f t="shared" si="19"/>
        <v>43.783740000000002</v>
      </c>
      <c r="AD297" s="16">
        <v>2.99</v>
      </c>
      <c r="AE297" s="8">
        <v>3025</v>
      </c>
      <c r="AF297" s="15">
        <f>(AC297-(60*Ventas!AE292*1.485))</f>
        <v>21.891869999999997</v>
      </c>
      <c r="AG297" s="18">
        <f>(AF297/(Ventas!AE292*1.485)/60)</f>
        <v>0.99999999999999978</v>
      </c>
      <c r="AH297" s="1" t="s">
        <v>37</v>
      </c>
    </row>
    <row r="298" spans="1:34" x14ac:dyDescent="0.25">
      <c r="A298" s="1"/>
      <c r="B298" s="1" t="s">
        <v>663</v>
      </c>
      <c r="C298" s="14" t="s">
        <v>662</v>
      </c>
      <c r="D298" s="3"/>
      <c r="E298" s="12">
        <v>46238</v>
      </c>
      <c r="F298" s="7">
        <v>1</v>
      </c>
      <c r="G298" s="15">
        <f>(D298-(0)+0-(F298*Ventas!AE295*1))</f>
        <v>0</v>
      </c>
      <c r="H298" s="3"/>
      <c r="I298" s="8">
        <v>0</v>
      </c>
      <c r="J298" s="15">
        <f t="shared" si="16"/>
        <v>0</v>
      </c>
      <c r="K298" s="3"/>
      <c r="L298" s="3"/>
      <c r="M298" s="3"/>
      <c r="N298" s="12">
        <v>46275</v>
      </c>
      <c r="O298" s="7">
        <v>37</v>
      </c>
      <c r="P298" s="15">
        <f>(IF(G298&gt;0,G298+I298,I298)-(O298*Ventas!AE295*0.9189))</f>
        <v>0</v>
      </c>
      <c r="Q298" s="3"/>
      <c r="R298" s="8">
        <v>40</v>
      </c>
      <c r="S298" s="15">
        <f t="shared" si="17"/>
        <v>40</v>
      </c>
      <c r="T298" s="15">
        <v>10.45</v>
      </c>
      <c r="U298" s="3"/>
      <c r="V298" s="3"/>
      <c r="W298" s="12">
        <v>46331</v>
      </c>
      <c r="X298" s="7">
        <v>56</v>
      </c>
      <c r="Y298" s="15">
        <f>(IF(P298&gt;0,P298+R298,R298)-(X298*Ventas!AE295*0.925))</f>
        <v>40</v>
      </c>
      <c r="Z298" s="3"/>
      <c r="AA298" s="15">
        <f>(120*(Ventas!AE295*1.485) - IF(Y298&gt;0,Y298,0))</f>
        <v>-40</v>
      </c>
      <c r="AB298" s="15">
        <f t="shared" si="18"/>
        <v>0</v>
      </c>
      <c r="AC298" s="15">
        <f t="shared" si="19"/>
        <v>40</v>
      </c>
      <c r="AD298" s="3"/>
      <c r="AE298" s="3"/>
      <c r="AF298" s="3"/>
      <c r="AG298" s="3"/>
      <c r="AH298" s="1" t="s">
        <v>37</v>
      </c>
    </row>
  </sheetData>
  <mergeCells count="4">
    <mergeCell ref="E3:M3"/>
    <mergeCell ref="N3:V3"/>
    <mergeCell ref="W3:AC3"/>
    <mergeCell ref="AF3:AG3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Ventas</vt:lpstr>
      <vt:lpstr>Compras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Rodrigo Cabezas</cp:lastModifiedBy>
  <dcterms:created xsi:type="dcterms:W3CDTF">2026-08-03T13:57:49Z</dcterms:created>
  <dcterms:modified xsi:type="dcterms:W3CDTF">2026-08-09T00:34:32Z</dcterms:modified>
</cp:coreProperties>
</file>