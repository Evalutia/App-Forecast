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.xml" ContentType="application/vnd.openxmlformats-officedocument.spreadsheetml.worksheet+xml"/>
  <Override PartName="/xl/comments.xml" ContentType="application/vnd.openxmlformats-officedocument.spreadsheetml.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1416b76ab0d947e3" />
  <Relationship Type="http://schemas.openxmlformats.org/package/2006/relationships/metadata/core-properties" Target="docProps/core.xml" Id="Rdffa2fdcec344baf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 activeTab="1"/>
  </x:bookViews>
  <x:sheets>
    <x:sheet name="Ventas" sheetId="1" r:id="Ra277bfe1dc8b44e7"/>
    <x:sheet name="Compras" sheetId="2" r:id="Rae704be6e4af452b"/>
  </x:sheets>
</x:workbook>
</file>

<file path=xl/comments.xml><?xml version="1.0" encoding="utf-8"?>
<x:comments xmlns:x="http://schemas.openxmlformats.org/spreadsheetml/2006/main">
  <x:authors>
    <x:author>SpreadsheetLight</x:author>
  </x:authors>
  <x:commentList>
    <x:comment ref="D1" authorId="0">
      <x:text>
        <x:t>Unid. Vendidas del Mes 7 / Dias con Stk sobre el Quiebre / Estacionalidad del Mes</x:t>
      </x:text>
    </x:comment>
    <x:comment ref="E1" authorId="0">
      <x:text>
        <x:t>Unid. Vendidas del Mes 8 / Dias con Stk sobre el Quiebre / Estacionalidad del Mes</x:t>
      </x:text>
    </x:comment>
    <x:comment ref="F1" authorId="0">
      <x:text>
        <x:t>Unid. Vendidas del Mes 9 / Dias con Stk sobre el Quiebre / Estacionalidad del Mes</x:t>
      </x:text>
    </x:comment>
    <x:comment ref="G1" authorId="0">
      <x:text>
        <x:t>Unid. Vendidas del Mes 10 / Dias con Stk sobre el Quiebre / Estacionalidad del Mes</x:t>
      </x:text>
    </x:comment>
    <x:comment ref="H1" authorId="0">
      <x:text>
        <x:t>Unid. Vendidas del Mes 11 / Dias con Stk sobre el Quiebre / Estacionalidad del Mes</x:t>
      </x:text>
    </x:comment>
    <x:comment ref="I1" authorId="0">
      <x:text>
        <x:t>Unid. Vendidas del Mes 12 / Dias con Stk sobre el Quiebre / Estacionalidad del Mes</x:t>
      </x:text>
    </x:comment>
    <x:comment ref="J1" authorId="0">
      <x:text>
        <x:t>Unid. Vendidas del Mes 1 / Dias con Stk sobre el Quiebre / Estacionalidad del Mes</x:t>
      </x:text>
    </x:comment>
    <x:comment ref="K1" authorId="0">
      <x:text>
        <x:t>Unid. Vendidas del Mes 2 / Dias con Stk sobre el Quiebre / Estacionalidad del Mes</x:t>
      </x:text>
    </x:comment>
    <x:comment ref="L1" authorId="0">
      <x:text>
        <x:t>Unid. Vendidas del Mes 3 / Dias con Stk sobre el Quiebre / Estacionalidad del Mes</x:t>
      </x:text>
    </x:comment>
    <x:comment ref="M1" authorId="0">
      <x:text>
        <x:t>Unid. Vendidas del Mes 4 / Dias con Stk sobre el Quiebre / Estacionalidad del Mes</x:t>
      </x:text>
    </x:comment>
    <x:comment ref="N1" authorId="0">
      <x:text>
        <x:t>Unid. Vendidas del Mes 5 / Dias con Stk sobre el Quiebre / Estacionalidad del Mes</x:t>
      </x:text>
    </x:comment>
    <x:comment ref="O1" authorId="0">
      <x:text>
        <x:t>Unid. Vendidas del Mes 6 / Dias con Stk sobre el Quiebre / Estacionalidad del Mes</x:t>
      </x:text>
    </x:comment>
    <x:comment ref="P1" authorId="0">
      <x:text>
        <x:t>Unid. Vendidas del Mes 7 / Dias con Stk sobre el Quiebre / Estacionalidad del Mes</x:t>
      </x:text>
    </x:comment>
    <x:comment ref="Q1" authorId="0">
      <x:text>
        <x:t>Venta Estacionalizada Mes 7 / Dias con Stk sobre el Quiebre / Estacionalidad del Mes</x:t>
      </x:text>
    </x:comment>
    <x:comment ref="R1" authorId="0">
      <x:text>
        <x:t>Venta Estacionalizada Mes 8 / Dias con Stk sobre el Quiebre / Estacionalidad del Mes</x:t>
      </x:text>
    </x:comment>
    <x:comment ref="S1" authorId="0">
      <x:text>
        <x:t>Venta Estacionalizada Mes 9 / Dias con Stk sobre el Quiebre / Estacionalidad del Mes</x:t>
      </x:text>
    </x:comment>
    <x:comment ref="T1" authorId="0">
      <x:text>
        <x:t>Venta Estacionalizada Mes 10 / Dias con Stk sobre el Quiebre / Estacionalidad del Mes</x:t>
      </x:text>
    </x:comment>
    <x:comment ref="U1" authorId="0">
      <x:text>
        <x:t>Venta Estacionalizada Mes 11 / Dias con Stk sobre el Quiebre / Estacionalidad del Mes</x:t>
      </x:text>
    </x:comment>
    <x:comment ref="V1" authorId="0">
      <x:text>
        <x:t>Venta Estacionalizada Mes 12 / Dias con Stk sobre el Quiebre / Estacionalidad del Mes</x:t>
      </x:text>
    </x:comment>
    <x:comment ref="W1" authorId="0">
      <x:text>
        <x:t>Venta Estacionalizada Mes 1 / Dias con Stk sobre el Quiebre / Estacionalidad del Mes</x:t>
      </x:text>
    </x:comment>
    <x:comment ref="X1" authorId="0">
      <x:text>
        <x:t>Venta Estacionalizada Mes 2 / Dias con Stk sobre el Quiebre / Estacionalidad del Mes</x:t>
      </x:text>
    </x:comment>
    <x:comment ref="Y1" authorId="0">
      <x:text>
        <x:t>Venta Estacionalizada Mes 3 / Dias con Stk sobre el Quiebre / Estacionalidad del Mes</x:t>
      </x:text>
    </x:comment>
    <x:comment ref="Z1" authorId="0">
      <x:text>
        <x:t>Venta Estacionalizada Mes 4 / Dias con Stk sobre el Quiebre / Estacionalidad del Mes</x:t>
      </x:text>
    </x:comment>
    <x:comment ref="AA1" authorId="0">
      <x:text>
        <x:t>Venta Estacionalizada Mes 5 / Dias con Stk sobre el Quiebre / Estacionalidad del Mes</x:t>
      </x:text>
    </x:comment>
    <x:comment ref="AB1" authorId="0">
      <x:text>
        <x:t>Venta Estacionalizada Mes 6 / Dias con Stk sobre el Quiebre / Estacionalidad del Mes</x:t>
      </x:text>
    </x:comment>
    <x:comment ref="AC1" authorId="0">
      <x:text>
        <x:t>Venta Estacionalizada Mes 7 / Dias con Stk sobre el Quiebre / Estacionalidad del Mes</x:t>
      </x:text>
    </x:comment>
    <x:comment ref="AD1" authorId="0">
      <x:text>
        <x:t>Promedio de todos los Meses, menos el ultimo</x:t>
      </x:text>
    </x:comment>
    <x:comment ref="AE1" authorId="0">
      <x:text>
        <x:t>Valor Utilizado en la Hoja Compras (Rotacion DesEstacionalizada)</x:t>
      </x:text>
    </x:comment>
    <x:comment ref="Q5" authorId="0">
      <x:text>
        <x:t>Dias de Quiebre 2</x:t>
      </x:text>
    </x:comment>
    <x:comment ref="Q33" authorId="0">
      <x:text>
        <x:t>Dias de Quiebre 2</x:t>
      </x:text>
    </x:comment>
    <x:comment ref="R39" authorId="0">
      <x:text>
        <x:t>Dias de Quiebre 18</x:t>
      </x:text>
    </x:comment>
    <x:comment ref="T58" authorId="0">
      <x:text>
        <x:t>Dias de Quiebre 9</x:t>
      </x:text>
    </x:comment>
    <x:comment ref="R62" authorId="0">
      <x:text>
        <x:t>Dias de Quiebre 5</x:t>
      </x:text>
    </x:comment>
    <x:comment ref="V65" authorId="0">
      <x:text>
        <x:t>Dias de Quiebre 15</x:t>
      </x:text>
    </x:comment>
    <x:comment ref="W91" authorId="0">
      <x:text>
        <x:t>Dias de Quiebre 20</x:t>
      </x:text>
    </x:comment>
    <x:comment ref="Q92" authorId="0">
      <x:text>
        <x:t>Dias de Quiebre 2</x:t>
      </x:text>
    </x:comment>
    <x:comment ref="R92" authorId="0">
      <x:text>
        <x:t>Dias de Quiebre 26</x:t>
      </x:text>
    </x:comment>
    <x:comment ref="S92" authorId="0">
      <x:text>
        <x:t>Dias de Quiebre 2</x:t>
      </x:text>
    </x:comment>
    <x:comment ref="U92" authorId="0">
      <x:text>
        <x:t>Dias de Quiebre 20</x:t>
      </x:text>
    </x:comment>
    <x:comment ref="V92" authorId="0">
      <x:text>
        <x:t>Dias de Quiebre 3</x:t>
      </x:text>
    </x:comment>
    <x:comment ref="W92" authorId="0">
      <x:text>
        <x:t>Dias de Quiebre 4</x:t>
      </x:text>
    </x:comment>
    <x:comment ref="Z92" authorId="0">
      <x:text>
        <x:t>Dias de Quiebre 15</x:t>
      </x:text>
    </x:comment>
    <x:comment ref="AA94" authorId="0">
      <x:text>
        <x:t>Dias de Quiebre 24</x:t>
      </x:text>
    </x:comment>
    <x:comment ref="Q97" authorId="0">
      <x:text>
        <x:t>Dias de Quiebre 2</x:t>
      </x:text>
    </x:comment>
    <x:comment ref="U97" authorId="0">
      <x:text>
        <x:t>Dias de Quiebre 5</x:t>
      </x:text>
    </x:comment>
    <x:comment ref="V97" authorId="0">
      <x:text>
        <x:t>Dias de Quiebre 3</x:t>
      </x:text>
    </x:comment>
    <x:comment ref="V98" authorId="0">
      <x:text>
        <x:t>Dias de Quiebre 3</x:t>
      </x:text>
    </x:comment>
    <x:comment ref="Q99" authorId="0">
      <x:text>
        <x:t>Dias de Quiebre 2</x:t>
      </x:text>
    </x:comment>
    <x:comment ref="R99" authorId="0">
      <x:text>
        <x:t>Dias de Quiebre 27</x:t>
      </x:text>
    </x:comment>
    <x:comment ref="S99" authorId="0">
      <x:text>
        <x:t>Dias de Quiebre 2</x:t>
      </x:text>
    </x:comment>
    <x:comment ref="T99" authorId="0">
      <x:text>
        <x:t>Dias de Quiebre 12</x:t>
      </x:text>
    </x:comment>
    <x:comment ref="W99" authorId="0">
      <x:text>
        <x:t>Dias de Quiebre 8</x:t>
      </x:text>
    </x:comment>
    <x:comment ref="Z120" authorId="0">
      <x:text>
        <x:t>Dias de Quiebre 16</x:t>
      </x:text>
    </x:comment>
    <x:comment ref="Q121" authorId="0">
      <x:text>
        <x:t>Dias de Quiebre 2</x:t>
      </x:text>
    </x:comment>
    <x:comment ref="X130" authorId="0">
      <x:text>
        <x:t>Dias de Quiebre 16</x:t>
      </x:text>
    </x:comment>
    <x:comment ref="Y130" authorId="0">
      <x:text>
        <x:t>Dias de Quiebre 9</x:t>
      </x:text>
    </x:comment>
    <x:comment ref="S134" authorId="0">
      <x:text>
        <x:t>Dias de Quiebre 2</x:t>
      </x:text>
    </x:comment>
    <x:comment ref="Z136" authorId="0">
      <x:text>
        <x:t>Dias de Quiebre 23</x:t>
      </x:text>
    </x:comment>
    <x:comment ref="S140" authorId="0">
      <x:text>
        <x:t>Dias de Quiebre 25</x:t>
      </x:text>
    </x:comment>
    <x:comment ref="W141" authorId="0">
      <x:text>
        <x:t>Dias de Quiebre 19</x:t>
      </x:text>
    </x:comment>
    <x:comment ref="Q149" authorId="0">
      <x:text>
        <x:t>Dias de Quiebre 2</x:t>
      </x:text>
    </x:comment>
    <x:comment ref="Q152" authorId="0">
      <x:text>
        <x:t>Dias de Quiebre 2</x:t>
      </x:text>
    </x:comment>
    <x:comment ref="T155" authorId="0">
      <x:text>
        <x:t>Dias de Quiebre 11</x:t>
      </x:text>
    </x:comment>
    <x:comment ref="W155" authorId="0">
      <x:text>
        <x:t>Dias de Quiebre 8</x:t>
      </x:text>
    </x:comment>
    <x:comment ref="Y157" authorId="0">
      <x:text>
        <x:t>Dias de Quiebre 7</x:t>
      </x:text>
    </x:comment>
    <x:comment ref="Z166" authorId="0">
      <x:text>
        <x:t>Dias de Quiebre 15</x:t>
      </x:text>
    </x:comment>
    <x:comment ref="X167" authorId="0">
      <x:text>
        <x:t>Dias de Quiebre 26</x:t>
      </x:text>
    </x:comment>
    <x:comment ref="W168" authorId="0">
      <x:text>
        <x:t>Dias de Quiebre 5</x:t>
      </x:text>
    </x:comment>
    <x:comment ref="Q178" authorId="0">
      <x:text>
        <x:t>Dias de Quiebre 2</x:t>
      </x:text>
    </x:comment>
    <x:comment ref="Q180" authorId="0">
      <x:text>
        <x:t>Dias de Quiebre 2</x:t>
      </x:text>
    </x:comment>
    <x:comment ref="AB181" authorId="0">
      <x:text>
        <x:t>Dias de Quiebre 21</x:t>
      </x:text>
    </x:comment>
    <x:comment ref="AB182" authorId="0">
      <x:text>
        <x:t>Dias de Quiebre 1</x:t>
      </x:text>
    </x:comment>
    <x:comment ref="T186" authorId="0">
      <x:text>
        <x:t>Dias de Quiebre 23</x:t>
      </x:text>
    </x:comment>
    <x:comment ref="V186" authorId="0">
      <x:text>
        <x:t>Dias de Quiebre 3</x:t>
      </x:text>
    </x:comment>
    <x:comment ref="R187" authorId="0">
      <x:text>
        <x:t>Dias de Quiebre 5</x:t>
      </x:text>
    </x:comment>
    <x:comment ref="S187" authorId="0">
      <x:text>
        <x:t>Dias de Quiebre 23</x:t>
      </x:text>
    </x:comment>
    <x:comment ref="V187" authorId="0">
      <x:text>
        <x:t>Dias de Quiebre 3</x:t>
      </x:text>
    </x:comment>
    <x:comment ref="V189" authorId="0">
      <x:text>
        <x:t>Dias de Quiebre 21</x:t>
      </x:text>
    </x:comment>
    <x:comment ref="W189" authorId="0">
      <x:text>
        <x:t>Dias de Quiebre 8</x:t>
      </x:text>
    </x:comment>
    <x:comment ref="X189" authorId="0">
      <x:text>
        <x:t>Dias de Quiebre 27</x:t>
      </x:text>
    </x:comment>
    <x:comment ref="Y189" authorId="0">
      <x:text>
        <x:t>Dias de Quiebre 9</x:t>
      </x:text>
    </x:comment>
    <x:comment ref="Z189" authorId="0">
      <x:text>
        <x:t>Dias de Quiebre 17</x:t>
      </x:text>
    </x:comment>
    <x:comment ref="AB189" authorId="0">
      <x:text>
        <x:t>Dias de Quiebre 15</x:t>
      </x:text>
    </x:comment>
    <x:comment ref="Q190" authorId="0">
      <x:text>
        <x:t>Dias de Quiebre 24</x:t>
      </x:text>
    </x:comment>
    <x:comment ref="S190" authorId="0">
      <x:text>
        <x:t>Dias de Quiebre 2</x:t>
      </x:text>
    </x:comment>
    <x:comment ref="Q195" authorId="0">
      <x:text>
        <x:t>Dias de Quiebre 2</x:t>
      </x:text>
    </x:comment>
    <x:comment ref="Z196" authorId="0">
      <x:text>
        <x:t>Dias de Quiebre 14</x:t>
      </x:text>
    </x:comment>
    <x:comment ref="Q201" authorId="0">
      <x:text>
        <x:t>Dias de Quiebre 1</x:t>
      </x:text>
    </x:comment>
    <x:comment ref="S201" authorId="0">
      <x:text>
        <x:t>Dias de Quiebre 2</x:t>
      </x:text>
    </x:comment>
    <x:comment ref="Q203" authorId="0">
      <x:text>
        <x:t>Dias de Quiebre 1</x:t>
      </x:text>
    </x:comment>
    <x:comment ref="S203" authorId="0">
      <x:text>
        <x:t>Dias de Quiebre 2</x:t>
      </x:text>
    </x:comment>
    <x:comment ref="Q204" authorId="0">
      <x:text>
        <x:t>Dias de Quiebre 10</x:t>
      </x:text>
    </x:comment>
    <x:comment ref="S204" authorId="0">
      <x:text>
        <x:t>Dias de Quiebre 2</x:t>
      </x:text>
    </x:comment>
    <x:comment ref="U204" authorId="0">
      <x:text>
        <x:t>Dias de Quiebre 5</x:t>
      </x:text>
    </x:comment>
    <x:comment ref="V204" authorId="0">
      <x:text>
        <x:t>Dias de Quiebre 3</x:t>
      </x:text>
    </x:comment>
    <x:comment ref="R205" authorId="0">
      <x:text>
        <x:t>Dias de Quiebre 21</x:t>
      </x:text>
    </x:comment>
    <x:comment ref="S205" authorId="0">
      <x:text>
        <x:t>Dias de Quiebre 2</x:t>
      </x:text>
    </x:comment>
    <x:comment ref="Q212" authorId="0">
      <x:text>
        <x:t>Dias de Quiebre 2</x:t>
      </x:text>
    </x:comment>
    <x:comment ref="Q214" authorId="0">
      <x:text>
        <x:t>Dias de Quiebre 16</x:t>
      </x:text>
    </x:comment>
    <x:comment ref="V214" authorId="0">
      <x:text>
        <x:t>Dias de Quiebre 3</x:t>
      </x:text>
    </x:comment>
    <x:comment ref="Q215" authorId="0">
      <x:text>
        <x:t>Dias de Quiebre 2</x:t>
      </x:text>
    </x:comment>
    <x:comment ref="Q216" authorId="0">
      <x:text>
        <x:t>Dias de Quiebre 2</x:t>
      </x:text>
    </x:comment>
    <x:comment ref="Q217" authorId="0">
      <x:text>
        <x:t>Dias de Quiebre 2</x:t>
      </x:text>
    </x:comment>
    <x:comment ref="Q218" authorId="0">
      <x:text>
        <x:t>Dias de Quiebre 2</x:t>
      </x:text>
    </x:comment>
    <x:comment ref="Q219" authorId="0">
      <x:text>
        <x:t>Dias de Quiebre 2</x:t>
      </x:text>
    </x:comment>
    <x:comment ref="T219" authorId="0">
      <x:text>
        <x:t>Dias de Quiebre 3</x:t>
      </x:text>
    </x:comment>
    <x:comment ref="Q220" authorId="0">
      <x:text>
        <x:t>Dias de Quiebre 2</x:t>
      </x:text>
    </x:comment>
    <x:comment ref="V220" authorId="0">
      <x:text>
        <x:t>Dias de Quiebre 17</x:t>
      </x:text>
    </x:comment>
    <x:comment ref="Q221" authorId="0">
      <x:text>
        <x:t>Dias de Quiebre 2</x:t>
      </x:text>
    </x:comment>
    <x:comment ref="U221" authorId="0">
      <x:text>
        <x:t>Dias de Quiebre 6</x:t>
      </x:text>
    </x:comment>
    <x:comment ref="V221" authorId="0">
      <x:text>
        <x:t>Dias de Quiebre 3</x:t>
      </x:text>
    </x:comment>
    <x:comment ref="Q222" authorId="0">
      <x:text>
        <x:t>Dias de Quiebre 2</x:t>
      </x:text>
    </x:comment>
    <x:comment ref="U222" authorId="0">
      <x:text>
        <x:t>Dias de Quiebre 17</x:t>
      </x:text>
    </x:comment>
    <x:comment ref="V222" authorId="0">
      <x:text>
        <x:t>Dias de Quiebre 3</x:t>
      </x:text>
    </x:comment>
    <x:comment ref="Q223" authorId="0">
      <x:text>
        <x:t>Dias de Quiebre 2</x:t>
      </x:text>
    </x:comment>
    <x:comment ref="Q224" authorId="0">
      <x:text>
        <x:t>Dias de Quiebre 11</x:t>
      </x:text>
    </x:comment>
    <x:comment ref="S224" authorId="0">
      <x:text>
        <x:t>Dias de Quiebre 29</x:t>
      </x:text>
    </x:comment>
    <x:comment ref="V224" authorId="0">
      <x:text>
        <x:t>Dias de Quiebre 3</x:t>
      </x:text>
    </x:comment>
    <x:comment ref="Q225" authorId="0">
      <x:text>
        <x:t>Dias de Quiebre 2</x:t>
      </x:text>
    </x:comment>
    <x:comment ref="R225" authorId="0">
      <x:text>
        <x:t>Dias de Quiebre 27</x:t>
      </x:text>
    </x:comment>
    <x:comment ref="V225" authorId="0">
      <x:text>
        <x:t>Dias de Quiebre 3</x:t>
      </x:text>
    </x:comment>
    <x:comment ref="Q226" authorId="0">
      <x:text>
        <x:t>Dias de Quiebre 2</x:t>
      </x:text>
    </x:comment>
    <x:comment ref="R226" authorId="0">
      <x:text>
        <x:t>Dias de Quiebre 27</x:t>
      </x:text>
    </x:comment>
    <x:comment ref="V226" authorId="0">
      <x:text>
        <x:t>Dias de Quiebre 3</x:t>
      </x:text>
    </x:comment>
    <x:comment ref="Q227" authorId="0">
      <x:text>
        <x:t>Dias de Quiebre 2</x:t>
      </x:text>
    </x:comment>
    <x:comment ref="T227" authorId="0">
      <x:text>
        <x:t>Dias de Quiebre 18</x:t>
      </x:text>
    </x:comment>
    <x:comment ref="Q229" authorId="0">
      <x:text>
        <x:t>Dias de Quiebre 18</x:t>
      </x:text>
    </x:comment>
    <x:comment ref="V229" authorId="0">
      <x:text>
        <x:t>Dias de Quiebre 3</x:t>
      </x:text>
    </x:comment>
    <x:comment ref="Q230" authorId="0">
      <x:text>
        <x:t>Dias de Quiebre 18</x:t>
      </x:text>
    </x:comment>
    <x:comment ref="V230" authorId="0">
      <x:text>
        <x:t>Dias de Quiebre 3</x:t>
      </x:text>
    </x:comment>
    <x:comment ref="S232" authorId="0">
      <x:text>
        <x:t>Dias de Quiebre 25</x:t>
      </x:text>
    </x:comment>
    <x:comment ref="S233" authorId="0">
      <x:text>
        <x:t>Dias de Quiebre 25</x:t>
      </x:text>
    </x:comment>
    <x:comment ref="S234" authorId="0">
      <x:text>
        <x:t>Dias de Quiebre 25</x:t>
      </x:text>
    </x:comment>
    <x:comment ref="S235" authorId="0">
      <x:text>
        <x:t>Dias de Quiebre 2</x:t>
      </x:text>
    </x:comment>
    <x:comment ref="T235" authorId="0">
      <x:text>
        <x:t>Dias de Quiebre 24</x:t>
      </x:text>
    </x:comment>
    <x:comment ref="S236" authorId="0">
      <x:text>
        <x:t>Dias de Quiebre 25</x:t>
      </x:text>
    </x:comment>
    <x:comment ref="S237" authorId="0">
      <x:text>
        <x:t>Dias de Quiebre 25</x:t>
      </x:text>
    </x:comment>
    <x:comment ref="S238" authorId="0">
      <x:text>
        <x:t>Dias de Quiebre 25</x:t>
      </x:text>
    </x:comment>
    <x:comment ref="S239" authorId="0">
      <x:text>
        <x:t>Dias de Quiebre 25</x:t>
      </x:text>
    </x:comment>
    <x:comment ref="S240" authorId="0">
      <x:text>
        <x:t>Dias de Quiebre 25</x:t>
      </x:text>
    </x:comment>
    <x:comment ref="S241" authorId="0">
      <x:text>
        <x:t>Dias de Quiebre 25</x:t>
      </x:text>
    </x:comment>
    <x:comment ref="S242" authorId="0">
      <x:text>
        <x:t>Dias de Quiebre 2</x:t>
      </x:text>
    </x:comment>
    <x:comment ref="T242" authorId="0">
      <x:text>
        <x:t>Dias de Quiebre 24</x:t>
      </x:text>
    </x:comment>
    <x:comment ref="S243" authorId="0">
      <x:text>
        <x:t>Dias de Quiebre 25</x:t>
      </x:text>
    </x:comment>
    <x:comment ref="S244" authorId="0">
      <x:text>
        <x:t>Dias de Quiebre 25</x:t>
      </x:text>
    </x:comment>
    <x:comment ref="S245" authorId="0">
      <x:text>
        <x:t>Dias de Quiebre 25</x:t>
      </x:text>
    </x:comment>
    <x:comment ref="S246" authorId="0">
      <x:text>
        <x:t>Dias de Quiebre 25</x:t>
      </x:text>
    </x:comment>
    <x:comment ref="S247" authorId="0">
      <x:text>
        <x:t>Dias de Quiebre 25</x:t>
      </x:text>
    </x:comment>
    <x:comment ref="S248" authorId="0">
      <x:text>
        <x:t>Dias de Quiebre 25</x:t>
      </x:text>
    </x:comment>
    <x:comment ref="S249" authorId="0">
      <x:text>
        <x:t>Dias de Quiebre 25</x:t>
      </x:text>
    </x:comment>
    <x:comment ref="S250" authorId="0">
      <x:text>
        <x:t>Dias de Quiebre 2</x:t>
      </x:text>
    </x:comment>
    <x:comment ref="V251" authorId="0">
      <x:text>
        <x:t>Dias de Quiebre 3</x:t>
      </x:text>
    </x:comment>
    <x:comment ref="V252" authorId="0">
      <x:text>
        <x:t>Dias de Quiebre 3</x:t>
      </x:text>
    </x:comment>
    <x:comment ref="V253" authorId="0">
      <x:text>
        <x:t>Dias de Quiebre 3</x:t>
      </x:text>
    </x:comment>
    <x:comment ref="V254" authorId="0">
      <x:text>
        <x:t>Dias de Quiebre 3</x:t>
      </x:text>
    </x:comment>
    <x:comment ref="V255" authorId="0">
      <x:text>
        <x:t>Dias de Quiebre 3</x:t>
      </x:text>
    </x:comment>
    <x:comment ref="X255" authorId="0">
      <x:text>
        <x:t>Dias de Quiebre 2</x:t>
      </x:text>
    </x:comment>
    <x:comment ref="Z255" authorId="0">
      <x:text>
        <x:t>Dias de Quiebre 29</x:t>
      </x:text>
    </x:comment>
    <x:comment ref="V256" authorId="0">
      <x:text>
        <x:t>Dias de Quiebre 3</x:t>
      </x:text>
    </x:comment>
    <x:comment ref="V257" authorId="0">
      <x:text>
        <x:t>Dias de Quiebre 3</x:t>
      </x:text>
    </x:comment>
    <x:comment ref="V258" authorId="0">
      <x:text>
        <x:t>Dias de Quiebre 3</x:t>
      </x:text>
    </x:comment>
    <x:comment ref="T259" authorId="0">
      <x:text>
        <x:t>Dias de Quiebre 7</x:t>
      </x:text>
    </x:comment>
    <x:comment ref="Z259" authorId="0">
      <x:text>
        <x:t>Dias de Quiebre 8</x:t>
      </x:text>
    </x:comment>
    <x:comment ref="W260" authorId="0">
      <x:text>
        <x:t>Dias de Quiebre 8</x:t>
      </x:text>
    </x:comment>
    <x:comment ref="W261" authorId="0">
      <x:text>
        <x:t>Dias de Quiebre 8</x:t>
      </x:text>
    </x:comment>
    <x:comment ref="W262" authorId="0">
      <x:text>
        <x:t>Dias de Quiebre 8</x:t>
      </x:text>
    </x:comment>
    <x:comment ref="AA262" authorId="0">
      <x:text>
        <x:t>Dias de Quiebre 11</x:t>
      </x:text>
    </x:comment>
    <x:comment ref="W263" authorId="0">
      <x:text>
        <x:t>Dias de Quiebre 8</x:t>
      </x:text>
    </x:comment>
    <x:comment ref="AB263" authorId="0">
      <x:text>
        <x:t>Dias de Quiebre 5</x:t>
      </x:text>
    </x:comment>
    <x:comment ref="W265" authorId="0">
      <x:text>
        <x:t>Dias de Quiebre 8</x:t>
      </x:text>
    </x:comment>
    <x:comment ref="W266" authorId="0">
      <x:text>
        <x:t>Dias de Quiebre 8</x:t>
      </x:text>
    </x:comment>
    <x:comment ref="W267" authorId="0">
      <x:text>
        <x:t>Dias de Quiebre 8</x:t>
      </x:text>
    </x:comment>
    <x:comment ref="W268" authorId="0">
      <x:text>
        <x:t>Dias de Quiebre 8</x:t>
      </x:text>
    </x:comment>
    <x:comment ref="W270" authorId="0">
      <x:text>
        <x:t>Dias de Quiebre 8</x:t>
      </x:text>
    </x:comment>
    <x:comment ref="Z270" authorId="0">
      <x:text>
        <x:t>Dias de Quiebre 11</x:t>
      </x:text>
    </x:comment>
    <x:comment ref="W271" authorId="0">
      <x:text>
        <x:t>Dias de Quiebre 8</x:t>
      </x:text>
    </x:comment>
    <x:comment ref="W272" authorId="0">
      <x:text>
        <x:t>Dias de Quiebre 8</x:t>
      </x:text>
    </x:comment>
    <x:comment ref="W273" authorId="0">
      <x:text>
        <x:t>Dias de Quiebre 8</x:t>
      </x:text>
    </x:comment>
    <x:comment ref="W274" authorId="0">
      <x:text>
        <x:t>Dias de Quiebre 8</x:t>
      </x:text>
    </x:comment>
    <x:comment ref="W275" authorId="0">
      <x:text>
        <x:t>Dias de Quiebre 8</x:t>
      </x:text>
    </x:comment>
    <x:comment ref="W276" authorId="0">
      <x:text>
        <x:t>Dias de Quiebre 8</x:t>
      </x:text>
    </x:comment>
    <x:comment ref="W277" authorId="0">
      <x:text>
        <x:t>Dias de Quiebre 8</x:t>
      </x:text>
    </x:comment>
    <x:comment ref="W278" authorId="0">
      <x:text>
        <x:t>Dias de Quiebre 8</x:t>
      </x:text>
    </x:comment>
    <x:comment ref="W279" authorId="0">
      <x:text>
        <x:t>Dias de Quiebre 8</x:t>
      </x:text>
    </x:comment>
    <x:comment ref="W280" authorId="0">
      <x:text>
        <x:t>Dias de Quiebre 8</x:t>
      </x:text>
    </x:comment>
    <x:comment ref="W281" authorId="0">
      <x:text>
        <x:t>Dias de Quiebre 8</x:t>
      </x:text>
    </x:comment>
    <x:comment ref="W282" authorId="0">
      <x:text>
        <x:t>Dias de Quiebre 8</x:t>
      </x:text>
    </x:comment>
    <x:comment ref="W283" authorId="0">
      <x:text>
        <x:t>Dias de Quiebre 8</x:t>
      </x:text>
    </x:comment>
    <x:comment ref="W284" authorId="0">
      <x:text>
        <x:t>Dias de Quiebre 8</x:t>
      </x:text>
    </x:comment>
    <x:comment ref="W285" authorId="0">
      <x:text>
        <x:t>Dias de Quiebre 8</x:t>
      </x:text>
    </x:comment>
    <x:comment ref="W286" authorId="0">
      <x:text>
        <x:t>Dias de Quiebre 8</x:t>
      </x:text>
    </x:comment>
    <x:comment ref="W287" authorId="0">
      <x:text>
        <x:t>Dias de Quiebre 8</x:t>
      </x:text>
    </x:comment>
    <x:comment ref="W288" authorId="0">
      <x:text>
        <x:t>Dias de Quiebre 8</x:t>
      </x:text>
    </x:comment>
    <x:comment ref="W289" authorId="0">
      <x:text>
        <x:t>Dias de Quiebre 8</x:t>
      </x:text>
    </x:comment>
    <x:comment ref="Y300" authorId="0">
      <x:text>
        <x:t>Dias de Quiebre 9</x:t>
      </x:text>
    </x:comment>
    <x:comment ref="AB300" authorId="0">
      <x:text>
        <x:t>Dias de Quiebre 14</x:t>
      </x:text>
    </x:comment>
    <x:comment ref="Y301" authorId="0">
      <x:text>
        <x:t>Dias de Quiebre 9</x:t>
      </x:text>
    </x:comment>
    <x:comment ref="Y302" authorId="0">
      <x:text>
        <x:t>Dias de Quiebre 9</x:t>
      </x:text>
    </x:comment>
    <x:comment ref="Y303" authorId="0">
      <x:text>
        <x:t>Dias de Quiebre 9</x:t>
      </x:text>
    </x:comment>
    <x:comment ref="Y304" authorId="0">
      <x:text>
        <x:t>Dias de Quiebre 9</x:t>
      </x:text>
    </x:comment>
    <x:comment ref="Z308" authorId="0">
      <x:text>
        <x:t>Dias de Quiebre 29</x:t>
      </x:text>
    </x:comment>
    <x:comment ref="Z309" authorId="0">
      <x:text>
        <x:t>Dias de Quiebre 29</x:t>
      </x:text>
    </x:comment>
    <x:comment ref="Z310" authorId="0">
      <x:text>
        <x:t>Dias de Quiebre 29</x:t>
      </x:text>
    </x:comment>
    <x:comment ref="Z311" authorId="0">
      <x:text>
        <x:t>Dias de Quiebre 29</x:t>
      </x:text>
    </x:comment>
    <x:comment ref="Z312" authorId="0">
      <x:text>
        <x:t>Dias de Quiebre 29</x:t>
      </x:text>
    </x:comment>
    <x:comment ref="Z313" authorId="0">
      <x:text>
        <x:t>Dias de Quiebre 29</x:t>
      </x:text>
    </x:comment>
    <x:comment ref="Z314" authorId="0">
      <x:text>
        <x:t>Dias de Quiebre 29</x:t>
      </x:text>
    </x:comment>
    <x:comment ref="Z315" authorId="0">
      <x:text>
        <x:t>Dias de Quiebre 29</x:t>
      </x:text>
    </x:comment>
    <x:comment ref="Z316" authorId="0">
      <x:text>
        <x:t>Dias de Quiebre 29</x:t>
      </x:text>
    </x:comment>
    <x:comment ref="Z321" authorId="0">
      <x:text>
        <x:t>Dias de Quiebre 29</x:t>
      </x:text>
    </x:comment>
    <x:comment ref="Z322" authorId="0">
      <x:text>
        <x:t>Dias de Quiebre 29</x:t>
      </x:text>
    </x:comment>
    <x:comment ref="Z323" authorId="0">
      <x:text>
        <x:t>Dias de Quiebre 29</x:t>
      </x:text>
    </x:comment>
    <x:comment ref="Z324" authorId="0">
      <x:text>
        <x:t>Dias de Quiebre 29</x:t>
      </x:text>
    </x:comment>
    <x:comment ref="Z325" authorId="0">
      <x:text>
        <x:t>Dias de Quiebre 29</x:t>
      </x:text>
    </x:comment>
    <x:comment ref="Z326" authorId="0">
      <x:text>
        <x:t>Dias de Quiebre 29</x:t>
      </x:text>
    </x:comment>
    <x:comment ref="Z327" authorId="0">
      <x:text>
        <x:t>Dias de Quiebre 29</x:t>
      </x:text>
    </x:comment>
    <x:comment ref="Y329" authorId="0">
      <x:text>
        <x:t>Dias de Quiebre 9</x:t>
      </x:text>
    </x:comment>
    <x:comment ref="Y330" authorId="0">
      <x:text>
        <x:t>Dias de Quiebre 9</x:t>
      </x:text>
    </x:comment>
    <x:comment ref="Z331" authorId="0">
      <x:text>
        <x:t>Dias de Quiebre 29</x:t>
      </x:text>
    </x:comment>
    <x:comment ref="Z332" authorId="0">
      <x:text>
        <x:t>Dias de Quiebre 29</x:t>
      </x:text>
    </x:comment>
    <x:comment ref="Z333" authorId="0">
      <x:text>
        <x:t>Dias de Quiebre 29</x:t>
      </x:text>
    </x:comment>
    <x:comment ref="Z334" authorId="0">
      <x:text>
        <x:t>Dias de Quiebre 29</x:t>
      </x:text>
    </x:comment>
    <x:comment ref="Z335" authorId="0">
      <x:text>
        <x:t>Dias de Quiebre 29</x:t>
      </x:text>
    </x:comment>
    <x:comment ref="Z336" authorId="0">
      <x:text>
        <x:t>Dias de Quiebre 29</x:t>
      </x:text>
    </x:comment>
    <x:comment ref="Z337" authorId="0">
      <x:text>
        <x:t>Dias de Quiebre 29</x:t>
      </x:text>
    </x:comment>
    <x:comment ref="Z339" authorId="0">
      <x:text>
        <x:t>Dias de Quiebre 29</x:t>
      </x:text>
    </x:comment>
    <x:comment ref="S382" authorId="0">
      <x:text>
        <x:t>Dias de Quiebre 14</x:t>
      </x:text>
    </x:comment>
    <x:comment ref="S383" authorId="0">
      <x:text>
        <x:t>Dias de Quiebre 2</x:t>
      </x:text>
    </x:comment>
    <x:comment ref="S384" authorId="0">
      <x:text>
        <x:t>Dias de Quiebre 18</x:t>
      </x:text>
    </x:comment>
    <x:comment ref="AA390" authorId="0">
      <x:text>
        <x:t>Dias de Quiebre 28</x:t>
      </x:text>
    </x:comment>
    <x:comment ref="Y393" authorId="0">
      <x:text>
        <x:t>Dias de Quiebre 9</x:t>
      </x:text>
    </x:comment>
    <x:comment ref="Y395" authorId="0">
      <x:text>
        <x:t>Dias de Quiebre 9</x:t>
      </x:text>
    </x:comment>
    <x:comment ref="V396" authorId="0">
      <x:text>
        <x:t>Dias de Quiebre 3</x:t>
      </x:text>
    </x:comment>
    <x:comment ref="V397" authorId="0">
      <x:text>
        <x:t>Dias de Quiebre 3</x:t>
      </x:text>
    </x:comment>
    <x:comment ref="V398" authorId="0">
      <x:text>
        <x:t>Dias de Quiebre 3</x:t>
      </x:text>
    </x:comment>
    <x:comment ref="AA398" authorId="0">
      <x:text>
        <x:t>Dias de Quiebre 12</x:t>
      </x:text>
    </x:comment>
    <x:comment ref="Q401" authorId="0">
      <x:text>
        <x:t>Dias de Quiebre 2</x:t>
      </x:text>
    </x:comment>
    <x:comment ref="Z402" authorId="0">
      <x:text>
        <x:t>Dias de Quiebre 29</x:t>
      </x:text>
    </x:comment>
    <x:comment ref="Q406" authorId="0">
      <x:text>
        <x:t>Dias de Quiebre 2</x:t>
      </x:text>
    </x:comment>
    <x:comment ref="R406" authorId="0">
      <x:text>
        <x:t>Dias de Quiebre 5</x:t>
      </x:text>
    </x:comment>
    <x:comment ref="S406" authorId="0">
      <x:text>
        <x:t>Dias de Quiebre 2</x:t>
      </x:text>
    </x:comment>
    <x:comment ref="U406" authorId="0">
      <x:text>
        <x:t>Dias de Quiebre 3</x:t>
      </x:text>
    </x:comment>
    <x:comment ref="V406" authorId="0">
      <x:text>
        <x:t>Dias de Quiebre 3</x:t>
      </x:text>
    </x:comment>
    <x:comment ref="AB406" authorId="0">
      <x:text>
        <x:t>Dias de Quiebre 13</x:t>
      </x:text>
    </x:comment>
    <x:comment ref="Q407" authorId="0">
      <x:text>
        <x:t>Dias de Quiebre 2</x:t>
      </x:text>
    </x:comment>
    <x:comment ref="U407" authorId="0">
      <x:text>
        <x:t>Dias de Quiebre 4</x:t>
      </x:text>
    </x:comment>
    <x:comment ref="V407" authorId="0">
      <x:text>
        <x:t>Dias de Quiebre 3</x:t>
      </x:text>
    </x:comment>
    <x:comment ref="S408" authorId="0">
      <x:text>
        <x:t>Dias de Quiebre 6</x:t>
      </x:text>
    </x:comment>
    <x:comment ref="S409" authorId="0">
      <x:text>
        <x:t>Dias de Quiebre 2</x:t>
      </x:text>
    </x:comment>
    <x:comment ref="U409" authorId="0">
      <x:text>
        <x:t>Dias de Quiebre 5</x:t>
      </x:text>
    </x:comment>
    <x:comment ref="V409" authorId="0">
      <x:text>
        <x:t>Dias de Quiebre 3</x:t>
      </x:text>
    </x:comment>
    <x:comment ref="AA409" authorId="0">
      <x:text>
        <x:t>Dias de Quiebre 5</x:t>
      </x:text>
    </x:comment>
    <x:comment ref="S410" authorId="0">
      <x:text>
        <x:t>Dias de Quiebre 2</x:t>
      </x:text>
    </x:comment>
    <x:comment ref="S411" authorId="0">
      <x:text>
        <x:t>Dias de Quiebre 2</x:t>
      </x:text>
    </x:comment>
    <x:comment ref="Q412" authorId="0">
      <x:text>
        <x:t>Dias de Quiebre 18</x:t>
      </x:text>
    </x:comment>
    <x:comment ref="Z413" authorId="0">
      <x:text>
        <x:t>Dias de Quiebre 7</x:t>
      </x:text>
    </x:comment>
    <x:comment ref="S414" authorId="0">
      <x:text>
        <x:t>Dias de Quiebre 2</x:t>
      </x:text>
    </x:comment>
    <x:comment ref="S415" authorId="0">
      <x:text>
        <x:t>Dias de Quiebre 2</x:t>
      </x:text>
    </x:comment>
    <x:comment ref="W416" authorId="0">
      <x:text>
        <x:t>Dias de Quiebre 8</x:t>
      </x:text>
    </x:comment>
    <x:comment ref="AA416" authorId="0">
      <x:text>
        <x:t>Dias de Quiebre 28</x:t>
      </x:text>
    </x:comment>
    <x:comment ref="W417" authorId="0">
      <x:text>
        <x:t>Dias de Quiebre 8</x:t>
      </x:text>
    </x:comment>
  </x:commentList>
</x:comments>
</file>

<file path=xl/comments2.xml><?xml version="1.0" encoding="utf-8"?>
<x:comments xmlns:x="http://schemas.openxmlformats.org/spreadsheetml/2006/main">
  <x:authors>
    <x:author>SpreadsheetLight</x:author>
  </x:authors>
  <x:commentList>
    <x:comment ref="F4" authorId="0">
      <x:text>
        <x:t>Dias que faltan para llegar la Impo</x:t>
      </x:text>
    </x:comment>
    <x:comment ref="G4" authorId="0">
      <x:text>
        <x:t>Stk.Act-(Dias Ant*Rot.DesE*Estac.Ant)+Cant.Ant.Impo-(Dias Impo Act.*Rot.DesE*Estac.Periodo)</x:t>
      </x:text>
    </x:comment>
    <x:comment ref="H4" authorId="0">
      <x:text>
        <x:t>Quiebre/(Rotacion DesEstac.*Estac.Periodo)/Dias Protecc. Secc</x:t>
      </x:text>
    </x:comment>
    <x:comment ref="I4" authorId="0">
      <x:text>
        <x:t>Cantidad Pedida en la Importacion</x:t>
      </x:text>
    </x:comment>
    <x:comment ref="J4" authorId="0">
      <x:text>
        <x:t>Si Quiebre &gt; 0, Quiebre + Pedido, Pedido</x:t>
      </x:text>
    </x:comment>
    <x:comment ref="K4" authorId="0">
      <x:text>
        <x:t>Costo Impo.</x:t>
      </x:text>
    </x:comment>
    <x:comment ref="O4" authorId="0">
      <x:text>
        <x:t>Dias que faltan para llegar la Impo</x:t>
      </x:text>
    </x:comment>
    <x:comment ref="P4" authorId="0">
      <x:text>
        <x:t>Stk.Act-(Dias Ant*Rot.DesE*Estac.Ant)+Cant.Ant.Impo-(Dias Impo Act.*Rot.DesE*Estac.Periodo)</x:t>
      </x:text>
    </x:comment>
    <x:comment ref="Q4" authorId="0">
      <x:text>
        <x:t>Quiebre/(Rotacion DesEstac.*Estac.Periodo)/Dias Protecc. Secc</x:t>
      </x:text>
    </x:comment>
    <x:comment ref="R4" authorId="0">
      <x:text>
        <x:t>Cantidad Pedida en la Importacion</x:t>
      </x:text>
    </x:comment>
    <x:comment ref="S4" authorId="0">
      <x:text>
        <x:t>Si Quiebre &gt; 0, Quiebre + Pedido, Pedido</x:t>
      </x:text>
    </x:comment>
    <x:comment ref="T4" authorId="0">
      <x:text>
        <x:t>Costo Impo.</x:t>
      </x:text>
    </x:comment>
    <x:comment ref="Y4" authorId="0">
      <x:text>
        <x:t>Stk.Act-Sum(Dias Ant*Rot.DesE*Estac.Ant)+Cant.Ant.Impo-(Dias Impo Act.*Rot.DesE*Estac.Periodo)</x:t>
      </x:text>
    </x:comment>
    <x:comment ref="Z4" authorId="0">
      <x:text>
        <x:t>Quiebre/(Rotacion DesEstac.*Estac.Periodo)/Dias Protecc. Secc</x:t>
      </x:text>
    </x:comment>
    <x:comment ref="AA4" authorId="0">
      <x:text>
        <x:t>Dias a Reponer*(Rotacion DesEstac.*Estac. Periodo Futuro)-Stk.Arribo Ult</x:t>
      </x:text>
    </x:comment>
    <x:comment ref="AB4" authorId="0">
      <x:text>
        <x:t>Valor Manual</x:t>
      </x:text>
    </x:comment>
    <x:comment ref="AC4" authorId="0">
      <x:text>
        <x:t>Si Quiebre&gt;0, Quiebre+(Si Confirmado &gt; 0, Confirmado,0),Confirmado</x:t>
      </x:text>
    </x:comment>
    <x:comment ref="AF4" authorId="0">
      <x:text>
        <x:t>Stk.Acumulado-(Dias Duracion*Rot.DesEstac.*Estac.Periodo Futuro)</x:t>
      </x:text>
    </x:comment>
    <x:comment ref="AG4" authorId="0">
      <x:text>
        <x:t>Stk Final/(Rotacion DesEstac.*Estac.Periodo Futuro)/Dias Protecc. Secc</x:t>
      </x:text>
    </x:comment>
  </x:commentList>
</x:comments>
</file>

<file path=xl/sharedStrings.xml><?xml version="1.0" encoding="utf-8"?>
<x:sst xmlns:x="http://schemas.openxmlformats.org/spreadsheetml/2006/main" count="965" uniqueCount="965">
  <x:si>
    <x:t>Articulo</x:t>
  </x:si>
  <x:si>
    <x:t>Descripcion</x:t>
  </x:si>
  <x:si>
    <x:t>Codigos Barras</x:t>
  </x:si>
  <x:si>
    <x:t>Vta.Jul/25</x:t>
  </x:si>
  <x:si>
    <x:t>Vta.Ago/25</x:t>
  </x:si>
  <x:si>
    <x:t>Vta.Sep/25</x:t>
  </x:si>
  <x:si>
    <x:t>Vta.Oct/25</x:t>
  </x:si>
  <x:si>
    <x:t>Vta.Nov/25</x:t>
  </x:si>
  <x:si>
    <x:t>Vta.Dic/25</x:t>
  </x:si>
  <x:si>
    <x:t>Vta.Ene/26</x:t>
  </x:si>
  <x:si>
    <x:t>Vta.Feb/26</x:t>
  </x:si>
  <x:si>
    <x:t>Vta.Mar/26</x:t>
  </x:si>
  <x:si>
    <x:t>Vta.Abr/26</x:t>
  </x:si>
  <x:si>
    <x:t>Vta.May/26</x:t>
  </x:si>
  <x:si>
    <x:t>Vta.Jun/26</x:t>
  </x:si>
  <x:si>
    <x:t>Vta.Jul/26</x:t>
  </x:si>
  <x:si>
    <x:t>Jul/25</x:t>
  </x:si>
  <x:si>
    <x:t>Ago/25</x:t>
  </x:si>
  <x:si>
    <x:t>Sep/25</x:t>
  </x:si>
  <x:si>
    <x:t>Oct/25</x:t>
  </x:si>
  <x:si>
    <x:t>Nov/25</x:t>
  </x:si>
  <x:si>
    <x:t>Dic/25</x:t>
  </x:si>
  <x:si>
    <x:t>Ene/26</x:t>
  </x:si>
  <x:si>
    <x:t>Feb/26</x:t>
  </x:si>
  <x:si>
    <x:t>Mar/26</x:t>
  </x:si>
  <x:si>
    <x:t>Abr/26</x:t>
  </x:si>
  <x:si>
    <x:t>May/26</x:t>
  </x:si>
  <x:si>
    <x:t>Jun/26</x:t>
  </x:si>
  <x:si>
    <x:t>Jul/26</x:t>
  </x:si>
  <x:si>
    <x:t>Rotacion DesEstac.</x:t>
  </x:si>
  <x:si>
    <x:t>Rot. Manual</x:t>
  </x:si>
  <x:si>
    <x:t>Estado Art.</x:t>
  </x:si>
  <x:si>
    <x:t>HX076</x:t>
  </x:si>
  <x:si>
    <x:t>LLAVERO FANTECH</x:t>
  </x:si>
  <x:si>
    <x:t>A</x:t>
  </x:si>
  <x:si>
    <x:t>HX077</x:t>
  </x:si>
  <x:si>
    <x:t>CINTA VELCRO ORGANIZ. DE CABLES FANTECH</x:t>
  </x:si>
  <x:si>
    <x:t>HX033</x:t>
  </x:si>
  <x:si>
    <x:t>GORRA FANTECH</x:t>
  </x:si>
  <x:si>
    <x:t>HX034</x:t>
  </x:si>
  <x:si>
    <x:t>VASO FANTECH NEGRO</x:t>
  </x:si>
  <x:si>
    <x:t>HX035</x:t>
  </x:si>
  <x:si>
    <x:t>CAMPERA DE NYLON FANTECH XL - NO USAR</x:t>
  </x:si>
  <x:si>
    <x:t>HX036</x:t>
  </x:si>
  <x:si>
    <x:t>CAMPERA DE NYLON FANTECH XXL</x:t>
  </x:si>
  <x:si>
    <x:t>HX040</x:t>
  </x:si>
  <x:si>
    <x:t>REMERA FANTECH M - NO USAR</x:t>
  </x:si>
  <x:si>
    <x:t>HX041</x:t>
  </x:si>
  <x:si>
    <x:t>REMERA FANTECH L - NO USAR</x:t>
  </x:si>
  <x:si>
    <x:t>HX046</x:t>
  </x:si>
  <x:si>
    <x:t>VASO FANTECH ROJO</x:t>
  </x:si>
  <x:si>
    <x:t>HX047</x:t>
  </x:si>
  <x:si>
    <x:t>REMERA FANTECH M RED - NO USAR</x:t>
  </x:si>
  <x:si>
    <x:t>HX048</x:t>
  </x:si>
  <x:si>
    <x:t>REMERA FANTECH L RED - NO USAR</x:t>
  </x:si>
  <x:si>
    <x:t>HX049</x:t>
  </x:si>
  <x:si>
    <x:t>REMERA FANTECH XL RED - NO USAR</x:t>
  </x:si>
  <x:si>
    <x:t>HX050</x:t>
  </x:si>
  <x:si>
    <x:t>REMERA FANTECH XXL RED - NO USAR</x:t>
  </x:si>
  <x:si>
    <x:t>HX051</x:t>
  </x:si>
  <x:si>
    <x:t>REMERA FANTECH XXXL RED - NO USAR</x:t>
  </x:si>
  <x:si>
    <x:t>HX052</x:t>
  </x:si>
  <x:si>
    <x:t>REMERA FANTECH XXXXL RED - NO USAR</x:t>
  </x:si>
  <x:si>
    <x:t>HX054</x:t>
  </x:si>
  <x:si>
    <x:t>HX055</x:t>
  </x:si>
  <x:si>
    <x:t>REMERA FANTECH M</x:t>
  </x:si>
  <x:si>
    <x:t>HX056</x:t>
  </x:si>
  <x:si>
    <x:t>VASO FANTECH BLANCO</x:t>
  </x:si>
  <x:si>
    <x:t>HX057</x:t>
  </x:si>
  <x:si>
    <x:t>REMERA FANTECH M RED</x:t>
  </x:si>
  <x:si>
    <x:t>HX058</x:t>
  </x:si>
  <x:si>
    <x:t>REMERA FANTECH L RED</x:t>
  </x:si>
  <x:si>
    <x:t>HX059</x:t>
  </x:si>
  <x:si>
    <x:t>REMERA FANTECH XL RED</x:t>
  </x:si>
  <x:si>
    <x:t>HX060</x:t>
  </x:si>
  <x:si>
    <x:t>REMERA FANTECH XXL RED</x:t>
  </x:si>
  <x:si>
    <x:t>HX061</x:t>
  </x:si>
  <x:si>
    <x:t>REMERA FANTECH XXXL RED</x:t>
  </x:si>
  <x:si>
    <x:t>HX062</x:t>
  </x:si>
  <x:si>
    <x:t>REMERA FANTECH XXXXL RED</x:t>
  </x:si>
  <x:si>
    <x:t>HX063</x:t>
  </x:si>
  <x:si>
    <x:t>CAMPERA DE NYLON FANTECH XL</x:t>
  </x:si>
  <x:si>
    <x:t>HX064</x:t>
  </x:si>
  <x:si>
    <x:t>REMERA FANTECH XXXL</x:t>
  </x:si>
  <x:si>
    <x:t>HX065</x:t>
  </x:si>
  <x:si>
    <x:t>REMERA FANTECH XL</x:t>
  </x:si>
  <x:si>
    <x:t>HX066</x:t>
  </x:si>
  <x:si>
    <x:t>REMERA FANTECH L</x:t>
  </x:si>
  <x:si>
    <x:t>HX067</x:t>
  </x:si>
  <x:si>
    <x:t>CAMPERA DE NYLON FANTECH XL -  NO USAR</x:t>
  </x:si>
  <x:si>
    <x:t>HX070</x:t>
  </x:si>
  <x:si>
    <x:t>PARAGUAS NEGRA FANTECH</x:t>
  </x:si>
  <x:si>
    <x:t>HX071</x:t>
  </x:si>
  <x:si>
    <x:t>CAMPERA DE NYLON FANTECH XXXL</x:t>
  </x:si>
  <x:si>
    <x:t>HX072</x:t>
  </x:si>
  <x:si>
    <x:t>CAMPERA DE NYLON FANTECH L</x:t>
  </x:si>
  <x:si>
    <x:t>HX073</x:t>
  </x:si>
  <x:si>
    <x:t>PARAGUAS FANTECH</x:t>
  </x:si>
  <x:si>
    <x:t>HX075</x:t>
  </x:si>
  <x:si>
    <x:t>CAMPERA DE NYLON FANTECH M</x:t>
  </x:si>
  <x:si>
    <x:t>I001166</x:t>
  </x:si>
  <x:si>
    <x:t>I001167</x:t>
  </x:si>
  <x:si>
    <x:t>CAMPERA DE NYLON FANTECH XXL -NO USAR</x:t>
  </x:si>
  <x:si>
    <x:t>I001168</x:t>
  </x:si>
  <x:si>
    <x:t>VASO FANTECH NEGRO - NO USAR</x:t>
  </x:si>
  <x:si>
    <x:t>I00975</x:t>
  </x:si>
  <x:si>
    <x:t>MOUSE GAMING X17 BK BLAKE FANTECH</x:t>
  </x:si>
  <x:si>
    <x:t>D</x:t>
  </x:si>
  <x:si>
    <x:t>I00976</x:t>
  </x:si>
  <x:si>
    <x:t>TECLADO FANTECH CABLEADO  NEGRO K513</x:t>
  </x:si>
  <x:si>
    <x:t>I00977</x:t>
  </x:si>
  <x:si>
    <x:t>TECLADO MECANICO FANTECH CABLEADO  NEGRO MK851RGB</x:t>
  </x:si>
  <x:si>
    <x:t>I00978</x:t>
  </x:si>
  <x:si>
    <x:t>AURICULAR CABLEADO FANTECH 7.1 BK HG15</x:t>
  </x:si>
  <x:si>
    <x:t>I00980</x:t>
  </x:si>
  <x:si>
    <x:t>PARLANTE 2.0 USB FANTECH BLACK / WHITE GS201</x:t>
  </x:si>
  <x:si>
    <x:t>I00981</x:t>
  </x:si>
  <x:si>
    <x:t>PARLANTE USB/3.5M GS202 BK RGB FANTECH</x:t>
  </x:si>
  <x:si>
    <x:t>I00982</x:t>
  </x:si>
  <x:si>
    <x:t>NO FACTURAR PARLANTE 2.0 USB FANTECH BK GS203</x:t>
  </x:si>
  <x:si>
    <x:t>I00983</x:t>
  </x:si>
  <x:si>
    <x:t>PARLANTE BARRA BS150 BT SPACE EDITION FANTECH</x:t>
  </x:si>
  <x:si>
    <x:t>I00984</x:t>
  </x:si>
  <x:si>
    <x:t>FAN FC124 RGB FANTECH</x:t>
  </x:si>
  <x:si>
    <x:t>I00985</x:t>
  </x:si>
  <x:si>
    <x:t>KIT FAN COOLER FB301 RGB FANTECH</x:t>
  </x:si>
  <x:si>
    <x:t>I00986</x:t>
  </x:si>
  <x:si>
    <x:t>VENTILADOR PC RGB FANTECH FB302</x:t>
  </x:si>
  <x:si>
    <x:t>I01003</x:t>
  </x:si>
  <x:si>
    <x:t>PARLANTE USB/3.5M GS203 BK RGB FANTECH</x:t>
  </x:si>
  <x:si>
    <x:t>I01004</x:t>
  </x:si>
  <x:si>
    <x:t>PARLANTE USB/3.5M GS203 WH RGB SPACE EDIT FANTECH</x:t>
  </x:si>
  <x:si>
    <x:t>I01060</x:t>
  </x:si>
  <x:si>
    <x:t>TECLADO MECÁNICO MK852 FANTECH SAKURA</x:t>
  </x:si>
  <x:si>
    <x:t>I01061</x:t>
  </x:si>
  <x:si>
    <x:t>MOUSEPAD SAKURA  MPR800s PINK FANTECH</x:t>
  </x:si>
  <x:si>
    <x:t>I01062</x:t>
  </x:si>
  <x:si>
    <x:t>SOPORTE AURICULAR AC3001 FANTECH SAKURA</x:t>
  </x:si>
  <x:si>
    <x:t>I01063</x:t>
  </x:si>
  <x:si>
    <x:t>MOUSE GAMING VX7 SAKURA EDITION FANTECH</x:t>
  </x:si>
  <x:si>
    <x:t>I01064</x:t>
  </x:si>
  <x:si>
    <x:t>AURICULAR GAMING HG20 PINK SAKURA  FANTECH</x:t>
  </x:si>
  <x:si>
    <x:t>I01065</x:t>
  </x:si>
  <x:si>
    <x:t>TECLADO GAMING SAKURA K613L PINK FANTECH</x:t>
  </x:si>
  <x:si>
    <x:t>I01066</x:t>
  </x:si>
  <x:si>
    <x:t>MOUSEPAD  SAKURA MP35 PINK FANTECH</x:t>
  </x:si>
  <x:si>
    <x:t>I01067</x:t>
  </x:si>
  <x:si>
    <x:t>PARLANTE 2,0 SAKURA USB GS202 PINK FANTECH</x:t>
  </x:si>
  <x:si>
    <x:t>I01076</x:t>
  </x:si>
  <x:si>
    <x:t>MOUSE GAMING VX7 SPACE EDITION FANTECH</x:t>
  </x:si>
  <x:si>
    <x:t>I01077</x:t>
  </x:si>
  <x:si>
    <x:t>-NO FACTURAR -MOUSE VX 7 FANTECH SAK</x:t>
  </x:si>
  <x:si>
    <x:t>I01078</x:t>
  </x:si>
  <x:si>
    <x:t>MOUSE GAMING X17 SPACE EDITION FANTECH</x:t>
  </x:si>
  <x:si>
    <x:t>I01079</x:t>
  </x:si>
  <x:si>
    <x:t>TECLADO MECÁNICO MK852 BROWN FANTECH SPACE EDITION</x:t>
  </x:si>
  <x:si>
    <x:t>I01080</x:t>
  </x:si>
  <x:si>
    <x:t>LIBRE PARA USAR</x:t>
  </x:si>
  <x:si>
    <x:t>I01081</x:t>
  </x:si>
  <x:si>
    <x:t>MOUSEPAD MPR800s FANTECH SPACE EDITION</x:t>
  </x:si>
  <x:si>
    <x:t>I01082</x:t>
  </x:si>
  <x:si>
    <x:t>MOUSEPAD MPR800s FANTECH RGB</x:t>
  </x:si>
  <x:si>
    <x:t>I01083</x:t>
  </x:si>
  <x:si>
    <x:t>AURICULAR GAMING USB HG11 PINK FANTECH SAKURA</x:t>
  </x:si>
  <x:si>
    <x:t>I01084</x:t>
  </x:si>
  <x:si>
    <x:t>AURICULAR GAMING HG11 FANTECH SPACE EDITION</x:t>
  </x:si>
  <x:si>
    <x:t>I01085</x:t>
  </x:si>
  <x:si>
    <x:t>AURICULAR GAMING HG17s FANTECH SPACE EDITION</x:t>
  </x:si>
  <x:si>
    <x:t>I01086</x:t>
  </x:si>
  <x:si>
    <x:t>SOPORTE AURICULAR AC3001 FANTECH SPACE EDITION</x:t>
  </x:si>
  <x:si>
    <x:t>I01087</x:t>
  </x:si>
  <x:si>
    <x:t>I01089</x:t>
  </x:si>
  <x:si>
    <x:t>MICROFONO MCX01 FANTECH LEVIOSA</x:t>
  </x:si>
  <x:si>
    <x:t>I01090</x:t>
  </x:si>
  <x:si>
    <x:t>MOUSE INAL VENOM WGC1 BK FANTECH</x:t>
  </x:si>
  <x:si>
    <x:t>I01104</x:t>
  </x:si>
  <x:si>
    <x:t>TECLADO MECANICO MK853 RD SW SAKURA FANTECH</x:t>
  </x:si>
  <x:si>
    <x:t>I01105</x:t>
  </x:si>
  <x:si>
    <x:t>TECLADO MECANICO MK853 BL SW SAKURA FANTECH</x:t>
  </x:si>
  <x:si>
    <x:t>I01108</x:t>
  </x:si>
  <x:si>
    <x:t>MOUSEPAD FANTECH CORDURA MPC450 45x40x3</x:t>
  </x:si>
  <x:si>
    <x:t>I01109</x:t>
  </x:si>
  <x:si>
    <x:t>MOUSEPAD FANTECH CORDURA MPC900 90x40x3</x:t>
  </x:si>
  <x:si>
    <x:t>I01110</x:t>
  </x:si>
  <x:si>
    <x:t>LLAVERO FANTECH - NO USAR</x:t>
  </x:si>
  <x:si>
    <x:t>I01111</x:t>
  </x:si>
  <x:si>
    <x:t>VASO FANTECH BLANCO - NO USAR</x:t>
  </x:si>
  <x:si>
    <x:t>I01112</x:t>
  </x:si>
  <x:si>
    <x:t>VASO FANTECH ROJO - NO USAR</x:t>
  </x:si>
  <x:si>
    <x:t>I01113</x:t>
  </x:si>
  <x:si>
    <x:t>I01114</x:t>
  </x:si>
  <x:si>
    <x:t>I01115</x:t>
  </x:si>
  <x:si>
    <x:t>REMERA FANTECH XL - NO USAR</x:t>
  </x:si>
  <x:si>
    <x:t>I01116</x:t>
  </x:si>
  <x:si>
    <x:t>REMERA FANTECH XXXL - NO USAR</x:t>
  </x:si>
  <x:si>
    <x:t>I01126</x:t>
  </x:si>
  <x:si>
    <x:t>MOUSE GAMING G13 RHASTA II BLACK FANTECH</x:t>
  </x:si>
  <x:si>
    <x:t>I01127</x:t>
  </x:si>
  <x:si>
    <x:t>MOUSE X11 DAREDEVIL FANTECH GAMING BLACK</x:t>
  </x:si>
  <x:si>
    <x:t>I01128</x:t>
  </x:si>
  <x:si>
    <x:t>TECLADO MECANICO MK857 BK 60% BLUE SW FANTECH</x:t>
  </x:si>
  <x:si>
    <x:t>I01129</x:t>
  </x:si>
  <x:si>
    <x:t>TECLADO MECANICO MK857 WH 60% BLUE SW FANTECH</x:t>
  </x:si>
  <x:si>
    <x:t>I01130</x:t>
  </x:si>
  <x:si>
    <x:t>TECLADO MECANICO MK857 WH 60% RED SWI FANTECH</x:t>
  </x:si>
  <x:si>
    <x:t>I01131</x:t>
  </x:si>
  <x:si>
    <x:t>TECLADO GAMING K613 FANTECH TKL II BLACK</x:t>
  </x:si>
  <x:si>
    <x:t>I01132</x:t>
  </x:si>
  <x:si>
    <x:t>TECLADO GAMING K613X FANTECH TOURNAMENT EDITION</x:t>
  </x:si>
  <x:si>
    <x:t>I01133</x:t>
  </x:si>
  <x:si>
    <x:t>KIT 3 en 1 GAMING P31 TECLADO MOUSE Y PAD FANTECH</x:t>
  </x:si>
  <x:si>
    <x:t>I01134</x:t>
  </x:si>
  <x:si>
    <x:t>TECLADO NUMERICO FTK-801 FANTECH - NEGRO</x:t>
  </x:si>
  <x:si>
    <x:t>I01135</x:t>
  </x:si>
  <x:si>
    <x:t>MOUSEPAD SVEN MP25 FANTECH 25x21x2</x:t>
  </x:si>
  <x:si>
    <x:t>I01136</x:t>
  </x:si>
  <x:si>
    <x:t>MOUSEPAD SVEN BLACK MP35 FANTECH 35x25x4</x:t>
  </x:si>
  <x:si>
    <x:t>I01137</x:t>
  </x:si>
  <x:si>
    <x:t>MOUSEPAD SVEN MP44 FANTECH 44x35x4</x:t>
  </x:si>
  <x:si>
    <x:t>I01138</x:t>
  </x:si>
  <x:si>
    <x:t>MOUSEPAD BASIC MP64XL FANTECH - NEGRO</x:t>
  </x:si>
  <x:si>
    <x:t>I01139</x:t>
  </x:si>
  <x:si>
    <x:t>MOUSEPAD MP80 MP806 VIGIL FANTECH 80x30x3 CONTROL</x:t>
  </x:si>
  <x:si>
    <x:t>I01140</x:t>
  </x:si>
  <x:si>
    <x:t>AURICULAR GAMING HG20 BLACK CHIEF II FANTECH</x:t>
  </x:si>
  <x:si>
    <x:t>I01141</x:t>
  </x:si>
  <x:si>
    <x:t>AURICULAR GAMING MH83 BLACK FANTECH</x:t>
  </x:si>
  <x:si>
    <x:t>I01142</x:t>
  </x:si>
  <x:si>
    <x:t>AURICULAR GAMING MH87 BLACK FANTECH</x:t>
  </x:si>
  <x:si>
    <x:t>I01143</x:t>
  </x:si>
  <x:si>
    <x:t>AURICULAR GAMING MH87 SPACE EDITION FANTECH</x:t>
  </x:si>
  <x:si>
    <x:t>I01144</x:t>
  </x:si>
  <x:si>
    <x:t>SOPORTE AURICULAR AC3001 BLACK FANTECH</x:t>
  </x:si>
  <x:si>
    <x:t>I01145</x:t>
  </x:si>
  <x:si>
    <x:t>MOUSE GAMING VX7 BLACK FANTECH</x:t>
  </x:si>
  <x:si>
    <x:t>I01190</x:t>
  </x:si>
  <x:si>
    <x:t>MOUSE GAMING INAL WG11 SPACE EDITION FANTECH</x:t>
  </x:si>
  <x:si>
    <x:t>I01191</x:t>
  </x:si>
  <x:si>
    <x:t>VENTILADOR X3 FANTECH TURBINE FB301</x:t>
  </x:si>
  <x:si>
    <x:t>I01192</x:t>
  </x:si>
  <x:si>
    <x:t>SOPORTE MOUSE BUNGEE MBR01 BK RGB FANTECH</x:t>
  </x:si>
  <x:si>
    <x:t>I01193</x:t>
  </x:si>
  <x:si>
    <x:t>SOPORTE MOUSE BUNGEE MBR01 WHITE RGB FANTECH</x:t>
  </x:si>
  <x:si>
    <x:t>I01194</x:t>
  </x:si>
  <x:si>
    <x:t>SOPORTE MOUSE BUNGEE MBR01 PINK RGB FANTECH</x:t>
  </x:si>
  <x:si>
    <x:t>I01195</x:t>
  </x:si>
  <x:si>
    <x:t>MOUSE GAMING INAL WGC2 MINT VENOM II FANTECH</x:t>
  </x:si>
  <x:si>
    <x:t>I01196</x:t>
  </x:si>
  <x:si>
    <x:t>TECLADO MECANICO MK856 RD SW MINT FANTECH</x:t>
  </x:si>
  <x:si>
    <x:t>I01197</x:t>
  </x:si>
  <x:si>
    <x:t>MOUSEPAD MP904 MINT FANTECH</x:t>
  </x:si>
  <x:si>
    <x:t>I01198</x:t>
  </x:si>
  <x:si>
    <x:t>AURICULAR GAMING MH86 MINT FANTECH</x:t>
  </x:si>
  <x:si>
    <x:t>I01199</x:t>
  </x:si>
  <x:si>
    <x:t>SOPORTE AURICULAR AC3004 FANTECH MINT</x:t>
  </x:si>
  <x:si>
    <x:t>I01200</x:t>
  </x:si>
  <x:si>
    <x:t>AURICULAR INAL. GAMING WH01 MINT FANTECH</x:t>
  </x:si>
  <x:si>
    <x:t>I01201</x:t>
  </x:si>
  <x:si>
    <x:t>MOUSE INAL  XD3 MINT FANTECH</x:t>
  </x:si>
  <x:si>
    <x:t>6972661281446</x:t>
  </x:si>
  <x:si>
    <x:t>I01202</x:t>
  </x:si>
  <x:si>
    <x:t>KIT GAMER 5 EN 1 FANTECH MINT P52</x:t>
  </x:si>
  <x:si>
    <x:t>I01208</x:t>
  </x:si>
  <x:si>
    <x:t>TECLADO MECANICO MK857 BK 60% RED SW FANTECH</x:t>
  </x:si>
  <x:si>
    <x:t>I01209</x:t>
  </x:si>
  <x:si>
    <x:t>PARLANTE GS301 2.0 DUAL BT/USB BK GAMER FANTECH</x:t>
  </x:si>
  <x:si>
    <x:t>I01210</x:t>
  </x:si>
  <x:si>
    <x:t>MOUSE GAMING INAL WG11 BK FANTECH</x:t>
  </x:si>
  <x:si>
    <x:t>I01211</x:t>
  </x:si>
  <x:si>
    <x:t>AURICULAR GAMING HG20 WHITE SPACE EDITION FANTECH</x:t>
  </x:si>
  <x:si>
    <x:t>I01242</x:t>
  </x:si>
  <x:si>
    <x:t>TECLADO MECANICO MK856 BL SW MINT FANTECH</x:t>
  </x:si>
  <x:si>
    <x:t>I01245</x:t>
  </x:si>
  <x:si>
    <x:t>MOUSE GAMING INAL WGC2 WHITE VENOM II FANTECH</x:t>
  </x:si>
  <x:si>
    <x:t>I01246</x:t>
  </x:si>
  <x:si>
    <x:t>APOYA MUÑECAS PARA TECLADO AC4101L FANTECH</x:t>
  </x:si>
  <x:si>
    <x:t>I01247</x:t>
  </x:si>
  <x:si>
    <x:t>AURICULAR INAL. GAMING WH01 WHITE FANTECH SPACE</x:t>
  </x:si>
  <x:si>
    <x:t>I01248</x:t>
  </x:si>
  <x:si>
    <x:t>AURICULAR INAL GAMING WH01 PINK FANTECH SAKURA</x:t>
  </x:si>
  <x:si>
    <x:t>I01249</x:t>
  </x:si>
  <x:si>
    <x:t>MOUSEPAD ATO MP905 01 WHITE 90X40X4 FANTECH MARBLE</x:t>
  </x:si>
  <x:si>
    <x:t>I01250</x:t>
  </x:si>
  <x:si>
    <x:t>EXHIBIDOR FANTECH GRANDE</x:t>
  </x:si>
  <x:si>
    <x:t>I01330</x:t>
  </x:si>
  <x:si>
    <x:t>MOCHILA FANTECH BG983</x:t>
  </x:si>
  <x:si>
    <x:t>I01368</x:t>
  </x:si>
  <x:si>
    <x:t>MOUSE GAMING INAL WGC2 BK VENOM II FANTECH</x:t>
  </x:si>
  <x:si>
    <x:t>I01379</x:t>
  </x:si>
  <x:si>
    <x:t>TECLADO GAMING K613L BLACK FANTECH</x:t>
  </x:si>
  <x:si>
    <x:t>I01459</x:t>
  </x:si>
  <x:si>
    <x:t>PARLANTE BARRA BS150 BT BK FANTECH</x:t>
  </x:si>
  <x:si>
    <x:t>6972661285017</x:t>
  </x:si>
  <x:si>
    <x:t>I01460</x:t>
  </x:si>
  <x:si>
    <x:t>MOCHILA FANTECH BG984 17"</x:t>
  </x:si>
  <x:si>
    <x:t>I01513</x:t>
  </x:si>
  <x:si>
    <x:t>AURICULAR GAMING MH88 SPACE EDITION FANTECH</x:t>
  </x:si>
  <x:si>
    <x:t>I01514</x:t>
  </x:si>
  <x:si>
    <x:t>AURICULAR GAMING MH88 PINK SAKURA FANTECH</x:t>
  </x:si>
  <x:si>
    <x:t>I01515</x:t>
  </x:si>
  <x:si>
    <x:t>AURICULAR CABL. EG3 BLANCO IMANTADO FANTECH</x:t>
  </x:si>
  <x:si>
    <x:t>I01516</x:t>
  </x:si>
  <x:si>
    <x:t>PARLANTE GS302 2.0 DUAL BT/USB BK RGB FANTECH</x:t>
  </x:si>
  <x:si>
    <x:t>I01517</x:t>
  </x:si>
  <x:si>
    <x:t>JOYSTICK GP12 PC/PS3 BK FANTECH</x:t>
  </x:si>
  <x:si>
    <x:t>I01518</x:t>
  </x:si>
  <x:si>
    <x:t>JOYSTICK WGP12 PC/PS3 INAL. BK FANTECH</x:t>
  </x:si>
  <x:si>
    <x:t>I01519</x:t>
  </x:si>
  <x:si>
    <x:t>JOYSTICK WGP12 PC/PS3 INAL. GREEN FANTECH</x:t>
  </x:si>
  <x:si>
    <x:t>I01520</x:t>
  </x:si>
  <x:si>
    <x:t>SOPORTE AURICULAR AC304 BLACK FANTECH</x:t>
  </x:si>
  <x:si>
    <x:t>I01564</x:t>
  </x:si>
  <x:si>
    <x:t>AURICULAR CABL. EG3 NEGRO IMANTADO FANTECH</x:t>
  </x:si>
  <x:si>
    <x:t>I01565</x:t>
  </x:si>
  <x:si>
    <x:t>AURICULAR CABL. EG3 ROSA IMANTADO FANTECH</x:t>
  </x:si>
  <x:si>
    <x:t>I01566</x:t>
  </x:si>
  <x:si>
    <x:t>AURICULAR CABL. EG3 MINT IMANTADO FANTECH</x:t>
  </x:si>
  <x:si>
    <x:t>I01567</x:t>
  </x:si>
  <x:si>
    <x:t>TECLADO Y MOUSE INAL. WK895 BLUE GOPOP FANTECH</x:t>
  </x:si>
  <x:si>
    <x:t>I01568</x:t>
  </x:si>
  <x:si>
    <x:t>TECLADO Y MOUSE INAL. WK895 BEIGE GOPOP FANTECH</x:t>
  </x:si>
  <x:si>
    <x:t>I01572</x:t>
  </x:si>
  <x:si>
    <x:t>TECLADO MECANICO MK857 FROST BK 60% BLU SW FANTECH</x:t>
  </x:si>
  <x:si>
    <x:t>I01573</x:t>
  </x:si>
  <x:si>
    <x:t>TECLADO MECANICO MK857 FROST WH 60% BLU SW FANTECH</x:t>
  </x:si>
  <x:si>
    <x:t>I01610</x:t>
  </x:si>
  <x:si>
    <x:t>MOUSEPAD ATO MP903 SPACE EDITION 90X40X4 FANTECH</x:t>
  </x:si>
  <x:si>
    <x:t>I01631</x:t>
  </x:si>
  <x:si>
    <x:t>TECLADO MECANICO MK876 GREY BL SW TKL FANTECH</x:t>
  </x:si>
  <x:si>
    <x:t>I01632</x:t>
  </x:si>
  <x:si>
    <x:t>TECLADO MECANICO MK857 FROST WH 60% RED SW FANTECH</x:t>
  </x:si>
  <x:si>
    <x:t>I01635</x:t>
  </x:si>
  <x:si>
    <x:t>TECLADO MECANICO MK853 RD SW SPACE ED FANTECH</x:t>
  </x:si>
  <x:si>
    <x:t>I01636</x:t>
  </x:si>
  <x:si>
    <x:t>AURICULAR INAL. GAMING WHG01 BLACK FANTECH</x:t>
  </x:si>
  <x:si>
    <x:t>I01637</x:t>
  </x:si>
  <x:si>
    <x:t>AURICULAR GAMING MH91 BLACK FANTECH</x:t>
  </x:si>
  <x:si>
    <x:t>I01638</x:t>
  </x:si>
  <x:si>
    <x:t>MOUSEPAD ATO MP905 02 WHITE 90X40X4 FANTECH MARBLE</x:t>
  </x:si>
  <x:si>
    <x:t>I01640</x:t>
  </x:si>
  <x:si>
    <x:t>AURICULAR GAMING MH84 BLACK FANTECH</x:t>
  </x:si>
  <x:si>
    <x:t>I01682</x:t>
  </x:si>
  <x:si>
    <x:t>TECLADO Y MOUSE INAL. WK895 BK GOPOP FANTECH</x:t>
  </x:si>
  <x:si>
    <x:t>I01683</x:t>
  </x:si>
  <x:si>
    <x:t>TECLADO Y MOUSE INAL. WK895 GREY GOPOP FANTECH</x:t>
  </x:si>
  <x:si>
    <x:t>I01693</x:t>
  </x:si>
  <x:si>
    <x:t>TECLADO MECANICO INAL MK857 BK 60% BLUE SW FANTECH</x:t>
  </x:si>
  <x:si>
    <x:t>I01694</x:t>
  </x:si>
  <x:si>
    <x:t>TECLADO MECANICO INAL MK857 WH 60% BLUE SW FANTECH</x:t>
  </x:si>
  <x:si>
    <x:t>I01695</x:t>
  </x:si>
  <x:si>
    <x:t>TECLADO MECANICO INAL MK857 WH 60% RED SWI FANTECH</x:t>
  </x:si>
  <x:si>
    <x:t>I01696</x:t>
  </x:si>
  <x:si>
    <x:t>SOPORTE AURICULAR AC3001 RED RGB FANTECH</x:t>
  </x:si>
  <x:si>
    <x:t>I01744</x:t>
  </x:si>
  <x:si>
    <x:t>AURICULAR INAL. GAMING WHG01 WHITE FANTECH</x:t>
  </x:si>
  <x:si>
    <x:t>I01812</x:t>
  </x:si>
  <x:si>
    <x:t>JOYSTICK WGP14v2 BLUE PC/PS4/PS3 INAL. RGB FANTECH</x:t>
  </x:si>
  <x:si>
    <x:t>I01813</x:t>
  </x:si>
  <x:si>
    <x:t>JOYSTICK WGP14v2 RAINBOW PC/PS4/3 INAL RGB FANTECH</x:t>
  </x:si>
  <x:si>
    <x:t>I01814</x:t>
  </x:si>
  <x:si>
    <x:t>SOPORTE MICROFONO AC902S FANTECH</x:t>
  </x:si>
  <x:si>
    <x:t>I01815</x:t>
  </x:si>
  <x:si>
    <x:t>AURICULAR GAMING INAL WHG03PRO WH 7.1 2.4G/BT FANT</x:t>
  </x:si>
  <x:si>
    <x:t>I01816</x:t>
  </x:si>
  <x:si>
    <x:t>AURICULAR GAMING INAL WHG03PRO BK 7.1 2.4G/BT FANT</x:t>
  </x:si>
  <x:si>
    <x:t>I01817</x:t>
  </x:si>
  <x:si>
    <x:t>MOUSEPAD MP905 VIBE CYBER LIFE ATO FANTECH</x:t>
  </x:si>
  <x:si>
    <x:t>I01818</x:t>
  </x:si>
  <x:si>
    <x:t>MOUSEPAD MP905 VIBE SEASIDE WAVE ATO FANTECH</x:t>
  </x:si>
  <x:si>
    <x:t>I01819</x:t>
  </x:si>
  <x:si>
    <x:t>I01820</x:t>
  </x:si>
  <x:si>
    <x:t>TECLADO MECANICO MK853 BL SW SPACE ED FANTECH</x:t>
  </x:si>
  <x:si>
    <x:t>I01821</x:t>
  </x:si>
  <x:si>
    <x:t>TECLADO Y MOUSE INAL. WK897 GREEN FANTECH</x:t>
  </x:si>
  <x:si>
    <x:t>I01822</x:t>
  </x:si>
  <x:si>
    <x:t>TECLADO Y MOUSE INAL. WK897 BLUE FANTECH</x:t>
  </x:si>
  <x:si>
    <x:t>I01823</x:t>
  </x:si>
  <x:si>
    <x:t>TECLADO Y MOUSE INAL. WK897 ORANGE FANTECH</x:t>
  </x:si>
  <x:si>
    <x:t>I01824</x:t>
  </x:si>
  <x:si>
    <x:t>TECLADO Y MOUSE INAL. WK897 GRIS FANTECH</x:t>
  </x:si>
  <x:si>
    <x:t>I01825</x:t>
  </x:si>
  <x:si>
    <x:t>TECLADO MECANICO MK874 SKB(BL) BL SW 60% FANTECH</x:t>
  </x:si>
  <x:si>
    <x:t>I01826</x:t>
  </x:si>
  <x:si>
    <x:t>TECLADO MECANICO MK874 SKB(RD) RD SW 60% FANTECH</x:t>
  </x:si>
  <x:si>
    <x:t>I01827</x:t>
  </x:si>
  <x:si>
    <x:t>TECLADO MECANICO MK874 NAB(BL) BL SW 60% FANTECH</x:t>
  </x:si>
  <x:si>
    <x:t>I01828</x:t>
  </x:si>
  <x:si>
    <x:t>TECLADO MECANICO MK874 NAB(RD) RD SW 60% FANTECH</x:t>
  </x:si>
  <x:si>
    <x:t>I01829</x:t>
  </x:si>
  <x:si>
    <x:t>TECLADO MECANICO MK876V2 BK BL SW TKL FANTECH</x:t>
  </x:si>
  <x:si>
    <x:t>I01830</x:t>
  </x:si>
  <x:si>
    <x:t>TECLADO MECANICO INAL MK912 BK BLUE SW FANTECH</x:t>
  </x:si>
  <x:si>
    <x:t>I01831</x:t>
  </x:si>
  <x:si>
    <x:t>TECLADO MECANICO INAL MK912 BK RED SW FANTECH</x:t>
  </x:si>
  <x:si>
    <x:t>I01832</x:t>
  </x:si>
  <x:si>
    <x:t>TECLADO MECANICO INAL MK912 WHITE RED SW FANTECH</x:t>
  </x:si>
  <x:si>
    <x:t>I01833</x:t>
  </x:si>
  <x:si>
    <x:t>TECLADO MECANICO INAL MK912 WHITE BLUE SW FANTECH</x:t>
  </x:si>
  <x:si>
    <x:t>I01834</x:t>
  </x:si>
  <x:si>
    <x:t>TECLADO GAMING K515 TRANSPARENTE FANTECH</x:t>
  </x:si>
  <x:si>
    <x:t>I01835</x:t>
  </x:si>
  <x:si>
    <x:t>KIT GAMER 5 en 1 P51 FANTECH POWER BUNDLE</x:t>
  </x:si>
  <x:si>
    <x:t>I01860</x:t>
  </x:si>
  <x:si>
    <x:t>MOUSEPAD MP453 BLACK FANTECH</x:t>
  </x:si>
  <x:si>
    <x:t>I01861</x:t>
  </x:si>
  <x:si>
    <x:t>MOUSEPAD ATO MP903 BLACK 90X40X4 FANTECH</x:t>
  </x:si>
  <x:si>
    <x:t>I01948</x:t>
  </x:si>
  <x:si>
    <x:t>JOYSTICK WGP14v2 CLEAR BK PC/PS4/PS3 INAL. RGB FAN</x:t>
  </x:si>
  <x:si>
    <x:t>I02026</x:t>
  </x:si>
  <x:si>
    <x:t>MOUSE INAL VENOM II WGC2 PINK FANTECH</x:t>
  </x:si>
  <x:si>
    <x:t>I02027</x:t>
  </x:si>
  <x:si>
    <x:t>MOUSE INAL VENOM II WGC2 RED FANTECH</x:t>
  </x:si>
  <x:si>
    <x:t>I02028</x:t>
  </x:si>
  <x:si>
    <x:t>MOUSE INAL VENOM II WGC2 PURPLE FANTECH</x:t>
  </x:si>
  <x:si>
    <x:t>I02029</x:t>
  </x:si>
  <x:si>
    <x:t>MOUSE INAL VENOM II WGC2 GREEN FANTECH</x:t>
  </x:si>
  <x:si>
    <x:t>I02030</x:t>
  </x:si>
  <x:si>
    <x:t>KIT GAMER 5 en 1 P51 PINK SAKURA FANTECH</x:t>
  </x:si>
  <x:si>
    <x:t>I02031</x:t>
  </x:si>
  <x:si>
    <x:t>KIT GAMER 5 en 1 P51 SPACE ED FANTECH</x:t>
  </x:si>
  <x:si>
    <x:t>I02032</x:t>
  </x:si>
  <x:si>
    <x:t>AURICULAR GAMING INAL WHG03PRO PK 7.1 2.4G/BT FANT</x:t>
  </x:si>
  <x:si>
    <x:t>I02033</x:t>
  </x:si>
  <x:si>
    <x:t>PARLANTE USB/BT/3.5M GS304 BK DUAL/RGB FANTECH</x:t>
  </x:si>
  <x:si>
    <x:t>I02034</x:t>
  </x:si>
  <x:si>
    <x:t>PARLANTE USB/BT/3.5M GS304 WHITE DUAL/RGB FANTECH</x:t>
  </x:si>
  <x:si>
    <x:t>I02035</x:t>
  </x:si>
  <x:si>
    <x:t>PARLANTE BARRA BS151 DUAL BT/USB RGB 10W FANTECH</x:t>
  </x:si>
  <x:si>
    <x:t>I02036</x:t>
  </x:si>
  <x:si>
    <x:t>MICROFONO MCX03 BK FANTECH LEVIOSA MAX</x:t>
  </x:si>
  <x:si>
    <x:t>I02037</x:t>
  </x:si>
  <x:si>
    <x:t>MICROFONO MCX03 WHITE FANTECH LEVIOSA MAX</x:t>
  </x:si>
  <x:si>
    <x:t>I02171</x:t>
  </x:si>
  <x:si>
    <x:t>MOUSEPAD MP905 ATO BK KATSUYAMA FANTECH</x:t>
  </x:si>
  <x:si>
    <x:t>I02172</x:t>
  </x:si>
  <x:si>
    <x:t>JOYSTICK WGP13S BK PC/PS3/PS4/ANDR INAL. FANTECH</x:t>
  </x:si>
  <x:si>
    <x:t>I02173</x:t>
  </x:si>
  <x:si>
    <x:t>JOYSTICK WGP13S SUPER MAXFIT PC/PS3/PS4/ANDR INAL.</x:t>
  </x:si>
  <x:si>
    <x:t>I02174</x:t>
  </x:si>
  <x:si>
    <x:t>TECLADO Y MOUSE INAL. WK898 BLUE FANTECH</x:t>
  </x:si>
  <x:si>
    <x:t>I02175</x:t>
  </x:si>
  <x:si>
    <x:t>TECLADO Y MOUSE INAL. WK898 PINK FANTECH</x:t>
  </x:si>
  <x:si>
    <x:t>I02176</x:t>
  </x:si>
  <x:si>
    <x:t>TECLADO Y MOUSE INAL. WK898 PURPLE FANTECH</x:t>
  </x:si>
  <x:si>
    <x:t>I02177</x:t>
  </x:si>
  <x:si>
    <x:t>TECLADO Y MOUSE INAL. WK898 YELLOW FANTECH</x:t>
  </x:si>
  <x:si>
    <x:t>I02182</x:t>
  </x:si>
  <x:si>
    <x:t>AURICULAR GAMING HQ53 FLASH BK FANTECH</x:t>
  </x:si>
  <x:si>
    <x:t>I02184</x:t>
  </x:si>
  <x:si>
    <x:t>Soporte Joystick ACGP01 Fantech</x:t>
  </x:si>
  <x:si>
    <x:t>I02219</x:t>
  </x:si>
  <x:si>
    <x:t>MOUSE GAMING INAL HELIOS 2 PRO S 2.4/BT FANTECH BK</x:t>
  </x:si>
  <x:si>
    <x:t>I02220</x:t>
  </x:si>
  <x:si>
    <x:t>MOUSE INAL HELIOS 2 PRO S FANTECH WH</x:t>
  </x:si>
  <x:si>
    <x:t>I02221</x:t>
  </x:si>
  <x:si>
    <x:t>TECLADO MECANICO INAL MK915 75% SUPER MAXFIT BR SW</x:t>
  </x:si>
  <x:si>
    <x:t>I02223</x:t>
  </x:si>
  <x:si>
    <x:t>TECLADO MECANICO MK874 MORI (BL) BL SW 60% FANTECH</x:t>
  </x:si>
  <x:si>
    <x:t>I02224</x:t>
  </x:si>
  <x:si>
    <x:t>TECLADO MECÁNICO MK874 MORI (WH) BL SW 60% FANTECH</x:t>
  </x:si>
  <x:si>
    <x:t>I02225</x:t>
  </x:si>
  <x:si>
    <x:t>TECLADO MK875 MIZU 75% SKB BL SW MECANICO FANTECH</x:t>
  </x:si>
  <x:si>
    <x:t>I02226</x:t>
  </x:si>
  <x:si>
    <x:t>TECLADO MK875 MIZU 75% NAB BL SW MECANICO FANTECH</x:t>
  </x:si>
  <x:si>
    <x:t>I02227</x:t>
  </x:si>
  <x:si>
    <x:t>TECLADO MECANICO MK311 BK 60% RED SW FANTECH</x:t>
  </x:si>
  <x:si>
    <x:t>I02228</x:t>
  </x:si>
  <x:si>
    <x:t>TECLADO MECANICO MK311 WH 60% RED SW FANTECH</x:t>
  </x:si>
  <x:si>
    <x:t>I02229</x:t>
  </x:si>
  <x:si>
    <x:t>MOUSEPAD BASIC MP70 700x300 BLUE FANTECH</x:t>
  </x:si>
  <x:si>
    <x:t>I02230</x:t>
  </x:si>
  <x:si>
    <x:t>MOUSEPAD BASIC MP70 700x300  PINK FANTECH</x:t>
  </x:si>
  <x:si>
    <x:t>I02231</x:t>
  </x:si>
  <x:si>
    <x:t>MOUSEPAD BASIC MP70 700x300 PURPLE FANTECH</x:t>
  </x:si>
  <x:si>
    <x:t>I02232</x:t>
  </x:si>
  <x:si>
    <x:t>MOUSEPAD BASIC MP70 700x300 YELLOW FANTECH</x:t>
  </x:si>
  <x:si>
    <x:t>I02233</x:t>
  </x:si>
  <x:si>
    <x:t>AURICULAR GAMING INAL WHG04 BK 2.4G/BT FANTECH</x:t>
  </x:si>
  <x:si>
    <x:t>I02234</x:t>
  </x:si>
  <x:si>
    <x:t>AURICULAR GAMING INAL WHG04 WH 2.4G/BT FANTECH</x:t>
  </x:si>
  <x:si>
    <x:t>I02236</x:t>
  </x:si>
  <x:si>
    <x:t>AURICULAR GAMING HQ56 TONE 2 FANTECH</x:t>
  </x:si>
  <x:si>
    <x:t>I02241</x:t>
  </x:si>
  <x:si>
    <x:t>I02242</x:t>
  </x:si>
  <x:si>
    <x:t>MOUSE GAMING INAL WG9S KANATA SUPER MAXFIT FANTECH</x:t>
  </x:si>
  <x:si>
    <x:t>I02243</x:t>
  </x:si>
  <x:si>
    <x:t>MOUSEPAD MP905 ATO SUPER MAXFIT 90X40X4 FANTECH</x:t>
  </x:si>
  <x:si>
    <x:t>I02244</x:t>
  </x:si>
  <x:si>
    <x:t>JOYSTICK WGP14v2 EPSILON PC/PS4/PS3 INAL. RGB FANT</x:t>
  </x:si>
  <x:si>
    <x:t>I02323</x:t>
  </x:si>
  <x:si>
    <x:t>TECLADO ATOM PRO066 MK919 BLACK RW FANTECH</x:t>
  </x:si>
  <x:si>
    <x:t>I02324</x:t>
  </x:si>
  <x:si>
    <x:t>TECLADO ATOM PRO066 MK919 GREY RW FANTECH</x:t>
  </x:si>
  <x:si>
    <x:t>I02325</x:t>
  </x:si>
  <x:si>
    <x:t>MOUSEPAD GAMING ATO MP905 SAKURA FANTECH</x:t>
  </x:si>
  <x:si>
    <x:t>I02326</x:t>
  </x:si>
  <x:si>
    <x:t>MOUSEPAD GAMING ATO VIBE MP905 SANDY CHARCOAL</x:t>
  </x:si>
  <x:si>
    <x:t>I02327</x:t>
  </x:si>
  <x:si>
    <x:t>MOUSEPAD GAMING ATO KUJIRA MP905 BLACK FANTECH</x:t>
  </x:si>
  <x:si>
    <x:t>I02328</x:t>
  </x:si>
  <x:si>
    <x:t>MOUSEPAD GAMING ATO KUJIRA MP905 BEIGE FANTECH</x:t>
  </x:si>
  <x:si>
    <x:t>I02329</x:t>
  </x:si>
  <x:si>
    <x:t>PARLANTE GAMING HELLSCREAM GS205 FANTECH</x:t>
  </x:si>
  <x:si>
    <x:t>I02330</x:t>
  </x:si>
  <x:si>
    <x:t>PARLANTE GAMING GROOVER BAR GS303 FANTECH</x:t>
  </x:si>
  <x:si>
    <x:t>I02331</x:t>
  </x:si>
  <x:si>
    <x:t>JOYSTICK SHOOTER II GP13 FANTECH</x:t>
  </x:si>
  <x:si>
    <x:t>I02332</x:t>
  </x:si>
  <x:si>
    <x:t>JOYSTICK REVOLVER II WGP12 WHITE FANTECH</x:t>
  </x:si>
  <x:si>
    <x:t>I02333</x:t>
  </x:si>
  <x:si>
    <x:t>TECLADO MK875 MIZU 75% NAV RD SW MECANICO FANTECH</x:t>
  </x:si>
  <x:si>
    <x:t>I02334</x:t>
  </x:si>
  <x:si>
    <x:t>JOYSTICK EOS PRO II WGP15V2 GEMINUS FANTECH</x:t>
  </x:si>
  <x:si>
    <x:t>I02335</x:t>
  </x:si>
  <x:si>
    <x:t>TECLADO Y MOUSE INAL WK899 BLUE FANTECH</x:t>
  </x:si>
  <x:si>
    <x:t>I02336</x:t>
  </x:si>
  <x:si>
    <x:t>TECLADO Y MOUSE INAL WK899 PINK FANTECH</x:t>
  </x:si>
  <x:si>
    <x:t>I02337</x:t>
  </x:si>
  <x:si>
    <x:t>TECLADO Y MOUSE INAL WK899 PURPLE FANTECH</x:t>
  </x:si>
  <x:si>
    <x:t>I02338</x:t>
  </x:si>
  <x:si>
    <x:t>TECLADO Y MOUSE INAL WK899 YELLOW FANTECH</x:t>
  </x:si>
  <x:si>
    <x:t>I02339</x:t>
  </x:si>
  <x:si>
    <x:t>TECLADO Y MOUSE INAL W195R GREY FANTECH</x:t>
  </x:si>
  <x:si>
    <x:t>I02340</x:t>
  </x:si>
  <x:si>
    <x:t>TECLADO Y MOUSE INAL WK195R WHITE FANTECH</x:t>
  </x:si>
  <x:si>
    <x:t>I02341</x:t>
  </x:si>
  <x:si>
    <x:t>TECLADO ATOM63 874V2 MORI WHITE/ BLUE RS FANTECH</x:t>
  </x:si>
  <x:si>
    <x:t>I02369</x:t>
  </x:si>
  <x:si>
    <x:t>TECLADO GAMING K515S SHIKARI S FANTECH BACKLIT</x:t>
  </x:si>
  <x:si>
    <x:t>I02370</x:t>
  </x:si>
  <x:si>
    <x:t>TECLADO GAMING K614L FIGHTER FANTECH (K9300)</x:t>
  </x:si>
  <x:si>
    <x:t>I02371</x:t>
  </x:si>
  <x:si>
    <x:t>TECLADO MECANICO MK611 BL TARO SW 60% X63 FANTECH</x:t>
  </x:si>
  <x:si>
    <x:t>I02372</x:t>
  </x:si>
  <x:si>
    <x:t>TECLADO MECANICO MK611 WH TARO SW 60% X63 FANTECH</x:t>
  </x:si>
  <x:si>
    <x:t>I02373</x:t>
  </x:si>
  <x:si>
    <x:t>JOYSTICK WGP13S WH PC/PS3/PS4/ANDR INAL. FANTECH</x:t>
  </x:si>
  <x:si>
    <x:t>I02374</x:t>
  </x:si>
  <x:si>
    <x:t>JOYSTICK WGP13S PINK PC/PS3/PS4/ANDR INAL. FANTECH</x:t>
  </x:si>
  <x:si>
    <x:t>I02396</x:t>
  </x:si>
  <x:si>
    <x:t>TECLADO MECANICO INAL MK920 BK 65% MAXFIT6 WH SW F</x:t>
  </x:si>
  <x:si>
    <x:t>I02397</x:t>
  </x:si>
  <x:si>
    <x:t>TECLADO MECANICO INAL MK920 WH 65% MAXFIT6 WH SW F</x:t>
  </x:si>
  <x:si>
    <x:t>I02439</x:t>
  </x:si>
  <x:si>
    <x:t>TECLADO MK875 MIZU 75% SKB RD SW MECANICO FANTECH</x:t>
  </x:si>
  <x:si>
    <x:t>6972661289930</x:t>
  </x:si>
  <x:si>
    <x:t>I02441</x:t>
  </x:si>
  <x:si>
    <x:t>SELFIE STICK SS100 BT5.0 20-100cm FANTECH</x:t>
  </x:si>
  <x:si>
    <x:t>I02442</x:t>
  </x:si>
  <x:si>
    <x:t>SELFIE STICK SS141 BT5.2 12-41.5cm FANTECH</x:t>
  </x:si>
  <x:si>
    <x:t>I02443</x:t>
  </x:si>
  <x:si>
    <x:t>SELFIE STICK SS170 BT5.0 39-170cm FANTECH</x:t>
  </x:si>
  <x:si>
    <x:t>I02444</x:t>
  </x:si>
  <x:si>
    <x:t>AURICULAR TWS WAVE 11V2 BK FANTECH</x:t>
  </x:si>
  <x:si>
    <x:t>I02445</x:t>
  </x:si>
  <x:si>
    <x:t>AURICULAR TWS WAVE 11V2 RED FANTECH</x:t>
  </x:si>
  <x:si>
    <x:t>I02446</x:t>
  </x:si>
  <x:si>
    <x:t>AURICULAR TWS WAVE 11V2 BEIGE FANTECH</x:t>
  </x:si>
  <x:si>
    <x:t>I02449</x:t>
  </x:si>
  <x:si>
    <x:t>TECLADO MECANICO MK211 BK 60% RED SW FANTECH</x:t>
  </x:si>
  <x:si>
    <x:t>6977052253927</x:t>
  </x:si>
  <x:si>
    <x:t>I02450</x:t>
  </x:si>
  <x:si>
    <x:t>AURICULAR GAMING USB HG31 RGB 7.1 FANTECH</x:t>
  </x:si>
  <x:si>
    <x:t>I02451</x:t>
  </x:si>
  <x:si>
    <x:t>AURICULAR GAMING INAL WHG06 7.1 2.4/BT MAXFIT FANT</x:t>
  </x:si>
  <x:si>
    <x:t>6977052254085</x:t>
  </x:si>
  <x:si>
    <x:t>I02452</x:t>
  </x:si>
  <x:si>
    <x:t>AURICULAR TWS FT20 WH ANC FINECOUSTIC BY FANTECH</x:t>
  </x:si>
  <x:si>
    <x:t>I02453</x:t>
  </x:si>
  <x:si>
    <x:t>AURICULAR OWS FT21 BK ANC FINECOUSTIC BY FANTECH</x:t>
  </x:si>
  <x:si>
    <x:t>6977052254146</x:t>
  </x:si>
  <x:si>
    <x:t>I02454</x:t>
  </x:si>
  <x:si>
    <x:t>AURICULAR OWS FT21 BEIGE ANC FINECOUSTIC FANTECH</x:t>
  </x:si>
  <x:si>
    <x:t>6977052254153</x:t>
  </x:si>
  <x:si>
    <x:t>I02455</x:t>
  </x:si>
  <x:si>
    <x:t>PARLANTE BT BS152 BK 5W NERABOX FANTECH</x:t>
  </x:si>
  <x:si>
    <x:t>6977052252135</x:t>
  </x:si>
  <x:si>
    <x:t>I02456</x:t>
  </x:si>
  <x:si>
    <x:t>PARLANTE BT BS152 WH 5W NERABOX FANTECH</x:t>
  </x:si>
  <x:si>
    <x:t>6977052253507</x:t>
  </x:si>
  <x:si>
    <x:t>I02457</x:t>
  </x:si>
  <x:si>
    <x:t>PARLANTE BT BS152 PINK 5W NERABOX FANTECH</x:t>
  </x:si>
  <x:si>
    <x:t>6977052253514</x:t>
  </x:si>
  <x:si>
    <x:t>I02458</x:t>
  </x:si>
  <x:si>
    <x:t>PARLANTE BT BS152 PURP 5W NERABOX FANTECH</x:t>
  </x:si>
  <x:si>
    <x:t>6977052253521</x:t>
  </x:si>
  <x:si>
    <x:t>I02459</x:t>
  </x:si>
  <x:si>
    <x:t>PARLANTE BT BS153 BK 5W NERABOX FANTECH</x:t>
  </x:si>
  <x:si>
    <x:t>6977052253316</x:t>
  </x:si>
  <x:si>
    <x:t>I02460</x:t>
  </x:si>
  <x:si>
    <x:t>PARLANTE BT BS153 GREY 5W NERABOX FANTECH</x:t>
  </x:si>
  <x:si>
    <x:t>6977052253323</x:t>
  </x:si>
  <x:si>
    <x:t>I02461</x:t>
  </x:si>
  <x:si>
    <x:t>PARLANTE BT BS154 BK 5W RGB NERABOX FANTECH</x:t>
  </x:si>
  <x:si>
    <x:t>6977052253330</x:t>
  </x:si>
  <x:si>
    <x:t>I02462</x:t>
  </x:si>
  <x:si>
    <x:t>PARLANTE BT BS154 GREY 5W RGB NERABOX FANTECH</x:t>
  </x:si>
  <x:si>
    <x:t>6977052253347</x:t>
  </x:si>
  <x:si>
    <x:t>I02463</x:t>
  </x:si>
  <x:si>
    <x:t>PARLANTE BT BS157 BK 5W RGB NERABOX FANTECH</x:t>
  </x:si>
  <x:si>
    <x:t>6977052253361</x:t>
  </x:si>
  <x:si>
    <x:t>I02464</x:t>
  </x:si>
  <x:si>
    <x:t>PARLANTE BT BS157 GREY 5W RGB NERABOX FANTECH</x:t>
  </x:si>
  <x:si>
    <x:t>6977052253378</x:t>
  </x:si>
  <x:si>
    <x:t>I02465</x:t>
  </x:si>
  <x:si>
    <x:t>PARLANTE BARRA BS163 DUAL BT/USB RGB 10W FANTECH</x:t>
  </x:si>
  <x:si>
    <x:t>6977052253651</x:t>
  </x:si>
  <x:si>
    <x:t>I02466</x:t>
  </x:si>
  <x:si>
    <x:t>JOYSTICK WGP13X BK XBOX ONE-X-S/PC/PS3 INAL. FANT</x:t>
  </x:si>
  <x:si>
    <x:t>6977052252487</x:t>
  </x:si>
  <x:si>
    <x:t>I02467</x:t>
  </x:si>
  <x:si>
    <x:t>JOYSTICK WGP13X WH XBOX ONE-X-S/PC/PS3 INAL. FANT</x:t>
  </x:si>
  <x:si>
    <x:t>6977052252500</x:t>
  </x:si>
  <x:si>
    <x:t>I02468</x:t>
  </x:si>
  <x:si>
    <x:t>JOYSTICK WGP16 BK PC/PS4/PS3/SWITCH/AND INAL. FANT</x:t>
  </x:si>
  <x:si>
    <x:t>6977052250551</x:t>
  </x:si>
  <x:si>
    <x:t>I02469</x:t>
  </x:si>
  <x:si>
    <x:t>JOYSTICK WGP16 WH PC/PS4/PS3/SWITCH/AND INAL. FANT</x:t>
  </x:si>
  <x:si>
    <x:t>6977052250568</x:t>
  </x:si>
  <x:si>
    <x:t>I02470</x:t>
  </x:si>
  <x:si>
    <x:t>JOYSTICK WGP16 GRY PC/PS4/PS3/SWITCH/AND INAL. FAN</x:t>
  </x:si>
  <x:si>
    <x:t>6977052250575</x:t>
  </x:si>
  <x:si>
    <x:t>I02471</x:t>
  </x:si>
  <x:si>
    <x:t>ESTACION DE CARGA ACGP05 BK P/JOYS. PS5/WGP16 FANT</x:t>
  </x:si>
  <x:si>
    <x:t>6977052252432</x:t>
  </x:si>
  <x:si>
    <x:t>I02472</x:t>
  </x:si>
  <x:si>
    <x:t>ESTACION DE CARGA ACGP05 WH P/JOYS. PS5/WGP16 FANT</x:t>
  </x:si>
  <x:si>
    <x:t>6977052252791</x:t>
  </x:si>
  <x:si>
    <x:t>I02514</x:t>
  </x:si>
  <x:si>
    <x:t>TECLADO MECANICO MK874 SKB(BL) TARO SW 60% FANTECH</x:t>
  </x:si>
  <x:si>
    <x:t>6972661289961</x:t>
  </x:si>
  <x:si>
    <x:t>I02515</x:t>
  </x:si>
  <x:si>
    <x:t>TECLADO MECANICO MK874 SKB(RD) ROSIE SW 60% FANTEC</x:t>
  </x:si>
  <x:si>
    <x:t>6972661289978</x:t>
  </x:si>
  <x:si>
    <x:t>I02516</x:t>
  </x:si>
  <x:si>
    <x:t>TECLADO MECANICO MK874 NAB(BL) TARO SW 60% FANTECH</x:t>
  </x:si>
  <x:si>
    <x:t>6972661289947</x:t>
  </x:si>
  <x:si>
    <x:t>I02517</x:t>
  </x:si>
  <x:si>
    <x:t>TECLADO MECANICO MK874 NAB(RD) ROSIE SW 60% FANTEC</x:t>
  </x:si>
  <x:si>
    <x:t>6972661289954</x:t>
  </x:si>
  <x:si>
    <x:t>I02518</x:t>
  </x:si>
  <x:si>
    <x:t>TECLADO MECANICO MK874 MORI (BL) TARO SW 60% FANTE</x:t>
  </x:si>
  <x:si>
    <x:t>6977052254955</x:t>
  </x:si>
  <x:si>
    <x:t>I02519</x:t>
  </x:si>
  <x:si>
    <x:t>TECLADO MECÁNICO MK874 MORI (WH) TARO SW 60% FANTE</x:t>
  </x:si>
  <x:si>
    <x:t>6977052254979</x:t>
  </x:si>
  <x:si>
    <x:t>I02520</x:t>
  </x:si>
  <x:si>
    <x:t>TECLADO MK875 MIZU 75% SKB TARO SW MECANICO FANTEC</x:t>
  </x:si>
  <x:si>
    <x:t>6977052254498</x:t>
  </x:si>
  <x:si>
    <x:t>I02521</x:t>
  </x:si>
  <x:si>
    <x:t>TECLADO MK875 MIZU 75% NAB TARO SW MECANICO FANTEC</x:t>
  </x:si>
  <x:si>
    <x:t>6977052254474</x:t>
  </x:si>
  <x:si>
    <x:t>I02522</x:t>
  </x:si>
  <x:si>
    <x:t>TECLADO MK875 MIZU 75% NAV ROSIE SW MECANICO FANTE</x:t>
  </x:si>
  <x:si>
    <x:t>6977052254481</x:t>
  </x:si>
  <x:si>
    <x:t>I02523</x:t>
  </x:si>
  <x:si>
    <x:t>TECLADO MK875 MIZU 75% SKB ROSIE SW MECANICO FANTE</x:t>
  </x:si>
  <x:si>
    <x:t>6977052254504</x:t>
  </x:si>
  <x:si>
    <x:t>I02549</x:t>
  </x:si>
  <x:si>
    <x:t>TECLADO MAGNETICO MK811 BK ATOM HE68 65% FANTECH</x:t>
  </x:si>
  <x:si>
    <x:t>6977052255105</x:t>
  </x:si>
  <x:si>
    <x:t>I02550</x:t>
  </x:si>
  <x:si>
    <x:t>TECLADO MAGNETICO MK811 WHI ATOM HE68 65% FANTECH</x:t>
  </x:si>
  <x:si>
    <x:t>6977052255099</x:t>
  </x:si>
  <x:si>
    <x:t>I02551</x:t>
  </x:si>
  <x:si>
    <x:t>TECLADO MAGNETICO INAL MK922 BK HE68PRO 65% FAN</x:t>
  </x:si>
  <x:si>
    <x:t>6977052255167</x:t>
  </x:si>
  <x:si>
    <x:t>I02552</x:t>
  </x:si>
  <x:si>
    <x:t>TECLADO MAGNETICO INAL MK922 WHITE HE68PRO 65% FAN</x:t>
  </x:si>
  <x:si>
    <x:t>6977052255174</x:t>
  </x:si>
  <x:si>
    <x:t>I02553</x:t>
  </x:si>
  <x:si>
    <x:t>TECLADO MAGNETICO INAL MK922 RETRO HE68PRO 65% FAN</x:t>
  </x:si>
  <x:si>
    <x:t>6977052255181</x:t>
  </x:si>
  <x:si>
    <x:t>I02554</x:t>
  </x:si>
  <x:si>
    <x:t>MOUSE GAMING INAL WG13A LUFFY ONE PIECE FANTECH</x:t>
  </x:si>
  <x:si>
    <x:t>6977052253606</x:t>
  </x:si>
  <x:si>
    <x:t>I02555</x:t>
  </x:si>
  <x:si>
    <x:t>MOUSE GAMING INAL WG13A ZORO ONE PIECE FANTECH</x:t>
  </x:si>
  <x:si>
    <x:t>6977052253613</x:t>
  </x:si>
  <x:si>
    <x:t>I02556</x:t>
  </x:si>
  <x:si>
    <x:t>MOUSE GAMING INAL WG13A GEAR5 ONE PIECE FANTECH</x:t>
  </x:si>
  <x:si>
    <x:t>6977052253620</x:t>
  </x:si>
  <x:si>
    <x:t>I02557</x:t>
  </x:si>
  <x:si>
    <x:t>MOUSE GAMING INAL WG13A NAMI ONE PIECE FANTECH</x:t>
  </x:si>
  <x:si>
    <x:t>6977052253637</x:t>
  </x:si>
  <x:si>
    <x:t>I02558</x:t>
  </x:si>
  <x:si>
    <x:t>MOUSEPAD MP905 ATO LUFFY ONE PIECE FANTECH</x:t>
  </x:si>
  <x:si>
    <x:t>6977052253149</x:t>
  </x:si>
  <x:si>
    <x:t>I02559</x:t>
  </x:si>
  <x:si>
    <x:t>MOUSEPAD MP905 ATO ZORO ONE PIECE FANTECH</x:t>
  </x:si>
  <x:si>
    <x:t>6977052253156</x:t>
  </x:si>
  <x:si>
    <x:t>I02560</x:t>
  </x:si>
  <x:si>
    <x:t>MOUSEPAD MP905 ATO GEAR5 ONE PIECE FANTECH</x:t>
  </x:si>
  <x:si>
    <x:t>6977052253163</x:t>
  </x:si>
  <x:si>
    <x:t>I02561</x:t>
  </x:si>
  <x:si>
    <x:t>MOUSEPAD MP905 ATO NAMI ONE PIECE FANTECH</x:t>
  </x:si>
  <x:si>
    <x:t>6977052253170</x:t>
  </x:si>
  <x:si>
    <x:t>I02562</x:t>
  </x:si>
  <x:si>
    <x:t>MOUSEPAD MP905 ATO USOPP ONE PIECE FANTECH</x:t>
  </x:si>
  <x:si>
    <x:t>6977052253187</x:t>
  </x:si>
  <x:si>
    <x:t>I02563</x:t>
  </x:si>
  <x:si>
    <x:t>MOUSEPAD MP905 ATO BROOK ONE PIECE FANTECH</x:t>
  </x:si>
  <x:si>
    <x:t>6977052253194</x:t>
  </x:si>
  <x:si>
    <x:t>I02564</x:t>
  </x:si>
  <x:si>
    <x:t>MOUSEPAD MP905 ATO CHOPPER ONE PIECE FANTECH</x:t>
  </x:si>
  <x:si>
    <x:t>6977052253705</x:t>
  </x:si>
  <x:si>
    <x:t>I02565</x:t>
  </x:si>
  <x:si>
    <x:t>MOUSEPAD MP905 ATO ROBIN ONE PIECE FANTECH</x:t>
  </x:si>
  <x:si>
    <x:t>6977052253200</x:t>
  </x:si>
  <x:si>
    <x:t>I02566</x:t>
  </x:si>
  <x:si>
    <x:t>TECLADO MECANICO INAL MK921 LUFFY ONE PIECE 75% FA</x:t>
  </x:si>
  <x:si>
    <x:t>6977052253781</x:t>
  </x:si>
  <x:si>
    <x:t>I02567</x:t>
  </x:si>
  <x:si>
    <x:t>TECLADO MECANICO INAL MK921 ZORO BR SW ONE PIECE</x:t>
  </x:si>
  <x:si>
    <x:t>I02568</x:t>
  </x:si>
  <x:si>
    <x:t>TECLADO MECANICO INAL MK921 GEAR5 BR SW ONE PIECE</x:t>
  </x:si>
  <x:si>
    <x:t>6977052253828</x:t>
  </x:si>
  <x:si>
    <x:t>I02569</x:t>
  </x:si>
  <x:si>
    <x:t>TECLADO MECANICO INAL MK921 NAMI BR SW ONE PIECE</x:t>
  </x:si>
  <x:si>
    <x:t>6977052253842</x:t>
  </x:si>
  <x:si>
    <x:t>I02570</x:t>
  </x:si>
  <x:si>
    <x:t>PARLANTE BT BS152 LUFFY ONE PIECE 5W FANTECH</x:t>
  </x:si>
  <x:si>
    <x:t>6977052253569</x:t>
  </x:si>
  <x:si>
    <x:t>I02571</x:t>
  </x:si>
  <x:si>
    <x:t>PARLANTE BT BS152 ZORO ONE PIECE 5W FANTECH</x:t>
  </x:si>
  <x:si>
    <x:t>6977052253583</x:t>
  </x:si>
  <x:si>
    <x:t>I02572</x:t>
  </x:si>
  <x:si>
    <x:t>PARLANTE BT BS152 GEAR5 ONE PIECE 5W FANTECH</x:t>
  </x:si>
  <x:si>
    <x:t>6977052253590</x:t>
  </x:si>
  <x:si>
    <x:t>I02573</x:t>
  </x:si>
  <x:si>
    <x:t>PARLANTE BT BS152 NAMI ONE PIECE 5W FANTECH</x:t>
  </x:si>
  <x:si>
    <x:t>6977052253576</x:t>
  </x:si>
  <x:si>
    <x:t>I02574</x:t>
  </x:si>
  <x:si>
    <x:t>JOYSTICK WGP14v2 LUFFY ONE PIECE INAL. PC/PS3/PS4</x:t>
  </x:si>
  <x:si>
    <x:t>6977052252357</x:t>
  </x:si>
  <x:si>
    <x:t>I02575</x:t>
  </x:si>
  <x:si>
    <x:t>JOYSTICK WGP14v2 ZORO ONE PIECE INAL. PC/PS3/PS4</x:t>
  </x:si>
  <x:si>
    <x:t>6977052252364</x:t>
  </x:si>
  <x:si>
    <x:t>I02576</x:t>
  </x:si>
  <x:si>
    <x:t>JOYSTICK WGP14v2 GEAR5 ONE PIECE INAL. PC/PS3/PS4</x:t>
  </x:si>
  <x:si>
    <x:t>6977052252371</x:t>
  </x:si>
  <x:si>
    <x:t>I02577</x:t>
  </x:si>
  <x:si>
    <x:t>JOYSTICK WGP14v2 NAMI ONE PIECE INAL. PC/PS3/PS4</x:t>
  </x:si>
  <x:si>
    <x:t>6977052252388</x:t>
  </x:si>
  <x:si>
    <x:t>I02578</x:t>
  </x:si>
  <x:si>
    <x:t>AURICULAR GAMING INAL WHG05 BK 2.4/BT STELLAR FANT</x:t>
  </x:si>
  <x:si>
    <x:t>6977052253866</x:t>
  </x:si>
  <x:si>
    <x:t>I02579</x:t>
  </x:si>
  <x:si>
    <x:t>AURICULAR GAMING INAL WHG05 WH 2.4/BT STELLAR FANT</x:t>
  </x:si>
  <x:si>
    <x:t>6977052253873</x:t>
  </x:si>
  <x:si>
    <x:t>I02592</x:t>
  </x:si>
  <x:si>
    <x:t>MOUSE GAMING INAL WG9RD KANATA ROSIE EDIT FANTECH</x:t>
  </x:si>
  <x:si>
    <x:t>6977052255631</x:t>
  </x:si>
  <x:si>
    <x:t>I02593</x:t>
  </x:si>
  <x:si>
    <x:t>TECLADO MECANICO INAL MK921 65% ROSIE ED WH SW FAN</x:t>
  </x:si>
  <x:si>
    <x:t>69770522555556</x:t>
  </x:si>
  <x:si>
    <x:t>I02594</x:t>
  </x:si>
  <x:si>
    <x:t>AURICULAR GAMING INAL WHG07 7.1 2.4/BT ROSIE FANTE</x:t>
  </x:si>
  <x:si>
    <x:t>6977052255228</x:t>
  </x:si>
  <x:si>
    <x:t>I02595</x:t>
  </x:si>
  <x:si>
    <x:t>MICROFONO UFM1 SONARA FINECOUSTIC BY FANTECH</x:t>
  </x:si>
  <x:si>
    <x:t>I02597</x:t>
  </x:si>
  <x:si>
    <x:t>JOYSTICK WGP16D BK PS5/PC/Mac/And INAL. FANTECH</x:t>
  </x:si>
  <x:si>
    <x:t>6977052253934</x:t>
  </x:si>
  <x:si>
    <x:t>I02598</x:t>
  </x:si>
  <x:si>
    <x:t>JOYSTICK WGP16D GR PS5/PC/Mac/And INAL. FANTECH</x:t>
  </x:si>
  <x:si>
    <x:t>6977052255280</x:t>
  </x:si>
  <x:si>
    <x:t>I02599</x:t>
  </x:si>
  <x:si>
    <x:t>ESTACION DE CARGA ACGP05 GR P/JOYS. PS5/WGP16 FANT</x:t>
  </x:si>
  <x:si>
    <x:t>I02636</x:t>
  </x:si>
  <x:si>
    <x:t>TECLADO MECANICO INAL MK921 ZORO WHI SW ONE PIECE</x:t>
  </x:si>
  <x:si>
    <x:t>I02637</x:t>
  </x:si>
  <x:si>
    <x:t>TECLADO MECANICO INAL MK921 GEAR5 WHI SW ONE PIECE</x:t>
  </x:si>
  <x:si>
    <x:t>I02638</x:t>
  </x:si>
  <x:si>
    <x:t>TECLADO MECANICO INAL MK921 NAMI WHI SW ONE PIECE</x:t>
  </x:si>
  <x:si>
    <x:t>I02652</x:t>
  </x:si>
  <x:si>
    <x:t>MOUSE GAMING INAL WG12RS BK FANTECH</x:t>
  </x:si>
  <x:si>
    <x:t>I02653</x:t>
  </x:si>
  <x:si>
    <x:t>MOUSE GAMING INAL WG12RS WH FANTECH</x:t>
  </x:si>
  <x:si>
    <x:t>I02654</x:t>
  </x:si>
  <x:si>
    <x:t>JOYSTICK WGP12S BK PC/PS3/PS4/AND INAL. FANTECH</x:t>
  </x:si>
  <x:si>
    <x:t>I02655</x:t>
  </x:si>
  <x:si>
    <x:t>JOYSTICK WGP12S WH PC/PS3/PS4/AND INAL. FANTECH</x:t>
  </x:si>
  <x:si>
    <x:t>I02656</x:t>
  </x:si>
  <x:si>
    <x:t>MICROFONO MCX04 BK FANTECH AURA</x:t>
  </x:si>
  <x:si>
    <x:t>I02657</x:t>
  </x:si>
  <x:si>
    <x:t>MICROFONO INAL. WMCX01 BK LEVIOSA WAVE FANTECH</x:t>
  </x:si>
  <x:si>
    <x:t>I02658</x:t>
  </x:si>
  <x:si>
    <x:t>MICROFONO INAL. WMCX01 WH LEVIOSA WAVE FANTECH</x:t>
  </x:si>
  <x:si>
    <x:t>I02659</x:t>
  </x:si>
  <x:si>
    <x:t>AURICULAR TWS TX4 SUPER MAXFIT ANC+ENC FANTECH</x:t>
  </x:si>
  <x:si>
    <x:t>6977052254221</x:t>
  </x:si>
  <x:si>
    <x:t>I02661</x:t>
  </x:si>
  <x:si>
    <x:t>SELFIE STICK SS175 BT5.2 35-175cm FANTECH</x:t>
  </x:si>
  <x:si>
    <x:t>I02672</x:t>
  </x:si>
  <x:si>
    <x:t>MOUSE GAMING VX9S BK KANATA FANTECH</x:t>
  </x:si>
  <x:si>
    <x:t>I02673</x:t>
  </x:si>
  <x:si>
    <x:t>MOUSE GAMING VX9S WH KANATA FANTECH</x:t>
  </x:si>
  <x:si>
    <x:t>I02674</x:t>
  </x:si>
  <x:si>
    <x:t>MOUSE GAMING INAL WGV7V2 BK CRYPTO II FANTECH</x:t>
  </x:si>
  <x:si>
    <x:t>I02675</x:t>
  </x:si>
  <x:si>
    <x:t>MOUSE GAMING INAL WGV7V2 WH CRYPTO II FANTECH</x:t>
  </x:si>
  <x:si>
    <x:t>I02676</x:t>
  </x:si>
  <x:si>
    <x:t>MOUSE GAMING INAL WG10 GREY RAIGOR II FANTECH</x:t>
  </x:si>
  <x:si>
    <x:t>I02677</x:t>
  </x:si>
  <x:si>
    <x:t>MOUSE INAL W608 BLACK FANTECH</x:t>
  </x:si>
  <x:si>
    <x:t>I02678</x:t>
  </x:si>
  <x:si>
    <x:t>TECLADO MECÁNICO MK877S MORI (WH) TR SW TKL FANTE</x:t>
  </x:si>
  <x:si>
    <x:t>I02679</x:t>
  </x:si>
  <x:si>
    <x:t>TECLADO MECANICO MK612 BL ROSIE SW 75% X83 FANTECH</x:t>
  </x:si>
  <x:si>
    <x:t>I02680</x:t>
  </x:si>
  <x:si>
    <x:t>TECLADO MECANICO MK612 WH ROSIE SW 75% X83 FANTECH</x:t>
  </x:si>
  <x:si>
    <x:t>I02681</x:t>
  </x:si>
  <x:si>
    <x:t>AURICULAR GAMING MH88 BK FANTECH</x:t>
  </x:si>
  <x:si>
    <x:t>I02682</x:t>
  </x:si>
  <x:si>
    <x:t>TECLADO MK874 MIZU 60% NAB TARO SW MECANICO FANTEC</x:t>
  </x:si>
  <x:si>
    <x:t>I02687</x:t>
  </x:si>
  <x:si>
    <x:t>MOUSE GAMING VX9S BK PHANTOM II FANTECH</x:t>
  </x:si>
  <x:si>
    <x:t>I02690</x:t>
  </x:si>
  <x:si>
    <x:t>MOUSE GAMING INAL WGV7V2RD BK CRYPTO II FANTECH</x:t>
  </x:si>
  <x:si>
    <x:t>I02713</x:t>
  </x:si>
  <x:si>
    <x:t>MOUSEPAD FANTECH MP905 BLUE EGGHEAD</x:t>
  </x:si>
  <x:si>
    <x:t>I02714</x:t>
  </x:si>
  <x:si>
    <x:t>AUICULAR TWS FANTECH LUFFY FT20</x:t>
  </x:si>
  <x:si>
    <x:t>I02715</x:t>
  </x:si>
  <x:si>
    <x:t>TECLADO MAGNETICO INAL MK922 MAXFI HE68PRO 65% FAN</x:t>
  </x:si>
  <x:si>
    <x:t>6977052256188</x:t>
  </x:si>
  <x:si>
    <x:t>I02716</x:t>
  </x:si>
  <x:si>
    <x:t>libre p usar-MOUSE GAMING INAL WG7V2 BK CRYPTOII</x:t>
  </x:si>
  <x:si>
    <x:t>I02165</x:t>
  </x:si>
  <x:si>
    <x:t>KIT GAMER FANTECH 80%</x:t>
  </x:si>
  <x:si>
    <x:t>I02166</x:t>
  </x:si>
  <x:si>
    <x:t>KIT GAMER MOUSE + PAD FANTECH SAKURA</x:t>
  </x:si>
  <x:si>
    <x:t>I02167</x:t>
  </x:si>
  <x:si>
    <x:t>KIT GAMER FANTECH SAKURA II</x:t>
  </x:si>
  <x:si>
    <x:t>I02168</x:t>
  </x:si>
  <x:si>
    <x:t>KIT GAMER 60% SPACE</x:t>
  </x:si>
  <x:si>
    <x:t>I02688</x:t>
  </x:si>
  <x:si>
    <x:t>PARLANTE BT FANTECH NP02 NERA PARTY</x:t>
  </x:si>
  <x:si>
    <x:t>I02689</x:t>
  </x:si>
  <x:si>
    <x:t>PARLANTE BT FANTECH NP03 NERA PARTY</x:t>
  </x:si>
  <x:si>
    <x:t>I01005</x:t>
  </x:si>
  <x:si>
    <x:t>GABINETE PULSE CG-71 BK FANTECH</x:t>
  </x:si>
  <x:si>
    <x:t>I01006</x:t>
  </x:si>
  <x:si>
    <x:t>GABINETE PULSE CG-71 FANTECH SPACE EDITION</x:t>
  </x:si>
  <x:si>
    <x:t>I01007</x:t>
  </x:si>
  <x:si>
    <x:t>GABINETE FANTECH STRIKE CG-72</x:t>
  </x:si>
  <x:si>
    <x:t>I01096</x:t>
  </x:si>
  <x:si>
    <x:t>GABINETE FANTECH HEXA CG-73</x:t>
  </x:si>
  <x:si>
    <x:t>I01097</x:t>
  </x:si>
  <x:si>
    <x:t>GABINETE FANTECH AERO CG-80 WHITE</x:t>
  </x:si>
  <x:si>
    <x:t>I01098</x:t>
  </x:si>
  <x:si>
    <x:t>GABINETE FANTECH AERO CG-80 SAKURA</x:t>
  </x:si>
  <x:si>
    <x:t>I01101</x:t>
  </x:si>
  <x:si>
    <x:t>GABINETE FANTECH CG-76 NEGRO c/ 4 FAN</x:t>
  </x:si>
  <x:si>
    <x:t>I01102</x:t>
  </x:si>
  <x:si>
    <x:t>GABINETE FANTECH CG-76 BLANCO c/ 4 FAN</x:t>
  </x:si>
  <x:si>
    <x:t>I01103</x:t>
  </x:si>
  <x:si>
    <x:t>GABINETE FANTECH CG-76 ROSA c/ 4 FAN</x:t>
  </x:si>
  <x:si>
    <x:t>I01811</x:t>
  </x:si>
  <x:si>
    <x:t>GABINETE FANTECH CG-83 ROSA C/ 4 FAN RGB</x:t>
  </x:si>
  <x:si>
    <x:t>I01853</x:t>
  </x:si>
  <x:si>
    <x:t>GABINETE FANTECH CG-80 BK AERO C/ 4 FAN RGB</x:t>
  </x:si>
  <x:si>
    <x:t>I02421</x:t>
  </x:si>
  <x:si>
    <x:t>GABINETE FANTECH CG-83 BK C/ 4 FAN RGB</x:t>
  </x:si>
  <x:si>
    <x:t>I01099</x:t>
  </x:si>
  <x:si>
    <x:t>SILLA GAMER ALPHA GC-185s RED FANTECH</x:t>
  </x:si>
  <x:si>
    <x:t>I01100</x:t>
  </x:si>
  <x:si>
    <x:t>SILLA GAMER ALPHA GC-182 PINK-GRAY SAKURA CUERO PU</x:t>
  </x:si>
  <x:si>
    <x:t>I01106</x:t>
  </x:si>
  <x:si>
    <x:t>SILLA GAMER ALPHA GC-185X BK/RED FANTECH</x:t>
  </x:si>
  <x:si>
    <x:t>I01117</x:t>
  </x:si>
  <x:si>
    <x:t>SILLA GAMER ALPHA GC-185X BK  FANTECH</x:t>
  </x:si>
  <x:si>
    <x:t>I01203</x:t>
  </x:si>
  <x:si>
    <x:t>SILLA GAMER FANTECH MINT GC283</x:t>
  </x:si>
  <x:si>
    <x:t>I01204</x:t>
  </x:si>
  <x:si>
    <x:t>SILLA ERGONOMICA OCA258 MINT FANTECH</x:t>
  </x:si>
  <x:si>
    <x:t>6972661286786</x:t>
  </x:si>
  <x:si>
    <x:t>I01205</x:t>
  </x:si>
  <x:si>
    <x:t>SILLA ERGONOMICA OCA258 SAKURA FANTECH</x:t>
  </x:si>
  <x:si>
    <x:t>6972661286779</x:t>
  </x:si>
  <x:si>
    <x:t>I01241</x:t>
  </x:si>
  <x:si>
    <x:t>SILLA ERGONOMICA OCA258 GRIS-VERDE FANTECH</x:t>
  </x:si>
  <x:si>
    <x:t>6972661286748</x:t>
  </x:si>
  <x:si>
    <x:t>I01569</x:t>
  </x:si>
  <x:si>
    <x:t>SILLA ERGONOMICA OCA258 NEGRA FANTECH</x:t>
  </x:si>
  <x:si>
    <x:t>6972661286731</x:t>
  </x:si>
  <x:si>
    <x:t>I01851</x:t>
  </x:si>
  <x:si>
    <x:t>ESCRITORIO GAMER FANTECH WS311 BK</x:t>
  </x:si>
  <x:si>
    <x:t>I02235</x:t>
  </x:si>
  <x:si>
    <x:t>SILLA ERGONOMICA OCA258 GRIS/NEGRA  FANTECH</x:t>
  </x:si>
  <x:si>
    <x:t>I02387</x:t>
  </x:si>
  <x:si>
    <x:t>SILLA GAMER GC-192 BLACK FANTECH</x:t>
  </x:si>
  <x:si>
    <x:t>I02388</x:t>
  </x:si>
  <x:si>
    <x:t>SILLA GAMER GC-192 GREY FANTECH</x:t>
  </x:si>
  <x:si>
    <x:t>I02389</x:t>
  </x:si>
  <x:si>
    <x:t>SILLA GAMER GC-192 BROWN FANTECH</x:t>
  </x:si>
  <x:si>
    <x:t>I02660</x:t>
  </x:si>
  <x:si>
    <x:t>HUB USB 3.0 HA3041 4 en 1 FANTECH</x:t>
  </x:si>
  <x:si>
    <x:t>I02670</x:t>
  </x:si>
  <x:si>
    <x:t>HUB USB-C HC101 9 en 1 HDMI/RJ45/SD FANTECH</x:t>
  </x:si>
  <x:si>
    <x:t>I01088</x:t>
  </x:si>
  <x:si>
    <x:t>CAMARA WEB C30 FANTECH 2K 25FPS</x:t>
  </x:si>
  <x:si>
    <x:t>I02596</x:t>
  </x:si>
  <x:si>
    <x:t>CAMARA WEB C50 FANTECH 2K 60FPS</x:t>
  </x:si>
  <x:si>
    <x:t>I02710</x:t>
  </x:si>
  <x:si>
    <x:t>AURICULAR TWS FANTECH ZORO FT20</x:t>
  </x:si>
  <x:si>
    <x:t>I02711</x:t>
  </x:si>
  <x:si>
    <x:t>AURICULAR TWS FANTECH GEAR5 FT20</x:t>
  </x:si>
  <x:si>
    <x:t>I02712</x:t>
  </x:si>
  <x:si>
    <x:t>AURICULAR TWS FANTECH NAMI FT20</x:t>
  </x:si>
  <x:si>
    <x:t>I01684</x:t>
  </x:si>
  <x:si>
    <x:t>AURICULAR BT WH05 BK GO VIBE FANTECH</x:t>
  </x:si>
  <x:si>
    <x:t>I01685</x:t>
  </x:si>
  <x:si>
    <x:t>AURICULAR BT WH05 BEIGE GO VIBE FANTECH</x:t>
  </x:si>
  <x:si>
    <x:t>I01686</x:t>
  </x:si>
  <x:si>
    <x:t>AURICULAR BT WH05 BLUE GO VIBE FANTECH</x:t>
  </x:si>
  <x:si>
    <x:t>I01687</x:t>
  </x:si>
  <x:si>
    <x:t>AURICULAR BT WH05 PINK GO VIBE FANTECH</x:t>
  </x:si>
  <x:si>
    <x:t>I01688</x:t>
  </x:si>
  <x:si>
    <x:t>AURICULAR BT WH06 BK GO TUNE FANTECH</x:t>
  </x:si>
  <x:si>
    <x:t>I01689</x:t>
  </x:si>
  <x:si>
    <x:t>AURICULAR BT WH06 BEIGE GO TUNE FANTECH</x:t>
  </x:si>
  <x:si>
    <x:t>I01690</x:t>
  </x:si>
  <x:si>
    <x:t>AURICULAR BT WH06 GREY GO TUNE FANTECH</x:t>
  </x:si>
  <x:si>
    <x:t>I02071</x:t>
  </x:si>
  <x:si>
    <x:t>AURICULAR BT WH02S BK GO AIR FANTECH</x:t>
  </x:si>
  <x:si>
    <x:t>I02072</x:t>
  </x:si>
  <x:si>
    <x:t>AURICULAR BT WH07A BK GO FLOW ANC FANTECH</x:t>
  </x:si>
  <x:si>
    <x:t>I02073</x:t>
  </x:si>
  <x:si>
    <x:t>AURICULAR BT WH07A GREY GO FLOW ANC FANTECH</x:t>
  </x:si>
  <x:si>
    <x:t>I02447</x:t>
  </x:si>
  <x:si>
    <x:t>MICROFONO SOLAPERO TIPO-C WMV21C FANTECH</x:t>
  </x:si>
  <x:si>
    <x:t>6972661289473</x:t>
  </x:si>
  <x:si>
    <x:t>I02448</x:t>
  </x:si>
  <x:si>
    <x:t>MICROFONO SOLAPERO IPHONE WMV21L FANTECH</x:t>
  </x:si>
  <x:si>
    <x:t>6972661289497</x:t>
  </x:si>
  <x:si>
    <x:t>Fecha Proxima Importacion</x:t>
  </x:si>
  <x:si>
    <x:t>Dias Pedido</x:t>
  </x:si>
  <x:si>
    <x:t>Dias Duracion</x:t>
  </x:si>
  <x:si>
    <x:t>Relacion Venta Marcas</x:t>
  </x:si>
  <x:si>
    <x:t>Articulo.1</x:t>
  </x:si>
  <x:si>
    <x:t>Stock Act.1</x:t>
  </x:si>
  <x:si>
    <x:t>I M P O R T A C I O N  -  598</x:t>
  </x:si>
  <x:si>
    <x:t>Arribo</x:t>
  </x:si>
  <x:si>
    <x:t>Dias Arribo.</x:t>
  </x:si>
  <x:si>
    <x:t>Quiebre Stk.1</x:t>
  </x:si>
  <x:si>
    <x:t>% Proteccion.1</x:t>
  </x:si>
  <x:si>
    <x:t>Pedidos.1</x:t>
  </x:si>
  <x:si>
    <x:t>Stk.Arribo.1</x:t>
  </x:si>
  <x:si>
    <x:t>FOB Arribo.1</x:t>
  </x:si>
  <x:si>
    <x:t>UnidxEnv</x:t>
  </x:si>
  <x:si>
    <x:t>Volumen</x:t>
  </x:si>
  <x:si>
    <x:t>I M P O R T A C I O N  -  600</x:t>
  </x:si>
  <x:si>
    <x:t>S T O C K   A L  05/11/2026</x:t>
  </x:si>
  <x:si>
    <x:t>Arribo Prox.</x:t>
  </x:si>
  <x:si>
    <x:t>Dias Arribo</x:t>
  </x:si>
  <x:si>
    <x:t>Pedir Artic.1</x:t>
  </x:si>
  <x:si>
    <x:t>Confirmado Art.1</x:t>
  </x:si>
  <x:si>
    <x:t>Stk.Acumulado.1</x:t>
  </x:si>
  <x:si>
    <x:t>FOB U$S Art.1</x:t>
  </x:si>
  <x:si>
    <x:t>Prov. Cpa. Art.1</x:t>
  </x:si>
  <x:si>
    <x:t>S T O C K   A L  04/01/2027</x:t>
  </x:si>
  <x:si>
    <x:t>Stk.Final.1</x:t>
  </x:si>
  <x:si>
    <x:t>Estado Art.1</x:t>
  </x:si>
</x:sst>
</file>

<file path=xl/styles.xml><?xml version="1.0" encoding="utf-8"?>
<x:styleSheet xmlns:x="http://schemas.openxmlformats.org/spreadsheetml/2006/main">
  <x:numFmts count="5">
    <x:numFmt numFmtId="164" formatCode="#,###,##0.0000"/>
    <x:numFmt numFmtId="165" formatCode="dd/MM/yyyy"/>
    <x:numFmt numFmtId="166" formatCode="#,###,##0.00"/>
    <x:numFmt numFmtId="167" formatCode="#,##0.00%"/>
    <x:numFmt numFmtId="168" formatCode="#,###,##0.000000"/>
  </x:numFmts>
  <x:fonts count="2">
    <x:font>
      <x:sz val="11"/>
      <x:color theme="1"/>
      <x:name val="Calibri"/>
      <x:scheme val="minor"/>
    </x:font>
    <x:font>
      <x:b/>
      <x:sz val="9"/>
      <x:name val="Arial"/>
    </x:font>
  </x:fonts>
  <x:fills count="12">
    <x:fill>
      <x:patternFill patternType="none"/>
    </x:fill>
    <x:fill>
      <x:patternFill patternType="gray125"/>
    </x:fill>
    <x:fill>
      <x:patternFill patternType="solid">
        <x:fgColor rgb="FF00FFFF"/>
        <x:bgColor rgb="FF000000"/>
      </x:patternFill>
    </x:fill>
    <x:fill>
      <x:patternFill patternType="solid">
        <x:fgColor rgb="FFFF0000"/>
        <x:bgColor rgb="FF000000"/>
      </x:patternFill>
    </x:fill>
    <x:fill>
      <x:patternFill patternType="solid">
        <x:fgColor rgb="FFF0F8FF"/>
        <x:bgColor rgb="FF000000"/>
      </x:patternFill>
    </x:fill>
    <x:fill>
      <x:patternFill patternType="solid">
        <x:fgColor rgb="FFD3D3D3"/>
        <x:bgColor rgb="FF000000"/>
      </x:patternFill>
    </x:fill>
    <x:fill>
      <x:patternFill patternType="solid">
        <x:fgColor rgb="FF5F9EA0"/>
        <x:bgColor rgb="FF000000"/>
      </x:patternFill>
    </x:fill>
    <x:fill>
      <x:patternFill patternType="solid">
        <x:fgColor rgb="FFADD8E6"/>
        <x:bgColor rgb="FF000000"/>
      </x:patternFill>
    </x:fill>
    <x:fill>
      <x:patternFill patternType="solid">
        <x:fgColor rgb="FFFFFF00"/>
        <x:bgColor rgb="FF000000"/>
      </x:patternFill>
    </x:fill>
    <x:fill>
      <x:patternFill patternType="solid">
        <x:fgColor rgb="FFE6E6FA"/>
        <x:bgColor rgb="FF000000"/>
      </x:patternFill>
    </x:fill>
    <x:fill>
      <x:patternFill patternType="solid">
        <x:fgColor rgb="FFBC8F8F"/>
        <x:bgColor rgb="FF000000"/>
      </x:patternFill>
    </x:fill>
    <x:fill>
      <x:patternFill patternType="solid">
        <x:fgColor rgb="FFFF7F50"/>
        <x:bgColor rgb="FF00000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Fill="1"/>
    <x:xf numFmtId="49" fontId="0" fillId="0" borderId="0" xfId="0" applyNumberFormat="1"/>
    <x:xf numFmtId="49" fontId="0" fillId="2" borderId="0" xfId="0" applyNumberFormat="1" applyFill="1"/>
    <x:xf numFmtId="0" fontId="0" fillId="3" borderId="0" xfId="0" applyFill="1"/>
    <x:xf numFmtId="0" fontId="0" fillId="3" borderId="0" xfId="0" applyFill="1"/>
    <x:xf numFmtId="49" fontId="0" fillId="3" borderId="0" xfId="0" applyNumberFormat="1" applyFill="1"/>
    <x:xf numFmtId="49" fontId="0" fillId="0" borderId="0" xfId="0" applyNumberFormat="1"/>
    <x:xf numFmtId="0" fontId="0" fillId="4" borderId="0" xfId="0" applyFill="1"/>
    <x:xf numFmtId="0" fontId="0" fillId="4" borderId="0" xfId="0" applyFill="1"/>
    <x:xf numFmtId="0" fontId="0" fillId="5" borderId="0" xfId="0" applyFill="1"/>
    <x:xf numFmtId="0" fontId="0" fillId="5" borderId="0" xfId="0" applyFill="1"/>
    <x:xf numFmtId="164" fontId="0" fillId="0" borderId="0" xfId="0" applyNumberFormat="1"/>
    <x:xf numFmtId="164" fontId="0" fillId="5" borderId="0" xfId="0" applyNumberFormat="1" applyFill="1"/>
    <x:xf numFmtId="0" fontId="0" fillId="6" borderId="0" xfId="0" applyFill="1"/>
    <x:xf numFmtId="0" fontId="0" fillId="6" borderId="0" xfId="0" applyFill="1"/>
    <x:xf numFmtId="164" fontId="0" fillId="6" borderId="0" xfId="0" applyNumberFormat="1" applyFill="1"/>
    <x:xf numFmtId="164" fontId="0" fillId="0" borderId="0" xfId="0" applyNumberFormat="1"/>
    <x:xf numFmtId="0" fontId="0" fillId="7" borderId="0" xfId="0" applyFill="1"/>
    <x:xf numFmtId="0" fontId="0" fillId="7" borderId="0" xfId="0" applyFill="1"/>
    <x:xf numFmtId="164" fontId="0" fillId="7" borderId="0" xfId="0" applyNumberFormat="1" applyFill="1"/>
    <x:xf numFmtId="0" fontId="0" fillId="8" borderId="0" xfId="0" applyFill="1"/>
    <x:xf numFmtId="0" fontId="0" fillId="8" borderId="0" xfId="0" applyFill="1"/>
    <x:xf numFmtId="164" fontId="0" fillId="8" borderId="0" xfId="0" applyNumberFormat="1" applyFill="1"/>
    <x:xf numFmtId="1" fontId="0" fillId="0" borderId="0" xfId="0" applyNumberFormat="1"/>
    <x:xf numFmtId="1" fontId="0" fillId="4" borderId="0" xfId="0" applyNumberFormat="1" applyFill="1"/>
    <x:xf numFmtId="0" fontId="0" fillId="9" borderId="0" xfId="0" applyFill="1"/>
    <x:xf numFmtId="0" fontId="0" fillId="9" borderId="0" xfId="0" applyFill="1"/>
    <x:xf numFmtId="164" fontId="0" fillId="9" borderId="0" xfId="0" applyNumberFormat="1" applyFill="1"/>
    <x:xf numFmtId="165" fontId="0" fillId="0" borderId="0" xfId="0" applyNumberFormat="1"/>
    <x:xf numFmtId="166" fontId="0" fillId="0" borderId="0" xfId="0" applyNumberFormat="1"/>
    <x:xf numFmtId="0" fontId="0" fillId="10" borderId="0" xfId="0" applyFill="1"/>
    <x:xf numFmtId="0" fontId="1" fillId="0" borderId="0" xfId="0" applyFont="1" applyAlignment="1">
      <x:alignment horizontal="center"/>
    </x:xf>
    <x:xf numFmtId="0" fontId="1" fillId="10" borderId="0" xfId="0" applyFont="1" applyFill="1" applyAlignment="1">
      <x:alignment horizontal="center"/>
    </x:xf>
    <x:xf numFmtId="49" fontId="1" fillId="10" borderId="0" xfId="0" applyNumberFormat="1" applyFont="1" applyFill="1" applyAlignment="1">
      <x:alignment horizontal="center"/>
    </x:xf>
    <x:xf numFmtId="0" fontId="0" fillId="11" borderId="0" xfId="0" applyFill="1"/>
    <x:xf numFmtId="0" fontId="1" fillId="11" borderId="0" xfId="0" applyFont="1" applyFill="1" applyAlignment="1">
      <x:alignment horizontal="center"/>
    </x:xf>
    <x:xf numFmtId="49" fontId="1" fillId="11" borderId="0" xfId="0" applyNumberFormat="1" applyFont="1" applyFill="1" applyAlignment="1">
      <x:alignment horizontal="center"/>
    </x:xf>
    <x:xf numFmtId="49" fontId="0" fillId="4" borderId="0" xfId="0" applyNumberFormat="1" applyFill="1"/>
    <x:xf numFmtId="165" fontId="0" fillId="0" borderId="0" xfId="0" applyNumberFormat="1"/>
    <x:xf numFmtId="1" fontId="0" fillId="0" borderId="0" xfId="0" applyNumberFormat="1"/>
    <x:xf numFmtId="166" fontId="0" fillId="4" borderId="0" xfId="0" applyNumberFormat="1" applyFill="1"/>
    <x:xf numFmtId="167" fontId="0" fillId="0" borderId="0" xfId="0" applyNumberFormat="1"/>
    <x:xf numFmtId="167" fontId="0" fillId="4" borderId="0" xfId="0" applyNumberFormat="1" applyFill="1"/>
    <x:xf numFmtId="168" fontId="0" fillId="0" borderId="0" xfId="0" applyNumberFormat="1"/>
    <x:xf numFmtId="168" fontId="0" fillId="4" borderId="0" xfId="0" applyNumberFormat="1" applyFill="1"/>
    <x:xf numFmtId="164" fontId="0" fillId="4" borderId="0" xfId="0" applyNumberFormat="1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a277bfe1dc8b44e7" />
  <Relationship Type="http://schemas.openxmlformats.org/officeDocument/2006/relationships/worksheet" Target="worksheets/sheet2.xml" Id="Rae704be6e4af452b" />
  <Relationship Type="http://schemas.openxmlformats.org/officeDocument/2006/relationships/theme" Target="theme/theme.xml" Id="R0ee9c917c32e452a" />
  <Relationship Type="http://schemas.openxmlformats.org/officeDocument/2006/relationships/styles" Target="styles.xml" Id="Re352a7900f0b4c4a" />
  <Relationship Type="http://schemas.openxmlformats.org/officeDocument/2006/relationships/sharedStrings" Target="sharedStrings.xml" Id="R60fd2f4c7eaf42b1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<?xml version="1.0" encoding="utf-8"?>
<Relationships xmlns="http://schemas.openxmlformats.org/package/2006/relationships">
  <Relationship Type="http://schemas.openxmlformats.org/officeDocument/2006/relationships/comments" Target="../comments.xml" Id="R1ef903098be74370" />
  <Relationship Type="http://schemas.openxmlformats.org/officeDocument/2006/relationships/vmlDrawing" Target="../drawings/vmldrawing.vml" Id="R19419f94b05e4b1d" />
</Relationships>
</file>

<file path=xl/worksheets/_rels/sheet2.xml.rels><?xml version="1.0" encoding="utf-8"?>
<Relationships xmlns="http://schemas.openxmlformats.org/package/2006/relationships">
  <Relationship Type="http://schemas.openxmlformats.org/officeDocument/2006/relationships/comments" Target="../comments2.xml" Id="R1f4247effefc4095" />
  <Relationship Type="http://schemas.openxmlformats.org/officeDocument/2006/relationships/vmlDrawing" Target="../drawings/vmldrawing2.vml" Id="R51cbfa72498147f2" />
</Relationships>
</file>

<file path=xl/worksheets/sheet.xml><?xml version="1.0" encoding="utf-8"?>
<x:worksheet xmlns:r="http://schemas.openxmlformats.org/officeDocument/2006/relationships" xmlns:x="http://schemas.openxmlformats.org/spreadsheetml/2006/main">
  <x:dimension ref="A1:AF417"/>
  <x:sheetFormatPr defaultRowHeight="15"/>
  <x:cols>
    <x:col min="1" max="1" width="12" customWidth="1"/>
    <x:col min="2" max="2" width="45" customWidth="1"/>
    <x:col min="3" max="3" width="20" customWidth="1"/>
    <x:col min="4" max="31" width="10" customWidth="1"/>
  </x:cols>
  <x:sheetData>
    <x:row r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  <x:c r="L1" s="3" t="s">
        <x:v>11</x:v>
      </x:c>
      <x:c r="M1" s="3" t="s">
        <x:v>12</x:v>
      </x:c>
      <x:c r="N1" s="3" t="s">
        <x:v>13</x:v>
      </x:c>
      <x:c r="O1" s="3" t="s">
        <x:v>14</x:v>
      </x:c>
      <x:c r="P1" s="3" t="s">
        <x:v>15</x:v>
      </x:c>
      <x:c r="Q1" s="3" t="s">
        <x:v>16</x:v>
      </x:c>
      <x:c r="R1" s="3" t="s">
        <x:v>17</x:v>
      </x:c>
      <x:c r="S1" s="3" t="s">
        <x:v>18</x:v>
      </x:c>
      <x:c r="T1" s="3" t="s">
        <x:v>19</x:v>
      </x:c>
      <x:c r="U1" s="3" t="s">
        <x:v>20</x:v>
      </x:c>
      <x:c r="V1" s="3" t="s">
        <x:v>21</x:v>
      </x:c>
      <x:c r="W1" s="3" t="s">
        <x:v>22</x:v>
      </x:c>
      <x:c r="X1" s="3" t="s">
        <x:v>23</x:v>
      </x:c>
      <x:c r="Y1" s="3" t="s">
        <x:v>24</x:v>
      </x:c>
      <x:c r="Z1" s="3" t="s">
        <x:v>25</x:v>
      </x:c>
      <x:c r="AA1" s="3" t="s">
        <x:v>26</x:v>
      </x:c>
      <x:c r="AB1" s="3" t="s">
        <x:v>27</x:v>
      </x:c>
      <x:c r="AC1" s="3" t="s">
        <x:v>28</x:v>
      </x:c>
      <x:c r="AD1" s="3" t="s">
        <x:v>29</x:v>
      </x:c>
      <x:c r="AE1" s="3" t="s">
        <x:v>30</x:v>
      </x:c>
      <x:c r="AF1" s="3" t="s">
        <x:v>31</x:v>
      </x:c>
    </x:row>
    <x:row r="2">
      <x:c r="A2" s="6" t="s">
        <x:v>32</x:v>
      </x:c>
      <x:c r="B2" s="7" t="s">
        <x:v>33</x:v>
      </x:c>
      <x:c r="C2" s="7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13">
        <x:v>0</x:v>
      </x:c>
      <x:c r="R2" s="13">
        <x:v>0</x:v>
      </x:c>
      <x:c r="S2" s="13">
        <x:v>0</x:v>
      </x:c>
      <x:c r="T2" s="13">
        <x:v>0</x:v>
      </x:c>
      <x:c r="U2" s="13">
        <x:v>0</x:v>
      </x:c>
      <x:c r="V2" s="13">
        <x:v>0</x:v>
      </x:c>
      <x:c r="W2" s="13">
        <x:v>0</x:v>
      </x:c>
      <x:c r="X2" s="13">
        <x:v>0</x:v>
      </x:c>
      <x:c r="Y2" s="13">
        <x:v>0</x:v>
      </x:c>
      <x:c r="Z2" s="13">
        <x:v>0</x:v>
      </x:c>
      <x:c r="AA2" s="13">
        <x:v>0</x:v>
      </x:c>
      <x:c r="AB2" s="13">
        <x:v>0</x:v>
      </x:c>
      <x:c r="AC2" s="16">
        <x:v>0</x:v>
      </x:c>
      <x:c r="AF2" s="2" t="s">
        <x:v>34</x:v>
      </x:c>
    </x:row>
    <x:row r="3">
      <x:c r="A3" s="6" t="s">
        <x:v>35</x:v>
      </x:c>
      <x:c r="B3" s="7" t="s">
        <x:v>36</x:v>
      </x:c>
      <x:c r="C3" s="7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13">
        <x:v>0</x:v>
      </x:c>
      <x:c r="R3" s="13">
        <x:v>0</x:v>
      </x:c>
      <x:c r="S3" s="13">
        <x:v>0</x:v>
      </x:c>
      <x:c r="T3" s="13">
        <x:v>0</x:v>
      </x:c>
      <x:c r="U3" s="13">
        <x:v>0</x:v>
      </x:c>
      <x:c r="V3" s="13">
        <x:v>0</x:v>
      </x:c>
      <x:c r="W3" s="13">
        <x:v>0</x:v>
      </x:c>
      <x:c r="X3" s="13">
        <x:v>0</x:v>
      </x:c>
      <x:c r="Y3" s="13">
        <x:v>0</x:v>
      </x:c>
      <x:c r="Z3" s="13">
        <x:v>0</x:v>
      </x:c>
      <x:c r="AA3" s="13">
        <x:v>0</x:v>
      </x:c>
      <x:c r="AB3" s="13">
        <x:v>0</x:v>
      </x:c>
      <x:c r="AC3" s="16">
        <x:v>0</x:v>
      </x:c>
      <x:c r="AF3" s="2" t="s">
        <x:v>34</x:v>
      </x:c>
    </x:row>
    <x:row r="4">
      <x:c r="A4" s="7" t="s">
        <x:v>37</x:v>
      </x:c>
      <x:c r="B4" s="7" t="s">
        <x:v>38</x:v>
      </x:c>
      <x:c r="C4" s="7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  <x:c r="O4" s="9"/>
      <x:c r="P4" s="9"/>
      <x:c r="Q4" s="17">
        <x:v>0</x:v>
      </x:c>
      <x:c r="R4" s="17">
        <x:v>0</x:v>
      </x:c>
      <x:c r="S4" s="17">
        <x:v>0</x:v>
      </x:c>
      <x:c r="T4" s="17">
        <x:v>0</x:v>
      </x:c>
      <x:c r="U4" s="17">
        <x:v>0</x:v>
      </x:c>
      <x:c r="V4" s="17">
        <x:v>0</x:v>
      </x:c>
      <x:c r="W4" s="17">
        <x:v>0</x:v>
      </x:c>
      <x:c r="X4" s="17">
        <x:v>0</x:v>
      </x:c>
      <x:c r="Y4" s="17">
        <x:v>0</x:v>
      </x:c>
      <x:c r="Z4" s="17">
        <x:v>0</x:v>
      </x:c>
      <x:c r="AA4" s="17">
        <x:v>0</x:v>
      </x:c>
      <x:c r="AB4" s="17">
        <x:v>0</x:v>
      </x:c>
      <x:c r="AC4" s="20">
        <x:v>0</x:v>
      </x:c>
      <x:c r="AF4" s="2" t="s">
        <x:v>34</x:v>
      </x:c>
    </x:row>
    <x:row r="5">
      <x:c r="A5" s="6" t="s">
        <x:v>39</x:v>
      </x:c>
      <x:c r="B5" s="7" t="s">
        <x:v>40</x:v>
      </x:c>
      <x:c r="C5" s="7"/>
      <x:c r="D5" s="9"/>
      <x:c r="E5" s="9"/>
      <x:c r="F5" s="9"/>
      <x:c r="G5" s="9"/>
      <x:c r="H5" s="9"/>
      <x:c r="I5" s="9"/>
      <x:c r="J5" s="9"/>
      <x:c r="K5" s="9"/>
      <x:c r="L5" s="9"/>
      <x:c r="M5" s="9"/>
      <x:c r="N5" s="9"/>
      <x:c r="O5" s="9"/>
      <x:c r="P5" s="9"/>
      <x:c r="Q5" s="23">
        <x:v>0</x:v>
      </x:c>
      <x:c r="R5" s="17">
        <x:v>0</x:v>
      </x:c>
      <x:c r="S5" s="17">
        <x:v>0</x:v>
      </x:c>
      <x:c r="T5" s="17">
        <x:v>0</x:v>
      </x:c>
      <x:c r="U5" s="17">
        <x:v>0</x:v>
      </x:c>
      <x:c r="V5" s="17">
        <x:v>0</x:v>
      </x:c>
      <x:c r="W5" s="17">
        <x:v>0</x:v>
      </x:c>
      <x:c r="X5" s="17">
        <x:v>0</x:v>
      </x:c>
      <x:c r="Y5" s="17">
        <x:v>0</x:v>
      </x:c>
      <x:c r="Z5" s="17">
        <x:v>0</x:v>
      </x:c>
      <x:c r="AA5" s="17">
        <x:v>0</x:v>
      </x:c>
      <x:c r="AB5" s="17">
        <x:v>0</x:v>
      </x:c>
      <x:c r="AC5" s="20">
        <x:v>0</x:v>
      </x:c>
      <x:c r="AF5" s="2" t="s">
        <x:v>34</x:v>
      </x:c>
    </x:row>
    <x:row r="6">
      <x:c r="A6" s="6" t="s">
        <x:v>41</x:v>
      </x:c>
      <x:c r="B6" s="7" t="s">
        <x:v>42</x:v>
      </x:c>
      <x:c r="C6" s="7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17">
        <x:v>0</x:v>
      </x:c>
      <x:c r="R6" s="17">
        <x:v>0</x:v>
      </x:c>
      <x:c r="S6" s="17">
        <x:v>0</x:v>
      </x:c>
      <x:c r="T6" s="17">
        <x:v>0</x:v>
      </x:c>
      <x:c r="U6" s="17">
        <x:v>0</x:v>
      </x:c>
      <x:c r="V6" s="17">
        <x:v>0</x:v>
      </x:c>
      <x:c r="W6" s="17">
        <x:v>0</x:v>
      </x:c>
      <x:c r="X6" s="17">
        <x:v>0</x:v>
      </x:c>
      <x:c r="Y6" s="17">
        <x:v>0</x:v>
      </x:c>
      <x:c r="Z6" s="17">
        <x:v>0</x:v>
      </x:c>
      <x:c r="AA6" s="17">
        <x:v>0</x:v>
      </x:c>
      <x:c r="AB6" s="17">
        <x:v>0</x:v>
      </x:c>
      <x:c r="AC6" s="20">
        <x:v>0</x:v>
      </x:c>
      <x:c r="AF6" s="2" t="s">
        <x:v>34</x:v>
      </x:c>
    </x:row>
    <x:row r="7">
      <x:c r="A7" s="6" t="s">
        <x:v>43</x:v>
      </x:c>
      <x:c r="B7" s="7" t="s">
        <x:v>44</x:v>
      </x:c>
      <x:c r="C7" s="7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17">
        <x:v>0</x:v>
      </x:c>
      <x:c r="R7" s="17">
        <x:v>0</x:v>
      </x:c>
      <x:c r="S7" s="17">
        <x:v>0</x:v>
      </x:c>
      <x:c r="T7" s="17">
        <x:v>0</x:v>
      </x:c>
      <x:c r="U7" s="17">
        <x:v>0</x:v>
      </x:c>
      <x:c r="V7" s="17">
        <x:v>0</x:v>
      </x:c>
      <x:c r="W7" s="17">
        <x:v>0</x:v>
      </x:c>
      <x:c r="X7" s="17">
        <x:v>0</x:v>
      </x:c>
      <x:c r="Y7" s="17">
        <x:v>0</x:v>
      </x:c>
      <x:c r="Z7" s="17">
        <x:v>0</x:v>
      </x:c>
      <x:c r="AA7" s="17">
        <x:v>0</x:v>
      </x:c>
      <x:c r="AB7" s="17">
        <x:v>0</x:v>
      </x:c>
      <x:c r="AC7" s="20">
        <x:v>0</x:v>
      </x:c>
      <x:c r="AF7" s="2" t="s">
        <x:v>34</x:v>
      </x:c>
    </x:row>
    <x:row r="8">
      <x:c r="A8" s="6" t="s">
        <x:v>45</x:v>
      </x:c>
      <x:c r="B8" s="7" t="s">
        <x:v>46</x:v>
      </x:c>
      <x:c r="C8" s="7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17">
        <x:v>0</x:v>
      </x:c>
      <x:c r="R8" s="17">
        <x:v>0</x:v>
      </x:c>
      <x:c r="S8" s="17">
        <x:v>0</x:v>
      </x:c>
      <x:c r="T8" s="17">
        <x:v>0</x:v>
      </x:c>
      <x:c r="U8" s="17">
        <x:v>0</x:v>
      </x:c>
      <x:c r="V8" s="17">
        <x:v>0</x:v>
      </x:c>
      <x:c r="W8" s="17">
        <x:v>0</x:v>
      </x:c>
      <x:c r="X8" s="17">
        <x:v>0</x:v>
      </x:c>
      <x:c r="Y8" s="17">
        <x:v>0</x:v>
      </x:c>
      <x:c r="Z8" s="17">
        <x:v>0</x:v>
      </x:c>
      <x:c r="AA8" s="17">
        <x:v>0</x:v>
      </x:c>
      <x:c r="AB8" s="17">
        <x:v>0</x:v>
      </x:c>
      <x:c r="AC8" s="20">
        <x:v>0</x:v>
      </x:c>
      <x:c r="AF8" s="2" t="s">
        <x:v>34</x:v>
      </x:c>
    </x:row>
    <x:row r="9">
      <x:c r="A9" s="6" t="s">
        <x:v>47</x:v>
      </x:c>
      <x:c r="B9" s="7" t="s">
        <x:v>48</x:v>
      </x:c>
      <x:c r="C9" s="7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17">
        <x:v>0</x:v>
      </x:c>
      <x:c r="R9" s="17">
        <x:v>0</x:v>
      </x:c>
      <x:c r="S9" s="17">
        <x:v>0</x:v>
      </x:c>
      <x:c r="T9" s="17">
        <x:v>0</x:v>
      </x:c>
      <x:c r="U9" s="17">
        <x:v>0</x:v>
      </x:c>
      <x:c r="V9" s="17">
        <x:v>0</x:v>
      </x:c>
      <x:c r="W9" s="17">
        <x:v>0</x:v>
      </x:c>
      <x:c r="X9" s="17">
        <x:v>0</x:v>
      </x:c>
      <x:c r="Y9" s="17">
        <x:v>0</x:v>
      </x:c>
      <x:c r="Z9" s="17">
        <x:v>0</x:v>
      </x:c>
      <x:c r="AA9" s="17">
        <x:v>0</x:v>
      </x:c>
      <x:c r="AB9" s="17">
        <x:v>0</x:v>
      </x:c>
      <x:c r="AC9" s="20">
        <x:v>0</x:v>
      </x:c>
      <x:c r="AF9" s="2" t="s">
        <x:v>34</x:v>
      </x:c>
    </x:row>
    <x:row r="10">
      <x:c r="A10" s="6" t="s">
        <x:v>49</x:v>
      </x:c>
      <x:c r="B10" s="7" t="s">
        <x:v>50</x:v>
      </x:c>
      <x:c r="C10" s="7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13">
        <x:v>0</x:v>
      </x:c>
      <x:c r="R10" s="13">
        <x:v>0</x:v>
      </x:c>
      <x:c r="S10" s="13">
        <x:v>0</x:v>
      </x:c>
      <x:c r="T10" s="13">
        <x:v>0</x:v>
      </x:c>
      <x:c r="U10" s="13">
        <x:v>0</x:v>
      </x:c>
      <x:c r="V10" s="13">
        <x:v>0</x:v>
      </x:c>
      <x:c r="W10" s="13">
        <x:v>0</x:v>
      </x:c>
      <x:c r="X10" s="13">
        <x:v>0</x:v>
      </x:c>
      <x:c r="Y10" s="13">
        <x:v>0</x:v>
      </x:c>
      <x:c r="Z10" s="13">
        <x:v>0</x:v>
      </x:c>
      <x:c r="AA10" s="13">
        <x:v>0</x:v>
      </x:c>
      <x:c r="AB10" s="13">
        <x:v>0</x:v>
      </x:c>
      <x:c r="AC10" s="16">
        <x:v>0</x:v>
      </x:c>
      <x:c r="AF10" s="2" t="s">
        <x:v>34</x:v>
      </x:c>
    </x:row>
    <x:row r="11">
      <x:c r="A11" s="6" t="s">
        <x:v>51</x:v>
      </x:c>
      <x:c r="B11" s="7" t="s">
        <x:v>52</x:v>
      </x:c>
      <x:c r="C11" s="7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13">
        <x:v>0</x:v>
      </x:c>
      <x:c r="R11" s="13">
        <x:v>0</x:v>
      </x:c>
      <x:c r="S11" s="13">
        <x:v>0</x:v>
      </x:c>
      <x:c r="T11" s="13">
        <x:v>0</x:v>
      </x:c>
      <x:c r="U11" s="13">
        <x:v>0</x:v>
      </x:c>
      <x:c r="V11" s="13">
        <x:v>0</x:v>
      </x:c>
      <x:c r="W11" s="13">
        <x:v>0</x:v>
      </x:c>
      <x:c r="X11" s="13">
        <x:v>0</x:v>
      </x:c>
      <x:c r="Y11" s="13">
        <x:v>0</x:v>
      </x:c>
      <x:c r="Z11" s="13">
        <x:v>0</x:v>
      </x:c>
      <x:c r="AA11" s="13">
        <x:v>0</x:v>
      </x:c>
      <x:c r="AB11" s="13">
        <x:v>0</x:v>
      </x:c>
      <x:c r="AC11" s="16">
        <x:v>0</x:v>
      </x:c>
      <x:c r="AF11" s="2" t="s">
        <x:v>34</x:v>
      </x:c>
    </x:row>
    <x:row r="12">
      <x:c r="A12" s="6" t="s">
        <x:v>53</x:v>
      </x:c>
      <x:c r="B12" s="7" t="s">
        <x:v>54</x:v>
      </x:c>
      <x:c r="C12" s="7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13">
        <x:v>0</x:v>
      </x:c>
      <x:c r="R12" s="13">
        <x:v>0</x:v>
      </x:c>
      <x:c r="S12" s="13">
        <x:v>0</x:v>
      </x:c>
      <x:c r="T12" s="13">
        <x:v>0</x:v>
      </x:c>
      <x:c r="U12" s="13">
        <x:v>0</x:v>
      </x:c>
      <x:c r="V12" s="13">
        <x:v>0</x:v>
      </x:c>
      <x:c r="W12" s="13">
        <x:v>0</x:v>
      </x:c>
      <x:c r="X12" s="13">
        <x:v>0</x:v>
      </x:c>
      <x:c r="Y12" s="13">
        <x:v>0</x:v>
      </x:c>
      <x:c r="Z12" s="13">
        <x:v>0</x:v>
      </x:c>
      <x:c r="AA12" s="13">
        <x:v>0</x:v>
      </x:c>
      <x:c r="AB12" s="13">
        <x:v>0</x:v>
      </x:c>
      <x:c r="AC12" s="16">
        <x:v>0</x:v>
      </x:c>
      <x:c r="AF12" s="2" t="s">
        <x:v>34</x:v>
      </x:c>
    </x:row>
    <x:row r="13">
      <x:c r="A13" s="6" t="s">
        <x:v>55</x:v>
      </x:c>
      <x:c r="B13" s="7" t="s">
        <x:v>56</x:v>
      </x:c>
      <x:c r="C13" s="7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13">
        <x:v>0</x:v>
      </x:c>
      <x:c r="R13" s="13">
        <x:v>0</x:v>
      </x:c>
      <x:c r="S13" s="13">
        <x:v>0</x:v>
      </x:c>
      <x:c r="T13" s="13">
        <x:v>0</x:v>
      </x:c>
      <x:c r="U13" s="13">
        <x:v>0</x:v>
      </x:c>
      <x:c r="V13" s="13">
        <x:v>0</x:v>
      </x:c>
      <x:c r="W13" s="13">
        <x:v>0</x:v>
      </x:c>
      <x:c r="X13" s="13">
        <x:v>0</x:v>
      </x:c>
      <x:c r="Y13" s="13">
        <x:v>0</x:v>
      </x:c>
      <x:c r="Z13" s="13">
        <x:v>0</x:v>
      </x:c>
      <x:c r="AA13" s="13">
        <x:v>0</x:v>
      </x:c>
      <x:c r="AB13" s="13">
        <x:v>0</x:v>
      </x:c>
      <x:c r="AC13" s="16">
        <x:v>0</x:v>
      </x:c>
      <x:c r="AF13" s="2" t="s">
        <x:v>34</x:v>
      </x:c>
    </x:row>
    <x:row r="14">
      <x:c r="A14" s="6" t="s">
        <x:v>57</x:v>
      </x:c>
      <x:c r="B14" s="7" t="s">
        <x:v>58</x:v>
      </x:c>
      <x:c r="C14" s="7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13">
        <x:v>0</x:v>
      </x:c>
      <x:c r="R14" s="13">
        <x:v>0</x:v>
      </x:c>
      <x:c r="S14" s="13">
        <x:v>0</x:v>
      </x:c>
      <x:c r="T14" s="13">
        <x:v>0</x:v>
      </x:c>
      <x:c r="U14" s="13">
        <x:v>0</x:v>
      </x:c>
      <x:c r="V14" s="13">
        <x:v>0</x:v>
      </x:c>
      <x:c r="W14" s="13">
        <x:v>0</x:v>
      </x:c>
      <x:c r="X14" s="13">
        <x:v>0</x:v>
      </x:c>
      <x:c r="Y14" s="13">
        <x:v>0</x:v>
      </x:c>
      <x:c r="Z14" s="13">
        <x:v>0</x:v>
      </x:c>
      <x:c r="AA14" s="13">
        <x:v>0</x:v>
      </x:c>
      <x:c r="AB14" s="13">
        <x:v>0</x:v>
      </x:c>
      <x:c r="AC14" s="16">
        <x:v>0</x:v>
      </x:c>
      <x:c r="AF14" s="2" t="s">
        <x:v>34</x:v>
      </x:c>
    </x:row>
    <x:row r="15">
      <x:c r="A15" s="6" t="s">
        <x:v>59</x:v>
      </x:c>
      <x:c r="B15" s="7" t="s">
        <x:v>60</x:v>
      </x:c>
      <x:c r="C15" s="7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13">
        <x:v>0</x:v>
      </x:c>
      <x:c r="R15" s="13">
        <x:v>0</x:v>
      </x:c>
      <x:c r="S15" s="13">
        <x:v>0</x:v>
      </x:c>
      <x:c r="T15" s="13">
        <x:v>0</x:v>
      </x:c>
      <x:c r="U15" s="13">
        <x:v>0</x:v>
      </x:c>
      <x:c r="V15" s="13">
        <x:v>0</x:v>
      </x:c>
      <x:c r="W15" s="13">
        <x:v>0</x:v>
      </x:c>
      <x:c r="X15" s="13">
        <x:v>0</x:v>
      </x:c>
      <x:c r="Y15" s="13">
        <x:v>0</x:v>
      </x:c>
      <x:c r="Z15" s="13">
        <x:v>0</x:v>
      </x:c>
      <x:c r="AA15" s="13">
        <x:v>0</x:v>
      </x:c>
      <x:c r="AB15" s="13">
        <x:v>0</x:v>
      </x:c>
      <x:c r="AC15" s="16">
        <x:v>0</x:v>
      </x:c>
      <x:c r="AF15" s="2" t="s">
        <x:v>34</x:v>
      </x:c>
    </x:row>
    <x:row r="16">
      <x:c r="A16" s="6" t="s">
        <x:v>61</x:v>
      </x:c>
      <x:c r="B16" s="7" t="s">
        <x:v>62</x:v>
      </x:c>
      <x:c r="C16" s="7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13">
        <x:v>0</x:v>
      </x:c>
      <x:c r="R16" s="13">
        <x:v>0</x:v>
      </x:c>
      <x:c r="S16" s="13">
        <x:v>0</x:v>
      </x:c>
      <x:c r="T16" s="13">
        <x:v>0</x:v>
      </x:c>
      <x:c r="U16" s="13">
        <x:v>0</x:v>
      </x:c>
      <x:c r="V16" s="13">
        <x:v>0</x:v>
      </x:c>
      <x:c r="W16" s="13">
        <x:v>0</x:v>
      </x:c>
      <x:c r="X16" s="13">
        <x:v>0</x:v>
      </x:c>
      <x:c r="Y16" s="13">
        <x:v>0</x:v>
      </x:c>
      <x:c r="Z16" s="13">
        <x:v>0</x:v>
      </x:c>
      <x:c r="AA16" s="13">
        <x:v>0</x:v>
      </x:c>
      <x:c r="AB16" s="13">
        <x:v>0</x:v>
      </x:c>
      <x:c r="AC16" s="16">
        <x:v>0</x:v>
      </x:c>
      <x:c r="AF16" s="2" t="s">
        <x:v>34</x:v>
      </x:c>
    </x:row>
    <x:row r="17">
      <x:c r="A17" s="6" t="s">
        <x:v>63</x:v>
      </x:c>
      <x:c r="B17" s="7" t="s">
        <x:v>42</x:v>
      </x:c>
      <x:c r="C17" s="7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17">
        <x:v>0</x:v>
      </x:c>
      <x:c r="R17" s="17">
        <x:v>0</x:v>
      </x:c>
      <x:c r="S17" s="17">
        <x:v>0</x:v>
      </x:c>
      <x:c r="T17" s="17">
        <x:v>0</x:v>
      </x:c>
      <x:c r="U17" s="17">
        <x:v>0</x:v>
      </x:c>
      <x:c r="V17" s="17">
        <x:v>0</x:v>
      </x:c>
      <x:c r="W17" s="17">
        <x:v>0</x:v>
      </x:c>
      <x:c r="X17" s="17">
        <x:v>0</x:v>
      </x:c>
      <x:c r="Y17" s="17">
        <x:v>0</x:v>
      </x:c>
      <x:c r="Z17" s="17">
        <x:v>0</x:v>
      </x:c>
      <x:c r="AA17" s="17">
        <x:v>0</x:v>
      </x:c>
      <x:c r="AB17" s="17">
        <x:v>0</x:v>
      </x:c>
      <x:c r="AC17" s="20">
        <x:v>0</x:v>
      </x:c>
      <x:c r="AF17" s="2" t="s">
        <x:v>34</x:v>
      </x:c>
    </x:row>
    <x:row r="18">
      <x:c r="A18" s="7" t="s">
        <x:v>64</x:v>
      </x:c>
      <x:c r="B18" s="7" t="s">
        <x:v>65</x:v>
      </x:c>
      <x:c r="C18" s="7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17">
        <x:v>0</x:v>
      </x:c>
      <x:c r="R18" s="17">
        <x:v>0</x:v>
      </x:c>
      <x:c r="S18" s="17">
        <x:v>0</x:v>
      </x:c>
      <x:c r="T18" s="17">
        <x:v>0</x:v>
      </x:c>
      <x:c r="U18" s="17">
        <x:v>0</x:v>
      </x:c>
      <x:c r="V18" s="17">
        <x:v>0</x:v>
      </x:c>
      <x:c r="W18" s="17">
        <x:v>0</x:v>
      </x:c>
      <x:c r="X18" s="17">
        <x:v>0</x:v>
      </x:c>
      <x:c r="Y18" s="17">
        <x:v>0</x:v>
      </x:c>
      <x:c r="Z18" s="17">
        <x:v>0</x:v>
      </x:c>
      <x:c r="AA18" s="17">
        <x:v>0</x:v>
      </x:c>
      <x:c r="AB18" s="17">
        <x:v>0</x:v>
      </x:c>
      <x:c r="AC18" s="20">
        <x:v>0</x:v>
      </x:c>
      <x:c r="AF18" s="2" t="s">
        <x:v>34</x:v>
      </x:c>
    </x:row>
    <x:row r="19">
      <x:c r="A19" s="7" t="s">
        <x:v>66</x:v>
      </x:c>
      <x:c r="B19" s="7" t="s">
        <x:v>67</x:v>
      </x:c>
      <x:c r="C19" s="7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13">
        <x:v>0</x:v>
      </x:c>
      <x:c r="R19" s="13">
        <x:v>0</x:v>
      </x:c>
      <x:c r="S19" s="13">
        <x:v>0</x:v>
      </x:c>
      <x:c r="T19" s="13">
        <x:v>0</x:v>
      </x:c>
      <x:c r="U19" s="13">
        <x:v>0</x:v>
      </x:c>
      <x:c r="V19" s="13">
        <x:v>0</x:v>
      </x:c>
      <x:c r="W19" s="13">
        <x:v>0</x:v>
      </x:c>
      <x:c r="X19" s="13">
        <x:v>0</x:v>
      </x:c>
      <x:c r="Y19" s="13">
        <x:v>0</x:v>
      </x:c>
      <x:c r="Z19" s="13">
        <x:v>0</x:v>
      </x:c>
      <x:c r="AA19" s="13">
        <x:v>0</x:v>
      </x:c>
      <x:c r="AB19" s="13">
        <x:v>0</x:v>
      </x:c>
      <x:c r="AC19" s="16">
        <x:v>0</x:v>
      </x:c>
      <x:c r="AF19" s="2" t="s">
        <x:v>34</x:v>
      </x:c>
    </x:row>
    <x:row r="20">
      <x:c r="A20" s="7" t="s">
        <x:v>68</x:v>
      </x:c>
      <x:c r="B20" s="7" t="s">
        <x:v>69</x:v>
      </x:c>
      <x:c r="C20" s="7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17">
        <x:v>0</x:v>
      </x:c>
      <x:c r="R20" s="17">
        <x:v>0</x:v>
      </x:c>
      <x:c r="S20" s="17">
        <x:v>0</x:v>
      </x:c>
      <x:c r="T20" s="17">
        <x:v>0</x:v>
      </x:c>
      <x:c r="U20" s="17">
        <x:v>0</x:v>
      </x:c>
      <x:c r="V20" s="17">
        <x:v>0</x:v>
      </x:c>
      <x:c r="W20" s="17">
        <x:v>0</x:v>
      </x:c>
      <x:c r="X20" s="17">
        <x:v>0</x:v>
      </x:c>
      <x:c r="Y20" s="17">
        <x:v>0</x:v>
      </x:c>
      <x:c r="Z20" s="17">
        <x:v>0</x:v>
      </x:c>
      <x:c r="AA20" s="17">
        <x:v>0</x:v>
      </x:c>
      <x:c r="AB20" s="17">
        <x:v>0</x:v>
      </x:c>
      <x:c r="AC20" s="20">
        <x:v>0</x:v>
      </x:c>
      <x:c r="AF20" s="2" t="s">
        <x:v>34</x:v>
      </x:c>
    </x:row>
    <x:row r="21">
      <x:c r="A21" s="7" t="s">
        <x:v>70</x:v>
      </x:c>
      <x:c r="B21" s="7" t="s">
        <x:v>71</x:v>
      </x:c>
      <x:c r="C21" s="7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17">
        <x:v>0</x:v>
      </x:c>
      <x:c r="R21" s="17">
        <x:v>0</x:v>
      </x:c>
      <x:c r="S21" s="17">
        <x:v>0</x:v>
      </x:c>
      <x:c r="T21" s="17">
        <x:v>0</x:v>
      </x:c>
      <x:c r="U21" s="17">
        <x:v>0</x:v>
      </x:c>
      <x:c r="V21" s="17">
        <x:v>0</x:v>
      </x:c>
      <x:c r="W21" s="17">
        <x:v>0</x:v>
      </x:c>
      <x:c r="X21" s="17">
        <x:v>0</x:v>
      </x:c>
      <x:c r="Y21" s="17">
        <x:v>0</x:v>
      </x:c>
      <x:c r="Z21" s="17">
        <x:v>0</x:v>
      </x:c>
      <x:c r="AA21" s="17">
        <x:v>0</x:v>
      </x:c>
      <x:c r="AB21" s="17">
        <x:v>0</x:v>
      </x:c>
      <x:c r="AC21" s="20">
        <x:v>0</x:v>
      </x:c>
      <x:c r="AF21" s="2" t="s">
        <x:v>34</x:v>
      </x:c>
    </x:row>
    <x:row r="22">
      <x:c r="A22" s="7" t="s">
        <x:v>72</x:v>
      </x:c>
      <x:c r="B22" s="7" t="s">
        <x:v>73</x:v>
      </x:c>
      <x:c r="C22" s="7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17">
        <x:v>0</x:v>
      </x:c>
      <x:c r="R22" s="17">
        <x:v>0</x:v>
      </x:c>
      <x:c r="S22" s="17">
        <x:v>0</x:v>
      </x:c>
      <x:c r="T22" s="17">
        <x:v>0</x:v>
      </x:c>
      <x:c r="U22" s="17">
        <x:v>0</x:v>
      </x:c>
      <x:c r="V22" s="17">
        <x:v>0</x:v>
      </x:c>
      <x:c r="W22" s="17">
        <x:v>0</x:v>
      </x:c>
      <x:c r="X22" s="17">
        <x:v>0</x:v>
      </x:c>
      <x:c r="Y22" s="17">
        <x:v>0</x:v>
      </x:c>
      <x:c r="Z22" s="17">
        <x:v>0</x:v>
      </x:c>
      <x:c r="AA22" s="17">
        <x:v>0</x:v>
      </x:c>
      <x:c r="AB22" s="17">
        <x:v>0</x:v>
      </x:c>
      <x:c r="AC22" s="20">
        <x:v>0</x:v>
      </x:c>
      <x:c r="AF22" s="2" t="s">
        <x:v>34</x:v>
      </x:c>
    </x:row>
    <x:row r="23">
      <x:c r="A23" s="7" t="s">
        <x:v>74</x:v>
      </x:c>
      <x:c r="B23" s="7" t="s">
        <x:v>75</x:v>
      </x:c>
      <x:c r="C23" s="7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17">
        <x:v>0</x:v>
      </x:c>
      <x:c r="R23" s="17">
        <x:v>0</x:v>
      </x:c>
      <x:c r="S23" s="17">
        <x:v>0</x:v>
      </x:c>
      <x:c r="T23" s="17">
        <x:v>0</x:v>
      </x:c>
      <x:c r="U23" s="17">
        <x:v>0</x:v>
      </x:c>
      <x:c r="V23" s="17">
        <x:v>0</x:v>
      </x:c>
      <x:c r="W23" s="17">
        <x:v>0</x:v>
      </x:c>
      <x:c r="X23" s="17">
        <x:v>0</x:v>
      </x:c>
      <x:c r="Y23" s="17">
        <x:v>0</x:v>
      </x:c>
      <x:c r="Z23" s="17">
        <x:v>0</x:v>
      </x:c>
      <x:c r="AA23" s="17">
        <x:v>0</x:v>
      </x:c>
      <x:c r="AB23" s="17">
        <x:v>0</x:v>
      </x:c>
      <x:c r="AC23" s="20">
        <x:v>0</x:v>
      </x:c>
      <x:c r="AF23" s="2" t="s">
        <x:v>34</x:v>
      </x:c>
    </x:row>
    <x:row r="24">
      <x:c r="A24" s="7" t="s">
        <x:v>76</x:v>
      </x:c>
      <x:c r="B24" s="7" t="s">
        <x:v>77</x:v>
      </x:c>
      <x:c r="C24" s="7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17">
        <x:v>0</x:v>
      </x:c>
      <x:c r="R24" s="17">
        <x:v>0</x:v>
      </x:c>
      <x:c r="S24" s="17">
        <x:v>0</x:v>
      </x:c>
      <x:c r="T24" s="17">
        <x:v>0</x:v>
      </x:c>
      <x:c r="U24" s="17">
        <x:v>0</x:v>
      </x:c>
      <x:c r="V24" s="17">
        <x:v>0</x:v>
      </x:c>
      <x:c r="W24" s="17">
        <x:v>0</x:v>
      </x:c>
      <x:c r="X24" s="17">
        <x:v>0</x:v>
      </x:c>
      <x:c r="Y24" s="17">
        <x:v>0</x:v>
      </x:c>
      <x:c r="Z24" s="17">
        <x:v>0</x:v>
      </x:c>
      <x:c r="AA24" s="17">
        <x:v>0</x:v>
      </x:c>
      <x:c r="AB24" s="17">
        <x:v>0</x:v>
      </x:c>
      <x:c r="AC24" s="20">
        <x:v>0</x:v>
      </x:c>
      <x:c r="AF24" s="2" t="s">
        <x:v>34</x:v>
      </x:c>
    </x:row>
    <x:row r="25">
      <x:c r="A25" s="7" t="s">
        <x:v>78</x:v>
      </x:c>
      <x:c r="B25" s="7" t="s">
        <x:v>79</x:v>
      </x:c>
      <x:c r="C25" s="7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17">
        <x:v>0</x:v>
      </x:c>
      <x:c r="R25" s="17">
        <x:v>0</x:v>
      </x:c>
      <x:c r="S25" s="17">
        <x:v>0</x:v>
      </x:c>
      <x:c r="T25" s="17">
        <x:v>0</x:v>
      </x:c>
      <x:c r="U25" s="17">
        <x:v>0</x:v>
      </x:c>
      <x:c r="V25" s="17">
        <x:v>0</x:v>
      </x:c>
      <x:c r="W25" s="17">
        <x:v>0</x:v>
      </x:c>
      <x:c r="X25" s="17">
        <x:v>0</x:v>
      </x:c>
      <x:c r="Y25" s="17">
        <x:v>0</x:v>
      </x:c>
      <x:c r="Z25" s="17">
        <x:v>0</x:v>
      </x:c>
      <x:c r="AA25" s="17">
        <x:v>0</x:v>
      </x:c>
      <x:c r="AB25" s="17">
        <x:v>0</x:v>
      </x:c>
      <x:c r="AC25" s="20">
        <x:v>0</x:v>
      </x:c>
      <x:c r="AF25" s="2" t="s">
        <x:v>34</x:v>
      </x:c>
    </x:row>
    <x:row r="26">
      <x:c r="A26" s="7" t="s">
        <x:v>80</x:v>
      </x:c>
      <x:c r="B26" s="7" t="s">
        <x:v>81</x:v>
      </x:c>
      <x:c r="C26" s="7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13">
        <x:v>0</x:v>
      </x:c>
      <x:c r="R26" s="13">
        <x:v>0</x:v>
      </x:c>
      <x:c r="S26" s="13">
        <x:v>0</x:v>
      </x:c>
      <x:c r="T26" s="13">
        <x:v>0</x:v>
      </x:c>
      <x:c r="U26" s="13">
        <x:v>0</x:v>
      </x:c>
      <x:c r="V26" s="13">
        <x:v>0</x:v>
      </x:c>
      <x:c r="W26" s="13">
        <x:v>0</x:v>
      </x:c>
      <x:c r="X26" s="13">
        <x:v>0</x:v>
      </x:c>
      <x:c r="Y26" s="13">
        <x:v>0</x:v>
      </x:c>
      <x:c r="Z26" s="13">
        <x:v>0</x:v>
      </x:c>
      <x:c r="AA26" s="13">
        <x:v>0</x:v>
      </x:c>
      <x:c r="AB26" s="13">
        <x:v>0</x:v>
      </x:c>
      <x:c r="AC26" s="16">
        <x:v>0</x:v>
      </x:c>
      <x:c r="AF26" s="2" t="s">
        <x:v>34</x:v>
      </x:c>
    </x:row>
    <x:row r="27">
      <x:c r="A27" s="7" t="s">
        <x:v>82</x:v>
      </x:c>
      <x:c r="B27" s="7" t="s">
        <x:v>83</x:v>
      </x:c>
      <x:c r="C27" s="7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13">
        <x:v>0</x:v>
      </x:c>
      <x:c r="R27" s="13">
        <x:v>0</x:v>
      </x:c>
      <x:c r="S27" s="13">
        <x:v>0</x:v>
      </x:c>
      <x:c r="T27" s="13">
        <x:v>0</x:v>
      </x:c>
      <x:c r="U27" s="13">
        <x:v>0</x:v>
      </x:c>
      <x:c r="V27" s="13">
        <x:v>0</x:v>
      </x:c>
      <x:c r="W27" s="13">
        <x:v>0</x:v>
      </x:c>
      <x:c r="X27" s="13">
        <x:v>0</x:v>
      </x:c>
      <x:c r="Y27" s="13">
        <x:v>0</x:v>
      </x:c>
      <x:c r="Z27" s="13">
        <x:v>0</x:v>
      </x:c>
      <x:c r="AA27" s="13">
        <x:v>0</x:v>
      </x:c>
      <x:c r="AB27" s="13">
        <x:v>0</x:v>
      </x:c>
      <x:c r="AC27" s="16">
        <x:v>0</x:v>
      </x:c>
      <x:c r="AF27" s="2" t="s">
        <x:v>34</x:v>
      </x:c>
    </x:row>
    <x:row r="28">
      <x:c r="A28" s="7" t="s">
        <x:v>84</x:v>
      </x:c>
      <x:c r="B28" s="7" t="s">
        <x:v>85</x:v>
      </x:c>
      <x:c r="C28" s="7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13">
        <x:v>0</x:v>
      </x:c>
      <x:c r="R28" s="13">
        <x:v>0</x:v>
      </x:c>
      <x:c r="S28" s="13">
        <x:v>0</x:v>
      </x:c>
      <x:c r="T28" s="13">
        <x:v>0</x:v>
      </x:c>
      <x:c r="U28" s="13">
        <x:v>0</x:v>
      </x:c>
      <x:c r="V28" s="13">
        <x:v>0</x:v>
      </x:c>
      <x:c r="W28" s="13">
        <x:v>0</x:v>
      </x:c>
      <x:c r="X28" s="13">
        <x:v>0</x:v>
      </x:c>
      <x:c r="Y28" s="13">
        <x:v>0</x:v>
      </x:c>
      <x:c r="Z28" s="13">
        <x:v>0</x:v>
      </x:c>
      <x:c r="AA28" s="13">
        <x:v>0</x:v>
      </x:c>
      <x:c r="AB28" s="13">
        <x:v>0</x:v>
      </x:c>
      <x:c r="AC28" s="16">
        <x:v>0</x:v>
      </x:c>
      <x:c r="AF28" s="2" t="s">
        <x:v>34</x:v>
      </x:c>
    </x:row>
    <x:row r="29">
      <x:c r="A29" s="7" t="s">
        <x:v>86</x:v>
      </x:c>
      <x:c r="B29" s="7" t="s">
        <x:v>87</x:v>
      </x:c>
      <x:c r="C29" s="7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17">
        <x:v>0</x:v>
      </x:c>
      <x:c r="R29" s="17">
        <x:v>0</x:v>
      </x:c>
      <x:c r="S29" s="17">
        <x:v>0</x:v>
      </x:c>
      <x:c r="T29" s="17">
        <x:v>0</x:v>
      </x:c>
      <x:c r="U29" s="17">
        <x:v>0</x:v>
      </x:c>
      <x:c r="V29" s="17">
        <x:v>0</x:v>
      </x:c>
      <x:c r="W29" s="17">
        <x:v>0</x:v>
      </x:c>
      <x:c r="X29" s="17">
        <x:v>0</x:v>
      </x:c>
      <x:c r="Y29" s="17">
        <x:v>0</x:v>
      </x:c>
      <x:c r="Z29" s="17">
        <x:v>0</x:v>
      </x:c>
      <x:c r="AA29" s="17">
        <x:v>0</x:v>
      </x:c>
      <x:c r="AB29" s="17">
        <x:v>0</x:v>
      </x:c>
      <x:c r="AC29" s="20">
        <x:v>0</x:v>
      </x:c>
      <x:c r="AF29" s="2" t="s">
        <x:v>34</x:v>
      </x:c>
    </x:row>
    <x:row r="30">
      <x:c r="A30" s="6" t="s">
        <x:v>88</x:v>
      </x:c>
      <x:c r="B30" s="7" t="s">
        <x:v>89</x:v>
      </x:c>
      <x:c r="C30" s="7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13">
        <x:v>0</x:v>
      </x:c>
      <x:c r="R30" s="13">
        <x:v>0</x:v>
      </x:c>
      <x:c r="S30" s="13">
        <x:v>0</x:v>
      </x:c>
      <x:c r="T30" s="13">
        <x:v>0</x:v>
      </x:c>
      <x:c r="U30" s="13">
        <x:v>0</x:v>
      </x:c>
      <x:c r="V30" s="13">
        <x:v>0</x:v>
      </x:c>
      <x:c r="W30" s="13">
        <x:v>0</x:v>
      </x:c>
      <x:c r="X30" s="13">
        <x:v>0</x:v>
      </x:c>
      <x:c r="Y30" s="13">
        <x:v>0</x:v>
      </x:c>
      <x:c r="Z30" s="13">
        <x:v>0</x:v>
      </x:c>
      <x:c r="AA30" s="13">
        <x:v>0</x:v>
      </x:c>
      <x:c r="AB30" s="13">
        <x:v>0</x:v>
      </x:c>
      <x:c r="AC30" s="16">
        <x:v>0</x:v>
      </x:c>
      <x:c r="AF30" s="2" t="s">
        <x:v>34</x:v>
      </x:c>
    </x:row>
    <x:row r="31">
      <x:c r="A31" s="7" t="s">
        <x:v>90</x:v>
      </x:c>
      <x:c r="B31" s="7" t="s">
        <x:v>91</x:v>
      </x:c>
      <x:c r="C31" s="7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17">
        <x:v>0</x:v>
      </x:c>
      <x:c r="R31" s="17">
        <x:v>0</x:v>
      </x:c>
      <x:c r="S31" s="17">
        <x:v>0</x:v>
      </x:c>
      <x:c r="T31" s="17">
        <x:v>0</x:v>
      </x:c>
      <x:c r="U31" s="17">
        <x:v>0</x:v>
      </x:c>
      <x:c r="V31" s="17">
        <x:v>0</x:v>
      </x:c>
      <x:c r="W31" s="17">
        <x:v>0</x:v>
      </x:c>
      <x:c r="X31" s="17">
        <x:v>0</x:v>
      </x:c>
      <x:c r="Y31" s="17">
        <x:v>0</x:v>
      </x:c>
      <x:c r="Z31" s="17">
        <x:v>0</x:v>
      </x:c>
      <x:c r="AA31" s="17">
        <x:v>0</x:v>
      </x:c>
      <x:c r="AB31" s="17">
        <x:v>0</x:v>
      </x:c>
      <x:c r="AC31" s="20">
        <x:v>0</x:v>
      </x:c>
      <x:c r="AF31" s="2" t="s">
        <x:v>34</x:v>
      </x:c>
    </x:row>
    <x:row r="32">
      <x:c r="A32" s="6" t="s">
        <x:v>92</x:v>
      </x:c>
      <x:c r="B32" s="7" t="s">
        <x:v>93</x:v>
      </x:c>
      <x:c r="C32" s="7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13">
        <x:v>0</x:v>
      </x:c>
      <x:c r="R32" s="13">
        <x:v>0</x:v>
      </x:c>
      <x:c r="S32" s="13">
        <x:v>0</x:v>
      </x:c>
      <x:c r="T32" s="13">
        <x:v>0</x:v>
      </x:c>
      <x:c r="U32" s="13">
        <x:v>0</x:v>
      </x:c>
      <x:c r="V32" s="13">
        <x:v>0</x:v>
      </x:c>
      <x:c r="W32" s="13">
        <x:v>0</x:v>
      </x:c>
      <x:c r="X32" s="13">
        <x:v>0</x:v>
      </x:c>
      <x:c r="Y32" s="13">
        <x:v>0</x:v>
      </x:c>
      <x:c r="Z32" s="13">
        <x:v>0</x:v>
      </x:c>
      <x:c r="AA32" s="13">
        <x:v>0</x:v>
      </x:c>
      <x:c r="AB32" s="13">
        <x:v>0</x:v>
      </x:c>
      <x:c r="AC32" s="16">
        <x:v>0</x:v>
      </x:c>
      <x:c r="AF32" s="2" t="s">
        <x:v>34</x:v>
      </x:c>
    </x:row>
    <x:row r="33">
      <x:c r="A33" s="6" t="s">
        <x:v>94</x:v>
      </x:c>
      <x:c r="B33" s="7" t="s">
        <x:v>95</x:v>
      </x:c>
      <x:c r="C33" s="7"/>
      <x:c r="D33" s="9"/>
      <x:c r="E33" s="9"/>
      <x:c r="F33" s="9"/>
      <x:c r="G33" s="9"/>
      <x:c r="H33" s="9"/>
      <x:c r="I33" s="9"/>
      <x:c r="J33" s="9"/>
      <x:c r="K33" s="9"/>
      <x:c r="L33" s="9"/>
      <x:c r="M33" s="9"/>
      <x:c r="N33" s="9"/>
      <x:c r="O33" s="9"/>
      <x:c r="P33" s="9"/>
      <x:c r="Q33" s="23">
        <x:v>0</x:v>
      </x:c>
      <x:c r="R33" s="17">
        <x:v>0</x:v>
      </x:c>
      <x:c r="S33" s="17">
        <x:v>0</x:v>
      </x:c>
      <x:c r="T33" s="17">
        <x:v>0</x:v>
      </x:c>
      <x:c r="U33" s="17">
        <x:v>0</x:v>
      </x:c>
      <x:c r="V33" s="17">
        <x:v>0</x:v>
      </x:c>
      <x:c r="W33" s="17">
        <x:v>0</x:v>
      </x:c>
      <x:c r="X33" s="17">
        <x:v>0</x:v>
      </x:c>
      <x:c r="Y33" s="17">
        <x:v>0</x:v>
      </x:c>
      <x:c r="Z33" s="17">
        <x:v>0</x:v>
      </x:c>
      <x:c r="AA33" s="17">
        <x:v>0</x:v>
      </x:c>
      <x:c r="AB33" s="17">
        <x:v>0</x:v>
      </x:c>
      <x:c r="AC33" s="20">
        <x:v>0</x:v>
      </x:c>
      <x:c r="AF33" s="2" t="s">
        <x:v>34</x:v>
      </x:c>
    </x:row>
    <x:row r="34">
      <x:c r="A34" s="6" t="s">
        <x:v>96</x:v>
      </x:c>
      <x:c r="B34" s="7" t="s">
        <x:v>97</x:v>
      </x:c>
      <x:c r="C34" s="7"/>
      <x:c r="D34" s="9"/>
      <x:c r="E34" s="9"/>
      <x:c r="F34" s="9"/>
      <x:c r="G34" s="9"/>
      <x:c r="H34" s="9"/>
      <x:c r="I34" s="9"/>
      <x:c r="J34" s="9"/>
      <x:c r="K34" s="9"/>
      <x:c r="L34" s="9"/>
      <x:c r="M34" s="9"/>
      <x:c r="N34" s="9"/>
      <x:c r="O34" s="9"/>
      <x:c r="P34" s="9"/>
      <x:c r="Q34" s="13">
        <x:v>0</x:v>
      </x:c>
      <x:c r="R34" s="13">
        <x:v>0</x:v>
      </x:c>
      <x:c r="S34" s="13">
        <x:v>0</x:v>
      </x:c>
      <x:c r="T34" s="13">
        <x:v>0</x:v>
      </x:c>
      <x:c r="U34" s="13">
        <x:v>0</x:v>
      </x:c>
      <x:c r="V34" s="13">
        <x:v>0</x:v>
      </x:c>
      <x:c r="W34" s="13">
        <x:v>0</x:v>
      </x:c>
      <x:c r="X34" s="13">
        <x:v>0</x:v>
      </x:c>
      <x:c r="Y34" s="13">
        <x:v>0</x:v>
      </x:c>
      <x:c r="Z34" s="13">
        <x:v>0</x:v>
      </x:c>
      <x:c r="AA34" s="13">
        <x:v>0</x:v>
      </x:c>
      <x:c r="AB34" s="13">
        <x:v>0</x:v>
      </x:c>
      <x:c r="AC34" s="16">
        <x:v>0</x:v>
      </x:c>
      <x:c r="AF34" s="2" t="s">
        <x:v>34</x:v>
      </x:c>
    </x:row>
    <x:row r="35">
      <x:c r="A35" s="7" t="s">
        <x:v>98</x:v>
      </x:c>
      <x:c r="B35" s="7" t="s">
        <x:v>99</x:v>
      </x:c>
      <x:c r="C35" s="7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13">
        <x:v>0</x:v>
      </x:c>
      <x:c r="R35" s="13">
        <x:v>0</x:v>
      </x:c>
      <x:c r="S35" s="13">
        <x:v>0</x:v>
      </x:c>
      <x:c r="T35" s="13">
        <x:v>0</x:v>
      </x:c>
      <x:c r="U35" s="13">
        <x:v>0</x:v>
      </x:c>
      <x:c r="V35" s="13">
        <x:v>0</x:v>
      </x:c>
      <x:c r="W35" s="13">
        <x:v>0</x:v>
      </x:c>
      <x:c r="X35" s="13">
        <x:v>0</x:v>
      </x:c>
      <x:c r="Y35" s="13">
        <x:v>0</x:v>
      </x:c>
      <x:c r="Z35" s="13">
        <x:v>0</x:v>
      </x:c>
      <x:c r="AA35" s="13">
        <x:v>0</x:v>
      </x:c>
      <x:c r="AB35" s="13">
        <x:v>0</x:v>
      </x:c>
      <x:c r="AC35" s="16">
        <x:v>0</x:v>
      </x:c>
      <x:c r="AF35" s="2" t="s">
        <x:v>34</x:v>
      </x:c>
    </x:row>
    <x:row r="36">
      <x:c r="A36" s="6" t="s">
        <x:v>100</x:v>
      </x:c>
      <x:c r="B36" s="7" t="s">
        <x:v>42</x:v>
      </x:c>
      <x:c r="C36" s="7"/>
      <x:c r="D36" s="9"/>
      <x:c r="E36" s="9"/>
      <x:c r="F36" s="9"/>
      <x:c r="G36" s="9"/>
      <x:c r="H36" s="9"/>
      <x:c r="I36" s="9"/>
      <x:c r="J36" s="9"/>
      <x:c r="K36" s="9"/>
      <x:c r="L36" s="9"/>
      <x:c r="M36" s="9"/>
      <x:c r="N36" s="9"/>
      <x:c r="O36" s="9"/>
      <x:c r="P36" s="9"/>
      <x:c r="Q36" s="13">
        <x:v>0</x:v>
      </x:c>
      <x:c r="R36" s="13">
        <x:v>0</x:v>
      </x:c>
      <x:c r="S36" s="13">
        <x:v>0</x:v>
      </x:c>
      <x:c r="T36" s="13">
        <x:v>0</x:v>
      </x:c>
      <x:c r="U36" s="13">
        <x:v>0</x:v>
      </x:c>
      <x:c r="V36" s="13">
        <x:v>0</x:v>
      </x:c>
      <x:c r="W36" s="13">
        <x:v>0</x:v>
      </x:c>
      <x:c r="X36" s="13">
        <x:v>0</x:v>
      </x:c>
      <x:c r="Y36" s="13">
        <x:v>0</x:v>
      </x:c>
      <x:c r="Z36" s="13">
        <x:v>0</x:v>
      </x:c>
      <x:c r="AA36" s="13">
        <x:v>0</x:v>
      </x:c>
      <x:c r="AB36" s="13">
        <x:v>0</x:v>
      </x:c>
      <x:c r="AC36" s="16">
        <x:v>0</x:v>
      </x:c>
      <x:c r="AF36" s="2" t="s">
        <x:v>34</x:v>
      </x:c>
    </x:row>
    <x:row r="37">
      <x:c r="A37" s="6" t="s">
        <x:v>101</x:v>
      </x:c>
      <x:c r="B37" s="7" t="s">
        <x:v>102</x:v>
      </x:c>
      <x:c r="C37" s="7"/>
      <x:c r="D37" s="9"/>
      <x:c r="E37" s="9"/>
      <x:c r="F37" s="9"/>
      <x:c r="G37" s="9"/>
      <x:c r="H37" s="9"/>
      <x:c r="I37" s="9"/>
      <x:c r="J37" s="9"/>
      <x:c r="K37" s="9"/>
      <x:c r="L37" s="9"/>
      <x:c r="M37" s="9"/>
      <x:c r="N37" s="9"/>
      <x:c r="O37" s="9"/>
      <x:c r="P37" s="9"/>
      <x:c r="Q37" s="13">
        <x:v>0</x:v>
      </x:c>
      <x:c r="R37" s="13">
        <x:v>0</x:v>
      </x:c>
      <x:c r="S37" s="13">
        <x:v>0</x:v>
      </x:c>
      <x:c r="T37" s="13">
        <x:v>0</x:v>
      </x:c>
      <x:c r="U37" s="13">
        <x:v>0</x:v>
      </x:c>
      <x:c r="V37" s="13">
        <x:v>0</x:v>
      </x:c>
      <x:c r="W37" s="13">
        <x:v>0</x:v>
      </x:c>
      <x:c r="X37" s="13">
        <x:v>0</x:v>
      </x:c>
      <x:c r="Y37" s="13">
        <x:v>0</x:v>
      </x:c>
      <x:c r="Z37" s="13">
        <x:v>0</x:v>
      </x:c>
      <x:c r="AA37" s="13">
        <x:v>0</x:v>
      </x:c>
      <x:c r="AB37" s="13">
        <x:v>0</x:v>
      </x:c>
      <x:c r="AC37" s="16">
        <x:v>0</x:v>
      </x:c>
      <x:c r="AF37" s="2" t="s">
        <x:v>34</x:v>
      </x:c>
    </x:row>
    <x:row r="38">
      <x:c r="A38" s="6" t="s">
        <x:v>103</x:v>
      </x:c>
      <x:c r="B38" s="7" t="s">
        <x:v>104</x:v>
      </x:c>
      <x:c r="C38" s="7"/>
      <x:c r="D38" s="9"/>
      <x:c r="E38" s="9"/>
      <x:c r="F38" s="9"/>
      <x:c r="G38" s="9"/>
      <x:c r="H38" s="9"/>
      <x:c r="I38" s="9"/>
      <x:c r="J38" s="9"/>
      <x:c r="K38" s="9"/>
      <x:c r="L38" s="9"/>
      <x:c r="M38" s="9"/>
      <x:c r="N38" s="9"/>
      <x:c r="O38" s="9"/>
      <x:c r="P38" s="9"/>
      <x:c r="Q38" s="13">
        <x:v>0</x:v>
      </x:c>
      <x:c r="R38" s="13">
        <x:v>0</x:v>
      </x:c>
      <x:c r="S38" s="13">
        <x:v>0</x:v>
      </x:c>
      <x:c r="T38" s="13">
        <x:v>0</x:v>
      </x:c>
      <x:c r="U38" s="13">
        <x:v>0</x:v>
      </x:c>
      <x:c r="V38" s="13">
        <x:v>0</x:v>
      </x:c>
      <x:c r="W38" s="13">
        <x:v>0</x:v>
      </x:c>
      <x:c r="X38" s="13">
        <x:v>0</x:v>
      </x:c>
      <x:c r="Y38" s="13">
        <x:v>0</x:v>
      </x:c>
      <x:c r="Z38" s="13">
        <x:v>0</x:v>
      </x:c>
      <x:c r="AA38" s="13">
        <x:v>0</x:v>
      </x:c>
      <x:c r="AB38" s="13">
        <x:v>0</x:v>
      </x:c>
      <x:c r="AC38" s="16">
        <x:v>0</x:v>
      </x:c>
      <x:c r="AF38" s="2" t="s">
        <x:v>34</x:v>
      </x:c>
    </x:row>
    <x:row r="39">
      <x:c r="A39" s="7" t="s">
        <x:v>105</x:v>
      </x:c>
      <x:c r="B39" s="7" t="s">
        <x:v>106</x:v>
      </x:c>
      <x:c r="C39" s="7"/>
      <x:c r="D39" s="9"/>
      <x:c r="E39" s="25">
        <x:v>6</x:v>
      </x:c>
      <x:c r="F39" s="9"/>
      <x:c r="G39" s="9"/>
      <x:c r="H39" s="9"/>
      <x:c r="I39" s="9"/>
      <x:c r="J39" s="9"/>
      <x:c r="K39" s="9"/>
      <x:c r="L39" s="9"/>
      <x:c r="M39" s="9"/>
      <x:c r="N39" s="9"/>
      <x:c r="O39" s="9"/>
      <x:c r="P39" s="9"/>
      <x:c r="Q39" s="17">
        <x:v>0</x:v>
      </x:c>
      <x:c r="R39" s="23">
        <x:v>0.4615</x:v>
      </x:c>
      <x:c r="S39" s="13">
        <x:v>0</x:v>
      </x:c>
      <x:c r="T39" s="13">
        <x:v>0</x:v>
      </x:c>
      <x:c r="U39" s="13">
        <x:v>0</x:v>
      </x:c>
      <x:c r="V39" s="13">
        <x:v>0</x:v>
      </x:c>
      <x:c r="W39" s="13">
        <x:v>0</x:v>
      </x:c>
      <x:c r="X39" s="13">
        <x:v>0</x:v>
      </x:c>
      <x:c r="Y39" s="13">
        <x:v>0</x:v>
      </x:c>
      <x:c r="Z39" s="13">
        <x:v>0</x:v>
      </x:c>
      <x:c r="AA39" s="13">
        <x:v>0</x:v>
      </x:c>
      <x:c r="AB39" s="13">
        <x:v>0</x:v>
      </x:c>
      <x:c r="AC39" s="16">
        <x:v>0</x:v>
      </x:c>
      <x:c r="AF39" s="2" t="s">
        <x:v>107</x:v>
      </x:c>
    </x:row>
    <x:row r="40">
      <x:c r="A40" s="7" t="s">
        <x:v>108</x:v>
      </x:c>
      <x:c r="B40" s="7" t="s">
        <x:v>109</x:v>
      </x:c>
      <x:c r="C40" s="7"/>
      <x:c r="D40" s="9"/>
      <x:c r="E40" s="9"/>
      <x:c r="F40" s="9"/>
      <x:c r="G40" s="9"/>
      <x:c r="H40" s="9"/>
      <x:c r="I40" s="9"/>
      <x:c r="J40" s="9"/>
      <x:c r="K40" s="9"/>
      <x:c r="L40" s="9"/>
      <x:c r="M40" s="9"/>
      <x:c r="N40" s="9"/>
      <x:c r="O40" s="9"/>
      <x:c r="P40" s="9"/>
      <x:c r="Q40" s="13">
        <x:v>0</x:v>
      </x:c>
      <x:c r="R40" s="13">
        <x:v>0</x:v>
      </x:c>
      <x:c r="S40" s="13">
        <x:v>0</x:v>
      </x:c>
      <x:c r="T40" s="13">
        <x:v>0</x:v>
      </x:c>
      <x:c r="U40" s="13">
        <x:v>0</x:v>
      </x:c>
      <x:c r="V40" s="13">
        <x:v>0</x:v>
      </x:c>
      <x:c r="W40" s="13">
        <x:v>0</x:v>
      </x:c>
      <x:c r="X40" s="13">
        <x:v>0</x:v>
      </x:c>
      <x:c r="Y40" s="13">
        <x:v>0</x:v>
      </x:c>
      <x:c r="Z40" s="13">
        <x:v>0</x:v>
      </x:c>
      <x:c r="AA40" s="13">
        <x:v>0</x:v>
      </x:c>
      <x:c r="AB40" s="13">
        <x:v>0</x:v>
      </x:c>
      <x:c r="AC40" s="16">
        <x:v>0</x:v>
      </x:c>
      <x:c r="AF40" s="2" t="s">
        <x:v>34</x:v>
      </x:c>
    </x:row>
    <x:row r="41">
      <x:c r="A41" s="7" t="s">
        <x:v>110</x:v>
      </x:c>
      <x:c r="B41" s="7" t="s">
        <x:v>111</x:v>
      </x:c>
      <x:c r="C41" s="7"/>
      <x:c r="D41" s="9"/>
      <x:c r="E41" s="9"/>
      <x:c r="F41" s="9"/>
      <x:c r="G41" s="9"/>
      <x:c r="H41" s="9"/>
      <x:c r="I41" s="9"/>
      <x:c r="J41" s="9"/>
      <x:c r="K41" s="9"/>
      <x:c r="L41" s="9"/>
      <x:c r="M41" s="9"/>
      <x:c r="N41" s="9"/>
      <x:c r="O41" s="9"/>
      <x:c r="P41" s="9"/>
      <x:c r="Q41" s="13">
        <x:v>0</x:v>
      </x:c>
      <x:c r="R41" s="13">
        <x:v>0</x:v>
      </x:c>
      <x:c r="S41" s="13">
        <x:v>0</x:v>
      </x:c>
      <x:c r="T41" s="13">
        <x:v>0</x:v>
      </x:c>
      <x:c r="U41" s="13">
        <x:v>0</x:v>
      </x:c>
      <x:c r="V41" s="13">
        <x:v>0</x:v>
      </x:c>
      <x:c r="W41" s="13">
        <x:v>0</x:v>
      </x:c>
      <x:c r="X41" s="13">
        <x:v>0</x:v>
      </x:c>
      <x:c r="Y41" s="13">
        <x:v>0</x:v>
      </x:c>
      <x:c r="Z41" s="13">
        <x:v>0</x:v>
      </x:c>
      <x:c r="AA41" s="13">
        <x:v>0</x:v>
      </x:c>
      <x:c r="AB41" s="13">
        <x:v>0</x:v>
      </x:c>
      <x:c r="AC41" s="16">
        <x:v>0</x:v>
      </x:c>
      <x:c r="AF41" s="2" t="s">
        <x:v>34</x:v>
      </x:c>
    </x:row>
    <x:row r="42">
      <x:c r="A42" s="7" t="s">
        <x:v>112</x:v>
      </x:c>
      <x:c r="B42" s="7" t="s">
        <x:v>113</x:v>
      </x:c>
      <x:c r="C42" s="7"/>
      <x:c r="D42" s="9"/>
      <x:c r="E42" s="9"/>
      <x:c r="F42" s="9"/>
      <x:c r="G42" s="9"/>
      <x:c r="H42" s="9"/>
      <x:c r="I42" s="9"/>
      <x:c r="J42" s="9"/>
      <x:c r="K42" s="9"/>
      <x:c r="L42" s="9"/>
      <x:c r="M42" s="9"/>
      <x:c r="N42" s="9"/>
      <x:c r="O42" s="9"/>
      <x:c r="P42" s="9"/>
      <x:c r="Q42" s="13">
        <x:v>0</x:v>
      </x:c>
      <x:c r="R42" s="13">
        <x:v>0</x:v>
      </x:c>
      <x:c r="S42" s="13">
        <x:v>0</x:v>
      </x:c>
      <x:c r="T42" s="13">
        <x:v>0</x:v>
      </x:c>
      <x:c r="U42" s="13">
        <x:v>0</x:v>
      </x:c>
      <x:c r="V42" s="13">
        <x:v>0</x:v>
      </x:c>
      <x:c r="W42" s="13">
        <x:v>0</x:v>
      </x:c>
      <x:c r="X42" s="13">
        <x:v>0</x:v>
      </x:c>
      <x:c r="Y42" s="13">
        <x:v>0</x:v>
      </x:c>
      <x:c r="Z42" s="13">
        <x:v>0</x:v>
      </x:c>
      <x:c r="AA42" s="13">
        <x:v>0</x:v>
      </x:c>
      <x:c r="AB42" s="13">
        <x:v>0</x:v>
      </x:c>
      <x:c r="AC42" s="16">
        <x:v>0</x:v>
      </x:c>
      <x:c r="AF42" s="2" t="s">
        <x:v>34</x:v>
      </x:c>
    </x:row>
    <x:row r="43">
      <x:c r="A43" s="7" t="s">
        <x:v>114</x:v>
      </x:c>
      <x:c r="B43" s="7" t="s">
        <x:v>115</x:v>
      </x:c>
      <x:c r="C43" s="7"/>
      <x:c r="D43" s="9"/>
      <x:c r="E43" s="9"/>
      <x:c r="F43" s="9"/>
      <x:c r="G43" s="9"/>
      <x:c r="H43" s="9"/>
      <x:c r="I43" s="9"/>
      <x:c r="J43" s="9"/>
      <x:c r="K43" s="9"/>
      <x:c r="L43" s="9"/>
      <x:c r="M43" s="9"/>
      <x:c r="N43" s="9"/>
      <x:c r="O43" s="9"/>
      <x:c r="P43" s="9"/>
      <x:c r="Q43" s="13">
        <x:v>0</x:v>
      </x:c>
      <x:c r="R43" s="13">
        <x:v>0</x:v>
      </x:c>
      <x:c r="S43" s="13">
        <x:v>0</x:v>
      </x:c>
      <x:c r="T43" s="13">
        <x:v>0</x:v>
      </x:c>
      <x:c r="U43" s="13">
        <x:v>0</x:v>
      </x:c>
      <x:c r="V43" s="13">
        <x:v>0</x:v>
      </x:c>
      <x:c r="W43" s="13">
        <x:v>0</x:v>
      </x:c>
      <x:c r="X43" s="13">
        <x:v>0</x:v>
      </x:c>
      <x:c r="Y43" s="13">
        <x:v>0</x:v>
      </x:c>
      <x:c r="Z43" s="13">
        <x:v>0</x:v>
      </x:c>
      <x:c r="AA43" s="13">
        <x:v>0</x:v>
      </x:c>
      <x:c r="AB43" s="13">
        <x:v>0</x:v>
      </x:c>
      <x:c r="AC43" s="16">
        <x:v>0</x:v>
      </x:c>
      <x:c r="AF43" s="2" t="s">
        <x:v>34</x:v>
      </x:c>
    </x:row>
    <x:row r="44">
      <x:c r="A44" s="7" t="s">
        <x:v>116</x:v>
      </x:c>
      <x:c r="B44" s="7" t="s">
        <x:v>117</x:v>
      </x:c>
      <x:c r="C44" s="7"/>
      <x:c r="D44" s="25">
        <x:v>13</x:v>
      </x:c>
      <x:c r="E44" s="25">
        <x:v>8</x:v>
      </x:c>
      <x:c r="F44" s="25">
        <x:v>4</x:v>
      </x:c>
      <x:c r="G44" s="25">
        <x:v>3</x:v>
      </x:c>
      <x:c r="H44" s="25">
        <x:v>3</x:v>
      </x:c>
      <x:c r="I44" s="25">
        <x:v>6</x:v>
      </x:c>
      <x:c r="J44" s="25">
        <x:v>5</x:v>
      </x:c>
      <x:c r="K44" s="25">
        <x:v>7</x:v>
      </x:c>
      <x:c r="L44" s="25">
        <x:v>5</x:v>
      </x:c>
      <x:c r="M44" s="25">
        <x:v>1</x:v>
      </x:c>
      <x:c r="N44" s="25">
        <x:v>4</x:v>
      </x:c>
      <x:c r="O44" s="25">
        <x:v>5</x:v>
      </x:c>
      <x:c r="P44" s="25">
        <x:v>1</x:v>
      </x:c>
      <x:c r="Q44" s="17">
        <x:v>0.233</x:v>
      </x:c>
      <x:c r="R44" s="17">
        <x:v>0.2581</x:v>
      </x:c>
      <x:c r="S44" s="17">
        <x:v>0.1905</x:v>
      </x:c>
      <x:c r="T44" s="17">
        <x:v>0.0968</x:v>
      </x:c>
      <x:c r="U44" s="17">
        <x:v>0.0909</x:v>
      </x:c>
      <x:c r="V44" s="17">
        <x:v>0.1382</x:v>
      </x:c>
      <x:c r="W44" s="17">
        <x:v>0.2016</x:v>
      </x:c>
      <x:c r="X44" s="17">
        <x:v>0.3571</x:v>
      </x:c>
      <x:c r="Y44" s="17">
        <x:v>0.1792</x:v>
      </x:c>
      <x:c r="Z44" s="17">
        <x:v>0.0417</x:v>
      </x:c>
      <x:c r="AA44" s="17">
        <x:v>0.129</x:v>
      </x:c>
      <x:c r="AB44" s="17">
        <x:v>0.1667</x:v>
      </x:c>
      <x:c r="AC44" s="20">
        <x:v>0.0179</x:v>
      </x:c>
      <x:c r="AD44" s="17">
        <x:v>0.1736</x:v>
      </x:c>
      <x:c r="AE44" s="17">
        <x:v>0.1736</x:v>
      </x:c>
      <x:c r="AF44" s="2" t="s">
        <x:v>34</x:v>
      </x:c>
    </x:row>
    <x:row r="45">
      <x:c r="A45" s="7" t="s">
        <x:v>118</x:v>
      </x:c>
      <x:c r="B45" s="7" t="s">
        <x:v>119</x:v>
      </x:c>
      <x:c r="C45" s="7"/>
      <x:c r="D45" s="9"/>
      <x:c r="E45" s="9"/>
      <x:c r="F45" s="9"/>
      <x:c r="G45" s="9"/>
      <x:c r="H45" s="9"/>
      <x:c r="I45" s="9"/>
      <x:c r="J45" s="9"/>
      <x:c r="K45" s="9"/>
      <x:c r="L45" s="9"/>
      <x:c r="M45" s="9"/>
      <x:c r="N45" s="9"/>
      <x:c r="O45" s="9"/>
      <x:c r="P45" s="9"/>
      <x:c r="Q45" s="13">
        <x:v>0</x:v>
      </x:c>
      <x:c r="R45" s="13">
        <x:v>0</x:v>
      </x:c>
      <x:c r="S45" s="13">
        <x:v>0</x:v>
      </x:c>
      <x:c r="T45" s="13">
        <x:v>0</x:v>
      </x:c>
      <x:c r="U45" s="13">
        <x:v>0</x:v>
      </x:c>
      <x:c r="V45" s="13">
        <x:v>0</x:v>
      </x:c>
      <x:c r="W45" s="13">
        <x:v>0</x:v>
      </x:c>
      <x:c r="X45" s="13">
        <x:v>0</x:v>
      </x:c>
      <x:c r="Y45" s="13">
        <x:v>0</x:v>
      </x:c>
      <x:c r="Z45" s="13">
        <x:v>0</x:v>
      </x:c>
      <x:c r="AA45" s="13">
        <x:v>0</x:v>
      </x:c>
      <x:c r="AB45" s="13">
        <x:v>0</x:v>
      </x:c>
      <x:c r="AC45" s="16">
        <x:v>0</x:v>
      </x:c>
      <x:c r="AF45" s="2" t="s">
        <x:v>34</x:v>
      </x:c>
    </x:row>
    <x:row r="46">
      <x:c r="A46" s="7" t="s">
        <x:v>120</x:v>
      </x:c>
      <x:c r="B46" s="7" t="s">
        <x:v>121</x:v>
      </x:c>
      <x:c r="C46" s="7"/>
      <x:c r="D46" s="9"/>
      <x:c r="E46" s="9"/>
      <x:c r="F46" s="9"/>
      <x:c r="G46" s="9"/>
      <x:c r="H46" s="9"/>
      <x:c r="I46" s="9"/>
      <x:c r="J46" s="9"/>
      <x:c r="K46" s="9"/>
      <x:c r="L46" s="9"/>
      <x:c r="M46" s="9"/>
      <x:c r="N46" s="9"/>
      <x:c r="O46" s="9"/>
      <x:c r="P46" s="9"/>
      <x:c r="Q46" s="13">
        <x:v>0</x:v>
      </x:c>
      <x:c r="R46" s="13">
        <x:v>0</x:v>
      </x:c>
      <x:c r="S46" s="13">
        <x:v>0</x:v>
      </x:c>
      <x:c r="T46" s="13">
        <x:v>0</x:v>
      </x:c>
      <x:c r="U46" s="13">
        <x:v>0</x:v>
      </x:c>
      <x:c r="V46" s="13">
        <x:v>0</x:v>
      </x:c>
      <x:c r="W46" s="13">
        <x:v>0</x:v>
      </x:c>
      <x:c r="X46" s="13">
        <x:v>0</x:v>
      </x:c>
      <x:c r="Y46" s="13">
        <x:v>0</x:v>
      </x:c>
      <x:c r="Z46" s="13">
        <x:v>0</x:v>
      </x:c>
      <x:c r="AA46" s="13">
        <x:v>0</x:v>
      </x:c>
      <x:c r="AB46" s="13">
        <x:v>0</x:v>
      </x:c>
      <x:c r="AC46" s="16">
        <x:v>0</x:v>
      </x:c>
      <x:c r="AF46" s="2" t="s">
        <x:v>107</x:v>
      </x:c>
    </x:row>
    <x:row r="47">
      <x:c r="A47" s="7" t="s">
        <x:v>122</x:v>
      </x:c>
      <x:c r="B47" s="7" t="s">
        <x:v>123</x:v>
      </x:c>
      <x:c r="C47" s="7"/>
      <x:c r="D47" s="9"/>
      <x:c r="E47" s="9"/>
      <x:c r="F47" s="9"/>
      <x:c r="G47" s="9"/>
      <x:c r="H47" s="9"/>
      <x:c r="I47" s="9"/>
      <x:c r="J47" s="9"/>
      <x:c r="K47" s="9"/>
      <x:c r="L47" s="9"/>
      <x:c r="M47" s="9"/>
      <x:c r="N47" s="9"/>
      <x:c r="O47" s="9"/>
      <x:c r="P47" s="9"/>
      <x:c r="Q47" s="13">
        <x:v>0</x:v>
      </x:c>
      <x:c r="R47" s="13">
        <x:v>0</x:v>
      </x:c>
      <x:c r="S47" s="13">
        <x:v>0</x:v>
      </x:c>
      <x:c r="T47" s="13">
        <x:v>0</x:v>
      </x:c>
      <x:c r="U47" s="13">
        <x:v>0</x:v>
      </x:c>
      <x:c r="V47" s="13">
        <x:v>0</x:v>
      </x:c>
      <x:c r="W47" s="13">
        <x:v>0</x:v>
      </x:c>
      <x:c r="X47" s="13">
        <x:v>0</x:v>
      </x:c>
      <x:c r="Y47" s="13">
        <x:v>0</x:v>
      </x:c>
      <x:c r="Z47" s="13">
        <x:v>0</x:v>
      </x:c>
      <x:c r="AA47" s="13">
        <x:v>0</x:v>
      </x:c>
      <x:c r="AB47" s="13">
        <x:v>0</x:v>
      </x:c>
      <x:c r="AC47" s="16">
        <x:v>0</x:v>
      </x:c>
      <x:c r="AF47" s="2" t="s">
        <x:v>107</x:v>
      </x:c>
    </x:row>
    <x:row r="48">
      <x:c r="A48" s="7" t="s">
        <x:v>124</x:v>
      </x:c>
      <x:c r="B48" s="7" t="s">
        <x:v>125</x:v>
      </x:c>
      <x:c r="C48" s="7"/>
      <x:c r="D48" s="9"/>
      <x:c r="E48" s="9"/>
      <x:c r="F48" s="9"/>
      <x:c r="G48" s="9"/>
      <x:c r="H48" s="9"/>
      <x:c r="I48" s="9"/>
      <x:c r="J48" s="9"/>
      <x:c r="K48" s="9"/>
      <x:c r="L48" s="9"/>
      <x:c r="M48" s="9"/>
      <x:c r="N48" s="9"/>
      <x:c r="O48" s="9"/>
      <x:c r="P48" s="9"/>
      <x:c r="Q48" s="13">
        <x:v>0</x:v>
      </x:c>
      <x:c r="R48" s="13">
        <x:v>0</x:v>
      </x:c>
      <x:c r="S48" s="13">
        <x:v>0</x:v>
      </x:c>
      <x:c r="T48" s="13">
        <x:v>0</x:v>
      </x:c>
      <x:c r="U48" s="13">
        <x:v>0</x:v>
      </x:c>
      <x:c r="V48" s="13">
        <x:v>0</x:v>
      </x:c>
      <x:c r="W48" s="13">
        <x:v>0</x:v>
      </x:c>
      <x:c r="X48" s="13">
        <x:v>0</x:v>
      </x:c>
      <x:c r="Y48" s="13">
        <x:v>0</x:v>
      </x:c>
      <x:c r="Z48" s="13">
        <x:v>0</x:v>
      </x:c>
      <x:c r="AA48" s="13">
        <x:v>0</x:v>
      </x:c>
      <x:c r="AB48" s="13">
        <x:v>0</x:v>
      </x:c>
      <x:c r="AC48" s="16">
        <x:v>0</x:v>
      </x:c>
      <x:c r="AF48" s="2" t="s">
        <x:v>107</x:v>
      </x:c>
    </x:row>
    <x:row r="49">
      <x:c r="A49" s="7" t="s">
        <x:v>126</x:v>
      </x:c>
      <x:c r="B49" s="7" t="s">
        <x:v>127</x:v>
      </x:c>
      <x:c r="C49" s="7"/>
      <x:c r="D49" s="9"/>
      <x:c r="E49" s="9"/>
      <x:c r="F49" s="9"/>
      <x:c r="G49" s="9"/>
      <x:c r="H49" s="9"/>
      <x:c r="I49" s="9"/>
      <x:c r="J49" s="9"/>
      <x:c r="K49" s="9"/>
      <x:c r="L49" s="9"/>
      <x:c r="M49" s="9"/>
      <x:c r="N49" s="9"/>
      <x:c r="O49" s="9"/>
      <x:c r="P49" s="9"/>
      <x:c r="Q49" s="13">
        <x:v>0</x:v>
      </x:c>
      <x:c r="R49" s="13">
        <x:v>0</x:v>
      </x:c>
      <x:c r="S49" s="13">
        <x:v>0</x:v>
      </x:c>
      <x:c r="T49" s="13">
        <x:v>0</x:v>
      </x:c>
      <x:c r="U49" s="13">
        <x:v>0</x:v>
      </x:c>
      <x:c r="V49" s="13">
        <x:v>0</x:v>
      </x:c>
      <x:c r="W49" s="13">
        <x:v>0</x:v>
      </x:c>
      <x:c r="X49" s="13">
        <x:v>0</x:v>
      </x:c>
      <x:c r="Y49" s="13">
        <x:v>0</x:v>
      </x:c>
      <x:c r="Z49" s="13">
        <x:v>0</x:v>
      </x:c>
      <x:c r="AA49" s="13">
        <x:v>0</x:v>
      </x:c>
      <x:c r="AB49" s="13">
        <x:v>0</x:v>
      </x:c>
      <x:c r="AC49" s="16">
        <x:v>0</x:v>
      </x:c>
      <x:c r="AF49" s="2" t="s">
        <x:v>34</x:v>
      </x:c>
    </x:row>
    <x:row r="50">
      <x:c r="A50" s="7" t="s">
        <x:v>128</x:v>
      </x:c>
      <x:c r="B50" s="7" t="s">
        <x:v>129</x:v>
      </x:c>
      <x:c r="C50" s="7"/>
      <x:c r="D50" s="25">
        <x:v>65</x:v>
      </x:c>
      <x:c r="E50" s="25">
        <x:v>8</x:v>
      </x:c>
      <x:c r="F50" s="25">
        <x:v>38</x:v>
      </x:c>
      <x:c r="G50" s="25">
        <x:v>31</x:v>
      </x:c>
      <x:c r="H50" s="25">
        <x:v>11</x:v>
      </x:c>
      <x:c r="I50" s="25">
        <x:v>17</x:v>
      </x:c>
      <x:c r="J50" s="25">
        <x:v>16</x:v>
      </x:c>
      <x:c r="K50" s="25">
        <x:v>31</x:v>
      </x:c>
      <x:c r="L50" s="25">
        <x:v>17</x:v>
      </x:c>
      <x:c r="M50" s="25">
        <x:v>45</x:v>
      </x:c>
      <x:c r="N50" s="25">
        <x:v>30</x:v>
      </x:c>
      <x:c r="O50" s="25">
        <x:v>24</x:v>
      </x:c>
      <x:c r="P50" s="25">
        <x:v>36</x:v>
      </x:c>
      <x:c r="Q50" s="17">
        <x:v>1.1649</x:v>
      </x:c>
      <x:c r="R50" s="17">
        <x:v>0.2581</x:v>
      </x:c>
      <x:c r="S50" s="17">
        <x:v>1.8095</x:v>
      </x:c>
      <x:c r="T50" s="17">
        <x:v>1</x:v>
      </x:c>
      <x:c r="U50" s="17">
        <x:v>0.3333</x:v>
      </x:c>
      <x:c r="V50" s="17">
        <x:v>0.3917</x:v>
      </x:c>
      <x:c r="W50" s="17">
        <x:v>0.6452</x:v>
      </x:c>
      <x:c r="X50" s="17">
        <x:v>1.5816</x:v>
      </x:c>
      <x:c r="Y50" s="17">
        <x:v>0.6093</x:v>
      </x:c>
      <x:c r="Z50" s="17">
        <x:v>1.875</x:v>
      </x:c>
      <x:c r="AA50" s="17">
        <x:v>0.9677</x:v>
      </x:c>
      <x:c r="AB50" s="17">
        <x:v>0.8</x:v>
      </x:c>
      <x:c r="AC50" s="20">
        <x:v>0.6452</x:v>
      </x:c>
      <x:c r="AD50" s="17">
        <x:v>0.953</x:v>
      </x:c>
      <x:c r="AE50" s="17">
        <x:v>0.953</x:v>
      </x:c>
      <x:c r="AF50" s="2" t="s">
        <x:v>34</x:v>
      </x:c>
    </x:row>
    <x:row r="51">
      <x:c r="A51" s="7" t="s">
        <x:v>130</x:v>
      </x:c>
      <x:c r="B51" s="7" t="s">
        <x:v>131</x:v>
      </x:c>
      <x:c r="C51" s="7"/>
      <x:c r="D51" s="25">
        <x:v>15</x:v>
      </x:c>
      <x:c r="E51" s="25">
        <x:v>10</x:v>
      </x:c>
      <x:c r="F51" s="25">
        <x:v>9</x:v>
      </x:c>
      <x:c r="G51" s="25">
        <x:v>15</x:v>
      </x:c>
      <x:c r="H51" s="25">
        <x:v>20</x:v>
      </x:c>
      <x:c r="I51" s="25">
        <x:v>2</x:v>
      </x:c>
      <x:c r="J51" s="25">
        <x:v>10</x:v>
      </x:c>
      <x:c r="K51" s="25">
        <x:v>10</x:v>
      </x:c>
      <x:c r="L51" s="25">
        <x:v>24</x:v>
      </x:c>
      <x:c r="M51" s="25">
        <x:v>14</x:v>
      </x:c>
      <x:c r="N51" s="25">
        <x:v>9</x:v>
      </x:c>
      <x:c r="O51" s="25">
        <x:v>15</x:v>
      </x:c>
      <x:c r="P51" s="9"/>
      <x:c r="Q51" s="17">
        <x:v>0.2688</x:v>
      </x:c>
      <x:c r="R51" s="17">
        <x:v>0.3226</x:v>
      </x:c>
      <x:c r="S51" s="17">
        <x:v>0.4286</x:v>
      </x:c>
      <x:c r="T51" s="17">
        <x:v>0.4839</x:v>
      </x:c>
      <x:c r="U51" s="17">
        <x:v>0.6061</x:v>
      </x:c>
      <x:c r="V51" s="17">
        <x:v>0.0461</x:v>
      </x:c>
      <x:c r="W51" s="17">
        <x:v>0.4032</x:v>
      </x:c>
      <x:c r="X51" s="17">
        <x:v>0.5102</x:v>
      </x:c>
      <x:c r="Y51" s="17">
        <x:v>0.8602</x:v>
      </x:c>
      <x:c r="Z51" s="17">
        <x:v>0.5833</x:v>
      </x:c>
      <x:c r="AA51" s="17">
        <x:v>0.2903</x:v>
      </x:c>
      <x:c r="AB51" s="17">
        <x:v>0.5</x:v>
      </x:c>
      <x:c r="AC51" s="20">
        <x:v>0</x:v>
      </x:c>
      <x:c r="AD51" s="17">
        <x:v>0.4419</x:v>
      </x:c>
      <x:c r="AE51" s="17">
        <x:v>0.4419</x:v>
      </x:c>
      <x:c r="AF51" s="2" t="s">
        <x:v>34</x:v>
      </x:c>
    </x:row>
    <x:row r="52">
      <x:c r="A52" s="7" t="s">
        <x:v>132</x:v>
      </x:c>
      <x:c r="B52" s="7" t="s">
        <x:v>133</x:v>
      </x:c>
      <x:c r="C52" s="7"/>
      <x:c r="D52" s="9"/>
      <x:c r="E52" s="9"/>
      <x:c r="F52" s="9"/>
      <x:c r="G52" s="9"/>
      <x:c r="H52" s="9"/>
      <x:c r="I52" s="9"/>
      <x:c r="J52" s="9"/>
      <x:c r="K52" s="9"/>
      <x:c r="L52" s="9"/>
      <x:c r="M52" s="9"/>
      <x:c r="N52" s="9"/>
      <x:c r="O52" s="9"/>
      <x:c r="P52" s="9"/>
      <x:c r="Q52" s="13">
        <x:v>0</x:v>
      </x:c>
      <x:c r="R52" s="13">
        <x:v>0</x:v>
      </x:c>
      <x:c r="S52" s="13">
        <x:v>0</x:v>
      </x:c>
      <x:c r="T52" s="13">
        <x:v>0</x:v>
      </x:c>
      <x:c r="U52" s="13">
        <x:v>0</x:v>
      </x:c>
      <x:c r="V52" s="13">
        <x:v>0</x:v>
      </x:c>
      <x:c r="W52" s="13">
        <x:v>0</x:v>
      </x:c>
      <x:c r="X52" s="13">
        <x:v>0</x:v>
      </x:c>
      <x:c r="Y52" s="13">
        <x:v>0</x:v>
      </x:c>
      <x:c r="Z52" s="13">
        <x:v>0</x:v>
      </x:c>
      <x:c r="AA52" s="13">
        <x:v>0</x:v>
      </x:c>
      <x:c r="AB52" s="13">
        <x:v>0</x:v>
      </x:c>
      <x:c r="AC52" s="16">
        <x:v>0</x:v>
      </x:c>
      <x:c r="AF52" s="2" t="s">
        <x:v>34</x:v>
      </x:c>
    </x:row>
    <x:row r="53">
      <x:c r="A53" s="7" t="s">
        <x:v>134</x:v>
      </x:c>
      <x:c r="B53" s="7" t="s">
        <x:v>135</x:v>
      </x:c>
      <x:c r="C53" s="7"/>
      <x:c r="D53" s="25">
        <x:v>6</x:v>
      </x:c>
      <x:c r="E53" s="9"/>
      <x:c r="F53" s="25">
        <x:v>-1</x:v>
      </x:c>
      <x:c r="G53" s="25">
        <x:v>2</x:v>
      </x:c>
      <x:c r="H53" s="9"/>
      <x:c r="I53" s="25">
        <x:v>2</x:v>
      </x:c>
      <x:c r="J53" s="25">
        <x:v>5</x:v>
      </x:c>
      <x:c r="K53" s="25">
        <x:v>1</x:v>
      </x:c>
      <x:c r="L53" s="25">
        <x:v>2</x:v>
      </x:c>
      <x:c r="M53" s="25">
        <x:v>25</x:v>
      </x:c>
      <x:c r="N53" s="25">
        <x:v>1</x:v>
      </x:c>
      <x:c r="O53" s="25">
        <x:v>3</x:v>
      </x:c>
      <x:c r="P53" s="25">
        <x:v>3</x:v>
      </x:c>
      <x:c r="Q53" s="17">
        <x:v>0.1075</x:v>
      </x:c>
      <x:c r="R53" s="17">
        <x:v>0</x:v>
      </x:c>
      <x:c r="S53" s="17">
        <x:v>-0.0476</x:v>
      </x:c>
      <x:c r="T53" s="17">
        <x:v>0.0645</x:v>
      </x:c>
      <x:c r="U53" s="17">
        <x:v>0</x:v>
      </x:c>
      <x:c r="V53" s="17">
        <x:v>0.0461</x:v>
      </x:c>
      <x:c r="W53" s="17">
        <x:v>0.2016</x:v>
      </x:c>
      <x:c r="X53" s="17">
        <x:v>0.051</x:v>
      </x:c>
      <x:c r="Y53" s="17">
        <x:v>0.0717</x:v>
      </x:c>
      <x:c r="Z53" s="17">
        <x:v>1.0417</x:v>
      </x:c>
      <x:c r="AA53" s="17">
        <x:v>0.0323</x:v>
      </x:c>
      <x:c r="AB53" s="17">
        <x:v>0.1</x:v>
      </x:c>
      <x:c r="AC53" s="20">
        <x:v>0.0538</x:v>
      </x:c>
      <x:c r="AD53" s="17">
        <x:v>0.1391</x:v>
      </x:c>
      <x:c r="AE53" s="17">
        <x:v>0.1391</x:v>
      </x:c>
      <x:c r="AF53" s="2" t="s">
        <x:v>34</x:v>
      </x:c>
    </x:row>
    <x:row r="54">
      <x:c r="A54" s="7" t="s">
        <x:v>136</x:v>
      </x:c>
      <x:c r="B54" s="7" t="s">
        <x:v>137</x:v>
      </x:c>
      <x:c r="C54" s="7"/>
      <x:c r="D54" s="25">
        <x:v>5</x:v>
      </x:c>
      <x:c r="E54" s="25">
        <x:v>9</x:v>
      </x:c>
      <x:c r="F54" s="25">
        <x:v>3</x:v>
      </x:c>
      <x:c r="G54" s="25">
        <x:v>-3</x:v>
      </x:c>
      <x:c r="H54" s="25">
        <x:v>4</x:v>
      </x:c>
      <x:c r="I54" s="25">
        <x:v>10</x:v>
      </x:c>
      <x:c r="J54" s="25">
        <x:v>10</x:v>
      </x:c>
      <x:c r="K54" s="25">
        <x:v>1</x:v>
      </x:c>
      <x:c r="L54" s="25">
        <x:v>1</x:v>
      </x:c>
      <x:c r="M54" s="25">
        <x:v>3</x:v>
      </x:c>
      <x:c r="N54" s="9"/>
      <x:c r="O54" s="25">
        <x:v>2</x:v>
      </x:c>
      <x:c r="P54" s="9"/>
      <x:c r="Q54" s="17">
        <x:v>0.0896</x:v>
      </x:c>
      <x:c r="R54" s="17">
        <x:v>0.2903</x:v>
      </x:c>
      <x:c r="S54" s="17">
        <x:v>0.1429</x:v>
      </x:c>
      <x:c r="T54" s="17">
        <x:v>-0.0968</x:v>
      </x:c>
      <x:c r="U54" s="17">
        <x:v>0.1212</x:v>
      </x:c>
      <x:c r="V54" s="17">
        <x:v>0.2304</x:v>
      </x:c>
      <x:c r="W54" s="17">
        <x:v>0.4032</x:v>
      </x:c>
      <x:c r="X54" s="17">
        <x:v>0.051</x:v>
      </x:c>
      <x:c r="Y54" s="17">
        <x:v>0.0358</x:v>
      </x:c>
      <x:c r="Z54" s="17">
        <x:v>0.125</x:v>
      </x:c>
      <x:c r="AA54" s="17">
        <x:v>0</x:v>
      </x:c>
      <x:c r="AB54" s="17">
        <x:v>0.0667</x:v>
      </x:c>
      <x:c r="AC54" s="20">
        <x:v>0</x:v>
      </x:c>
      <x:c r="AD54" s="17">
        <x:v>0.1216</x:v>
      </x:c>
      <x:c r="AE54" s="17">
        <x:v>0.1216</x:v>
      </x:c>
      <x:c r="AF54" s="2" t="s">
        <x:v>34</x:v>
      </x:c>
    </x:row>
    <x:row r="55">
      <x:c r="A55" s="7" t="s">
        <x:v>138</x:v>
      </x:c>
      <x:c r="B55" s="7" t="s">
        <x:v>139</x:v>
      </x:c>
      <x:c r="C55" s="7"/>
      <x:c r="D55" s="25">
        <x:v>5</x:v>
      </x:c>
      <x:c r="E55" s="25">
        <x:v>10</x:v>
      </x:c>
      <x:c r="F55" s="25">
        <x:v>24</x:v>
      </x:c>
      <x:c r="G55" s="25">
        <x:v>5</x:v>
      </x:c>
      <x:c r="H55" s="25">
        <x:v>1</x:v>
      </x:c>
      <x:c r="I55" s="25">
        <x:v>5</x:v>
      </x:c>
      <x:c r="J55" s="25">
        <x:v>2</x:v>
      </x:c>
      <x:c r="K55" s="25">
        <x:v>8</x:v>
      </x:c>
      <x:c r="L55" s="25">
        <x:v>4</x:v>
      </x:c>
      <x:c r="M55" s="25">
        <x:v>25</x:v>
      </x:c>
      <x:c r="N55" s="25">
        <x:v>7</x:v>
      </x:c>
      <x:c r="O55" s="25">
        <x:v>9</x:v>
      </x:c>
      <x:c r="P55" s="9"/>
      <x:c r="Q55" s="17">
        <x:v>0.0896</x:v>
      </x:c>
      <x:c r="R55" s="17">
        <x:v>0.3226</x:v>
      </x:c>
      <x:c r="S55" s="17">
        <x:v>1.1429</x:v>
      </x:c>
      <x:c r="T55" s="17">
        <x:v>0.1613</x:v>
      </x:c>
      <x:c r="U55" s="17">
        <x:v>0.0303</x:v>
      </x:c>
      <x:c r="V55" s="17">
        <x:v>0.1152</x:v>
      </x:c>
      <x:c r="W55" s="17">
        <x:v>0.0806</x:v>
      </x:c>
      <x:c r="X55" s="17">
        <x:v>0.4082</x:v>
      </x:c>
      <x:c r="Y55" s="17">
        <x:v>0.1434</x:v>
      </x:c>
      <x:c r="Z55" s="17">
        <x:v>1.0417</x:v>
      </x:c>
      <x:c r="AA55" s="17">
        <x:v>0.2258</x:v>
      </x:c>
      <x:c r="AB55" s="17">
        <x:v>0.3</x:v>
      </x:c>
      <x:c r="AC55" s="20">
        <x:v>0</x:v>
      </x:c>
      <x:c r="AD55" s="17">
        <x:v>0.3385</x:v>
      </x:c>
      <x:c r="AE55" s="17">
        <x:v>0.3385</x:v>
      </x:c>
      <x:c r="AF55" s="2" t="s">
        <x:v>34</x:v>
      </x:c>
    </x:row>
    <x:row r="56">
      <x:c r="A56" s="7" t="s">
        <x:v>140</x:v>
      </x:c>
      <x:c r="B56" s="7" t="s">
        <x:v>141</x:v>
      </x:c>
      <x:c r="C56" s="7"/>
      <x:c r="D56" s="25">
        <x:v>6</x:v>
      </x:c>
      <x:c r="E56" s="25">
        <x:v>5</x:v>
      </x:c>
      <x:c r="F56" s="25">
        <x:v>-1</x:v>
      </x:c>
      <x:c r="G56" s="9"/>
      <x:c r="H56" s="25">
        <x:v>4</x:v>
      </x:c>
      <x:c r="I56" s="25">
        <x:v>6</x:v>
      </x:c>
      <x:c r="J56" s="25">
        <x:v>6</x:v>
      </x:c>
      <x:c r="K56" s="25">
        <x:v>2</x:v>
      </x:c>
      <x:c r="L56" s="25">
        <x:v>2</x:v>
      </x:c>
      <x:c r="M56" s="25">
        <x:v>-2</x:v>
      </x:c>
      <x:c r="N56" s="9"/>
      <x:c r="O56" s="25">
        <x:v>9</x:v>
      </x:c>
      <x:c r="P56" s="25">
        <x:v>1</x:v>
      </x:c>
      <x:c r="Q56" s="17">
        <x:v>0.1075</x:v>
      </x:c>
      <x:c r="R56" s="17">
        <x:v>0.1613</x:v>
      </x:c>
      <x:c r="S56" s="17">
        <x:v>-0.0476</x:v>
      </x:c>
      <x:c r="T56" s="17">
        <x:v>0</x:v>
      </x:c>
      <x:c r="U56" s="17">
        <x:v>0.1212</x:v>
      </x:c>
      <x:c r="V56" s="17">
        <x:v>0.1382</x:v>
      </x:c>
      <x:c r="W56" s="17">
        <x:v>0.2419</x:v>
      </x:c>
      <x:c r="X56" s="17">
        <x:v>0.102</x:v>
      </x:c>
      <x:c r="Y56" s="17">
        <x:v>0.0717</x:v>
      </x:c>
      <x:c r="Z56" s="17">
        <x:v>-0.0833</x:v>
      </x:c>
      <x:c r="AA56" s="17">
        <x:v>0</x:v>
      </x:c>
      <x:c r="AB56" s="17">
        <x:v>0.3</x:v>
      </x:c>
      <x:c r="AC56" s="20">
        <x:v>0.0179</x:v>
      </x:c>
      <x:c r="AD56" s="17">
        <x:v>0.0927</x:v>
      </x:c>
      <x:c r="AE56" s="17">
        <x:v>0.0927</x:v>
      </x:c>
      <x:c r="AF56" s="2" t="s">
        <x:v>34</x:v>
      </x:c>
    </x:row>
    <x:row r="57">
      <x:c r="A57" s="7" t="s">
        <x:v>142</x:v>
      </x:c>
      <x:c r="B57" s="7" t="s">
        <x:v>143</x:v>
      </x:c>
      <x:c r="C57" s="7"/>
      <x:c r="D57" s="9"/>
      <x:c r="E57" s="9"/>
      <x:c r="F57" s="9"/>
      <x:c r="G57" s="9"/>
      <x:c r="H57" s="9"/>
      <x:c r="I57" s="9"/>
      <x:c r="J57" s="9"/>
      <x:c r="K57" s="9"/>
      <x:c r="L57" s="9"/>
      <x:c r="M57" s="9"/>
      <x:c r="N57" s="9"/>
      <x:c r="O57" s="9"/>
      <x:c r="P57" s="9"/>
      <x:c r="Q57" s="13">
        <x:v>0</x:v>
      </x:c>
      <x:c r="R57" s="13">
        <x:v>0</x:v>
      </x:c>
      <x:c r="S57" s="13">
        <x:v>0</x:v>
      </x:c>
      <x:c r="T57" s="13">
        <x:v>0</x:v>
      </x:c>
      <x:c r="U57" s="13">
        <x:v>0</x:v>
      </x:c>
      <x:c r="V57" s="13">
        <x:v>0</x:v>
      </x:c>
      <x:c r="W57" s="13">
        <x:v>0</x:v>
      </x:c>
      <x:c r="X57" s="13">
        <x:v>0</x:v>
      </x:c>
      <x:c r="Y57" s="13">
        <x:v>0</x:v>
      </x:c>
      <x:c r="Z57" s="13">
        <x:v>0</x:v>
      </x:c>
      <x:c r="AA57" s="13">
        <x:v>0</x:v>
      </x:c>
      <x:c r="AB57" s="13">
        <x:v>0</x:v>
      </x:c>
      <x:c r="AC57" s="16">
        <x:v>0</x:v>
      </x:c>
      <x:c r="AF57" s="2" t="s">
        <x:v>107</x:v>
      </x:c>
    </x:row>
    <x:row r="58">
      <x:c r="A58" s="7" t="s">
        <x:v>144</x:v>
      </x:c>
      <x:c r="B58" s="7" t="s">
        <x:v>145</x:v>
      </x:c>
      <x:c r="C58" s="7"/>
      <x:c r="D58" s="25">
        <x:v>15</x:v>
      </x:c>
      <x:c r="E58" s="25">
        <x:v>11</x:v>
      </x:c>
      <x:c r="F58" s="25">
        <x:v>1</x:v>
      </x:c>
      <x:c r="G58" s="25">
        <x:v>2</x:v>
      </x:c>
      <x:c r="H58" s="25">
        <x:v>5</x:v>
      </x:c>
      <x:c r="I58" s="9"/>
      <x:c r="J58" s="9"/>
      <x:c r="K58" s="9"/>
      <x:c r="L58" s="9"/>
      <x:c r="M58" s="9"/>
      <x:c r="N58" s="9"/>
      <x:c r="O58" s="9"/>
      <x:c r="P58" s="9"/>
      <x:c r="Q58" s="17">
        <x:v>0.2688</x:v>
      </x:c>
      <x:c r="R58" s="17">
        <x:v>0.3548</x:v>
      </x:c>
      <x:c r="S58" s="17">
        <x:v>0.0476</x:v>
      </x:c>
      <x:c r="T58" s="23">
        <x:v>0.0909</x:v>
      </x:c>
      <x:c r="U58" s="13">
        <x:v>0</x:v>
      </x:c>
      <x:c r="V58" s="13">
        <x:v>0</x:v>
      </x:c>
      <x:c r="W58" s="13">
        <x:v>0</x:v>
      </x:c>
      <x:c r="X58" s="13">
        <x:v>0</x:v>
      </x:c>
      <x:c r="Y58" s="13">
        <x:v>0</x:v>
      </x:c>
      <x:c r="Z58" s="13">
        <x:v>0</x:v>
      </x:c>
      <x:c r="AA58" s="13">
        <x:v>0</x:v>
      </x:c>
      <x:c r="AB58" s="13">
        <x:v>0</x:v>
      </x:c>
      <x:c r="AC58" s="16">
        <x:v>0</x:v>
      </x:c>
      <x:c r="AD58" s="17">
        <x:v>0.2237</x:v>
      </x:c>
      <x:c r="AE58" s="17">
        <x:v>0.2237</x:v>
      </x:c>
      <x:c r="AF58" s="2" t="s">
        <x:v>34</x:v>
      </x:c>
    </x:row>
    <x:row r="59">
      <x:c r="A59" s="7" t="s">
        <x:v>146</x:v>
      </x:c>
      <x:c r="B59" s="7" t="s">
        <x:v>147</x:v>
      </x:c>
      <x:c r="C59" s="7"/>
      <x:c r="D59" s="25">
        <x:v>1</x:v>
      </x:c>
      <x:c r="E59" s="9"/>
      <x:c r="F59" s="9"/>
      <x:c r="G59" s="9"/>
      <x:c r="H59" s="9"/>
      <x:c r="I59" s="9"/>
      <x:c r="J59" s="9"/>
      <x:c r="K59" s="9"/>
      <x:c r="L59" s="9"/>
      <x:c r="M59" s="9"/>
      <x:c r="N59" s="9"/>
      <x:c r="O59" s="9"/>
      <x:c r="P59" s="9"/>
      <x:c r="Q59" s="13">
        <x:v>0</x:v>
      </x:c>
      <x:c r="R59" s="13">
        <x:v>0</x:v>
      </x:c>
      <x:c r="S59" s="13">
        <x:v>0</x:v>
      </x:c>
      <x:c r="T59" s="13">
        <x:v>0</x:v>
      </x:c>
      <x:c r="U59" s="13">
        <x:v>0</x:v>
      </x:c>
      <x:c r="V59" s="13">
        <x:v>0</x:v>
      </x:c>
      <x:c r="W59" s="13">
        <x:v>0</x:v>
      </x:c>
      <x:c r="X59" s="13">
        <x:v>0</x:v>
      </x:c>
      <x:c r="Y59" s="13">
        <x:v>0</x:v>
      </x:c>
      <x:c r="Z59" s="13">
        <x:v>0</x:v>
      </x:c>
      <x:c r="AA59" s="13">
        <x:v>0</x:v>
      </x:c>
      <x:c r="AB59" s="13">
        <x:v>0</x:v>
      </x:c>
      <x:c r="AC59" s="16">
        <x:v>0</x:v>
      </x:c>
      <x:c r="AF59" s="2" t="s">
        <x:v>107</x:v>
      </x:c>
    </x:row>
    <x:row r="60">
      <x:c r="A60" s="7" t="s">
        <x:v>148</x:v>
      </x:c>
      <x:c r="B60" s="7" t="s">
        <x:v>149</x:v>
      </x:c>
      <x:c r="C60" s="7"/>
      <x:c r="D60" s="25">
        <x:v>19</x:v>
      </x:c>
      <x:c r="E60" s="25">
        <x:v>10</x:v>
      </x:c>
      <x:c r="F60" s="25">
        <x:v>3</x:v>
      </x:c>
      <x:c r="G60" s="25">
        <x:v>11</x:v>
      </x:c>
      <x:c r="H60" s="25">
        <x:v>7</x:v>
      </x:c>
      <x:c r="I60" s="25">
        <x:v>3</x:v>
      </x:c>
      <x:c r="J60" s="25">
        <x:v>4</x:v>
      </x:c>
      <x:c r="K60" s="25">
        <x:v>6</x:v>
      </x:c>
      <x:c r="L60" s="25">
        <x:v>5</x:v>
      </x:c>
      <x:c r="M60" s="25">
        <x:v>11</x:v>
      </x:c>
      <x:c r="N60" s="25">
        <x:v>8</x:v>
      </x:c>
      <x:c r="O60" s="25">
        <x:v>4</x:v>
      </x:c>
      <x:c r="P60" s="25">
        <x:v>1</x:v>
      </x:c>
      <x:c r="Q60" s="17">
        <x:v>0.3405</x:v>
      </x:c>
      <x:c r="R60" s="17">
        <x:v>0.3226</x:v>
      </x:c>
      <x:c r="S60" s="17">
        <x:v>0.1429</x:v>
      </x:c>
      <x:c r="T60" s="17">
        <x:v>0.3548</x:v>
      </x:c>
      <x:c r="U60" s="17">
        <x:v>0.2121</x:v>
      </x:c>
      <x:c r="V60" s="17">
        <x:v>0.0691</x:v>
      </x:c>
      <x:c r="W60" s="17">
        <x:v>0.1613</x:v>
      </x:c>
      <x:c r="X60" s="17">
        <x:v>0.3061</x:v>
      </x:c>
      <x:c r="Y60" s="17">
        <x:v>0.1792</x:v>
      </x:c>
      <x:c r="Z60" s="17">
        <x:v>0.4583</x:v>
      </x:c>
      <x:c r="AA60" s="17">
        <x:v>0.2581</x:v>
      </x:c>
      <x:c r="AB60" s="17">
        <x:v>0.1333</x:v>
      </x:c>
      <x:c r="AC60" s="20">
        <x:v>0.0179</x:v>
      </x:c>
      <x:c r="AD60" s="17">
        <x:v>0.2449</x:v>
      </x:c>
      <x:c r="AE60" s="17">
        <x:v>0.2449</x:v>
      </x:c>
      <x:c r="AF60" s="2" t="s">
        <x:v>34</x:v>
      </x:c>
    </x:row>
    <x:row r="61">
      <x:c r="A61" s="7" t="s">
        <x:v>150</x:v>
      </x:c>
      <x:c r="B61" s="7" t="s">
        <x:v>151</x:v>
      </x:c>
      <x:c r="C61" s="7"/>
      <x:c r="D61" s="9"/>
      <x:c r="E61" s="9"/>
      <x:c r="F61" s="9"/>
      <x:c r="G61" s="9"/>
      <x:c r="H61" s="9"/>
      <x:c r="I61" s="9"/>
      <x:c r="J61" s="9"/>
      <x:c r="K61" s="9"/>
      <x:c r="L61" s="9"/>
      <x:c r="M61" s="9"/>
      <x:c r="N61" s="9"/>
      <x:c r="O61" s="9"/>
      <x:c r="P61" s="9"/>
      <x:c r="Q61" s="13">
        <x:v>0</x:v>
      </x:c>
      <x:c r="R61" s="13">
        <x:v>0</x:v>
      </x:c>
      <x:c r="S61" s="13">
        <x:v>0</x:v>
      </x:c>
      <x:c r="T61" s="13">
        <x:v>0</x:v>
      </x:c>
      <x:c r="U61" s="13">
        <x:v>0</x:v>
      </x:c>
      <x:c r="V61" s="13">
        <x:v>0</x:v>
      </x:c>
      <x:c r="W61" s="13">
        <x:v>0</x:v>
      </x:c>
      <x:c r="X61" s="13">
        <x:v>0</x:v>
      </x:c>
      <x:c r="Y61" s="13">
        <x:v>0</x:v>
      </x:c>
      <x:c r="Z61" s="13">
        <x:v>0</x:v>
      </x:c>
      <x:c r="AA61" s="13">
        <x:v>0</x:v>
      </x:c>
      <x:c r="AB61" s="13">
        <x:v>0</x:v>
      </x:c>
      <x:c r="AC61" s="16">
        <x:v>0</x:v>
      </x:c>
      <x:c r="AF61" s="2" t="s">
        <x:v>34</x:v>
      </x:c>
    </x:row>
    <x:row r="62">
      <x:c r="A62" s="7" t="s">
        <x:v>152</x:v>
      </x:c>
      <x:c r="B62" s="7" t="s">
        <x:v>153</x:v>
      </x:c>
      <x:c r="C62" s="7"/>
      <x:c r="D62" s="25">
        <x:v>3</x:v>
      </x:c>
      <x:c r="E62" s="25">
        <x:v>1</x:v>
      </x:c>
      <x:c r="F62" s="25">
        <x:v>2</x:v>
      </x:c>
      <x:c r="G62" s="25">
        <x:v>1</x:v>
      </x:c>
      <x:c r="H62" s="9"/>
      <x:c r="I62" s="9"/>
      <x:c r="J62" s="25">
        <x:v>1</x:v>
      </x:c>
      <x:c r="K62" s="9"/>
      <x:c r="L62" s="9"/>
      <x:c r="M62" s="9"/>
      <x:c r="N62" s="9"/>
      <x:c r="O62" s="9"/>
      <x:c r="P62" s="9"/>
      <x:c r="Q62" s="17">
        <x:v>0.0538</x:v>
      </x:c>
      <x:c r="R62" s="23">
        <x:v>0.0385</x:v>
      </x:c>
      <x:c r="S62" s="13">
        <x:v>0</x:v>
      </x:c>
      <x:c r="T62" s="13">
        <x:v>0</x:v>
      </x:c>
      <x:c r="U62" s="13">
        <x:v>0</x:v>
      </x:c>
      <x:c r="V62" s="13">
        <x:v>0</x:v>
      </x:c>
      <x:c r="W62" s="13">
        <x:v>0</x:v>
      </x:c>
      <x:c r="X62" s="13">
        <x:v>0</x:v>
      </x:c>
      <x:c r="Y62" s="13">
        <x:v>0</x:v>
      </x:c>
      <x:c r="Z62" s="13">
        <x:v>0</x:v>
      </x:c>
      <x:c r="AA62" s="13">
        <x:v>0</x:v>
      </x:c>
      <x:c r="AB62" s="13">
        <x:v>0</x:v>
      </x:c>
      <x:c r="AC62" s="16">
        <x:v>0</x:v>
      </x:c>
      <x:c r="AD62" s="17">
        <x:v>0.0538</x:v>
      </x:c>
      <x:c r="AE62" s="17">
        <x:v>0.0538</x:v>
      </x:c>
      <x:c r="AF62" s="2" t="s">
        <x:v>34</x:v>
      </x:c>
    </x:row>
    <x:row r="63">
      <x:c r="A63" s="7" t="s">
        <x:v>154</x:v>
      </x:c>
      <x:c r="B63" s="7" t="s">
        <x:v>155</x:v>
      </x:c>
      <x:c r="C63" s="7"/>
      <x:c r="D63" s="25">
        <x:v>-1</x:v>
      </x:c>
      <x:c r="E63" s="9"/>
      <x:c r="F63" s="9"/>
      <x:c r="G63" s="9"/>
      <x:c r="H63" s="9"/>
      <x:c r="I63" s="9"/>
      <x:c r="J63" s="9"/>
      <x:c r="K63" s="9"/>
      <x:c r="L63" s="9"/>
      <x:c r="M63" s="9"/>
      <x:c r="N63" s="9"/>
      <x:c r="O63" s="9"/>
      <x:c r="P63" s="9"/>
      <x:c r="Q63" s="13">
        <x:v>0</x:v>
      </x:c>
      <x:c r="R63" s="13">
        <x:v>0</x:v>
      </x:c>
      <x:c r="S63" s="13">
        <x:v>0</x:v>
      </x:c>
      <x:c r="T63" s="13">
        <x:v>0</x:v>
      </x:c>
      <x:c r="U63" s="13">
        <x:v>0</x:v>
      </x:c>
      <x:c r="V63" s="13">
        <x:v>0</x:v>
      </x:c>
      <x:c r="W63" s="13">
        <x:v>0</x:v>
      </x:c>
      <x:c r="X63" s="13">
        <x:v>0</x:v>
      </x:c>
      <x:c r="Y63" s="13">
        <x:v>0</x:v>
      </x:c>
      <x:c r="Z63" s="13">
        <x:v>0</x:v>
      </x:c>
      <x:c r="AA63" s="13">
        <x:v>0</x:v>
      </x:c>
      <x:c r="AB63" s="13">
        <x:v>0</x:v>
      </x:c>
      <x:c r="AC63" s="16">
        <x:v>0</x:v>
      </x:c>
      <x:c r="AF63" s="2" t="s">
        <x:v>34</x:v>
      </x:c>
    </x:row>
    <x:row r="64">
      <x:c r="A64" s="7" t="s">
        <x:v>156</x:v>
      </x:c>
      <x:c r="B64" s="7" t="s">
        <x:v>157</x:v>
      </x:c>
      <x:c r="C64" s="7"/>
      <x:c r="D64" s="9"/>
      <x:c r="E64" s="9"/>
      <x:c r="F64" s="9"/>
      <x:c r="G64" s="9"/>
      <x:c r="H64" s="9"/>
      <x:c r="I64" s="9"/>
      <x:c r="J64" s="9"/>
      <x:c r="K64" s="9"/>
      <x:c r="L64" s="9"/>
      <x:c r="M64" s="9"/>
      <x:c r="N64" s="9"/>
      <x:c r="O64" s="9"/>
      <x:c r="P64" s="9"/>
      <x:c r="Q64" s="13">
        <x:v>0</x:v>
      </x:c>
      <x:c r="R64" s="13">
        <x:v>0</x:v>
      </x:c>
      <x:c r="S64" s="13">
        <x:v>0</x:v>
      </x:c>
      <x:c r="T64" s="13">
        <x:v>0</x:v>
      </x:c>
      <x:c r="U64" s="13">
        <x:v>0</x:v>
      </x:c>
      <x:c r="V64" s="13">
        <x:v>0</x:v>
      </x:c>
      <x:c r="W64" s="13">
        <x:v>0</x:v>
      </x:c>
      <x:c r="X64" s="13">
        <x:v>0</x:v>
      </x:c>
      <x:c r="Y64" s="13">
        <x:v>0</x:v>
      </x:c>
      <x:c r="Z64" s="13">
        <x:v>0</x:v>
      </x:c>
      <x:c r="AA64" s="13">
        <x:v>0</x:v>
      </x:c>
      <x:c r="AB64" s="13">
        <x:v>0</x:v>
      </x:c>
      <x:c r="AC64" s="16">
        <x:v>0</x:v>
      </x:c>
      <x:c r="AF64" s="2" t="s">
        <x:v>34</x:v>
      </x:c>
    </x:row>
    <x:row r="65">
      <x:c r="A65" s="7" t="s">
        <x:v>158</x:v>
      </x:c>
      <x:c r="B65" s="7" t="s">
        <x:v>159</x:v>
      </x:c>
      <x:c r="C65" s="7"/>
      <x:c r="D65" s="25">
        <x:v>21</x:v>
      </x:c>
      <x:c r="E65" s="25">
        <x:v>10</x:v>
      </x:c>
      <x:c r="F65" s="9"/>
      <x:c r="G65" s="25">
        <x:v>2</x:v>
      </x:c>
      <x:c r="H65" s="9"/>
      <x:c r="I65" s="25">
        <x:v>9</x:v>
      </x:c>
      <x:c r="J65" s="9"/>
      <x:c r="K65" s="9"/>
      <x:c r="L65" s="9"/>
      <x:c r="M65" s="9"/>
      <x:c r="N65" s="9"/>
      <x:c r="O65" s="9"/>
      <x:c r="P65" s="9"/>
      <x:c r="Q65" s="17">
        <x:v>0.3763</x:v>
      </x:c>
      <x:c r="R65" s="17">
        <x:v>0.3226</x:v>
      </x:c>
      <x:c r="S65" s="17">
        <x:v>0</x:v>
      </x:c>
      <x:c r="T65" s="17">
        <x:v>0.0645</x:v>
      </x:c>
      <x:c r="U65" s="17">
        <x:v>0</x:v>
      </x:c>
      <x:c r="V65" s="23">
        <x:v>0.4018</x:v>
      </x:c>
      <x:c r="W65" s="13">
        <x:v>0</x:v>
      </x:c>
      <x:c r="X65" s="13">
        <x:v>0</x:v>
      </x:c>
      <x:c r="Y65" s="13">
        <x:v>0</x:v>
      </x:c>
      <x:c r="Z65" s="13">
        <x:v>0</x:v>
      </x:c>
      <x:c r="AA65" s="13">
        <x:v>0</x:v>
      </x:c>
      <x:c r="AB65" s="13">
        <x:v>0</x:v>
      </x:c>
      <x:c r="AC65" s="16">
        <x:v>0</x:v>
      </x:c>
      <x:c r="AD65" s="17">
        <x:v>0.1527</x:v>
      </x:c>
      <x:c r="AE65" s="17">
        <x:v>0.1527</x:v>
      </x:c>
      <x:c r="AF65" s="2" t="s">
        <x:v>107</x:v>
      </x:c>
    </x:row>
    <x:row r="66">
      <x:c r="A66" s="7" t="s">
        <x:v>160</x:v>
      </x:c>
      <x:c r="B66" s="7" t="s">
        <x:v>161</x:v>
      </x:c>
      <x:c r="C66" s="7"/>
      <x:c r="D66" s="9"/>
      <x:c r="E66" s="9"/>
      <x:c r="F66" s="9"/>
      <x:c r="G66" s="9"/>
      <x:c r="H66" s="9"/>
      <x:c r="I66" s="9"/>
      <x:c r="J66" s="9"/>
      <x:c r="K66" s="9"/>
      <x:c r="L66" s="9"/>
      <x:c r="M66" s="9"/>
      <x:c r="N66" s="9"/>
      <x:c r="O66" s="9"/>
      <x:c r="P66" s="9"/>
      <x:c r="Q66" s="13">
        <x:v>0</x:v>
      </x:c>
      <x:c r="R66" s="13">
        <x:v>0</x:v>
      </x:c>
      <x:c r="S66" s="13">
        <x:v>0</x:v>
      </x:c>
      <x:c r="T66" s="13">
        <x:v>0</x:v>
      </x:c>
      <x:c r="U66" s="13">
        <x:v>0</x:v>
      </x:c>
      <x:c r="V66" s="13">
        <x:v>0</x:v>
      </x:c>
      <x:c r="W66" s="13">
        <x:v>0</x:v>
      </x:c>
      <x:c r="X66" s="13">
        <x:v>0</x:v>
      </x:c>
      <x:c r="Y66" s="13">
        <x:v>0</x:v>
      </x:c>
      <x:c r="Z66" s="13">
        <x:v>0</x:v>
      </x:c>
      <x:c r="AA66" s="13">
        <x:v>0</x:v>
      </x:c>
      <x:c r="AB66" s="13">
        <x:v>0</x:v>
      </x:c>
      <x:c r="AC66" s="16">
        <x:v>0</x:v>
      </x:c>
      <x:c r="AF66" s="2" t="s">
        <x:v>107</x:v>
      </x:c>
    </x:row>
    <x:row r="67">
      <x:c r="A67" s="7" t="s">
        <x:v>162</x:v>
      </x:c>
      <x:c r="B67" s="7" t="s">
        <x:v>163</x:v>
      </x:c>
      <x:c r="C67" s="7"/>
      <x:c r="D67" s="9"/>
      <x:c r="E67" s="25">
        <x:v>2</x:v>
      </x:c>
      <x:c r="F67" s="25">
        <x:v>1</x:v>
      </x:c>
      <x:c r="G67" s="9"/>
      <x:c r="H67" s="25">
        <x:v>3</x:v>
      </x:c>
      <x:c r="I67" s="9"/>
      <x:c r="J67" s="25">
        <x:v>2</x:v>
      </x:c>
      <x:c r="K67" s="9"/>
      <x:c r="L67" s="9"/>
      <x:c r="M67" s="9"/>
      <x:c r="N67" s="9"/>
      <x:c r="O67" s="25">
        <x:v>1</x:v>
      </x:c>
      <x:c r="P67" s="9"/>
      <x:c r="Q67" s="17">
        <x:v>0</x:v>
      </x:c>
      <x:c r="R67" s="17">
        <x:v>0.0645</x:v>
      </x:c>
      <x:c r="S67" s="17">
        <x:v>0.0476</x:v>
      </x:c>
      <x:c r="T67" s="17">
        <x:v>0</x:v>
      </x:c>
      <x:c r="U67" s="17">
        <x:v>0.0909</x:v>
      </x:c>
      <x:c r="V67" s="17">
        <x:v>0</x:v>
      </x:c>
      <x:c r="W67" s="17">
        <x:v>0.0806</x:v>
      </x:c>
      <x:c r="X67" s="17">
        <x:v>0</x:v>
      </x:c>
      <x:c r="Y67" s="17">
        <x:v>0</x:v>
      </x:c>
      <x:c r="Z67" s="17">
        <x:v>0</x:v>
      </x:c>
      <x:c r="AA67" s="17">
        <x:v>0</x:v>
      </x:c>
      <x:c r="AB67" s="17">
        <x:v>0.0333</x:v>
      </x:c>
      <x:c r="AC67" s="20">
        <x:v>0</x:v>
      </x:c>
      <x:c r="AD67" s="17">
        <x:v>0.0264</x:v>
      </x:c>
      <x:c r="AE67" s="17">
        <x:v>0.0264</x:v>
      </x:c>
      <x:c r="AF67" s="2" t="s">
        <x:v>107</x:v>
      </x:c>
    </x:row>
    <x:row r="68">
      <x:c r="A68" s="7" t="s">
        <x:v>164</x:v>
      </x:c>
      <x:c r="B68" s="7" t="s">
        <x:v>165</x:v>
      </x:c>
      <x:c r="C68" s="7"/>
      <x:c r="D68" s="9"/>
      <x:c r="E68" s="9"/>
      <x:c r="F68" s="9"/>
      <x:c r="G68" s="9"/>
      <x:c r="H68" s="9"/>
      <x:c r="I68" s="9"/>
      <x:c r="J68" s="9"/>
      <x:c r="K68" s="9"/>
      <x:c r="L68" s="9"/>
      <x:c r="M68" s="9"/>
      <x:c r="N68" s="9"/>
      <x:c r="O68" s="9"/>
      <x:c r="P68" s="9"/>
      <x:c r="Q68" s="13">
        <x:v>0</x:v>
      </x:c>
      <x:c r="R68" s="13">
        <x:v>0</x:v>
      </x:c>
      <x:c r="S68" s="13">
        <x:v>0</x:v>
      </x:c>
      <x:c r="T68" s="13">
        <x:v>0</x:v>
      </x:c>
      <x:c r="U68" s="13">
        <x:v>0</x:v>
      </x:c>
      <x:c r="V68" s="13">
        <x:v>0</x:v>
      </x:c>
      <x:c r="W68" s="13">
        <x:v>0</x:v>
      </x:c>
      <x:c r="X68" s="13">
        <x:v>0</x:v>
      </x:c>
      <x:c r="Y68" s="13">
        <x:v>0</x:v>
      </x:c>
      <x:c r="Z68" s="13">
        <x:v>0</x:v>
      </x:c>
      <x:c r="AA68" s="13">
        <x:v>0</x:v>
      </x:c>
      <x:c r="AB68" s="13">
        <x:v>0</x:v>
      </x:c>
      <x:c r="AC68" s="16">
        <x:v>0</x:v>
      </x:c>
      <x:c r="AF68" s="2" t="s">
        <x:v>107</x:v>
      </x:c>
    </x:row>
    <x:row r="69">
      <x:c r="A69" s="7" t="s">
        <x:v>166</x:v>
      </x:c>
      <x:c r="B69" s="7" t="s">
        <x:v>167</x:v>
      </x:c>
      <x:c r="C69" s="7"/>
      <x:c r="D69" s="9"/>
      <x:c r="E69" s="9"/>
      <x:c r="F69" s="9"/>
      <x:c r="G69" s="9"/>
      <x:c r="H69" s="9"/>
      <x:c r="I69" s="9"/>
      <x:c r="J69" s="9"/>
      <x:c r="K69" s="9"/>
      <x:c r="L69" s="9"/>
      <x:c r="M69" s="9"/>
      <x:c r="N69" s="9"/>
      <x:c r="O69" s="9"/>
      <x:c r="P69" s="9"/>
      <x:c r="Q69" s="13">
        <x:v>0</x:v>
      </x:c>
      <x:c r="R69" s="13">
        <x:v>0</x:v>
      </x:c>
      <x:c r="S69" s="13">
        <x:v>0</x:v>
      </x:c>
      <x:c r="T69" s="13">
        <x:v>0</x:v>
      </x:c>
      <x:c r="U69" s="13">
        <x:v>0</x:v>
      </x:c>
      <x:c r="V69" s="13">
        <x:v>0</x:v>
      </x:c>
      <x:c r="W69" s="13">
        <x:v>0</x:v>
      </x:c>
      <x:c r="X69" s="13">
        <x:v>0</x:v>
      </x:c>
      <x:c r="Y69" s="13">
        <x:v>0</x:v>
      </x:c>
      <x:c r="Z69" s="13">
        <x:v>0</x:v>
      </x:c>
      <x:c r="AA69" s="13">
        <x:v>0</x:v>
      </x:c>
      <x:c r="AB69" s="13">
        <x:v>0</x:v>
      </x:c>
      <x:c r="AC69" s="16">
        <x:v>0</x:v>
      </x:c>
      <x:c r="AF69" s="2" t="s">
        <x:v>107</x:v>
      </x:c>
    </x:row>
    <x:row r="70">
      <x:c r="A70" s="7" t="s">
        <x:v>168</x:v>
      </x:c>
      <x:c r="B70" s="7" t="s">
        <x:v>169</x:v>
      </x:c>
      <x:c r="C70" s="7"/>
      <x:c r="D70" s="25">
        <x:v>3</x:v>
      </x:c>
      <x:c r="E70" s="9"/>
      <x:c r="F70" s="25">
        <x:v>1</x:v>
      </x:c>
      <x:c r="G70" s="9"/>
      <x:c r="H70" s="9"/>
      <x:c r="I70" s="9"/>
      <x:c r="J70" s="25">
        <x:v>-1</x:v>
      </x:c>
      <x:c r="K70" s="25">
        <x:v>1</x:v>
      </x:c>
      <x:c r="L70" s="9"/>
      <x:c r="M70" s="9"/>
      <x:c r="N70" s="9"/>
      <x:c r="O70" s="9"/>
      <x:c r="P70" s="9"/>
      <x:c r="Q70" s="13">
        <x:v>0</x:v>
      </x:c>
      <x:c r="R70" s="13">
        <x:v>0</x:v>
      </x:c>
      <x:c r="S70" s="13">
        <x:v>0</x:v>
      </x:c>
      <x:c r="T70" s="13">
        <x:v>0</x:v>
      </x:c>
      <x:c r="U70" s="13">
        <x:v>0</x:v>
      </x:c>
      <x:c r="V70" s="13">
        <x:v>0</x:v>
      </x:c>
      <x:c r="W70" s="13">
        <x:v>0</x:v>
      </x:c>
      <x:c r="X70" s="13">
        <x:v>0</x:v>
      </x:c>
      <x:c r="Y70" s="13">
        <x:v>0</x:v>
      </x:c>
      <x:c r="Z70" s="13">
        <x:v>0</x:v>
      </x:c>
      <x:c r="AA70" s="13">
        <x:v>0</x:v>
      </x:c>
      <x:c r="AB70" s="13">
        <x:v>0</x:v>
      </x:c>
      <x:c r="AC70" s="16">
        <x:v>0</x:v>
      </x:c>
      <x:c r="AF70" s="2" t="s">
        <x:v>107</x:v>
      </x:c>
    </x:row>
    <x:row r="71">
      <x:c r="A71" s="7" t="s">
        <x:v>170</x:v>
      </x:c>
      <x:c r="B71" s="7" t="s">
        <x:v>157</x:v>
      </x:c>
      <x:c r="C71" s="7"/>
      <x:c r="D71" s="9"/>
      <x:c r="E71" s="9"/>
      <x:c r="F71" s="9"/>
      <x:c r="G71" s="9"/>
      <x:c r="H71" s="9"/>
      <x:c r="I71" s="9"/>
      <x:c r="J71" s="9"/>
      <x:c r="K71" s="9"/>
      <x:c r="L71" s="9"/>
      <x:c r="M71" s="9"/>
      <x:c r="N71" s="9"/>
      <x:c r="O71" s="9"/>
      <x:c r="P71" s="9"/>
      <x:c r="Q71" s="13">
        <x:v>0</x:v>
      </x:c>
      <x:c r="R71" s="13">
        <x:v>0</x:v>
      </x:c>
      <x:c r="S71" s="13">
        <x:v>0</x:v>
      </x:c>
      <x:c r="T71" s="13">
        <x:v>0</x:v>
      </x:c>
      <x:c r="U71" s="13">
        <x:v>0</x:v>
      </x:c>
      <x:c r="V71" s="13">
        <x:v>0</x:v>
      </x:c>
      <x:c r="W71" s="13">
        <x:v>0</x:v>
      </x:c>
      <x:c r="X71" s="13">
        <x:v>0</x:v>
      </x:c>
      <x:c r="Y71" s="13">
        <x:v>0</x:v>
      </x:c>
      <x:c r="Z71" s="13">
        <x:v>0</x:v>
      </x:c>
      <x:c r="AA71" s="13">
        <x:v>0</x:v>
      </x:c>
      <x:c r="AB71" s="13">
        <x:v>0</x:v>
      </x:c>
      <x:c r="AC71" s="16">
        <x:v>0</x:v>
      </x:c>
      <x:c r="AF71" s="2" t="s">
        <x:v>34</x:v>
      </x:c>
    </x:row>
    <x:row r="72">
      <x:c r="A72" s="7" t="s">
        <x:v>171</x:v>
      </x:c>
      <x:c r="B72" s="7" t="s">
        <x:v>172</x:v>
      </x:c>
      <x:c r="C72" s="7"/>
      <x:c r="D72" s="25">
        <x:v>17</x:v>
      </x:c>
      <x:c r="E72" s="25">
        <x:v>9</x:v>
      </x:c>
      <x:c r="F72" s="9"/>
      <x:c r="G72" s="25">
        <x:v>7</x:v>
      </x:c>
      <x:c r="H72" s="25">
        <x:v>4</x:v>
      </x:c>
      <x:c r="I72" s="25">
        <x:v>17</x:v>
      </x:c>
      <x:c r="J72" s="25">
        <x:v>6</x:v>
      </x:c>
      <x:c r="K72" s="25">
        <x:v>1</x:v>
      </x:c>
      <x:c r="L72" s="25">
        <x:v>2</x:v>
      </x:c>
      <x:c r="M72" s="25">
        <x:v>10</x:v>
      </x:c>
      <x:c r="N72" s="9"/>
      <x:c r="O72" s="25">
        <x:v>40</x:v>
      </x:c>
      <x:c r="P72" s="25">
        <x:v>1</x:v>
      </x:c>
      <x:c r="Q72" s="17">
        <x:v>0.3047</x:v>
      </x:c>
      <x:c r="R72" s="17">
        <x:v>0.2903</x:v>
      </x:c>
      <x:c r="S72" s="17">
        <x:v>0</x:v>
      </x:c>
      <x:c r="T72" s="17">
        <x:v>0.2258</x:v>
      </x:c>
      <x:c r="U72" s="17">
        <x:v>0.1212</x:v>
      </x:c>
      <x:c r="V72" s="17">
        <x:v>0.3917</x:v>
      </x:c>
      <x:c r="W72" s="17">
        <x:v>0.2419</x:v>
      </x:c>
      <x:c r="X72" s="17">
        <x:v>0.051</x:v>
      </x:c>
      <x:c r="Y72" s="17">
        <x:v>0.0717</x:v>
      </x:c>
      <x:c r="Z72" s="17">
        <x:v>0.4167</x:v>
      </x:c>
      <x:c r="AA72" s="17">
        <x:v>0</x:v>
      </x:c>
      <x:c r="AB72" s="17">
        <x:v>1.3333</x:v>
      </x:c>
      <x:c r="AC72" s="20">
        <x:v>0.0179</x:v>
      </x:c>
      <x:c r="AD72" s="17">
        <x:v>0.2874</x:v>
      </x:c>
      <x:c r="AE72" s="17">
        <x:v>0.2874</x:v>
      </x:c>
      <x:c r="AF72" s="2" t="s">
        <x:v>34</x:v>
      </x:c>
    </x:row>
    <x:row r="73">
      <x:c r="A73" s="7" t="s">
        <x:v>173</x:v>
      </x:c>
      <x:c r="B73" s="7" t="s">
        <x:v>174</x:v>
      </x:c>
      <x:c r="C73" s="7"/>
      <x:c r="D73" s="9"/>
      <x:c r="E73" s="9"/>
      <x:c r="F73" s="9"/>
      <x:c r="G73" s="9"/>
      <x:c r="H73" s="9"/>
      <x:c r="I73" s="9"/>
      <x:c r="J73" s="9"/>
      <x:c r="K73" s="9"/>
      <x:c r="L73" s="9"/>
      <x:c r="M73" s="9"/>
      <x:c r="N73" s="9"/>
      <x:c r="O73" s="9"/>
      <x:c r="P73" s="9"/>
      <x:c r="Q73" s="13">
        <x:v>0</x:v>
      </x:c>
      <x:c r="R73" s="13">
        <x:v>0</x:v>
      </x:c>
      <x:c r="S73" s="13">
        <x:v>0</x:v>
      </x:c>
      <x:c r="T73" s="13">
        <x:v>0</x:v>
      </x:c>
      <x:c r="U73" s="13">
        <x:v>0</x:v>
      </x:c>
      <x:c r="V73" s="13">
        <x:v>0</x:v>
      </x:c>
      <x:c r="W73" s="13">
        <x:v>0</x:v>
      </x:c>
      <x:c r="X73" s="13">
        <x:v>0</x:v>
      </x:c>
      <x:c r="Y73" s="13">
        <x:v>0</x:v>
      </x:c>
      <x:c r="Z73" s="13">
        <x:v>0</x:v>
      </x:c>
      <x:c r="AA73" s="13">
        <x:v>0</x:v>
      </x:c>
      <x:c r="AB73" s="13">
        <x:v>0</x:v>
      </x:c>
      <x:c r="AC73" s="16">
        <x:v>0</x:v>
      </x:c>
      <x:c r="AF73" s="2" t="s">
        <x:v>107</x:v>
      </x:c>
    </x:row>
    <x:row r="74">
      <x:c r="A74" s="7" t="s">
        <x:v>175</x:v>
      </x:c>
      <x:c r="B74" s="7" t="s">
        <x:v>176</x:v>
      </x:c>
      <x:c r="C74" s="7"/>
      <x:c r="D74" s="9"/>
      <x:c r="E74" s="9"/>
      <x:c r="F74" s="25">
        <x:v>1</x:v>
      </x:c>
      <x:c r="G74" s="9"/>
      <x:c r="H74" s="9"/>
      <x:c r="I74" s="25">
        <x:v>2</x:v>
      </x:c>
      <x:c r="J74" s="9"/>
      <x:c r="K74" s="9"/>
      <x:c r="L74" s="9"/>
      <x:c r="M74" s="25">
        <x:v>3</x:v>
      </x:c>
      <x:c r="N74" s="25">
        <x:v>1</x:v>
      </x:c>
      <x:c r="O74" s="25">
        <x:v>1</x:v>
      </x:c>
      <x:c r="P74" s="9"/>
      <x:c r="Q74" s="17">
        <x:v>0</x:v>
      </x:c>
      <x:c r="R74" s="17">
        <x:v>0</x:v>
      </x:c>
      <x:c r="S74" s="17">
        <x:v>0.0476</x:v>
      </x:c>
      <x:c r="T74" s="17">
        <x:v>0</x:v>
      </x:c>
      <x:c r="U74" s="17">
        <x:v>0</x:v>
      </x:c>
      <x:c r="V74" s="17">
        <x:v>0.0461</x:v>
      </x:c>
      <x:c r="W74" s="17">
        <x:v>0</x:v>
      </x:c>
      <x:c r="X74" s="17">
        <x:v>0</x:v>
      </x:c>
      <x:c r="Y74" s="17">
        <x:v>0</x:v>
      </x:c>
      <x:c r="Z74" s="17">
        <x:v>0.125</x:v>
      </x:c>
      <x:c r="AA74" s="17">
        <x:v>0.0323</x:v>
      </x:c>
      <x:c r="AB74" s="17">
        <x:v>0.0333</x:v>
      </x:c>
      <x:c r="AC74" s="20">
        <x:v>0</x:v>
      </x:c>
      <x:c r="AD74" s="17">
        <x:v>0.0237</x:v>
      </x:c>
      <x:c r="AE74" s="17">
        <x:v>0.0237</x:v>
      </x:c>
      <x:c r="AF74" s="2" t="s">
        <x:v>34</x:v>
      </x:c>
    </x:row>
    <x:row r="75">
      <x:c r="A75" s="7" t="s">
        <x:v>177</x:v>
      </x:c>
      <x:c r="B75" s="7" t="s">
        <x:v>178</x:v>
      </x:c>
      <x:c r="C75" s="7"/>
      <x:c r="D75" s="25">
        <x:v>5</x:v>
      </x:c>
      <x:c r="E75" s="9"/>
      <x:c r="F75" s="25">
        <x:v>-1</x:v>
      </x:c>
      <x:c r="G75" s="25">
        <x:v>1</x:v>
      </x:c>
      <x:c r="H75" s="9"/>
      <x:c r="I75" s="9"/>
      <x:c r="J75" s="9"/>
      <x:c r="K75" s="9"/>
      <x:c r="L75" s="9"/>
      <x:c r="M75" s="9"/>
      <x:c r="N75" s="25">
        <x:v>20</x:v>
      </x:c>
      <x:c r="O75" s="9"/>
      <x:c r="P75" s="9"/>
      <x:c r="Q75" s="17">
        <x:v>0.0896</x:v>
      </x:c>
      <x:c r="R75" s="17">
        <x:v>0</x:v>
      </x:c>
      <x:c r="S75" s="17">
        <x:v>-0.0476</x:v>
      </x:c>
      <x:c r="T75" s="17">
        <x:v>0.0323</x:v>
      </x:c>
      <x:c r="U75" s="17">
        <x:v>0</x:v>
      </x:c>
      <x:c r="V75" s="17">
        <x:v>0</x:v>
      </x:c>
      <x:c r="W75" s="17">
        <x:v>0</x:v>
      </x:c>
      <x:c r="X75" s="17">
        <x:v>0</x:v>
      </x:c>
      <x:c r="Y75" s="17">
        <x:v>0</x:v>
      </x:c>
      <x:c r="Z75" s="17">
        <x:v>0</x:v>
      </x:c>
      <x:c r="AA75" s="17">
        <x:v>0.6452</x:v>
      </x:c>
      <x:c r="AB75" s="17">
        <x:v>0</x:v>
      </x:c>
      <x:c r="AC75" s="20">
        <x:v>0</x:v>
      </x:c>
      <x:c r="AD75" s="17">
        <x:v>0.06</x:v>
      </x:c>
      <x:c r="AE75" s="17">
        <x:v>0.06</x:v>
      </x:c>
      <x:c r="AF75" s="2" t="s">
        <x:v>34</x:v>
      </x:c>
    </x:row>
    <x:row r="76">
      <x:c r="A76" s="7" t="s">
        <x:v>179</x:v>
      </x:c>
      <x:c r="B76" s="7" t="s">
        <x:v>180</x:v>
      </x:c>
      <x:c r="C76" s="7"/>
      <x:c r="D76" s="9"/>
      <x:c r="E76" s="9"/>
      <x:c r="F76" s="25">
        <x:v>1</x:v>
      </x:c>
      <x:c r="G76" s="25">
        <x:v>1</x:v>
      </x:c>
      <x:c r="H76" s="9"/>
      <x:c r="I76" s="9"/>
      <x:c r="J76" s="9"/>
      <x:c r="K76" s="9"/>
      <x:c r="L76" s="9"/>
      <x:c r="M76" s="9"/>
      <x:c r="N76" s="9"/>
      <x:c r="O76" s="9"/>
      <x:c r="P76" s="9"/>
      <x:c r="Q76" s="13">
        <x:v>0</x:v>
      </x:c>
      <x:c r="R76" s="13">
        <x:v>0</x:v>
      </x:c>
      <x:c r="S76" s="13">
        <x:v>0</x:v>
      </x:c>
      <x:c r="T76" s="13">
        <x:v>0</x:v>
      </x:c>
      <x:c r="U76" s="13">
        <x:v>0</x:v>
      </x:c>
      <x:c r="V76" s="13">
        <x:v>0</x:v>
      </x:c>
      <x:c r="W76" s="13">
        <x:v>0</x:v>
      </x:c>
      <x:c r="X76" s="13">
        <x:v>0</x:v>
      </x:c>
      <x:c r="Y76" s="13">
        <x:v>0</x:v>
      </x:c>
      <x:c r="Z76" s="13">
        <x:v>0</x:v>
      </x:c>
      <x:c r="AA76" s="13">
        <x:v>0</x:v>
      </x:c>
      <x:c r="AB76" s="13">
        <x:v>0</x:v>
      </x:c>
      <x:c r="AC76" s="16">
        <x:v>0</x:v>
      </x:c>
      <x:c r="AF76" s="2" t="s">
        <x:v>34</x:v>
      </x:c>
    </x:row>
    <x:row r="77">
      <x:c r="A77" s="7" t="s">
        <x:v>181</x:v>
      </x:c>
      <x:c r="B77" s="7" t="s">
        <x:v>182</x:v>
      </x:c>
      <x:c r="C77" s="7"/>
      <x:c r="D77" s="9"/>
      <x:c r="E77" s="9"/>
      <x:c r="F77" s="9"/>
      <x:c r="G77" s="9"/>
      <x:c r="H77" s="9"/>
      <x:c r="I77" s="9"/>
      <x:c r="J77" s="9"/>
      <x:c r="K77" s="9"/>
      <x:c r="L77" s="9"/>
      <x:c r="M77" s="9"/>
      <x:c r="N77" s="9"/>
      <x:c r="O77" s="9"/>
      <x:c r="P77" s="9"/>
      <x:c r="Q77" s="13">
        <x:v>0</x:v>
      </x:c>
      <x:c r="R77" s="13">
        <x:v>0</x:v>
      </x:c>
      <x:c r="S77" s="13">
        <x:v>0</x:v>
      </x:c>
      <x:c r="T77" s="13">
        <x:v>0</x:v>
      </x:c>
      <x:c r="U77" s="13">
        <x:v>0</x:v>
      </x:c>
      <x:c r="V77" s="13">
        <x:v>0</x:v>
      </x:c>
      <x:c r="W77" s="13">
        <x:v>0</x:v>
      </x:c>
      <x:c r="X77" s="13">
        <x:v>0</x:v>
      </x:c>
      <x:c r="Y77" s="13">
        <x:v>0</x:v>
      </x:c>
      <x:c r="Z77" s="13">
        <x:v>0</x:v>
      </x:c>
      <x:c r="AA77" s="13">
        <x:v>0</x:v>
      </x:c>
      <x:c r="AB77" s="13">
        <x:v>0</x:v>
      </x:c>
      <x:c r="AC77" s="16">
        <x:v>0</x:v>
      </x:c>
      <x:c r="AF77" s="2" t="s">
        <x:v>34</x:v>
      </x:c>
    </x:row>
    <x:row r="78">
      <x:c r="A78" s="7" t="s">
        <x:v>183</x:v>
      </x:c>
      <x:c r="B78" s="7" t="s">
        <x:v>184</x:v>
      </x:c>
      <x:c r="C78" s="7"/>
      <x:c r="D78" s="9"/>
      <x:c r="E78" s="9"/>
      <x:c r="F78" s="9"/>
      <x:c r="G78" s="9"/>
      <x:c r="H78" s="9"/>
      <x:c r="I78" s="9"/>
      <x:c r="J78" s="9"/>
      <x:c r="K78" s="9"/>
      <x:c r="L78" s="9"/>
      <x:c r="M78" s="9"/>
      <x:c r="N78" s="9"/>
      <x:c r="O78" s="9"/>
      <x:c r="P78" s="9"/>
      <x:c r="Q78" s="17">
        <x:v>0</x:v>
      </x:c>
      <x:c r="R78" s="17">
        <x:v>0</x:v>
      </x:c>
      <x:c r="S78" s="17">
        <x:v>0</x:v>
      </x:c>
      <x:c r="T78" s="17">
        <x:v>0</x:v>
      </x:c>
      <x:c r="U78" s="17">
        <x:v>0</x:v>
      </x:c>
      <x:c r="V78" s="17">
        <x:v>0</x:v>
      </x:c>
      <x:c r="W78" s="17">
        <x:v>0</x:v>
      </x:c>
      <x:c r="X78" s="17">
        <x:v>0</x:v>
      </x:c>
      <x:c r="Y78" s="17">
        <x:v>0</x:v>
      </x:c>
      <x:c r="Z78" s="17">
        <x:v>0</x:v>
      </x:c>
      <x:c r="AA78" s="17">
        <x:v>0</x:v>
      </x:c>
      <x:c r="AB78" s="17">
        <x:v>0</x:v>
      </x:c>
      <x:c r="AC78" s="20">
        <x:v>0</x:v>
      </x:c>
      <x:c r="AF78" s="2" t="s">
        <x:v>107</x:v>
      </x:c>
    </x:row>
    <x:row r="79">
      <x:c r="A79" s="6" t="s">
        <x:v>185</x:v>
      </x:c>
      <x:c r="B79" s="7" t="s">
        <x:v>186</x:v>
      </x:c>
      <x:c r="C79" s="7"/>
      <x:c r="D79" s="9"/>
      <x:c r="E79" s="9"/>
      <x:c r="F79" s="9"/>
      <x:c r="G79" s="9"/>
      <x:c r="H79" s="9"/>
      <x:c r="I79" s="9"/>
      <x:c r="J79" s="9"/>
      <x:c r="K79" s="9"/>
      <x:c r="L79" s="9"/>
      <x:c r="M79" s="9"/>
      <x:c r="N79" s="9"/>
      <x:c r="O79" s="9"/>
      <x:c r="P79" s="9"/>
      <x:c r="Q79" s="13">
        <x:v>0</x:v>
      </x:c>
      <x:c r="R79" s="13">
        <x:v>0</x:v>
      </x:c>
      <x:c r="S79" s="13">
        <x:v>0</x:v>
      </x:c>
      <x:c r="T79" s="13">
        <x:v>0</x:v>
      </x:c>
      <x:c r="U79" s="13">
        <x:v>0</x:v>
      </x:c>
      <x:c r="V79" s="13">
        <x:v>0</x:v>
      </x:c>
      <x:c r="W79" s="13">
        <x:v>0</x:v>
      </x:c>
      <x:c r="X79" s="13">
        <x:v>0</x:v>
      </x:c>
      <x:c r="Y79" s="13">
        <x:v>0</x:v>
      </x:c>
      <x:c r="Z79" s="13">
        <x:v>0</x:v>
      </x:c>
      <x:c r="AA79" s="13">
        <x:v>0</x:v>
      </x:c>
      <x:c r="AB79" s="13">
        <x:v>0</x:v>
      </x:c>
      <x:c r="AC79" s="16">
        <x:v>0</x:v>
      </x:c>
      <x:c r="AF79" s="2" t="s">
        <x:v>107</x:v>
      </x:c>
    </x:row>
    <x:row r="80">
      <x:c r="A80" s="6" t="s">
        <x:v>187</x:v>
      </x:c>
      <x:c r="B80" s="7" t="s">
        <x:v>188</x:v>
      </x:c>
      <x:c r="C80" s="7"/>
      <x:c r="D80" s="9"/>
      <x:c r="E80" s="9"/>
      <x:c r="F80" s="9"/>
      <x:c r="G80" s="9"/>
      <x:c r="H80" s="9"/>
      <x:c r="I80" s="9"/>
      <x:c r="J80" s="9"/>
      <x:c r="K80" s="9"/>
      <x:c r="L80" s="9"/>
      <x:c r="M80" s="9"/>
      <x:c r="N80" s="9"/>
      <x:c r="O80" s="9"/>
      <x:c r="P80" s="9"/>
      <x:c r="Q80" s="13">
        <x:v>0</x:v>
      </x:c>
      <x:c r="R80" s="13">
        <x:v>0</x:v>
      </x:c>
      <x:c r="S80" s="13">
        <x:v>0</x:v>
      </x:c>
      <x:c r="T80" s="13">
        <x:v>0</x:v>
      </x:c>
      <x:c r="U80" s="13">
        <x:v>0</x:v>
      </x:c>
      <x:c r="V80" s="13">
        <x:v>0</x:v>
      </x:c>
      <x:c r="W80" s="13">
        <x:v>0</x:v>
      </x:c>
      <x:c r="X80" s="13">
        <x:v>0</x:v>
      </x:c>
      <x:c r="Y80" s="13">
        <x:v>0</x:v>
      </x:c>
      <x:c r="Z80" s="13">
        <x:v>0</x:v>
      </x:c>
      <x:c r="AA80" s="13">
        <x:v>0</x:v>
      </x:c>
      <x:c r="AB80" s="13">
        <x:v>0</x:v>
      </x:c>
      <x:c r="AC80" s="16">
        <x:v>0</x:v>
      </x:c>
      <x:c r="AF80" s="2" t="s">
        <x:v>107</x:v>
      </x:c>
    </x:row>
    <x:row r="81">
      <x:c r="A81" s="6" t="s">
        <x:v>189</x:v>
      </x:c>
      <x:c r="B81" s="7" t="s">
        <x:v>46</x:v>
      </x:c>
      <x:c r="C81" s="7"/>
      <x:c r="D81" s="9"/>
      <x:c r="E81" s="9"/>
      <x:c r="F81" s="9"/>
      <x:c r="G81" s="9"/>
      <x:c r="H81" s="9"/>
      <x:c r="I81" s="9"/>
      <x:c r="J81" s="9"/>
      <x:c r="K81" s="9"/>
      <x:c r="L81" s="9"/>
      <x:c r="M81" s="9"/>
      <x:c r="N81" s="9"/>
      <x:c r="O81" s="9"/>
      <x:c r="P81" s="9"/>
      <x:c r="Q81" s="13">
        <x:v>0</x:v>
      </x:c>
      <x:c r="R81" s="13">
        <x:v>0</x:v>
      </x:c>
      <x:c r="S81" s="13">
        <x:v>0</x:v>
      </x:c>
      <x:c r="T81" s="13">
        <x:v>0</x:v>
      </x:c>
      <x:c r="U81" s="13">
        <x:v>0</x:v>
      </x:c>
      <x:c r="V81" s="13">
        <x:v>0</x:v>
      </x:c>
      <x:c r="W81" s="13">
        <x:v>0</x:v>
      </x:c>
      <x:c r="X81" s="13">
        <x:v>0</x:v>
      </x:c>
      <x:c r="Y81" s="13">
        <x:v>0</x:v>
      </x:c>
      <x:c r="Z81" s="13">
        <x:v>0</x:v>
      </x:c>
      <x:c r="AA81" s="13">
        <x:v>0</x:v>
      </x:c>
      <x:c r="AB81" s="13">
        <x:v>0</x:v>
      </x:c>
      <x:c r="AC81" s="16">
        <x:v>0</x:v>
      </x:c>
      <x:c r="AF81" s="2" t="s">
        <x:v>107</x:v>
      </x:c>
    </x:row>
    <x:row r="82">
      <x:c r="A82" s="6" t="s">
        <x:v>190</x:v>
      </x:c>
      <x:c r="B82" s="7" t="s">
        <x:v>48</x:v>
      </x:c>
      <x:c r="C82" s="7"/>
      <x:c r="D82" s="9"/>
      <x:c r="E82" s="9"/>
      <x:c r="F82" s="9"/>
      <x:c r="G82" s="9"/>
      <x:c r="H82" s="9"/>
      <x:c r="I82" s="9"/>
      <x:c r="J82" s="9"/>
      <x:c r="K82" s="9"/>
      <x:c r="L82" s="9"/>
      <x:c r="M82" s="9"/>
      <x:c r="N82" s="9"/>
      <x:c r="O82" s="9"/>
      <x:c r="P82" s="9"/>
      <x:c r="Q82" s="13">
        <x:v>0</x:v>
      </x:c>
      <x:c r="R82" s="13">
        <x:v>0</x:v>
      </x:c>
      <x:c r="S82" s="13">
        <x:v>0</x:v>
      </x:c>
      <x:c r="T82" s="13">
        <x:v>0</x:v>
      </x:c>
      <x:c r="U82" s="13">
        <x:v>0</x:v>
      </x:c>
      <x:c r="V82" s="13">
        <x:v>0</x:v>
      </x:c>
      <x:c r="W82" s="13">
        <x:v>0</x:v>
      </x:c>
      <x:c r="X82" s="13">
        <x:v>0</x:v>
      </x:c>
      <x:c r="Y82" s="13">
        <x:v>0</x:v>
      </x:c>
      <x:c r="Z82" s="13">
        <x:v>0</x:v>
      </x:c>
      <x:c r="AA82" s="13">
        <x:v>0</x:v>
      </x:c>
      <x:c r="AB82" s="13">
        <x:v>0</x:v>
      </x:c>
      <x:c r="AC82" s="16">
        <x:v>0</x:v>
      </x:c>
      <x:c r="AF82" s="2" t="s">
        <x:v>107</x:v>
      </x:c>
    </x:row>
    <x:row r="83">
      <x:c r="A83" s="6" t="s">
        <x:v>191</x:v>
      </x:c>
      <x:c r="B83" s="7" t="s">
        <x:v>192</x:v>
      </x:c>
      <x:c r="C83" s="7"/>
      <x:c r="D83" s="9"/>
      <x:c r="E83" s="9"/>
      <x:c r="F83" s="9"/>
      <x:c r="G83" s="9"/>
      <x:c r="H83" s="9"/>
      <x:c r="I83" s="9"/>
      <x:c r="J83" s="9"/>
      <x:c r="K83" s="9"/>
      <x:c r="L83" s="9"/>
      <x:c r="M83" s="9"/>
      <x:c r="N83" s="9"/>
      <x:c r="O83" s="9"/>
      <x:c r="P83" s="9"/>
      <x:c r="Q83" s="13">
        <x:v>0</x:v>
      </x:c>
      <x:c r="R83" s="13">
        <x:v>0</x:v>
      </x:c>
      <x:c r="S83" s="13">
        <x:v>0</x:v>
      </x:c>
      <x:c r="T83" s="13">
        <x:v>0</x:v>
      </x:c>
      <x:c r="U83" s="13">
        <x:v>0</x:v>
      </x:c>
      <x:c r="V83" s="13">
        <x:v>0</x:v>
      </x:c>
      <x:c r="W83" s="13">
        <x:v>0</x:v>
      </x:c>
      <x:c r="X83" s="13">
        <x:v>0</x:v>
      </x:c>
      <x:c r="Y83" s="13">
        <x:v>0</x:v>
      </x:c>
      <x:c r="Z83" s="13">
        <x:v>0</x:v>
      </x:c>
      <x:c r="AA83" s="13">
        <x:v>0</x:v>
      </x:c>
      <x:c r="AB83" s="13">
        <x:v>0</x:v>
      </x:c>
      <x:c r="AC83" s="16">
        <x:v>0</x:v>
      </x:c>
      <x:c r="AF83" s="2" t="s">
        <x:v>107</x:v>
      </x:c>
    </x:row>
    <x:row r="84">
      <x:c r="A84" s="6" t="s">
        <x:v>193</x:v>
      </x:c>
      <x:c r="B84" s="7" t="s">
        <x:v>194</x:v>
      </x:c>
      <x:c r="C84" s="7"/>
      <x:c r="D84" s="9"/>
      <x:c r="E84" s="9"/>
      <x:c r="F84" s="9"/>
      <x:c r="G84" s="9"/>
      <x:c r="H84" s="9"/>
      <x:c r="I84" s="9"/>
      <x:c r="J84" s="9"/>
      <x:c r="K84" s="9"/>
      <x:c r="L84" s="9"/>
      <x:c r="M84" s="9"/>
      <x:c r="N84" s="9"/>
      <x:c r="O84" s="9"/>
      <x:c r="P84" s="9"/>
      <x:c r="Q84" s="13">
        <x:v>0</x:v>
      </x:c>
      <x:c r="R84" s="13">
        <x:v>0</x:v>
      </x:c>
      <x:c r="S84" s="13">
        <x:v>0</x:v>
      </x:c>
      <x:c r="T84" s="13">
        <x:v>0</x:v>
      </x:c>
      <x:c r="U84" s="13">
        <x:v>0</x:v>
      </x:c>
      <x:c r="V84" s="13">
        <x:v>0</x:v>
      </x:c>
      <x:c r="W84" s="13">
        <x:v>0</x:v>
      </x:c>
      <x:c r="X84" s="13">
        <x:v>0</x:v>
      </x:c>
      <x:c r="Y84" s="13">
        <x:v>0</x:v>
      </x:c>
      <x:c r="Z84" s="13">
        <x:v>0</x:v>
      </x:c>
      <x:c r="AA84" s="13">
        <x:v>0</x:v>
      </x:c>
      <x:c r="AB84" s="13">
        <x:v>0</x:v>
      </x:c>
      <x:c r="AC84" s="16">
        <x:v>0</x:v>
      </x:c>
      <x:c r="AF84" s="2" t="s">
        <x:v>107</x:v>
      </x:c>
    </x:row>
    <x:row r="85">
      <x:c r="A85" s="7" t="s">
        <x:v>195</x:v>
      </x:c>
      <x:c r="B85" s="7" t="s">
        <x:v>196</x:v>
      </x:c>
      <x:c r="C85" s="7"/>
      <x:c r="D85" s="25">
        <x:v>6</x:v>
      </x:c>
      <x:c r="E85" s="25">
        <x:v>17</x:v>
      </x:c>
      <x:c r="F85" s="25">
        <x:v>21</x:v>
      </x:c>
      <x:c r="G85" s="25">
        <x:v>14</x:v>
      </x:c>
      <x:c r="H85" s="25">
        <x:v>8</x:v>
      </x:c>
      <x:c r="I85" s="25">
        <x:v>24</x:v>
      </x:c>
      <x:c r="J85" s="25">
        <x:v>14</x:v>
      </x:c>
      <x:c r="K85" s="25">
        <x:v>4</x:v>
      </x:c>
      <x:c r="L85" s="9"/>
      <x:c r="M85" s="25">
        <x:v>15</x:v>
      </x:c>
      <x:c r="N85" s="25">
        <x:v>3</x:v>
      </x:c>
      <x:c r="O85" s="25">
        <x:v>8</x:v>
      </x:c>
      <x:c r="P85" s="25">
        <x:v>16</x:v>
      </x:c>
      <x:c r="Q85" s="17">
        <x:v>0.1075</x:v>
      </x:c>
      <x:c r="R85" s="17">
        <x:v>0.5484</x:v>
      </x:c>
      <x:c r="S85" s="17">
        <x:v>1</x:v>
      </x:c>
      <x:c r="T85" s="17">
        <x:v>0.4516</x:v>
      </x:c>
      <x:c r="U85" s="17">
        <x:v>0.2424</x:v>
      </x:c>
      <x:c r="V85" s="17">
        <x:v>0.553</x:v>
      </x:c>
      <x:c r="W85" s="17">
        <x:v>0.5645</x:v>
      </x:c>
      <x:c r="X85" s="17">
        <x:v>0.2041</x:v>
      </x:c>
      <x:c r="Y85" s="17">
        <x:v>0</x:v>
      </x:c>
      <x:c r="Z85" s="17">
        <x:v>0.625</x:v>
      </x:c>
      <x:c r="AA85" s="17">
        <x:v>0.0968</x:v>
      </x:c>
      <x:c r="AB85" s="17">
        <x:v>0.2667</x:v>
      </x:c>
      <x:c r="AC85" s="20">
        <x:v>0.2867</x:v>
      </x:c>
      <x:c r="AD85" s="17">
        <x:v>0.3883</x:v>
      </x:c>
      <x:c r="AE85" s="17">
        <x:v>0.3883</x:v>
      </x:c>
      <x:c r="AF85" s="2" t="s">
        <x:v>34</x:v>
      </x:c>
    </x:row>
    <x:row r="86">
      <x:c r="A86" s="7" t="s">
        <x:v>197</x:v>
      </x:c>
      <x:c r="B86" s="7" t="s">
        <x:v>198</x:v>
      </x:c>
      <x:c r="C86" s="7"/>
      <x:c r="D86" s="9"/>
      <x:c r="E86" s="9"/>
      <x:c r="F86" s="9"/>
      <x:c r="G86" s="9"/>
      <x:c r="H86" s="9"/>
      <x:c r="I86" s="9"/>
      <x:c r="J86" s="9"/>
      <x:c r="K86" s="9"/>
      <x:c r="L86" s="9"/>
      <x:c r="M86" s="9"/>
      <x:c r="N86" s="9"/>
      <x:c r="O86" s="9"/>
      <x:c r="P86" s="9"/>
      <x:c r="Q86" s="13">
        <x:v>0</x:v>
      </x:c>
      <x:c r="R86" s="13">
        <x:v>0</x:v>
      </x:c>
      <x:c r="S86" s="13">
        <x:v>0</x:v>
      </x:c>
      <x:c r="T86" s="13">
        <x:v>0</x:v>
      </x:c>
      <x:c r="U86" s="13">
        <x:v>0</x:v>
      </x:c>
      <x:c r="V86" s="13">
        <x:v>0</x:v>
      </x:c>
      <x:c r="W86" s="13">
        <x:v>0</x:v>
      </x:c>
      <x:c r="X86" s="13">
        <x:v>0</x:v>
      </x:c>
      <x:c r="Y86" s="13">
        <x:v>0</x:v>
      </x:c>
      <x:c r="Z86" s="13">
        <x:v>0</x:v>
      </x:c>
      <x:c r="AA86" s="13">
        <x:v>0</x:v>
      </x:c>
      <x:c r="AB86" s="13">
        <x:v>0</x:v>
      </x:c>
      <x:c r="AC86" s="16">
        <x:v>0</x:v>
      </x:c>
      <x:c r="AF86" s="2" t="s">
        <x:v>34</x:v>
      </x:c>
    </x:row>
    <x:row r="87">
      <x:c r="A87" s="7" t="s">
        <x:v>199</x:v>
      </x:c>
      <x:c r="B87" s="7" t="s">
        <x:v>200</x:v>
      </x:c>
      <x:c r="C87" s="7"/>
      <x:c r="D87" s="9"/>
      <x:c r="E87" s="9"/>
      <x:c r="F87" s="9"/>
      <x:c r="G87" s="9"/>
      <x:c r="H87" s="9"/>
      <x:c r="I87" s="9"/>
      <x:c r="J87" s="9"/>
      <x:c r="K87" s="9"/>
      <x:c r="L87" s="9"/>
      <x:c r="M87" s="9"/>
      <x:c r="N87" s="9"/>
      <x:c r="O87" s="9"/>
      <x:c r="P87" s="9"/>
      <x:c r="Q87" s="13">
        <x:v>0</x:v>
      </x:c>
      <x:c r="R87" s="13">
        <x:v>0</x:v>
      </x:c>
      <x:c r="S87" s="13">
        <x:v>0</x:v>
      </x:c>
      <x:c r="T87" s="13">
        <x:v>0</x:v>
      </x:c>
      <x:c r="U87" s="13">
        <x:v>0</x:v>
      </x:c>
      <x:c r="V87" s="13">
        <x:v>0</x:v>
      </x:c>
      <x:c r="W87" s="13">
        <x:v>0</x:v>
      </x:c>
      <x:c r="X87" s="13">
        <x:v>0</x:v>
      </x:c>
      <x:c r="Y87" s="13">
        <x:v>0</x:v>
      </x:c>
      <x:c r="Z87" s="13">
        <x:v>0</x:v>
      </x:c>
      <x:c r="AA87" s="13">
        <x:v>0</x:v>
      </x:c>
      <x:c r="AB87" s="13">
        <x:v>0</x:v>
      </x:c>
      <x:c r="AC87" s="16">
        <x:v>0</x:v>
      </x:c>
      <x:c r="AF87" s="2" t="s">
        <x:v>34</x:v>
      </x:c>
    </x:row>
    <x:row r="88">
      <x:c r="A88" s="7" t="s">
        <x:v>201</x:v>
      </x:c>
      <x:c r="B88" s="7" t="s">
        <x:v>202</x:v>
      </x:c>
      <x:c r="C88" s="7"/>
      <x:c r="D88" s="9"/>
      <x:c r="E88" s="9"/>
      <x:c r="F88" s="9"/>
      <x:c r="G88" s="9"/>
      <x:c r="H88" s="9"/>
      <x:c r="I88" s="9"/>
      <x:c r="J88" s="9"/>
      <x:c r="K88" s="9"/>
      <x:c r="L88" s="9"/>
      <x:c r="M88" s="9"/>
      <x:c r="N88" s="9"/>
      <x:c r="O88" s="9"/>
      <x:c r="P88" s="9"/>
      <x:c r="Q88" s="13">
        <x:v>0</x:v>
      </x:c>
      <x:c r="R88" s="13">
        <x:v>0</x:v>
      </x:c>
      <x:c r="S88" s="13">
        <x:v>0</x:v>
      </x:c>
      <x:c r="T88" s="13">
        <x:v>0</x:v>
      </x:c>
      <x:c r="U88" s="13">
        <x:v>0</x:v>
      </x:c>
      <x:c r="V88" s="13">
        <x:v>0</x:v>
      </x:c>
      <x:c r="W88" s="13">
        <x:v>0</x:v>
      </x:c>
      <x:c r="X88" s="13">
        <x:v>0</x:v>
      </x:c>
      <x:c r="Y88" s="13">
        <x:v>0</x:v>
      </x:c>
      <x:c r="Z88" s="13">
        <x:v>0</x:v>
      </x:c>
      <x:c r="AA88" s="13">
        <x:v>0</x:v>
      </x:c>
      <x:c r="AB88" s="13">
        <x:v>0</x:v>
      </x:c>
      <x:c r="AC88" s="16">
        <x:v>0</x:v>
      </x:c>
      <x:c r="AF88" s="2" t="s">
        <x:v>34</x:v>
      </x:c>
    </x:row>
    <x:row r="89">
      <x:c r="A89" s="7" t="s">
        <x:v>203</x:v>
      </x:c>
      <x:c r="B89" s="7" t="s">
        <x:v>204</x:v>
      </x:c>
      <x:c r="C89" s="7"/>
      <x:c r="D89" s="9"/>
      <x:c r="E89" s="9"/>
      <x:c r="F89" s="9"/>
      <x:c r="G89" s="9"/>
      <x:c r="H89" s="9"/>
      <x:c r="I89" s="9"/>
      <x:c r="J89" s="9"/>
      <x:c r="K89" s="9"/>
      <x:c r="L89" s="9"/>
      <x:c r="M89" s="9"/>
      <x:c r="N89" s="9"/>
      <x:c r="O89" s="9"/>
      <x:c r="P89" s="9"/>
      <x:c r="Q89" s="13">
        <x:v>0</x:v>
      </x:c>
      <x:c r="R89" s="13">
        <x:v>0</x:v>
      </x:c>
      <x:c r="S89" s="13">
        <x:v>0</x:v>
      </x:c>
      <x:c r="T89" s="13">
        <x:v>0</x:v>
      </x:c>
      <x:c r="U89" s="13">
        <x:v>0</x:v>
      </x:c>
      <x:c r="V89" s="13">
        <x:v>0</x:v>
      </x:c>
      <x:c r="W89" s="13">
        <x:v>0</x:v>
      </x:c>
      <x:c r="X89" s="13">
        <x:v>0</x:v>
      </x:c>
      <x:c r="Y89" s="13">
        <x:v>0</x:v>
      </x:c>
      <x:c r="Z89" s="13">
        <x:v>0</x:v>
      </x:c>
      <x:c r="AA89" s="13">
        <x:v>0</x:v>
      </x:c>
      <x:c r="AB89" s="13">
        <x:v>0</x:v>
      </x:c>
      <x:c r="AC89" s="16">
        <x:v>0</x:v>
      </x:c>
      <x:c r="AF89" s="2" t="s">
        <x:v>34</x:v>
      </x:c>
    </x:row>
    <x:row r="90">
      <x:c r="A90" s="7" t="s">
        <x:v>205</x:v>
      </x:c>
      <x:c r="B90" s="7" t="s">
        <x:v>206</x:v>
      </x:c>
      <x:c r="C90" s="7"/>
      <x:c r="D90" s="9"/>
      <x:c r="E90" s="9"/>
      <x:c r="F90" s="9"/>
      <x:c r="G90" s="9"/>
      <x:c r="H90" s="9"/>
      <x:c r="I90" s="9"/>
      <x:c r="J90" s="9"/>
      <x:c r="K90" s="9"/>
      <x:c r="L90" s="9"/>
      <x:c r="M90" s="9"/>
      <x:c r="N90" s="9"/>
      <x:c r="O90" s="9"/>
      <x:c r="P90" s="9"/>
      <x:c r="Q90" s="13">
        <x:v>0</x:v>
      </x:c>
      <x:c r="R90" s="13">
        <x:v>0</x:v>
      </x:c>
      <x:c r="S90" s="13">
        <x:v>0</x:v>
      </x:c>
      <x:c r="T90" s="13">
        <x:v>0</x:v>
      </x:c>
      <x:c r="U90" s="13">
        <x:v>0</x:v>
      </x:c>
      <x:c r="V90" s="13">
        <x:v>0</x:v>
      </x:c>
      <x:c r="W90" s="13">
        <x:v>0</x:v>
      </x:c>
      <x:c r="X90" s="13">
        <x:v>0</x:v>
      </x:c>
      <x:c r="Y90" s="13">
        <x:v>0</x:v>
      </x:c>
      <x:c r="Z90" s="13">
        <x:v>0</x:v>
      </x:c>
      <x:c r="AA90" s="13">
        <x:v>0</x:v>
      </x:c>
      <x:c r="AB90" s="13">
        <x:v>0</x:v>
      </x:c>
      <x:c r="AC90" s="16">
        <x:v>0</x:v>
      </x:c>
      <x:c r="AF90" s="2" t="s">
        <x:v>107</x:v>
      </x:c>
    </x:row>
    <x:row r="91">
      <x:c r="A91" s="7" t="s">
        <x:v>207</x:v>
      </x:c>
      <x:c r="B91" s="7" t="s">
        <x:v>208</x:v>
      </x:c>
      <x:c r="C91" s="7"/>
      <x:c r="D91" s="25">
        <x:v>4</x:v>
      </x:c>
      <x:c r="E91" s="25">
        <x:v>8</x:v>
      </x:c>
      <x:c r="F91" s="25">
        <x:v>3</x:v>
      </x:c>
      <x:c r="G91" s="25">
        <x:v>9</x:v>
      </x:c>
      <x:c r="H91" s="25">
        <x:v>2</x:v>
      </x:c>
      <x:c r="I91" s="9"/>
      <x:c r="J91" s="25">
        <x:v>9</x:v>
      </x:c>
      <x:c r="K91" s="9"/>
      <x:c r="L91" s="25">
        <x:v>1</x:v>
      </x:c>
      <x:c r="M91" s="9"/>
      <x:c r="N91" s="9"/>
      <x:c r="O91" s="25">
        <x:v>-1</x:v>
      </x:c>
      <x:c r="P91" s="9"/>
      <x:c r="Q91" s="17">
        <x:v>0.0717</x:v>
      </x:c>
      <x:c r="R91" s="17">
        <x:v>0.2581</x:v>
      </x:c>
      <x:c r="S91" s="17">
        <x:v>0.1429</x:v>
      </x:c>
      <x:c r="T91" s="17">
        <x:v>0.2903</x:v>
      </x:c>
      <x:c r="U91" s="17">
        <x:v>0.0606</x:v>
      </x:c>
      <x:c r="V91" s="17">
        <x:v>0</x:v>
      </x:c>
      <x:c r="W91" s="23">
        <x:v>1.0227</x:v>
      </x:c>
      <x:c r="X91" s="13">
        <x:v>0</x:v>
      </x:c>
      <x:c r="Y91" s="13">
        <x:v>0</x:v>
      </x:c>
      <x:c r="Z91" s="13">
        <x:v>0</x:v>
      </x:c>
      <x:c r="AA91" s="13">
        <x:v>0</x:v>
      </x:c>
      <x:c r="AB91" s="13">
        <x:v>0</x:v>
      </x:c>
      <x:c r="AC91" s="16">
        <x:v>0</x:v>
      </x:c>
      <x:c r="AD91" s="17">
        <x:v>0.1373</x:v>
      </x:c>
      <x:c r="AE91" s="17">
        <x:v>0.1373</x:v>
      </x:c>
      <x:c r="AF91" s="2" t="s">
        <x:v>107</x:v>
      </x:c>
    </x:row>
    <x:row r="92">
      <x:c r="A92" s="7" t="s">
        <x:v>209</x:v>
      </x:c>
      <x:c r="B92" s="7" t="s">
        <x:v>210</x:v>
      </x:c>
      <x:c r="C92" s="7"/>
      <x:c r="D92" s="25">
        <x:v>2</x:v>
      </x:c>
      <x:c r="E92" s="25">
        <x:v>10</x:v>
      </x:c>
      <x:c r="F92" s="25">
        <x:v>12</x:v>
      </x:c>
      <x:c r="G92" s="25">
        <x:v>14</x:v>
      </x:c>
      <x:c r="H92" s="25">
        <x:v>4</x:v>
      </x:c>
      <x:c r="I92" s="25">
        <x:v>5</x:v>
      </x:c>
      <x:c r="J92" s="25">
        <x:v>21</x:v>
      </x:c>
      <x:c r="K92" s="25">
        <x:v>1</x:v>
      </x:c>
      <x:c r="L92" s="25">
        <x:v>7</x:v>
      </x:c>
      <x:c r="M92" s="25">
        <x:v>6</x:v>
      </x:c>
      <x:c r="N92" s="25">
        <x:v>20</x:v>
      </x:c>
      <x:c r="O92" s="25">
        <x:v>11</x:v>
      </x:c>
      <x:c r="P92" s="25">
        <x:v>1</x:v>
      </x:c>
      <x:c r="Q92" s="23">
        <x:v>0.0383</x:v>
      </x:c>
      <x:c r="R92" s="23">
        <x:v>2</x:v>
      </x:c>
      <x:c r="S92" s="23">
        <x:v>0.6122</x:v>
      </x:c>
      <x:c r="T92" s="17">
        <x:v>0.4516</x:v>
      </x:c>
      <x:c r="U92" s="23">
        <x:v>0.3636</x:v>
      </x:c>
      <x:c r="V92" s="23">
        <x:v>0.1276</x:v>
      </x:c>
      <x:c r="W92" s="23">
        <x:v>0.9722</x:v>
      </x:c>
      <x:c r="X92" s="17">
        <x:v>0.051</x:v>
      </x:c>
      <x:c r="Y92" s="17">
        <x:v>0.2509</x:v>
      </x:c>
      <x:c r="Z92" s="23">
        <x:v>0.5</x:v>
      </x:c>
      <x:c r="AA92" s="17">
        <x:v>0.6452</x:v>
      </x:c>
      <x:c r="AB92" s="17">
        <x:v>0.3667</x:v>
      </x:c>
      <x:c r="AC92" s="20">
        <x:v>0.0179</x:v>
      </x:c>
      <x:c r="AD92" s="17">
        <x:v>0.3531</x:v>
      </x:c>
      <x:c r="AE92" s="17">
        <x:v>0.3531</x:v>
      </x:c>
      <x:c r="AF92" s="2" t="s">
        <x:v>34</x:v>
      </x:c>
    </x:row>
    <x:row r="93">
      <x:c r="A93" s="7" t="s">
        <x:v>211</x:v>
      </x:c>
      <x:c r="B93" s="7" t="s">
        <x:v>212</x:v>
      </x:c>
      <x:c r="C93" s="7"/>
      <x:c r="D93" s="9"/>
      <x:c r="E93" s="9"/>
      <x:c r="F93" s="9"/>
      <x:c r="G93" s="9"/>
      <x:c r="H93" s="9"/>
      <x:c r="I93" s="9"/>
      <x:c r="J93" s="9"/>
      <x:c r="K93" s="9"/>
      <x:c r="L93" s="9"/>
      <x:c r="M93" s="9"/>
      <x:c r="N93" s="9"/>
      <x:c r="O93" s="9"/>
      <x:c r="P93" s="9"/>
      <x:c r="Q93" s="13">
        <x:v>0</x:v>
      </x:c>
      <x:c r="R93" s="13">
        <x:v>0</x:v>
      </x:c>
      <x:c r="S93" s="13">
        <x:v>0</x:v>
      </x:c>
      <x:c r="T93" s="13">
        <x:v>0</x:v>
      </x:c>
      <x:c r="U93" s="13">
        <x:v>0</x:v>
      </x:c>
      <x:c r="V93" s="13">
        <x:v>0</x:v>
      </x:c>
      <x:c r="W93" s="13">
        <x:v>0</x:v>
      </x:c>
      <x:c r="X93" s="13">
        <x:v>0</x:v>
      </x:c>
      <x:c r="Y93" s="13">
        <x:v>0</x:v>
      </x:c>
      <x:c r="Z93" s="13">
        <x:v>0</x:v>
      </x:c>
      <x:c r="AA93" s="13">
        <x:v>0</x:v>
      </x:c>
      <x:c r="AB93" s="13">
        <x:v>0</x:v>
      </x:c>
      <x:c r="AC93" s="16">
        <x:v>0</x:v>
      </x:c>
      <x:c r="AF93" s="2" t="s">
        <x:v>34</x:v>
      </x:c>
    </x:row>
    <x:row r="94">
      <x:c r="A94" s="7" t="s">
        <x:v>213</x:v>
      </x:c>
      <x:c r="B94" s="7" t="s">
        <x:v>214</x:v>
      </x:c>
      <x:c r="C94" s="7"/>
      <x:c r="D94" s="25">
        <x:v>7</x:v>
      </x:c>
      <x:c r="E94" s="25">
        <x:v>12</x:v>
      </x:c>
      <x:c r="F94" s="25">
        <x:v>6</x:v>
      </x:c>
      <x:c r="G94" s="25">
        <x:v>8</x:v>
      </x:c>
      <x:c r="H94" s="25">
        <x:v>6</x:v>
      </x:c>
      <x:c r="I94" s="25">
        <x:v>5</x:v>
      </x:c>
      <x:c r="J94" s="25">
        <x:v>10</x:v>
      </x:c>
      <x:c r="K94" s="25">
        <x:v>4</x:v>
      </x:c>
      <x:c r="L94" s="25">
        <x:v>11</x:v>
      </x:c>
      <x:c r="M94" s="25">
        <x:v>1</x:v>
      </x:c>
      <x:c r="N94" s="25">
        <x:v>7</x:v>
      </x:c>
      <x:c r="O94" s="9"/>
      <x:c r="P94" s="9"/>
      <x:c r="Q94" s="17">
        <x:v>0.2258</x:v>
      </x:c>
      <x:c r="R94" s="17">
        <x:v>0.3871</x:v>
      </x:c>
      <x:c r="S94" s="17">
        <x:v>0.2</x:v>
      </x:c>
      <x:c r="T94" s="17">
        <x:v>0.2581</x:v>
      </x:c>
      <x:c r="U94" s="17">
        <x:v>0.2</x:v>
      </x:c>
      <x:c r="V94" s="17">
        <x:v>0.1613</x:v>
      </x:c>
      <x:c r="W94" s="17">
        <x:v>0.3226</x:v>
      </x:c>
      <x:c r="X94" s="17">
        <x:v>0.1429</x:v>
      </x:c>
      <x:c r="Y94" s="17">
        <x:v>0.3548</x:v>
      </x:c>
      <x:c r="Z94" s="17">
        <x:v>0.0333</x:v>
      </x:c>
      <x:c r="AA94" s="23">
        <x:v>1</x:v>
      </x:c>
      <x:c r="AB94" s="13">
        <x:v>0</x:v>
      </x:c>
      <x:c r="AC94" s="16">
        <x:v>0</x:v>
      </x:c>
      <x:c r="AD94" s="17">
        <x:v>0.2286</x:v>
      </x:c>
      <x:c r="AE94" s="17">
        <x:v>0.2286</x:v>
      </x:c>
      <x:c r="AF94" s="2" t="s">
        <x:v>34</x:v>
      </x:c>
    </x:row>
    <x:row r="95">
      <x:c r="A95" s="7" t="s">
        <x:v>215</x:v>
      </x:c>
      <x:c r="B95" s="7" t="s">
        <x:v>216</x:v>
      </x:c>
      <x:c r="C95" s="7"/>
      <x:c r="D95" s="25">
        <x:v>2</x:v>
      </x:c>
      <x:c r="E95" s="25">
        <x:v>8</x:v>
      </x:c>
      <x:c r="F95" s="25">
        <x:v>1</x:v>
      </x:c>
      <x:c r="G95" s="25">
        <x:v>6</x:v>
      </x:c>
      <x:c r="H95" s="25">
        <x:v>2</x:v>
      </x:c>
      <x:c r="I95" s="25">
        <x:v>6</x:v>
      </x:c>
      <x:c r="J95" s="25">
        <x:v>6</x:v>
      </x:c>
      <x:c r="K95" s="25">
        <x:v>1</x:v>
      </x:c>
      <x:c r="L95" s="25">
        <x:v>2</x:v>
      </x:c>
      <x:c r="M95" s="9"/>
      <x:c r="N95" s="25">
        <x:v>6</x:v>
      </x:c>
      <x:c r="O95" s="25">
        <x:v>1</x:v>
      </x:c>
      <x:c r="P95" s="25">
        <x:v>8</x:v>
      </x:c>
      <x:c r="Q95" s="17">
        <x:v>0.0645</x:v>
      </x:c>
      <x:c r="R95" s="17">
        <x:v>0.2581</x:v>
      </x:c>
      <x:c r="S95" s="17">
        <x:v>0.0333</x:v>
      </x:c>
      <x:c r="T95" s="17">
        <x:v>0.1935</x:v>
      </x:c>
      <x:c r="U95" s="17">
        <x:v>0.0667</x:v>
      </x:c>
      <x:c r="V95" s="17">
        <x:v>0.1935</x:v>
      </x:c>
      <x:c r="W95" s="17">
        <x:v>0.1935</x:v>
      </x:c>
      <x:c r="X95" s="17">
        <x:v>0.0357</x:v>
      </x:c>
      <x:c r="Y95" s="17">
        <x:v>0.0645</x:v>
      </x:c>
      <x:c r="Z95" s="17">
        <x:v>0</x:v>
      </x:c>
      <x:c r="AA95" s="17">
        <x:v>0.1935</x:v>
      </x:c>
      <x:c r="AB95" s="17">
        <x:v>0.0333</x:v>
      </x:c>
      <x:c r="AC95" s="20">
        <x:v>0.2581</x:v>
      </x:c>
      <x:c r="AD95" s="17">
        <x:v>0.1108</x:v>
      </x:c>
      <x:c r="AE95" s="17">
        <x:v>0.1108</x:v>
      </x:c>
      <x:c r="AF95" s="2" t="s">
        <x:v>34</x:v>
      </x:c>
    </x:row>
    <x:row r="96">
      <x:c r="A96" s="7" t="s">
        <x:v>217</x:v>
      </x:c>
      <x:c r="B96" s="7" t="s">
        <x:v>218</x:v>
      </x:c>
      <x:c r="C96" s="7"/>
      <x:c r="D96" s="25">
        <x:v>15</x:v>
      </x:c>
      <x:c r="E96" s="9"/>
      <x:c r="F96" s="25">
        <x:v>-1</x:v>
      </x:c>
      <x:c r="G96" s="25">
        <x:v>3</x:v>
      </x:c>
      <x:c r="H96" s="9"/>
      <x:c r="I96" s="25">
        <x:v>1</x:v>
      </x:c>
      <x:c r="J96" s="9"/>
      <x:c r="K96" s="9"/>
      <x:c r="L96" s="9"/>
      <x:c r="M96" s="9"/>
      <x:c r="N96" s="9"/>
      <x:c r="O96" s="9"/>
      <x:c r="P96" s="9"/>
      <x:c r="Q96" s="17">
        <x:v>0.2688</x:v>
      </x:c>
      <x:c r="R96" s="17">
        <x:v>0</x:v>
      </x:c>
      <x:c r="S96" s="17">
        <x:v>-0.0476</x:v>
      </x:c>
      <x:c r="T96" s="17">
        <x:v>0.0968</x:v>
      </x:c>
      <x:c r="U96" s="17">
        <x:v>0</x:v>
      </x:c>
      <x:c r="V96" s="17">
        <x:v>0.023</x:v>
      </x:c>
      <x:c r="W96" s="17">
        <x:v>0</x:v>
      </x:c>
      <x:c r="X96" s="17">
        <x:v>0</x:v>
      </x:c>
      <x:c r="Y96" s="17">
        <x:v>0</x:v>
      </x:c>
      <x:c r="Z96" s="17">
        <x:v>0</x:v>
      </x:c>
      <x:c r="AA96" s="17">
        <x:v>0</x:v>
      </x:c>
      <x:c r="AB96" s="17">
        <x:v>0</x:v>
      </x:c>
      <x:c r="AC96" s="20">
        <x:v>0</x:v>
      </x:c>
      <x:c r="AD96" s="17">
        <x:v>0.0284</x:v>
      </x:c>
      <x:c r="AE96" s="17">
        <x:v>0.0284</x:v>
      </x:c>
      <x:c r="AF96" s="2" t="s">
        <x:v>34</x:v>
      </x:c>
    </x:row>
    <x:row r="97">
      <x:c r="A97" s="7" t="s">
        <x:v>219</x:v>
      </x:c>
      <x:c r="B97" s="7" t="s">
        <x:v>220</x:v>
      </x:c>
      <x:c r="C97" s="7"/>
      <x:c r="D97" s="25">
        <x:v>106</x:v>
      </x:c>
      <x:c r="E97" s="25">
        <x:v>42</x:v>
      </x:c>
      <x:c r="F97" s="25">
        <x:v>82</x:v>
      </x:c>
      <x:c r="G97" s="25">
        <x:v>72</x:v>
      </x:c>
      <x:c r="H97" s="25">
        <x:v>18</x:v>
      </x:c>
      <x:c r="I97" s="25">
        <x:v>142</x:v>
      </x:c>
      <x:c r="J97" s="25">
        <x:v>17</x:v>
      </x:c>
      <x:c r="K97" s="25">
        <x:v>25</x:v>
      </x:c>
      <x:c r="L97" s="25">
        <x:v>51</x:v>
      </x:c>
      <x:c r="M97" s="25">
        <x:v>62</x:v>
      </x:c>
      <x:c r="N97" s="25">
        <x:v>37</x:v>
      </x:c>
      <x:c r="O97" s="25">
        <x:v>40</x:v>
      </x:c>
      <x:c r="P97" s="25">
        <x:v>46</x:v>
      </x:c>
      <x:c r="Q97" s="23">
        <x:v>2.0307</x:v>
      </x:c>
      <x:c r="R97" s="17">
        <x:v>1.3548</x:v>
      </x:c>
      <x:c r="S97" s="17">
        <x:v>3.9048</x:v>
      </x:c>
      <x:c r="T97" s="17">
        <x:v>2.3226</x:v>
      </x:c>
      <x:c r="U97" s="23">
        <x:v>0.6545</x:v>
      </x:c>
      <x:c r="V97" s="23">
        <x:v>3.6224</x:v>
      </x:c>
      <x:c r="W97" s="17">
        <x:v>0.6855</x:v>
      </x:c>
      <x:c r="X97" s="17">
        <x:v>1.2755</x:v>
      </x:c>
      <x:c r="Y97" s="17">
        <x:v>1.828</x:v>
      </x:c>
      <x:c r="Z97" s="17">
        <x:v>2.5833</x:v>
      </x:c>
      <x:c r="AA97" s="17">
        <x:v>1.1935</x:v>
      </x:c>
      <x:c r="AB97" s="17">
        <x:v>1.3333</x:v>
      </x:c>
      <x:c r="AC97" s="20">
        <x:v>0.8244</x:v>
      </x:c>
      <x:c r="AD97" s="17">
        <x:v>1.8313</x:v>
      </x:c>
      <x:c r="AE97" s="17">
        <x:v>1.8313</x:v>
      </x:c>
      <x:c r="AF97" s="2" t="s">
        <x:v>34</x:v>
      </x:c>
    </x:row>
    <x:row r="98">
      <x:c r="A98" s="7" t="s">
        <x:v>221</x:v>
      </x:c>
      <x:c r="B98" s="7" t="s">
        <x:v>222</x:v>
      </x:c>
      <x:c r="C98" s="7"/>
      <x:c r="D98" s="9"/>
      <x:c r="E98" s="9"/>
      <x:c r="F98" s="25">
        <x:v>1</x:v>
      </x:c>
      <x:c r="G98" s="9"/>
      <x:c r="H98" s="9"/>
      <x:c r="I98" s="25">
        <x:v>13</x:v>
      </x:c>
      <x:c r="J98" s="25">
        <x:v>2</x:v>
      </x:c>
      <x:c r="K98" s="25">
        <x:v>4</x:v>
      </x:c>
      <x:c r="L98" s="25">
        <x:v>1</x:v>
      </x:c>
      <x:c r="M98" s="25">
        <x:v>5</x:v>
      </x:c>
      <x:c r="N98" s="25">
        <x:v>1</x:v>
      </x:c>
      <x:c r="O98" s="9"/>
      <x:c r="P98" s="25">
        <x:v>3</x:v>
      </x:c>
      <x:c r="Q98" s="13">
        <x:v>0</x:v>
      </x:c>
      <x:c r="R98" s="13">
        <x:v>0</x:v>
      </x:c>
      <x:c r="S98" s="13">
        <x:v>0</x:v>
      </x:c>
      <x:c r="T98" s="13">
        <x:v>0</x:v>
      </x:c>
      <x:c r="U98" s="13">
        <x:v>0</x:v>
      </x:c>
      <x:c r="V98" s="23">
        <x:v>0.3316</x:v>
      </x:c>
      <x:c r="W98" s="17">
        <x:v>0.0806</x:v>
      </x:c>
      <x:c r="X98" s="17">
        <x:v>0.2041</x:v>
      </x:c>
      <x:c r="Y98" s="17">
        <x:v>0.0358</x:v>
      </x:c>
      <x:c r="Z98" s="17">
        <x:v>0.2083</x:v>
      </x:c>
      <x:c r="AA98" s="17">
        <x:v>0.0323</x:v>
      </x:c>
      <x:c r="AB98" s="17">
        <x:v>0</x:v>
      </x:c>
      <x:c r="AC98" s="20">
        <x:v>0.0538</x:v>
      </x:c>
      <x:c r="AD98" s="17">
        <x:v>0.0935</x:v>
      </x:c>
      <x:c r="AE98" s="17">
        <x:v>0.0935</x:v>
      </x:c>
      <x:c r="AF98" s="2" t="s">
        <x:v>34</x:v>
      </x:c>
    </x:row>
    <x:row r="99">
      <x:c r="A99" s="7" t="s">
        <x:v>223</x:v>
      </x:c>
      <x:c r="B99" s="7" t="s">
        <x:v>224</x:v>
      </x:c>
      <x:c r="C99" s="7"/>
      <x:c r="D99" s="25">
        <x:v>64</x:v>
      </x:c>
      <x:c r="E99" s="25">
        <x:v>17</x:v>
      </x:c>
      <x:c r="F99" s="25">
        <x:v>7</x:v>
      </x:c>
      <x:c r="G99" s="25">
        <x:v>13</x:v>
      </x:c>
      <x:c r="H99" s="9"/>
      <x:c r="I99" s="9"/>
      <x:c r="J99" s="25">
        <x:v>1</x:v>
      </x:c>
      <x:c r="K99" s="25">
        <x:v>2</x:v>
      </x:c>
      <x:c r="L99" s="25">
        <x:v>13</x:v>
      </x:c>
      <x:c r="M99" s="25">
        <x:v>7</x:v>
      </x:c>
      <x:c r="N99" s="25">
        <x:v>8</x:v>
      </x:c>
      <x:c r="O99" s="25">
        <x:v>9</x:v>
      </x:c>
      <x:c r="P99" s="25">
        <x:v>5</x:v>
      </x:c>
      <x:c r="Q99" s="23">
        <x:v>1.2261</x:v>
      </x:c>
      <x:c r="R99" s="23">
        <x:v>4.25</x:v>
      </x:c>
      <x:c r="S99" s="23">
        <x:v>0.3571</x:v>
      </x:c>
      <x:c r="T99" s="23">
        <x:v>0.6842</x:v>
      </x:c>
      <x:c r="U99" s="13">
        <x:v>0</x:v>
      </x:c>
      <x:c r="V99" s="13">
        <x:v>0</x:v>
      </x:c>
      <x:c r="W99" s="23">
        <x:v>0.0543</x:v>
      </x:c>
      <x:c r="X99" s="17">
        <x:v>0.102</x:v>
      </x:c>
      <x:c r="Y99" s="17">
        <x:v>0.4659</x:v>
      </x:c>
      <x:c r="Z99" s="17">
        <x:v>0.2917</x:v>
      </x:c>
      <x:c r="AA99" s="17">
        <x:v>0.2581</x:v>
      </x:c>
      <x:c r="AB99" s="17">
        <x:v>0.3</x:v>
      </x:c>
      <x:c r="AC99" s="20">
        <x:v>0.0896</x:v>
      </x:c>
      <x:c r="AD99" s="17">
        <x:v>0.2835</x:v>
      </x:c>
      <x:c r="AE99" s="17">
        <x:v>0.2835</x:v>
      </x:c>
      <x:c r="AF99" s="2" t="s">
        <x:v>34</x:v>
      </x:c>
    </x:row>
    <x:row r="100">
      <x:c r="A100" s="7" t="s">
        <x:v>225</x:v>
      </x:c>
      <x:c r="B100" s="7" t="s">
        <x:v>226</x:v>
      </x:c>
      <x:c r="C100" s="7"/>
      <x:c r="D100" s="9"/>
      <x:c r="E100" s="9"/>
      <x:c r="F100" s="9"/>
      <x:c r="G100" s="9"/>
      <x:c r="H100" s="9"/>
      <x:c r="I100" s="9"/>
      <x:c r="J100" s="9"/>
      <x:c r="K100" s="9"/>
      <x:c r="L100" s="9"/>
      <x:c r="M100" s="9"/>
      <x:c r="N100" s="9"/>
      <x:c r="O100" s="9"/>
      <x:c r="P100" s="9"/>
      <x:c r="Q100" s="13">
        <x:v>0</x:v>
      </x:c>
      <x:c r="R100" s="13">
        <x:v>0</x:v>
      </x:c>
      <x:c r="S100" s="13">
        <x:v>0</x:v>
      </x:c>
      <x:c r="T100" s="13">
        <x:v>0</x:v>
      </x:c>
      <x:c r="U100" s="13">
        <x:v>0</x:v>
      </x:c>
      <x:c r="V100" s="13">
        <x:v>0</x:v>
      </x:c>
      <x:c r="W100" s="13">
        <x:v>0</x:v>
      </x:c>
      <x:c r="X100" s="13">
        <x:v>0</x:v>
      </x:c>
      <x:c r="Y100" s="13">
        <x:v>0</x:v>
      </x:c>
      <x:c r="Z100" s="13">
        <x:v>0</x:v>
      </x:c>
      <x:c r="AA100" s="13">
        <x:v>0</x:v>
      </x:c>
      <x:c r="AB100" s="13">
        <x:v>0</x:v>
      </x:c>
      <x:c r="AC100" s="16">
        <x:v>0</x:v>
      </x:c>
      <x:c r="AF100" s="2" t="s">
        <x:v>34</x:v>
      </x:c>
    </x:row>
    <x:row r="101">
      <x:c r="A101" s="7" t="s">
        <x:v>227</x:v>
      </x:c>
      <x:c r="B101" s="7" t="s">
        <x:v>228</x:v>
      </x:c>
      <x:c r="C101" s="7"/>
      <x:c r="D101" s="9"/>
      <x:c r="E101" s="9"/>
      <x:c r="F101" s="9"/>
      <x:c r="G101" s="9"/>
      <x:c r="H101" s="9"/>
      <x:c r="I101" s="9"/>
      <x:c r="J101" s="9"/>
      <x:c r="K101" s="9"/>
      <x:c r="L101" s="9"/>
      <x:c r="M101" s="9"/>
      <x:c r="N101" s="9"/>
      <x:c r="O101" s="9"/>
      <x:c r="P101" s="9"/>
      <x:c r="Q101" s="13">
        <x:v>0</x:v>
      </x:c>
      <x:c r="R101" s="13">
        <x:v>0</x:v>
      </x:c>
      <x:c r="S101" s="13">
        <x:v>0</x:v>
      </x:c>
      <x:c r="T101" s="13">
        <x:v>0</x:v>
      </x:c>
      <x:c r="U101" s="13">
        <x:v>0</x:v>
      </x:c>
      <x:c r="V101" s="13">
        <x:v>0</x:v>
      </x:c>
      <x:c r="W101" s="13">
        <x:v>0</x:v>
      </x:c>
      <x:c r="X101" s="13">
        <x:v>0</x:v>
      </x:c>
      <x:c r="Y101" s="13">
        <x:v>0</x:v>
      </x:c>
      <x:c r="Z101" s="13">
        <x:v>0</x:v>
      </x:c>
      <x:c r="AA101" s="13">
        <x:v>0</x:v>
      </x:c>
      <x:c r="AB101" s="13">
        <x:v>0</x:v>
      </x:c>
      <x:c r="AC101" s="16">
        <x:v>0</x:v>
      </x:c>
      <x:c r="AF101" s="2" t="s">
        <x:v>34</x:v>
      </x:c>
    </x:row>
    <x:row r="102">
      <x:c r="A102" s="7" t="s">
        <x:v>229</x:v>
      </x:c>
      <x:c r="B102" s="7" t="s">
        <x:v>230</x:v>
      </x:c>
      <x:c r="C102" s="7"/>
      <x:c r="D102" s="9"/>
      <x:c r="E102" s="9"/>
      <x:c r="F102" s="9"/>
      <x:c r="G102" s="9"/>
      <x:c r="H102" s="9"/>
      <x:c r="I102" s="9"/>
      <x:c r="J102" s="9"/>
      <x:c r="K102" s="9"/>
      <x:c r="L102" s="9"/>
      <x:c r="M102" s="9"/>
      <x:c r="N102" s="9"/>
      <x:c r="O102" s="9"/>
      <x:c r="P102" s="9"/>
      <x:c r="Q102" s="13">
        <x:v>0</x:v>
      </x:c>
      <x:c r="R102" s="13">
        <x:v>0</x:v>
      </x:c>
      <x:c r="S102" s="13">
        <x:v>0</x:v>
      </x:c>
      <x:c r="T102" s="13">
        <x:v>0</x:v>
      </x:c>
      <x:c r="U102" s="13">
        <x:v>0</x:v>
      </x:c>
      <x:c r="V102" s="13">
        <x:v>0</x:v>
      </x:c>
      <x:c r="W102" s="13">
        <x:v>0</x:v>
      </x:c>
      <x:c r="X102" s="13">
        <x:v>0</x:v>
      </x:c>
      <x:c r="Y102" s="13">
        <x:v>0</x:v>
      </x:c>
      <x:c r="Z102" s="13">
        <x:v>0</x:v>
      </x:c>
      <x:c r="AA102" s="13">
        <x:v>0</x:v>
      </x:c>
      <x:c r="AB102" s="13">
        <x:v>0</x:v>
      </x:c>
      <x:c r="AC102" s="16">
        <x:v>0</x:v>
      </x:c>
      <x:c r="AF102" s="2" t="s">
        <x:v>34</x:v>
      </x:c>
    </x:row>
    <x:row r="103">
      <x:c r="A103" s="7" t="s">
        <x:v>231</x:v>
      </x:c>
      <x:c r="B103" s="7" t="s">
        <x:v>232</x:v>
      </x:c>
      <x:c r="C103" s="7"/>
      <x:c r="D103" s="9"/>
      <x:c r="E103" s="9"/>
      <x:c r="F103" s="9"/>
      <x:c r="G103" s="9"/>
      <x:c r="H103" s="9"/>
      <x:c r="I103" s="9"/>
      <x:c r="J103" s="9"/>
      <x:c r="K103" s="9"/>
      <x:c r="L103" s="9"/>
      <x:c r="M103" s="9"/>
      <x:c r="N103" s="9"/>
      <x:c r="O103" s="9"/>
      <x:c r="P103" s="9"/>
      <x:c r="Q103" s="13">
        <x:v>0</x:v>
      </x:c>
      <x:c r="R103" s="13">
        <x:v>0</x:v>
      </x:c>
      <x:c r="S103" s="13">
        <x:v>0</x:v>
      </x:c>
      <x:c r="T103" s="13">
        <x:v>0</x:v>
      </x:c>
      <x:c r="U103" s="13">
        <x:v>0</x:v>
      </x:c>
      <x:c r="V103" s="13">
        <x:v>0</x:v>
      </x:c>
      <x:c r="W103" s="13">
        <x:v>0</x:v>
      </x:c>
      <x:c r="X103" s="13">
        <x:v>0</x:v>
      </x:c>
      <x:c r="Y103" s="13">
        <x:v>0</x:v>
      </x:c>
      <x:c r="Z103" s="13">
        <x:v>0</x:v>
      </x:c>
      <x:c r="AA103" s="13">
        <x:v>0</x:v>
      </x:c>
      <x:c r="AB103" s="13">
        <x:v>0</x:v>
      </x:c>
      <x:c r="AC103" s="16">
        <x:v>0</x:v>
      </x:c>
      <x:c r="AF103" s="2" t="s">
        <x:v>34</x:v>
      </x:c>
    </x:row>
    <x:row r="104">
      <x:c r="A104" s="7" t="s">
        <x:v>233</x:v>
      </x:c>
      <x:c r="B104" s="7" t="s">
        <x:v>234</x:v>
      </x:c>
      <x:c r="C104" s="7"/>
      <x:c r="D104" s="25">
        <x:v>18</x:v>
      </x:c>
      <x:c r="E104" s="25">
        <x:v>4</x:v>
      </x:c>
      <x:c r="F104" s="25">
        <x:v>6</x:v>
      </x:c>
      <x:c r="G104" s="25">
        <x:v>12</x:v>
      </x:c>
      <x:c r="H104" s="25">
        <x:v>5</x:v>
      </x:c>
      <x:c r="I104" s="25">
        <x:v>6</x:v>
      </x:c>
      <x:c r="J104" s="25">
        <x:v>4</x:v>
      </x:c>
      <x:c r="K104" s="25">
        <x:v>3</x:v>
      </x:c>
      <x:c r="L104" s="25">
        <x:v>5</x:v>
      </x:c>
      <x:c r="M104" s="9"/>
      <x:c r="N104" s="25">
        <x:v>7</x:v>
      </x:c>
      <x:c r="O104" s="9"/>
      <x:c r="P104" s="25">
        <x:v>7</x:v>
      </x:c>
      <x:c r="Q104" s="17">
        <x:v>0.3226</x:v>
      </x:c>
      <x:c r="R104" s="17">
        <x:v>0.129</x:v>
      </x:c>
      <x:c r="S104" s="17">
        <x:v>0.2857</x:v>
      </x:c>
      <x:c r="T104" s="17">
        <x:v>0.3871</x:v>
      </x:c>
      <x:c r="U104" s="17">
        <x:v>0.1515</x:v>
      </x:c>
      <x:c r="V104" s="17">
        <x:v>0.1382</x:v>
      </x:c>
      <x:c r="W104" s="17">
        <x:v>0.1613</x:v>
      </x:c>
      <x:c r="X104" s="17">
        <x:v>0.1531</x:v>
      </x:c>
      <x:c r="Y104" s="17">
        <x:v>0.1792</x:v>
      </x:c>
      <x:c r="Z104" s="17">
        <x:v>0</x:v>
      </x:c>
      <x:c r="AA104" s="17">
        <x:v>0.2258</x:v>
      </x:c>
      <x:c r="AB104" s="17">
        <x:v>0</x:v>
      </x:c>
      <x:c r="AC104" s="20">
        <x:v>0.1254</x:v>
      </x:c>
      <x:c r="AD104" s="17">
        <x:v>0.1778</x:v>
      </x:c>
      <x:c r="AE104" s="17">
        <x:v>0.1778</x:v>
      </x:c>
      <x:c r="AF104" s="2" t="s">
        <x:v>34</x:v>
      </x:c>
    </x:row>
    <x:row r="105">
      <x:c r="A105" s="7" t="s">
        <x:v>235</x:v>
      </x:c>
      <x:c r="B105" s="7" t="s">
        <x:v>236</x:v>
      </x:c>
      <x:c r="C105" s="7"/>
      <x:c r="D105" s="25">
        <x:v>4</x:v>
      </x:c>
      <x:c r="E105" s="25">
        <x:v>15</x:v>
      </x:c>
      <x:c r="F105" s="25">
        <x:v>10</x:v>
      </x:c>
      <x:c r="G105" s="25">
        <x:v>19</x:v>
      </x:c>
      <x:c r="H105" s="25">
        <x:v>30</x:v>
      </x:c>
      <x:c r="I105" s="25">
        <x:v>10</x:v>
      </x:c>
      <x:c r="J105" s="25">
        <x:v>26</x:v>
      </x:c>
      <x:c r="K105" s="25">
        <x:v>4</x:v>
      </x:c>
      <x:c r="L105" s="25">
        <x:v>5</x:v>
      </x:c>
      <x:c r="M105" s="25">
        <x:v>10</x:v>
      </x:c>
      <x:c r="N105" s="25">
        <x:v>4</x:v>
      </x:c>
      <x:c r="O105" s="25">
        <x:v>31</x:v>
      </x:c>
      <x:c r="P105" s="25">
        <x:v>8</x:v>
      </x:c>
      <x:c r="Q105" s="17">
        <x:v>0.0717</x:v>
      </x:c>
      <x:c r="R105" s="17">
        <x:v>0.4839</x:v>
      </x:c>
      <x:c r="S105" s="17">
        <x:v>0.4762</x:v>
      </x:c>
      <x:c r="T105" s="17">
        <x:v>0.6129</x:v>
      </x:c>
      <x:c r="U105" s="17">
        <x:v>0.9091</x:v>
      </x:c>
      <x:c r="V105" s="17">
        <x:v>0.2304</x:v>
      </x:c>
      <x:c r="W105" s="17">
        <x:v>1.0484</x:v>
      </x:c>
      <x:c r="X105" s="17">
        <x:v>0.2041</x:v>
      </x:c>
      <x:c r="Y105" s="17">
        <x:v>0.1792</x:v>
      </x:c>
      <x:c r="Z105" s="17">
        <x:v>0.4167</x:v>
      </x:c>
      <x:c r="AA105" s="17">
        <x:v>0.129</x:v>
      </x:c>
      <x:c r="AB105" s="17">
        <x:v>1.0333</x:v>
      </x:c>
      <x:c r="AC105" s="16">
        <x:v>0.3175</x:v>
      </x:c>
      <x:c r="AD105" s="17">
        <x:v>0.4829</x:v>
      </x:c>
      <x:c r="AE105" s="17">
        <x:v>0.4829</x:v>
      </x:c>
      <x:c r="AF105" s="2" t="s">
        <x:v>107</x:v>
      </x:c>
    </x:row>
    <x:row r="106">
      <x:c r="A106" s="7" t="s">
        <x:v>237</x:v>
      </x:c>
      <x:c r="B106" s="7" t="s">
        <x:v>238</x:v>
      </x:c>
      <x:c r="C106" s="7"/>
      <x:c r="D106" s="9"/>
      <x:c r="E106" s="9"/>
      <x:c r="F106" s="9"/>
      <x:c r="G106" s="9"/>
      <x:c r="H106" s="9"/>
      <x:c r="I106" s="9"/>
      <x:c r="J106" s="9"/>
      <x:c r="K106" s="9"/>
      <x:c r="L106" s="9"/>
      <x:c r="M106" s="9"/>
      <x:c r="N106" s="9"/>
      <x:c r="O106" s="9"/>
      <x:c r="P106" s="9"/>
      <x:c r="Q106" s="13">
        <x:v>0</x:v>
      </x:c>
      <x:c r="R106" s="13">
        <x:v>0</x:v>
      </x:c>
      <x:c r="S106" s="13">
        <x:v>0</x:v>
      </x:c>
      <x:c r="T106" s="13">
        <x:v>0</x:v>
      </x:c>
      <x:c r="U106" s="13">
        <x:v>0</x:v>
      </x:c>
      <x:c r="V106" s="13">
        <x:v>0</x:v>
      </x:c>
      <x:c r="W106" s="13">
        <x:v>0</x:v>
      </x:c>
      <x:c r="X106" s="13">
        <x:v>0</x:v>
      </x:c>
      <x:c r="Y106" s="13">
        <x:v>0</x:v>
      </x:c>
      <x:c r="Z106" s="13">
        <x:v>0</x:v>
      </x:c>
      <x:c r="AA106" s="13">
        <x:v>0</x:v>
      </x:c>
      <x:c r="AB106" s="13">
        <x:v>0</x:v>
      </x:c>
      <x:c r="AC106" s="16">
        <x:v>0</x:v>
      </x:c>
      <x:c r="AF106" s="2" t="s">
        <x:v>34</x:v>
      </x:c>
    </x:row>
    <x:row r="107">
      <x:c r="A107" s="7" t="s">
        <x:v>239</x:v>
      </x:c>
      <x:c r="B107" s="7" t="s">
        <x:v>240</x:v>
      </x:c>
      <x:c r="C107" s="7"/>
      <x:c r="D107" s="25">
        <x:v>1</x:v>
      </x:c>
      <x:c r="E107" s="25">
        <x:v>-1</x:v>
      </x:c>
      <x:c r="F107" s="25">
        <x:v>1</x:v>
      </x:c>
      <x:c r="G107" s="9"/>
      <x:c r="H107" s="9"/>
      <x:c r="I107" s="9"/>
      <x:c r="J107" s="9"/>
      <x:c r="K107" s="9"/>
      <x:c r="L107" s="9"/>
      <x:c r="M107" s="25">
        <x:v>2</x:v>
      </x:c>
      <x:c r="N107" s="9"/>
      <x:c r="O107" s="9"/>
      <x:c r="P107" s="9"/>
      <x:c r="Q107" s="17">
        <x:v>0.0179</x:v>
      </x:c>
      <x:c r="R107" s="17">
        <x:v>-0.0323</x:v>
      </x:c>
      <x:c r="S107" s="17">
        <x:v>0.0476</x:v>
      </x:c>
      <x:c r="T107" s="17">
        <x:v>0</x:v>
      </x:c>
      <x:c r="U107" s="17">
        <x:v>0</x:v>
      </x:c>
      <x:c r="V107" s="17">
        <x:v>0</x:v>
      </x:c>
      <x:c r="W107" s="17">
        <x:v>0</x:v>
      </x:c>
      <x:c r="X107" s="17">
        <x:v>0</x:v>
      </x:c>
      <x:c r="Y107" s="17">
        <x:v>0</x:v>
      </x:c>
      <x:c r="Z107" s="17">
        <x:v>0.0833</x:v>
      </x:c>
      <x:c r="AA107" s="17">
        <x:v>0</x:v>
      </x:c>
      <x:c r="AB107" s="17">
        <x:v>0</x:v>
      </x:c>
      <x:c r="AC107" s="20">
        <x:v>0</x:v>
      </x:c>
      <x:c r="AD107" s="17">
        <x:v>0.0097</x:v>
      </x:c>
      <x:c r="AE107" s="17">
        <x:v>0.0097</x:v>
      </x:c>
      <x:c r="AF107" s="2" t="s">
        <x:v>34</x:v>
      </x:c>
    </x:row>
    <x:row r="108">
      <x:c r="A108" s="7" t="s">
        <x:v>241</x:v>
      </x:c>
      <x:c r="B108" s="7" t="s">
        <x:v>242</x:v>
      </x:c>
      <x:c r="C108" s="7"/>
      <x:c r="D108" s="25">
        <x:v>1</x:v>
      </x:c>
      <x:c r="E108" s="25">
        <x:v>-1</x:v>
      </x:c>
      <x:c r="F108" s="9"/>
      <x:c r="G108" s="9"/>
      <x:c r="H108" s="9"/>
      <x:c r="I108" s="9"/>
      <x:c r="J108" s="9"/>
      <x:c r="K108" s="9"/>
      <x:c r="L108" s="9"/>
      <x:c r="M108" s="9"/>
      <x:c r="N108" s="9"/>
      <x:c r="O108" s="9"/>
      <x:c r="P108" s="9"/>
      <x:c r="Q108" s="17">
        <x:v>0.0179</x:v>
      </x:c>
      <x:c r="R108" s="17">
        <x:v>-0.0323</x:v>
      </x:c>
      <x:c r="S108" s="17">
        <x:v>0</x:v>
      </x:c>
      <x:c r="T108" s="17">
        <x:v>0</x:v>
      </x:c>
      <x:c r="U108" s="17">
        <x:v>0</x:v>
      </x:c>
      <x:c r="V108" s="17">
        <x:v>0</x:v>
      </x:c>
      <x:c r="W108" s="17">
        <x:v>0</x:v>
      </x:c>
      <x:c r="X108" s="17">
        <x:v>0</x:v>
      </x:c>
      <x:c r="Y108" s="17">
        <x:v>0</x:v>
      </x:c>
      <x:c r="Z108" s="17">
        <x:v>0</x:v>
      </x:c>
      <x:c r="AA108" s="17">
        <x:v>0</x:v>
      </x:c>
      <x:c r="AB108" s="17">
        <x:v>0</x:v>
      </x:c>
      <x:c r="AC108" s="20">
        <x:v>0</x:v>
      </x:c>
      <x:c r="AF108" s="2" t="s">
        <x:v>34</x:v>
      </x:c>
    </x:row>
    <x:row r="109">
      <x:c r="A109" s="7" t="s">
        <x:v>243</x:v>
      </x:c>
      <x:c r="B109" s="7" t="s">
        <x:v>244</x:v>
      </x:c>
      <x:c r="C109" s="7"/>
      <x:c r="D109" s="9"/>
      <x:c r="E109" s="9"/>
      <x:c r="F109" s="9"/>
      <x:c r="G109" s="9"/>
      <x:c r="H109" s="9"/>
      <x:c r="I109" s="9"/>
      <x:c r="J109" s="9"/>
      <x:c r="K109" s="9"/>
      <x:c r="L109" s="9"/>
      <x:c r="M109" s="9"/>
      <x:c r="N109" s="9"/>
      <x:c r="O109" s="9"/>
      <x:c r="P109" s="9"/>
      <x:c r="Q109" s="17">
        <x:v>0</x:v>
      </x:c>
      <x:c r="R109" s="17">
        <x:v>0</x:v>
      </x:c>
      <x:c r="S109" s="17">
        <x:v>0</x:v>
      </x:c>
      <x:c r="T109" s="17">
        <x:v>0</x:v>
      </x:c>
      <x:c r="U109" s="17">
        <x:v>0</x:v>
      </x:c>
      <x:c r="V109" s="17">
        <x:v>0</x:v>
      </x:c>
      <x:c r="W109" s="17">
        <x:v>0</x:v>
      </x:c>
      <x:c r="X109" s="17">
        <x:v>0</x:v>
      </x:c>
      <x:c r="Y109" s="17">
        <x:v>0</x:v>
      </x:c>
      <x:c r="Z109" s="17">
        <x:v>0</x:v>
      </x:c>
      <x:c r="AA109" s="17">
        <x:v>0</x:v>
      </x:c>
      <x:c r="AB109" s="17">
        <x:v>0</x:v>
      </x:c>
      <x:c r="AC109" s="20">
        <x:v>0</x:v>
      </x:c>
      <x:c r="AF109" s="2" t="s">
        <x:v>34</x:v>
      </x:c>
    </x:row>
    <x:row r="110">
      <x:c r="A110" s="7" t="s">
        <x:v>245</x:v>
      </x:c>
      <x:c r="B110" s="7" t="s">
        <x:v>246</x:v>
      </x:c>
      <x:c r="C110" s="7"/>
      <x:c r="D110" s="25">
        <x:v>7</x:v>
      </x:c>
      <x:c r="E110" s="25">
        <x:v>1</x:v>
      </x:c>
      <x:c r="F110" s="25">
        <x:v>1</x:v>
      </x:c>
      <x:c r="G110" s="25">
        <x:v>3</x:v>
      </x:c>
      <x:c r="H110" s="25">
        <x:v>1</x:v>
      </x:c>
      <x:c r="I110" s="25">
        <x:v>3</x:v>
      </x:c>
      <x:c r="J110" s="25">
        <x:v>2</x:v>
      </x:c>
      <x:c r="K110" s="9"/>
      <x:c r="L110" s="25">
        <x:v>2</x:v>
      </x:c>
      <x:c r="M110" s="25">
        <x:v>2</x:v>
      </x:c>
      <x:c r="N110" s="25">
        <x:v>2</x:v>
      </x:c>
      <x:c r="O110" s="25">
        <x:v>1</x:v>
      </x:c>
      <x:c r="P110" s="25">
        <x:v>2</x:v>
      </x:c>
      <x:c r="Q110" s="17">
        <x:v>0.1254</x:v>
      </x:c>
      <x:c r="R110" s="17">
        <x:v>0.0323</x:v>
      </x:c>
      <x:c r="S110" s="17">
        <x:v>0.0476</x:v>
      </x:c>
      <x:c r="T110" s="17">
        <x:v>0.0968</x:v>
      </x:c>
      <x:c r="U110" s="17">
        <x:v>0.0303</x:v>
      </x:c>
      <x:c r="V110" s="17">
        <x:v>0.0691</x:v>
      </x:c>
      <x:c r="W110" s="17">
        <x:v>0.0806</x:v>
      </x:c>
      <x:c r="X110" s="17">
        <x:v>0</x:v>
      </x:c>
      <x:c r="Y110" s="17">
        <x:v>0.0717</x:v>
      </x:c>
      <x:c r="Z110" s="17">
        <x:v>0.0833</x:v>
      </x:c>
      <x:c r="AA110" s="17">
        <x:v>0.0645</x:v>
      </x:c>
      <x:c r="AB110" s="17">
        <x:v>0.0333</x:v>
      </x:c>
      <x:c r="AC110" s="20">
        <x:v>0.0358</x:v>
      </x:c>
      <x:c r="AD110" s="17">
        <x:v>0.0612</x:v>
      </x:c>
      <x:c r="AE110" s="17">
        <x:v>0.0612</x:v>
      </x:c>
      <x:c r="AF110" s="2" t="s">
        <x:v>107</x:v>
      </x:c>
    </x:row>
    <x:row r="111">
      <x:c r="A111" s="7" t="s">
        <x:v>247</x:v>
      </x:c>
      <x:c r="B111" s="7" t="s">
        <x:v>248</x:v>
      </x:c>
      <x:c r="C111" s="7"/>
      <x:c r="D111" s="25">
        <x:v>3</x:v>
      </x:c>
      <x:c r="E111" s="25">
        <x:v>3</x:v>
      </x:c>
      <x:c r="F111" s="25">
        <x:v>4</x:v>
      </x:c>
      <x:c r="G111" s="9"/>
      <x:c r="H111" s="25">
        <x:v>1</x:v>
      </x:c>
      <x:c r="I111" s="25">
        <x:v>3</x:v>
      </x:c>
      <x:c r="J111" s="25">
        <x:v>7</x:v>
      </x:c>
      <x:c r="K111" s="9"/>
      <x:c r="L111" s="25">
        <x:v>1</x:v>
      </x:c>
      <x:c r="M111" s="25">
        <x:v>2</x:v>
      </x:c>
      <x:c r="N111" s="25">
        <x:v>-1</x:v>
      </x:c>
      <x:c r="O111" s="25">
        <x:v>1</x:v>
      </x:c>
      <x:c r="P111" s="9"/>
      <x:c r="Q111" s="17">
        <x:v>0.0538</x:v>
      </x:c>
      <x:c r="R111" s="17">
        <x:v>0.0968</x:v>
      </x:c>
      <x:c r="S111" s="17">
        <x:v>0.1905</x:v>
      </x:c>
      <x:c r="T111" s="17">
        <x:v>0</x:v>
      </x:c>
      <x:c r="U111" s="17">
        <x:v>0.0303</x:v>
      </x:c>
      <x:c r="V111" s="17">
        <x:v>0.0691</x:v>
      </x:c>
      <x:c r="W111" s="17">
        <x:v>0.2823</x:v>
      </x:c>
      <x:c r="X111" s="17">
        <x:v>0</x:v>
      </x:c>
      <x:c r="Y111" s="17">
        <x:v>0.0358</x:v>
      </x:c>
      <x:c r="Z111" s="17">
        <x:v>0.0833</x:v>
      </x:c>
      <x:c r="AA111" s="17">
        <x:v>-0.0323</x:v>
      </x:c>
      <x:c r="AB111" s="17">
        <x:v>0.0333</x:v>
      </x:c>
      <x:c r="AC111" s="20">
        <x:v>0</x:v>
      </x:c>
      <x:c r="AD111" s="17">
        <x:v>0.0702</x:v>
      </x:c>
      <x:c r="AE111" s="17">
        <x:v>0.0702</x:v>
      </x:c>
      <x:c r="AF111" s="2" t="s">
        <x:v>107</x:v>
      </x:c>
    </x:row>
    <x:row r="112">
      <x:c r="A112" s="7" t="s">
        <x:v>249</x:v>
      </x:c>
      <x:c r="B112" s="7" t="s">
        <x:v>250</x:v>
      </x:c>
      <x:c r="C112" s="7"/>
      <x:c r="D112" s="25">
        <x:v>3</x:v>
      </x:c>
      <x:c r="E112" s="9"/>
      <x:c r="F112" s="9"/>
      <x:c r="G112" s="9"/>
      <x:c r="H112" s="9"/>
      <x:c r="I112" s="25">
        <x:v>7</x:v>
      </x:c>
      <x:c r="J112" s="25">
        <x:v>2</x:v>
      </x:c>
      <x:c r="K112" s="25">
        <x:v>1</x:v>
      </x:c>
      <x:c r="L112" s="25">
        <x:v>5</x:v>
      </x:c>
      <x:c r="M112" s="25">
        <x:v>2</x:v>
      </x:c>
      <x:c r="N112" s="25">
        <x:v>1</x:v>
      </x:c>
      <x:c r="O112" s="9"/>
      <x:c r="P112" s="25">
        <x:v>6</x:v>
      </x:c>
      <x:c r="Q112" s="17">
        <x:v>0.0538</x:v>
      </x:c>
      <x:c r="R112" s="17">
        <x:v>0</x:v>
      </x:c>
      <x:c r="S112" s="17">
        <x:v>0</x:v>
      </x:c>
      <x:c r="T112" s="17">
        <x:v>0</x:v>
      </x:c>
      <x:c r="U112" s="17">
        <x:v>0</x:v>
      </x:c>
      <x:c r="V112" s="17">
        <x:v>0.1613</x:v>
      </x:c>
      <x:c r="W112" s="17">
        <x:v>0.0806</x:v>
      </x:c>
      <x:c r="X112" s="17">
        <x:v>0.051</x:v>
      </x:c>
      <x:c r="Y112" s="17">
        <x:v>0.1792</x:v>
      </x:c>
      <x:c r="Z112" s="17">
        <x:v>0.0833</x:v>
      </x:c>
      <x:c r="AA112" s="17">
        <x:v>0.0323</x:v>
      </x:c>
      <x:c r="AB112" s="17">
        <x:v>0</x:v>
      </x:c>
      <x:c r="AC112" s="20">
        <x:v>0.1075</x:v>
      </x:c>
      <x:c r="AD112" s="17">
        <x:v>0.0535</x:v>
      </x:c>
      <x:c r="AE112" s="17">
        <x:v>0.0535</x:v>
      </x:c>
      <x:c r="AF112" s="2" t="s">
        <x:v>107</x:v>
      </x:c>
    </x:row>
    <x:row r="113">
      <x:c r="A113" s="7" t="s">
        <x:v>251</x:v>
      </x:c>
      <x:c r="B113" s="7" t="s">
        <x:v>252</x:v>
      </x:c>
      <x:c r="C113" s="7"/>
      <x:c r="D113" s="25">
        <x:v>3</x:v>
      </x:c>
      <x:c r="E113" s="25">
        <x:v>1</x:v>
      </x:c>
      <x:c r="F113" s="25">
        <x:v>3</x:v>
      </x:c>
      <x:c r="G113" s="25">
        <x:v>3</x:v>
      </x:c>
      <x:c r="H113" s="25">
        <x:v>1</x:v>
      </x:c>
      <x:c r="I113" s="25">
        <x:v>5</x:v>
      </x:c>
      <x:c r="J113" s="25">
        <x:v>3</x:v>
      </x:c>
      <x:c r="K113" s="9"/>
      <x:c r="L113" s="25">
        <x:v>1</x:v>
      </x:c>
      <x:c r="M113" s="25">
        <x:v>1</x:v>
      </x:c>
      <x:c r="N113" s="25">
        <x:v>-7</x:v>
      </x:c>
      <x:c r="O113" s="25">
        <x:v>1</x:v>
      </x:c>
      <x:c r="P113" s="25">
        <x:v>3</x:v>
      </x:c>
      <x:c r="Q113" s="17">
        <x:v>0.0538</x:v>
      </x:c>
      <x:c r="R113" s="17">
        <x:v>0.0323</x:v>
      </x:c>
      <x:c r="S113" s="17">
        <x:v>0.1429</x:v>
      </x:c>
      <x:c r="T113" s="17">
        <x:v>0.0968</x:v>
      </x:c>
      <x:c r="U113" s="17">
        <x:v>0.0303</x:v>
      </x:c>
      <x:c r="V113" s="17">
        <x:v>0.1152</x:v>
      </x:c>
      <x:c r="W113" s="17">
        <x:v>0.121</x:v>
      </x:c>
      <x:c r="X113" s="17">
        <x:v>0</x:v>
      </x:c>
      <x:c r="Y113" s="17">
        <x:v>0.0358</x:v>
      </x:c>
      <x:c r="Z113" s="17">
        <x:v>0.0417</x:v>
      </x:c>
      <x:c r="AA113" s="17">
        <x:v>-0.2258</x:v>
      </x:c>
      <x:c r="AB113" s="17">
        <x:v>0.0333</x:v>
      </x:c>
      <x:c r="AC113" s="20">
        <x:v>0.0538</x:v>
      </x:c>
      <x:c r="AD113" s="17">
        <x:v>0.0398</x:v>
      </x:c>
      <x:c r="AE113" s="17">
        <x:v>0.0398</x:v>
      </x:c>
      <x:c r="AF113" s="2" t="s">
        <x:v>107</x:v>
      </x:c>
    </x:row>
    <x:row r="114">
      <x:c r="A114" s="7" t="s">
        <x:v>253</x:v>
      </x:c>
      <x:c r="B114" s="7" t="s">
        <x:v>254</x:v>
      </x:c>
      <x:c r="C114" s="7"/>
      <x:c r="D114" s="25">
        <x:v>2</x:v>
      </x:c>
      <x:c r="E114" s="25">
        <x:v>5</x:v>
      </x:c>
      <x:c r="F114" s="25">
        <x:v>1</x:v>
      </x:c>
      <x:c r="G114" s="25">
        <x:v>-2</x:v>
      </x:c>
      <x:c r="H114" s="9"/>
      <x:c r="I114" s="25">
        <x:v>2</x:v>
      </x:c>
      <x:c r="J114" s="9"/>
      <x:c r="K114" s="25">
        <x:v>1</x:v>
      </x:c>
      <x:c r="L114" s="25">
        <x:v>1</x:v>
      </x:c>
      <x:c r="M114" s="9"/>
      <x:c r="N114" s="25">
        <x:v>-3</x:v>
      </x:c>
      <x:c r="O114" s="25">
        <x:v>2</x:v>
      </x:c>
      <x:c r="P114" s="25">
        <x:v>3</x:v>
      </x:c>
      <x:c r="Q114" s="17">
        <x:v>0.0358</x:v>
      </x:c>
      <x:c r="R114" s="17">
        <x:v>0.1613</x:v>
      </x:c>
      <x:c r="S114" s="17">
        <x:v>0.0476</x:v>
      </x:c>
      <x:c r="T114" s="17">
        <x:v>-0.0645</x:v>
      </x:c>
      <x:c r="U114" s="17">
        <x:v>0</x:v>
      </x:c>
      <x:c r="V114" s="17">
        <x:v>0.0461</x:v>
      </x:c>
      <x:c r="W114" s="17">
        <x:v>0</x:v>
      </x:c>
      <x:c r="X114" s="17">
        <x:v>0.051</x:v>
      </x:c>
      <x:c r="Y114" s="17">
        <x:v>0.0358</x:v>
      </x:c>
      <x:c r="Z114" s="17">
        <x:v>0</x:v>
      </x:c>
      <x:c r="AA114" s="17">
        <x:v>-0.0968</x:v>
      </x:c>
      <x:c r="AB114" s="17">
        <x:v>0.0667</x:v>
      </x:c>
      <x:c r="AC114" s="20">
        <x:v>0.0538</x:v>
      </x:c>
      <x:c r="AD114" s="17">
        <x:v>0.0236</x:v>
      </x:c>
      <x:c r="AE114" s="17">
        <x:v>0.0236</x:v>
      </x:c>
      <x:c r="AF114" s="2" t="s">
        <x:v>107</x:v>
      </x:c>
    </x:row>
    <x:row r="115">
      <x:c r="A115" s="7" t="s">
        <x:v>255</x:v>
      </x:c>
      <x:c r="B115" s="7" t="s">
        <x:v>256</x:v>
      </x:c>
      <x:c r="C115" s="7"/>
      <x:c r="D115" s="9"/>
      <x:c r="E115" s="9"/>
      <x:c r="F115" s="9"/>
      <x:c r="G115" s="25">
        <x:v>-1</x:v>
      </x:c>
      <x:c r="H115" s="9"/>
      <x:c r="I115" s="9"/>
      <x:c r="J115" s="9"/>
      <x:c r="K115" s="9"/>
      <x:c r="L115" s="9"/>
      <x:c r="M115" s="9"/>
      <x:c r="N115" s="9"/>
      <x:c r="O115" s="9"/>
      <x:c r="P115" s="9"/>
      <x:c r="Q115" s="13">
        <x:v>0</x:v>
      </x:c>
      <x:c r="R115" s="13">
        <x:v>0</x:v>
      </x:c>
      <x:c r="S115" s="13">
        <x:v>0</x:v>
      </x:c>
      <x:c r="T115" s="13">
        <x:v>0</x:v>
      </x:c>
      <x:c r="U115" s="13">
        <x:v>0</x:v>
      </x:c>
      <x:c r="V115" s="13">
        <x:v>0</x:v>
      </x:c>
      <x:c r="W115" s="13">
        <x:v>0</x:v>
      </x:c>
      <x:c r="X115" s="13">
        <x:v>0</x:v>
      </x:c>
      <x:c r="Y115" s="13">
        <x:v>0</x:v>
      </x:c>
      <x:c r="Z115" s="13">
        <x:v>0</x:v>
      </x:c>
      <x:c r="AA115" s="13">
        <x:v>0</x:v>
      </x:c>
      <x:c r="AB115" s="13">
        <x:v>0</x:v>
      </x:c>
      <x:c r="AC115" s="16">
        <x:v>0</x:v>
      </x:c>
      <x:c r="AF115" s="2" t="s">
        <x:v>107</x:v>
      </x:c>
    </x:row>
    <x:row r="116">
      <x:c r="A116" s="7" t="s">
        <x:v>257</x:v>
      </x:c>
      <x:c r="B116" s="7" t="s">
        <x:v>258</x:v>
      </x:c>
      <x:c r="C116" s="7" t="s">
        <x:v>259</x:v>
      </x:c>
      <x:c r="D116" s="9"/>
      <x:c r="E116" s="9"/>
      <x:c r="F116" s="9"/>
      <x:c r="G116" s="9"/>
      <x:c r="H116" s="9"/>
      <x:c r="I116" s="9"/>
      <x:c r="J116" s="9"/>
      <x:c r="K116" s="9"/>
      <x:c r="L116" s="9"/>
      <x:c r="M116" s="9"/>
      <x:c r="N116" s="9"/>
      <x:c r="O116" s="9"/>
      <x:c r="P116" s="9"/>
      <x:c r="Q116" s="13">
        <x:v>0</x:v>
      </x:c>
      <x:c r="R116" s="13">
        <x:v>0</x:v>
      </x:c>
      <x:c r="S116" s="13">
        <x:v>0</x:v>
      </x:c>
      <x:c r="T116" s="13">
        <x:v>0</x:v>
      </x:c>
      <x:c r="U116" s="13">
        <x:v>0</x:v>
      </x:c>
      <x:c r="V116" s="13">
        <x:v>0</x:v>
      </x:c>
      <x:c r="W116" s="13">
        <x:v>0</x:v>
      </x:c>
      <x:c r="X116" s="13">
        <x:v>0</x:v>
      </x:c>
      <x:c r="Y116" s="13">
        <x:v>0</x:v>
      </x:c>
      <x:c r="Z116" s="13">
        <x:v>0</x:v>
      </x:c>
      <x:c r="AA116" s="13">
        <x:v>0</x:v>
      </x:c>
      <x:c r="AB116" s="13">
        <x:v>0</x:v>
      </x:c>
      <x:c r="AC116" s="16">
        <x:v>0</x:v>
      </x:c>
      <x:c r="AF116" s="2" t="s">
        <x:v>34</x:v>
      </x:c>
    </x:row>
    <x:row r="117">
      <x:c r="A117" s="7" t="s">
        <x:v>260</x:v>
      </x:c>
      <x:c r="B117" s="7" t="s">
        <x:v>261</x:v>
      </x:c>
      <x:c r="C117" s="7"/>
      <x:c r="D117" s="9"/>
      <x:c r="E117" s="9"/>
      <x:c r="F117" s="9"/>
      <x:c r="G117" s="9"/>
      <x:c r="H117" s="9"/>
      <x:c r="I117" s="9"/>
      <x:c r="J117" s="9"/>
      <x:c r="K117" s="9"/>
      <x:c r="L117" s="9"/>
      <x:c r="M117" s="9"/>
      <x:c r="N117" s="9"/>
      <x:c r="O117" s="9"/>
      <x:c r="P117" s="9"/>
      <x:c r="Q117" s="13">
        <x:v>0</x:v>
      </x:c>
      <x:c r="R117" s="13">
        <x:v>0</x:v>
      </x:c>
      <x:c r="S117" s="13">
        <x:v>0</x:v>
      </x:c>
      <x:c r="T117" s="13">
        <x:v>0</x:v>
      </x:c>
      <x:c r="U117" s="13">
        <x:v>0</x:v>
      </x:c>
      <x:c r="V117" s="13">
        <x:v>0</x:v>
      </x:c>
      <x:c r="W117" s="13">
        <x:v>0</x:v>
      </x:c>
      <x:c r="X117" s="13">
        <x:v>0</x:v>
      </x:c>
      <x:c r="Y117" s="13">
        <x:v>0</x:v>
      </x:c>
      <x:c r="Z117" s="13">
        <x:v>0</x:v>
      </x:c>
      <x:c r="AA117" s="13">
        <x:v>0</x:v>
      </x:c>
      <x:c r="AB117" s="13">
        <x:v>0</x:v>
      </x:c>
      <x:c r="AC117" s="16">
        <x:v>0</x:v>
      </x:c>
      <x:c r="AF117" s="2" t="s">
        <x:v>34</x:v>
      </x:c>
    </x:row>
    <x:row r="118">
      <x:c r="A118" s="7" t="s">
        <x:v>262</x:v>
      </x:c>
      <x:c r="B118" s="7" t="s">
        <x:v>263</x:v>
      </x:c>
      <x:c r="C118" s="7"/>
      <x:c r="D118" s="9"/>
      <x:c r="E118" s="9"/>
      <x:c r="F118" s="9"/>
      <x:c r="G118" s="9"/>
      <x:c r="H118" s="9"/>
      <x:c r="I118" s="9"/>
      <x:c r="J118" s="9"/>
      <x:c r="K118" s="9"/>
      <x:c r="L118" s="9"/>
      <x:c r="M118" s="9"/>
      <x:c r="N118" s="9"/>
      <x:c r="O118" s="9"/>
      <x:c r="P118" s="9"/>
      <x:c r="Q118" s="13">
        <x:v>0</x:v>
      </x:c>
      <x:c r="R118" s="13">
        <x:v>0</x:v>
      </x:c>
      <x:c r="S118" s="13">
        <x:v>0</x:v>
      </x:c>
      <x:c r="T118" s="13">
        <x:v>0</x:v>
      </x:c>
      <x:c r="U118" s="13">
        <x:v>0</x:v>
      </x:c>
      <x:c r="V118" s="13">
        <x:v>0</x:v>
      </x:c>
      <x:c r="W118" s="13">
        <x:v>0</x:v>
      </x:c>
      <x:c r="X118" s="13">
        <x:v>0</x:v>
      </x:c>
      <x:c r="Y118" s="13">
        <x:v>0</x:v>
      </x:c>
      <x:c r="Z118" s="13">
        <x:v>0</x:v>
      </x:c>
      <x:c r="AA118" s="13">
        <x:v>0</x:v>
      </x:c>
      <x:c r="AB118" s="13">
        <x:v>0</x:v>
      </x:c>
      <x:c r="AC118" s="16">
        <x:v>0</x:v>
      </x:c>
      <x:c r="AF118" s="2" t="s">
        <x:v>34</x:v>
      </x:c>
    </x:row>
    <x:row r="119">
      <x:c r="A119" s="7" t="s">
        <x:v>264</x:v>
      </x:c>
      <x:c r="B119" s="7" t="s">
        <x:v>265</x:v>
      </x:c>
      <x:c r="C119" s="7"/>
      <x:c r="D119" s="9"/>
      <x:c r="E119" s="9"/>
      <x:c r="F119" s="9"/>
      <x:c r="G119" s="9"/>
      <x:c r="H119" s="9"/>
      <x:c r="I119" s="9"/>
      <x:c r="J119" s="9"/>
      <x:c r="K119" s="9"/>
      <x:c r="L119" s="9"/>
      <x:c r="M119" s="9"/>
      <x:c r="N119" s="9"/>
      <x:c r="O119" s="9"/>
      <x:c r="P119" s="9"/>
      <x:c r="Q119" s="13">
        <x:v>0</x:v>
      </x:c>
      <x:c r="R119" s="13">
        <x:v>0</x:v>
      </x:c>
      <x:c r="S119" s="13">
        <x:v>0</x:v>
      </x:c>
      <x:c r="T119" s="13">
        <x:v>0</x:v>
      </x:c>
      <x:c r="U119" s="13">
        <x:v>0</x:v>
      </x:c>
      <x:c r="V119" s="13">
        <x:v>0</x:v>
      </x:c>
      <x:c r="W119" s="13">
        <x:v>0</x:v>
      </x:c>
      <x:c r="X119" s="13">
        <x:v>0</x:v>
      </x:c>
      <x:c r="Y119" s="13">
        <x:v>0</x:v>
      </x:c>
      <x:c r="Z119" s="13">
        <x:v>0</x:v>
      </x:c>
      <x:c r="AA119" s="13">
        <x:v>0</x:v>
      </x:c>
      <x:c r="AB119" s="13">
        <x:v>0</x:v>
      </x:c>
      <x:c r="AC119" s="16">
        <x:v>0</x:v>
      </x:c>
      <x:c r="AF119" s="2" t="s">
        <x:v>107</x:v>
      </x:c>
    </x:row>
    <x:row r="120">
      <x:c r="A120" s="7" t="s">
        <x:v>266</x:v>
      </x:c>
      <x:c r="B120" s="7" t="s">
        <x:v>267</x:v>
      </x:c>
      <x:c r="C120" s="7"/>
      <x:c r="D120" s="25">
        <x:v>7</x:v>
      </x:c>
      <x:c r="E120" s="25">
        <x:v>13</x:v>
      </x:c>
      <x:c r="F120" s="25">
        <x:v>9</x:v>
      </x:c>
      <x:c r="G120" s="25">
        <x:v>15</x:v>
      </x:c>
      <x:c r="H120" s="25">
        <x:v>8</x:v>
      </x:c>
      <x:c r="I120" s="25">
        <x:v>49</x:v>
      </x:c>
      <x:c r="J120" s="25">
        <x:v>26</x:v>
      </x:c>
      <x:c r="K120" s="25">
        <x:v>7</x:v>
      </x:c>
      <x:c r="L120" s="25">
        <x:v>19</x:v>
      </x:c>
      <x:c r="M120" s="25">
        <x:v>7</x:v>
      </x:c>
      <x:c r="N120" s="25">
        <x:v>1</x:v>
      </x:c>
      <x:c r="O120" s="25">
        <x:v>5</x:v>
      </x:c>
      <x:c r="P120" s="25">
        <x:v>7</x:v>
      </x:c>
      <x:c r="Q120" s="17">
        <x:v>0.1254</x:v>
      </x:c>
      <x:c r="R120" s="17">
        <x:v>0.4194</x:v>
      </x:c>
      <x:c r="S120" s="17">
        <x:v>0.4286</x:v>
      </x:c>
      <x:c r="T120" s="17">
        <x:v>0.4839</x:v>
      </x:c>
      <x:c r="U120" s="17">
        <x:v>0.2424</x:v>
      </x:c>
      <x:c r="V120" s="17">
        <x:v>1.129</x:v>
      </x:c>
      <x:c r="W120" s="17">
        <x:v>1.0484</x:v>
      </x:c>
      <x:c r="X120" s="17">
        <x:v>0.3571</x:v>
      </x:c>
      <x:c r="Y120" s="17">
        <x:v>0.681</x:v>
      </x:c>
      <x:c r="Z120" s="23">
        <x:v>0.625</x:v>
      </x:c>
      <x:c r="AA120" s="17">
        <x:v>0.0323</x:v>
      </x:c>
      <x:c r="AB120" s="17">
        <x:v>0.1667</x:v>
      </x:c>
      <x:c r="AC120" s="20">
        <x:v>0.1254</x:v>
      </x:c>
      <x:c r="AD120" s="17">
        <x:v>0.4649</x:v>
      </x:c>
      <x:c r="AE120" s="17">
        <x:v>0.4649</x:v>
      </x:c>
      <x:c r="AF120" s="2" t="s">
        <x:v>107</x:v>
      </x:c>
    </x:row>
    <x:row r="121">
      <x:c r="A121" s="7" t="s">
        <x:v>268</x:v>
      </x:c>
      <x:c r="B121" s="7" t="s">
        <x:v>269</x:v>
      </x:c>
      <x:c r="C121" s="7"/>
      <x:c r="D121" s="25">
        <x:v>18</x:v>
      </x:c>
      <x:c r="E121" s="25">
        <x:v>18</x:v>
      </x:c>
      <x:c r="F121" s="9"/>
      <x:c r="G121" s="25">
        <x:v>15</x:v>
      </x:c>
      <x:c r="H121" s="25">
        <x:v>5</x:v>
      </x:c>
      <x:c r="I121" s="25">
        <x:v>15</x:v>
      </x:c>
      <x:c r="J121" s="25">
        <x:v>18</x:v>
      </x:c>
      <x:c r="K121" s="25">
        <x:v>4</x:v>
      </x:c>
      <x:c r="L121" s="25">
        <x:v>10</x:v>
      </x:c>
      <x:c r="M121" s="25">
        <x:v>3</x:v>
      </x:c>
      <x:c r="N121" s="25">
        <x:v>1</x:v>
      </x:c>
      <x:c r="O121" s="25">
        <x:v>6</x:v>
      </x:c>
      <x:c r="P121" s="25">
        <x:v>5</x:v>
      </x:c>
      <x:c r="Q121" s="23">
        <x:v>0.3448</x:v>
      </x:c>
      <x:c r="R121" s="17">
        <x:v>0.5806</x:v>
      </x:c>
      <x:c r="S121" s="17">
        <x:v>0</x:v>
      </x:c>
      <x:c r="T121" s="17">
        <x:v>0.4839</x:v>
      </x:c>
      <x:c r="U121" s="17">
        <x:v>0.1515</x:v>
      </x:c>
      <x:c r="V121" s="17">
        <x:v>0.3456</x:v>
      </x:c>
      <x:c r="W121" s="17">
        <x:v>0.7258</x:v>
      </x:c>
      <x:c r="X121" s="17">
        <x:v>0.2041</x:v>
      </x:c>
      <x:c r="Y121" s="17">
        <x:v>0.3584</x:v>
      </x:c>
      <x:c r="Z121" s="17">
        <x:v>0.125</x:v>
      </x:c>
      <x:c r="AA121" s="17">
        <x:v>0.0323</x:v>
      </x:c>
      <x:c r="AB121" s="17">
        <x:v>0.2</x:v>
      </x:c>
      <x:c r="AC121" s="20">
        <x:v>0.0896</x:v>
      </x:c>
      <x:c r="AD121" s="17">
        <x:v>0.2916</x:v>
      </x:c>
      <x:c r="AE121" s="17">
        <x:v>0.2916</x:v>
      </x:c>
      <x:c r="AF121" s="2" t="s">
        <x:v>34</x:v>
      </x:c>
    </x:row>
    <x:row r="122">
      <x:c r="A122" s="7" t="s">
        <x:v>270</x:v>
      </x:c>
      <x:c r="B122" s="7" t="s">
        <x:v>271</x:v>
      </x:c>
      <x:c r="C122" s="7"/>
      <x:c r="D122" s="9"/>
      <x:c r="E122" s="9"/>
      <x:c r="F122" s="9"/>
      <x:c r="G122" s="9"/>
      <x:c r="H122" s="9"/>
      <x:c r="I122" s="9"/>
      <x:c r="J122" s="9"/>
      <x:c r="K122" s="9"/>
      <x:c r="L122" s="9"/>
      <x:c r="M122" s="9"/>
      <x:c r="N122" s="25">
        <x:v>-13</x:v>
      </x:c>
      <x:c r="O122" s="9"/>
      <x:c r="P122" s="9"/>
      <x:c r="Q122" s="17">
        <x:v>0</x:v>
      </x:c>
      <x:c r="R122" s="17">
        <x:v>0</x:v>
      </x:c>
      <x:c r="S122" s="17">
        <x:v>0</x:v>
      </x:c>
      <x:c r="T122" s="17">
        <x:v>0</x:v>
      </x:c>
      <x:c r="U122" s="17">
        <x:v>0</x:v>
      </x:c>
      <x:c r="V122" s="17">
        <x:v>0</x:v>
      </x:c>
      <x:c r="W122" s="17">
        <x:v>0</x:v>
      </x:c>
      <x:c r="X122" s="17">
        <x:v>0</x:v>
      </x:c>
      <x:c r="Y122" s="17">
        <x:v>0</x:v>
      </x:c>
      <x:c r="Z122" s="17">
        <x:v>0</x:v>
      </x:c>
      <x:c r="AA122" s="17">
        <x:v>-0.4194</x:v>
      </x:c>
      <x:c r="AB122" s="17">
        <x:v>0</x:v>
      </x:c>
      <x:c r="AC122" s="20">
        <x:v>0</x:v>
      </x:c>
      <x:c r="AF122" s="2" t="s">
        <x:v>107</x:v>
      </x:c>
    </x:row>
    <x:row r="123">
      <x:c r="A123" s="7" t="s">
        <x:v>272</x:v>
      </x:c>
      <x:c r="B123" s="7" t="s">
        <x:v>273</x:v>
      </x:c>
      <x:c r="C123" s="7"/>
      <x:c r="D123" s="25">
        <x:v>13</x:v>
      </x:c>
      <x:c r="E123" s="25">
        <x:v>3</x:v>
      </x:c>
      <x:c r="F123" s="9"/>
      <x:c r="G123" s="25">
        <x:v>13</x:v>
      </x:c>
      <x:c r="H123" s="25">
        <x:v>2</x:v>
      </x:c>
      <x:c r="I123" s="25">
        <x:v>11</x:v>
      </x:c>
      <x:c r="J123" s="25">
        <x:v>9</x:v>
      </x:c>
      <x:c r="K123" s="25">
        <x:v>6</x:v>
      </x:c>
      <x:c r="L123" s="25">
        <x:v>11</x:v>
      </x:c>
      <x:c r="M123" s="25">
        <x:v>11</x:v>
      </x:c>
      <x:c r="N123" s="25">
        <x:v>12</x:v>
      </x:c>
      <x:c r="O123" s="25">
        <x:v>1</x:v>
      </x:c>
      <x:c r="P123" s="25">
        <x:v>3</x:v>
      </x:c>
      <x:c r="Q123" s="17">
        <x:v>0.233</x:v>
      </x:c>
      <x:c r="R123" s="17">
        <x:v>0.0968</x:v>
      </x:c>
      <x:c r="S123" s="17">
        <x:v>0</x:v>
      </x:c>
      <x:c r="T123" s="17">
        <x:v>0.4194</x:v>
      </x:c>
      <x:c r="U123" s="17">
        <x:v>0.0606</x:v>
      </x:c>
      <x:c r="V123" s="17">
        <x:v>0.2535</x:v>
      </x:c>
      <x:c r="W123" s="17">
        <x:v>0.3629</x:v>
      </x:c>
      <x:c r="X123" s="17">
        <x:v>0.3061</x:v>
      </x:c>
      <x:c r="Y123" s="17">
        <x:v>0.3943</x:v>
      </x:c>
      <x:c r="Z123" s="17">
        <x:v>0.4583</x:v>
      </x:c>
      <x:c r="AA123" s="17">
        <x:v>0.3871</x:v>
      </x:c>
      <x:c r="AB123" s="17">
        <x:v>0.0333</x:v>
      </x:c>
      <x:c r="AC123" s="20">
        <x:v>0.0538</x:v>
      </x:c>
      <x:c r="AD123" s="17">
        <x:v>0.2504</x:v>
      </x:c>
      <x:c r="AE123" s="17">
        <x:v>0.2504</x:v>
      </x:c>
      <x:c r="AF123" s="2" t="s">
        <x:v>34</x:v>
      </x:c>
    </x:row>
    <x:row r="124">
      <x:c r="A124" s="7" t="s">
        <x:v>274</x:v>
      </x:c>
      <x:c r="B124" s="7" t="s">
        <x:v>275</x:v>
      </x:c>
      <x:c r="C124" s="7"/>
      <x:c r="D124" s="9"/>
      <x:c r="E124" s="9"/>
      <x:c r="F124" s="9"/>
      <x:c r="G124" s="9"/>
      <x:c r="H124" s="9"/>
      <x:c r="I124" s="9"/>
      <x:c r="J124" s="9"/>
      <x:c r="K124" s="9"/>
      <x:c r="L124" s="9"/>
      <x:c r="M124" s="9"/>
      <x:c r="N124" s="9"/>
      <x:c r="O124" s="9"/>
      <x:c r="P124" s="9"/>
      <x:c r="Q124" s="13">
        <x:v>0</x:v>
      </x:c>
      <x:c r="R124" s="13">
        <x:v>0</x:v>
      </x:c>
      <x:c r="S124" s="13">
        <x:v>0</x:v>
      </x:c>
      <x:c r="T124" s="13">
        <x:v>0</x:v>
      </x:c>
      <x:c r="U124" s="13">
        <x:v>0</x:v>
      </x:c>
      <x:c r="V124" s="13">
        <x:v>0</x:v>
      </x:c>
      <x:c r="W124" s="13">
        <x:v>0</x:v>
      </x:c>
      <x:c r="X124" s="13">
        <x:v>0</x:v>
      </x:c>
      <x:c r="Y124" s="13">
        <x:v>0</x:v>
      </x:c>
      <x:c r="Z124" s="13">
        <x:v>0</x:v>
      </x:c>
      <x:c r="AA124" s="13">
        <x:v>0</x:v>
      </x:c>
      <x:c r="AB124" s="13">
        <x:v>0</x:v>
      </x:c>
      <x:c r="AC124" s="16">
        <x:v>0</x:v>
      </x:c>
      <x:c r="AF124" s="2" t="s">
        <x:v>34</x:v>
      </x:c>
    </x:row>
    <x:row r="125">
      <x:c r="A125" s="7" t="s">
        <x:v>276</x:v>
      </x:c>
      <x:c r="B125" s="7" t="s">
        <x:v>277</x:v>
      </x:c>
      <x:c r="C125" s="7"/>
      <x:c r="D125" s="9"/>
      <x:c r="E125" s="9"/>
      <x:c r="F125" s="9"/>
      <x:c r="G125" s="9"/>
      <x:c r="H125" s="9"/>
      <x:c r="I125" s="9"/>
      <x:c r="J125" s="9"/>
      <x:c r="K125" s="9"/>
      <x:c r="L125" s="9"/>
      <x:c r="M125" s="9"/>
      <x:c r="N125" s="9"/>
      <x:c r="O125" s="9"/>
      <x:c r="P125" s="9"/>
      <x:c r="Q125" s="13">
        <x:v>0</x:v>
      </x:c>
      <x:c r="R125" s="13">
        <x:v>0</x:v>
      </x:c>
      <x:c r="S125" s="13">
        <x:v>0</x:v>
      </x:c>
      <x:c r="T125" s="13">
        <x:v>0</x:v>
      </x:c>
      <x:c r="U125" s="13">
        <x:v>0</x:v>
      </x:c>
      <x:c r="V125" s="13">
        <x:v>0</x:v>
      </x:c>
      <x:c r="W125" s="13">
        <x:v>0</x:v>
      </x:c>
      <x:c r="X125" s="13">
        <x:v>0</x:v>
      </x:c>
      <x:c r="Y125" s="13">
        <x:v>0</x:v>
      </x:c>
      <x:c r="Z125" s="13">
        <x:v>0</x:v>
      </x:c>
      <x:c r="AA125" s="13">
        <x:v>0</x:v>
      </x:c>
      <x:c r="AB125" s="13">
        <x:v>0</x:v>
      </x:c>
      <x:c r="AC125" s="16">
        <x:v>0</x:v>
      </x:c>
      <x:c r="AF125" s="2" t="s">
        <x:v>34</x:v>
      </x:c>
    </x:row>
    <x:row r="126">
      <x:c r="A126" s="7" t="s">
        <x:v>278</x:v>
      </x:c>
      <x:c r="B126" s="7" t="s">
        <x:v>279</x:v>
      </x:c>
      <x:c r="C126" s="7"/>
      <x:c r="D126" s="9"/>
      <x:c r="E126" s="9"/>
      <x:c r="F126" s="9"/>
      <x:c r="G126" s="9"/>
      <x:c r="H126" s="9"/>
      <x:c r="I126" s="9"/>
      <x:c r="J126" s="9"/>
      <x:c r="K126" s="9"/>
      <x:c r="L126" s="9"/>
      <x:c r="M126" s="9"/>
      <x:c r="N126" s="9"/>
      <x:c r="O126" s="9"/>
      <x:c r="P126" s="9"/>
      <x:c r="Q126" s="13">
        <x:v>0</x:v>
      </x:c>
      <x:c r="R126" s="13">
        <x:v>0</x:v>
      </x:c>
      <x:c r="S126" s="13">
        <x:v>0</x:v>
      </x:c>
      <x:c r="T126" s="13">
        <x:v>0</x:v>
      </x:c>
      <x:c r="U126" s="13">
        <x:v>0</x:v>
      </x:c>
      <x:c r="V126" s="13">
        <x:v>0</x:v>
      </x:c>
      <x:c r="W126" s="13">
        <x:v>0</x:v>
      </x:c>
      <x:c r="X126" s="13">
        <x:v>0</x:v>
      </x:c>
      <x:c r="Y126" s="13">
        <x:v>0</x:v>
      </x:c>
      <x:c r="Z126" s="13">
        <x:v>0</x:v>
      </x:c>
      <x:c r="AA126" s="13">
        <x:v>0</x:v>
      </x:c>
      <x:c r="AB126" s="13">
        <x:v>0</x:v>
      </x:c>
      <x:c r="AC126" s="16">
        <x:v>0</x:v>
      </x:c>
      <x:c r="AF126" s="2" t="s">
        <x:v>34</x:v>
      </x:c>
    </x:row>
    <x:row r="127">
      <x:c r="A127" s="7" t="s">
        <x:v>280</x:v>
      </x:c>
      <x:c r="B127" s="7" t="s">
        <x:v>281</x:v>
      </x:c>
      <x:c r="C127" s="7"/>
      <x:c r="D127" s="9"/>
      <x:c r="E127" s="9"/>
      <x:c r="F127" s="9"/>
      <x:c r="G127" s="9"/>
      <x:c r="H127" s="9"/>
      <x:c r="I127" s="9"/>
      <x:c r="J127" s="9"/>
      <x:c r="K127" s="9"/>
      <x:c r="L127" s="9"/>
      <x:c r="M127" s="9"/>
      <x:c r="N127" s="9"/>
      <x:c r="O127" s="9"/>
      <x:c r="P127" s="9"/>
      <x:c r="Q127" s="13">
        <x:v>0</x:v>
      </x:c>
      <x:c r="R127" s="13">
        <x:v>0</x:v>
      </x:c>
      <x:c r="S127" s="13">
        <x:v>0</x:v>
      </x:c>
      <x:c r="T127" s="13">
        <x:v>0</x:v>
      </x:c>
      <x:c r="U127" s="13">
        <x:v>0</x:v>
      </x:c>
      <x:c r="V127" s="13">
        <x:v>0</x:v>
      </x:c>
      <x:c r="W127" s="13">
        <x:v>0</x:v>
      </x:c>
      <x:c r="X127" s="13">
        <x:v>0</x:v>
      </x:c>
      <x:c r="Y127" s="13">
        <x:v>0</x:v>
      </x:c>
      <x:c r="Z127" s="13">
        <x:v>0</x:v>
      </x:c>
      <x:c r="AA127" s="13">
        <x:v>0</x:v>
      </x:c>
      <x:c r="AB127" s="13">
        <x:v>0</x:v>
      </x:c>
      <x:c r="AC127" s="16">
        <x:v>0</x:v>
      </x:c>
      <x:c r="AF127" s="2" t="s">
        <x:v>34</x:v>
      </x:c>
    </x:row>
    <x:row r="128">
      <x:c r="A128" s="6" t="s">
        <x:v>282</x:v>
      </x:c>
      <x:c r="B128" s="7" t="s">
        <x:v>283</x:v>
      </x:c>
      <x:c r="C128" s="7"/>
      <x:c r="D128" s="9"/>
      <x:c r="E128" s="9"/>
      <x:c r="F128" s="9"/>
      <x:c r="G128" s="9"/>
      <x:c r="H128" s="9"/>
      <x:c r="I128" s="9"/>
      <x:c r="J128" s="9"/>
      <x:c r="K128" s="9"/>
      <x:c r="L128" s="9"/>
      <x:c r="M128" s="9"/>
      <x:c r="N128" s="9"/>
      <x:c r="O128" s="9"/>
      <x:c r="P128" s="9"/>
      <x:c r="Q128" s="17">
        <x:v>0</x:v>
      </x:c>
      <x:c r="R128" s="17">
        <x:v>0</x:v>
      </x:c>
      <x:c r="S128" s="17">
        <x:v>0</x:v>
      </x:c>
      <x:c r="T128" s="17">
        <x:v>0</x:v>
      </x:c>
      <x:c r="U128" s="17">
        <x:v>0</x:v>
      </x:c>
      <x:c r="V128" s="17">
        <x:v>0</x:v>
      </x:c>
      <x:c r="W128" s="17">
        <x:v>0</x:v>
      </x:c>
      <x:c r="X128" s="17">
        <x:v>0</x:v>
      </x:c>
      <x:c r="Y128" s="17">
        <x:v>0</x:v>
      </x:c>
      <x:c r="Z128" s="17">
        <x:v>0</x:v>
      </x:c>
      <x:c r="AA128" s="17">
        <x:v>0</x:v>
      </x:c>
      <x:c r="AB128" s="17">
        <x:v>0</x:v>
      </x:c>
      <x:c r="AC128" s="20">
        <x:v>0</x:v>
      </x:c>
      <x:c r="AF128" s="2" t="s">
        <x:v>107</x:v>
      </x:c>
    </x:row>
    <x:row r="129">
      <x:c r="A129" s="7" t="s">
        <x:v>284</x:v>
      </x:c>
      <x:c r="B129" s="7" t="s">
        <x:v>285</x:v>
      </x:c>
      <x:c r="C129" s="7"/>
      <x:c r="D129" s="25">
        <x:v>1</x:v>
      </x:c>
      <x:c r="E129" s="25">
        <x:v>1</x:v>
      </x:c>
      <x:c r="F129" s="25">
        <x:v>1</x:v>
      </x:c>
      <x:c r="G129" s="25">
        <x:v>1</x:v>
      </x:c>
      <x:c r="H129" s="25">
        <x:v>1</x:v>
      </x:c>
      <x:c r="I129" s="25">
        <x:v>5</x:v>
      </x:c>
      <x:c r="J129" s="25">
        <x:v>5</x:v>
      </x:c>
      <x:c r="K129" s="25">
        <x:v>10</x:v>
      </x:c>
      <x:c r="L129" s="25">
        <x:v>5</x:v>
      </x:c>
      <x:c r="M129" s="25">
        <x:v>2</x:v>
      </x:c>
      <x:c r="N129" s="9"/>
      <x:c r="O129" s="25">
        <x:v>5</x:v>
      </x:c>
      <x:c r="P129" s="9"/>
      <x:c r="Q129" s="17">
        <x:v>0.0323</x:v>
      </x:c>
      <x:c r="R129" s="17">
        <x:v>0.0323</x:v>
      </x:c>
      <x:c r="S129" s="17">
        <x:v>0.0333</x:v>
      </x:c>
      <x:c r="T129" s="17">
        <x:v>0.0323</x:v>
      </x:c>
      <x:c r="U129" s="17">
        <x:v>0.0333</x:v>
      </x:c>
      <x:c r="V129" s="17">
        <x:v>0.1613</x:v>
      </x:c>
      <x:c r="W129" s="17">
        <x:v>0.1613</x:v>
      </x:c>
      <x:c r="X129" s="17">
        <x:v>0.3571</x:v>
      </x:c>
      <x:c r="Y129" s="17">
        <x:v>0.1613</x:v>
      </x:c>
      <x:c r="Z129" s="17">
        <x:v>0.0667</x:v>
      </x:c>
      <x:c r="AA129" s="17">
        <x:v>0</x:v>
      </x:c>
      <x:c r="AB129" s="17">
        <x:v>0.1667</x:v>
      </x:c>
      <x:c r="AC129" s="20">
        <x:v>0</x:v>
      </x:c>
      <x:c r="AD129" s="17">
        <x:v>0.1032</x:v>
      </x:c>
      <x:c r="AE129" s="17">
        <x:v>0.1032</x:v>
      </x:c>
      <x:c r="AF129" s="2" t="s">
        <x:v>34</x:v>
      </x:c>
    </x:row>
    <x:row r="130">
      <x:c r="A130" s="7" t="s">
        <x:v>286</x:v>
      </x:c>
      <x:c r="B130" s="7" t="s">
        <x:v>287</x:v>
      </x:c>
      <x:c r="C130" s="7"/>
      <x:c r="D130" s="25">
        <x:v>11</x:v>
      </x:c>
      <x:c r="E130" s="25">
        <x:v>2</x:v>
      </x:c>
      <x:c r="F130" s="25">
        <x:v>4</x:v>
      </x:c>
      <x:c r="G130" s="25">
        <x:v>14</x:v>
      </x:c>
      <x:c r="H130" s="25">
        <x:v>2</x:v>
      </x:c>
      <x:c r="I130" s="25">
        <x:v>11</x:v>
      </x:c>
      <x:c r="J130" s="25">
        <x:v>10</x:v>
      </x:c>
      <x:c r="K130" s="25">
        <x:v>4</x:v>
      </x:c>
      <x:c r="L130" s="25">
        <x:v>3</x:v>
      </x:c>
      <x:c r="M130" s="25">
        <x:v>8</x:v>
      </x:c>
      <x:c r="N130" s="25">
        <x:v>4</x:v>
      </x:c>
      <x:c r="O130" s="25">
        <x:v>5</x:v>
      </x:c>
      <x:c r="P130" s="9"/>
      <x:c r="Q130" s="17">
        <x:v>0.1971</x:v>
      </x:c>
      <x:c r="R130" s="17">
        <x:v>0.0645</x:v>
      </x:c>
      <x:c r="S130" s="17">
        <x:v>0.1905</x:v>
      </x:c>
      <x:c r="T130" s="17">
        <x:v>0.4516</x:v>
      </x:c>
      <x:c r="U130" s="17">
        <x:v>0.0606</x:v>
      </x:c>
      <x:c r="V130" s="17">
        <x:v>0.2535</x:v>
      </x:c>
      <x:c r="W130" s="17">
        <x:v>0.4032</x:v>
      </x:c>
      <x:c r="X130" s="23">
        <x:v>0.4762</x:v>
      </x:c>
      <x:c r="Y130" s="23">
        <x:v>0.1515</x:v>
      </x:c>
      <x:c r="Z130" s="17">
        <x:v>0.3333</x:v>
      </x:c>
      <x:c r="AA130" s="17">
        <x:v>0.129</x:v>
      </x:c>
      <x:c r="AB130" s="17">
        <x:v>0.1667</x:v>
      </x:c>
      <x:c r="AC130" s="20">
        <x:v>0</x:v>
      </x:c>
      <x:c r="AD130" s="17">
        <x:v>0.225</x:v>
      </x:c>
      <x:c r="AE130" s="17">
        <x:v>0.225</x:v>
      </x:c>
      <x:c r="AF130" s="2" t="s">
        <x:v>34</x:v>
      </x:c>
    </x:row>
    <x:row r="131">
      <x:c r="A131" s="7" t="s">
        <x:v>288</x:v>
      </x:c>
      <x:c r="B131" s="7" t="s">
        <x:v>289</x:v>
      </x:c>
      <x:c r="C131" s="7"/>
      <x:c r="D131" s="9"/>
      <x:c r="E131" s="9"/>
      <x:c r="F131" s="9"/>
      <x:c r="G131" s="9"/>
      <x:c r="H131" s="9"/>
      <x:c r="I131" s="9"/>
      <x:c r="J131" s="9"/>
      <x:c r="K131" s="9"/>
      <x:c r="L131" s="9"/>
      <x:c r="M131" s="9"/>
      <x:c r="N131" s="9"/>
      <x:c r="O131" s="9"/>
      <x:c r="P131" s="9"/>
      <x:c r="Q131" s="13">
        <x:v>0</x:v>
      </x:c>
      <x:c r="R131" s="13">
        <x:v>0</x:v>
      </x:c>
      <x:c r="S131" s="13">
        <x:v>0</x:v>
      </x:c>
      <x:c r="T131" s="13">
        <x:v>0</x:v>
      </x:c>
      <x:c r="U131" s="13">
        <x:v>0</x:v>
      </x:c>
      <x:c r="V131" s="13">
        <x:v>0</x:v>
      </x:c>
      <x:c r="W131" s="13">
        <x:v>0</x:v>
      </x:c>
      <x:c r="X131" s="13">
        <x:v>0</x:v>
      </x:c>
      <x:c r="Y131" s="13">
        <x:v>0</x:v>
      </x:c>
      <x:c r="Z131" s="13">
        <x:v>0</x:v>
      </x:c>
      <x:c r="AA131" s="13">
        <x:v>0</x:v>
      </x:c>
      <x:c r="AB131" s="13">
        <x:v>0</x:v>
      </x:c>
      <x:c r="AC131" s="16">
        <x:v>0</x:v>
      </x:c>
      <x:c r="AF131" s="2" t="s">
        <x:v>107</x:v>
      </x:c>
    </x:row>
    <x:row r="132">
      <x:c r="A132" s="7" t="s">
        <x:v>290</x:v>
      </x:c>
      <x:c r="B132" s="7" t="s">
        <x:v>291</x:v>
      </x:c>
      <x:c r="C132" s="7" t="s">
        <x:v>292</x:v>
      </x:c>
      <x:c r="D132" s="9"/>
      <x:c r="E132" s="9"/>
      <x:c r="F132" s="9"/>
      <x:c r="G132" s="9"/>
      <x:c r="H132" s="9"/>
      <x:c r="I132" s="9"/>
      <x:c r="J132" s="9"/>
      <x:c r="K132" s="9"/>
      <x:c r="L132" s="9"/>
      <x:c r="M132" s="9"/>
      <x:c r="N132" s="9"/>
      <x:c r="O132" s="9"/>
      <x:c r="P132" s="9"/>
      <x:c r="Q132" s="13">
        <x:v>0</x:v>
      </x:c>
      <x:c r="R132" s="13">
        <x:v>0</x:v>
      </x:c>
      <x:c r="S132" s="13">
        <x:v>0</x:v>
      </x:c>
      <x:c r="T132" s="13">
        <x:v>0</x:v>
      </x:c>
      <x:c r="U132" s="13">
        <x:v>0</x:v>
      </x:c>
      <x:c r="V132" s="13">
        <x:v>0</x:v>
      </x:c>
      <x:c r="W132" s="13">
        <x:v>0</x:v>
      </x:c>
      <x:c r="X132" s="13">
        <x:v>0</x:v>
      </x:c>
      <x:c r="Y132" s="13">
        <x:v>0</x:v>
      </x:c>
      <x:c r="Z132" s="13">
        <x:v>0</x:v>
      </x:c>
      <x:c r="AA132" s="13">
        <x:v>0</x:v>
      </x:c>
      <x:c r="AB132" s="13">
        <x:v>0</x:v>
      </x:c>
      <x:c r="AC132" s="16">
        <x:v>0</x:v>
      </x:c>
      <x:c r="AF132" s="2" t="s">
        <x:v>34</x:v>
      </x:c>
    </x:row>
    <x:row r="133">
      <x:c r="A133" s="7" t="s">
        <x:v>293</x:v>
      </x:c>
      <x:c r="B133" s="7" t="s">
        <x:v>294</x:v>
      </x:c>
      <x:c r="C133" s="7"/>
      <x:c r="D133" s="25">
        <x:v>2</x:v>
      </x:c>
      <x:c r="E133" s="25">
        <x:v>1</x:v>
      </x:c>
      <x:c r="F133" s="25">
        <x:v>1</x:v>
      </x:c>
      <x:c r="G133" s="25">
        <x:v>2</x:v>
      </x:c>
      <x:c r="H133" s="25">
        <x:v>2</x:v>
      </x:c>
      <x:c r="I133" s="25">
        <x:v>5</x:v>
      </x:c>
      <x:c r="J133" s="9"/>
      <x:c r="K133" s="25">
        <x:v>7</x:v>
      </x:c>
      <x:c r="L133" s="25">
        <x:v>4</x:v>
      </x:c>
      <x:c r="M133" s="25">
        <x:v>2</x:v>
      </x:c>
      <x:c r="N133" s="9"/>
      <x:c r="O133" s="25">
        <x:v>3</x:v>
      </x:c>
      <x:c r="P133" s="9"/>
      <x:c r="Q133" s="17">
        <x:v>0.0645</x:v>
      </x:c>
      <x:c r="R133" s="17">
        <x:v>0.0323</x:v>
      </x:c>
      <x:c r="S133" s="17">
        <x:v>0.0333</x:v>
      </x:c>
      <x:c r="T133" s="17">
        <x:v>0.0645</x:v>
      </x:c>
      <x:c r="U133" s="17">
        <x:v>0.0667</x:v>
      </x:c>
      <x:c r="V133" s="17">
        <x:v>0.1613</x:v>
      </x:c>
      <x:c r="W133" s="17">
        <x:v>0</x:v>
      </x:c>
      <x:c r="X133" s="17">
        <x:v>0.25</x:v>
      </x:c>
      <x:c r="Y133" s="17">
        <x:v>0.129</x:v>
      </x:c>
      <x:c r="Z133" s="17">
        <x:v>0.0667</x:v>
      </x:c>
      <x:c r="AA133" s="17">
        <x:v>0</x:v>
      </x:c>
      <x:c r="AB133" s="17">
        <x:v>0.1</x:v>
      </x:c>
      <x:c r="AC133" s="20">
        <x:v>0</x:v>
      </x:c>
      <x:c r="AD133" s="17">
        <x:v>0.0807</x:v>
      </x:c>
      <x:c r="AE133" s="17">
        <x:v>0.0807</x:v>
      </x:c>
      <x:c r="AF133" s="2" t="s">
        <x:v>34</x:v>
      </x:c>
    </x:row>
    <x:row r="134">
      <x:c r="A134" s="7" t="s">
        <x:v>295</x:v>
      </x:c>
      <x:c r="B134" s="7" t="s">
        <x:v>296</x:v>
      </x:c>
      <x:c r="C134" s="7"/>
      <x:c r="D134" s="25">
        <x:v>2</x:v>
      </x:c>
      <x:c r="E134" s="25">
        <x:v>1</x:v>
      </x:c>
      <x:c r="F134" s="25">
        <x:v>4</x:v>
      </x:c>
      <x:c r="G134" s="25">
        <x:v>22</x:v>
      </x:c>
      <x:c r="H134" s="25">
        <x:v>6</x:v>
      </x:c>
      <x:c r="I134" s="25">
        <x:v>6</x:v>
      </x:c>
      <x:c r="J134" s="25">
        <x:v>8</x:v>
      </x:c>
      <x:c r="K134" s="25">
        <x:v>15</x:v>
      </x:c>
      <x:c r="L134" s="25">
        <x:v>1</x:v>
      </x:c>
      <x:c r="M134" s="25">
        <x:v>7</x:v>
      </x:c>
      <x:c r="N134" s="9"/>
      <x:c r="O134" s="25">
        <x:v>4</x:v>
      </x:c>
      <x:c r="P134" s="25">
        <x:v>3</x:v>
      </x:c>
      <x:c r="Q134" s="13">
        <x:v>0</x:v>
      </x:c>
      <x:c r="R134" s="13">
        <x:v>0</x:v>
      </x:c>
      <x:c r="S134" s="23">
        <x:v>0.2041</x:v>
      </x:c>
      <x:c r="T134" s="17">
        <x:v>0.7097</x:v>
      </x:c>
      <x:c r="U134" s="17">
        <x:v>0.1818</x:v>
      </x:c>
      <x:c r="V134" s="17">
        <x:v>0.1382</x:v>
      </x:c>
      <x:c r="W134" s="17">
        <x:v>0.3226</x:v>
      </x:c>
      <x:c r="X134" s="17">
        <x:v>0.7653</x:v>
      </x:c>
      <x:c r="Y134" s="17">
        <x:v>0.0358</x:v>
      </x:c>
      <x:c r="Z134" s="17">
        <x:v>0.2917</x:v>
      </x:c>
      <x:c r="AA134" s="17">
        <x:v>0</x:v>
      </x:c>
      <x:c r="AB134" s="17">
        <x:v>0.1333</x:v>
      </x:c>
      <x:c r="AC134" s="20">
        <x:v>0.0538</x:v>
      </x:c>
      <x:c r="AD134" s="17">
        <x:v>0.2865</x:v>
      </x:c>
      <x:c r="AE134" s="17">
        <x:v>0.2865</x:v>
      </x:c>
      <x:c r="AF134" s="2" t="s">
        <x:v>34</x:v>
      </x:c>
    </x:row>
    <x:row r="135">
      <x:c r="A135" s="7" t="s">
        <x:v>297</x:v>
      </x:c>
      <x:c r="B135" s="7" t="s">
        <x:v>298</x:v>
      </x:c>
      <x:c r="C135" s="7"/>
      <x:c r="D135" s="25">
        <x:v>3</x:v>
      </x:c>
      <x:c r="E135" s="25">
        <x:v>9</x:v>
      </x:c>
      <x:c r="F135" s="25">
        <x:v>2</x:v>
      </x:c>
      <x:c r="G135" s="25">
        <x:v>4</x:v>
      </x:c>
      <x:c r="H135" s="9"/>
      <x:c r="I135" s="25">
        <x:v>2</x:v>
      </x:c>
      <x:c r="J135" s="25">
        <x:v>4</x:v>
      </x:c>
      <x:c r="K135" s="25">
        <x:v>1</x:v>
      </x:c>
      <x:c r="L135" s="25">
        <x:v>2</x:v>
      </x:c>
      <x:c r="M135" s="25">
        <x:v>2</x:v>
      </x:c>
      <x:c r="N135" s="9"/>
      <x:c r="O135" s="25">
        <x:v>2</x:v>
      </x:c>
      <x:c r="P135" s="9"/>
      <x:c r="Q135" s="17">
        <x:v>0.0538</x:v>
      </x:c>
      <x:c r="R135" s="17">
        <x:v>0.2903</x:v>
      </x:c>
      <x:c r="S135" s="17">
        <x:v>0.0952</x:v>
      </x:c>
      <x:c r="T135" s="17">
        <x:v>0.129</x:v>
      </x:c>
      <x:c r="U135" s="17">
        <x:v>0</x:v>
      </x:c>
      <x:c r="V135" s="17">
        <x:v>0.0461</x:v>
      </x:c>
      <x:c r="W135" s="17">
        <x:v>0.1613</x:v>
      </x:c>
      <x:c r="X135" s="17">
        <x:v>0.051</x:v>
      </x:c>
      <x:c r="Y135" s="17">
        <x:v>0.0717</x:v>
      </x:c>
      <x:c r="Z135" s="17">
        <x:v>0.0833</x:v>
      </x:c>
      <x:c r="AA135" s="17">
        <x:v>0</x:v>
      </x:c>
      <x:c r="AB135" s="17">
        <x:v>0.0667</x:v>
      </x:c>
      <x:c r="AC135" s="20">
        <x:v>0</x:v>
      </x:c>
      <x:c r="AD135" s="17">
        <x:v>0.0874</x:v>
      </x:c>
      <x:c r="AE135" s="17">
        <x:v>0.0874</x:v>
      </x:c>
      <x:c r="AF135" s="2" t="s">
        <x:v>34</x:v>
      </x:c>
    </x:row>
    <x:row r="136">
      <x:c r="A136" s="7" t="s">
        <x:v>299</x:v>
      </x:c>
      <x:c r="B136" s="7" t="s">
        <x:v>300</x:v>
      </x:c>
      <x:c r="C136" s="7"/>
      <x:c r="D136" s="25">
        <x:v>2</x:v>
      </x:c>
      <x:c r="E136" s="25">
        <x:v>1</x:v>
      </x:c>
      <x:c r="F136" s="25">
        <x:v>3</x:v>
      </x:c>
      <x:c r="G136" s="25">
        <x:v>6</x:v>
      </x:c>
      <x:c r="H136" s="9"/>
      <x:c r="I136" s="25">
        <x:v>5</x:v>
      </x:c>
      <x:c r="J136" s="9"/>
      <x:c r="K136" s="25">
        <x:v>3</x:v>
      </x:c>
      <x:c r="L136" s="9"/>
      <x:c r="M136" s="25">
        <x:v>2</x:v>
      </x:c>
      <x:c r="N136" s="9"/>
      <x:c r="O136" s="9"/>
      <x:c r="P136" s="9"/>
      <x:c r="Q136" s="17">
        <x:v>0.0496</x:v>
      </x:c>
      <x:c r="R136" s="17">
        <x:v>0.0323</x:v>
      </x:c>
      <x:c r="S136" s="17">
        <x:v>0.1429</x:v>
      </x:c>
      <x:c r="T136" s="17">
        <x:v>0.1935</x:v>
      </x:c>
      <x:c r="U136" s="17">
        <x:v>0</x:v>
      </x:c>
      <x:c r="V136" s="17">
        <x:v>0.0949</x:v>
      </x:c>
      <x:c r="W136" s="17">
        <x:v>0</x:v>
      </x:c>
      <x:c r="X136" s="17">
        <x:v>0.1786</x:v>
      </x:c>
      <x:c r="Y136" s="17">
        <x:v>0</x:v>
      </x:c>
      <x:c r="Z136" s="23">
        <x:v>0.3401</x:v>
      </x:c>
      <x:c r="AA136" s="13">
        <x:v>0</x:v>
      </x:c>
      <x:c r="AB136" s="13">
        <x:v>0</x:v>
      </x:c>
      <x:c r="AC136" s="16">
        <x:v>0</x:v>
      </x:c>
      <x:c r="AD136" s="17">
        <x:v>0.0769</x:v>
      </x:c>
      <x:c r="AE136" s="17">
        <x:v>0.0769</x:v>
      </x:c>
      <x:c r="AF136" s="2" t="s">
        <x:v>34</x:v>
      </x:c>
    </x:row>
    <x:row r="137">
      <x:c r="A137" s="7" t="s">
        <x:v>301</x:v>
      </x:c>
      <x:c r="B137" s="7" t="s">
        <x:v>302</x:v>
      </x:c>
      <x:c r="C137" s="7"/>
      <x:c r="D137" s="9"/>
      <x:c r="E137" s="9"/>
      <x:c r="F137" s="9"/>
      <x:c r="G137" s="9"/>
      <x:c r="H137" s="9"/>
      <x:c r="I137" s="9"/>
      <x:c r="J137" s="9"/>
      <x:c r="K137" s="9"/>
      <x:c r="L137" s="9"/>
      <x:c r="M137" s="9"/>
      <x:c r="N137" s="9"/>
      <x:c r="O137" s="9"/>
      <x:c r="P137" s="9"/>
      <x:c r="Q137" s="13">
        <x:v>0</x:v>
      </x:c>
      <x:c r="R137" s="13">
        <x:v>0</x:v>
      </x:c>
      <x:c r="S137" s="13">
        <x:v>0</x:v>
      </x:c>
      <x:c r="T137" s="13">
        <x:v>0</x:v>
      </x:c>
      <x:c r="U137" s="13">
        <x:v>0</x:v>
      </x:c>
      <x:c r="V137" s="13">
        <x:v>0</x:v>
      </x:c>
      <x:c r="W137" s="13">
        <x:v>0</x:v>
      </x:c>
      <x:c r="X137" s="13">
        <x:v>0</x:v>
      </x:c>
      <x:c r="Y137" s="13">
        <x:v>0</x:v>
      </x:c>
      <x:c r="Z137" s="13">
        <x:v>0</x:v>
      </x:c>
      <x:c r="AA137" s="13">
        <x:v>0</x:v>
      </x:c>
      <x:c r="AB137" s="13">
        <x:v>0</x:v>
      </x:c>
      <x:c r="AC137" s="16">
        <x:v>0</x:v>
      </x:c>
      <x:c r="AF137" s="2" t="s">
        <x:v>34</x:v>
      </x:c>
    </x:row>
    <x:row r="138">
      <x:c r="A138" s="7" t="s">
        <x:v>303</x:v>
      </x:c>
      <x:c r="B138" s="7" t="s">
        <x:v>304</x:v>
      </x:c>
      <x:c r="C138" s="7"/>
      <x:c r="D138" s="25">
        <x:v>10</x:v>
      </x:c>
      <x:c r="E138" s="25">
        <x:v>12</x:v>
      </x:c>
      <x:c r="F138" s="25">
        <x:v>11</x:v>
      </x:c>
      <x:c r="G138" s="25">
        <x:v>7</x:v>
      </x:c>
      <x:c r="H138" s="25">
        <x:v>4</x:v>
      </x:c>
      <x:c r="I138" s="25">
        <x:v>10</x:v>
      </x:c>
      <x:c r="J138" s="25">
        <x:v>8</x:v>
      </x:c>
      <x:c r="K138" s="25">
        <x:v>2</x:v>
      </x:c>
      <x:c r="L138" s="9"/>
      <x:c r="M138" s="9"/>
      <x:c r="N138" s="25">
        <x:v>6</x:v>
      </x:c>
      <x:c r="O138" s="25">
        <x:v>9</x:v>
      </x:c>
      <x:c r="P138" s="25">
        <x:v>7</x:v>
      </x:c>
      <x:c r="Q138" s="17">
        <x:v>0.1792</x:v>
      </x:c>
      <x:c r="R138" s="17">
        <x:v>0.3871</x:v>
      </x:c>
      <x:c r="S138" s="17">
        <x:v>0.5238</x:v>
      </x:c>
      <x:c r="T138" s="17">
        <x:v>0.2258</x:v>
      </x:c>
      <x:c r="U138" s="17">
        <x:v>0.1212</x:v>
      </x:c>
      <x:c r="V138" s="17">
        <x:v>0.2304</x:v>
      </x:c>
      <x:c r="W138" s="17">
        <x:v>0.3226</x:v>
      </x:c>
      <x:c r="X138" s="17">
        <x:v>0.102</x:v>
      </x:c>
      <x:c r="Y138" s="17">
        <x:v>0</x:v>
      </x:c>
      <x:c r="Z138" s="17">
        <x:v>0</x:v>
      </x:c>
      <x:c r="AA138" s="17">
        <x:v>0.1935</x:v>
      </x:c>
      <x:c r="AB138" s="17">
        <x:v>0.3</x:v>
      </x:c>
      <x:c r="AC138" s="20">
        <x:v>0.1254</x:v>
      </x:c>
      <x:c r="AD138" s="17">
        <x:v>0.2155</x:v>
      </x:c>
      <x:c r="AE138" s="17">
        <x:v>0.2155</x:v>
      </x:c>
      <x:c r="AF138" s="2" t="s">
        <x:v>34</x:v>
      </x:c>
    </x:row>
    <x:row r="139">
      <x:c r="A139" s="7" t="s">
        <x:v>305</x:v>
      </x:c>
      <x:c r="B139" s="7" t="s">
        <x:v>306</x:v>
      </x:c>
      <x:c r="C139" s="7"/>
      <x:c r="D139" s="9"/>
      <x:c r="E139" s="9"/>
      <x:c r="F139" s="9"/>
      <x:c r="G139" s="9"/>
      <x:c r="H139" s="9"/>
      <x:c r="I139" s="9"/>
      <x:c r="J139" s="9"/>
      <x:c r="K139" s="9"/>
      <x:c r="L139" s="9"/>
      <x:c r="M139" s="9"/>
      <x:c r="N139" s="9"/>
      <x:c r="O139" s="9"/>
      <x:c r="P139" s="9"/>
      <x:c r="Q139" s="13">
        <x:v>0</x:v>
      </x:c>
      <x:c r="R139" s="13">
        <x:v>0</x:v>
      </x:c>
      <x:c r="S139" s="13">
        <x:v>0</x:v>
      </x:c>
      <x:c r="T139" s="13">
        <x:v>0</x:v>
      </x:c>
      <x:c r="U139" s="13">
        <x:v>0</x:v>
      </x:c>
      <x:c r="V139" s="13">
        <x:v>0</x:v>
      </x:c>
      <x:c r="W139" s="13">
        <x:v>0</x:v>
      </x:c>
      <x:c r="X139" s="13">
        <x:v>0</x:v>
      </x:c>
      <x:c r="Y139" s="13">
        <x:v>0</x:v>
      </x:c>
      <x:c r="Z139" s="13">
        <x:v>0</x:v>
      </x:c>
      <x:c r="AA139" s="13">
        <x:v>0</x:v>
      </x:c>
      <x:c r="AB139" s="13">
        <x:v>0</x:v>
      </x:c>
      <x:c r="AC139" s="16">
        <x:v>0</x:v>
      </x:c>
      <x:c r="AF139" s="2" t="s">
        <x:v>107</x:v>
      </x:c>
    </x:row>
    <x:row r="140">
      <x:c r="A140" s="7" t="s">
        <x:v>307</x:v>
      </x:c>
      <x:c r="B140" s="7" t="s">
        <x:v>308</x:v>
      </x:c>
      <x:c r="C140" s="7"/>
      <x:c r="D140" s="9"/>
      <x:c r="E140" s="9"/>
      <x:c r="F140" s="25">
        <x:v>20</x:v>
      </x:c>
      <x:c r="G140" s="9"/>
      <x:c r="H140" s="9"/>
      <x:c r="I140" s="9"/>
      <x:c r="J140" s="25">
        <x:v>-1</x:v>
      </x:c>
      <x:c r="K140" s="9"/>
      <x:c r="L140" s="9"/>
      <x:c r="M140" s="9"/>
      <x:c r="N140" s="9"/>
      <x:c r="O140" s="9"/>
      <x:c r="P140" s="9"/>
      <x:c r="Q140" s="13">
        <x:v>0</x:v>
      </x:c>
      <x:c r="R140" s="13">
        <x:v>0</x:v>
      </x:c>
      <x:c r="S140" s="23">
        <x:v>5.7143</x:v>
      </x:c>
      <x:c r="T140" s="13">
        <x:v>0</x:v>
      </x:c>
      <x:c r="U140" s="13">
        <x:v>0</x:v>
      </x:c>
      <x:c r="V140" s="13">
        <x:v>0</x:v>
      </x:c>
      <x:c r="W140" s="13">
        <x:v>0</x:v>
      </x:c>
      <x:c r="X140" s="13">
        <x:v>0</x:v>
      </x:c>
      <x:c r="Y140" s="13">
        <x:v>0</x:v>
      </x:c>
      <x:c r="Z140" s="13">
        <x:v>0</x:v>
      </x:c>
      <x:c r="AA140" s="13">
        <x:v>0</x:v>
      </x:c>
      <x:c r="AB140" s="13">
        <x:v>0</x:v>
      </x:c>
      <x:c r="AC140" s="16">
        <x:v>0</x:v>
      </x:c>
      <x:c r="AF140" s="2" t="s">
        <x:v>107</x:v>
      </x:c>
    </x:row>
    <x:row r="141">
      <x:c r="A141" s="7" t="s">
        <x:v>309</x:v>
      </x:c>
      <x:c r="B141" s="7" t="s">
        <x:v>310</x:v>
      </x:c>
      <x:c r="C141" s="7"/>
      <x:c r="D141" s="25">
        <x:v>18</x:v>
      </x:c>
      <x:c r="E141" s="25">
        <x:v>16</x:v>
      </x:c>
      <x:c r="F141" s="25">
        <x:v>13</x:v>
      </x:c>
      <x:c r="G141" s="25">
        <x:v>12</x:v>
      </x:c>
      <x:c r="H141" s="25">
        <x:v>30</x:v>
      </x:c>
      <x:c r="I141" s="25">
        <x:v>25</x:v>
      </x:c>
      <x:c r="J141" s="25">
        <x:v>51</x:v>
      </x:c>
      <x:c r="K141" s="9"/>
      <x:c r="L141" s="9"/>
      <x:c r="M141" s="9"/>
      <x:c r="N141" s="25">
        <x:v>1</x:v>
      </x:c>
      <x:c r="O141" s="9"/>
      <x:c r="P141" s="9"/>
      <x:c r="Q141" s="17">
        <x:v>0.3226</x:v>
      </x:c>
      <x:c r="R141" s="17">
        <x:v>0.5161</x:v>
      </x:c>
      <x:c r="S141" s="17">
        <x:v>0.619</x:v>
      </x:c>
      <x:c r="T141" s="17">
        <x:v>0.3871</x:v>
      </x:c>
      <x:c r="U141" s="17">
        <x:v>0.9091</x:v>
      </x:c>
      <x:c r="V141" s="17">
        <x:v>0.576</x:v>
      </x:c>
      <x:c r="W141" s="23">
        <x:v>5.3125</x:v>
      </x:c>
      <x:c r="X141" s="13">
        <x:v>0</x:v>
      </x:c>
      <x:c r="Y141" s="13">
        <x:v>0</x:v>
      </x:c>
      <x:c r="Z141" s="13">
        <x:v>0</x:v>
      </x:c>
      <x:c r="AA141" s="13">
        <x:v>0</x:v>
      </x:c>
      <x:c r="AB141" s="13">
        <x:v>0</x:v>
      </x:c>
      <x:c r="AC141" s="16">
        <x:v>0</x:v>
      </x:c>
      <x:c r="AD141" s="17">
        <x:v>0.555</x:v>
      </x:c>
      <x:c r="AE141" s="17">
        <x:v>0.555</x:v>
      </x:c>
      <x:c r="AF141" s="2" t="s">
        <x:v>34</x:v>
      </x:c>
    </x:row>
    <x:row r="142">
      <x:c r="A142" s="7" t="s">
        <x:v>311</x:v>
      </x:c>
      <x:c r="B142" s="7" t="s">
        <x:v>312</x:v>
      </x:c>
      <x:c r="C142" s="7"/>
      <x:c r="D142" s="25">
        <x:v>1</x:v>
      </x:c>
      <x:c r="E142" s="25">
        <x:v>11</x:v>
      </x:c>
      <x:c r="F142" s="25">
        <x:v>3</x:v>
      </x:c>
      <x:c r="G142" s="25">
        <x:v>4</x:v>
      </x:c>
      <x:c r="H142" s="25">
        <x:v>6</x:v>
      </x:c>
      <x:c r="I142" s="25">
        <x:v>15</x:v>
      </x:c>
      <x:c r="J142" s="25">
        <x:v>2</x:v>
      </x:c>
      <x:c r="K142" s="25">
        <x:v>3</x:v>
      </x:c>
      <x:c r="L142" s="9"/>
      <x:c r="M142" s="25">
        <x:v>6</x:v>
      </x:c>
      <x:c r="N142" s="25">
        <x:v>13</x:v>
      </x:c>
      <x:c r="O142" s="25">
        <x:v>10</x:v>
      </x:c>
      <x:c r="P142" s="9"/>
      <x:c r="Q142" s="17">
        <x:v>0.0248</x:v>
      </x:c>
      <x:c r="R142" s="17">
        <x:v>0.3548</x:v>
      </x:c>
      <x:c r="S142" s="17">
        <x:v>0.1429</x:v>
      </x:c>
      <x:c r="T142" s="17">
        <x:v>0.129</x:v>
      </x:c>
      <x:c r="U142" s="17">
        <x:v>0.1471</x:v>
      </x:c>
      <x:c r="V142" s="17">
        <x:v>0.2846</x:v>
      </x:c>
      <x:c r="W142" s="17">
        <x:v>0.1075</x:v>
      </x:c>
      <x:c r="X142" s="17">
        <x:v>0.1786</x:v>
      </x:c>
      <x:c r="Y142" s="17">
        <x:v>0</x:v>
      </x:c>
      <x:c r="Z142" s="17">
        <x:v>0.2381</x:v>
      </x:c>
      <x:c r="AA142" s="17">
        <x:v>0.4194</x:v>
      </x:c>
      <x:c r="AB142" s="17">
        <x:v>0.3704</x:v>
      </x:c>
      <x:c r="AC142" s="20">
        <x:v>0</x:v>
      </x:c>
      <x:c r="AD142" s="17">
        <x:v>0.1998</x:v>
      </x:c>
      <x:c r="AE142" s="17">
        <x:v>0.1998</x:v>
      </x:c>
      <x:c r="AF142" s="2" t="s">
        <x:v>34</x:v>
      </x:c>
    </x:row>
    <x:row r="143">
      <x:c r="A143" s="7" t="s">
        <x:v>313</x:v>
      </x:c>
      <x:c r="B143" s="7" t="s">
        <x:v>314</x:v>
      </x:c>
      <x:c r="C143" s="7"/>
      <x:c r="D143" s="25">
        <x:v>2</x:v>
      </x:c>
      <x:c r="E143" s="25">
        <x:v>2</x:v>
      </x:c>
      <x:c r="F143" s="25">
        <x:v>3</x:v>
      </x:c>
      <x:c r="G143" s="25">
        <x:v>4</x:v>
      </x:c>
      <x:c r="H143" s="25">
        <x:v>5</x:v>
      </x:c>
      <x:c r="I143" s="25">
        <x:v>4</x:v>
      </x:c>
      <x:c r="J143" s="25">
        <x:v>5</x:v>
      </x:c>
      <x:c r="K143" s="25">
        <x:v>3</x:v>
      </x:c>
      <x:c r="L143" s="9"/>
      <x:c r="M143" s="25">
        <x:v>2</x:v>
      </x:c>
      <x:c r="N143" s="25">
        <x:v>3</x:v>
      </x:c>
      <x:c r="O143" s="9"/>
      <x:c r="P143" s="9"/>
      <x:c r="Q143" s="17">
        <x:v>0.0496</x:v>
      </x:c>
      <x:c r="R143" s="17">
        <x:v>0.0645</x:v>
      </x:c>
      <x:c r="S143" s="17">
        <x:v>0.1429</x:v>
      </x:c>
      <x:c r="T143" s="17">
        <x:v>0.129</x:v>
      </x:c>
      <x:c r="U143" s="17">
        <x:v>0.1225</x:v>
      </x:c>
      <x:c r="V143" s="17">
        <x:v>0.0759</x:v>
      </x:c>
      <x:c r="W143" s="17">
        <x:v>0.2688</x:v>
      </x:c>
      <x:c r="X143" s="17">
        <x:v>0.1786</x:v>
      </x:c>
      <x:c r="Y143" s="17">
        <x:v>0</x:v>
      </x:c>
      <x:c r="Z143" s="17">
        <x:v>0.0794</x:v>
      </x:c>
      <x:c r="AA143" s="17">
        <x:v>0.0968</x:v>
      </x:c>
      <x:c r="AB143" s="17">
        <x:v>0</x:v>
      </x:c>
      <x:c r="AC143" s="20">
        <x:v>0</x:v>
      </x:c>
      <x:c r="AD143" s="17">
        <x:v>0.1007</x:v>
      </x:c>
      <x:c r="AE143" s="17">
        <x:v>0.1007</x:v>
      </x:c>
      <x:c r="AF143" s="2" t="s">
        <x:v>34</x:v>
      </x:c>
    </x:row>
    <x:row r="144">
      <x:c r="A144" s="7" t="s">
        <x:v>315</x:v>
      </x:c>
      <x:c r="B144" s="7" t="s">
        <x:v>316</x:v>
      </x:c>
      <x:c r="C144" s="7"/>
      <x:c r="D144" s="25">
        <x:v>1</x:v>
      </x:c>
      <x:c r="E144" s="25">
        <x:v>5</x:v>
      </x:c>
      <x:c r="F144" s="25">
        <x:v>5</x:v>
      </x:c>
      <x:c r="G144" s="25">
        <x:v>5</x:v>
      </x:c>
      <x:c r="H144" s="9"/>
      <x:c r="I144" s="25">
        <x:v>4</x:v>
      </x:c>
      <x:c r="J144" s="25">
        <x:v>4</x:v>
      </x:c>
      <x:c r="K144" s="25">
        <x:v>3</x:v>
      </x:c>
      <x:c r="L144" s="9"/>
      <x:c r="M144" s="25">
        <x:v>2</x:v>
      </x:c>
      <x:c r="N144" s="25">
        <x:v>3</x:v>
      </x:c>
      <x:c r="O144" s="9"/>
      <x:c r="P144" s="9"/>
      <x:c r="Q144" s="17">
        <x:v>0.0248</x:v>
      </x:c>
      <x:c r="R144" s="17">
        <x:v>0.1613</x:v>
      </x:c>
      <x:c r="S144" s="17">
        <x:v>0.2381</x:v>
      </x:c>
      <x:c r="T144" s="17">
        <x:v>0.1613</x:v>
      </x:c>
      <x:c r="U144" s="17">
        <x:v>0</x:v>
      </x:c>
      <x:c r="V144" s="17">
        <x:v>0.0759</x:v>
      </x:c>
      <x:c r="W144" s="17">
        <x:v>0.2151</x:v>
      </x:c>
      <x:c r="X144" s="17">
        <x:v>0.1786</x:v>
      </x:c>
      <x:c r="Y144" s="17">
        <x:v>0</x:v>
      </x:c>
      <x:c r="Z144" s="17">
        <x:v>0.0794</x:v>
      </x:c>
      <x:c r="AA144" s="17">
        <x:v>0.0968</x:v>
      </x:c>
      <x:c r="AB144" s="17">
        <x:v>0</x:v>
      </x:c>
      <x:c r="AC144" s="20">
        <x:v>0</x:v>
      </x:c>
      <x:c r="AD144" s="17">
        <x:v>0.1026</x:v>
      </x:c>
      <x:c r="AE144" s="17">
        <x:v>0.1026</x:v>
      </x:c>
      <x:c r="AF144" s="2" t="s">
        <x:v>34</x:v>
      </x:c>
    </x:row>
    <x:row r="145">
      <x:c r="A145" s="7" t="s">
        <x:v>317</x:v>
      </x:c>
      <x:c r="B145" s="7" t="s">
        <x:v>318</x:v>
      </x:c>
      <x:c r="C145" s="7"/>
      <x:c r="D145" s="25">
        <x:v>13</x:v>
      </x:c>
      <x:c r="E145" s="25">
        <x:v>11</x:v>
      </x:c>
      <x:c r="F145" s="25">
        <x:v>7</x:v>
      </x:c>
      <x:c r="G145" s="25">
        <x:v>2</x:v>
      </x:c>
      <x:c r="H145" s="25">
        <x:v>3</x:v>
      </x:c>
      <x:c r="I145" s="25">
        <x:v>2</x:v>
      </x:c>
      <x:c r="J145" s="25">
        <x:v>3</x:v>
      </x:c>
      <x:c r="K145" s="25">
        <x:v>1</x:v>
      </x:c>
      <x:c r="L145" s="25">
        <x:v>8</x:v>
      </x:c>
      <x:c r="M145" s="25">
        <x:v>2</x:v>
      </x:c>
      <x:c r="N145" s="25">
        <x:v>-6</x:v>
      </x:c>
      <x:c r="O145" s="25">
        <x:v>16</x:v>
      </x:c>
      <x:c r="P145" s="25">
        <x:v>7</x:v>
      </x:c>
      <x:c r="Q145" s="17">
        <x:v>0.233</x:v>
      </x:c>
      <x:c r="R145" s="17">
        <x:v>0.3548</x:v>
      </x:c>
      <x:c r="S145" s="17">
        <x:v>0.3333</x:v>
      </x:c>
      <x:c r="T145" s="17">
        <x:v>0.0645</x:v>
      </x:c>
      <x:c r="U145" s="17">
        <x:v>0.0909</x:v>
      </x:c>
      <x:c r="V145" s="17">
        <x:v>0.0461</x:v>
      </x:c>
      <x:c r="W145" s="17">
        <x:v>0.121</x:v>
      </x:c>
      <x:c r="X145" s="17">
        <x:v>0.051</x:v>
      </x:c>
      <x:c r="Y145" s="17">
        <x:v>0.2867</x:v>
      </x:c>
      <x:c r="Z145" s="17">
        <x:v>0.0833</x:v>
      </x:c>
      <x:c r="AA145" s="17">
        <x:v>-0.1935</x:v>
      </x:c>
      <x:c r="AB145" s="17">
        <x:v>0.5333</x:v>
      </x:c>
      <x:c r="AC145" s="20">
        <x:v>0.1254</x:v>
      </x:c>
      <x:c r="AD145" s="17">
        <x:v>0.167</x:v>
      </x:c>
      <x:c r="AE145" s="17">
        <x:v>0.167</x:v>
      </x:c>
      <x:c r="AF145" s="2" t="s">
        <x:v>34</x:v>
      </x:c>
    </x:row>
    <x:row r="146">
      <x:c r="A146" s="7" t="s">
        <x:v>319</x:v>
      </x:c>
      <x:c r="B146" s="7" t="s">
        <x:v>320</x:v>
      </x:c>
      <x:c r="C146" s="7"/>
      <x:c r="D146" s="25">
        <x:v>9</x:v>
      </x:c>
      <x:c r="E146" s="25">
        <x:v>2</x:v>
      </x:c>
      <x:c r="F146" s="25">
        <x:v>4</x:v>
      </x:c>
      <x:c r="G146" s="25">
        <x:v>2</x:v>
      </x:c>
      <x:c r="H146" s="25">
        <x:v>8</x:v>
      </x:c>
      <x:c r="I146" s="25">
        <x:v>1</x:v>
      </x:c>
      <x:c r="J146" s="25">
        <x:v>1</x:v>
      </x:c>
      <x:c r="K146" s="25">
        <x:v>2</x:v>
      </x:c>
      <x:c r="L146" s="25">
        <x:v>5</x:v>
      </x:c>
      <x:c r="M146" s="9"/>
      <x:c r="N146" s="25">
        <x:v>-1</x:v>
      </x:c>
      <x:c r="O146" s="25">
        <x:v>3</x:v>
      </x:c>
      <x:c r="P146" s="25">
        <x:v>11</x:v>
      </x:c>
      <x:c r="Q146" s="17">
        <x:v>0.1613</x:v>
      </x:c>
      <x:c r="R146" s="17">
        <x:v>0.0645</x:v>
      </x:c>
      <x:c r="S146" s="17">
        <x:v>0.1905</x:v>
      </x:c>
      <x:c r="T146" s="17">
        <x:v>0.0645</x:v>
      </x:c>
      <x:c r="U146" s="17">
        <x:v>0.2424</x:v>
      </x:c>
      <x:c r="V146" s="17">
        <x:v>0.023</x:v>
      </x:c>
      <x:c r="W146" s="17">
        <x:v>0.0403</x:v>
      </x:c>
      <x:c r="X146" s="17">
        <x:v>0.102</x:v>
      </x:c>
      <x:c r="Y146" s="17">
        <x:v>0.1792</x:v>
      </x:c>
      <x:c r="Z146" s="17">
        <x:v>0</x:v>
      </x:c>
      <x:c r="AA146" s="17">
        <x:v>-0.0323</x:v>
      </x:c>
      <x:c r="AB146" s="17">
        <x:v>0.1</x:v>
      </x:c>
      <x:c r="AC146" s="20">
        <x:v>0.1971</x:v>
      </x:c>
      <x:c r="AD146" s="17">
        <x:v>0.0946</x:v>
      </x:c>
      <x:c r="AE146" s="17">
        <x:v>0.0946</x:v>
      </x:c>
      <x:c r="AF146" s="2" t="s">
        <x:v>34</x:v>
      </x:c>
    </x:row>
    <x:row r="147">
      <x:c r="A147" s="7" t="s">
        <x:v>321</x:v>
      </x:c>
      <x:c r="B147" s="7" t="s">
        <x:v>322</x:v>
      </x:c>
      <x:c r="C147" s="7"/>
      <x:c r="D147" s="9"/>
      <x:c r="E147" s="9"/>
      <x:c r="F147" s="9"/>
      <x:c r="G147" s="9"/>
      <x:c r="H147" s="9"/>
      <x:c r="I147" s="9"/>
      <x:c r="J147" s="9"/>
      <x:c r="K147" s="9"/>
      <x:c r="L147" s="9"/>
      <x:c r="M147" s="9"/>
      <x:c r="N147" s="9"/>
      <x:c r="O147" s="9"/>
      <x:c r="P147" s="9"/>
      <x:c r="Q147" s="13">
        <x:v>0</x:v>
      </x:c>
      <x:c r="R147" s="13">
        <x:v>0</x:v>
      </x:c>
      <x:c r="S147" s="13">
        <x:v>0</x:v>
      </x:c>
      <x:c r="T147" s="13">
        <x:v>0</x:v>
      </x:c>
      <x:c r="U147" s="13">
        <x:v>0</x:v>
      </x:c>
      <x:c r="V147" s="13">
        <x:v>0</x:v>
      </x:c>
      <x:c r="W147" s="13">
        <x:v>0</x:v>
      </x:c>
      <x:c r="X147" s="13">
        <x:v>0</x:v>
      </x:c>
      <x:c r="Y147" s="13">
        <x:v>0</x:v>
      </x:c>
      <x:c r="Z147" s="13">
        <x:v>0</x:v>
      </x:c>
      <x:c r="AA147" s="13">
        <x:v>0</x:v>
      </x:c>
      <x:c r="AB147" s="13">
        <x:v>0</x:v>
      </x:c>
      <x:c r="AC147" s="16">
        <x:v>0</x:v>
      </x:c>
      <x:c r="AF147" s="2" t="s">
        <x:v>34</x:v>
      </x:c>
    </x:row>
    <x:row r="148">
      <x:c r="A148" s="7" t="s">
        <x:v>323</x:v>
      </x:c>
      <x:c r="B148" s="7" t="s">
        <x:v>324</x:v>
      </x:c>
      <x:c r="C148" s="7"/>
      <x:c r="D148" s="9"/>
      <x:c r="E148" s="25">
        <x:v>-1</x:v>
      </x:c>
      <x:c r="F148" s="9"/>
      <x:c r="G148" s="9"/>
      <x:c r="H148" s="9"/>
      <x:c r="I148" s="9"/>
      <x:c r="J148" s="9"/>
      <x:c r="K148" s="9"/>
      <x:c r="L148" s="9"/>
      <x:c r="M148" s="9"/>
      <x:c r="N148" s="9"/>
      <x:c r="O148" s="9"/>
      <x:c r="P148" s="9"/>
      <x:c r="Q148" s="13">
        <x:v>0</x:v>
      </x:c>
      <x:c r="R148" s="13">
        <x:v>0</x:v>
      </x:c>
      <x:c r="S148" s="13">
        <x:v>0</x:v>
      </x:c>
      <x:c r="T148" s="13">
        <x:v>0</x:v>
      </x:c>
      <x:c r="U148" s="13">
        <x:v>0</x:v>
      </x:c>
      <x:c r="V148" s="13">
        <x:v>0</x:v>
      </x:c>
      <x:c r="W148" s="13">
        <x:v>0</x:v>
      </x:c>
      <x:c r="X148" s="13">
        <x:v>0</x:v>
      </x:c>
      <x:c r="Y148" s="13">
        <x:v>0</x:v>
      </x:c>
      <x:c r="Z148" s="13">
        <x:v>0</x:v>
      </x:c>
      <x:c r="AA148" s="13">
        <x:v>0</x:v>
      </x:c>
      <x:c r="AB148" s="13">
        <x:v>0</x:v>
      </x:c>
      <x:c r="AC148" s="16">
        <x:v>0</x:v>
      </x:c>
      <x:c r="AF148" s="2" t="s">
        <x:v>34</x:v>
      </x:c>
    </x:row>
    <x:row r="149">
      <x:c r="A149" s="7" t="s">
        <x:v>325</x:v>
      </x:c>
      <x:c r="B149" s="7" t="s">
        <x:v>326</x:v>
      </x:c>
      <x:c r="C149" s="7"/>
      <x:c r="D149" s="25">
        <x:v>36</x:v>
      </x:c>
      <x:c r="E149" s="9"/>
      <x:c r="F149" s="25">
        <x:v>41</x:v>
      </x:c>
      <x:c r="G149" s="25">
        <x:v>1</x:v>
      </x:c>
      <x:c r="H149" s="25">
        <x:v>11</x:v>
      </x:c>
      <x:c r="I149" s="25">
        <x:v>5</x:v>
      </x:c>
      <x:c r="J149" s="25">
        <x:v>12</x:v>
      </x:c>
      <x:c r="K149" s="25">
        <x:v>14</x:v>
      </x:c>
      <x:c r="L149" s="25">
        <x:v>18</x:v>
      </x:c>
      <x:c r="M149" s="25">
        <x:v>4</x:v>
      </x:c>
      <x:c r="N149" s="25">
        <x:v>42</x:v>
      </x:c>
      <x:c r="O149" s="25">
        <x:v>60</x:v>
      </x:c>
      <x:c r="P149" s="25">
        <x:v>8</x:v>
      </x:c>
      <x:c r="Q149" s="23">
        <x:v>0.6897</x:v>
      </x:c>
      <x:c r="R149" s="17">
        <x:v>0</x:v>
      </x:c>
      <x:c r="S149" s="17">
        <x:v>1.9524</x:v>
      </x:c>
      <x:c r="T149" s="17">
        <x:v>0.0323</x:v>
      </x:c>
      <x:c r="U149" s="17">
        <x:v>0.3333</x:v>
      </x:c>
      <x:c r="V149" s="17">
        <x:v>0.1152</x:v>
      </x:c>
      <x:c r="W149" s="17">
        <x:v>0.4839</x:v>
      </x:c>
      <x:c r="X149" s="17">
        <x:v>0.7143</x:v>
      </x:c>
      <x:c r="Y149" s="17">
        <x:v>0.6452</x:v>
      </x:c>
      <x:c r="Z149" s="17">
        <x:v>0.1667</x:v>
      </x:c>
      <x:c r="AA149" s="17">
        <x:v>1.3548</x:v>
      </x:c>
      <x:c r="AB149" s="17">
        <x:v>2</x:v>
      </x:c>
      <x:c r="AC149" s="20">
        <x:v>0.1434</x:v>
      </x:c>
      <x:c r="AD149" s="17">
        <x:v>0.7089</x:v>
      </x:c>
      <x:c r="AE149" s="17">
        <x:v>0.7089</x:v>
      </x:c>
      <x:c r="AF149" s="2" t="s">
        <x:v>34</x:v>
      </x:c>
    </x:row>
    <x:row r="150">
      <x:c r="A150" s="7" t="s">
        <x:v>327</x:v>
      </x:c>
      <x:c r="B150" s="7" t="s">
        <x:v>328</x:v>
      </x:c>
      <x:c r="C150" s="7"/>
      <x:c r="D150" s="25">
        <x:v>7</x:v>
      </x:c>
      <x:c r="E150" s="25">
        <x:v>5</x:v>
      </x:c>
      <x:c r="F150" s="25">
        <x:v>22</x:v>
      </x:c>
      <x:c r="G150" s="25">
        <x:v>8</x:v>
      </x:c>
      <x:c r="H150" s="25">
        <x:v>3</x:v>
      </x:c>
      <x:c r="I150" s="25">
        <x:v>7</x:v>
      </x:c>
      <x:c r="J150" s="25">
        <x:v>5</x:v>
      </x:c>
      <x:c r="K150" s="25">
        <x:v>3</x:v>
      </x:c>
      <x:c r="L150" s="25">
        <x:v>2</x:v>
      </x:c>
      <x:c r="M150" s="25">
        <x:v>2</x:v>
      </x:c>
      <x:c r="N150" s="25">
        <x:v>3</x:v>
      </x:c>
      <x:c r="O150" s="25">
        <x:v>12</x:v>
      </x:c>
      <x:c r="P150" s="25">
        <x:v>6</x:v>
      </x:c>
      <x:c r="Q150" s="17">
        <x:v>0.1254</x:v>
      </x:c>
      <x:c r="R150" s="17">
        <x:v>0.1613</x:v>
      </x:c>
      <x:c r="S150" s="17">
        <x:v>1.0476</x:v>
      </x:c>
      <x:c r="T150" s="17">
        <x:v>0.2581</x:v>
      </x:c>
      <x:c r="U150" s="17">
        <x:v>0.0909</x:v>
      </x:c>
      <x:c r="V150" s="17">
        <x:v>0.1613</x:v>
      </x:c>
      <x:c r="W150" s="17">
        <x:v>0.2016</x:v>
      </x:c>
      <x:c r="X150" s="17">
        <x:v>0.1531</x:v>
      </x:c>
      <x:c r="Y150" s="17">
        <x:v>0.0717</x:v>
      </x:c>
      <x:c r="Z150" s="17">
        <x:v>0.0833</x:v>
      </x:c>
      <x:c r="AA150" s="17">
        <x:v>0.0968</x:v>
      </x:c>
      <x:c r="AB150" s="17">
        <x:v>0.4</x:v>
      </x:c>
      <x:c r="AC150" s="16">
        <x:v>0.1587</x:v>
      </x:c>
      <x:c r="AD150" s="17">
        <x:v>0.2376</x:v>
      </x:c>
      <x:c r="AE150" s="17">
        <x:v>0.2376</x:v>
      </x:c>
      <x:c r="AF150" s="2" t="s">
        <x:v>34</x:v>
      </x:c>
    </x:row>
    <x:row r="151">
      <x:c r="A151" s="7" t="s">
        <x:v>329</x:v>
      </x:c>
      <x:c r="B151" s="7" t="s">
        <x:v>330</x:v>
      </x:c>
      <x:c r="C151" s="7"/>
      <x:c r="D151" s="9"/>
      <x:c r="E151" s="9"/>
      <x:c r="F151" s="9"/>
      <x:c r="G151" s="9"/>
      <x:c r="H151" s="9"/>
      <x:c r="I151" s="9"/>
      <x:c r="J151" s="9"/>
      <x:c r="K151" s="9"/>
      <x:c r="L151" s="9"/>
      <x:c r="M151" s="9"/>
      <x:c r="N151" s="9"/>
      <x:c r="O151" s="9"/>
      <x:c r="P151" s="9"/>
      <x:c r="Q151" s="13">
        <x:v>0</x:v>
      </x:c>
      <x:c r="R151" s="13">
        <x:v>0</x:v>
      </x:c>
      <x:c r="S151" s="13">
        <x:v>0</x:v>
      </x:c>
      <x:c r="T151" s="13">
        <x:v>0</x:v>
      </x:c>
      <x:c r="U151" s="13">
        <x:v>0</x:v>
      </x:c>
      <x:c r="V151" s="13">
        <x:v>0</x:v>
      </x:c>
      <x:c r="W151" s="13">
        <x:v>0</x:v>
      </x:c>
      <x:c r="X151" s="13">
        <x:v>0</x:v>
      </x:c>
      <x:c r="Y151" s="13">
        <x:v>0</x:v>
      </x:c>
      <x:c r="Z151" s="13">
        <x:v>0</x:v>
      </x:c>
      <x:c r="AA151" s="13">
        <x:v>0</x:v>
      </x:c>
      <x:c r="AB151" s="13">
        <x:v>0</x:v>
      </x:c>
      <x:c r="AC151" s="16">
        <x:v>0</x:v>
      </x:c>
      <x:c r="AF151" s="2" t="s">
        <x:v>34</x:v>
      </x:c>
    </x:row>
    <x:row r="152">
      <x:c r="A152" s="7" t="s">
        <x:v>331</x:v>
      </x:c>
      <x:c r="B152" s="7" t="s">
        <x:v>332</x:v>
      </x:c>
      <x:c r="C152" s="7"/>
      <x:c r="D152" s="25">
        <x:v>3</x:v>
      </x:c>
      <x:c r="E152" s="25">
        <x:v>1</x:v>
      </x:c>
      <x:c r="F152" s="25">
        <x:v>1</x:v>
      </x:c>
      <x:c r="G152" s="25">
        <x:v>1</x:v>
      </x:c>
      <x:c r="H152" s="25">
        <x:v>2</x:v>
      </x:c>
      <x:c r="I152" s="25">
        <x:v>3</x:v>
      </x:c>
      <x:c r="J152" s="25">
        <x:v>7</x:v>
      </x:c>
      <x:c r="K152" s="9"/>
      <x:c r="L152" s="25">
        <x:v>2</x:v>
      </x:c>
      <x:c r="M152" s="25">
        <x:v>2</x:v>
      </x:c>
      <x:c r="N152" s="25">
        <x:v>2</x:v>
      </x:c>
      <x:c r="O152" s="25">
        <x:v>6</x:v>
      </x:c>
      <x:c r="P152" s="25">
        <x:v>1</x:v>
      </x:c>
      <x:c r="Q152" s="23">
        <x:v>0.0575</x:v>
      </x:c>
      <x:c r="R152" s="17">
        <x:v>0.0323</x:v>
      </x:c>
      <x:c r="S152" s="17">
        <x:v>0.0476</x:v>
      </x:c>
      <x:c r="T152" s="17">
        <x:v>0.0323</x:v>
      </x:c>
      <x:c r="U152" s="17">
        <x:v>0.0606</x:v>
      </x:c>
      <x:c r="V152" s="17">
        <x:v>0.0691</x:v>
      </x:c>
      <x:c r="W152" s="17">
        <x:v>0.2823</x:v>
      </x:c>
      <x:c r="X152" s="17">
        <x:v>0</x:v>
      </x:c>
      <x:c r="Y152" s="17">
        <x:v>0.0717</x:v>
      </x:c>
      <x:c r="Z152" s="17">
        <x:v>0.0833</x:v>
      </x:c>
      <x:c r="AA152" s="17">
        <x:v>0.0645</x:v>
      </x:c>
      <x:c r="AB152" s="17">
        <x:v>0.2</x:v>
      </x:c>
      <x:c r="AC152" s="20">
        <x:v>0.0179</x:v>
      </x:c>
      <x:c r="AD152" s="17">
        <x:v>0.0858</x:v>
      </x:c>
      <x:c r="AE152" s="17">
        <x:v>0.0858</x:v>
      </x:c>
      <x:c r="AF152" s="2" t="s">
        <x:v>34</x:v>
      </x:c>
    </x:row>
    <x:row r="153">
      <x:c r="A153" s="7" t="s">
        <x:v>333</x:v>
      </x:c>
      <x:c r="B153" s="7" t="s">
        <x:v>334</x:v>
      </x:c>
      <x:c r="C153" s="7"/>
      <x:c r="D153" s="9"/>
      <x:c r="E153" s="9"/>
      <x:c r="F153" s="9"/>
      <x:c r="G153" s="9"/>
      <x:c r="H153" s="9"/>
      <x:c r="I153" s="9"/>
      <x:c r="J153" s="9"/>
      <x:c r="K153" s="9"/>
      <x:c r="L153" s="9"/>
      <x:c r="M153" s="9"/>
      <x:c r="N153" s="9"/>
      <x:c r="O153" s="9"/>
      <x:c r="P153" s="9"/>
      <x:c r="Q153" s="13">
        <x:v>0</x:v>
      </x:c>
      <x:c r="R153" s="13">
        <x:v>0</x:v>
      </x:c>
      <x:c r="S153" s="13">
        <x:v>0</x:v>
      </x:c>
      <x:c r="T153" s="13">
        <x:v>0</x:v>
      </x:c>
      <x:c r="U153" s="13">
        <x:v>0</x:v>
      </x:c>
      <x:c r="V153" s="13">
        <x:v>0</x:v>
      </x:c>
      <x:c r="W153" s="13">
        <x:v>0</x:v>
      </x:c>
      <x:c r="X153" s="13">
        <x:v>0</x:v>
      </x:c>
      <x:c r="Y153" s="13">
        <x:v>0</x:v>
      </x:c>
      <x:c r="Z153" s="13">
        <x:v>0</x:v>
      </x:c>
      <x:c r="AA153" s="13">
        <x:v>0</x:v>
      </x:c>
      <x:c r="AB153" s="13">
        <x:v>0</x:v>
      </x:c>
      <x:c r="AC153" s="16">
        <x:v>0</x:v>
      </x:c>
      <x:c r="AF153" s="2" t="s">
        <x:v>34</x:v>
      </x:c>
    </x:row>
    <x:row r="154">
      <x:c r="A154" s="7" t="s">
        <x:v>335</x:v>
      </x:c>
      <x:c r="B154" s="7" t="s">
        <x:v>336</x:v>
      </x:c>
      <x:c r="C154" s="7"/>
      <x:c r="D154" s="25">
        <x:v>8</x:v>
      </x:c>
      <x:c r="E154" s="25">
        <x:v>13</x:v>
      </x:c>
      <x:c r="F154" s="25">
        <x:v>9</x:v>
      </x:c>
      <x:c r="G154" s="25">
        <x:v>5</x:v>
      </x:c>
      <x:c r="H154" s="25">
        <x:v>8</x:v>
      </x:c>
      <x:c r="I154" s="25">
        <x:v>9</x:v>
      </x:c>
      <x:c r="J154" s="25">
        <x:v>13</x:v>
      </x:c>
      <x:c r="K154" s="25">
        <x:v>3</x:v>
      </x:c>
      <x:c r="L154" s="25">
        <x:v>7</x:v>
      </x:c>
      <x:c r="M154" s="25">
        <x:v>12</x:v>
      </x:c>
      <x:c r="N154" s="25">
        <x:v>3</x:v>
      </x:c>
      <x:c r="O154" s="25">
        <x:v>13</x:v>
      </x:c>
      <x:c r="P154" s="25">
        <x:v>3</x:v>
      </x:c>
      <x:c r="Q154" s="17">
        <x:v>0.1434</x:v>
      </x:c>
      <x:c r="R154" s="17">
        <x:v>0.4194</x:v>
      </x:c>
      <x:c r="S154" s="17">
        <x:v>0.4286</x:v>
      </x:c>
      <x:c r="T154" s="17">
        <x:v>0.1613</x:v>
      </x:c>
      <x:c r="U154" s="17">
        <x:v>0.2424</x:v>
      </x:c>
      <x:c r="V154" s="17">
        <x:v>0.2074</x:v>
      </x:c>
      <x:c r="W154" s="17">
        <x:v>0.5242</x:v>
      </x:c>
      <x:c r="X154" s="17">
        <x:v>0.1531</x:v>
      </x:c>
      <x:c r="Y154" s="17">
        <x:v>0.2509</x:v>
      </x:c>
      <x:c r="Z154" s="17">
        <x:v>0.5</x:v>
      </x:c>
      <x:c r="AA154" s="17">
        <x:v>0.0968</x:v>
      </x:c>
      <x:c r="AB154" s="17">
        <x:v>0.4333</x:v>
      </x:c>
      <x:c r="AC154" s="20">
        <x:v>0.0538</x:v>
      </x:c>
      <x:c r="AD154" s="17">
        <x:v>0.2967</x:v>
      </x:c>
      <x:c r="AE154" s="17">
        <x:v>0.2967</x:v>
      </x:c>
      <x:c r="AF154" s="2" t="s">
        <x:v>34</x:v>
      </x:c>
    </x:row>
    <x:row r="155">
      <x:c r="A155" s="7" t="s">
        <x:v>337</x:v>
      </x:c>
      <x:c r="B155" s="7" t="s">
        <x:v>338</x:v>
      </x:c>
      <x:c r="C155" s="7"/>
      <x:c r="D155" s="25">
        <x:v>1</x:v>
      </x:c>
      <x:c r="E155" s="25">
        <x:v>4</x:v>
      </x:c>
      <x:c r="F155" s="25">
        <x:v>3</x:v>
      </x:c>
      <x:c r="G155" s="25">
        <x:v>24</x:v>
      </x:c>
      <x:c r="H155" s="9"/>
      <x:c r="I155" s="9"/>
      <x:c r="J155" s="9"/>
      <x:c r="K155" s="25">
        <x:v>1</x:v>
      </x:c>
      <x:c r="L155" s="25">
        <x:v>2</x:v>
      </x:c>
      <x:c r="M155" s="25">
        <x:v>4</x:v>
      </x:c>
      <x:c r="N155" s="9"/>
      <x:c r="O155" s="9"/>
      <x:c r="P155" s="25">
        <x:v>1</x:v>
      </x:c>
      <x:c r="Q155" s="17">
        <x:v>0.0179</x:v>
      </x:c>
      <x:c r="R155" s="17">
        <x:v>0.129</x:v>
      </x:c>
      <x:c r="S155" s="17">
        <x:v>0.1429</x:v>
      </x:c>
      <x:c r="T155" s="23">
        <x:v>1.2</x:v>
      </x:c>
      <x:c r="U155" s="13">
        <x:v>0</x:v>
      </x:c>
      <x:c r="V155" s="13">
        <x:v>0</x:v>
      </x:c>
      <x:c r="W155" s="23">
        <x:v>0</x:v>
      </x:c>
      <x:c r="X155" s="17">
        <x:v>0.051</x:v>
      </x:c>
      <x:c r="Y155" s="17">
        <x:v>0.0717</x:v>
      </x:c>
      <x:c r="Z155" s="17">
        <x:v>0.1667</x:v>
      </x:c>
      <x:c r="AA155" s="17">
        <x:v>0</x:v>
      </x:c>
      <x:c r="AB155" s="17">
        <x:v>0</x:v>
      </x:c>
      <x:c r="AC155" s="20">
        <x:v>0.0179</x:v>
      </x:c>
      <x:c r="AD155" s="17">
        <x:v>0.0724</x:v>
      </x:c>
      <x:c r="AE155" s="17">
        <x:v>0.0724</x:v>
      </x:c>
      <x:c r="AF155" s="2" t="s">
        <x:v>34</x:v>
      </x:c>
    </x:row>
    <x:row r="156">
      <x:c r="A156" s="7" t="s">
        <x:v>339</x:v>
      </x:c>
      <x:c r="B156" s="7" t="s">
        <x:v>340</x:v>
      </x:c>
      <x:c r="C156" s="7"/>
      <x:c r="D156" s="9"/>
      <x:c r="E156" s="9"/>
      <x:c r="F156" s="9"/>
      <x:c r="G156" s="9"/>
      <x:c r="H156" s="9"/>
      <x:c r="I156" s="9"/>
      <x:c r="J156" s="9"/>
      <x:c r="K156" s="9"/>
      <x:c r="L156" s="9"/>
      <x:c r="M156" s="9"/>
      <x:c r="N156" s="9"/>
      <x:c r="O156" s="9"/>
      <x:c r="P156" s="9"/>
      <x:c r="Q156" s="13">
        <x:v>0</x:v>
      </x:c>
      <x:c r="R156" s="13">
        <x:v>0</x:v>
      </x:c>
      <x:c r="S156" s="13">
        <x:v>0</x:v>
      </x:c>
      <x:c r="T156" s="13">
        <x:v>0</x:v>
      </x:c>
      <x:c r="U156" s="13">
        <x:v>0</x:v>
      </x:c>
      <x:c r="V156" s="13">
        <x:v>0</x:v>
      </x:c>
      <x:c r="W156" s="13">
        <x:v>0</x:v>
      </x:c>
      <x:c r="X156" s="13">
        <x:v>0</x:v>
      </x:c>
      <x:c r="Y156" s="13">
        <x:v>0</x:v>
      </x:c>
      <x:c r="Z156" s="13">
        <x:v>0</x:v>
      </x:c>
      <x:c r="AA156" s="13">
        <x:v>0</x:v>
      </x:c>
      <x:c r="AB156" s="13">
        <x:v>0</x:v>
      </x:c>
      <x:c r="AC156" s="16">
        <x:v>0</x:v>
      </x:c>
      <x:c r="AF156" s="2" t="s">
        <x:v>34</x:v>
      </x:c>
    </x:row>
    <x:row r="157">
      <x:c r="A157" s="7" t="s">
        <x:v>341</x:v>
      </x:c>
      <x:c r="B157" s="7" t="s">
        <x:v>342</x:v>
      </x:c>
      <x:c r="C157" s="7"/>
      <x:c r="D157" s="25">
        <x:v>7</x:v>
      </x:c>
      <x:c r="E157" s="25">
        <x:v>9</x:v>
      </x:c>
      <x:c r="F157" s="25">
        <x:v>10</x:v>
      </x:c>
      <x:c r="G157" s="25">
        <x:v>8</x:v>
      </x:c>
      <x:c r="H157" s="25">
        <x:v>6</x:v>
      </x:c>
      <x:c r="I157" s="25">
        <x:v>3</x:v>
      </x:c>
      <x:c r="J157" s="25">
        <x:v>7</x:v>
      </x:c>
      <x:c r="K157" s="9"/>
      <x:c r="L157" s="25">
        <x:v>9</x:v>
      </x:c>
      <x:c r="M157" s="9"/>
      <x:c r="N157" s="25">
        <x:v>3</x:v>
      </x:c>
      <x:c r="O157" s="25">
        <x:v>11</x:v>
      </x:c>
      <x:c r="P157" s="25">
        <x:v>3</x:v>
      </x:c>
      <x:c r="Q157" s="17">
        <x:v>0.1898</x:v>
      </x:c>
      <x:c r="R157" s="17">
        <x:v>0.2903</x:v>
      </x:c>
      <x:c r="S157" s="17">
        <x:v>0.3333</x:v>
      </x:c>
      <x:c r="T157" s="17">
        <x:v>0.2867</x:v>
      </x:c>
      <x:c r="U157" s="17">
        <x:v>0.241</x:v>
      </x:c>
      <x:c r="V157" s="17">
        <x:v>0.1019</x:v>
      </x:c>
      <x:c r="W157" s="17">
        <x:v>0.4106</x:v>
      </x:c>
      <x:c r="X157" s="17">
        <x:v>0</x:v>
      </x:c>
      <x:c r="Y157" s="23">
        <x:v>0.3409</x:v>
      </x:c>
      <x:c r="Z157" s="17">
        <x:v>0</x:v>
      </x:c>
      <x:c r="AA157" s="17">
        <x:v>0.0827</x:v>
      </x:c>
      <x:c r="AB157" s="17">
        <x:v>0.3188</x:v>
      </x:c>
      <x:c r="AC157" s="16">
        <x:v>2.521</x:v>
      </x:c>
      <x:c r="AD157" s="17">
        <x:v>0.205</x:v>
      </x:c>
      <x:c r="AE157" s="17">
        <x:v>0.205</x:v>
      </x:c>
      <x:c r="AF157" s="2" t="s">
        <x:v>34</x:v>
      </x:c>
    </x:row>
    <x:row r="158">
      <x:c r="A158" s="7" t="s">
        <x:v>343</x:v>
      </x:c>
      <x:c r="B158" s="7" t="s">
        <x:v>344</x:v>
      </x:c>
      <x:c r="C158" s="7"/>
      <x:c r="D158" s="25">
        <x:v>5</x:v>
      </x:c>
      <x:c r="E158" s="25">
        <x:v>10</x:v>
      </x:c>
      <x:c r="F158" s="25">
        <x:v>10</x:v>
      </x:c>
      <x:c r="G158" s="25">
        <x:v>2</x:v>
      </x:c>
      <x:c r="H158" s="25">
        <x:v>2</x:v>
      </x:c>
      <x:c r="I158" s="25">
        <x:v>1</x:v>
      </x:c>
      <x:c r="J158" s="25">
        <x:v>3</x:v>
      </x:c>
      <x:c r="K158" s="25">
        <x:v>4</x:v>
      </x:c>
      <x:c r="L158" s="25">
        <x:v>3</x:v>
      </x:c>
      <x:c r="M158" s="9"/>
      <x:c r="N158" s="25">
        <x:v>1</x:v>
      </x:c>
      <x:c r="O158" s="25">
        <x:v>7</x:v>
      </x:c>
      <x:c r="P158" s="25">
        <x:v>3</x:v>
      </x:c>
      <x:c r="Q158" s="17">
        <x:v>0.1355</x:v>
      </x:c>
      <x:c r="R158" s="17">
        <x:v>0.3226</x:v>
      </x:c>
      <x:c r="S158" s="17">
        <x:v>0.3333</x:v>
      </x:c>
      <x:c r="T158" s="17">
        <x:v>0.0717</x:v>
      </x:c>
      <x:c r="U158" s="17">
        <x:v>0.0803</x:v>
      </x:c>
      <x:c r="V158" s="17">
        <x:v>0.034</x:v>
      </x:c>
      <x:c r="W158" s="17">
        <x:v>0.176</x:v>
      </x:c>
      <x:c r="X158" s="17">
        <x:v>0.1905</x:v>
      </x:c>
      <x:c r="Y158" s="17">
        <x:v>0.088</x:v>
      </x:c>
      <x:c r="Z158" s="17">
        <x:v>0</x:v>
      </x:c>
      <x:c r="AA158" s="17">
        <x:v>0.0276</x:v>
      </x:c>
      <x:c r="AB158" s="17">
        <x:v>0.2029</x:v>
      </x:c>
      <x:c r="AC158" s="20">
        <x:v>0.0813</x:v>
      </x:c>
      <x:c r="AD158" s="17">
        <x:v>0.1385</x:v>
      </x:c>
      <x:c r="AE158" s="17">
        <x:v>0.1385</x:v>
      </x:c>
      <x:c r="AF158" s="2" t="s">
        <x:v>34</x:v>
      </x:c>
    </x:row>
    <x:row r="159">
      <x:c r="A159" s="7" t="s">
        <x:v>345</x:v>
      </x:c>
      <x:c r="B159" s="7" t="s">
        <x:v>346</x:v>
      </x:c>
      <x:c r="C159" s="7"/>
      <x:c r="D159" s="9"/>
      <x:c r="E159" s="9"/>
      <x:c r="F159" s="9"/>
      <x:c r="G159" s="9"/>
      <x:c r="H159" s="9"/>
      <x:c r="I159" s="9"/>
      <x:c r="J159" s="9"/>
      <x:c r="K159" s="9"/>
      <x:c r="L159" s="9"/>
      <x:c r="M159" s="9"/>
      <x:c r="N159" s="9"/>
      <x:c r="O159" s="9"/>
      <x:c r="P159" s="9"/>
      <x:c r="Q159" s="13">
        <x:v>0</x:v>
      </x:c>
      <x:c r="R159" s="13">
        <x:v>0</x:v>
      </x:c>
      <x:c r="S159" s="13">
        <x:v>0</x:v>
      </x:c>
      <x:c r="T159" s="13">
        <x:v>0</x:v>
      </x:c>
      <x:c r="U159" s="13">
        <x:v>0</x:v>
      </x:c>
      <x:c r="V159" s="13">
        <x:v>0</x:v>
      </x:c>
      <x:c r="W159" s="13">
        <x:v>0</x:v>
      </x:c>
      <x:c r="X159" s="13">
        <x:v>0</x:v>
      </x:c>
      <x:c r="Y159" s="13">
        <x:v>0</x:v>
      </x:c>
      <x:c r="Z159" s="13">
        <x:v>0</x:v>
      </x:c>
      <x:c r="AA159" s="13">
        <x:v>0</x:v>
      </x:c>
      <x:c r="AB159" s="13">
        <x:v>0</x:v>
      </x:c>
      <x:c r="AC159" s="16">
        <x:v>0</x:v>
      </x:c>
      <x:c r="AF159" s="2" t="s">
        <x:v>34</x:v>
      </x:c>
    </x:row>
    <x:row r="160">
      <x:c r="A160" s="7" t="s">
        <x:v>347</x:v>
      </x:c>
      <x:c r="B160" s="7" t="s">
        <x:v>348</x:v>
      </x:c>
      <x:c r="C160" s="7"/>
      <x:c r="D160" s="9"/>
      <x:c r="E160" s="9"/>
      <x:c r="F160" s="9"/>
      <x:c r="G160" s="9"/>
      <x:c r="H160" s="9"/>
      <x:c r="I160" s="9"/>
      <x:c r="J160" s="9"/>
      <x:c r="K160" s="9"/>
      <x:c r="L160" s="9"/>
      <x:c r="M160" s="9"/>
      <x:c r="N160" s="9"/>
      <x:c r="O160" s="9"/>
      <x:c r="P160" s="9"/>
      <x:c r="Q160" s="13">
        <x:v>0</x:v>
      </x:c>
      <x:c r="R160" s="13">
        <x:v>0</x:v>
      </x:c>
      <x:c r="S160" s="13">
        <x:v>0</x:v>
      </x:c>
      <x:c r="T160" s="13">
        <x:v>0</x:v>
      </x:c>
      <x:c r="U160" s="13">
        <x:v>0</x:v>
      </x:c>
      <x:c r="V160" s="13">
        <x:v>0</x:v>
      </x:c>
      <x:c r="W160" s="13">
        <x:v>0</x:v>
      </x:c>
      <x:c r="X160" s="13">
        <x:v>0</x:v>
      </x:c>
      <x:c r="Y160" s="13">
        <x:v>0</x:v>
      </x:c>
      <x:c r="Z160" s="13">
        <x:v>0</x:v>
      </x:c>
      <x:c r="AA160" s="13">
        <x:v>0</x:v>
      </x:c>
      <x:c r="AB160" s="13">
        <x:v>0</x:v>
      </x:c>
      <x:c r="AC160" s="16">
        <x:v>0</x:v>
      </x:c>
      <x:c r="AF160" s="2" t="s">
        <x:v>34</x:v>
      </x:c>
    </x:row>
    <x:row r="161">
      <x:c r="A161" s="7" t="s">
        <x:v>349</x:v>
      </x:c>
      <x:c r="B161" s="7" t="s">
        <x:v>350</x:v>
      </x:c>
      <x:c r="C161" s="7"/>
      <x:c r="D161" s="9"/>
      <x:c r="E161" s="9"/>
      <x:c r="F161" s="9"/>
      <x:c r="G161" s="9"/>
      <x:c r="H161" s="9"/>
      <x:c r="I161" s="9"/>
      <x:c r="J161" s="9"/>
      <x:c r="K161" s="9"/>
      <x:c r="L161" s="9"/>
      <x:c r="M161" s="9"/>
      <x:c r="N161" s="9"/>
      <x:c r="O161" s="9"/>
      <x:c r="P161" s="9"/>
      <x:c r="Q161" s="13">
        <x:v>0</x:v>
      </x:c>
      <x:c r="R161" s="13">
        <x:v>0</x:v>
      </x:c>
      <x:c r="S161" s="13">
        <x:v>0</x:v>
      </x:c>
      <x:c r="T161" s="13">
        <x:v>0</x:v>
      </x:c>
      <x:c r="U161" s="13">
        <x:v>0</x:v>
      </x:c>
      <x:c r="V161" s="13">
        <x:v>0</x:v>
      </x:c>
      <x:c r="W161" s="13">
        <x:v>0</x:v>
      </x:c>
      <x:c r="X161" s="13">
        <x:v>0</x:v>
      </x:c>
      <x:c r="Y161" s="13">
        <x:v>0</x:v>
      </x:c>
      <x:c r="Z161" s="13">
        <x:v>0</x:v>
      </x:c>
      <x:c r="AA161" s="13">
        <x:v>0</x:v>
      </x:c>
      <x:c r="AB161" s="13">
        <x:v>0</x:v>
      </x:c>
      <x:c r="AC161" s="16">
        <x:v>0</x:v>
      </x:c>
      <x:c r="AF161" s="2" t="s">
        <x:v>34</x:v>
      </x:c>
    </x:row>
    <x:row r="162">
      <x:c r="A162" s="7" t="s">
        <x:v>351</x:v>
      </x:c>
      <x:c r="B162" s="7" t="s">
        <x:v>352</x:v>
      </x:c>
      <x:c r="C162" s="7"/>
      <x:c r="D162" s="25">
        <x:v>10</x:v>
      </x:c>
      <x:c r="E162" s="25">
        <x:v>11</x:v>
      </x:c>
      <x:c r="F162" s="25">
        <x:v>7</x:v>
      </x:c>
      <x:c r="G162" s="25">
        <x:v>9</x:v>
      </x:c>
      <x:c r="H162" s="25">
        <x:v>3</x:v>
      </x:c>
      <x:c r="I162" s="25">
        <x:v>25</x:v>
      </x:c>
      <x:c r="J162" s="25">
        <x:v>17</x:v>
      </x:c>
      <x:c r="K162" s="25">
        <x:v>5</x:v>
      </x:c>
      <x:c r="L162" s="25">
        <x:v>2</x:v>
      </x:c>
      <x:c r="M162" s="25">
        <x:v>6</x:v>
      </x:c>
      <x:c r="N162" s="25">
        <x:v>4</x:v>
      </x:c>
      <x:c r="O162" s="25">
        <x:v>4</x:v>
      </x:c>
      <x:c r="P162" s="25">
        <x:v>11</x:v>
      </x:c>
      <x:c r="Q162" s="17">
        <x:v>0.1792</x:v>
      </x:c>
      <x:c r="R162" s="17">
        <x:v>0.3548</x:v>
      </x:c>
      <x:c r="S162" s="17">
        <x:v>0.3333</x:v>
      </x:c>
      <x:c r="T162" s="17">
        <x:v>0.2903</x:v>
      </x:c>
      <x:c r="U162" s="17">
        <x:v>0.0909</x:v>
      </x:c>
      <x:c r="V162" s="17">
        <x:v>0.576</x:v>
      </x:c>
      <x:c r="W162" s="17">
        <x:v>0.6855</x:v>
      </x:c>
      <x:c r="X162" s="17">
        <x:v>0.2551</x:v>
      </x:c>
      <x:c r="Y162" s="17">
        <x:v>0.0717</x:v>
      </x:c>
      <x:c r="Z162" s="17">
        <x:v>0.25</x:v>
      </x:c>
      <x:c r="AA162" s="17">
        <x:v>0.129</x:v>
      </x:c>
      <x:c r="AB162" s="17">
        <x:v>0.1333</x:v>
      </x:c>
      <x:c r="AC162" s="20">
        <x:v>0.1971</x:v>
      </x:c>
      <x:c r="AD162" s="17">
        <x:v>0.2791</x:v>
      </x:c>
      <x:c r="AE162" s="17">
        <x:v>0.2791</x:v>
      </x:c>
      <x:c r="AF162" s="2" t="s">
        <x:v>34</x:v>
      </x:c>
    </x:row>
    <x:row r="163">
      <x:c r="A163" s="7" t="s">
        <x:v>353</x:v>
      </x:c>
      <x:c r="B163" s="7" t="s">
        <x:v>354</x:v>
      </x:c>
      <x:c r="C163" s="7"/>
      <x:c r="D163" s="9"/>
      <x:c r="E163" s="9"/>
      <x:c r="F163" s="9"/>
      <x:c r="G163" s="9"/>
      <x:c r="H163" s="9"/>
      <x:c r="I163" s="9"/>
      <x:c r="J163" s="9"/>
      <x:c r="K163" s="9"/>
      <x:c r="L163" s="9"/>
      <x:c r="M163" s="9"/>
      <x:c r="N163" s="9"/>
      <x:c r="O163" s="9"/>
      <x:c r="P163" s="9"/>
      <x:c r="Q163" s="13">
        <x:v>0</x:v>
      </x:c>
      <x:c r="R163" s="13">
        <x:v>0</x:v>
      </x:c>
      <x:c r="S163" s="13">
        <x:v>0</x:v>
      </x:c>
      <x:c r="T163" s="13">
        <x:v>0</x:v>
      </x:c>
      <x:c r="U163" s="13">
        <x:v>0</x:v>
      </x:c>
      <x:c r="V163" s="13">
        <x:v>0</x:v>
      </x:c>
      <x:c r="W163" s="13">
        <x:v>0</x:v>
      </x:c>
      <x:c r="X163" s="13">
        <x:v>0</x:v>
      </x:c>
      <x:c r="Y163" s="13">
        <x:v>0</x:v>
      </x:c>
      <x:c r="Z163" s="13">
        <x:v>0</x:v>
      </x:c>
      <x:c r="AA163" s="13">
        <x:v>0</x:v>
      </x:c>
      <x:c r="AB163" s="13">
        <x:v>0</x:v>
      </x:c>
      <x:c r="AC163" s="16">
        <x:v>0</x:v>
      </x:c>
      <x:c r="AF163" s="2" t="s">
        <x:v>34</x:v>
      </x:c>
    </x:row>
    <x:row r="164">
      <x:c r="A164" s="7" t="s">
        <x:v>355</x:v>
      </x:c>
      <x:c r="B164" s="7" t="s">
        <x:v>356</x:v>
      </x:c>
      <x:c r="C164" s="7"/>
      <x:c r="D164" s="25">
        <x:v>14</x:v>
      </x:c>
      <x:c r="E164" s="25">
        <x:v>22</x:v>
      </x:c>
      <x:c r="F164" s="25">
        <x:v>16</x:v>
      </x:c>
      <x:c r="G164" s="25">
        <x:v>8</x:v>
      </x:c>
      <x:c r="H164" s="25">
        <x:v>8</x:v>
      </x:c>
      <x:c r="I164" s="25">
        <x:v>12</x:v>
      </x:c>
      <x:c r="J164" s="25">
        <x:v>12</x:v>
      </x:c>
      <x:c r="K164" s="25">
        <x:v>3</x:v>
      </x:c>
      <x:c r="L164" s="25">
        <x:v>4</x:v>
      </x:c>
      <x:c r="M164" s="25">
        <x:v>2</x:v>
      </x:c>
      <x:c r="N164" s="25">
        <x:v>1</x:v>
      </x:c>
      <x:c r="O164" s="25">
        <x:v>9</x:v>
      </x:c>
      <x:c r="P164" s="9"/>
      <x:c r="Q164" s="17">
        <x:v>0.2509</x:v>
      </x:c>
      <x:c r="R164" s="17">
        <x:v>0.7097</x:v>
      </x:c>
      <x:c r="S164" s="17">
        <x:v>0.7619</x:v>
      </x:c>
      <x:c r="T164" s="17">
        <x:v>0.2581</x:v>
      </x:c>
      <x:c r="U164" s="17">
        <x:v>0.2424</x:v>
      </x:c>
      <x:c r="V164" s="17">
        <x:v>0.2765</x:v>
      </x:c>
      <x:c r="W164" s="17">
        <x:v>0.4839</x:v>
      </x:c>
      <x:c r="X164" s="17">
        <x:v>0.1531</x:v>
      </x:c>
      <x:c r="Y164" s="17">
        <x:v>0.1434</x:v>
      </x:c>
      <x:c r="Z164" s="17">
        <x:v>0.0833</x:v>
      </x:c>
      <x:c r="AA164" s="17">
        <x:v>0.0323</x:v>
      </x:c>
      <x:c r="AB164" s="17">
        <x:v>0.3</x:v>
      </x:c>
      <x:c r="AC164" s="20">
        <x:v>0</x:v>
      </x:c>
      <x:c r="AD164" s="17">
        <x:v>0.308</x:v>
      </x:c>
      <x:c r="AE164" s="17">
        <x:v>0.308</x:v>
      </x:c>
      <x:c r="AF164" s="2" t="s">
        <x:v>34</x:v>
      </x:c>
    </x:row>
    <x:row r="165">
      <x:c r="A165" s="7" t="s">
        <x:v>357</x:v>
      </x:c>
      <x:c r="B165" s="7" t="s">
        <x:v>358</x:v>
      </x:c>
      <x:c r="C165" s="7"/>
      <x:c r="D165" s="25">
        <x:v>9</x:v>
      </x:c>
      <x:c r="E165" s="25">
        <x:v>10</x:v>
      </x:c>
      <x:c r="F165" s="25">
        <x:v>5</x:v>
      </x:c>
      <x:c r="G165" s="25">
        <x:v>3</x:v>
      </x:c>
      <x:c r="H165" s="25">
        <x:v>15</x:v>
      </x:c>
      <x:c r="I165" s="25">
        <x:v>21</x:v>
      </x:c>
      <x:c r="J165" s="25">
        <x:v>9</x:v>
      </x:c>
      <x:c r="K165" s="25">
        <x:v>3</x:v>
      </x:c>
      <x:c r="L165" s="25">
        <x:v>1</x:v>
      </x:c>
      <x:c r="M165" s="25">
        <x:v>2</x:v>
      </x:c>
      <x:c r="N165" s="9"/>
      <x:c r="O165" s="25">
        <x:v>5</x:v>
      </x:c>
      <x:c r="P165" s="9"/>
      <x:c r="Q165" s="17">
        <x:v>0.1613</x:v>
      </x:c>
      <x:c r="R165" s="17">
        <x:v>0.3226</x:v>
      </x:c>
      <x:c r="S165" s="17">
        <x:v>0.2381</x:v>
      </x:c>
      <x:c r="T165" s="17">
        <x:v>0.0968</x:v>
      </x:c>
      <x:c r="U165" s="17">
        <x:v>0.4545</x:v>
      </x:c>
      <x:c r="V165" s="17">
        <x:v>0.4839</x:v>
      </x:c>
      <x:c r="W165" s="17">
        <x:v>0.3629</x:v>
      </x:c>
      <x:c r="X165" s="17">
        <x:v>0.1531</x:v>
      </x:c>
      <x:c r="Y165" s="17">
        <x:v>0.0358</x:v>
      </x:c>
      <x:c r="Z165" s="17">
        <x:v>0.0833</x:v>
      </x:c>
      <x:c r="AA165" s="17">
        <x:v>0</x:v>
      </x:c>
      <x:c r="AB165" s="17">
        <x:v>0.1667</x:v>
      </x:c>
      <x:c r="AC165" s="20">
        <x:v>0</x:v>
      </x:c>
      <x:c r="AD165" s="17">
        <x:v>0.2133</x:v>
      </x:c>
      <x:c r="AE165" s="17">
        <x:v>0.2133</x:v>
      </x:c>
      <x:c r="AF165" s="2" t="s">
        <x:v>34</x:v>
      </x:c>
    </x:row>
    <x:row r="166">
      <x:c r="A166" s="7" t="s">
        <x:v>359</x:v>
      </x:c>
      <x:c r="B166" s="7" t="s">
        <x:v>360</x:v>
      </x:c>
      <x:c r="C166" s="7"/>
      <x:c r="D166" s="9"/>
      <x:c r="E166" s="25">
        <x:v>4</x:v>
      </x:c>
      <x:c r="F166" s="9"/>
      <x:c r="G166" s="25">
        <x:v>4</x:v>
      </x:c>
      <x:c r="H166" s="25">
        <x:v>2</x:v>
      </x:c>
      <x:c r="I166" s="25">
        <x:v>8</x:v>
      </x:c>
      <x:c r="J166" s="9"/>
      <x:c r="K166" s="25">
        <x:v>3</x:v>
      </x:c>
      <x:c r="L166" s="25">
        <x:v>8</x:v>
      </x:c>
      <x:c r="M166" s="25">
        <x:v>4</x:v>
      </x:c>
      <x:c r="N166" s="9"/>
      <x:c r="O166" s="9"/>
      <x:c r="P166" s="9"/>
      <x:c r="Q166" s="17">
        <x:v>0</x:v>
      </x:c>
      <x:c r="R166" s="17">
        <x:v>0.129</x:v>
      </x:c>
      <x:c r="S166" s="17">
        <x:v>0</x:v>
      </x:c>
      <x:c r="T166" s="17">
        <x:v>0.129</x:v>
      </x:c>
      <x:c r="U166" s="17">
        <x:v>0.0606</x:v>
      </x:c>
      <x:c r="V166" s="17">
        <x:v>0.1843</x:v>
      </x:c>
      <x:c r="W166" s="17">
        <x:v>0</x:v>
      </x:c>
      <x:c r="X166" s="17">
        <x:v>0.1531</x:v>
      </x:c>
      <x:c r="Y166" s="17">
        <x:v>0.2867</x:v>
      </x:c>
      <x:c r="Z166" s="23">
        <x:v>0.3333</x:v>
      </x:c>
      <x:c r="AA166" s="13">
        <x:v>0</x:v>
      </x:c>
      <x:c r="AB166" s="13">
        <x:v>0</x:v>
      </x:c>
      <x:c r="AC166" s="16">
        <x:v>0</x:v>
      </x:c>
      <x:c r="AD166" s="17">
        <x:v>0.1047</x:v>
      </x:c>
      <x:c r="AE166" s="17">
        <x:v>0.1047</x:v>
      </x:c>
      <x:c r="AF166" s="2" t="s">
        <x:v>34</x:v>
      </x:c>
    </x:row>
    <x:row r="167">
      <x:c r="A167" s="7" t="s">
        <x:v>361</x:v>
      </x:c>
      <x:c r="B167" s="7" t="s">
        <x:v>362</x:v>
      </x:c>
      <x:c r="C167" s="7"/>
      <x:c r="D167" s="25">
        <x:v>8</x:v>
      </x:c>
      <x:c r="E167" s="25">
        <x:v>11</x:v>
      </x:c>
      <x:c r="F167" s="25">
        <x:v>10</x:v>
      </x:c>
      <x:c r="G167" s="25">
        <x:v>14</x:v>
      </x:c>
      <x:c r="H167" s="25">
        <x:v>15</x:v>
      </x:c>
      <x:c r="I167" s="25">
        <x:v>18</x:v>
      </x:c>
      <x:c r="J167" s="25">
        <x:v>11</x:v>
      </x:c>
      <x:c r="K167" s="25">
        <x:v>7</x:v>
      </x:c>
      <x:c r="L167" s="9"/>
      <x:c r="M167" s="9"/>
      <x:c r="N167" s="9"/>
      <x:c r="O167" s="9"/>
      <x:c r="P167" s="25">
        <x:v>2</x:v>
      </x:c>
      <x:c r="Q167" s="17">
        <x:v>0.1434</x:v>
      </x:c>
      <x:c r="R167" s="17">
        <x:v>0.3548</x:v>
      </x:c>
      <x:c r="S167" s="17">
        <x:v>0.4762</x:v>
      </x:c>
      <x:c r="T167" s="17">
        <x:v>0.4516</x:v>
      </x:c>
      <x:c r="U167" s="17">
        <x:v>0.4545</x:v>
      </x:c>
      <x:c r="V167" s="17">
        <x:v>0.4147</x:v>
      </x:c>
      <x:c r="W167" s="17">
        <x:v>0.4435</x:v>
      </x:c>
      <x:c r="X167" s="23">
        <x:v>5</x:v>
      </x:c>
      <x:c r="Y167" s="13">
        <x:v>0</x:v>
      </x:c>
      <x:c r="Z167" s="13">
        <x:v>0</x:v>
      </x:c>
      <x:c r="AA167" s="13">
        <x:v>0</x:v>
      </x:c>
      <x:c r="AB167" s="13">
        <x:v>0</x:v>
      </x:c>
      <x:c r="AC167" s="16">
        <x:v>1.1111</x:v>
      </x:c>
      <x:c r="AD167" s="17">
        <x:v>0.3912</x:v>
      </x:c>
      <x:c r="AE167" s="17">
        <x:v>0.3912</x:v>
      </x:c>
      <x:c r="AF167" s="2" t="s">
        <x:v>34</x:v>
      </x:c>
    </x:row>
    <x:row r="168">
      <x:c r="A168" s="7" t="s">
        <x:v>363</x:v>
      </x:c>
      <x:c r="B168" s="7" t="s">
        <x:v>364</x:v>
      </x:c>
      <x:c r="C168" s="7"/>
      <x:c r="D168" s="25">
        <x:v>9</x:v>
      </x:c>
      <x:c r="E168" s="25">
        <x:v>14</x:v>
      </x:c>
      <x:c r="F168" s="25">
        <x:v>12</x:v>
      </x:c>
      <x:c r="G168" s="25">
        <x:v>12</x:v>
      </x:c>
      <x:c r="H168" s="25">
        <x:v>16</x:v>
      </x:c>
      <x:c r="I168" s="25">
        <x:v>26</x:v>
      </x:c>
      <x:c r="J168" s="25">
        <x:v>10</x:v>
      </x:c>
      <x:c r="K168" s="9"/>
      <x:c r="L168" s="9"/>
      <x:c r="M168" s="9"/>
      <x:c r="N168" s="9"/>
      <x:c r="O168" s="9"/>
      <x:c r="P168" s="9"/>
      <x:c r="Q168" s="17">
        <x:v>0.1613</x:v>
      </x:c>
      <x:c r="R168" s="17">
        <x:v>0.4516</x:v>
      </x:c>
      <x:c r="S168" s="17">
        <x:v>0.5714</x:v>
      </x:c>
      <x:c r="T168" s="17">
        <x:v>0.3871</x:v>
      </x:c>
      <x:c r="U168" s="17">
        <x:v>0.4848</x:v>
      </x:c>
      <x:c r="V168" s="17">
        <x:v>0.5991</x:v>
      </x:c>
      <x:c r="W168" s="23">
        <x:v>0.4808</x:v>
      </x:c>
      <x:c r="X168" s="13">
        <x:v>0</x:v>
      </x:c>
      <x:c r="Y168" s="13">
        <x:v>0</x:v>
      </x:c>
      <x:c r="Z168" s="13">
        <x:v>0</x:v>
      </x:c>
      <x:c r="AA168" s="13">
        <x:v>0</x:v>
      </x:c>
      <x:c r="AB168" s="13">
        <x:v>0</x:v>
      </x:c>
      <x:c r="AC168" s="16">
        <x:v>0</x:v>
      </x:c>
      <x:c r="AD168" s="17">
        <x:v>0.4426</x:v>
      </x:c>
      <x:c r="AE168" s="17">
        <x:v>0.4426</x:v>
      </x:c>
      <x:c r="AF168" s="2" t="s">
        <x:v>34</x:v>
      </x:c>
    </x:row>
    <x:row r="169">
      <x:c r="A169" s="7" t="s">
        <x:v>365</x:v>
      </x:c>
      <x:c r="B169" s="7" t="s">
        <x:v>366</x:v>
      </x:c>
      <x:c r="C169" s="7"/>
      <x:c r="D169" s="9"/>
      <x:c r="E169" s="9"/>
      <x:c r="F169" s="25">
        <x:v>1</x:v>
      </x:c>
      <x:c r="G169" s="25">
        <x:v>1</x:v>
      </x:c>
      <x:c r="H169" s="9"/>
      <x:c r="I169" s="25">
        <x:v>1</x:v>
      </x:c>
      <x:c r="J169" s="9"/>
      <x:c r="K169" s="25">
        <x:v>1</x:v>
      </x:c>
      <x:c r="L169" s="25">
        <x:v>1</x:v>
      </x:c>
      <x:c r="M169" s="9"/>
      <x:c r="N169" s="9"/>
      <x:c r="O169" s="25">
        <x:v>1</x:v>
      </x:c>
      <x:c r="P169" s="9"/>
      <x:c r="Q169" s="17">
        <x:v>0</x:v>
      </x:c>
      <x:c r="R169" s="17">
        <x:v>0</x:v>
      </x:c>
      <x:c r="S169" s="17">
        <x:v>0.0476</x:v>
      </x:c>
      <x:c r="T169" s="17">
        <x:v>0.0323</x:v>
      </x:c>
      <x:c r="U169" s="17">
        <x:v>0</x:v>
      </x:c>
      <x:c r="V169" s="17">
        <x:v>0.023</x:v>
      </x:c>
      <x:c r="W169" s="17">
        <x:v>0</x:v>
      </x:c>
      <x:c r="X169" s="17">
        <x:v>0.051</x:v>
      </x:c>
      <x:c r="Y169" s="17">
        <x:v>0.0358</x:v>
      </x:c>
      <x:c r="Z169" s="17">
        <x:v>0</x:v>
      </x:c>
      <x:c r="AA169" s="17">
        <x:v>0</x:v>
      </x:c>
      <x:c r="AB169" s="17">
        <x:v>0.0333</x:v>
      </x:c>
      <x:c r="AC169" s="20">
        <x:v>0</x:v>
      </x:c>
      <x:c r="AD169" s="17">
        <x:v>0.0186</x:v>
      </x:c>
      <x:c r="AE169" s="17">
        <x:v>0.0186</x:v>
      </x:c>
      <x:c r="AF169" s="2" t="s">
        <x:v>34</x:v>
      </x:c>
    </x:row>
    <x:row r="170">
      <x:c r="A170" s="7" t="s">
        <x:v>367</x:v>
      </x:c>
      <x:c r="B170" s="7" t="s">
        <x:v>368</x:v>
      </x:c>
      <x:c r="C170" s="7"/>
      <x:c r="D170" s="25">
        <x:v>1</x:v>
      </x:c>
      <x:c r="E170" s="9"/>
      <x:c r="F170" s="9"/>
      <x:c r="G170" s="25">
        <x:v>1</x:v>
      </x:c>
      <x:c r="H170" s="9"/>
      <x:c r="I170" s="25">
        <x:v>1</x:v>
      </x:c>
      <x:c r="J170" s="9"/>
      <x:c r="K170" s="9"/>
      <x:c r="L170" s="9"/>
      <x:c r="M170" s="25">
        <x:v>1</x:v>
      </x:c>
      <x:c r="N170" s="9"/>
      <x:c r="O170" s="9"/>
      <x:c r="P170" s="25">
        <x:v>1</x:v>
      </x:c>
      <x:c r="Q170" s="17">
        <x:v>0.0179</x:v>
      </x:c>
      <x:c r="R170" s="17">
        <x:v>0</x:v>
      </x:c>
      <x:c r="S170" s="17">
        <x:v>0</x:v>
      </x:c>
      <x:c r="T170" s="17">
        <x:v>0.0323</x:v>
      </x:c>
      <x:c r="U170" s="17">
        <x:v>0</x:v>
      </x:c>
      <x:c r="V170" s="17">
        <x:v>0.023</x:v>
      </x:c>
      <x:c r="W170" s="17">
        <x:v>0</x:v>
      </x:c>
      <x:c r="X170" s="17">
        <x:v>0</x:v>
      </x:c>
      <x:c r="Y170" s="17">
        <x:v>0</x:v>
      </x:c>
      <x:c r="Z170" s="17">
        <x:v>0.0417</x:v>
      </x:c>
      <x:c r="AA170" s="17">
        <x:v>0</x:v>
      </x:c>
      <x:c r="AB170" s="17">
        <x:v>0</x:v>
      </x:c>
      <x:c r="AC170" s="20">
        <x:v>0.0179</x:v>
      </x:c>
      <x:c r="AD170" s="17">
        <x:v>0.0096</x:v>
      </x:c>
      <x:c r="AE170" s="17">
        <x:v>0.0096</x:v>
      </x:c>
      <x:c r="AF170" s="2" t="s">
        <x:v>34</x:v>
      </x:c>
    </x:row>
    <x:row r="171">
      <x:c r="A171" s="7" t="s">
        <x:v>369</x:v>
      </x:c>
      <x:c r="B171" s="7" t="s">
        <x:v>157</x:v>
      </x:c>
      <x:c r="C171" s="7"/>
      <x:c r="D171" s="9"/>
      <x:c r="E171" s="9"/>
      <x:c r="F171" s="9"/>
      <x:c r="G171" s="9"/>
      <x:c r="H171" s="9"/>
      <x:c r="I171" s="9"/>
      <x:c r="J171" s="9"/>
      <x:c r="K171" s="9"/>
      <x:c r="L171" s="9"/>
      <x:c r="M171" s="9"/>
      <x:c r="N171" s="9"/>
      <x:c r="O171" s="9"/>
      <x:c r="P171" s="9"/>
      <x:c r="Q171" s="13">
        <x:v>0</x:v>
      </x:c>
      <x:c r="R171" s="13">
        <x:v>0</x:v>
      </x:c>
      <x:c r="S171" s="13">
        <x:v>0</x:v>
      </x:c>
      <x:c r="T171" s="13">
        <x:v>0</x:v>
      </x:c>
      <x:c r="U171" s="13">
        <x:v>0</x:v>
      </x:c>
      <x:c r="V171" s="13">
        <x:v>0</x:v>
      </x:c>
      <x:c r="W171" s="13">
        <x:v>0</x:v>
      </x:c>
      <x:c r="X171" s="13">
        <x:v>0</x:v>
      </x:c>
      <x:c r="Y171" s="13">
        <x:v>0</x:v>
      </x:c>
      <x:c r="Z171" s="13">
        <x:v>0</x:v>
      </x:c>
      <x:c r="AA171" s="13">
        <x:v>0</x:v>
      </x:c>
      <x:c r="AB171" s="13">
        <x:v>0</x:v>
      </x:c>
      <x:c r="AC171" s="16">
        <x:v>0</x:v>
      </x:c>
      <x:c r="AF171" s="2" t="s">
        <x:v>34</x:v>
      </x:c>
    </x:row>
    <x:row r="172">
      <x:c r="A172" s="7" t="s">
        <x:v>370</x:v>
      </x:c>
      <x:c r="B172" s="7" t="s">
        <x:v>371</x:v>
      </x:c>
      <x:c r="C172" s="7"/>
      <x:c r="D172" s="25">
        <x:v>4</x:v>
      </x:c>
      <x:c r="E172" s="9"/>
      <x:c r="F172" s="25">
        <x:v>2</x:v>
      </x:c>
      <x:c r="G172" s="9"/>
      <x:c r="H172" s="25">
        <x:v>1</x:v>
      </x:c>
      <x:c r="I172" s="25">
        <x:v>2</x:v>
      </x:c>
      <x:c r="J172" s="9"/>
      <x:c r="K172" s="9"/>
      <x:c r="L172" s="9"/>
      <x:c r="M172" s="25">
        <x:v>1</x:v>
      </x:c>
      <x:c r="N172" s="25">
        <x:v>1</x:v>
      </x:c>
      <x:c r="O172" s="25">
        <x:v>3</x:v>
      </x:c>
      <x:c r="P172" s="9"/>
      <x:c r="Q172" s="17">
        <x:v>0.0717</x:v>
      </x:c>
      <x:c r="R172" s="17">
        <x:v>0</x:v>
      </x:c>
      <x:c r="S172" s="17">
        <x:v>0.0952</x:v>
      </x:c>
      <x:c r="T172" s="17">
        <x:v>0</x:v>
      </x:c>
      <x:c r="U172" s="17">
        <x:v>0.0303</x:v>
      </x:c>
      <x:c r="V172" s="17">
        <x:v>0.0461</x:v>
      </x:c>
      <x:c r="W172" s="17">
        <x:v>0</x:v>
      </x:c>
      <x:c r="X172" s="17">
        <x:v>0</x:v>
      </x:c>
      <x:c r="Y172" s="17">
        <x:v>0</x:v>
      </x:c>
      <x:c r="Z172" s="17">
        <x:v>0.0417</x:v>
      </x:c>
      <x:c r="AA172" s="17">
        <x:v>0.0323</x:v>
      </x:c>
      <x:c r="AB172" s="17">
        <x:v>0.1</x:v>
      </x:c>
      <x:c r="AC172" s="20">
        <x:v>0</x:v>
      </x:c>
      <x:c r="AD172" s="17">
        <x:v>0.0348</x:v>
      </x:c>
      <x:c r="AE172" s="17">
        <x:v>0.0348</x:v>
      </x:c>
      <x:c r="AF172" s="2" t="s">
        <x:v>34</x:v>
      </x:c>
    </x:row>
    <x:row r="173">
      <x:c r="A173" s="7" t="s">
        <x:v>372</x:v>
      </x:c>
      <x:c r="B173" s="7" t="s">
        <x:v>373</x:v>
      </x:c>
      <x:c r="C173" s="7"/>
      <x:c r="D173" s="9"/>
      <x:c r="E173" s="9"/>
      <x:c r="F173" s="9"/>
      <x:c r="G173" s="9"/>
      <x:c r="H173" s="9"/>
      <x:c r="I173" s="9"/>
      <x:c r="J173" s="9"/>
      <x:c r="K173" s="9"/>
      <x:c r="L173" s="9"/>
      <x:c r="M173" s="9"/>
      <x:c r="N173" s="9"/>
      <x:c r="O173" s="9"/>
      <x:c r="P173" s="9"/>
      <x:c r="Q173" s="13">
        <x:v>0</x:v>
      </x:c>
      <x:c r="R173" s="13">
        <x:v>0</x:v>
      </x:c>
      <x:c r="S173" s="13">
        <x:v>0</x:v>
      </x:c>
      <x:c r="T173" s="13">
        <x:v>0</x:v>
      </x:c>
      <x:c r="U173" s="13">
        <x:v>0</x:v>
      </x:c>
      <x:c r="V173" s="13">
        <x:v>0</x:v>
      </x:c>
      <x:c r="W173" s="13">
        <x:v>0</x:v>
      </x:c>
      <x:c r="X173" s="13">
        <x:v>0</x:v>
      </x:c>
      <x:c r="Y173" s="13">
        <x:v>0</x:v>
      </x:c>
      <x:c r="Z173" s="13">
        <x:v>0</x:v>
      </x:c>
      <x:c r="AA173" s="13">
        <x:v>0</x:v>
      </x:c>
      <x:c r="AB173" s="13">
        <x:v>0</x:v>
      </x:c>
      <x:c r="AC173" s="16">
        <x:v>0</x:v>
      </x:c>
      <x:c r="AF173" s="2" t="s">
        <x:v>107</x:v>
      </x:c>
    </x:row>
    <x:row r="174">
      <x:c r="A174" s="7" t="s">
        <x:v>374</x:v>
      </x:c>
      <x:c r="B174" s="7" t="s">
        <x:v>375</x:v>
      </x:c>
      <x:c r="C174" s="7"/>
      <x:c r="D174" s="9"/>
      <x:c r="E174" s="9"/>
      <x:c r="F174" s="9"/>
      <x:c r="G174" s="9"/>
      <x:c r="H174" s="9"/>
      <x:c r="I174" s="9"/>
      <x:c r="J174" s="9"/>
      <x:c r="K174" s="9"/>
      <x:c r="L174" s="9"/>
      <x:c r="M174" s="9"/>
      <x:c r="N174" s="9"/>
      <x:c r="O174" s="9"/>
      <x:c r="P174" s="9"/>
      <x:c r="Q174" s="13">
        <x:v>0</x:v>
      </x:c>
      <x:c r="R174" s="13">
        <x:v>0</x:v>
      </x:c>
      <x:c r="S174" s="13">
        <x:v>0</x:v>
      </x:c>
      <x:c r="T174" s="13">
        <x:v>0</x:v>
      </x:c>
      <x:c r="U174" s="13">
        <x:v>0</x:v>
      </x:c>
      <x:c r="V174" s="13">
        <x:v>0</x:v>
      </x:c>
      <x:c r="W174" s="13">
        <x:v>0</x:v>
      </x:c>
      <x:c r="X174" s="13">
        <x:v>0</x:v>
      </x:c>
      <x:c r="Y174" s="13">
        <x:v>0</x:v>
      </x:c>
      <x:c r="Z174" s="13">
        <x:v>0</x:v>
      </x:c>
      <x:c r="AA174" s="13">
        <x:v>0</x:v>
      </x:c>
      <x:c r="AB174" s="13">
        <x:v>0</x:v>
      </x:c>
      <x:c r="AC174" s="16">
        <x:v>0</x:v>
      </x:c>
      <x:c r="AF174" s="2" t="s">
        <x:v>107</x:v>
      </x:c>
    </x:row>
    <x:row r="175">
      <x:c r="A175" s="7" t="s">
        <x:v>376</x:v>
      </x:c>
      <x:c r="B175" s="7" t="s">
        <x:v>377</x:v>
      </x:c>
      <x:c r="C175" s="7"/>
      <x:c r="D175" s="9"/>
      <x:c r="E175" s="9"/>
      <x:c r="F175" s="9"/>
      <x:c r="G175" s="9"/>
      <x:c r="H175" s="9"/>
      <x:c r="I175" s="9"/>
      <x:c r="J175" s="9"/>
      <x:c r="K175" s="9"/>
      <x:c r="L175" s="9"/>
      <x:c r="M175" s="9"/>
      <x:c r="N175" s="9"/>
      <x:c r="O175" s="9"/>
      <x:c r="P175" s="9"/>
      <x:c r="Q175" s="13">
        <x:v>0</x:v>
      </x:c>
      <x:c r="R175" s="13">
        <x:v>0</x:v>
      </x:c>
      <x:c r="S175" s="13">
        <x:v>0</x:v>
      </x:c>
      <x:c r="T175" s="13">
        <x:v>0</x:v>
      </x:c>
      <x:c r="U175" s="13">
        <x:v>0</x:v>
      </x:c>
      <x:c r="V175" s="13">
        <x:v>0</x:v>
      </x:c>
      <x:c r="W175" s="13">
        <x:v>0</x:v>
      </x:c>
      <x:c r="X175" s="13">
        <x:v>0</x:v>
      </x:c>
      <x:c r="Y175" s="13">
        <x:v>0</x:v>
      </x:c>
      <x:c r="Z175" s="13">
        <x:v>0</x:v>
      </x:c>
      <x:c r="AA175" s="13">
        <x:v>0</x:v>
      </x:c>
      <x:c r="AB175" s="13">
        <x:v>0</x:v>
      </x:c>
      <x:c r="AC175" s="16">
        <x:v>0</x:v>
      </x:c>
      <x:c r="AF175" s="2" t="s">
        <x:v>107</x:v>
      </x:c>
    </x:row>
    <x:row r="176">
      <x:c r="A176" s="7" t="s">
        <x:v>378</x:v>
      </x:c>
      <x:c r="B176" s="7" t="s">
        <x:v>379</x:v>
      </x:c>
      <x:c r="C176" s="7"/>
      <x:c r="D176" s="9"/>
      <x:c r="E176" s="9"/>
      <x:c r="F176" s="9"/>
      <x:c r="G176" s="9"/>
      <x:c r="H176" s="9"/>
      <x:c r="I176" s="9"/>
      <x:c r="J176" s="9"/>
      <x:c r="K176" s="9"/>
      <x:c r="L176" s="9"/>
      <x:c r="M176" s="9"/>
      <x:c r="N176" s="9"/>
      <x:c r="O176" s="9"/>
      <x:c r="P176" s="9"/>
      <x:c r="Q176" s="13">
        <x:v>0</x:v>
      </x:c>
      <x:c r="R176" s="13">
        <x:v>0</x:v>
      </x:c>
      <x:c r="S176" s="13">
        <x:v>0</x:v>
      </x:c>
      <x:c r="T176" s="13">
        <x:v>0</x:v>
      </x:c>
      <x:c r="U176" s="13">
        <x:v>0</x:v>
      </x:c>
      <x:c r="V176" s="13">
        <x:v>0</x:v>
      </x:c>
      <x:c r="W176" s="13">
        <x:v>0</x:v>
      </x:c>
      <x:c r="X176" s="13">
        <x:v>0</x:v>
      </x:c>
      <x:c r="Y176" s="13">
        <x:v>0</x:v>
      </x:c>
      <x:c r="Z176" s="13">
        <x:v>0</x:v>
      </x:c>
      <x:c r="AA176" s="13">
        <x:v>0</x:v>
      </x:c>
      <x:c r="AB176" s="13">
        <x:v>0</x:v>
      </x:c>
      <x:c r="AC176" s="16">
        <x:v>0</x:v>
      </x:c>
      <x:c r="AF176" s="2" t="s">
        <x:v>107</x:v>
      </x:c>
    </x:row>
    <x:row r="177">
      <x:c r="A177" s="7" t="s">
        <x:v>380</x:v>
      </x:c>
      <x:c r="B177" s="7" t="s">
        <x:v>381</x:v>
      </x:c>
      <x:c r="C177" s="7"/>
      <x:c r="D177" s="25">
        <x:v>16</x:v>
      </x:c>
      <x:c r="E177" s="25">
        <x:v>2</x:v>
      </x:c>
      <x:c r="F177" s="25">
        <x:v>-2</x:v>
      </x:c>
      <x:c r="G177" s="9"/>
      <x:c r="H177" s="9"/>
      <x:c r="I177" s="25">
        <x:v>50</x:v>
      </x:c>
      <x:c r="J177" s="9"/>
      <x:c r="K177" s="9"/>
      <x:c r="L177" s="9"/>
      <x:c r="M177" s="9"/>
      <x:c r="N177" s="9"/>
      <x:c r="O177" s="25">
        <x:v>1</x:v>
      </x:c>
      <x:c r="P177" s="25">
        <x:v>2</x:v>
      </x:c>
      <x:c r="Q177" s="17">
        <x:v>0.2867</x:v>
      </x:c>
      <x:c r="R177" s="17">
        <x:v>0.0645</x:v>
      </x:c>
      <x:c r="S177" s="17">
        <x:v>-0.0952</x:v>
      </x:c>
      <x:c r="T177" s="17">
        <x:v>0</x:v>
      </x:c>
      <x:c r="U177" s="17">
        <x:v>0</x:v>
      </x:c>
      <x:c r="V177" s="17">
        <x:v>1.1521</x:v>
      </x:c>
      <x:c r="W177" s="17">
        <x:v>0</x:v>
      </x:c>
      <x:c r="X177" s="17">
        <x:v>0</x:v>
      </x:c>
      <x:c r="Y177" s="17">
        <x:v>0</x:v>
      </x:c>
      <x:c r="Z177" s="17">
        <x:v>0</x:v>
      </x:c>
      <x:c r="AA177" s="17">
        <x:v>0</x:v>
      </x:c>
      <x:c r="AB177" s="17">
        <x:v>0.0333</x:v>
      </x:c>
      <x:c r="AC177" s="20">
        <x:v>0.0358</x:v>
      </x:c>
      <x:c r="AD177" s="17">
        <x:v>0.1201</x:v>
      </x:c>
      <x:c r="AE177" s="17">
        <x:v>0.1201</x:v>
      </x:c>
      <x:c r="AF177" s="2" t="s">
        <x:v>34</x:v>
      </x:c>
    </x:row>
    <x:row r="178">
      <x:c r="A178" s="7" t="s">
        <x:v>382</x:v>
      </x:c>
      <x:c r="B178" s="7" t="s">
        <x:v>383</x:v>
      </x:c>
      <x:c r="C178" s="7"/>
      <x:c r="D178" s="25">
        <x:v>56</x:v>
      </x:c>
      <x:c r="E178" s="25">
        <x:v>3</x:v>
      </x:c>
      <x:c r="F178" s="9"/>
      <x:c r="G178" s="9"/>
      <x:c r="H178" s="9"/>
      <x:c r="I178" s="9"/>
      <x:c r="J178" s="9"/>
      <x:c r="K178" s="9"/>
      <x:c r="L178" s="9"/>
      <x:c r="M178" s="25">
        <x:v>50</x:v>
      </x:c>
      <x:c r="N178" s="9"/>
      <x:c r="O178" s="9"/>
      <x:c r="P178" s="25">
        <x:v>1</x:v>
      </x:c>
      <x:c r="Q178" s="23">
        <x:v>1.0728</x:v>
      </x:c>
      <x:c r="R178" s="17">
        <x:v>0.0968</x:v>
      </x:c>
      <x:c r="S178" s="17">
        <x:v>0</x:v>
      </x:c>
      <x:c r="T178" s="17">
        <x:v>0</x:v>
      </x:c>
      <x:c r="U178" s="17">
        <x:v>0</x:v>
      </x:c>
      <x:c r="V178" s="17">
        <x:v>0</x:v>
      </x:c>
      <x:c r="W178" s="17">
        <x:v>0</x:v>
      </x:c>
      <x:c r="X178" s="17">
        <x:v>0</x:v>
      </x:c>
      <x:c r="Y178" s="17">
        <x:v>0</x:v>
      </x:c>
      <x:c r="Z178" s="17">
        <x:v>2.0833</x:v>
      </x:c>
      <x:c r="AA178" s="17">
        <x:v>0</x:v>
      </x:c>
      <x:c r="AB178" s="17">
        <x:v>0</x:v>
      </x:c>
      <x:c r="AC178" s="20">
        <x:v>0.0179</x:v>
      </x:c>
      <x:c r="AD178" s="17">
        <x:v>0.1982</x:v>
      </x:c>
      <x:c r="AE178" s="17">
        <x:v>0.1982</x:v>
      </x:c>
      <x:c r="AF178" s="2" t="s">
        <x:v>34</x:v>
      </x:c>
    </x:row>
    <x:row r="179">
      <x:c r="A179" s="7" t="s">
        <x:v>384</x:v>
      </x:c>
      <x:c r="B179" s="7" t="s">
        <x:v>385</x:v>
      </x:c>
      <x:c r="C179" s="7"/>
      <x:c r="D179" s="25">
        <x:v>11</x:v>
      </x:c>
      <x:c r="E179" s="25">
        <x:v>12</x:v>
      </x:c>
      <x:c r="F179" s="25">
        <x:v>8</x:v>
      </x:c>
      <x:c r="G179" s="25">
        <x:v>7</x:v>
      </x:c>
      <x:c r="H179" s="25">
        <x:v>6</x:v>
      </x:c>
      <x:c r="I179" s="25">
        <x:v>7</x:v>
      </x:c>
      <x:c r="J179" s="25">
        <x:v>3</x:v>
      </x:c>
      <x:c r="K179" s="25">
        <x:v>3</x:v>
      </x:c>
      <x:c r="L179" s="25">
        <x:v>3</x:v>
      </x:c>
      <x:c r="M179" s="25">
        <x:v>10</x:v>
      </x:c>
      <x:c r="N179" s="9"/>
      <x:c r="O179" s="25">
        <x:v>5</x:v>
      </x:c>
      <x:c r="P179" s="25">
        <x:v>5</x:v>
      </x:c>
      <x:c r="Q179" s="17">
        <x:v>0.1971</x:v>
      </x:c>
      <x:c r="R179" s="17">
        <x:v>0.3871</x:v>
      </x:c>
      <x:c r="S179" s="17">
        <x:v>0.381</x:v>
      </x:c>
      <x:c r="T179" s="17">
        <x:v>0.2258</x:v>
      </x:c>
      <x:c r="U179" s="17">
        <x:v>0.1818</x:v>
      </x:c>
      <x:c r="V179" s="17">
        <x:v>0.1613</x:v>
      </x:c>
      <x:c r="W179" s="17">
        <x:v>0.121</x:v>
      </x:c>
      <x:c r="X179" s="17">
        <x:v>0.1531</x:v>
      </x:c>
      <x:c r="Y179" s="17">
        <x:v>0.1075</x:v>
      </x:c>
      <x:c r="Z179" s="17">
        <x:v>0.4167</x:v>
      </x:c>
      <x:c r="AA179" s="17">
        <x:v>0</x:v>
      </x:c>
      <x:c r="AB179" s="17">
        <x:v>0.1667</x:v>
      </x:c>
      <x:c r="AC179" s="20">
        <x:v>0.0896</x:v>
      </x:c>
      <x:c r="AD179" s="17">
        <x:v>0.2083</x:v>
      </x:c>
      <x:c r="AE179" s="17">
        <x:v>0.2083</x:v>
      </x:c>
      <x:c r="AF179" s="2" t="s">
        <x:v>34</x:v>
      </x:c>
    </x:row>
    <x:row r="180">
      <x:c r="A180" s="7" t="s">
        <x:v>386</x:v>
      </x:c>
      <x:c r="B180" s="7" t="s">
        <x:v>387</x:v>
      </x:c>
      <x:c r="C180" s="7"/>
      <x:c r="D180" s="25">
        <x:v>12</x:v>
      </x:c>
      <x:c r="E180" s="25">
        <x:v>5</x:v>
      </x:c>
      <x:c r="F180" s="25">
        <x:v>6</x:v>
      </x:c>
      <x:c r="G180" s="25">
        <x:v>3</x:v>
      </x:c>
      <x:c r="H180" s="25">
        <x:v>3</x:v>
      </x:c>
      <x:c r="I180" s="25">
        <x:v>7</x:v>
      </x:c>
      <x:c r="J180" s="25">
        <x:v>3</x:v>
      </x:c>
      <x:c r="K180" s="25">
        <x:v>3</x:v>
      </x:c>
      <x:c r="L180" s="25">
        <x:v>4</x:v>
      </x:c>
      <x:c r="M180" s="25">
        <x:v>15</x:v>
      </x:c>
      <x:c r="N180" s="9"/>
      <x:c r="O180" s="25">
        <x:v>3</x:v>
      </x:c>
      <x:c r="P180" s="25">
        <x:v>1</x:v>
      </x:c>
      <x:c r="Q180" s="23">
        <x:v>0.2299</x:v>
      </x:c>
      <x:c r="R180" s="17">
        <x:v>0.1613</x:v>
      </x:c>
      <x:c r="S180" s="17">
        <x:v>0.2857</x:v>
      </x:c>
      <x:c r="T180" s="17">
        <x:v>0.0968</x:v>
      </x:c>
      <x:c r="U180" s="17">
        <x:v>0.0909</x:v>
      </x:c>
      <x:c r="V180" s="17">
        <x:v>0.1613</x:v>
      </x:c>
      <x:c r="W180" s="17">
        <x:v>0.121</x:v>
      </x:c>
      <x:c r="X180" s="17">
        <x:v>0.1531</x:v>
      </x:c>
      <x:c r="Y180" s="17">
        <x:v>0.1434</x:v>
      </x:c>
      <x:c r="Z180" s="17">
        <x:v>0.625</x:v>
      </x:c>
      <x:c r="AA180" s="17">
        <x:v>0</x:v>
      </x:c>
      <x:c r="AB180" s="17">
        <x:v>0.1</x:v>
      </x:c>
      <x:c r="AC180" s="20">
        <x:v>0.0179</x:v>
      </x:c>
      <x:c r="AD180" s="17">
        <x:v>0.1762</x:v>
      </x:c>
      <x:c r="AE180" s="17">
        <x:v>0.1762</x:v>
      </x:c>
      <x:c r="AF180" s="2" t="s">
        <x:v>34</x:v>
      </x:c>
    </x:row>
    <x:row r="181">
      <x:c r="A181" s="7" t="s">
        <x:v>388</x:v>
      </x:c>
      <x:c r="B181" s="7" t="s">
        <x:v>389</x:v>
      </x:c>
      <x:c r="C181" s="7"/>
      <x:c r="D181" s="25">
        <x:v>5</x:v>
      </x:c>
      <x:c r="E181" s="25">
        <x:v>1</x:v>
      </x:c>
      <x:c r="F181" s="25">
        <x:v>39</x:v>
      </x:c>
      <x:c r="G181" s="25">
        <x:v>15</x:v>
      </x:c>
      <x:c r="H181" s="25">
        <x:v>12</x:v>
      </x:c>
      <x:c r="I181" s="25">
        <x:v>7</x:v>
      </x:c>
      <x:c r="J181" s="25">
        <x:v>1</x:v>
      </x:c>
      <x:c r="K181" s="25">
        <x:v>7</x:v>
      </x:c>
      <x:c r="L181" s="25">
        <x:v>5</x:v>
      </x:c>
      <x:c r="M181" s="25">
        <x:v>18</x:v>
      </x:c>
      <x:c r="N181" s="25">
        <x:v>2</x:v>
      </x:c>
      <x:c r="O181" s="25">
        <x:v>4</x:v>
      </x:c>
      <x:c r="P181" s="9"/>
      <x:c r="Q181" s="17">
        <x:v>0.0896</x:v>
      </x:c>
      <x:c r="R181" s="17">
        <x:v>0.0323</x:v>
      </x:c>
      <x:c r="S181" s="17">
        <x:v>1.8571</x:v>
      </x:c>
      <x:c r="T181" s="17">
        <x:v>0.4839</x:v>
      </x:c>
      <x:c r="U181" s="17">
        <x:v>0.3636</x:v>
      </x:c>
      <x:c r="V181" s="17">
        <x:v>0.1613</x:v>
      </x:c>
      <x:c r="W181" s="17">
        <x:v>0.0403</x:v>
      </x:c>
      <x:c r="X181" s="17">
        <x:v>0.3571</x:v>
      </x:c>
      <x:c r="Y181" s="17">
        <x:v>0.1792</x:v>
      </x:c>
      <x:c r="Z181" s="17">
        <x:v>0.75</x:v>
      </x:c>
      <x:c r="AA181" s="17">
        <x:v>0.0645</x:v>
      </x:c>
      <x:c r="AB181" s="23">
        <x:v>0.4444</x:v>
      </x:c>
      <x:c r="AC181" s="16">
        <x:v>0</x:v>
      </x:c>
      <x:c r="AD181" s="17">
        <x:v>0.3981</x:v>
      </x:c>
      <x:c r="AE181" s="17">
        <x:v>0.3981</x:v>
      </x:c>
      <x:c r="AF181" s="2" t="s">
        <x:v>34</x:v>
      </x:c>
    </x:row>
    <x:row r="182">
      <x:c r="A182" s="7" t="s">
        <x:v>390</x:v>
      </x:c>
      <x:c r="B182" s="7" t="s">
        <x:v>391</x:v>
      </x:c>
      <x:c r="C182" s="7"/>
      <x:c r="D182" s="25">
        <x:v>7</x:v>
      </x:c>
      <x:c r="E182" s="25">
        <x:v>11</x:v>
      </x:c>
      <x:c r="F182" s="25">
        <x:v>2</x:v>
      </x:c>
      <x:c r="G182" s="25">
        <x:v>4</x:v>
      </x:c>
      <x:c r="H182" s="9"/>
      <x:c r="I182" s="25">
        <x:v>3</x:v>
      </x:c>
      <x:c r="J182" s="25">
        <x:v>6</x:v>
      </x:c>
      <x:c r="K182" s="25">
        <x:v>5</x:v>
      </x:c>
      <x:c r="L182" s="25">
        <x:v>3</x:v>
      </x:c>
      <x:c r="M182" s="25">
        <x:v>6</x:v>
      </x:c>
      <x:c r="N182" s="9"/>
      <x:c r="O182" s="25">
        <x:v>37</x:v>
      </x:c>
      <x:c r="P182" s="25">
        <x:v>7</x:v>
      </x:c>
      <x:c r="Q182" s="17">
        <x:v>0.1254</x:v>
      </x:c>
      <x:c r="R182" s="17">
        <x:v>0.3548</x:v>
      </x:c>
      <x:c r="S182" s="17">
        <x:v>0.0952</x:v>
      </x:c>
      <x:c r="T182" s="17">
        <x:v>0.129</x:v>
      </x:c>
      <x:c r="U182" s="17">
        <x:v>0</x:v>
      </x:c>
      <x:c r="V182" s="17">
        <x:v>0.0691</x:v>
      </x:c>
      <x:c r="W182" s="17">
        <x:v>0.2419</x:v>
      </x:c>
      <x:c r="X182" s="17">
        <x:v>0.2551</x:v>
      </x:c>
      <x:c r="Y182" s="17">
        <x:v>0.1075</x:v>
      </x:c>
      <x:c r="Z182" s="17">
        <x:v>0.25</x:v>
      </x:c>
      <x:c r="AA182" s="17">
        <x:v>0</x:v>
      </x:c>
      <x:c r="AB182" s="23">
        <x:v>1.2759</x:v>
      </x:c>
      <x:c r="AC182" s="16">
        <x:v>0.1556</x:v>
      </x:c>
      <x:c r="AD182" s="17">
        <x:v>0.148</x:v>
      </x:c>
      <x:c r="AE182" s="17">
        <x:v>0.148</x:v>
      </x:c>
      <x:c r="AF182" s="2" t="s">
        <x:v>34</x:v>
      </x:c>
    </x:row>
    <x:row r="183">
      <x:c r="A183" s="7" t="s">
        <x:v>392</x:v>
      </x:c>
      <x:c r="B183" s="7" t="s">
        <x:v>393</x:v>
      </x:c>
      <x:c r="C183" s="7"/>
      <x:c r="D183" s="25">
        <x:v>9</x:v>
      </x:c>
      <x:c r="E183" s="25">
        <x:v>3</x:v>
      </x:c>
      <x:c r="F183" s="25">
        <x:v>-3</x:v>
      </x:c>
      <x:c r="G183" s="25">
        <x:v>3</x:v>
      </x:c>
      <x:c r="H183" s="25">
        <x:v>-1</x:v>
      </x:c>
      <x:c r="I183" s="25">
        <x:v>6</x:v>
      </x:c>
      <x:c r="J183" s="25">
        <x:v>1</x:v>
      </x:c>
      <x:c r="K183" s="25">
        <x:v>3</x:v>
      </x:c>
      <x:c r="L183" s="25">
        <x:v>4</x:v>
      </x:c>
      <x:c r="M183" s="25">
        <x:v>3</x:v>
      </x:c>
      <x:c r="N183" s="25">
        <x:v>1</x:v>
      </x:c>
      <x:c r="O183" s="25">
        <x:v>5</x:v>
      </x:c>
      <x:c r="P183" s="25">
        <x:v>4</x:v>
      </x:c>
      <x:c r="Q183" s="17">
        <x:v>0.1613</x:v>
      </x:c>
      <x:c r="R183" s="17">
        <x:v>0.0968</x:v>
      </x:c>
      <x:c r="S183" s="17">
        <x:v>-0.1429</x:v>
      </x:c>
      <x:c r="T183" s="17">
        <x:v>0.0968</x:v>
      </x:c>
      <x:c r="U183" s="17">
        <x:v>-0.0303</x:v>
      </x:c>
      <x:c r="V183" s="17">
        <x:v>0.1382</x:v>
      </x:c>
      <x:c r="W183" s="17">
        <x:v>0.0403</x:v>
      </x:c>
      <x:c r="X183" s="17">
        <x:v>0.1531</x:v>
      </x:c>
      <x:c r="Y183" s="17">
        <x:v>0.1434</x:v>
      </x:c>
      <x:c r="Z183" s="17">
        <x:v>0.125</x:v>
      </x:c>
      <x:c r="AA183" s="17">
        <x:v>0.0323</x:v>
      </x:c>
      <x:c r="AB183" s="17">
        <x:v>0.1667</x:v>
      </x:c>
      <x:c r="AC183" s="20">
        <x:v>0.0717</x:v>
      </x:c>
      <x:c r="AD183" s="17">
        <x:v>0.0817</x:v>
      </x:c>
      <x:c r="AE183" s="17">
        <x:v>0.0817</x:v>
      </x:c>
      <x:c r="AF183" s="2" t="s">
        <x:v>34</x:v>
      </x:c>
    </x:row>
    <x:row r="184">
      <x:c r="A184" s="7" t="s">
        <x:v>394</x:v>
      </x:c>
      <x:c r="B184" s="7" t="s">
        <x:v>395</x:v>
      </x:c>
      <x:c r="C184" s="7"/>
      <x:c r="D184" s="25">
        <x:v>4</x:v>
      </x:c>
      <x:c r="E184" s="9"/>
      <x:c r="F184" s="25">
        <x:v>6</x:v>
      </x:c>
      <x:c r="G184" s="25">
        <x:v>1</x:v>
      </x:c>
      <x:c r="H184" s="25">
        <x:v>-1</x:v>
      </x:c>
      <x:c r="I184" s="25">
        <x:v>2</x:v>
      </x:c>
      <x:c r="J184" s="25">
        <x:v>5</x:v>
      </x:c>
      <x:c r="K184" s="9"/>
      <x:c r="L184" s="25">
        <x:v>3</x:v>
      </x:c>
      <x:c r="M184" s="25">
        <x:v>3</x:v>
      </x:c>
      <x:c r="N184" s="25">
        <x:v>2</x:v>
      </x:c>
      <x:c r="O184" s="25">
        <x:v>4</x:v>
      </x:c>
      <x:c r="P184" s="9"/>
      <x:c r="Q184" s="17">
        <x:v>0.0717</x:v>
      </x:c>
      <x:c r="R184" s="17">
        <x:v>0</x:v>
      </x:c>
      <x:c r="S184" s="17">
        <x:v>0.2857</x:v>
      </x:c>
      <x:c r="T184" s="17">
        <x:v>0.0323</x:v>
      </x:c>
      <x:c r="U184" s="17">
        <x:v>-0.0303</x:v>
      </x:c>
      <x:c r="V184" s="17">
        <x:v>0.0461</x:v>
      </x:c>
      <x:c r="W184" s="17">
        <x:v>0.2016</x:v>
      </x:c>
      <x:c r="X184" s="17">
        <x:v>0</x:v>
      </x:c>
      <x:c r="Y184" s="17">
        <x:v>0.1075</x:v>
      </x:c>
      <x:c r="Z184" s="17">
        <x:v>0.125</x:v>
      </x:c>
      <x:c r="AA184" s="17">
        <x:v>0.0645</x:v>
      </x:c>
      <x:c r="AB184" s="17">
        <x:v>0.1333</x:v>
      </x:c>
      <x:c r="AC184" s="20">
        <x:v>0</x:v>
      </x:c>
      <x:c r="AD184" s="17">
        <x:v>0.0865</x:v>
      </x:c>
      <x:c r="AE184" s="17">
        <x:v>0.0865</x:v>
      </x:c>
      <x:c r="AF184" s="2" t="s">
        <x:v>34</x:v>
      </x:c>
    </x:row>
    <x:row r="185">
      <x:c r="A185" s="7" t="s">
        <x:v>396</x:v>
      </x:c>
      <x:c r="B185" s="7" t="s">
        <x:v>397</x:v>
      </x:c>
      <x:c r="C185" s="7"/>
      <x:c r="D185" s="25">
        <x:v>3</x:v>
      </x:c>
      <x:c r="E185" s="25">
        <x:v>1</x:v>
      </x:c>
      <x:c r="F185" s="25">
        <x:v>-1</x:v>
      </x:c>
      <x:c r="G185" s="25">
        <x:v>1</x:v>
      </x:c>
      <x:c r="H185" s="9"/>
      <x:c r="I185" s="9"/>
      <x:c r="J185" s="9"/>
      <x:c r="K185" s="25">
        <x:v>2</x:v>
      </x:c>
      <x:c r="L185" s="9"/>
      <x:c r="M185" s="9"/>
      <x:c r="N185" s="9"/>
      <x:c r="O185" s="25">
        <x:v>1</x:v>
      </x:c>
      <x:c r="P185" s="9"/>
      <x:c r="Q185" s="17">
        <x:v>0.0538</x:v>
      </x:c>
      <x:c r="R185" s="17">
        <x:v>0.0323</x:v>
      </x:c>
      <x:c r="S185" s="17">
        <x:v>-0.0476</x:v>
      </x:c>
      <x:c r="T185" s="17">
        <x:v>0.0323</x:v>
      </x:c>
      <x:c r="U185" s="17">
        <x:v>0</x:v>
      </x:c>
      <x:c r="V185" s="17">
        <x:v>0</x:v>
      </x:c>
      <x:c r="W185" s="17">
        <x:v>0</x:v>
      </x:c>
      <x:c r="X185" s="17">
        <x:v>0.102</x:v>
      </x:c>
      <x:c r="Y185" s="17">
        <x:v>0</x:v>
      </x:c>
      <x:c r="Z185" s="17">
        <x:v>0</x:v>
      </x:c>
      <x:c r="AA185" s="17">
        <x:v>0</x:v>
      </x:c>
      <x:c r="AB185" s="17">
        <x:v>0.0333</x:v>
      </x:c>
      <x:c r="AC185" s="20">
        <x:v>0</x:v>
      </x:c>
      <x:c r="AD185" s="17">
        <x:v>0.0172</x:v>
      </x:c>
      <x:c r="AE185" s="17">
        <x:v>0.0172</x:v>
      </x:c>
      <x:c r="AF185" s="2" t="s">
        <x:v>34</x:v>
      </x:c>
    </x:row>
    <x:row r="186">
      <x:c r="A186" s="7" t="s">
        <x:v>398</x:v>
      </x:c>
      <x:c r="B186" s="7" t="s">
        <x:v>399</x:v>
      </x:c>
      <x:c r="C186" s="7"/>
      <x:c r="D186" s="25">
        <x:v>11</x:v>
      </x:c>
      <x:c r="E186" s="25">
        <x:v>5</x:v>
      </x:c>
      <x:c r="F186" s="25">
        <x:v>16</x:v>
      </x:c>
      <x:c r="G186" s="25">
        <x:v>6</x:v>
      </x:c>
      <x:c r="H186" s="25">
        <x:v>1</x:v>
      </x:c>
      <x:c r="I186" s="25">
        <x:v>7</x:v>
      </x:c>
      <x:c r="J186" s="25">
        <x:v>12</x:v>
      </x:c>
      <x:c r="K186" s="25">
        <x:v>3</x:v>
      </x:c>
      <x:c r="L186" s="25">
        <x:v>6</x:v>
      </x:c>
      <x:c r="M186" s="25">
        <x:v>7</x:v>
      </x:c>
      <x:c r="N186" s="25">
        <x:v>2</x:v>
      </x:c>
      <x:c r="O186" s="25">
        <x:v>3</x:v>
      </x:c>
      <x:c r="P186" s="25">
        <x:v>1</x:v>
      </x:c>
      <x:c r="Q186" s="17">
        <x:v>0.1971</x:v>
      </x:c>
      <x:c r="R186" s="17">
        <x:v>0.1613</x:v>
      </x:c>
      <x:c r="S186" s="17">
        <x:v>0.7619</x:v>
      </x:c>
      <x:c r="T186" s="23">
        <x:v>0.75</x:v>
      </x:c>
      <x:c r="U186" s="13">
        <x:v>0</x:v>
      </x:c>
      <x:c r="V186" s="23">
        <x:v>0.1786</x:v>
      </x:c>
      <x:c r="W186" s="17">
        <x:v>0.4839</x:v>
      </x:c>
      <x:c r="X186" s="17">
        <x:v>0.1531</x:v>
      </x:c>
      <x:c r="Y186" s="17">
        <x:v>0.2151</x:v>
      </x:c>
      <x:c r="Z186" s="17">
        <x:v>0.2917</x:v>
      </x:c>
      <x:c r="AA186" s="17">
        <x:v>0.0645</x:v>
      </x:c>
      <x:c r="AB186" s="17">
        <x:v>0.1</x:v>
      </x:c>
      <x:c r="AC186" s="20">
        <x:v>0.0179</x:v>
      </x:c>
      <x:c r="AD186" s="17">
        <x:v>0.2698</x:v>
      </x:c>
      <x:c r="AE186" s="17">
        <x:v>0.2698</x:v>
      </x:c>
      <x:c r="AF186" s="2" t="s">
        <x:v>34</x:v>
      </x:c>
    </x:row>
    <x:row r="187">
      <x:c r="A187" s="7" t="s">
        <x:v>400</x:v>
      </x:c>
      <x:c r="B187" s="7" t="s">
        <x:v>401</x:v>
      </x:c>
      <x:c r="C187" s="7"/>
      <x:c r="D187" s="25">
        <x:v>113</x:v>
      </x:c>
      <x:c r="E187" s="25">
        <x:v>53</x:v>
      </x:c>
      <x:c r="F187" s="25">
        <x:v>2</x:v>
      </x:c>
      <x:c r="G187" s="25">
        <x:v>2</x:v>
      </x:c>
      <x:c r="H187" s="9"/>
      <x:c r="I187" s="25">
        <x:v>54</x:v>
      </x:c>
      <x:c r="J187" s="25">
        <x:v>28</x:v>
      </x:c>
      <x:c r="K187" s="25">
        <x:v>9</x:v>
      </x:c>
      <x:c r="L187" s="25">
        <x:v>14</x:v>
      </x:c>
      <x:c r="M187" s="25">
        <x:v>16</x:v>
      </x:c>
      <x:c r="N187" s="25">
        <x:v>16</x:v>
      </x:c>
      <x:c r="O187" s="25">
        <x:v>27</x:v>
      </x:c>
      <x:c r="P187" s="25">
        <x:v>34</x:v>
      </x:c>
      <x:c r="Q187" s="17">
        <x:v>2.0251</x:v>
      </x:c>
      <x:c r="R187" s="23">
        <x:v>2.0385</x:v>
      </x:c>
      <x:c r="S187" s="23">
        <x:v>0.4082</x:v>
      </x:c>
      <x:c r="T187" s="13">
        <x:v>0</x:v>
      </x:c>
      <x:c r="U187" s="13">
        <x:v>0</x:v>
      </x:c>
      <x:c r="V187" s="23">
        <x:v>1.3776</x:v>
      </x:c>
      <x:c r="W187" s="17">
        <x:v>1.129</x:v>
      </x:c>
      <x:c r="X187" s="17">
        <x:v>0.4592</x:v>
      </x:c>
      <x:c r="Y187" s="17">
        <x:v>0.5018</x:v>
      </x:c>
      <x:c r="Z187" s="17">
        <x:v>0.6667</x:v>
      </x:c>
      <x:c r="AA187" s="17">
        <x:v>0.5161</x:v>
      </x:c>
      <x:c r="AB187" s="17">
        <x:v>0.9</x:v>
      </x:c>
      <x:c r="AC187" s="20">
        <x:v>0.6093</x:v>
      </x:c>
      <x:c r="AD187" s="17">
        <x:v>0.8854</x:v>
      </x:c>
      <x:c r="AE187" s="17">
        <x:v>0.8854</x:v>
      </x:c>
      <x:c r="AF187" s="2" t="s">
        <x:v>34</x:v>
      </x:c>
    </x:row>
    <x:row r="188">
      <x:c r="A188" s="7" t="s">
        <x:v>402</x:v>
      </x:c>
      <x:c r="B188" s="7" t="s">
        <x:v>403</x:v>
      </x:c>
      <x:c r="C188" s="7"/>
      <x:c r="D188" s="25">
        <x:v>5</x:v>
      </x:c>
      <x:c r="E188" s="25">
        <x:v>9</x:v>
      </x:c>
      <x:c r="F188" s="25">
        <x:v>-2</x:v>
      </x:c>
      <x:c r="G188" s="25">
        <x:v>3</x:v>
      </x:c>
      <x:c r="H188" s="9"/>
      <x:c r="I188" s="25">
        <x:v>3</x:v>
      </x:c>
      <x:c r="J188" s="25">
        <x:v>2</x:v>
      </x:c>
      <x:c r="K188" s="25">
        <x:v>4</x:v>
      </x:c>
      <x:c r="L188" s="25">
        <x:v>3</x:v>
      </x:c>
      <x:c r="M188" s="25">
        <x:v>4</x:v>
      </x:c>
      <x:c r="N188" s="25">
        <x:v>2</x:v>
      </x:c>
      <x:c r="O188" s="9"/>
      <x:c r="P188" s="9"/>
      <x:c r="Q188" s="17">
        <x:v>0.0896</x:v>
      </x:c>
      <x:c r="R188" s="17">
        <x:v>0.2903</x:v>
      </x:c>
      <x:c r="S188" s="17">
        <x:v>-0.0952</x:v>
      </x:c>
      <x:c r="T188" s="17">
        <x:v>0.0968</x:v>
      </x:c>
      <x:c r="U188" s="17">
        <x:v>0</x:v>
      </x:c>
      <x:c r="V188" s="17">
        <x:v>0.0691</x:v>
      </x:c>
      <x:c r="W188" s="17">
        <x:v>0.0806</x:v>
      </x:c>
      <x:c r="X188" s="17">
        <x:v>0.2041</x:v>
      </x:c>
      <x:c r="Y188" s="17">
        <x:v>0.1075</x:v>
      </x:c>
      <x:c r="Z188" s="17">
        <x:v>0.1667</x:v>
      </x:c>
      <x:c r="AA188" s="17">
        <x:v>0.0645</x:v>
      </x:c>
      <x:c r="AB188" s="17">
        <x:v>0</x:v>
      </x:c>
      <x:c r="AC188" s="20">
        <x:v>0</x:v>
      </x:c>
      <x:c r="AD188" s="17">
        <x:v>0.0895</x:v>
      </x:c>
      <x:c r="AE188" s="17">
        <x:v>0.0895</x:v>
      </x:c>
      <x:c r="AF188" s="2" t="s">
        <x:v>34</x:v>
      </x:c>
    </x:row>
    <x:row r="189">
      <x:c r="A189" s="7" t="s">
        <x:v>404</x:v>
      </x:c>
      <x:c r="B189" s="7" t="s">
        <x:v>405</x:v>
      </x:c>
      <x:c r="C189" s="7"/>
      <x:c r="D189" s="25">
        <x:v>17</x:v>
      </x:c>
      <x:c r="E189" s="25">
        <x:v>15</x:v>
      </x:c>
      <x:c r="F189" s="25">
        <x:v>5</x:v>
      </x:c>
      <x:c r="G189" s="25">
        <x:v>15</x:v>
      </x:c>
      <x:c r="H189" s="25">
        <x:v>21</x:v>
      </x:c>
      <x:c r="I189" s="25">
        <x:v>8</x:v>
      </x:c>
      <x:c r="J189" s="25">
        <x:v>12</x:v>
      </x:c>
      <x:c r="K189" s="25">
        <x:v>8</x:v>
      </x:c>
      <x:c r="L189" s="25">
        <x:v>9</x:v>
      </x:c>
      <x:c r="M189" s="25">
        <x:v>11</x:v>
      </x:c>
      <x:c r="N189" s="25">
        <x:v>22</x:v>
      </x:c>
      <x:c r="O189" s="25">
        <x:v>17</x:v>
      </x:c>
      <x:c r="P189" s="25">
        <x:v>1</x:v>
      </x:c>
      <x:c r="Q189" s="17">
        <x:v>0.3047</x:v>
      </x:c>
      <x:c r="R189" s="17">
        <x:v>0.4839</x:v>
      </x:c>
      <x:c r="S189" s="17">
        <x:v>0.2381</x:v>
      </x:c>
      <x:c r="T189" s="17">
        <x:v>0.4839</x:v>
      </x:c>
      <x:c r="U189" s="17">
        <x:v>0.6364</x:v>
      </x:c>
      <x:c r="V189" s="23">
        <x:v>0.5714</x:v>
      </x:c>
      <x:c r="W189" s="23">
        <x:v>0.6522</x:v>
      </x:c>
      <x:c r="X189" s="23">
        <x:v>11.4286</x:v>
      </x:c>
      <x:c r="Y189" s="23">
        <x:v>0.4545</x:v>
      </x:c>
      <x:c r="Z189" s="23">
        <x:v>1.0577</x:v>
      </x:c>
      <x:c r="AA189" s="17">
        <x:v>0.7097</x:v>
      </x:c>
      <x:c r="AB189" s="23">
        <x:v>1.1333</x:v>
      </x:c>
      <x:c r="AC189" s="16">
        <x:v>0.5556</x:v>
      </x:c>
      <x:c r="AD189" s="17">
        <x:v>0.4761</x:v>
      </x:c>
      <x:c r="AE189" s="17">
        <x:v>0.4761</x:v>
      </x:c>
      <x:c r="AF189" s="2" t="s">
        <x:v>34</x:v>
      </x:c>
    </x:row>
    <x:row r="190">
      <x:c r="A190" s="7" t="s">
        <x:v>406</x:v>
      </x:c>
      <x:c r="B190" s="7" t="s">
        <x:v>407</x:v>
      </x:c>
      <x:c r="C190" s="7"/>
      <x:c r="D190" s="25">
        <x:v>1</x:v>
      </x:c>
      <x:c r="E190" s="9"/>
      <x:c r="F190" s="25">
        <x:v>16</x:v>
      </x:c>
      <x:c r="G190" s="25">
        <x:v>5</x:v>
      </x:c>
      <x:c r="H190" s="25">
        <x:v>6</x:v>
      </x:c>
      <x:c r="I190" s="25">
        <x:v>4</x:v>
      </x:c>
      <x:c r="J190" s="25">
        <x:v>11</x:v>
      </x:c>
      <x:c r="K190" s="25">
        <x:v>4</x:v>
      </x:c>
      <x:c r="L190" s="25">
        <x:v>18</x:v>
      </x:c>
      <x:c r="M190" s="25">
        <x:v>6</x:v>
      </x:c>
      <x:c r="N190" s="9"/>
      <x:c r="O190" s="25">
        <x:v>17</x:v>
      </x:c>
      <x:c r="P190" s="25">
        <x:v>1</x:v>
      </x:c>
      <x:c r="Q190" s="23">
        <x:v>0.0794</x:v>
      </x:c>
      <x:c r="R190" s="13">
        <x:v>0</x:v>
      </x:c>
      <x:c r="S190" s="23">
        <x:v>0.8163</x:v>
      </x:c>
      <x:c r="T190" s="17">
        <x:v>0.1613</x:v>
      </x:c>
      <x:c r="U190" s="17">
        <x:v>0.1818</x:v>
      </x:c>
      <x:c r="V190" s="17">
        <x:v>0.0922</x:v>
      </x:c>
      <x:c r="W190" s="17">
        <x:v>0.4435</x:v>
      </x:c>
      <x:c r="X190" s="17">
        <x:v>0.2041</x:v>
      </x:c>
      <x:c r="Y190" s="17">
        <x:v>0.6452</x:v>
      </x:c>
      <x:c r="Z190" s="17">
        <x:v>0.25</x:v>
      </x:c>
      <x:c r="AA190" s="17">
        <x:v>0</x:v>
      </x:c>
      <x:c r="AB190" s="17">
        <x:v>0.5667</x:v>
      </x:c>
      <x:c r="AC190" s="20">
        <x:v>0.0179</x:v>
      </x:c>
      <x:c r="AD190" s="17">
        <x:v>0.2828</x:v>
      </x:c>
      <x:c r="AE190" s="17">
        <x:v>0.2828</x:v>
      </x:c>
      <x:c r="AF190" s="2" t="s">
        <x:v>34</x:v>
      </x:c>
    </x:row>
    <x:row r="191">
      <x:c r="A191" s="7" t="s">
        <x:v>408</x:v>
      </x:c>
      <x:c r="B191" s="7" t="s">
        <x:v>409</x:v>
      </x:c>
      <x:c r="C191" s="7"/>
      <x:c r="D191" s="9"/>
      <x:c r="E191" s="9"/>
      <x:c r="F191" s="9"/>
      <x:c r="G191" s="9"/>
      <x:c r="H191" s="9"/>
      <x:c r="I191" s="9"/>
      <x:c r="J191" s="9"/>
      <x:c r="K191" s="9"/>
      <x:c r="L191" s="9"/>
      <x:c r="M191" s="9"/>
      <x:c r="N191" s="9"/>
      <x:c r="O191" s="9"/>
      <x:c r="P191" s="9"/>
      <x:c r="Q191" s="13">
        <x:v>0</x:v>
      </x:c>
      <x:c r="R191" s="13">
        <x:v>0</x:v>
      </x:c>
      <x:c r="S191" s="13">
        <x:v>0</x:v>
      </x:c>
      <x:c r="T191" s="13">
        <x:v>0</x:v>
      </x:c>
      <x:c r="U191" s="13">
        <x:v>0</x:v>
      </x:c>
      <x:c r="V191" s="13">
        <x:v>0</x:v>
      </x:c>
      <x:c r="W191" s="13">
        <x:v>0</x:v>
      </x:c>
      <x:c r="X191" s="13">
        <x:v>0</x:v>
      </x:c>
      <x:c r="Y191" s="13">
        <x:v>0</x:v>
      </x:c>
      <x:c r="Z191" s="13">
        <x:v>0</x:v>
      </x:c>
      <x:c r="AA191" s="13">
        <x:v>0</x:v>
      </x:c>
      <x:c r="AB191" s="13">
        <x:v>0</x:v>
      </x:c>
      <x:c r="AC191" s="16">
        <x:v>0</x:v>
      </x:c>
      <x:c r="AF191" s="2" t="s">
        <x:v>34</x:v>
      </x:c>
    </x:row>
    <x:row r="192">
      <x:c r="A192" s="7" t="s">
        <x:v>410</x:v>
      </x:c>
      <x:c r="B192" s="7" t="s">
        <x:v>411</x:v>
      </x:c>
      <x:c r="C192" s="7"/>
      <x:c r="D192" s="9"/>
      <x:c r="E192" s="9"/>
      <x:c r="F192" s="9"/>
      <x:c r="G192" s="9"/>
      <x:c r="H192" s="9"/>
      <x:c r="I192" s="9"/>
      <x:c r="J192" s="9"/>
      <x:c r="K192" s="9"/>
      <x:c r="L192" s="9"/>
      <x:c r="M192" s="9"/>
      <x:c r="N192" s="9"/>
      <x:c r="O192" s="9"/>
      <x:c r="P192" s="9"/>
      <x:c r="Q192" s="13">
        <x:v>0</x:v>
      </x:c>
      <x:c r="R192" s="13">
        <x:v>0</x:v>
      </x:c>
      <x:c r="S192" s="13">
        <x:v>0</x:v>
      </x:c>
      <x:c r="T192" s="13">
        <x:v>0</x:v>
      </x:c>
      <x:c r="U192" s="13">
        <x:v>0</x:v>
      </x:c>
      <x:c r="V192" s="13">
        <x:v>0</x:v>
      </x:c>
      <x:c r="W192" s="13">
        <x:v>0</x:v>
      </x:c>
      <x:c r="X192" s="13">
        <x:v>0</x:v>
      </x:c>
      <x:c r="Y192" s="13">
        <x:v>0</x:v>
      </x:c>
      <x:c r="Z192" s="13">
        <x:v>0</x:v>
      </x:c>
      <x:c r="AA192" s="13">
        <x:v>0</x:v>
      </x:c>
      <x:c r="AB192" s="13">
        <x:v>0</x:v>
      </x:c>
      <x:c r="AC192" s="16">
        <x:v>0</x:v>
      </x:c>
      <x:c r="AF192" s="2" t="s">
        <x:v>34</x:v>
      </x:c>
    </x:row>
    <x:row r="193">
      <x:c r="A193" s="7" t="s">
        <x:v>412</x:v>
      </x:c>
      <x:c r="B193" s="7" t="s">
        <x:v>413</x:v>
      </x:c>
      <x:c r="C193" s="7"/>
      <x:c r="D193" s="9"/>
      <x:c r="E193" s="9"/>
      <x:c r="F193" s="9"/>
      <x:c r="G193" s="9"/>
      <x:c r="H193" s="9"/>
      <x:c r="I193" s="9"/>
      <x:c r="J193" s="9"/>
      <x:c r="K193" s="9"/>
      <x:c r="L193" s="9"/>
      <x:c r="M193" s="9"/>
      <x:c r="N193" s="9"/>
      <x:c r="O193" s="9"/>
      <x:c r="P193" s="9"/>
      <x:c r="Q193" s="13">
        <x:v>0</x:v>
      </x:c>
      <x:c r="R193" s="13">
        <x:v>0</x:v>
      </x:c>
      <x:c r="S193" s="13">
        <x:v>0</x:v>
      </x:c>
      <x:c r="T193" s="13">
        <x:v>0</x:v>
      </x:c>
      <x:c r="U193" s="13">
        <x:v>0</x:v>
      </x:c>
      <x:c r="V193" s="13">
        <x:v>0</x:v>
      </x:c>
      <x:c r="W193" s="13">
        <x:v>0</x:v>
      </x:c>
      <x:c r="X193" s="13">
        <x:v>0</x:v>
      </x:c>
      <x:c r="Y193" s="13">
        <x:v>0</x:v>
      </x:c>
      <x:c r="Z193" s="13">
        <x:v>0</x:v>
      </x:c>
      <x:c r="AA193" s="13">
        <x:v>0</x:v>
      </x:c>
      <x:c r="AB193" s="13">
        <x:v>0</x:v>
      </x:c>
      <x:c r="AC193" s="16">
        <x:v>0</x:v>
      </x:c>
      <x:c r="AF193" s="2" t="s">
        <x:v>34</x:v>
      </x:c>
    </x:row>
    <x:row r="194">
      <x:c r="A194" s="7" t="s">
        <x:v>414</x:v>
      </x:c>
      <x:c r="B194" s="7" t="s">
        <x:v>415</x:v>
      </x:c>
      <x:c r="C194" s="7"/>
      <x:c r="D194" s="9"/>
      <x:c r="E194" s="9"/>
      <x:c r="F194" s="9"/>
      <x:c r="G194" s="9"/>
      <x:c r="H194" s="9"/>
      <x:c r="I194" s="9"/>
      <x:c r="J194" s="9"/>
      <x:c r="K194" s="9"/>
      <x:c r="L194" s="9"/>
      <x:c r="M194" s="9"/>
      <x:c r="N194" s="9"/>
      <x:c r="O194" s="9"/>
      <x:c r="P194" s="9"/>
      <x:c r="Q194" s="13">
        <x:v>0</x:v>
      </x:c>
      <x:c r="R194" s="13">
        <x:v>0</x:v>
      </x:c>
      <x:c r="S194" s="13">
        <x:v>0</x:v>
      </x:c>
      <x:c r="T194" s="13">
        <x:v>0</x:v>
      </x:c>
      <x:c r="U194" s="13">
        <x:v>0</x:v>
      </x:c>
      <x:c r="V194" s="13">
        <x:v>0</x:v>
      </x:c>
      <x:c r="W194" s="13">
        <x:v>0</x:v>
      </x:c>
      <x:c r="X194" s="13">
        <x:v>0</x:v>
      </x:c>
      <x:c r="Y194" s="13">
        <x:v>0</x:v>
      </x:c>
      <x:c r="Z194" s="13">
        <x:v>0</x:v>
      </x:c>
      <x:c r="AA194" s="13">
        <x:v>0</x:v>
      </x:c>
      <x:c r="AB194" s="13">
        <x:v>0</x:v>
      </x:c>
      <x:c r="AC194" s="16">
        <x:v>0</x:v>
      </x:c>
      <x:c r="AF194" s="2" t="s">
        <x:v>34</x:v>
      </x:c>
    </x:row>
    <x:row r="195">
      <x:c r="A195" s="7" t="s">
        <x:v>416</x:v>
      </x:c>
      <x:c r="B195" s="7" t="s">
        <x:v>417</x:v>
      </x:c>
      <x:c r="C195" s="7"/>
      <x:c r="D195" s="25">
        <x:v>39</x:v>
      </x:c>
      <x:c r="E195" s="25">
        <x:v>44</x:v>
      </x:c>
      <x:c r="F195" s="9"/>
      <x:c r="G195" s="25">
        <x:v>7</x:v>
      </x:c>
      <x:c r="H195" s="25">
        <x:v>12</x:v>
      </x:c>
      <x:c r="I195" s="25">
        <x:v>32</x:v>
      </x:c>
      <x:c r="J195" s="25">
        <x:v>17</x:v>
      </x:c>
      <x:c r="K195" s="25">
        <x:v>17</x:v>
      </x:c>
      <x:c r="L195" s="25">
        <x:v>33</x:v>
      </x:c>
      <x:c r="M195" s="25">
        <x:v>4</x:v>
      </x:c>
      <x:c r="N195" s="25">
        <x:v>-3</x:v>
      </x:c>
      <x:c r="O195" s="25">
        <x:v>16</x:v>
      </x:c>
      <x:c r="P195" s="25">
        <x:v>21</x:v>
      </x:c>
      <x:c r="Q195" s="23">
        <x:v>0.7471</x:v>
      </x:c>
      <x:c r="R195" s="17">
        <x:v>1.4194</x:v>
      </x:c>
      <x:c r="S195" s="17">
        <x:v>0</x:v>
      </x:c>
      <x:c r="T195" s="17">
        <x:v>0.2258</x:v>
      </x:c>
      <x:c r="U195" s="17">
        <x:v>0.3636</x:v>
      </x:c>
      <x:c r="V195" s="17">
        <x:v>0.7373</x:v>
      </x:c>
      <x:c r="W195" s="17">
        <x:v>0.6855</x:v>
      </x:c>
      <x:c r="X195" s="17">
        <x:v>0.8673</x:v>
      </x:c>
      <x:c r="Y195" s="17">
        <x:v>1.1828</x:v>
      </x:c>
      <x:c r="Z195" s="17">
        <x:v>0.1667</x:v>
      </x:c>
      <x:c r="AA195" s="17">
        <x:v>-0.0968</x:v>
      </x:c>
      <x:c r="AB195" s="17">
        <x:v>0.5333</x:v>
      </x:c>
      <x:c r="AC195" s="20">
        <x:v>0.3763</x:v>
      </x:c>
      <x:c r="AD195" s="17">
        <x:v>0.5532</x:v>
      </x:c>
      <x:c r="AE195" s="17">
        <x:v>0.5532</x:v>
      </x:c>
      <x:c r="AF195" s="2" t="s">
        <x:v>34</x:v>
      </x:c>
    </x:row>
    <x:row r="196">
      <x:c r="A196" s="7" t="s">
        <x:v>418</x:v>
      </x:c>
      <x:c r="B196" s="7" t="s">
        <x:v>419</x:v>
      </x:c>
      <x:c r="C196" s="7"/>
      <x:c r="D196" s="25">
        <x:v>85</x:v>
      </x:c>
      <x:c r="E196" s="25">
        <x:v>26</x:v>
      </x:c>
      <x:c r="F196" s="25">
        <x:v>28</x:v>
      </x:c>
      <x:c r="G196" s="25">
        <x:v>15</x:v>
      </x:c>
      <x:c r="H196" s="25">
        <x:v>55</x:v>
      </x:c>
      <x:c r="I196" s="25">
        <x:v>117</x:v>
      </x:c>
      <x:c r="J196" s="25">
        <x:v>22</x:v>
      </x:c>
      <x:c r="K196" s="25">
        <x:v>49</x:v>
      </x:c>
      <x:c r="L196" s="25">
        <x:v>33</x:v>
      </x:c>
      <x:c r="M196" s="25">
        <x:v>3</x:v>
      </x:c>
      <x:c r="N196" s="25">
        <x:v>11</x:v>
      </x:c>
      <x:c r="O196" s="25">
        <x:v>36</x:v>
      </x:c>
      <x:c r="P196" s="25">
        <x:v>24</x:v>
      </x:c>
      <x:c r="Q196" s="17">
        <x:v>1.5233</x:v>
      </x:c>
      <x:c r="R196" s="17">
        <x:v>0.8387</x:v>
      </x:c>
      <x:c r="S196" s="17">
        <x:v>1.3333</x:v>
      </x:c>
      <x:c r="T196" s="17">
        <x:v>0.4839</x:v>
      </x:c>
      <x:c r="U196" s="17">
        <x:v>1.6667</x:v>
      </x:c>
      <x:c r="V196" s="17">
        <x:v>2.6959</x:v>
      </x:c>
      <x:c r="W196" s="17">
        <x:v>0.8871</x:v>
      </x:c>
      <x:c r="X196" s="17">
        <x:v>2.5</x:v>
      </x:c>
      <x:c r="Y196" s="17">
        <x:v>1.1828</x:v>
      </x:c>
      <x:c r="Z196" s="23">
        <x:v>0.2344</x:v>
      </x:c>
      <x:c r="AA196" s="17">
        <x:v>0.3548</x:v>
      </x:c>
      <x:c r="AB196" s="17">
        <x:v>1.2</x:v>
      </x:c>
      <x:c r="AC196" s="20">
        <x:v>0.4301</x:v>
      </x:c>
      <x:c r="AD196" s="17">
        <x:v>1.3333</x:v>
      </x:c>
      <x:c r="AE196" s="17">
        <x:v>1.3333</x:v>
      </x:c>
      <x:c r="AF196" s="2" t="s">
        <x:v>34</x:v>
      </x:c>
    </x:row>
    <x:row r="197">
      <x:c r="A197" s="7" t="s">
        <x:v>420</x:v>
      </x:c>
      <x:c r="B197" s="7" t="s">
        <x:v>421</x:v>
      </x:c>
      <x:c r="C197" s="7"/>
      <x:c r="D197" s="25">
        <x:v>3</x:v>
      </x:c>
      <x:c r="E197" s="25">
        <x:v>2</x:v>
      </x:c>
      <x:c r="F197" s="25">
        <x:v>1</x:v>
      </x:c>
      <x:c r="G197" s="25">
        <x:v>1</x:v>
      </x:c>
      <x:c r="H197" s="25">
        <x:v>3</x:v>
      </x:c>
      <x:c r="I197" s="25">
        <x:v>7</x:v>
      </x:c>
      <x:c r="J197" s="25">
        <x:v>1</x:v>
      </x:c>
      <x:c r="K197" s="9"/>
      <x:c r="L197" s="25">
        <x:v>7</x:v>
      </x:c>
      <x:c r="M197" s="25">
        <x:v>1</x:v>
      </x:c>
      <x:c r="N197" s="25">
        <x:v>1</x:v>
      </x:c>
      <x:c r="O197" s="25">
        <x:v>1</x:v>
      </x:c>
      <x:c r="P197" s="25">
        <x:v>2</x:v>
      </x:c>
      <x:c r="Q197" s="17">
        <x:v>0.0538</x:v>
      </x:c>
      <x:c r="R197" s="17">
        <x:v>0.0645</x:v>
      </x:c>
      <x:c r="S197" s="17">
        <x:v>0.0476</x:v>
      </x:c>
      <x:c r="T197" s="17">
        <x:v>0.0323</x:v>
      </x:c>
      <x:c r="U197" s="17">
        <x:v>0.0909</x:v>
      </x:c>
      <x:c r="V197" s="17">
        <x:v>0.1613</x:v>
      </x:c>
      <x:c r="W197" s="17">
        <x:v>0.0403</x:v>
      </x:c>
      <x:c r="X197" s="17">
        <x:v>0</x:v>
      </x:c>
      <x:c r="Y197" s="17">
        <x:v>0.2509</x:v>
      </x:c>
      <x:c r="Z197" s="17">
        <x:v>0.0417</x:v>
      </x:c>
      <x:c r="AA197" s="17">
        <x:v>0.0323</x:v>
      </x:c>
      <x:c r="AB197" s="17">
        <x:v>0.0333</x:v>
      </x:c>
      <x:c r="AC197" s="20">
        <x:v>0.0358</x:v>
      </x:c>
      <x:c r="AD197" s="17">
        <x:v>0.0707</x:v>
      </x:c>
      <x:c r="AE197" s="17">
        <x:v>0.0707</x:v>
      </x:c>
      <x:c r="AF197" s="2" t="s">
        <x:v>34</x:v>
      </x:c>
    </x:row>
    <x:row r="198">
      <x:c r="A198" s="7" t="s">
        <x:v>422</x:v>
      </x:c>
      <x:c r="B198" s="7" t="s">
        <x:v>423</x:v>
      </x:c>
      <x:c r="C198" s="7"/>
      <x:c r="D198" s="25">
        <x:v>11</x:v>
      </x:c>
      <x:c r="E198" s="25">
        <x:v>3</x:v>
      </x:c>
      <x:c r="F198" s="25">
        <x:v>33</x:v>
      </x:c>
      <x:c r="G198" s="25">
        <x:v>10</x:v>
      </x:c>
      <x:c r="H198" s="25">
        <x:v>15</x:v>
      </x:c>
      <x:c r="I198" s="25">
        <x:v>2</x:v>
      </x:c>
      <x:c r="J198" s="25">
        <x:v>3</x:v>
      </x:c>
      <x:c r="K198" s="25">
        <x:v>5</x:v>
      </x:c>
      <x:c r="L198" s="25">
        <x:v>2</x:v>
      </x:c>
      <x:c r="M198" s="25">
        <x:v>4</x:v>
      </x:c>
      <x:c r="N198" s="25">
        <x:v>2</x:v>
      </x:c>
      <x:c r="O198" s="25">
        <x:v>5</x:v>
      </x:c>
      <x:c r="P198" s="25">
        <x:v>4</x:v>
      </x:c>
      <x:c r="Q198" s="17">
        <x:v>0.1971</x:v>
      </x:c>
      <x:c r="R198" s="17">
        <x:v>0.0968</x:v>
      </x:c>
      <x:c r="S198" s="17">
        <x:v>1.5714</x:v>
      </x:c>
      <x:c r="T198" s="17">
        <x:v>0.3226</x:v>
      </x:c>
      <x:c r="U198" s="17">
        <x:v>0.4545</x:v>
      </x:c>
      <x:c r="V198" s="17">
        <x:v>0.0461</x:v>
      </x:c>
      <x:c r="W198" s="17">
        <x:v>0.121</x:v>
      </x:c>
      <x:c r="X198" s="17">
        <x:v>0.2551</x:v>
      </x:c>
      <x:c r="Y198" s="17">
        <x:v>0.0717</x:v>
      </x:c>
      <x:c r="Z198" s="17">
        <x:v>0.1667</x:v>
      </x:c>
      <x:c r="AA198" s="17">
        <x:v>0.0645</x:v>
      </x:c>
      <x:c r="AB198" s="17">
        <x:v>0.1667</x:v>
      </x:c>
      <x:c r="AC198" s="20">
        <x:v>0.0717</x:v>
      </x:c>
      <x:c r="AD198" s="17">
        <x:v>0.2945</x:v>
      </x:c>
      <x:c r="AE198" s="17">
        <x:v>0.2945</x:v>
      </x:c>
      <x:c r="AF198" s="2" t="s">
        <x:v>34</x:v>
      </x:c>
    </x:row>
    <x:row r="199">
      <x:c r="A199" s="7" t="s">
        <x:v>424</x:v>
      </x:c>
      <x:c r="B199" s="7" t="s">
        <x:v>425</x:v>
      </x:c>
      <x:c r="C199" s="7"/>
      <x:c r="D199" s="25">
        <x:v>5</x:v>
      </x:c>
      <x:c r="E199" s="9"/>
      <x:c r="F199" s="25">
        <x:v>2</x:v>
      </x:c>
      <x:c r="G199" s="25">
        <x:v>7</x:v>
      </x:c>
      <x:c r="H199" s="25">
        <x:v>4</x:v>
      </x:c>
      <x:c r="I199" s="25">
        <x:v>1</x:v>
      </x:c>
      <x:c r="J199" s="25">
        <x:v>1</x:v>
      </x:c>
      <x:c r="K199" s="25">
        <x:v>1</x:v>
      </x:c>
      <x:c r="L199" s="9"/>
      <x:c r="M199" s="25">
        <x:v>4</x:v>
      </x:c>
      <x:c r="N199" s="25">
        <x:v>4</x:v>
      </x:c>
      <x:c r="O199" s="25">
        <x:v>1</x:v>
      </x:c>
      <x:c r="P199" s="25">
        <x:v>1</x:v>
      </x:c>
      <x:c r="Q199" s="17">
        <x:v>0.0896</x:v>
      </x:c>
      <x:c r="R199" s="17">
        <x:v>0</x:v>
      </x:c>
      <x:c r="S199" s="17">
        <x:v>0.0952</x:v>
      </x:c>
      <x:c r="T199" s="17">
        <x:v>0.2258</x:v>
      </x:c>
      <x:c r="U199" s="17">
        <x:v>0.1212</x:v>
      </x:c>
      <x:c r="V199" s="17">
        <x:v>0.023</x:v>
      </x:c>
      <x:c r="W199" s="17">
        <x:v>0.0403</x:v>
      </x:c>
      <x:c r="X199" s="17">
        <x:v>0.051</x:v>
      </x:c>
      <x:c r="Y199" s="17">
        <x:v>0</x:v>
      </x:c>
      <x:c r="Z199" s="17">
        <x:v>0.1667</x:v>
      </x:c>
      <x:c r="AA199" s="17">
        <x:v>0.129</x:v>
      </x:c>
      <x:c r="AB199" s="17">
        <x:v>0.0333</x:v>
      </x:c>
      <x:c r="AC199" s="20">
        <x:v>0.0179</x:v>
      </x:c>
      <x:c r="AD199" s="17">
        <x:v>0.0813</x:v>
      </x:c>
      <x:c r="AE199" s="17">
        <x:v>0.0813</x:v>
      </x:c>
      <x:c r="AF199" s="2" t="s">
        <x:v>34</x:v>
      </x:c>
    </x:row>
    <x:row r="200">
      <x:c r="A200" s="7" t="s">
        <x:v>426</x:v>
      </x:c>
      <x:c r="B200" s="7" t="s">
        <x:v>427</x:v>
      </x:c>
      <x:c r="C200" s="7"/>
      <x:c r="D200" s="25">
        <x:v>4</x:v>
      </x:c>
      <x:c r="E200" s="25">
        <x:v>3</x:v>
      </x:c>
      <x:c r="F200" s="25">
        <x:v>12</x:v>
      </x:c>
      <x:c r="G200" s="25">
        <x:v>3</x:v>
      </x:c>
      <x:c r="H200" s="25">
        <x:v>1</x:v>
      </x:c>
      <x:c r="I200" s="25">
        <x:v>1</x:v>
      </x:c>
      <x:c r="J200" s="25">
        <x:v>4</x:v>
      </x:c>
      <x:c r="K200" s="25">
        <x:v>1</x:v>
      </x:c>
      <x:c r="L200" s="25">
        <x:v>3</x:v>
      </x:c>
      <x:c r="M200" s="9"/>
      <x:c r="N200" s="25">
        <x:v>1</x:v>
      </x:c>
      <x:c r="O200" s="9"/>
      <x:c r="P200" s="9"/>
      <x:c r="Q200" s="17">
        <x:v>0.0717</x:v>
      </x:c>
      <x:c r="R200" s="17">
        <x:v>0.0968</x:v>
      </x:c>
      <x:c r="S200" s="17">
        <x:v>0.5714</x:v>
      </x:c>
      <x:c r="T200" s="17">
        <x:v>0.0968</x:v>
      </x:c>
      <x:c r="U200" s="17">
        <x:v>0.0303</x:v>
      </x:c>
      <x:c r="V200" s="17">
        <x:v>0.023</x:v>
      </x:c>
      <x:c r="W200" s="17">
        <x:v>0.1613</x:v>
      </x:c>
      <x:c r="X200" s="17">
        <x:v>0.051</x:v>
      </x:c>
      <x:c r="Y200" s="17">
        <x:v>0.1075</x:v>
      </x:c>
      <x:c r="Z200" s="17">
        <x:v>0</x:v>
      </x:c>
      <x:c r="AA200" s="17">
        <x:v>0.0323</x:v>
      </x:c>
      <x:c r="AB200" s="17">
        <x:v>0</x:v>
      </x:c>
      <x:c r="AC200" s="20">
        <x:v>0</x:v>
      </x:c>
      <x:c r="AD200" s="17">
        <x:v>0.1035</x:v>
      </x:c>
      <x:c r="AE200" s="17">
        <x:v>0.1035</x:v>
      </x:c>
      <x:c r="AF200" s="2" t="s">
        <x:v>34</x:v>
      </x:c>
    </x:row>
    <x:row r="201">
      <x:c r="A201" s="7" t="s">
        <x:v>428</x:v>
      </x:c>
      <x:c r="B201" s="7" t="s">
        <x:v>429</x:v>
      </x:c>
      <x:c r="C201" s="7"/>
      <x:c r="D201" s="25">
        <x:v>27</x:v>
      </x:c>
      <x:c r="E201" s="25">
        <x:v>1</x:v>
      </x:c>
      <x:c r="F201" s="25">
        <x:v>2</x:v>
      </x:c>
      <x:c r="G201" s="25">
        <x:v>6</x:v>
      </x:c>
      <x:c r="H201" s="25">
        <x:v>4</x:v>
      </x:c>
      <x:c r="I201" s="25">
        <x:v>9</x:v>
      </x:c>
      <x:c r="J201" s="25">
        <x:v>7</x:v>
      </x:c>
      <x:c r="K201" s="25">
        <x:v>15</x:v>
      </x:c>
      <x:c r="L201" s="25">
        <x:v>9</x:v>
      </x:c>
      <x:c r="M201" s="25">
        <x:v>6</x:v>
      </x:c>
      <x:c r="N201" s="25">
        <x:v>5</x:v>
      </x:c>
      <x:c r="O201" s="25">
        <x:v>2</x:v>
      </x:c>
      <x:c r="P201" s="25">
        <x:v>6</x:v>
      </x:c>
      <x:c r="Q201" s="23">
        <x:v>0.5</x:v>
      </x:c>
      <x:c r="R201" s="13">
        <x:v>0</x:v>
      </x:c>
      <x:c r="S201" s="23">
        <x:v>0.102</x:v>
      </x:c>
      <x:c r="T201" s="17">
        <x:v>0.1935</x:v>
      </x:c>
      <x:c r="U201" s="17">
        <x:v>0.1212</x:v>
      </x:c>
      <x:c r="V201" s="17">
        <x:v>0.2074</x:v>
      </x:c>
      <x:c r="W201" s="17">
        <x:v>0.2823</x:v>
      </x:c>
      <x:c r="X201" s="17">
        <x:v>0.7653</x:v>
      </x:c>
      <x:c r="Y201" s="17">
        <x:v>0.3226</x:v>
      </x:c>
      <x:c r="Z201" s="17">
        <x:v>0.25</x:v>
      </x:c>
      <x:c r="AA201" s="17">
        <x:v>0.1613</x:v>
      </x:c>
      <x:c r="AB201" s="17">
        <x:v>0.0667</x:v>
      </x:c>
      <x:c r="AC201" s="20">
        <x:v>0.1075</x:v>
      </x:c>
      <x:c r="AD201" s="17">
        <x:v>0.2634</x:v>
      </x:c>
      <x:c r="AE201" s="17">
        <x:v>0.2634</x:v>
      </x:c>
      <x:c r="AF201" s="2" t="s">
        <x:v>107</x:v>
      </x:c>
    </x:row>
    <x:row r="202">
      <x:c r="A202" s="7" t="s">
        <x:v>430</x:v>
      </x:c>
      <x:c r="B202" s="7" t="s">
        <x:v>431</x:v>
      </x:c>
      <x:c r="C202" s="7"/>
      <x:c r="D202" s="25">
        <x:v>36</x:v>
      </x:c>
      <x:c r="E202" s="25">
        <x:v>1</x:v>
      </x:c>
      <x:c r="F202" s="25">
        <x:v>5</x:v>
      </x:c>
      <x:c r="G202" s="25">
        <x:v>1</x:v>
      </x:c>
      <x:c r="H202" s="25">
        <x:v>1</x:v>
      </x:c>
      <x:c r="I202" s="25">
        <x:v>5</x:v>
      </x:c>
      <x:c r="J202" s="25">
        <x:v>2</x:v>
      </x:c>
      <x:c r="K202" s="25">
        <x:v>15</x:v>
      </x:c>
      <x:c r="L202" s="25">
        <x:v>2</x:v>
      </x:c>
      <x:c r="M202" s="25">
        <x:v>4</x:v>
      </x:c>
      <x:c r="N202" s="25">
        <x:v>2</x:v>
      </x:c>
      <x:c r="O202" s="25">
        <x:v>1</x:v>
      </x:c>
      <x:c r="P202" s="25">
        <x:v>1</x:v>
      </x:c>
      <x:c r="Q202" s="17">
        <x:v>0.6452</x:v>
      </x:c>
      <x:c r="R202" s="17">
        <x:v>0.0323</x:v>
      </x:c>
      <x:c r="S202" s="17">
        <x:v>0.2381</x:v>
      </x:c>
      <x:c r="T202" s="17">
        <x:v>0.0323</x:v>
      </x:c>
      <x:c r="U202" s="17">
        <x:v>0.0303</x:v>
      </x:c>
      <x:c r="V202" s="17">
        <x:v>0.1152</x:v>
      </x:c>
      <x:c r="W202" s="17">
        <x:v>0.0806</x:v>
      </x:c>
      <x:c r="X202" s="17">
        <x:v>0.7653</x:v>
      </x:c>
      <x:c r="Y202" s="17">
        <x:v>0.0717</x:v>
      </x:c>
      <x:c r="Z202" s="17">
        <x:v>0.1667</x:v>
      </x:c>
      <x:c r="AA202" s="17">
        <x:v>0.0645</x:v>
      </x:c>
      <x:c r="AB202" s="17">
        <x:v>0.0333</x:v>
      </x:c>
      <x:c r="AC202" s="20">
        <x:v>0.0179</x:v>
      </x:c>
      <x:c r="AD202" s="17">
        <x:v>0.1896</x:v>
      </x:c>
      <x:c r="AE202" s="17">
        <x:v>0.1896</x:v>
      </x:c>
      <x:c r="AF202" s="2" t="s">
        <x:v>107</x:v>
      </x:c>
    </x:row>
    <x:row r="203">
      <x:c r="A203" s="7" t="s">
        <x:v>432</x:v>
      </x:c>
      <x:c r="B203" s="7" t="s">
        <x:v>433</x:v>
      </x:c>
      <x:c r="C203" s="7"/>
      <x:c r="D203" s="25">
        <x:v>6</x:v>
      </x:c>
      <x:c r="E203" s="25">
        <x:v>2</x:v>
      </x:c>
      <x:c r="F203" s="25">
        <x:v>4</x:v>
      </x:c>
      <x:c r="G203" s="25">
        <x:v>8</x:v>
      </x:c>
      <x:c r="H203" s="25">
        <x:v>6</x:v>
      </x:c>
      <x:c r="I203" s="25">
        <x:v>15</x:v>
      </x:c>
      <x:c r="J203" s="25">
        <x:v>7</x:v>
      </x:c>
      <x:c r="K203" s="25">
        <x:v>6</x:v>
      </x:c>
      <x:c r="L203" s="25">
        <x:v>19</x:v>
      </x:c>
      <x:c r="M203" s="25">
        <x:v>9</x:v>
      </x:c>
      <x:c r="N203" s="25">
        <x:v>3</x:v>
      </x:c>
      <x:c r="O203" s="25">
        <x:v>8</x:v>
      </x:c>
      <x:c r="P203" s="25">
        <x:v>3</x:v>
      </x:c>
      <x:c r="Q203" s="23">
        <x:v>0.1111</x:v>
      </x:c>
      <x:c r="R203" s="13">
        <x:v>0</x:v>
      </x:c>
      <x:c r="S203" s="23">
        <x:v>0.2041</x:v>
      </x:c>
      <x:c r="T203" s="17">
        <x:v>0.2581</x:v>
      </x:c>
      <x:c r="U203" s="17">
        <x:v>0.1818</x:v>
      </x:c>
      <x:c r="V203" s="17">
        <x:v>0.3456</x:v>
      </x:c>
      <x:c r="W203" s="17">
        <x:v>0.2823</x:v>
      </x:c>
      <x:c r="X203" s="17">
        <x:v>0.3061</x:v>
      </x:c>
      <x:c r="Y203" s="17">
        <x:v>0.681</x:v>
      </x:c>
      <x:c r="Z203" s="17">
        <x:v>0.375</x:v>
      </x:c>
      <x:c r="AA203" s="17">
        <x:v>0.0968</x:v>
      </x:c>
      <x:c r="AB203" s="17">
        <x:v>0.2667</x:v>
      </x:c>
      <x:c r="AC203" s="20">
        <x:v>0.0538</x:v>
      </x:c>
      <x:c r="AD203" s="17">
        <x:v>0.3104</x:v>
      </x:c>
      <x:c r="AE203" s="17">
        <x:v>0.3104</x:v>
      </x:c>
      <x:c r="AF203" s="2" t="s">
        <x:v>34</x:v>
      </x:c>
    </x:row>
    <x:row r="204">
      <x:c r="A204" s="7" t="s">
        <x:v>434</x:v>
      </x:c>
      <x:c r="B204" s="7" t="s">
        <x:v>435</x:v>
      </x:c>
      <x:c r="C204" s="7"/>
      <x:c r="D204" s="25">
        <x:v>8</x:v>
      </x:c>
      <x:c r="E204" s="9"/>
      <x:c r="F204" s="25">
        <x:v>39</x:v>
      </x:c>
      <x:c r="G204" s="25">
        <x:v>11</x:v>
      </x:c>
      <x:c r="H204" s="25">
        <x:v>9</x:v>
      </x:c>
      <x:c r="I204" s="25">
        <x:v>51</x:v>
      </x:c>
      <x:c r="J204" s="25">
        <x:v>7</x:v>
      </x:c>
      <x:c r="K204" s="25">
        <x:v>16</x:v>
      </x:c>
      <x:c r="L204" s="25">
        <x:v>9</x:v>
      </x:c>
      <x:c r="M204" s="25">
        <x:v>13</x:v>
      </x:c>
      <x:c r="N204" s="25">
        <x:v>11</x:v>
      </x:c>
      <x:c r="O204" s="25">
        <x:v>9</x:v>
      </x:c>
      <x:c r="P204" s="25">
        <x:v>4</x:v>
      </x:c>
      <x:c r="Q204" s="23">
        <x:v>0.2116</x:v>
      </x:c>
      <x:c r="R204" s="13">
        <x:v>0</x:v>
      </x:c>
      <x:c r="S204" s="23">
        <x:v>1.9898</x:v>
      </x:c>
      <x:c r="T204" s="17">
        <x:v>0.3548</x:v>
      </x:c>
      <x:c r="U204" s="23">
        <x:v>0.3273</x:v>
      </x:c>
      <x:c r="V204" s="23">
        <x:v>1.301</x:v>
      </x:c>
      <x:c r="W204" s="17">
        <x:v>0.2823</x:v>
      </x:c>
      <x:c r="X204" s="17">
        <x:v>0.8163</x:v>
      </x:c>
      <x:c r="Y204" s="17">
        <x:v>0.3226</x:v>
      </x:c>
      <x:c r="Z204" s="17">
        <x:v>0.5417</x:v>
      </x:c>
      <x:c r="AA204" s="17">
        <x:v>0.3548</x:v>
      </x:c>
      <x:c r="AB204" s="17">
        <x:v>0.3</x:v>
      </x:c>
      <x:c r="AC204" s="20">
        <x:v>0.0717</x:v>
      </x:c>
      <x:c r="AD204" s="17">
        <x:v>0.4246</x:v>
      </x:c>
      <x:c r="AE204" s="17">
        <x:v>0.4246</x:v>
      </x:c>
      <x:c r="AF204" s="2" t="s">
        <x:v>34</x:v>
      </x:c>
    </x:row>
    <x:row r="205">
      <x:c r="A205" s="7" t="s">
        <x:v>436</x:v>
      </x:c>
      <x:c r="B205" s="7" t="s">
        <x:v>437</x:v>
      </x:c>
      <x:c r="C205" s="7"/>
      <x:c r="D205" s="25">
        <x:v>48</x:v>
      </x:c>
      <x:c r="E205" s="25">
        <x:v>27</x:v>
      </x:c>
      <x:c r="F205" s="25">
        <x:v>4</x:v>
      </x:c>
      <x:c r="G205" s="25">
        <x:v>2</x:v>
      </x:c>
      <x:c r="H205" s="25">
        <x:v>12</x:v>
      </x:c>
      <x:c r="I205" s="25">
        <x:v>53</x:v>
      </x:c>
      <x:c r="J205" s="25">
        <x:v>8</x:v>
      </x:c>
      <x:c r="K205" s="25">
        <x:v>9</x:v>
      </x:c>
      <x:c r="L205" s="25">
        <x:v>-2</x:v>
      </x:c>
      <x:c r="M205" s="25">
        <x:v>11</x:v>
      </x:c>
      <x:c r="N205" s="25">
        <x:v>5</x:v>
      </x:c>
      <x:c r="O205" s="25">
        <x:v>4</x:v>
      </x:c>
      <x:c r="P205" s="25">
        <x:v>1</x:v>
      </x:c>
      <x:c r="Q205" s="17">
        <x:v>0.8602</x:v>
      </x:c>
      <x:c r="R205" s="23">
        <x:v>2.7</x:v>
      </x:c>
      <x:c r="S205" s="23">
        <x:v>0.2041</x:v>
      </x:c>
      <x:c r="T205" s="17">
        <x:v>0.0645</x:v>
      </x:c>
      <x:c r="U205" s="17">
        <x:v>0.3636</x:v>
      </x:c>
      <x:c r="V205" s="17">
        <x:v>1.2212</x:v>
      </x:c>
      <x:c r="W205" s="17">
        <x:v>0.3226</x:v>
      </x:c>
      <x:c r="X205" s="17">
        <x:v>0.4592</x:v>
      </x:c>
      <x:c r="Y205" s="17">
        <x:v>-0.0717</x:v>
      </x:c>
      <x:c r="Z205" s="17">
        <x:v>0.4583</x:v>
      </x:c>
      <x:c r="AA205" s="17">
        <x:v>0.1613</x:v>
      </x:c>
      <x:c r="AB205" s="17">
        <x:v>0.1333</x:v>
      </x:c>
      <x:c r="AC205" s="20">
        <x:v>0.0179</x:v>
      </x:c>
      <x:c r="AD205" s="17">
        <x:v>0.3973</x:v>
      </x:c>
      <x:c r="AE205" s="17">
        <x:v>0.3973</x:v>
      </x:c>
      <x:c r="AF205" s="2" t="s">
        <x:v>34</x:v>
      </x:c>
    </x:row>
    <x:row r="206">
      <x:c r="A206" s="7" t="s">
        <x:v>438</x:v>
      </x:c>
      <x:c r="B206" s="7" t="s">
        <x:v>439</x:v>
      </x:c>
      <x:c r="C206" s="7"/>
      <x:c r="D206" s="25">
        <x:v>35</x:v>
      </x:c>
      <x:c r="E206" s="25">
        <x:v>12</x:v>
      </x:c>
      <x:c r="F206" s="25">
        <x:v>12</x:v>
      </x:c>
      <x:c r="G206" s="25">
        <x:v>7</x:v>
      </x:c>
      <x:c r="H206" s="25">
        <x:v>6</x:v>
      </x:c>
      <x:c r="I206" s="25">
        <x:v>2</x:v>
      </x:c>
      <x:c r="J206" s="25">
        <x:v>6</x:v>
      </x:c>
      <x:c r="K206" s="25">
        <x:v>2</x:v>
      </x:c>
      <x:c r="L206" s="9"/>
      <x:c r="M206" s="25">
        <x:v>6</x:v>
      </x:c>
      <x:c r="N206" s="9"/>
      <x:c r="O206" s="25">
        <x:v>4</x:v>
      </x:c>
      <x:c r="P206" s="25">
        <x:v>1</x:v>
      </x:c>
      <x:c r="Q206" s="17">
        <x:v>0.6272</x:v>
      </x:c>
      <x:c r="R206" s="17">
        <x:v>0.3871</x:v>
      </x:c>
      <x:c r="S206" s="17">
        <x:v>0.5714</x:v>
      </x:c>
      <x:c r="T206" s="17">
        <x:v>0.2258</x:v>
      </x:c>
      <x:c r="U206" s="17">
        <x:v>0.1818</x:v>
      </x:c>
      <x:c r="V206" s="17">
        <x:v>0.0461</x:v>
      </x:c>
      <x:c r="W206" s="17">
        <x:v>0.2419</x:v>
      </x:c>
      <x:c r="X206" s="17">
        <x:v>0.102</x:v>
      </x:c>
      <x:c r="Y206" s="17">
        <x:v>0</x:v>
      </x:c>
      <x:c r="Z206" s="17">
        <x:v>0.25</x:v>
      </x:c>
      <x:c r="AA206" s="17">
        <x:v>0</x:v>
      </x:c>
      <x:c r="AB206" s="17">
        <x:v>0.1333</x:v>
      </x:c>
      <x:c r="AC206" s="20">
        <x:v>0.0179</x:v>
      </x:c>
      <x:c r="AD206" s="17">
        <x:v>0.2306</x:v>
      </x:c>
      <x:c r="AE206" s="17">
        <x:v>0.2306</x:v>
      </x:c>
      <x:c r="AF206" s="2" t="s">
        <x:v>34</x:v>
      </x:c>
    </x:row>
    <x:row r="207">
      <x:c r="A207" s="7" t="s">
        <x:v>440</x:v>
      </x:c>
      <x:c r="B207" s="7" t="s">
        <x:v>441</x:v>
      </x:c>
      <x:c r="C207" s="7"/>
      <x:c r="D207" s="25">
        <x:v>34</x:v>
      </x:c>
      <x:c r="E207" s="25">
        <x:v>9</x:v>
      </x:c>
      <x:c r="F207" s="25">
        <x:v>5</x:v>
      </x:c>
      <x:c r="G207" s="25">
        <x:v>9</x:v>
      </x:c>
      <x:c r="H207" s="25">
        <x:v>3</x:v>
      </x:c>
      <x:c r="I207" s="25">
        <x:v>3</x:v>
      </x:c>
      <x:c r="J207" s="25">
        <x:v>5</x:v>
      </x:c>
      <x:c r="K207" s="25">
        <x:v>2</x:v>
      </x:c>
      <x:c r="L207" s="25">
        <x:v>2</x:v>
      </x:c>
      <x:c r="M207" s="25">
        <x:v>4</x:v>
      </x:c>
      <x:c r="N207" s="25">
        <x:v>1</x:v>
      </x:c>
      <x:c r="O207" s="25">
        <x:v>24</x:v>
      </x:c>
      <x:c r="P207" s="25">
        <x:v>2</x:v>
      </x:c>
      <x:c r="Q207" s="17">
        <x:v>0.6093</x:v>
      </x:c>
      <x:c r="R207" s="17">
        <x:v>0.2903</x:v>
      </x:c>
      <x:c r="S207" s="17">
        <x:v>0.2381</x:v>
      </x:c>
      <x:c r="T207" s="17">
        <x:v>0.2903</x:v>
      </x:c>
      <x:c r="U207" s="17">
        <x:v>0.0909</x:v>
      </x:c>
      <x:c r="V207" s="17">
        <x:v>0.0691</x:v>
      </x:c>
      <x:c r="W207" s="17">
        <x:v>0.2016</x:v>
      </x:c>
      <x:c r="X207" s="17">
        <x:v>0.102</x:v>
      </x:c>
      <x:c r="Y207" s="17">
        <x:v>0.0717</x:v>
      </x:c>
      <x:c r="Z207" s="17">
        <x:v>0.1667</x:v>
      </x:c>
      <x:c r="AA207" s="17">
        <x:v>0.0323</x:v>
      </x:c>
      <x:c r="AB207" s="17">
        <x:v>0.8</x:v>
      </x:c>
      <x:c r="AC207" s="20">
        <x:v>0.0358</x:v>
      </x:c>
      <x:c r="AD207" s="17">
        <x:v>0.2469</x:v>
      </x:c>
      <x:c r="AE207" s="17">
        <x:v>0.2469</x:v>
      </x:c>
      <x:c r="AF207" s="2" t="s">
        <x:v>34</x:v>
      </x:c>
    </x:row>
    <x:row r="208">
      <x:c r="A208" s="7" t="s">
        <x:v>442</x:v>
      </x:c>
      <x:c r="B208" s="7" t="s">
        <x:v>443</x:v>
      </x:c>
      <x:c r="C208" s="7"/>
      <x:c r="D208" s="25">
        <x:v>34</x:v>
      </x:c>
      <x:c r="E208" s="25">
        <x:v>7</x:v>
      </x:c>
      <x:c r="F208" s="25">
        <x:v>6</x:v>
      </x:c>
      <x:c r="G208" s="25">
        <x:v>10</x:v>
      </x:c>
      <x:c r="H208" s="25">
        <x:v>2</x:v>
      </x:c>
      <x:c r="I208" s="25">
        <x:v>2</x:v>
      </x:c>
      <x:c r="J208" s="25">
        <x:v>6</x:v>
      </x:c>
      <x:c r="K208" s="25">
        <x:v>1</x:v>
      </x:c>
      <x:c r="L208" s="9"/>
      <x:c r="M208" s="25">
        <x:v>5</x:v>
      </x:c>
      <x:c r="N208" s="25">
        <x:v>-2</x:v>
      </x:c>
      <x:c r="O208" s="25">
        <x:v>22</x:v>
      </x:c>
      <x:c r="P208" s="9"/>
      <x:c r="Q208" s="17">
        <x:v>0.6093</x:v>
      </x:c>
      <x:c r="R208" s="17">
        <x:v>0.2258</x:v>
      </x:c>
      <x:c r="S208" s="17">
        <x:v>0.2857</x:v>
      </x:c>
      <x:c r="T208" s="17">
        <x:v>0.3226</x:v>
      </x:c>
      <x:c r="U208" s="17">
        <x:v>0.0606</x:v>
      </x:c>
      <x:c r="V208" s="17">
        <x:v>0.0461</x:v>
      </x:c>
      <x:c r="W208" s="17">
        <x:v>0.2419</x:v>
      </x:c>
      <x:c r="X208" s="17">
        <x:v>0.051</x:v>
      </x:c>
      <x:c r="Y208" s="17">
        <x:v>0</x:v>
      </x:c>
      <x:c r="Z208" s="17">
        <x:v>0.2083</x:v>
      </x:c>
      <x:c r="AA208" s="17">
        <x:v>-0.0645</x:v>
      </x:c>
      <x:c r="AB208" s="17">
        <x:v>0.7333</x:v>
      </x:c>
      <x:c r="AC208" s="20">
        <x:v>0</x:v>
      </x:c>
      <x:c r="AD208" s="17">
        <x:v>0.2267</x:v>
      </x:c>
      <x:c r="AE208" s="17">
        <x:v>0.2267</x:v>
      </x:c>
      <x:c r="AF208" s="2" t="s">
        <x:v>34</x:v>
      </x:c>
    </x:row>
    <x:row r="209">
      <x:c r="A209" s="7" t="s">
        <x:v>444</x:v>
      </x:c>
      <x:c r="B209" s="7" t="s">
        <x:v>445</x:v>
      </x:c>
      <x:c r="C209" s="7"/>
      <x:c r="D209" s="25">
        <x:v>36</x:v>
      </x:c>
      <x:c r="E209" s="25">
        <x:v>5</x:v>
      </x:c>
      <x:c r="F209" s="25">
        <x:v>5</x:v>
      </x:c>
      <x:c r="G209" s="25">
        <x:v>8</x:v>
      </x:c>
      <x:c r="H209" s="25">
        <x:v>3</x:v>
      </x:c>
      <x:c r="I209" s="25">
        <x:v>1</x:v>
      </x:c>
      <x:c r="J209" s="25">
        <x:v>10</x:v>
      </x:c>
      <x:c r="K209" s="25">
        <x:v>3</x:v>
      </x:c>
      <x:c r="L209" s="9"/>
      <x:c r="M209" s="25">
        <x:v>1</x:v>
      </x:c>
      <x:c r="N209" s="25">
        <x:v>3</x:v>
      </x:c>
      <x:c r="O209" s="25">
        <x:v>2</x:v>
      </x:c>
      <x:c r="P209" s="25">
        <x:v>2</x:v>
      </x:c>
      <x:c r="Q209" s="17">
        <x:v>0.6452</x:v>
      </x:c>
      <x:c r="R209" s="17">
        <x:v>0.1613</x:v>
      </x:c>
      <x:c r="S209" s="17">
        <x:v>0.2381</x:v>
      </x:c>
      <x:c r="T209" s="17">
        <x:v>0.2581</x:v>
      </x:c>
      <x:c r="U209" s="17">
        <x:v>0.0909</x:v>
      </x:c>
      <x:c r="V209" s="17">
        <x:v>0.023</x:v>
      </x:c>
      <x:c r="W209" s="17">
        <x:v>0.4032</x:v>
      </x:c>
      <x:c r="X209" s="17">
        <x:v>0.1531</x:v>
      </x:c>
      <x:c r="Y209" s="17">
        <x:v>0</x:v>
      </x:c>
      <x:c r="Z209" s="17">
        <x:v>0.0417</x:v>
      </x:c>
      <x:c r="AA209" s="17">
        <x:v>0.0968</x:v>
      </x:c>
      <x:c r="AB209" s="17">
        <x:v>0.0667</x:v>
      </x:c>
      <x:c r="AC209" s="20">
        <x:v>0.0358</x:v>
      </x:c>
      <x:c r="AD209" s="17">
        <x:v>0.1815</x:v>
      </x:c>
      <x:c r="AE209" s="17">
        <x:v>0.1815</x:v>
      </x:c>
      <x:c r="AF209" s="2" t="s">
        <x:v>34</x:v>
      </x:c>
    </x:row>
    <x:row r="210">
      <x:c r="A210" s="7" t="s">
        <x:v>446</x:v>
      </x:c>
      <x:c r="B210" s="7" t="s">
        <x:v>447</x:v>
      </x:c>
      <x:c r="C210" s="7"/>
      <x:c r="D210" s="9"/>
      <x:c r="E210" s="9"/>
      <x:c r="F210" s="25">
        <x:v>-1</x:v>
      </x:c>
      <x:c r="G210" s="9"/>
      <x:c r="H210" s="9"/>
      <x:c r="I210" s="9"/>
      <x:c r="J210" s="9"/>
      <x:c r="K210" s="9"/>
      <x:c r="L210" s="9"/>
      <x:c r="M210" s="9"/>
      <x:c r="N210" s="9"/>
      <x:c r="O210" s="9"/>
      <x:c r="P210" s="9"/>
      <x:c r="Q210" s="13">
        <x:v>0</x:v>
      </x:c>
      <x:c r="R210" s="13">
        <x:v>0</x:v>
      </x:c>
      <x:c r="S210" s="13">
        <x:v>0</x:v>
      </x:c>
      <x:c r="T210" s="13">
        <x:v>0</x:v>
      </x:c>
      <x:c r="U210" s="13">
        <x:v>0</x:v>
      </x:c>
      <x:c r="V210" s="13">
        <x:v>0</x:v>
      </x:c>
      <x:c r="W210" s="13">
        <x:v>0</x:v>
      </x:c>
      <x:c r="X210" s="13">
        <x:v>0</x:v>
      </x:c>
      <x:c r="Y210" s="13">
        <x:v>0</x:v>
      </x:c>
      <x:c r="Z210" s="13">
        <x:v>0</x:v>
      </x:c>
      <x:c r="AA210" s="13">
        <x:v>0</x:v>
      </x:c>
      <x:c r="AB210" s="13">
        <x:v>0</x:v>
      </x:c>
      <x:c r="AC210" s="16">
        <x:v>0</x:v>
      </x:c>
      <x:c r="AF210" s="2" t="s">
        <x:v>107</x:v>
      </x:c>
    </x:row>
    <x:row r="211">
      <x:c r="A211" s="7" t="s">
        <x:v>448</x:v>
      </x:c>
      <x:c r="B211" s="7" t="s">
        <x:v>449</x:v>
      </x:c>
      <x:c r="C211" s="7"/>
      <x:c r="D211" s="9"/>
      <x:c r="E211" s="9"/>
      <x:c r="F211" s="9"/>
      <x:c r="G211" s="9"/>
      <x:c r="H211" s="9"/>
      <x:c r="I211" s="9"/>
      <x:c r="J211" s="9"/>
      <x:c r="K211" s="9"/>
      <x:c r="L211" s="9"/>
      <x:c r="M211" s="9"/>
      <x:c r="N211" s="9"/>
      <x:c r="O211" s="9"/>
      <x:c r="P211" s="9"/>
      <x:c r="Q211" s="17">
        <x:v>0</x:v>
      </x:c>
      <x:c r="R211" s="17">
        <x:v>0</x:v>
      </x:c>
      <x:c r="S211" s="17">
        <x:v>0</x:v>
      </x:c>
      <x:c r="T211" s="17">
        <x:v>0</x:v>
      </x:c>
      <x:c r="U211" s="17">
        <x:v>0</x:v>
      </x:c>
      <x:c r="V211" s="17">
        <x:v>0</x:v>
      </x:c>
      <x:c r="W211" s="17">
        <x:v>0</x:v>
      </x:c>
      <x:c r="X211" s="17">
        <x:v>0</x:v>
      </x:c>
      <x:c r="Y211" s="17">
        <x:v>0</x:v>
      </x:c>
      <x:c r="Z211" s="17">
        <x:v>0</x:v>
      </x:c>
      <x:c r="AA211" s="17">
        <x:v>0</x:v>
      </x:c>
      <x:c r="AB211" s="17">
        <x:v>0</x:v>
      </x:c>
      <x:c r="AC211" s="20">
        <x:v>0</x:v>
      </x:c>
      <x:c r="AF211" s="2" t="s">
        <x:v>34</x:v>
      </x:c>
    </x:row>
    <x:row r="212">
      <x:c r="A212" s="7" t="s">
        <x:v>450</x:v>
      </x:c>
      <x:c r="B212" s="7" t="s">
        <x:v>451</x:v>
      </x:c>
      <x:c r="C212" s="7"/>
      <x:c r="D212" s="25">
        <x:v>3</x:v>
      </x:c>
      <x:c r="E212" s="9"/>
      <x:c r="F212" s="25">
        <x:v>3</x:v>
      </x:c>
      <x:c r="G212" s="9"/>
      <x:c r="H212" s="25">
        <x:v>3</x:v>
      </x:c>
      <x:c r="I212" s="25">
        <x:v>3</x:v>
      </x:c>
      <x:c r="J212" s="25">
        <x:v>1</x:v>
      </x:c>
      <x:c r="K212" s="25">
        <x:v>4</x:v>
      </x:c>
      <x:c r="L212" s="25">
        <x:v>3</x:v>
      </x:c>
      <x:c r="M212" s="25">
        <x:v>3</x:v>
      </x:c>
      <x:c r="N212" s="25">
        <x:v>3</x:v>
      </x:c>
      <x:c r="O212" s="9"/>
      <x:c r="P212" s="9"/>
      <x:c r="Q212" s="23">
        <x:v>0.0575</x:v>
      </x:c>
      <x:c r="R212" s="17">
        <x:v>0</x:v>
      </x:c>
      <x:c r="S212" s="17">
        <x:v>0.1429</x:v>
      </x:c>
      <x:c r="T212" s="17">
        <x:v>0</x:v>
      </x:c>
      <x:c r="U212" s="17">
        <x:v>0.0909</x:v>
      </x:c>
      <x:c r="V212" s="17">
        <x:v>0.0691</x:v>
      </x:c>
      <x:c r="W212" s="17">
        <x:v>0.0403</x:v>
      </x:c>
      <x:c r="X212" s="17">
        <x:v>0.2041</x:v>
      </x:c>
      <x:c r="Y212" s="17">
        <x:v>0.1075</x:v>
      </x:c>
      <x:c r="Z212" s="17">
        <x:v>0.125</x:v>
      </x:c>
      <x:c r="AA212" s="17">
        <x:v>0.0968</x:v>
      </x:c>
      <x:c r="AB212" s="17">
        <x:v>0</x:v>
      </x:c>
      <x:c r="AC212" s="20">
        <x:v>0</x:v>
      </x:c>
      <x:c r="AD212" s="17">
        <x:v>0.0797</x:v>
      </x:c>
      <x:c r="AE212" s="17">
        <x:v>0.0797</x:v>
      </x:c>
      <x:c r="AF212" s="2" t="s">
        <x:v>34</x:v>
      </x:c>
    </x:row>
    <x:row r="213">
      <x:c r="A213" s="7" t="s">
        <x:v>452</x:v>
      </x:c>
      <x:c r="B213" s="7" t="s">
        <x:v>453</x:v>
      </x:c>
      <x:c r="C213" s="7"/>
      <x:c r="D213" s="9"/>
      <x:c r="E213" s="9"/>
      <x:c r="F213" s="9"/>
      <x:c r="G213" s="9"/>
      <x:c r="H213" s="9"/>
      <x:c r="I213" s="9"/>
      <x:c r="J213" s="9"/>
      <x:c r="K213" s="9"/>
      <x:c r="L213" s="9"/>
      <x:c r="M213" s="9"/>
      <x:c r="N213" s="9"/>
      <x:c r="O213" s="9"/>
      <x:c r="P213" s="9"/>
      <x:c r="Q213" s="13">
        <x:v>0</x:v>
      </x:c>
      <x:c r="R213" s="13">
        <x:v>0</x:v>
      </x:c>
      <x:c r="S213" s="13">
        <x:v>0</x:v>
      </x:c>
      <x:c r="T213" s="13">
        <x:v>0</x:v>
      </x:c>
      <x:c r="U213" s="13">
        <x:v>0</x:v>
      </x:c>
      <x:c r="V213" s="13">
        <x:v>0</x:v>
      </x:c>
      <x:c r="W213" s="13">
        <x:v>0</x:v>
      </x:c>
      <x:c r="X213" s="13">
        <x:v>0</x:v>
      </x:c>
      <x:c r="Y213" s="13">
        <x:v>0</x:v>
      </x:c>
      <x:c r="Z213" s="13">
        <x:v>0</x:v>
      </x:c>
      <x:c r="AA213" s="13">
        <x:v>0</x:v>
      </x:c>
      <x:c r="AB213" s="13">
        <x:v>0</x:v>
      </x:c>
      <x:c r="AC213" s="16">
        <x:v>0</x:v>
      </x:c>
      <x:c r="AF213" s="2" t="s">
        <x:v>34</x:v>
      </x:c>
    </x:row>
    <x:row r="214">
      <x:c r="A214" s="7" t="s">
        <x:v>454</x:v>
      </x:c>
      <x:c r="B214" s="7" t="s">
        <x:v>455</x:v>
      </x:c>
      <x:c r="C214" s="7"/>
      <x:c r="D214" s="25">
        <x:v>29</x:v>
      </x:c>
      <x:c r="E214" s="9"/>
      <x:c r="F214" s="9"/>
      <x:c r="G214" s="25">
        <x:v>-2</x:v>
      </x:c>
      <x:c r="H214" s="25">
        <x:v>2</x:v>
      </x:c>
      <x:c r="I214" s="25">
        <x:v>9</x:v>
      </x:c>
      <x:c r="J214" s="25">
        <x:v>6</x:v>
      </x:c>
      <x:c r="K214" s="25">
        <x:v>3</x:v>
      </x:c>
      <x:c r="L214" s="25">
        <x:v>2</x:v>
      </x:c>
      <x:c r="M214" s="25">
        <x:v>3</x:v>
      </x:c>
      <x:c r="N214" s="25">
        <x:v>1</x:v>
      </x:c>
      <x:c r="O214" s="9"/>
      <x:c r="P214" s="25">
        <x:v>2</x:v>
      </x:c>
      <x:c r="Q214" s="23">
        <x:v>1.0741</x:v>
      </x:c>
      <x:c r="R214" s="13">
        <x:v>0</x:v>
      </x:c>
      <x:c r="S214" s="13">
        <x:v>0</x:v>
      </x:c>
      <x:c r="T214" s="13">
        <x:v>0</x:v>
      </x:c>
      <x:c r="U214" s="13">
        <x:v>0</x:v>
      </x:c>
      <x:c r="V214" s="23">
        <x:v>0.2296</x:v>
      </x:c>
      <x:c r="W214" s="17">
        <x:v>0.2419</x:v>
      </x:c>
      <x:c r="X214" s="17">
        <x:v>0.1531</x:v>
      </x:c>
      <x:c r="Y214" s="17">
        <x:v>0.0717</x:v>
      </x:c>
      <x:c r="Z214" s="17">
        <x:v>0.125</x:v>
      </x:c>
      <x:c r="AA214" s="17">
        <x:v>0.0323</x:v>
      </x:c>
      <x:c r="AB214" s="17">
        <x:v>0</x:v>
      </x:c>
      <x:c r="AC214" s="20">
        <x:v>0.0358</x:v>
      </x:c>
      <x:c r="AD214" s="17">
        <x:v>0.104</x:v>
      </x:c>
      <x:c r="AE214" s="17">
        <x:v>0.104</x:v>
      </x:c>
      <x:c r="AF214" s="2" t="s">
        <x:v>34</x:v>
      </x:c>
    </x:row>
    <x:row r="215">
      <x:c r="A215" s="7" t="s">
        <x:v>456</x:v>
      </x:c>
      <x:c r="B215" s="7" t="s">
        <x:v>457</x:v>
      </x:c>
      <x:c r="C215" s="7"/>
      <x:c r="D215" s="25">
        <x:v>8</x:v>
      </x:c>
      <x:c r="E215" s="25">
        <x:v>19</x:v>
      </x:c>
      <x:c r="F215" s="25">
        <x:v>2</x:v>
      </x:c>
      <x:c r="G215" s="25">
        <x:v>2</x:v>
      </x:c>
      <x:c r="H215" s="25">
        <x:v>2</x:v>
      </x:c>
      <x:c r="I215" s="25">
        <x:v>5</x:v>
      </x:c>
      <x:c r="J215" s="25">
        <x:v>2</x:v>
      </x:c>
      <x:c r="K215" s="25">
        <x:v>6</x:v>
      </x:c>
      <x:c r="L215" s="25">
        <x:v>5</x:v>
      </x:c>
      <x:c r="M215" s="25">
        <x:v>10</x:v>
      </x:c>
      <x:c r="N215" s="25">
        <x:v>4</x:v>
      </x:c>
      <x:c r="O215" s="25">
        <x:v>3</x:v>
      </x:c>
      <x:c r="P215" s="25">
        <x:v>4</x:v>
      </x:c>
      <x:c r="Q215" s="23">
        <x:v>0.1533</x:v>
      </x:c>
      <x:c r="R215" s="17">
        <x:v>0.6129</x:v>
      </x:c>
      <x:c r="S215" s="17">
        <x:v>0.0952</x:v>
      </x:c>
      <x:c r="T215" s="17">
        <x:v>0.0645</x:v>
      </x:c>
      <x:c r="U215" s="17">
        <x:v>0.0606</x:v>
      </x:c>
      <x:c r="V215" s="17">
        <x:v>0.1152</x:v>
      </x:c>
      <x:c r="W215" s="17">
        <x:v>0.0806</x:v>
      </x:c>
      <x:c r="X215" s="17">
        <x:v>0.3061</x:v>
      </x:c>
      <x:c r="Y215" s="17">
        <x:v>0.1792</x:v>
      </x:c>
      <x:c r="Z215" s="17">
        <x:v>0.4167</x:v>
      </x:c>
      <x:c r="AA215" s="17">
        <x:v>0.129</x:v>
      </x:c>
      <x:c r="AB215" s="17">
        <x:v>0.1</x:v>
      </x:c>
      <x:c r="AC215" s="20">
        <x:v>0.0717</x:v>
      </x:c>
      <x:c r="AD215" s="17">
        <x:v>0.1964</x:v>
      </x:c>
      <x:c r="AE215" s="17">
        <x:v>0.1964</x:v>
      </x:c>
      <x:c r="AF215" s="2" t="s">
        <x:v>34</x:v>
      </x:c>
    </x:row>
    <x:row r="216">
      <x:c r="A216" s="7" t="s">
        <x:v>458</x:v>
      </x:c>
      <x:c r="B216" s="7" t="s">
        <x:v>459</x:v>
      </x:c>
      <x:c r="C216" s="7"/>
      <x:c r="D216" s="25">
        <x:v>10</x:v>
      </x:c>
      <x:c r="E216" s="25">
        <x:v>12</x:v>
      </x:c>
      <x:c r="F216" s="25">
        <x:v>47</x:v>
      </x:c>
      <x:c r="G216" s="25">
        <x:v>1</x:v>
      </x:c>
      <x:c r="H216" s="25">
        <x:v>2</x:v>
      </x:c>
      <x:c r="I216" s="25">
        <x:v>12</x:v>
      </x:c>
      <x:c r="J216" s="25">
        <x:v>8</x:v>
      </x:c>
      <x:c r="K216" s="25">
        <x:v>4</x:v>
      </x:c>
      <x:c r="L216" s="25">
        <x:v>6</x:v>
      </x:c>
      <x:c r="M216" s="25">
        <x:v>6</x:v>
      </x:c>
      <x:c r="N216" s="25">
        <x:v>4</x:v>
      </x:c>
      <x:c r="O216" s="25">
        <x:v>6</x:v>
      </x:c>
      <x:c r="P216" s="25">
        <x:v>6</x:v>
      </x:c>
      <x:c r="Q216" s="23">
        <x:v>0.1916</x:v>
      </x:c>
      <x:c r="R216" s="17">
        <x:v>0.3871</x:v>
      </x:c>
      <x:c r="S216" s="17">
        <x:v>2.2381</x:v>
      </x:c>
      <x:c r="T216" s="17">
        <x:v>0.0323</x:v>
      </x:c>
      <x:c r="U216" s="17">
        <x:v>0.0606</x:v>
      </x:c>
      <x:c r="V216" s="17">
        <x:v>0.2765</x:v>
      </x:c>
      <x:c r="W216" s="17">
        <x:v>0.3226</x:v>
      </x:c>
      <x:c r="X216" s="17">
        <x:v>0.2041</x:v>
      </x:c>
      <x:c r="Y216" s="17">
        <x:v>0.2151</x:v>
      </x:c>
      <x:c r="Z216" s="17">
        <x:v>0.25</x:v>
      </x:c>
      <x:c r="AA216" s="17">
        <x:v>0.129</x:v>
      </x:c>
      <x:c r="AB216" s="17">
        <x:v>0.2</x:v>
      </x:c>
      <x:c r="AC216" s="20">
        <x:v>0.1075</x:v>
      </x:c>
      <x:c r="AD216" s="17">
        <x:v>0.3923</x:v>
      </x:c>
      <x:c r="AE216" s="17">
        <x:v>0.3923</x:v>
      </x:c>
      <x:c r="AF216" s="2" t="s">
        <x:v>34</x:v>
      </x:c>
    </x:row>
    <x:row r="217">
      <x:c r="A217" s="7" t="s">
        <x:v>460</x:v>
      </x:c>
      <x:c r="B217" s="7" t="s">
        <x:v>461</x:v>
      </x:c>
      <x:c r="C217" s="7"/>
      <x:c r="D217" s="25">
        <x:v>11</x:v>
      </x:c>
      <x:c r="E217" s="25">
        <x:v>11</x:v>
      </x:c>
      <x:c r="F217" s="25">
        <x:v>-2</x:v>
      </x:c>
      <x:c r="G217" s="25">
        <x:v>5</x:v>
      </x:c>
      <x:c r="H217" s="25">
        <x:v>8</x:v>
      </x:c>
      <x:c r="I217" s="25">
        <x:v>5</x:v>
      </x:c>
      <x:c r="J217" s="25">
        <x:v>3</x:v>
      </x:c>
      <x:c r="K217" s="25">
        <x:v>2</x:v>
      </x:c>
      <x:c r="L217" s="25">
        <x:v>3</x:v>
      </x:c>
      <x:c r="M217" s="25">
        <x:v>8</x:v>
      </x:c>
      <x:c r="N217" s="25">
        <x:v>6</x:v>
      </x:c>
      <x:c r="O217" s="25">
        <x:v>8</x:v>
      </x:c>
      <x:c r="P217" s="25">
        <x:v>4</x:v>
      </x:c>
      <x:c r="Q217" s="23">
        <x:v>0.2107</x:v>
      </x:c>
      <x:c r="R217" s="17">
        <x:v>0.3548</x:v>
      </x:c>
      <x:c r="S217" s="17">
        <x:v>-0.0952</x:v>
      </x:c>
      <x:c r="T217" s="17">
        <x:v>0.1613</x:v>
      </x:c>
      <x:c r="U217" s="17">
        <x:v>0.2424</x:v>
      </x:c>
      <x:c r="V217" s="17">
        <x:v>0.1152</x:v>
      </x:c>
      <x:c r="W217" s="17">
        <x:v>0.121</x:v>
      </x:c>
      <x:c r="X217" s="17">
        <x:v>0.102</x:v>
      </x:c>
      <x:c r="Y217" s="17">
        <x:v>0.1075</x:v>
      </x:c>
      <x:c r="Z217" s="17">
        <x:v>0.3333</x:v>
      </x:c>
      <x:c r="AA217" s="17">
        <x:v>0.1935</x:v>
      </x:c>
      <x:c r="AB217" s="17">
        <x:v>0.2667</x:v>
      </x:c>
      <x:c r="AC217" s="20">
        <x:v>0.0717</x:v>
      </x:c>
      <x:c r="AD217" s="17">
        <x:v>0.173</x:v>
      </x:c>
      <x:c r="AE217" s="17">
        <x:v>0.173</x:v>
      </x:c>
      <x:c r="AF217" s="2" t="s">
        <x:v>34</x:v>
      </x:c>
    </x:row>
    <x:row r="218">
      <x:c r="A218" s="7" t="s">
        <x:v>462</x:v>
      </x:c>
      <x:c r="B218" s="7" t="s">
        <x:v>463</x:v>
      </x:c>
      <x:c r="C218" s="7"/>
      <x:c r="D218" s="25">
        <x:v>9</x:v>
      </x:c>
      <x:c r="E218" s="25">
        <x:v>9</x:v>
      </x:c>
      <x:c r="F218" s="25">
        <x:v>4</x:v>
      </x:c>
      <x:c r="G218" s="25">
        <x:v>3</x:v>
      </x:c>
      <x:c r="H218" s="25">
        <x:v>13</x:v>
      </x:c>
      <x:c r="I218" s="25">
        <x:v>8</x:v>
      </x:c>
      <x:c r="J218" s="9"/>
      <x:c r="K218" s="25">
        <x:v>3</x:v>
      </x:c>
      <x:c r="L218" s="25">
        <x:v>2</x:v>
      </x:c>
      <x:c r="M218" s="25">
        <x:v>1</x:v>
      </x:c>
      <x:c r="N218" s="9"/>
      <x:c r="O218" s="9"/>
      <x:c r="P218" s="25">
        <x:v>4</x:v>
      </x:c>
      <x:c r="Q218" s="23">
        <x:v>0.1724</x:v>
      </x:c>
      <x:c r="R218" s="17">
        <x:v>0.2903</x:v>
      </x:c>
      <x:c r="S218" s="17">
        <x:v>0.1905</x:v>
      </x:c>
      <x:c r="T218" s="17">
        <x:v>0.0968</x:v>
      </x:c>
      <x:c r="U218" s="17">
        <x:v>0.3939</x:v>
      </x:c>
      <x:c r="V218" s="17">
        <x:v>0.1843</x:v>
      </x:c>
      <x:c r="W218" s="17">
        <x:v>0</x:v>
      </x:c>
      <x:c r="X218" s="17">
        <x:v>0.1531</x:v>
      </x:c>
      <x:c r="Y218" s="17">
        <x:v>0.0717</x:v>
      </x:c>
      <x:c r="Z218" s="17">
        <x:v>0.0417</x:v>
      </x:c>
      <x:c r="AA218" s="17">
        <x:v>0</x:v>
      </x:c>
      <x:c r="AB218" s="17">
        <x:v>0</x:v>
      </x:c>
      <x:c r="AC218" s="20">
        <x:v>0.0717</x:v>
      </x:c>
      <x:c r="AD218" s="17">
        <x:v>0.1293</x:v>
      </x:c>
      <x:c r="AE218" s="17">
        <x:v>0.1293</x:v>
      </x:c>
      <x:c r="AF218" s="2" t="s">
        <x:v>34</x:v>
      </x:c>
    </x:row>
    <x:row r="219">
      <x:c r="A219" s="7" t="s">
        <x:v>464</x:v>
      </x:c>
      <x:c r="B219" s="7" t="s">
        <x:v>465</x:v>
      </x:c>
      <x:c r="C219" s="7"/>
      <x:c r="D219" s="25">
        <x:v>25</x:v>
      </x:c>
      <x:c r="E219" s="25">
        <x:v>18</x:v>
      </x:c>
      <x:c r="F219" s="25">
        <x:v>-2</x:v>
      </x:c>
      <x:c r="G219" s="25">
        <x:v>8</x:v>
      </x:c>
      <x:c r="H219" s="25">
        <x:v>1</x:v>
      </x:c>
      <x:c r="I219" s="9"/>
      <x:c r="J219" s="9"/>
      <x:c r="K219" s="9"/>
      <x:c r="L219" s="9"/>
      <x:c r="M219" s="9"/>
      <x:c r="N219" s="9"/>
      <x:c r="O219" s="9"/>
      <x:c r="P219" s="9"/>
      <x:c r="Q219" s="23">
        <x:v>0.4789</x:v>
      </x:c>
      <x:c r="R219" s="17">
        <x:v>0.5806</x:v>
      </x:c>
      <x:c r="S219" s="17">
        <x:v>-0.0952</x:v>
      </x:c>
      <x:c r="T219" s="23">
        <x:v>0.2857</x:v>
      </x:c>
      <x:c r="U219" s="13">
        <x:v>0</x:v>
      </x:c>
      <x:c r="V219" s="13">
        <x:v>0</x:v>
      </x:c>
      <x:c r="W219" s="13">
        <x:v>0</x:v>
      </x:c>
      <x:c r="X219" s="13">
        <x:v>0</x:v>
      </x:c>
      <x:c r="Y219" s="13">
        <x:v>0</x:v>
      </x:c>
      <x:c r="Z219" s="13">
        <x:v>0</x:v>
      </x:c>
      <x:c r="AA219" s="13">
        <x:v>0</x:v>
      </x:c>
      <x:c r="AB219" s="13">
        <x:v>0</x:v>
      </x:c>
      <x:c r="AC219" s="16">
        <x:v>0</x:v>
      </x:c>
      <x:c r="AD219" s="17">
        <x:v>0.2427</x:v>
      </x:c>
      <x:c r="AE219" s="17">
        <x:v>0.2427</x:v>
      </x:c>
      <x:c r="AF219" s="2" t="s">
        <x:v>34</x:v>
      </x:c>
    </x:row>
    <x:row r="220">
      <x:c r="A220" s="7" t="s">
        <x:v>466</x:v>
      </x:c>
      <x:c r="B220" s="7" t="s">
        <x:v>467</x:v>
      </x:c>
      <x:c r="C220" s="7"/>
      <x:c r="D220" s="25">
        <x:v>20</x:v>
      </x:c>
      <x:c r="E220" s="25">
        <x:v>11</x:v>
      </x:c>
      <x:c r="F220" s="25">
        <x:v>2</x:v>
      </x:c>
      <x:c r="G220" s="25">
        <x:v>5</x:v>
      </x:c>
      <x:c r="H220" s="25">
        <x:v>3</x:v>
      </x:c>
      <x:c r="I220" s="25">
        <x:v>6</x:v>
      </x:c>
      <x:c r="J220" s="25">
        <x:v>2</x:v>
      </x:c>
      <x:c r="K220" s="9"/>
      <x:c r="L220" s="9"/>
      <x:c r="M220" s="9"/>
      <x:c r="N220" s="9"/>
      <x:c r="O220" s="9"/>
      <x:c r="P220" s="9"/>
      <x:c r="Q220" s="23">
        <x:v>0.3831</x:v>
      </x:c>
      <x:c r="R220" s="17">
        <x:v>0.3548</x:v>
      </x:c>
      <x:c r="S220" s="17">
        <x:v>0.0952</x:v>
      </x:c>
      <x:c r="T220" s="17">
        <x:v>0.1613</x:v>
      </x:c>
      <x:c r="U220" s="17">
        <x:v>0.0909</x:v>
      </x:c>
      <x:c r="V220" s="23">
        <x:v>0.3061</x:v>
      </x:c>
      <x:c r="W220" s="13">
        <x:v>0</x:v>
      </x:c>
      <x:c r="X220" s="13">
        <x:v>0</x:v>
      </x:c>
      <x:c r="Y220" s="13">
        <x:v>0</x:v>
      </x:c>
      <x:c r="Z220" s="13">
        <x:v>0</x:v>
      </x:c>
      <x:c r="AA220" s="13">
        <x:v>0</x:v>
      </x:c>
      <x:c r="AB220" s="13">
        <x:v>0</x:v>
      </x:c>
      <x:c r="AC220" s="16">
        <x:v>0</x:v>
      </x:c>
      <x:c r="AD220" s="17">
        <x:v>0.1756</x:v>
      </x:c>
      <x:c r="AE220" s="17">
        <x:v>0.1756</x:v>
      </x:c>
      <x:c r="AF220" s="2" t="s">
        <x:v>34</x:v>
      </x:c>
    </x:row>
    <x:row r="221">
      <x:c r="A221" s="7" t="s">
        <x:v>468</x:v>
      </x:c>
      <x:c r="B221" s="7" t="s">
        <x:v>469</x:v>
      </x:c>
      <x:c r="C221" s="7"/>
      <x:c r="D221" s="25">
        <x:v>30</x:v>
      </x:c>
      <x:c r="E221" s="25">
        <x:v>7</x:v>
      </x:c>
      <x:c r="F221" s="25">
        <x:v>4</x:v>
      </x:c>
      <x:c r="G221" s="25">
        <x:v>10</x:v>
      </x:c>
      <x:c r="H221" s="25">
        <x:v>7</x:v>
      </x:c>
      <x:c r="I221" s="25">
        <x:v>2</x:v>
      </x:c>
      <x:c r="J221" s="25">
        <x:v>8</x:v>
      </x:c>
      <x:c r="K221" s="25">
        <x:v>3</x:v>
      </x:c>
      <x:c r="L221" s="25">
        <x:v>3</x:v>
      </x:c>
      <x:c r="M221" s="25">
        <x:v>3</x:v>
      </x:c>
      <x:c r="N221" s="25">
        <x:v>6</x:v>
      </x:c>
      <x:c r="O221" s="25">
        <x:v>17</x:v>
      </x:c>
      <x:c r="P221" s="25">
        <x:v>2</x:v>
      </x:c>
      <x:c r="Q221" s="23">
        <x:v>0.5747</x:v>
      </x:c>
      <x:c r="R221" s="17">
        <x:v>0.2258</x:v>
      </x:c>
      <x:c r="S221" s="17">
        <x:v>0.1905</x:v>
      </x:c>
      <x:c r="T221" s="17">
        <x:v>0.3226</x:v>
      </x:c>
      <x:c r="U221" s="23">
        <x:v>0.2652</x:v>
      </x:c>
      <x:c r="V221" s="23">
        <x:v>0.051</x:v>
      </x:c>
      <x:c r="W221" s="17">
        <x:v>0.3226</x:v>
      </x:c>
      <x:c r="X221" s="17">
        <x:v>0.1531</x:v>
      </x:c>
      <x:c r="Y221" s="17">
        <x:v>0.1075</x:v>
      </x:c>
      <x:c r="Z221" s="17">
        <x:v>0.125</x:v>
      </x:c>
      <x:c r="AA221" s="17">
        <x:v>0.1935</x:v>
      </x:c>
      <x:c r="AB221" s="17">
        <x:v>0.5667</x:v>
      </x:c>
      <x:c r="AC221" s="20">
        <x:v>0.0358</x:v>
      </x:c>
      <x:c r="AD221" s="17">
        <x:v>0.2453</x:v>
      </x:c>
      <x:c r="AE221" s="17">
        <x:v>0.2453</x:v>
      </x:c>
      <x:c r="AF221" s="2" t="s">
        <x:v>34</x:v>
      </x:c>
    </x:row>
    <x:row r="222">
      <x:c r="A222" s="7" t="s">
        <x:v>470</x:v>
      </x:c>
      <x:c r="B222" s="7" t="s">
        <x:v>471</x:v>
      </x:c>
      <x:c r="C222" s="7"/>
      <x:c r="D222" s="25">
        <x:v>30</x:v>
      </x:c>
      <x:c r="E222" s="25">
        <x:v>5</x:v>
      </x:c>
      <x:c r="F222" s="25">
        <x:v>6</x:v>
      </x:c>
      <x:c r="G222" s="25">
        <x:v>13</x:v>
      </x:c>
      <x:c r="H222" s="25">
        <x:v>5</x:v>
      </x:c>
      <x:c r="I222" s="25">
        <x:v>2</x:v>
      </x:c>
      <x:c r="J222" s="25">
        <x:v>6</x:v>
      </x:c>
      <x:c r="K222" s="25">
        <x:v>4</x:v>
      </x:c>
      <x:c r="L222" s="25">
        <x:v>6</x:v>
      </x:c>
      <x:c r="M222" s="25">
        <x:v>4</x:v>
      </x:c>
      <x:c r="N222" s="25">
        <x:v>4</x:v>
      </x:c>
      <x:c r="O222" s="25">
        <x:v>16</x:v>
      </x:c>
      <x:c r="P222" s="25">
        <x:v>1</x:v>
      </x:c>
      <x:c r="Q222" s="23">
        <x:v>0.5747</x:v>
      </x:c>
      <x:c r="R222" s="17">
        <x:v>0.1613</x:v>
      </x:c>
      <x:c r="S222" s="17">
        <x:v>0.2857</x:v>
      </x:c>
      <x:c r="T222" s="17">
        <x:v>0.4194</x:v>
      </x:c>
      <x:c r="U222" s="23">
        <x:v>0.3497</x:v>
      </x:c>
      <x:c r="V222" s="23">
        <x:v>0.051</x:v>
      </x:c>
      <x:c r="W222" s="17">
        <x:v>0.2419</x:v>
      </x:c>
      <x:c r="X222" s="17">
        <x:v>0.2041</x:v>
      </x:c>
      <x:c r="Y222" s="17">
        <x:v>0.2151</x:v>
      </x:c>
      <x:c r="Z222" s="17">
        <x:v>0.1667</x:v>
      </x:c>
      <x:c r="AA222" s="17">
        <x:v>0.129</x:v>
      </x:c>
      <x:c r="AB222" s="17">
        <x:v>0.5333</x:v>
      </x:c>
      <x:c r="AC222" s="20">
        <x:v>0.0179</x:v>
      </x:c>
      <x:c r="AD222" s="17">
        <x:v>0.2618</x:v>
      </x:c>
      <x:c r="AE222" s="17">
        <x:v>0.2618</x:v>
      </x:c>
      <x:c r="AF222" s="2" t="s">
        <x:v>34</x:v>
      </x:c>
    </x:row>
    <x:row r="223">
      <x:c r="A223" s="7" t="s">
        <x:v>472</x:v>
      </x:c>
      <x:c r="B223" s="7" t="s">
        <x:v>473</x:v>
      </x:c>
      <x:c r="C223" s="7"/>
      <x:c r="D223" s="25">
        <x:v>26</x:v>
      </x:c>
      <x:c r="E223" s="25">
        <x:v>6</x:v>
      </x:c>
      <x:c r="F223" s="25">
        <x:v>5</x:v>
      </x:c>
      <x:c r="G223" s="25">
        <x:v>10</x:v>
      </x:c>
      <x:c r="H223" s="25">
        <x:v>7</x:v>
      </x:c>
      <x:c r="I223" s="25">
        <x:v>3</x:v>
      </x:c>
      <x:c r="J223" s="25">
        <x:v>6</x:v>
      </x:c>
      <x:c r="K223" s="25">
        <x:v>3</x:v>
      </x:c>
      <x:c r="L223" s="25">
        <x:v>2</x:v>
      </x:c>
      <x:c r="M223" s="25">
        <x:v>4</x:v>
      </x:c>
      <x:c r="N223" s="9"/>
      <x:c r="O223" s="25">
        <x:v>4</x:v>
      </x:c>
      <x:c r="P223" s="9"/>
      <x:c r="Q223" s="23">
        <x:v>0.4981</x:v>
      </x:c>
      <x:c r="R223" s="17">
        <x:v>0.1935</x:v>
      </x:c>
      <x:c r="S223" s="17">
        <x:v>0.2381</x:v>
      </x:c>
      <x:c r="T223" s="17">
        <x:v>0.3226</x:v>
      </x:c>
      <x:c r="U223" s="17">
        <x:v>0.2121</x:v>
      </x:c>
      <x:c r="V223" s="17">
        <x:v>0.0691</x:v>
      </x:c>
      <x:c r="W223" s="17">
        <x:v>0.2419</x:v>
      </x:c>
      <x:c r="X223" s="17">
        <x:v>0.1531</x:v>
      </x:c>
      <x:c r="Y223" s="17">
        <x:v>0.0717</x:v>
      </x:c>
      <x:c r="Z223" s="17">
        <x:v>0.1667</x:v>
      </x:c>
      <x:c r="AA223" s="17">
        <x:v>0</x:v>
      </x:c>
      <x:c r="AB223" s="17">
        <x:v>0.1333</x:v>
      </x:c>
      <x:c r="AC223" s="20">
        <x:v>0</x:v>
      </x:c>
      <x:c r="AD223" s="17">
        <x:v>0.1638</x:v>
      </x:c>
      <x:c r="AE223" s="17">
        <x:v>0.1638</x:v>
      </x:c>
      <x:c r="AF223" s="2" t="s">
        <x:v>34</x:v>
      </x:c>
    </x:row>
    <x:row r="224">
      <x:c r="A224" s="7" t="s">
        <x:v>474</x:v>
      </x:c>
      <x:c r="B224" s="7" t="s">
        <x:v>475</x:v>
      </x:c>
      <x:c r="C224" s="7"/>
      <x:c r="D224" s="25">
        <x:v>29</x:v>
      </x:c>
      <x:c r="E224" s="25">
        <x:v>1</x:v>
      </x:c>
      <x:c r="F224" s="9"/>
      <x:c r="G224" s="9"/>
      <x:c r="H224" s="9"/>
      <x:c r="I224" s="25">
        <x:v>2</x:v>
      </x:c>
      <x:c r="J224" s="9"/>
      <x:c r="K224" s="25">
        <x:v>4</x:v>
      </x:c>
      <x:c r="L224" s="25">
        <x:v>3</x:v>
      </x:c>
      <x:c r="M224" s="25">
        <x:v>3</x:v>
      </x:c>
      <x:c r="N224" s="25">
        <x:v>2</x:v>
      </x:c>
      <x:c r="O224" s="25">
        <x:v>1</x:v>
      </x:c>
      <x:c r="P224" s="25">
        <x:v>2</x:v>
      </x:c>
      <x:c r="Q224" s="23">
        <x:v>0.8056</x:v>
      </x:c>
      <x:c r="R224" s="13">
        <x:v>0</x:v>
      </x:c>
      <x:c r="S224" s="23">
        <x:v>0</x:v>
      </x:c>
      <x:c r="T224" s="13">
        <x:v>0</x:v>
      </x:c>
      <x:c r="U224" s="13">
        <x:v>0</x:v>
      </x:c>
      <x:c r="V224" s="23">
        <x:v>0.051</x:v>
      </x:c>
      <x:c r="W224" s="17">
        <x:v>0</x:v>
      </x:c>
      <x:c r="X224" s="17">
        <x:v>0.2041</x:v>
      </x:c>
      <x:c r="Y224" s="17">
        <x:v>0.1075</x:v>
      </x:c>
      <x:c r="Z224" s="17">
        <x:v>0.125</x:v>
      </x:c>
      <x:c r="AA224" s="17">
        <x:v>0.0645</x:v>
      </x:c>
      <x:c r="AB224" s="17">
        <x:v>0.0333</x:v>
      </x:c>
      <x:c r="AC224" s="20">
        <x:v>0.0358</x:v>
      </x:c>
      <x:c r="AD224" s="17">
        <x:v>0.0891</x:v>
      </x:c>
      <x:c r="AE224" s="17">
        <x:v>0.0891</x:v>
      </x:c>
      <x:c r="AF224" s="2" t="s">
        <x:v>34</x:v>
      </x:c>
    </x:row>
    <x:row r="225">
      <x:c r="A225" s="7" t="s">
        <x:v>476</x:v>
      </x:c>
      <x:c r="B225" s="7" t="s">
        <x:v>477</x:v>
      </x:c>
      <x:c r="C225" s="7"/>
      <x:c r="D225" s="25">
        <x:v>54</x:v>
      </x:c>
      <x:c r="E225" s="25">
        <x:v>4</x:v>
      </x:c>
      <x:c r="F225" s="9"/>
      <x:c r="G225" s="9"/>
      <x:c r="H225" s="9"/>
      <x:c r="I225" s="25">
        <x:v>10</x:v>
      </x:c>
      <x:c r="J225" s="25">
        <x:v>16</x:v>
      </x:c>
      <x:c r="K225" s="25">
        <x:v>8</x:v>
      </x:c>
      <x:c r="L225" s="25">
        <x:v>18</x:v>
      </x:c>
      <x:c r="M225" s="25">
        <x:v>17</x:v>
      </x:c>
      <x:c r="N225" s="25">
        <x:v>12</x:v>
      </x:c>
      <x:c r="O225" s="25">
        <x:v>10</x:v>
      </x:c>
      <x:c r="P225" s="25">
        <x:v>3</x:v>
      </x:c>
      <x:c r="Q225" s="23">
        <x:v>1.0345</x:v>
      </x:c>
      <x:c r="R225" s="23">
        <x:v>1</x:v>
      </x:c>
      <x:c r="S225" s="13">
        <x:v>0</x:v>
      </x:c>
      <x:c r="T225" s="13">
        <x:v>0</x:v>
      </x:c>
      <x:c r="U225" s="13">
        <x:v>0</x:v>
      </x:c>
      <x:c r="V225" s="23">
        <x:v>0.2551</x:v>
      </x:c>
      <x:c r="W225" s="17">
        <x:v>0.6452</x:v>
      </x:c>
      <x:c r="X225" s="17">
        <x:v>0.4082</x:v>
      </x:c>
      <x:c r="Y225" s="17">
        <x:v>0.6452</x:v>
      </x:c>
      <x:c r="Z225" s="17">
        <x:v>0.7083</x:v>
      </x:c>
      <x:c r="AA225" s="17">
        <x:v>0.3871</x:v>
      </x:c>
      <x:c r="AB225" s="17">
        <x:v>0.3333</x:v>
      </x:c>
      <x:c r="AC225" s="20">
        <x:v>0.0538</x:v>
      </x:c>
      <x:c r="AD225" s="17">
        <x:v>0.5212</x:v>
      </x:c>
      <x:c r="AE225" s="17">
        <x:v>0.5212</x:v>
      </x:c>
      <x:c r="AF225" s="2" t="s">
        <x:v>34</x:v>
      </x:c>
    </x:row>
    <x:row r="226">
      <x:c r="A226" s="7" t="s">
        <x:v>478</x:v>
      </x:c>
      <x:c r="B226" s="7" t="s">
        <x:v>479</x:v>
      </x:c>
      <x:c r="C226" s="7"/>
      <x:c r="D226" s="25">
        <x:v>33</x:v>
      </x:c>
      <x:c r="E226" s="25">
        <x:v>7</x:v>
      </x:c>
      <x:c r="F226" s="9"/>
      <x:c r="G226" s="9"/>
      <x:c r="H226" s="9"/>
      <x:c r="I226" s="25">
        <x:v>7</x:v>
      </x:c>
      <x:c r="J226" s="25">
        <x:v>3</x:v>
      </x:c>
      <x:c r="K226" s="9"/>
      <x:c r="L226" s="25">
        <x:v>12</x:v>
      </x:c>
      <x:c r="M226" s="25">
        <x:v>5</x:v>
      </x:c>
      <x:c r="N226" s="25">
        <x:v>8</x:v>
      </x:c>
      <x:c r="O226" s="25">
        <x:v>1</x:v>
      </x:c>
      <x:c r="P226" s="25">
        <x:v>1</x:v>
      </x:c>
      <x:c r="Q226" s="23">
        <x:v>0.6322</x:v>
      </x:c>
      <x:c r="R226" s="23">
        <x:v>1.75</x:v>
      </x:c>
      <x:c r="S226" s="13">
        <x:v>0</x:v>
      </x:c>
      <x:c r="T226" s="13">
        <x:v>0</x:v>
      </x:c>
      <x:c r="U226" s="13">
        <x:v>0</x:v>
      </x:c>
      <x:c r="V226" s="23">
        <x:v>0.1786</x:v>
      </x:c>
      <x:c r="W226" s="17">
        <x:v>0.121</x:v>
      </x:c>
      <x:c r="X226" s="17">
        <x:v>0</x:v>
      </x:c>
      <x:c r="Y226" s="17">
        <x:v>0.4301</x:v>
      </x:c>
      <x:c r="Z226" s="17">
        <x:v>0.2083</x:v>
      </x:c>
      <x:c r="AA226" s="17">
        <x:v>0.2581</x:v>
      </x:c>
      <x:c r="AB226" s="17">
        <x:v>0.0333</x:v>
      </x:c>
      <x:c r="AC226" s="20">
        <x:v>0.0179</x:v>
      </x:c>
      <x:c r="AD226" s="17">
        <x:v>0.1751</x:v>
      </x:c>
      <x:c r="AE226" s="17">
        <x:v>0.1751</x:v>
      </x:c>
      <x:c r="AF226" s="2" t="s">
        <x:v>34</x:v>
      </x:c>
    </x:row>
    <x:row r="227">
      <x:c r="A227" s="7" t="s">
        <x:v>480</x:v>
      </x:c>
      <x:c r="B227" s="7" t="s">
        <x:v>481</x:v>
      </x:c>
      <x:c r="C227" s="7"/>
      <x:c r="D227" s="25">
        <x:v>1</x:v>
      </x:c>
      <x:c r="E227" s="25">
        <x:v>67</x:v>
      </x:c>
      <x:c r="F227" s="25">
        <x:v>20</x:v>
      </x:c>
      <x:c r="G227" s="25">
        <x:v>9</x:v>
      </x:c>
      <x:c r="H227" s="9"/>
      <x:c r="I227" s="9"/>
      <x:c r="J227" s="9"/>
      <x:c r="K227" s="9"/>
      <x:c r="L227" s="25">
        <x:v>-1</x:v>
      </x:c>
      <x:c r="M227" s="9"/>
      <x:c r="N227" s="9"/>
      <x:c r="O227" s="9"/>
      <x:c r="P227" s="9"/>
      <x:c r="Q227" s="23">
        <x:v>0.0192</x:v>
      </x:c>
      <x:c r="R227" s="17">
        <x:v>2.1613</x:v>
      </x:c>
      <x:c r="S227" s="17">
        <x:v>0.9524</x:v>
      </x:c>
      <x:c r="T227" s="23">
        <x:v>0.6923</x:v>
      </x:c>
      <x:c r="U227" s="13">
        <x:v>0</x:v>
      </x:c>
      <x:c r="V227" s="13">
        <x:v>0</x:v>
      </x:c>
      <x:c r="W227" s="13">
        <x:v>0</x:v>
      </x:c>
      <x:c r="X227" s="13">
        <x:v>0</x:v>
      </x:c>
      <x:c r="Y227" s="13">
        <x:v>0</x:v>
      </x:c>
      <x:c r="Z227" s="13">
        <x:v>0</x:v>
      </x:c>
      <x:c r="AA227" s="13">
        <x:v>0</x:v>
      </x:c>
      <x:c r="AB227" s="13">
        <x:v>0</x:v>
      </x:c>
      <x:c r="AC227" s="16">
        <x:v>0</x:v>
      </x:c>
      <x:c r="AD227" s="17">
        <x:v>1.5569</x:v>
      </x:c>
      <x:c r="AE227" s="17">
        <x:v>1.5569</x:v>
      </x:c>
      <x:c r="AF227" s="2" t="s">
        <x:v>34</x:v>
      </x:c>
    </x:row>
    <x:row r="228">
      <x:c r="A228" s="6" t="s">
        <x:v>482</x:v>
      </x:c>
      <x:c r="B228" s="7" t="s">
        <x:v>157</x:v>
      </x:c>
      <x:c r="C228" s="7"/>
      <x:c r="D228" s="9"/>
      <x:c r="E228" s="9"/>
      <x:c r="F228" s="9"/>
      <x:c r="G228" s="9"/>
      <x:c r="H228" s="9"/>
      <x:c r="I228" s="9"/>
      <x:c r="J228" s="9"/>
      <x:c r="K228" s="9"/>
      <x:c r="L228" s="9"/>
      <x:c r="M228" s="9"/>
      <x:c r="N228" s="9"/>
      <x:c r="O228" s="9"/>
      <x:c r="P228" s="9"/>
      <x:c r="Q228" s="13">
        <x:v>0</x:v>
      </x:c>
      <x:c r="R228" s="13">
        <x:v>0</x:v>
      </x:c>
      <x:c r="S228" s="13">
        <x:v>0</x:v>
      </x:c>
      <x:c r="T228" s="13">
        <x:v>0</x:v>
      </x:c>
      <x:c r="U228" s="13">
        <x:v>0</x:v>
      </x:c>
      <x:c r="V228" s="13">
        <x:v>0</x:v>
      </x:c>
      <x:c r="W228" s="13">
        <x:v>0</x:v>
      </x:c>
      <x:c r="X228" s="13">
        <x:v>0</x:v>
      </x:c>
      <x:c r="Y228" s="13">
        <x:v>0</x:v>
      </x:c>
      <x:c r="Z228" s="13">
        <x:v>0</x:v>
      </x:c>
      <x:c r="AA228" s="13">
        <x:v>0</x:v>
      </x:c>
      <x:c r="AB228" s="13">
        <x:v>0</x:v>
      </x:c>
      <x:c r="AC228" s="16">
        <x:v>0</x:v>
      </x:c>
      <x:c r="AF228" s="2" t="s">
        <x:v>34</x:v>
      </x:c>
    </x:row>
    <x:row r="229">
      <x:c r="A229" s="7" t="s">
        <x:v>483</x:v>
      </x:c>
      <x:c r="B229" s="7" t="s">
        <x:v>484</x:v>
      </x:c>
      <x:c r="C229" s="7"/>
      <x:c r="D229" s="25">
        <x:v>39</x:v>
      </x:c>
      <x:c r="E229" s="25">
        <x:v>1</x:v>
      </x:c>
      <x:c r="F229" s="9"/>
      <x:c r="G229" s="9"/>
      <x:c r="H229" s="9"/>
      <x:c r="I229" s="25">
        <x:v>9</x:v>
      </x:c>
      <x:c r="J229" s="25">
        <x:v>9</x:v>
      </x:c>
      <x:c r="K229" s="9"/>
      <x:c r="L229" s="25">
        <x:v>8</x:v>
      </x:c>
      <x:c r="M229" s="25">
        <x:v>3</x:v>
      </x:c>
      <x:c r="N229" s="25">
        <x:v>3</x:v>
      </x:c>
      <x:c r="O229" s="25">
        <x:v>2</x:v>
      </x:c>
      <x:c r="P229" s="25">
        <x:v>6</x:v>
      </x:c>
      <x:c r="Q229" s="23">
        <x:v>1.6667</x:v>
      </x:c>
      <x:c r="R229" s="13">
        <x:v>0</x:v>
      </x:c>
      <x:c r="S229" s="13">
        <x:v>0</x:v>
      </x:c>
      <x:c r="T229" s="13">
        <x:v>0</x:v>
      </x:c>
      <x:c r="U229" s="13">
        <x:v>0</x:v>
      </x:c>
      <x:c r="V229" s="23">
        <x:v>0.2296</x:v>
      </x:c>
      <x:c r="W229" s="17">
        <x:v>0.3629</x:v>
      </x:c>
      <x:c r="X229" s="17">
        <x:v>0</x:v>
      </x:c>
      <x:c r="Y229" s="17">
        <x:v>0.2867</x:v>
      </x:c>
      <x:c r="Z229" s="17">
        <x:v>0.125</x:v>
      </x:c>
      <x:c r="AA229" s="17">
        <x:v>0.0968</x:v>
      </x:c>
      <x:c r="AB229" s="17">
        <x:v>0.0667</x:v>
      </x:c>
      <x:c r="AC229" s="20">
        <x:v>0.1075</x:v>
      </x:c>
      <x:c r="AD229" s="17">
        <x:v>0.1564</x:v>
      </x:c>
      <x:c r="AE229" s="17">
        <x:v>0.1564</x:v>
      </x:c>
      <x:c r="AF229" s="2" t="s">
        <x:v>34</x:v>
      </x:c>
    </x:row>
    <x:row r="230">
      <x:c r="A230" s="7" t="s">
        <x:v>485</x:v>
      </x:c>
      <x:c r="B230" s="7" t="s">
        <x:v>486</x:v>
      </x:c>
      <x:c r="C230" s="7"/>
      <x:c r="D230" s="25">
        <x:v>29</x:v>
      </x:c>
      <x:c r="E230" s="9"/>
      <x:c r="F230" s="9"/>
      <x:c r="G230" s="25">
        <x:v>1</x:v>
      </x:c>
      <x:c r="H230" s="9"/>
      <x:c r="I230" s="25">
        <x:v>19</x:v>
      </x:c>
      <x:c r="J230" s="25">
        <x:v>5</x:v>
      </x:c>
      <x:c r="K230" s="25">
        <x:v>7</x:v>
      </x:c>
      <x:c r="L230" s="25">
        <x:v>7</x:v>
      </x:c>
      <x:c r="M230" s="25">
        <x:v>6</x:v>
      </x:c>
      <x:c r="N230" s="25">
        <x:v>1</x:v>
      </x:c>
      <x:c r="O230" s="25">
        <x:v>1</x:v>
      </x:c>
      <x:c r="P230" s="25">
        <x:v>2</x:v>
      </x:c>
      <x:c r="Q230" s="23">
        <x:v>1.2393</x:v>
      </x:c>
      <x:c r="R230" s="13">
        <x:v>0</x:v>
      </x:c>
      <x:c r="S230" s="13">
        <x:v>0</x:v>
      </x:c>
      <x:c r="T230" s="13">
        <x:v>0</x:v>
      </x:c>
      <x:c r="U230" s="13">
        <x:v>0</x:v>
      </x:c>
      <x:c r="V230" s="23">
        <x:v>0.4847</x:v>
      </x:c>
      <x:c r="W230" s="17">
        <x:v>0.2016</x:v>
      </x:c>
      <x:c r="X230" s="17">
        <x:v>0.3571</x:v>
      </x:c>
      <x:c r="Y230" s="17">
        <x:v>0.2509</x:v>
      </x:c>
      <x:c r="Z230" s="17">
        <x:v>0.25</x:v>
      </x:c>
      <x:c r="AA230" s="17">
        <x:v>0.0323</x:v>
      </x:c>
      <x:c r="AB230" s="17">
        <x:v>0.0333</x:v>
      </x:c>
      <x:c r="AC230" s="20">
        <x:v>0.0358</x:v>
      </x:c>
      <x:c r="AD230" s="17">
        <x:v>0.1875</x:v>
      </x:c>
      <x:c r="AE230" s="17">
        <x:v>0.1875</x:v>
      </x:c>
      <x:c r="AF230" s="2" t="s">
        <x:v>34</x:v>
      </x:c>
    </x:row>
    <x:row r="231">
      <x:c r="A231" s="7" t="s">
        <x:v>487</x:v>
      </x:c>
      <x:c r="B231" s="7" t="s">
        <x:v>488</x:v>
      </x:c>
      <x:c r="C231" s="7"/>
      <x:c r="D231" s="25">
        <x:v>11</x:v>
      </x:c>
      <x:c r="E231" s="25">
        <x:v>29</x:v>
      </x:c>
      <x:c r="F231" s="25">
        <x:v>20</x:v>
      </x:c>
      <x:c r="G231" s="25">
        <x:v>7</x:v>
      </x:c>
      <x:c r="H231" s="25">
        <x:v>19</x:v>
      </x:c>
      <x:c r="I231" s="25">
        <x:v>14</x:v>
      </x:c>
      <x:c r="J231" s="25">
        <x:v>11</x:v>
      </x:c>
      <x:c r="K231" s="25">
        <x:v>1</x:v>
      </x:c>
      <x:c r="L231" s="25">
        <x:v>2</x:v>
      </x:c>
      <x:c r="M231" s="25">
        <x:v>2</x:v>
      </x:c>
      <x:c r="N231" s="9"/>
      <x:c r="O231" s="25">
        <x:v>12</x:v>
      </x:c>
      <x:c r="P231" s="25">
        <x:v>3</x:v>
      </x:c>
      <x:c r="Q231" s="17">
        <x:v>0.1971</x:v>
      </x:c>
      <x:c r="R231" s="17">
        <x:v>0.9355</x:v>
      </x:c>
      <x:c r="S231" s="17">
        <x:v>0.9524</x:v>
      </x:c>
      <x:c r="T231" s="17">
        <x:v>0.2258</x:v>
      </x:c>
      <x:c r="U231" s="17">
        <x:v>0.5758</x:v>
      </x:c>
      <x:c r="V231" s="17">
        <x:v>0.3226</x:v>
      </x:c>
      <x:c r="W231" s="17">
        <x:v>0.4435</x:v>
      </x:c>
      <x:c r="X231" s="17">
        <x:v>0.051</x:v>
      </x:c>
      <x:c r="Y231" s="17">
        <x:v>0.0717</x:v>
      </x:c>
      <x:c r="Z231" s="17">
        <x:v>0.0833</x:v>
      </x:c>
      <x:c r="AA231" s="17">
        <x:v>0</x:v>
      </x:c>
      <x:c r="AB231" s="17">
        <x:v>0.4</x:v>
      </x:c>
      <x:c r="AC231" s="20">
        <x:v>0.0538</x:v>
      </x:c>
      <x:c r="AD231" s="17">
        <x:v>0.3549</x:v>
      </x:c>
      <x:c r="AE231" s="17">
        <x:v>0.3549</x:v>
      </x:c>
      <x:c r="AF231" s="2" t="s">
        <x:v>34</x:v>
      </x:c>
    </x:row>
    <x:row r="232">
      <x:c r="A232" s="7" t="s">
        <x:v>489</x:v>
      </x:c>
      <x:c r="B232" s="7" t="s">
        <x:v>490</x:v>
      </x:c>
      <x:c r="C232" s="7"/>
      <x:c r="D232" s="9"/>
      <x:c r="E232" s="9"/>
      <x:c r="F232" s="25">
        <x:v>20</x:v>
      </x:c>
      <x:c r="G232" s="9"/>
      <x:c r="H232" s="9"/>
      <x:c r="I232" s="9"/>
      <x:c r="J232" s="9"/>
      <x:c r="K232" s="9"/>
      <x:c r="L232" s="9"/>
      <x:c r="M232" s="9"/>
      <x:c r="N232" s="9"/>
      <x:c r="O232" s="9"/>
      <x:c r="P232" s="9"/>
      <x:c r="Q232" s="13">
        <x:v>0</x:v>
      </x:c>
      <x:c r="R232" s="13">
        <x:v>0</x:v>
      </x:c>
      <x:c r="S232" s="23">
        <x:v>5.7143</x:v>
      </x:c>
      <x:c r="T232" s="13">
        <x:v>0</x:v>
      </x:c>
      <x:c r="U232" s="13">
        <x:v>0</x:v>
      </x:c>
      <x:c r="V232" s="13">
        <x:v>0</x:v>
      </x:c>
      <x:c r="W232" s="13">
        <x:v>0</x:v>
      </x:c>
      <x:c r="X232" s="13">
        <x:v>0</x:v>
      </x:c>
      <x:c r="Y232" s="13">
        <x:v>0</x:v>
      </x:c>
      <x:c r="Z232" s="13">
        <x:v>0</x:v>
      </x:c>
      <x:c r="AA232" s="13">
        <x:v>0</x:v>
      </x:c>
      <x:c r="AB232" s="13">
        <x:v>0</x:v>
      </x:c>
      <x:c r="AC232" s="16">
        <x:v>0</x:v>
      </x:c>
      <x:c r="AF232" s="2" t="s">
        <x:v>34</x:v>
      </x:c>
    </x:row>
    <x:row r="233">
      <x:c r="A233" s="7" t="s">
        <x:v>491</x:v>
      </x:c>
      <x:c r="B233" s="7" t="s">
        <x:v>492</x:v>
      </x:c>
      <x:c r="C233" s="7"/>
      <x:c r="D233" s="9"/>
      <x:c r="E233" s="9"/>
      <x:c r="F233" s="25">
        <x:v>20</x:v>
      </x:c>
      <x:c r="G233" s="9"/>
      <x:c r="H233" s="9"/>
      <x:c r="I233" s="9"/>
      <x:c r="J233" s="9"/>
      <x:c r="K233" s="9"/>
      <x:c r="L233" s="9"/>
      <x:c r="M233" s="9"/>
      <x:c r="N233" s="9"/>
      <x:c r="O233" s="9"/>
      <x:c r="P233" s="9"/>
      <x:c r="Q233" s="13">
        <x:v>0</x:v>
      </x:c>
      <x:c r="R233" s="13">
        <x:v>0</x:v>
      </x:c>
      <x:c r="S233" s="23">
        <x:v>5.7143</x:v>
      </x:c>
      <x:c r="T233" s="13">
        <x:v>0</x:v>
      </x:c>
      <x:c r="U233" s="13">
        <x:v>0</x:v>
      </x:c>
      <x:c r="V233" s="13">
        <x:v>0</x:v>
      </x:c>
      <x:c r="W233" s="13">
        <x:v>0</x:v>
      </x:c>
      <x:c r="X233" s="13">
        <x:v>0</x:v>
      </x:c>
      <x:c r="Y233" s="13">
        <x:v>0</x:v>
      </x:c>
      <x:c r="Z233" s="13">
        <x:v>0</x:v>
      </x:c>
      <x:c r="AA233" s="13">
        <x:v>0</x:v>
      </x:c>
      <x:c r="AB233" s="13">
        <x:v>0</x:v>
      </x:c>
      <x:c r="AC233" s="16">
        <x:v>0</x:v>
      </x:c>
      <x:c r="AF233" s="2" t="s">
        <x:v>34</x:v>
      </x:c>
    </x:row>
    <x:row r="234">
      <x:c r="A234" s="7" t="s">
        <x:v>493</x:v>
      </x:c>
      <x:c r="B234" s="7" t="s">
        <x:v>494</x:v>
      </x:c>
      <x:c r="C234" s="7"/>
      <x:c r="D234" s="9"/>
      <x:c r="E234" s="9"/>
      <x:c r="F234" s="25">
        <x:v>30</x:v>
      </x:c>
      <x:c r="G234" s="9"/>
      <x:c r="H234" s="9"/>
      <x:c r="I234" s="9"/>
      <x:c r="J234" s="9"/>
      <x:c r="K234" s="9"/>
      <x:c r="L234" s="9"/>
      <x:c r="M234" s="9"/>
      <x:c r="N234" s="9"/>
      <x:c r="O234" s="9"/>
      <x:c r="P234" s="9"/>
      <x:c r="Q234" s="13">
        <x:v>0</x:v>
      </x:c>
      <x:c r="R234" s="13">
        <x:v>0</x:v>
      </x:c>
      <x:c r="S234" s="23">
        <x:v>8.5714</x:v>
      </x:c>
      <x:c r="T234" s="13">
        <x:v>0</x:v>
      </x:c>
      <x:c r="U234" s="13">
        <x:v>0</x:v>
      </x:c>
      <x:c r="V234" s="13">
        <x:v>0</x:v>
      </x:c>
      <x:c r="W234" s="13">
        <x:v>0</x:v>
      </x:c>
      <x:c r="X234" s="13">
        <x:v>0</x:v>
      </x:c>
      <x:c r="Y234" s="13">
        <x:v>0</x:v>
      </x:c>
      <x:c r="Z234" s="13">
        <x:v>0</x:v>
      </x:c>
      <x:c r="AA234" s="13">
        <x:v>0</x:v>
      </x:c>
      <x:c r="AB234" s="13">
        <x:v>0</x:v>
      </x:c>
      <x:c r="AC234" s="16">
        <x:v>0</x:v>
      </x:c>
      <x:c r="AF234" s="2" t="s">
        <x:v>34</x:v>
      </x:c>
    </x:row>
    <x:row r="235">
      <x:c r="A235" s="7" t="s">
        <x:v>495</x:v>
      </x:c>
      <x:c r="B235" s="7" t="s">
        <x:v>496</x:v>
      </x:c>
      <x:c r="C235" s="7"/>
      <x:c r="D235" s="9"/>
      <x:c r="E235" s="9"/>
      <x:c r="F235" s="9"/>
      <x:c r="G235" s="25">
        <x:v>15</x:v>
      </x:c>
      <x:c r="H235" s="9"/>
      <x:c r="I235" s="9"/>
      <x:c r="J235" s="9"/>
      <x:c r="K235" s="9"/>
      <x:c r="L235" s="9"/>
      <x:c r="M235" s="9"/>
      <x:c r="N235" s="9"/>
      <x:c r="O235" s="9"/>
      <x:c r="P235" s="9"/>
      <x:c r="Q235" s="13">
        <x:v>0</x:v>
      </x:c>
      <x:c r="R235" s="13">
        <x:v>0</x:v>
      </x:c>
      <x:c r="S235" s="23">
        <x:v>0</x:v>
      </x:c>
      <x:c r="T235" s="23">
        <x:v>2.1429</x:v>
      </x:c>
      <x:c r="U235" s="13">
        <x:v>0</x:v>
      </x:c>
      <x:c r="V235" s="13">
        <x:v>0</x:v>
      </x:c>
      <x:c r="W235" s="13">
        <x:v>0</x:v>
      </x:c>
      <x:c r="X235" s="13">
        <x:v>0</x:v>
      </x:c>
      <x:c r="Y235" s="13">
        <x:v>0</x:v>
      </x:c>
      <x:c r="Z235" s="13">
        <x:v>0</x:v>
      </x:c>
      <x:c r="AA235" s="13">
        <x:v>0</x:v>
      </x:c>
      <x:c r="AB235" s="13">
        <x:v>0</x:v>
      </x:c>
      <x:c r="AC235" s="16">
        <x:v>0</x:v>
      </x:c>
      <x:c r="AF235" s="2" t="s">
        <x:v>34</x:v>
      </x:c>
    </x:row>
    <x:row r="236">
      <x:c r="A236" s="7" t="s">
        <x:v>497</x:v>
      </x:c>
      <x:c r="B236" s="7" t="s">
        <x:v>498</x:v>
      </x:c>
      <x:c r="C236" s="7"/>
      <x:c r="D236" s="9"/>
      <x:c r="E236" s="9"/>
      <x:c r="F236" s="25">
        <x:v>15</x:v>
      </x:c>
      <x:c r="G236" s="9"/>
      <x:c r="H236" s="9"/>
      <x:c r="I236" s="9"/>
      <x:c r="J236" s="9"/>
      <x:c r="K236" s="9"/>
      <x:c r="L236" s="9"/>
      <x:c r="M236" s="9"/>
      <x:c r="N236" s="9"/>
      <x:c r="O236" s="9"/>
      <x:c r="P236" s="9"/>
      <x:c r="Q236" s="13">
        <x:v>0</x:v>
      </x:c>
      <x:c r="R236" s="13">
        <x:v>0</x:v>
      </x:c>
      <x:c r="S236" s="23">
        <x:v>4.2857</x:v>
      </x:c>
      <x:c r="T236" s="13">
        <x:v>0</x:v>
      </x:c>
      <x:c r="U236" s="13">
        <x:v>0</x:v>
      </x:c>
      <x:c r="V236" s="13">
        <x:v>0</x:v>
      </x:c>
      <x:c r="W236" s="13">
        <x:v>0</x:v>
      </x:c>
      <x:c r="X236" s="13">
        <x:v>0</x:v>
      </x:c>
      <x:c r="Y236" s="13">
        <x:v>0</x:v>
      </x:c>
      <x:c r="Z236" s="13">
        <x:v>0</x:v>
      </x:c>
      <x:c r="AA236" s="13">
        <x:v>0</x:v>
      </x:c>
      <x:c r="AB236" s="13">
        <x:v>0</x:v>
      </x:c>
      <x:c r="AC236" s="16">
        <x:v>0</x:v>
      </x:c>
      <x:c r="AF236" s="2" t="s">
        <x:v>34</x:v>
      </x:c>
    </x:row>
    <x:row r="237">
      <x:c r="A237" s="7" t="s">
        <x:v>499</x:v>
      </x:c>
      <x:c r="B237" s="7" t="s">
        <x:v>500</x:v>
      </x:c>
      <x:c r="C237" s="7"/>
      <x:c r="D237" s="9"/>
      <x:c r="E237" s="9"/>
      <x:c r="F237" s="25">
        <x:v>15</x:v>
      </x:c>
      <x:c r="G237" s="9"/>
      <x:c r="H237" s="9"/>
      <x:c r="I237" s="9"/>
      <x:c r="J237" s="9"/>
      <x:c r="K237" s="9"/>
      <x:c r="L237" s="9"/>
      <x:c r="M237" s="9"/>
      <x:c r="N237" s="9"/>
      <x:c r="O237" s="9"/>
      <x:c r="P237" s="9"/>
      <x:c r="Q237" s="13">
        <x:v>0</x:v>
      </x:c>
      <x:c r="R237" s="13">
        <x:v>0</x:v>
      </x:c>
      <x:c r="S237" s="23">
        <x:v>4.2857</x:v>
      </x:c>
      <x:c r="T237" s="13">
        <x:v>0</x:v>
      </x:c>
      <x:c r="U237" s="13">
        <x:v>0</x:v>
      </x:c>
      <x:c r="V237" s="13">
        <x:v>0</x:v>
      </x:c>
      <x:c r="W237" s="13">
        <x:v>0</x:v>
      </x:c>
      <x:c r="X237" s="13">
        <x:v>0</x:v>
      </x:c>
      <x:c r="Y237" s="13">
        <x:v>0</x:v>
      </x:c>
      <x:c r="Z237" s="13">
        <x:v>0</x:v>
      </x:c>
      <x:c r="AA237" s="13">
        <x:v>0</x:v>
      </x:c>
      <x:c r="AB237" s="13">
        <x:v>0</x:v>
      </x:c>
      <x:c r="AC237" s="16">
        <x:v>0</x:v>
      </x:c>
      <x:c r="AF237" s="2" t="s">
        <x:v>34</x:v>
      </x:c>
    </x:row>
    <x:row r="238">
      <x:c r="A238" s="7" t="s">
        <x:v>501</x:v>
      </x:c>
      <x:c r="B238" s="7" t="s">
        <x:v>502</x:v>
      </x:c>
      <x:c r="C238" s="7"/>
      <x:c r="D238" s="9"/>
      <x:c r="E238" s="9"/>
      <x:c r="F238" s="25">
        <x:v>30</x:v>
      </x:c>
      <x:c r="G238" s="9"/>
      <x:c r="H238" s="9"/>
      <x:c r="I238" s="9"/>
      <x:c r="J238" s="9"/>
      <x:c r="K238" s="9"/>
      <x:c r="L238" s="9"/>
      <x:c r="M238" s="9"/>
      <x:c r="N238" s="9"/>
      <x:c r="O238" s="9"/>
      <x:c r="P238" s="9"/>
      <x:c r="Q238" s="13">
        <x:v>0</x:v>
      </x:c>
      <x:c r="R238" s="13">
        <x:v>0</x:v>
      </x:c>
      <x:c r="S238" s="23">
        <x:v>8.5714</x:v>
      </x:c>
      <x:c r="T238" s="13">
        <x:v>0</x:v>
      </x:c>
      <x:c r="U238" s="13">
        <x:v>0</x:v>
      </x:c>
      <x:c r="V238" s="13">
        <x:v>0</x:v>
      </x:c>
      <x:c r="W238" s="13">
        <x:v>0</x:v>
      </x:c>
      <x:c r="X238" s="13">
        <x:v>0</x:v>
      </x:c>
      <x:c r="Y238" s="13">
        <x:v>0</x:v>
      </x:c>
      <x:c r="Z238" s="13">
        <x:v>0</x:v>
      </x:c>
      <x:c r="AA238" s="13">
        <x:v>0</x:v>
      </x:c>
      <x:c r="AB238" s="13">
        <x:v>0</x:v>
      </x:c>
      <x:c r="AC238" s="16">
        <x:v>0</x:v>
      </x:c>
      <x:c r="AF238" s="2" t="s">
        <x:v>34</x:v>
      </x:c>
    </x:row>
    <x:row r="239">
      <x:c r="A239" s="7" t="s">
        <x:v>503</x:v>
      </x:c>
      <x:c r="B239" s="7" t="s">
        <x:v>504</x:v>
      </x:c>
      <x:c r="C239" s="7"/>
      <x:c r="D239" s="9"/>
      <x:c r="E239" s="9"/>
      <x:c r="F239" s="25">
        <x:v>20</x:v>
      </x:c>
      <x:c r="G239" s="9"/>
      <x:c r="H239" s="9"/>
      <x:c r="I239" s="9"/>
      <x:c r="J239" s="25">
        <x:v>-1</x:v>
      </x:c>
      <x:c r="K239" s="9"/>
      <x:c r="L239" s="9"/>
      <x:c r="M239" s="9"/>
      <x:c r="N239" s="9"/>
      <x:c r="O239" s="9"/>
      <x:c r="P239" s="9"/>
      <x:c r="Q239" s="13">
        <x:v>0</x:v>
      </x:c>
      <x:c r="R239" s="13">
        <x:v>0</x:v>
      </x:c>
      <x:c r="S239" s="23">
        <x:v>5.7143</x:v>
      </x:c>
      <x:c r="T239" s="13">
        <x:v>0</x:v>
      </x:c>
      <x:c r="U239" s="13">
        <x:v>0</x:v>
      </x:c>
      <x:c r="V239" s="13">
        <x:v>0</x:v>
      </x:c>
      <x:c r="W239" s="13">
        <x:v>0</x:v>
      </x:c>
      <x:c r="X239" s="13">
        <x:v>0</x:v>
      </x:c>
      <x:c r="Y239" s="13">
        <x:v>0</x:v>
      </x:c>
      <x:c r="Z239" s="13">
        <x:v>0</x:v>
      </x:c>
      <x:c r="AA239" s="13">
        <x:v>0</x:v>
      </x:c>
      <x:c r="AB239" s="13">
        <x:v>0</x:v>
      </x:c>
      <x:c r="AC239" s="16">
        <x:v>0</x:v>
      </x:c>
      <x:c r="AF239" s="2" t="s">
        <x:v>34</x:v>
      </x:c>
    </x:row>
    <x:row r="240">
      <x:c r="A240" s="7" t="s">
        <x:v>505</x:v>
      </x:c>
      <x:c r="B240" s="7" t="s">
        <x:v>506</x:v>
      </x:c>
      <x:c r="C240" s="7"/>
      <x:c r="D240" s="9"/>
      <x:c r="E240" s="9"/>
      <x:c r="F240" s="25">
        <x:v>20</x:v>
      </x:c>
      <x:c r="G240" s="9"/>
      <x:c r="H240" s="9"/>
      <x:c r="I240" s="9"/>
      <x:c r="J240" s="9"/>
      <x:c r="K240" s="9"/>
      <x:c r="L240" s="9"/>
      <x:c r="M240" s="9"/>
      <x:c r="N240" s="9"/>
      <x:c r="O240" s="9"/>
      <x:c r="P240" s="9"/>
      <x:c r="Q240" s="13">
        <x:v>0</x:v>
      </x:c>
      <x:c r="R240" s="13">
        <x:v>0</x:v>
      </x:c>
      <x:c r="S240" s="23">
        <x:v>5.7143</x:v>
      </x:c>
      <x:c r="T240" s="13">
        <x:v>0</x:v>
      </x:c>
      <x:c r="U240" s="13">
        <x:v>0</x:v>
      </x:c>
      <x:c r="V240" s="13">
        <x:v>0</x:v>
      </x:c>
      <x:c r="W240" s="13">
        <x:v>0</x:v>
      </x:c>
      <x:c r="X240" s="13">
        <x:v>0</x:v>
      </x:c>
      <x:c r="Y240" s="13">
        <x:v>0</x:v>
      </x:c>
      <x:c r="Z240" s="13">
        <x:v>0</x:v>
      </x:c>
      <x:c r="AA240" s="13">
        <x:v>0</x:v>
      </x:c>
      <x:c r="AB240" s="13">
        <x:v>0</x:v>
      </x:c>
      <x:c r="AC240" s="16">
        <x:v>0</x:v>
      </x:c>
      <x:c r="AF240" s="2" t="s">
        <x:v>34</x:v>
      </x:c>
    </x:row>
    <x:row r="241">
      <x:c r="A241" s="7" t="s">
        <x:v>507</x:v>
      </x:c>
      <x:c r="B241" s="7" t="s">
        <x:v>508</x:v>
      </x:c>
      <x:c r="C241" s="7"/>
      <x:c r="D241" s="9"/>
      <x:c r="E241" s="9"/>
      <x:c r="F241" s="25">
        <x:v>20</x:v>
      </x:c>
      <x:c r="G241" s="9"/>
      <x:c r="H241" s="9"/>
      <x:c r="I241" s="9"/>
      <x:c r="J241" s="9"/>
      <x:c r="K241" s="9"/>
      <x:c r="L241" s="9"/>
      <x:c r="M241" s="9"/>
      <x:c r="N241" s="9"/>
      <x:c r="O241" s="9"/>
      <x:c r="P241" s="9"/>
      <x:c r="Q241" s="13">
        <x:v>0</x:v>
      </x:c>
      <x:c r="R241" s="13">
        <x:v>0</x:v>
      </x:c>
      <x:c r="S241" s="23">
        <x:v>5.7143</x:v>
      </x:c>
      <x:c r="T241" s="13">
        <x:v>0</x:v>
      </x:c>
      <x:c r="U241" s="13">
        <x:v>0</x:v>
      </x:c>
      <x:c r="V241" s="13">
        <x:v>0</x:v>
      </x:c>
      <x:c r="W241" s="13">
        <x:v>0</x:v>
      </x:c>
      <x:c r="X241" s="13">
        <x:v>0</x:v>
      </x:c>
      <x:c r="Y241" s="13">
        <x:v>0</x:v>
      </x:c>
      <x:c r="Z241" s="13">
        <x:v>0</x:v>
      </x:c>
      <x:c r="AA241" s="13">
        <x:v>0</x:v>
      </x:c>
      <x:c r="AB241" s="13">
        <x:v>0</x:v>
      </x:c>
      <x:c r="AC241" s="16">
        <x:v>0</x:v>
      </x:c>
      <x:c r="AF241" s="2" t="s">
        <x:v>34</x:v>
      </x:c>
    </x:row>
    <x:row r="242">
      <x:c r="A242" s="7" t="s">
        <x:v>509</x:v>
      </x:c>
      <x:c r="B242" s="7" t="s">
        <x:v>510</x:v>
      </x:c>
      <x:c r="C242" s="7"/>
      <x:c r="D242" s="9"/>
      <x:c r="E242" s="9"/>
      <x:c r="F242" s="25">
        <x:v>20</x:v>
      </x:c>
      <x:c r="G242" s="9"/>
      <x:c r="H242" s="9"/>
      <x:c r="I242" s="9"/>
      <x:c r="J242" s="9"/>
      <x:c r="K242" s="9"/>
      <x:c r="L242" s="9"/>
      <x:c r="M242" s="9"/>
      <x:c r="N242" s="9"/>
      <x:c r="O242" s="9"/>
      <x:c r="P242" s="9"/>
      <x:c r="Q242" s="13">
        <x:v>0</x:v>
      </x:c>
      <x:c r="R242" s="13">
        <x:v>0</x:v>
      </x:c>
      <x:c r="S242" s="23">
        <x:v>1.0204</x:v>
      </x:c>
      <x:c r="T242" s="23">
        <x:v>0</x:v>
      </x:c>
      <x:c r="U242" s="13">
        <x:v>0</x:v>
      </x:c>
      <x:c r="V242" s="13">
        <x:v>0</x:v>
      </x:c>
      <x:c r="W242" s="13">
        <x:v>0</x:v>
      </x:c>
      <x:c r="X242" s="13">
        <x:v>0</x:v>
      </x:c>
      <x:c r="Y242" s="13">
        <x:v>0</x:v>
      </x:c>
      <x:c r="Z242" s="13">
        <x:v>0</x:v>
      </x:c>
      <x:c r="AA242" s="13">
        <x:v>0</x:v>
      </x:c>
      <x:c r="AB242" s="13">
        <x:v>0</x:v>
      </x:c>
      <x:c r="AC242" s="16">
        <x:v>0</x:v>
      </x:c>
      <x:c r="AF242" s="2" t="s">
        <x:v>34</x:v>
      </x:c>
    </x:row>
    <x:row r="243">
      <x:c r="A243" s="7" t="s">
        <x:v>511</x:v>
      </x:c>
      <x:c r="B243" s="7" t="s">
        <x:v>512</x:v>
      </x:c>
      <x:c r="C243" s="7"/>
      <x:c r="D243" s="9"/>
      <x:c r="E243" s="9"/>
      <x:c r="F243" s="25">
        <x:v>20</x:v>
      </x:c>
      <x:c r="G243" s="9"/>
      <x:c r="H243" s="9"/>
      <x:c r="I243" s="9"/>
      <x:c r="J243" s="9"/>
      <x:c r="K243" s="9"/>
      <x:c r="L243" s="9"/>
      <x:c r="M243" s="9"/>
      <x:c r="N243" s="9"/>
      <x:c r="O243" s="9"/>
      <x:c r="P243" s="9"/>
      <x:c r="Q243" s="13">
        <x:v>0</x:v>
      </x:c>
      <x:c r="R243" s="13">
        <x:v>0</x:v>
      </x:c>
      <x:c r="S243" s="23">
        <x:v>5.7143</x:v>
      </x:c>
      <x:c r="T243" s="13">
        <x:v>0</x:v>
      </x:c>
      <x:c r="U243" s="13">
        <x:v>0</x:v>
      </x:c>
      <x:c r="V243" s="13">
        <x:v>0</x:v>
      </x:c>
      <x:c r="W243" s="13">
        <x:v>0</x:v>
      </x:c>
      <x:c r="X243" s="13">
        <x:v>0</x:v>
      </x:c>
      <x:c r="Y243" s="13">
        <x:v>0</x:v>
      </x:c>
      <x:c r="Z243" s="13">
        <x:v>0</x:v>
      </x:c>
      <x:c r="AA243" s="13">
        <x:v>0</x:v>
      </x:c>
      <x:c r="AB243" s="13">
        <x:v>0</x:v>
      </x:c>
      <x:c r="AC243" s="16">
        <x:v>0</x:v>
      </x:c>
      <x:c r="AF243" s="2" t="s">
        <x:v>34</x:v>
      </x:c>
    </x:row>
    <x:row r="244">
      <x:c r="A244" s="7" t="s">
        <x:v>513</x:v>
      </x:c>
      <x:c r="B244" s="7" t="s">
        <x:v>514</x:v>
      </x:c>
      <x:c r="C244" s="7"/>
      <x:c r="D244" s="9"/>
      <x:c r="E244" s="9"/>
      <x:c r="F244" s="25">
        <x:v>20</x:v>
      </x:c>
      <x:c r="G244" s="9"/>
      <x:c r="H244" s="9"/>
      <x:c r="I244" s="9"/>
      <x:c r="J244" s="9"/>
      <x:c r="K244" s="9"/>
      <x:c r="L244" s="9"/>
      <x:c r="M244" s="9"/>
      <x:c r="N244" s="9"/>
      <x:c r="O244" s="9"/>
      <x:c r="P244" s="9"/>
      <x:c r="Q244" s="13">
        <x:v>0</x:v>
      </x:c>
      <x:c r="R244" s="13">
        <x:v>0</x:v>
      </x:c>
      <x:c r="S244" s="23">
        <x:v>5.7143</x:v>
      </x:c>
      <x:c r="T244" s="13">
        <x:v>0</x:v>
      </x:c>
      <x:c r="U244" s="13">
        <x:v>0</x:v>
      </x:c>
      <x:c r="V244" s="13">
        <x:v>0</x:v>
      </x:c>
      <x:c r="W244" s="13">
        <x:v>0</x:v>
      </x:c>
      <x:c r="X244" s="13">
        <x:v>0</x:v>
      </x:c>
      <x:c r="Y244" s="13">
        <x:v>0</x:v>
      </x:c>
      <x:c r="Z244" s="13">
        <x:v>0</x:v>
      </x:c>
      <x:c r="AA244" s="13">
        <x:v>0</x:v>
      </x:c>
      <x:c r="AB244" s="13">
        <x:v>0</x:v>
      </x:c>
      <x:c r="AC244" s="16">
        <x:v>0</x:v>
      </x:c>
      <x:c r="AF244" s="2" t="s">
        <x:v>34</x:v>
      </x:c>
    </x:row>
    <x:row r="245">
      <x:c r="A245" s="7" t="s">
        <x:v>515</x:v>
      </x:c>
      <x:c r="B245" s="7" t="s">
        <x:v>516</x:v>
      </x:c>
      <x:c r="C245" s="7"/>
      <x:c r="D245" s="9"/>
      <x:c r="E245" s="9"/>
      <x:c r="F245" s="25">
        <x:v>20</x:v>
      </x:c>
      <x:c r="G245" s="9"/>
      <x:c r="H245" s="9"/>
      <x:c r="I245" s="9"/>
      <x:c r="J245" s="25">
        <x:v>-1</x:v>
      </x:c>
      <x:c r="K245" s="9"/>
      <x:c r="L245" s="9"/>
      <x:c r="M245" s="9"/>
      <x:c r="N245" s="9"/>
      <x:c r="O245" s="9"/>
      <x:c r="P245" s="9"/>
      <x:c r="Q245" s="13">
        <x:v>0</x:v>
      </x:c>
      <x:c r="R245" s="13">
        <x:v>0</x:v>
      </x:c>
      <x:c r="S245" s="23">
        <x:v>5.7143</x:v>
      </x:c>
      <x:c r="T245" s="13">
        <x:v>0</x:v>
      </x:c>
      <x:c r="U245" s="13">
        <x:v>0</x:v>
      </x:c>
      <x:c r="V245" s="13">
        <x:v>0</x:v>
      </x:c>
      <x:c r="W245" s="13">
        <x:v>0</x:v>
      </x:c>
      <x:c r="X245" s="13">
        <x:v>0</x:v>
      </x:c>
      <x:c r="Y245" s="13">
        <x:v>0</x:v>
      </x:c>
      <x:c r="Z245" s="13">
        <x:v>0</x:v>
      </x:c>
      <x:c r="AA245" s="13">
        <x:v>0</x:v>
      </x:c>
      <x:c r="AB245" s="13">
        <x:v>0</x:v>
      </x:c>
      <x:c r="AC245" s="16">
        <x:v>0</x:v>
      </x:c>
      <x:c r="AF245" s="2" t="s">
        <x:v>34</x:v>
      </x:c>
    </x:row>
    <x:row r="246">
      <x:c r="A246" s="7" t="s">
        <x:v>517</x:v>
      </x:c>
      <x:c r="B246" s="7" t="s">
        <x:v>518</x:v>
      </x:c>
      <x:c r="C246" s="7"/>
      <x:c r="D246" s="9"/>
      <x:c r="E246" s="9"/>
      <x:c r="F246" s="25">
        <x:v>20</x:v>
      </x:c>
      <x:c r="G246" s="9"/>
      <x:c r="H246" s="9"/>
      <x:c r="I246" s="9"/>
      <x:c r="J246" s="9"/>
      <x:c r="K246" s="25">
        <x:v>-1</x:v>
      </x:c>
      <x:c r="L246" s="9"/>
      <x:c r="M246" s="9"/>
      <x:c r="N246" s="9"/>
      <x:c r="O246" s="9"/>
      <x:c r="P246" s="9"/>
      <x:c r="Q246" s="13">
        <x:v>0</x:v>
      </x:c>
      <x:c r="R246" s="13">
        <x:v>0</x:v>
      </x:c>
      <x:c r="S246" s="23">
        <x:v>5.7143</x:v>
      </x:c>
      <x:c r="T246" s="13">
        <x:v>0</x:v>
      </x:c>
      <x:c r="U246" s="13">
        <x:v>0</x:v>
      </x:c>
      <x:c r="V246" s="13">
        <x:v>0</x:v>
      </x:c>
      <x:c r="W246" s="13">
        <x:v>0</x:v>
      </x:c>
      <x:c r="X246" s="13">
        <x:v>0</x:v>
      </x:c>
      <x:c r="Y246" s="13">
        <x:v>0</x:v>
      </x:c>
      <x:c r="Z246" s="13">
        <x:v>0</x:v>
      </x:c>
      <x:c r="AA246" s="13">
        <x:v>0</x:v>
      </x:c>
      <x:c r="AB246" s="13">
        <x:v>0</x:v>
      </x:c>
      <x:c r="AC246" s="16">
        <x:v>0</x:v>
      </x:c>
      <x:c r="AF246" s="2" t="s">
        <x:v>34</x:v>
      </x:c>
    </x:row>
    <x:row r="247">
      <x:c r="A247" s="7" t="s">
        <x:v>519</x:v>
      </x:c>
      <x:c r="B247" s="7" t="s">
        <x:v>520</x:v>
      </x:c>
      <x:c r="C247" s="7"/>
      <x:c r="D247" s="9"/>
      <x:c r="E247" s="9"/>
      <x:c r="F247" s="25">
        <x:v>20</x:v>
      </x:c>
      <x:c r="G247" s="9"/>
      <x:c r="H247" s="9"/>
      <x:c r="I247" s="9"/>
      <x:c r="J247" s="9"/>
      <x:c r="K247" s="9"/>
      <x:c r="L247" s="9"/>
      <x:c r="M247" s="9"/>
      <x:c r="N247" s="9"/>
      <x:c r="O247" s="9"/>
      <x:c r="P247" s="9"/>
      <x:c r="Q247" s="13">
        <x:v>0</x:v>
      </x:c>
      <x:c r="R247" s="13">
        <x:v>0</x:v>
      </x:c>
      <x:c r="S247" s="23">
        <x:v>5.7143</x:v>
      </x:c>
      <x:c r="T247" s="13">
        <x:v>0</x:v>
      </x:c>
      <x:c r="U247" s="13">
        <x:v>0</x:v>
      </x:c>
      <x:c r="V247" s="13">
        <x:v>0</x:v>
      </x:c>
      <x:c r="W247" s="13">
        <x:v>0</x:v>
      </x:c>
      <x:c r="X247" s="13">
        <x:v>0</x:v>
      </x:c>
      <x:c r="Y247" s="13">
        <x:v>0</x:v>
      </x:c>
      <x:c r="Z247" s="13">
        <x:v>0</x:v>
      </x:c>
      <x:c r="AA247" s="13">
        <x:v>0</x:v>
      </x:c>
      <x:c r="AB247" s="13">
        <x:v>0</x:v>
      </x:c>
      <x:c r="AC247" s="16">
        <x:v>0</x:v>
      </x:c>
      <x:c r="AF247" s="2" t="s">
        <x:v>34</x:v>
      </x:c>
    </x:row>
    <x:row r="248">
      <x:c r="A248" s="7" t="s">
        <x:v>521</x:v>
      </x:c>
      <x:c r="B248" s="7" t="s">
        <x:v>522</x:v>
      </x:c>
      <x:c r="C248" s="7"/>
      <x:c r="D248" s="9"/>
      <x:c r="E248" s="9"/>
      <x:c r="F248" s="25">
        <x:v>50</x:v>
      </x:c>
      <x:c r="G248" s="9"/>
      <x:c r="H248" s="9"/>
      <x:c r="I248" s="9"/>
      <x:c r="J248" s="9"/>
      <x:c r="K248" s="9"/>
      <x:c r="L248" s="9"/>
      <x:c r="M248" s="9"/>
      <x:c r="N248" s="9"/>
      <x:c r="O248" s="9"/>
      <x:c r="P248" s="9"/>
      <x:c r="Q248" s="13">
        <x:v>0</x:v>
      </x:c>
      <x:c r="R248" s="13">
        <x:v>0</x:v>
      </x:c>
      <x:c r="S248" s="23">
        <x:v>14.2857</x:v>
      </x:c>
      <x:c r="T248" s="13">
        <x:v>0</x:v>
      </x:c>
      <x:c r="U248" s="13">
        <x:v>0</x:v>
      </x:c>
      <x:c r="V248" s="13">
        <x:v>0</x:v>
      </x:c>
      <x:c r="W248" s="13">
        <x:v>0</x:v>
      </x:c>
      <x:c r="X248" s="13">
        <x:v>0</x:v>
      </x:c>
      <x:c r="Y248" s="13">
        <x:v>0</x:v>
      </x:c>
      <x:c r="Z248" s="13">
        <x:v>0</x:v>
      </x:c>
      <x:c r="AA248" s="13">
        <x:v>0</x:v>
      </x:c>
      <x:c r="AB248" s="13">
        <x:v>0</x:v>
      </x:c>
      <x:c r="AC248" s="16">
        <x:v>0</x:v>
      </x:c>
      <x:c r="AF248" s="2" t="s">
        <x:v>34</x:v>
      </x:c>
    </x:row>
    <x:row r="249">
      <x:c r="A249" s="7" t="s">
        <x:v>523</x:v>
      </x:c>
      <x:c r="B249" s="7" t="s">
        <x:v>524</x:v>
      </x:c>
      <x:c r="C249" s="7"/>
      <x:c r="D249" s="9"/>
      <x:c r="E249" s="9"/>
      <x:c r="F249" s="25">
        <x:v>50</x:v>
      </x:c>
      <x:c r="G249" s="9"/>
      <x:c r="H249" s="9"/>
      <x:c r="I249" s="9"/>
      <x:c r="J249" s="9"/>
      <x:c r="K249" s="9"/>
      <x:c r="L249" s="9"/>
      <x:c r="M249" s="9"/>
      <x:c r="N249" s="9"/>
      <x:c r="O249" s="9"/>
      <x:c r="P249" s="9"/>
      <x:c r="Q249" s="13">
        <x:v>0</x:v>
      </x:c>
      <x:c r="R249" s="13">
        <x:v>0</x:v>
      </x:c>
      <x:c r="S249" s="23">
        <x:v>14.2857</x:v>
      </x:c>
      <x:c r="T249" s="13">
        <x:v>0</x:v>
      </x:c>
      <x:c r="U249" s="13">
        <x:v>0</x:v>
      </x:c>
      <x:c r="V249" s="13">
        <x:v>0</x:v>
      </x:c>
      <x:c r="W249" s="13">
        <x:v>0</x:v>
      </x:c>
      <x:c r="X249" s="13">
        <x:v>0</x:v>
      </x:c>
      <x:c r="Y249" s="13">
        <x:v>0</x:v>
      </x:c>
      <x:c r="Z249" s="13">
        <x:v>0</x:v>
      </x:c>
      <x:c r="AA249" s="13">
        <x:v>0</x:v>
      </x:c>
      <x:c r="AB249" s="13">
        <x:v>0</x:v>
      </x:c>
      <x:c r="AC249" s="16">
        <x:v>0</x:v>
      </x:c>
      <x:c r="AF249" s="2" t="s">
        <x:v>34</x:v>
      </x:c>
    </x:row>
    <x:row r="250">
      <x:c r="A250" s="7" t="s">
        <x:v>525</x:v>
      </x:c>
      <x:c r="B250" s="7" t="s">
        <x:v>526</x:v>
      </x:c>
      <x:c r="C250" s="7"/>
      <x:c r="D250" s="9"/>
      <x:c r="E250" s="9"/>
      <x:c r="F250" s="9"/>
      <x:c r="G250" s="9"/>
      <x:c r="H250" s="9"/>
      <x:c r="I250" s="9"/>
      <x:c r="J250" s="9"/>
      <x:c r="K250" s="9"/>
      <x:c r="L250" s="9"/>
      <x:c r="M250" s="9"/>
      <x:c r="N250" s="9"/>
      <x:c r="O250" s="9"/>
      <x:c r="P250" s="9"/>
      <x:c r="Q250" s="13">
        <x:v>0</x:v>
      </x:c>
      <x:c r="R250" s="13">
        <x:v>0</x:v>
      </x:c>
      <x:c r="S250" s="23">
        <x:v>0</x:v>
      </x:c>
      <x:c r="T250" s="17">
        <x:v>0</x:v>
      </x:c>
      <x:c r="U250" s="17">
        <x:v>0</x:v>
      </x:c>
      <x:c r="V250" s="17">
        <x:v>0</x:v>
      </x:c>
      <x:c r="W250" s="17">
        <x:v>0</x:v>
      </x:c>
      <x:c r="X250" s="17">
        <x:v>0</x:v>
      </x:c>
      <x:c r="Y250" s="17">
        <x:v>0</x:v>
      </x:c>
      <x:c r="Z250" s="17">
        <x:v>0</x:v>
      </x:c>
      <x:c r="AA250" s="17">
        <x:v>0</x:v>
      </x:c>
      <x:c r="AB250" s="17">
        <x:v>0</x:v>
      </x:c>
      <x:c r="AC250" s="20">
        <x:v>0</x:v>
      </x:c>
      <x:c r="AF250" s="2" t="s">
        <x:v>34</x:v>
      </x:c>
    </x:row>
    <x:row r="251">
      <x:c r="A251" s="7" t="s">
        <x:v>527</x:v>
      </x:c>
      <x:c r="B251" s="7" t="s">
        <x:v>528</x:v>
      </x:c>
      <x:c r="C251" s="7"/>
      <x:c r="D251" s="9"/>
      <x:c r="E251" s="9"/>
      <x:c r="F251" s="9"/>
      <x:c r="G251" s="9"/>
      <x:c r="H251" s="9"/>
      <x:c r="I251" s="25">
        <x:v>77</x:v>
      </x:c>
      <x:c r="J251" s="25">
        <x:v>3</x:v>
      </x:c>
      <x:c r="K251" s="25">
        <x:v>3</x:v>
      </x:c>
      <x:c r="L251" s="25">
        <x:v>3</x:v>
      </x:c>
      <x:c r="M251" s="25">
        <x:v>16</x:v>
      </x:c>
      <x:c r="N251" s="25">
        <x:v>4</x:v>
      </x:c>
      <x:c r="O251" s="25">
        <x:v>11</x:v>
      </x:c>
      <x:c r="P251" s="25">
        <x:v>1</x:v>
      </x:c>
      <x:c r="Q251" s="13">
        <x:v>0</x:v>
      </x:c>
      <x:c r="R251" s="13">
        <x:v>0</x:v>
      </x:c>
      <x:c r="S251" s="13">
        <x:v>0</x:v>
      </x:c>
      <x:c r="T251" s="13">
        <x:v>0</x:v>
      </x:c>
      <x:c r="U251" s="13">
        <x:v>0</x:v>
      </x:c>
      <x:c r="V251" s="23">
        <x:v>1.9643</x:v>
      </x:c>
      <x:c r="W251" s="17">
        <x:v>0.121</x:v>
      </x:c>
      <x:c r="X251" s="17">
        <x:v>0.1531</x:v>
      </x:c>
      <x:c r="Y251" s="17">
        <x:v>0.1075</x:v>
      </x:c>
      <x:c r="Z251" s="17">
        <x:v>0.6667</x:v>
      </x:c>
      <x:c r="AA251" s="17">
        <x:v>0.129</x:v>
      </x:c>
      <x:c r="AB251" s="17">
        <x:v>0.3667</x:v>
      </x:c>
      <x:c r="AC251" s="20">
        <x:v>0.0179</x:v>
      </x:c>
      <x:c r="AD251" s="17">
        <x:v>0.2573</x:v>
      </x:c>
      <x:c r="AE251" s="17">
        <x:v>0.2573</x:v>
      </x:c>
      <x:c r="AF251" s="2" t="s">
        <x:v>34</x:v>
      </x:c>
    </x:row>
    <x:row r="252">
      <x:c r="A252" s="7" t="s">
        <x:v>529</x:v>
      </x:c>
      <x:c r="B252" s="7" t="s">
        <x:v>530</x:v>
      </x:c>
      <x:c r="C252" s="7"/>
      <x:c r="D252" s="9"/>
      <x:c r="E252" s="9"/>
      <x:c r="F252" s="9"/>
      <x:c r="G252" s="9"/>
      <x:c r="H252" s="9"/>
      <x:c r="I252" s="25">
        <x:v>27</x:v>
      </x:c>
      <x:c r="J252" s="9"/>
      <x:c r="K252" s="9"/>
      <x:c r="L252" s="25">
        <x:v>13</x:v>
      </x:c>
      <x:c r="M252" s="25">
        <x:v>11</x:v>
      </x:c>
      <x:c r="N252" s="25">
        <x:v>1</x:v>
      </x:c>
      <x:c r="O252" s="25">
        <x:v>7</x:v>
      </x:c>
      <x:c r="P252" s="25">
        <x:v>7</x:v>
      </x:c>
      <x:c r="Q252" s="13">
        <x:v>0</x:v>
      </x:c>
      <x:c r="R252" s="13">
        <x:v>0</x:v>
      </x:c>
      <x:c r="S252" s="13">
        <x:v>0</x:v>
      </x:c>
      <x:c r="T252" s="13">
        <x:v>0</x:v>
      </x:c>
      <x:c r="U252" s="13">
        <x:v>0</x:v>
      </x:c>
      <x:c r="V252" s="23">
        <x:v>0.6888</x:v>
      </x:c>
      <x:c r="W252" s="17">
        <x:v>0</x:v>
      </x:c>
      <x:c r="X252" s="17">
        <x:v>0</x:v>
      </x:c>
      <x:c r="Y252" s="17">
        <x:v>0.4659</x:v>
      </x:c>
      <x:c r="Z252" s="17">
        <x:v>0.4583</x:v>
      </x:c>
      <x:c r="AA252" s="17">
        <x:v>0.0323</x:v>
      </x:c>
      <x:c r="AB252" s="17">
        <x:v>0.2333</x:v>
      </x:c>
      <x:c r="AC252" s="20">
        <x:v>0.1254</x:v>
      </x:c>
      <x:c r="AD252" s="17">
        <x:v>0.1983</x:v>
      </x:c>
      <x:c r="AE252" s="17">
        <x:v>0.1983</x:v>
      </x:c>
      <x:c r="AF252" s="2" t="s">
        <x:v>34</x:v>
      </x:c>
    </x:row>
    <x:row r="253">
      <x:c r="A253" s="7" t="s">
        <x:v>531</x:v>
      </x:c>
      <x:c r="B253" s="7" t="s">
        <x:v>532</x:v>
      </x:c>
      <x:c r="C253" s="7"/>
      <x:c r="D253" s="9"/>
      <x:c r="E253" s="9"/>
      <x:c r="F253" s="9"/>
      <x:c r="G253" s="9"/>
      <x:c r="H253" s="9"/>
      <x:c r="I253" s="25">
        <x:v>26</x:v>
      </x:c>
      <x:c r="J253" s="25">
        <x:v>4</x:v>
      </x:c>
      <x:c r="K253" s="25">
        <x:v>1</x:v>
      </x:c>
      <x:c r="L253" s="25">
        <x:v>1</x:v>
      </x:c>
      <x:c r="M253" s="9"/>
      <x:c r="N253" s="9"/>
      <x:c r="O253" s="25">
        <x:v>1</x:v>
      </x:c>
      <x:c r="P253" s="25">
        <x:v>1</x:v>
      </x:c>
      <x:c r="Q253" s="13">
        <x:v>0</x:v>
      </x:c>
      <x:c r="R253" s="13">
        <x:v>0</x:v>
      </x:c>
      <x:c r="S253" s="13">
        <x:v>0</x:v>
      </x:c>
      <x:c r="T253" s="13">
        <x:v>0</x:v>
      </x:c>
      <x:c r="U253" s="13">
        <x:v>0</x:v>
      </x:c>
      <x:c r="V253" s="23">
        <x:v>0.6633</x:v>
      </x:c>
      <x:c r="W253" s="17">
        <x:v>0.1613</x:v>
      </x:c>
      <x:c r="X253" s="17">
        <x:v>0.051</x:v>
      </x:c>
      <x:c r="Y253" s="17">
        <x:v>0.0358</x:v>
      </x:c>
      <x:c r="Z253" s="17">
        <x:v>0</x:v>
      </x:c>
      <x:c r="AA253" s="17">
        <x:v>0</x:v>
      </x:c>
      <x:c r="AB253" s="17">
        <x:v>0.0333</x:v>
      </x:c>
      <x:c r="AC253" s="20">
        <x:v>0.0179</x:v>
      </x:c>
      <x:c r="AD253" s="17">
        <x:v>0.0469</x:v>
      </x:c>
      <x:c r="AE253" s="17">
        <x:v>0.0469</x:v>
      </x:c>
      <x:c r="AF253" s="2" t="s">
        <x:v>34</x:v>
      </x:c>
    </x:row>
    <x:row r="254">
      <x:c r="A254" s="7" t="s">
        <x:v>533</x:v>
      </x:c>
      <x:c r="B254" s="7" t="s">
        <x:v>534</x:v>
      </x:c>
      <x:c r="C254" s="7"/>
      <x:c r="D254" s="9"/>
      <x:c r="E254" s="9"/>
      <x:c r="F254" s="9"/>
      <x:c r="G254" s="9"/>
      <x:c r="H254" s="9"/>
      <x:c r="I254" s="25">
        <x:v>31</x:v>
      </x:c>
      <x:c r="J254" s="25">
        <x:v>1</x:v>
      </x:c>
      <x:c r="K254" s="25">
        <x:v>1</x:v>
      </x:c>
      <x:c r="L254" s="25">
        <x:v>5</x:v>
      </x:c>
      <x:c r="M254" s="9"/>
      <x:c r="N254" s="9"/>
      <x:c r="O254" s="25">
        <x:v>1</x:v>
      </x:c>
      <x:c r="P254" s="9"/>
      <x:c r="Q254" s="13">
        <x:v>0</x:v>
      </x:c>
      <x:c r="R254" s="13">
        <x:v>0</x:v>
      </x:c>
      <x:c r="S254" s="13">
        <x:v>0</x:v>
      </x:c>
      <x:c r="T254" s="13">
        <x:v>0</x:v>
      </x:c>
      <x:c r="U254" s="13">
        <x:v>0</x:v>
      </x:c>
      <x:c r="V254" s="23">
        <x:v>0.7908</x:v>
      </x:c>
      <x:c r="W254" s="17">
        <x:v>0.0403</x:v>
      </x:c>
      <x:c r="X254" s="17">
        <x:v>0.051</x:v>
      </x:c>
      <x:c r="Y254" s="17">
        <x:v>0.1792</x:v>
      </x:c>
      <x:c r="Z254" s="17">
        <x:v>0</x:v>
      </x:c>
      <x:c r="AA254" s="17">
        <x:v>0</x:v>
      </x:c>
      <x:c r="AB254" s="17">
        <x:v>0.0333</x:v>
      </x:c>
      <x:c r="AC254" s="20">
        <x:v>0</x:v>
      </x:c>
      <x:c r="AD254" s="17">
        <x:v>0.0506</x:v>
      </x:c>
      <x:c r="AE254" s="17">
        <x:v>0.0506</x:v>
      </x:c>
      <x:c r="AF254" s="2" t="s">
        <x:v>34</x:v>
      </x:c>
    </x:row>
    <x:row r="255">
      <x:c r="A255" s="7" t="s">
        <x:v>535</x:v>
      </x:c>
      <x:c r="B255" s="7" t="s">
        <x:v>536</x:v>
      </x:c>
      <x:c r="C255" s="7"/>
      <x:c r="D255" s="9"/>
      <x:c r="E255" s="9"/>
      <x:c r="F255" s="9"/>
      <x:c r="G255" s="9"/>
      <x:c r="H255" s="9"/>
      <x:c r="I255" s="25">
        <x:v>38</x:v>
      </x:c>
      <x:c r="J255" s="25">
        <x:v>8</x:v>
      </x:c>
      <x:c r="K255" s="25">
        <x:v>11</x:v>
      </x:c>
      <x:c r="L255" s="9"/>
      <x:c r="M255" s="9"/>
      <x:c r="N255" s="9"/>
      <x:c r="O255" s="25">
        <x:v>1</x:v>
      </x:c>
      <x:c r="P255" s="25">
        <x:v>2</x:v>
      </x:c>
      <x:c r="Q255" s="13">
        <x:v>0</x:v>
      </x:c>
      <x:c r="R255" s="13">
        <x:v>0</x:v>
      </x:c>
      <x:c r="S255" s="13">
        <x:v>0</x:v>
      </x:c>
      <x:c r="T255" s="13">
        <x:v>0</x:v>
      </x:c>
      <x:c r="U255" s="13">
        <x:v>0</x:v>
      </x:c>
      <x:c r="V255" s="23">
        <x:v>0.9694</x:v>
      </x:c>
      <x:c r="W255" s="17">
        <x:v>0.3226</x:v>
      </x:c>
      <x:c r="X255" s="23">
        <x:v>0.6044</x:v>
      </x:c>
      <x:c r="Y255" s="13">
        <x:v>0</x:v>
      </x:c>
      <x:c r="Z255" s="23">
        <x:v>0</x:v>
      </x:c>
      <x:c r="AA255" s="17">
        <x:v>0</x:v>
      </x:c>
      <x:c r="AB255" s="17">
        <x:v>0.0333</x:v>
      </x:c>
      <x:c r="AC255" s="20">
        <x:v>0.0358</x:v>
      </x:c>
      <x:c r="AD255" s="17">
        <x:v>0.1186</x:v>
      </x:c>
      <x:c r="AE255" s="17">
        <x:v>0.1186</x:v>
      </x:c>
      <x:c r="AF255" s="2" t="s">
        <x:v>34</x:v>
      </x:c>
    </x:row>
    <x:row r="256">
      <x:c r="A256" s="7" t="s">
        <x:v>537</x:v>
      </x:c>
      <x:c r="B256" s="7" t="s">
        <x:v>538</x:v>
      </x:c>
      <x:c r="C256" s="7"/>
      <x:c r="D256" s="9"/>
      <x:c r="E256" s="9"/>
      <x:c r="F256" s="9"/>
      <x:c r="G256" s="9"/>
      <x:c r="H256" s="9"/>
      <x:c r="I256" s="25">
        <x:v>32</x:v>
      </x:c>
      <x:c r="J256" s="25">
        <x:v>2</x:v>
      </x:c>
      <x:c r="K256" s="25">
        <x:v>4</x:v>
      </x:c>
      <x:c r="L256" s="25">
        <x:v>1</x:v>
      </x:c>
      <x:c r="M256" s="25">
        <x:v>7</x:v>
      </x:c>
      <x:c r="N256" s="25">
        <x:v>1</x:v>
      </x:c>
      <x:c r="O256" s="9"/>
      <x:c r="P256" s="9"/>
      <x:c r="Q256" s="13">
        <x:v>0</x:v>
      </x:c>
      <x:c r="R256" s="13">
        <x:v>0</x:v>
      </x:c>
      <x:c r="S256" s="13">
        <x:v>0</x:v>
      </x:c>
      <x:c r="T256" s="13">
        <x:v>0</x:v>
      </x:c>
      <x:c r="U256" s="13">
        <x:v>0</x:v>
      </x:c>
      <x:c r="V256" s="23">
        <x:v>0.8163</x:v>
      </x:c>
      <x:c r="W256" s="17">
        <x:v>0.0806</x:v>
      </x:c>
      <x:c r="X256" s="17">
        <x:v>0.2041</x:v>
      </x:c>
      <x:c r="Y256" s="17">
        <x:v>0.0358</x:v>
      </x:c>
      <x:c r="Z256" s="17">
        <x:v>0.2917</x:v>
      </x:c>
      <x:c r="AA256" s="17">
        <x:v>0.0323</x:v>
      </x:c>
      <x:c r="AB256" s="17">
        <x:v>0</x:v>
      </x:c>
      <x:c r="AC256" s="20">
        <x:v>0</x:v>
      </x:c>
      <x:c r="AD256" s="17">
        <x:v>0.1074</x:v>
      </x:c>
      <x:c r="AE256" s="17">
        <x:v>0.1074</x:v>
      </x:c>
      <x:c r="AF256" s="2" t="s">
        <x:v>34</x:v>
      </x:c>
    </x:row>
    <x:row r="257">
      <x:c r="A257" s="7" t="s">
        <x:v>539</x:v>
      </x:c>
      <x:c r="B257" s="7" t="s">
        <x:v>540</x:v>
      </x:c>
      <x:c r="C257" s="7"/>
      <x:c r="D257" s="9"/>
      <x:c r="E257" s="9"/>
      <x:c r="F257" s="9"/>
      <x:c r="G257" s="9"/>
      <x:c r="H257" s="9"/>
      <x:c r="I257" s="25">
        <x:v>7</x:v>
      </x:c>
      <x:c r="J257" s="25">
        <x:v>2</x:v>
      </x:c>
      <x:c r="K257" s="25">
        <x:v>-2</x:v>
      </x:c>
      <x:c r="L257" s="25">
        <x:v>14</x:v>
      </x:c>
      <x:c r="M257" s="25">
        <x:v>2</x:v>
      </x:c>
      <x:c r="N257" s="25">
        <x:v>2</x:v>
      </x:c>
      <x:c r="O257" s="25">
        <x:v>2</x:v>
      </x:c>
      <x:c r="P257" s="25">
        <x:v>1</x:v>
      </x:c>
      <x:c r="Q257" s="13">
        <x:v>0</x:v>
      </x:c>
      <x:c r="R257" s="13">
        <x:v>0</x:v>
      </x:c>
      <x:c r="S257" s="13">
        <x:v>0</x:v>
      </x:c>
      <x:c r="T257" s="13">
        <x:v>0</x:v>
      </x:c>
      <x:c r="U257" s="13">
        <x:v>0</x:v>
      </x:c>
      <x:c r="V257" s="23">
        <x:v>0.1786</x:v>
      </x:c>
      <x:c r="W257" s="17">
        <x:v>0.0806</x:v>
      </x:c>
      <x:c r="X257" s="17">
        <x:v>-0.102</x:v>
      </x:c>
      <x:c r="Y257" s="17">
        <x:v>0.5018</x:v>
      </x:c>
      <x:c r="Z257" s="17">
        <x:v>0.0833</x:v>
      </x:c>
      <x:c r="AA257" s="17">
        <x:v>0.0645</x:v>
      </x:c>
      <x:c r="AB257" s="17">
        <x:v>0.0667</x:v>
      </x:c>
      <x:c r="AC257" s="20">
        <x:v>0.0179</x:v>
      </x:c>
      <x:c r="AD257" s="17">
        <x:v>0.1158</x:v>
      </x:c>
      <x:c r="AE257" s="17">
        <x:v>0.1158</x:v>
      </x:c>
      <x:c r="AF257" s="2" t="s">
        <x:v>34</x:v>
      </x:c>
    </x:row>
    <x:row r="258">
      <x:c r="A258" s="7" t="s">
        <x:v>541</x:v>
      </x:c>
      <x:c r="B258" s="7" t="s">
        <x:v>542</x:v>
      </x:c>
      <x:c r="C258" s="7"/>
      <x:c r="D258" s="9"/>
      <x:c r="E258" s="9"/>
      <x:c r="F258" s="9"/>
      <x:c r="G258" s="9"/>
      <x:c r="H258" s="9"/>
      <x:c r="I258" s="25">
        <x:v>8</x:v>
      </x:c>
      <x:c r="J258" s="25">
        <x:v>1</x:v>
      </x:c>
      <x:c r="K258" s="25">
        <x:v>4</x:v>
      </x:c>
      <x:c r="L258" s="25">
        <x:v>8</x:v>
      </x:c>
      <x:c r="M258" s="9"/>
      <x:c r="N258" s="9"/>
      <x:c r="O258" s="9"/>
      <x:c r="P258" s="9"/>
      <x:c r="Q258" s="13">
        <x:v>0</x:v>
      </x:c>
      <x:c r="R258" s="13">
        <x:v>0</x:v>
      </x:c>
      <x:c r="S258" s="13">
        <x:v>0</x:v>
      </x:c>
      <x:c r="T258" s="13">
        <x:v>0</x:v>
      </x:c>
      <x:c r="U258" s="13">
        <x:v>0</x:v>
      </x:c>
      <x:c r="V258" s="23">
        <x:v>0.2041</x:v>
      </x:c>
      <x:c r="W258" s="17">
        <x:v>0.0403</x:v>
      </x:c>
      <x:c r="X258" s="17">
        <x:v>0.2041</x:v>
      </x:c>
      <x:c r="Y258" s="17">
        <x:v>0.2867</x:v>
      </x:c>
      <x:c r="Z258" s="17">
        <x:v>0</x:v>
      </x:c>
      <x:c r="AA258" s="17">
        <x:v>0</x:v>
      </x:c>
      <x:c r="AB258" s="17">
        <x:v>0</x:v>
      </x:c>
      <x:c r="AC258" s="20">
        <x:v>0</x:v>
      </x:c>
      <x:c r="AD258" s="17">
        <x:v>0.0885</x:v>
      </x:c>
      <x:c r="AE258" s="17">
        <x:v>0.0885</x:v>
      </x:c>
      <x:c r="AF258" s="2" t="s">
        <x:v>34</x:v>
      </x:c>
    </x:row>
    <x:row r="259">
      <x:c r="A259" s="7" t="s">
        <x:v>543</x:v>
      </x:c>
      <x:c r="B259" s="7" t="s">
        <x:v>544</x:v>
      </x:c>
      <x:c r="C259" s="7" t="s">
        <x:v>545</x:v>
      </x:c>
      <x:c r="D259" s="9"/>
      <x:c r="E259" s="9"/>
      <x:c r="F259" s="9"/>
      <x:c r="G259" s="9"/>
      <x:c r="H259" s="25">
        <x:v>2</x:v>
      </x:c>
      <x:c r="I259" s="25">
        <x:v>11</x:v>
      </x:c>
      <x:c r="J259" s="25">
        <x:v>5</x:v>
      </x:c>
      <x:c r="K259" s="25">
        <x:v>3</x:v>
      </x:c>
      <x:c r="L259" s="25">
        <x:v>3</x:v>
      </x:c>
      <x:c r="M259" s="25">
        <x:v>4</x:v>
      </x:c>
      <x:c r="N259" s="25">
        <x:v>2</x:v>
      </x:c>
      <x:c r="O259" s="9"/>
      <x:c r="P259" s="9"/>
      <x:c r="Q259" s="13">
        <x:v>0</x:v>
      </x:c>
      <x:c r="R259" s="13">
        <x:v>0</x:v>
      </x:c>
      <x:c r="S259" s="13">
        <x:v>0</x:v>
      </x:c>
      <x:c r="T259" s="23">
        <x:v>0</x:v>
      </x:c>
      <x:c r="U259" s="17">
        <x:v>0.0606</x:v>
      </x:c>
      <x:c r="V259" s="17">
        <x:v>0.2535</x:v>
      </x:c>
      <x:c r="W259" s="17">
        <x:v>0.2016</x:v>
      </x:c>
      <x:c r="X259" s="17">
        <x:v>0.1531</x:v>
      </x:c>
      <x:c r="Y259" s="17">
        <x:v>0.1075</x:v>
      </x:c>
      <x:c r="Z259" s="23">
        <x:v>0.2273</x:v>
      </x:c>
      <x:c r="AA259" s="13">
        <x:v>0</x:v>
      </x:c>
      <x:c r="AB259" s="13">
        <x:v>0</x:v>
      </x:c>
      <x:c r="AC259" s="16">
        <x:v>0</x:v>
      </x:c>
      <x:c r="AD259" s="17">
        <x:v>0.1553</x:v>
      </x:c>
      <x:c r="AE259" s="17">
        <x:v>0.1553</x:v>
      </x:c>
      <x:c r="AF259" s="2" t="s">
        <x:v>34</x:v>
      </x:c>
    </x:row>
    <x:row r="260">
      <x:c r="A260" s="7" t="s">
        <x:v>546</x:v>
      </x:c>
      <x:c r="B260" s="7" t="s">
        <x:v>547</x:v>
      </x:c>
      <x:c r="C260" s="7"/>
      <x:c r="D260" s="9"/>
      <x:c r="E260" s="9"/>
      <x:c r="F260" s="9"/>
      <x:c r="G260" s="9"/>
      <x:c r="H260" s="9"/>
      <x:c r="I260" s="9"/>
      <x:c r="J260" s="25">
        <x:v>9</x:v>
      </x:c>
      <x:c r="K260" s="25">
        <x:v>17</x:v>
      </x:c>
      <x:c r="L260" s="25">
        <x:v>18</x:v>
      </x:c>
      <x:c r="M260" s="25">
        <x:v>13</x:v>
      </x:c>
      <x:c r="N260" s="25">
        <x:v>19</x:v>
      </x:c>
      <x:c r="O260" s="25">
        <x:v>17</x:v>
      </x:c>
      <x:c r="P260" s="25">
        <x:v>20</x:v>
      </x:c>
      <x:c r="Q260" s="13">
        <x:v>0</x:v>
      </x:c>
      <x:c r="R260" s="13">
        <x:v>0</x:v>
      </x:c>
      <x:c r="S260" s="13">
        <x:v>0</x:v>
      </x:c>
      <x:c r="T260" s="13">
        <x:v>0</x:v>
      </x:c>
      <x:c r="U260" s="13">
        <x:v>0</x:v>
      </x:c>
      <x:c r="V260" s="13">
        <x:v>0</x:v>
      </x:c>
      <x:c r="W260" s="23">
        <x:v>0.4891</x:v>
      </x:c>
      <x:c r="X260" s="17">
        <x:v>0.8673</x:v>
      </x:c>
      <x:c r="Y260" s="17">
        <x:v>0.6452</x:v>
      </x:c>
      <x:c r="Z260" s="17">
        <x:v>0.5417</x:v>
      </x:c>
      <x:c r="AA260" s="17">
        <x:v>0.6129</x:v>
      </x:c>
      <x:c r="AB260" s="17">
        <x:v>0.5667</x:v>
      </x:c>
      <x:c r="AC260" s="20">
        <x:v>0.3584</x:v>
      </x:c>
      <x:c r="AD260" s="17">
        <x:v>0.6468</x:v>
      </x:c>
      <x:c r="AE260" s="17">
        <x:v>0.6468</x:v>
      </x:c>
      <x:c r="AF260" s="2" t="s">
        <x:v>34</x:v>
      </x:c>
    </x:row>
    <x:row r="261">
      <x:c r="A261" s="7" t="s">
        <x:v>548</x:v>
      </x:c>
      <x:c r="B261" s="7" t="s">
        <x:v>549</x:v>
      </x:c>
      <x:c r="C261" s="7"/>
      <x:c r="D261" s="9"/>
      <x:c r="E261" s="9"/>
      <x:c r="F261" s="9"/>
      <x:c r="G261" s="9"/>
      <x:c r="H261" s="9"/>
      <x:c r="I261" s="9"/>
      <x:c r="J261" s="25">
        <x:v>3</x:v>
      </x:c>
      <x:c r="K261" s="25">
        <x:v>20</x:v>
      </x:c>
      <x:c r="L261" s="25">
        <x:v>10</x:v>
      </x:c>
      <x:c r="M261" s="25">
        <x:v>12</x:v>
      </x:c>
      <x:c r="N261" s="25">
        <x:v>14</x:v>
      </x:c>
      <x:c r="O261" s="25">
        <x:v>8</x:v>
      </x:c>
      <x:c r="P261" s="25">
        <x:v>9</x:v>
      </x:c>
      <x:c r="Q261" s="13">
        <x:v>0</x:v>
      </x:c>
      <x:c r="R261" s="13">
        <x:v>0</x:v>
      </x:c>
      <x:c r="S261" s="13">
        <x:v>0</x:v>
      </x:c>
      <x:c r="T261" s="13">
        <x:v>0</x:v>
      </x:c>
      <x:c r="U261" s="13">
        <x:v>0</x:v>
      </x:c>
      <x:c r="V261" s="13">
        <x:v>0</x:v>
      </x:c>
      <x:c r="W261" s="23">
        <x:v>0.163</x:v>
      </x:c>
      <x:c r="X261" s="17">
        <x:v>1.0204</x:v>
      </x:c>
      <x:c r="Y261" s="17">
        <x:v>0.3584</x:v>
      </x:c>
      <x:c r="Z261" s="17">
        <x:v>0.5</x:v>
      </x:c>
      <x:c r="AA261" s="17">
        <x:v>0.4516</x:v>
      </x:c>
      <x:c r="AB261" s="17">
        <x:v>0.2667</x:v>
      </x:c>
      <x:c r="AC261" s="20">
        <x:v>0.1613</x:v>
      </x:c>
      <x:c r="AD261" s="17">
        <x:v>0.5194</x:v>
      </x:c>
      <x:c r="AE261" s="17">
        <x:v>0.5194</x:v>
      </x:c>
      <x:c r="AF261" s="2" t="s">
        <x:v>34</x:v>
      </x:c>
    </x:row>
    <x:row r="262">
      <x:c r="A262" s="7" t="s">
        <x:v>550</x:v>
      </x:c>
      <x:c r="B262" s="7" t="s">
        <x:v>551</x:v>
      </x:c>
      <x:c r="C262" s="7"/>
      <x:c r="D262" s="9"/>
      <x:c r="E262" s="9"/>
      <x:c r="F262" s="9"/>
      <x:c r="G262" s="9"/>
      <x:c r="H262" s="9"/>
      <x:c r="I262" s="9"/>
      <x:c r="J262" s="25">
        <x:v>4</x:v>
      </x:c>
      <x:c r="K262" s="25">
        <x:v>18</x:v>
      </x:c>
      <x:c r="L262" s="25">
        <x:v>30</x:v>
      </x:c>
      <x:c r="M262" s="25">
        <x:v>39</x:v>
      </x:c>
      <x:c r="N262" s="25">
        <x:v>28</x:v>
      </x:c>
      <x:c r="O262" s="9"/>
      <x:c r="P262" s="9"/>
      <x:c r="Q262" s="13">
        <x:v>0</x:v>
      </x:c>
      <x:c r="R262" s="13">
        <x:v>0</x:v>
      </x:c>
      <x:c r="S262" s="13">
        <x:v>0</x:v>
      </x:c>
      <x:c r="T262" s="13">
        <x:v>0</x:v>
      </x:c>
      <x:c r="U262" s="13">
        <x:v>0</x:v>
      </x:c>
      <x:c r="V262" s="13">
        <x:v>0</x:v>
      </x:c>
      <x:c r="W262" s="23">
        <x:v>0.2174</x:v>
      </x:c>
      <x:c r="X262" s="17">
        <x:v>0.9184</x:v>
      </x:c>
      <x:c r="Y262" s="17">
        <x:v>1.0753</x:v>
      </x:c>
      <x:c r="Z262" s="17">
        <x:v>1.625</x:v>
      </x:c>
      <x:c r="AA262" s="23">
        <x:v>1.4</x:v>
      </x:c>
      <x:c r="AB262" s="13">
        <x:v>0</x:v>
      </x:c>
      <x:c r="AC262" s="16">
        <x:v>0</x:v>
      </x:c>
      <x:c r="AD262" s="17">
        <x:v>1.2062</x:v>
      </x:c>
      <x:c r="AE262" s="17">
        <x:v>1.2062</x:v>
      </x:c>
      <x:c r="AF262" s="2" t="s">
        <x:v>34</x:v>
      </x:c>
    </x:row>
    <x:row r="263">
      <x:c r="A263" s="7" t="s">
        <x:v>552</x:v>
      </x:c>
      <x:c r="B263" s="7" t="s">
        <x:v>553</x:v>
      </x:c>
      <x:c r="C263" s="7"/>
      <x:c r="D263" s="9"/>
      <x:c r="E263" s="9"/>
      <x:c r="F263" s="9"/>
      <x:c r="G263" s="9"/>
      <x:c r="H263" s="9"/>
      <x:c r="I263" s="9"/>
      <x:c r="J263" s="25">
        <x:v>11</x:v>
      </x:c>
      <x:c r="K263" s="25">
        <x:v>13</x:v>
      </x:c>
      <x:c r="L263" s="25">
        <x:v>2</x:v>
      </x:c>
      <x:c r="M263" s="25">
        <x:v>7</x:v>
      </x:c>
      <x:c r="N263" s="25">
        <x:v>12</x:v>
      </x:c>
      <x:c r="O263" s="25">
        <x:v>1</x:v>
      </x:c>
      <x:c r="P263" s="25">
        <x:v>-2</x:v>
      </x:c>
      <x:c r="Q263" s="13">
        <x:v>0</x:v>
      </x:c>
      <x:c r="R263" s="13">
        <x:v>0</x:v>
      </x:c>
      <x:c r="S263" s="13">
        <x:v>0</x:v>
      </x:c>
      <x:c r="T263" s="13">
        <x:v>0</x:v>
      </x:c>
      <x:c r="U263" s="13">
        <x:v>0</x:v>
      </x:c>
      <x:c r="V263" s="13">
        <x:v>0</x:v>
      </x:c>
      <x:c r="W263" s="23">
        <x:v>0.7971</x:v>
      </x:c>
      <x:c r="X263" s="17">
        <x:v>0.7738</x:v>
      </x:c>
      <x:c r="Y263" s="17">
        <x:v>0.0645</x:v>
      </x:c>
      <x:c r="Z263" s="17">
        <x:v>0.2778</x:v>
      </x:c>
      <x:c r="AA263" s="17">
        <x:v>0.3871</x:v>
      </x:c>
      <x:c r="AB263" s="23">
        <x:v>0.0444</x:v>
      </x:c>
      <x:c r="AC263" s="16">
        <x:v>-1.5385</x:v>
      </x:c>
      <x:c r="AD263" s="17">
        <x:v>0.3758</x:v>
      </x:c>
      <x:c r="AE263" s="17">
        <x:v>0.3758</x:v>
      </x:c>
      <x:c r="AF263" s="2" t="s">
        <x:v>34</x:v>
      </x:c>
    </x:row>
    <x:row r="264">
      <x:c r="A264" s="7" t="s">
        <x:v>554</x:v>
      </x:c>
      <x:c r="B264" s="7" t="s">
        <x:v>555</x:v>
      </x:c>
      <x:c r="C264" s="7"/>
      <x:c r="D264" s="9"/>
      <x:c r="E264" s="9"/>
      <x:c r="F264" s="9"/>
      <x:c r="G264" s="9"/>
      <x:c r="H264" s="9"/>
      <x:c r="I264" s="9"/>
      <x:c r="J264" s="9"/>
      <x:c r="K264" s="9"/>
      <x:c r="L264" s="9"/>
      <x:c r="M264" s="9"/>
      <x:c r="N264" s="9"/>
      <x:c r="O264" s="9"/>
      <x:c r="P264" s="9"/>
      <x:c r="Q264" s="13">
        <x:v>0</x:v>
      </x:c>
      <x:c r="R264" s="13">
        <x:v>0</x:v>
      </x:c>
      <x:c r="S264" s="13">
        <x:v>0</x:v>
      </x:c>
      <x:c r="T264" s="13">
        <x:v>0</x:v>
      </x:c>
      <x:c r="U264" s="13">
        <x:v>0</x:v>
      </x:c>
      <x:c r="V264" s="13">
        <x:v>0</x:v>
      </x:c>
      <x:c r="W264" s="13">
        <x:v>0</x:v>
      </x:c>
      <x:c r="X264" s="13">
        <x:v>0</x:v>
      </x:c>
      <x:c r="Y264" s="13">
        <x:v>0</x:v>
      </x:c>
      <x:c r="Z264" s="13">
        <x:v>0</x:v>
      </x:c>
      <x:c r="AA264" s="13">
        <x:v>0</x:v>
      </x:c>
      <x:c r="AB264" s="13">
        <x:v>0</x:v>
      </x:c>
      <x:c r="AC264" s="16">
        <x:v>0</x:v>
      </x:c>
      <x:c r="AF264" s="2" t="s">
        <x:v>107</x:v>
      </x:c>
    </x:row>
    <x:row r="265">
      <x:c r="A265" s="7" t="s">
        <x:v>556</x:v>
      </x:c>
      <x:c r="B265" s="7" t="s">
        <x:v>557</x:v>
      </x:c>
      <x:c r="C265" s="7"/>
      <x:c r="D265" s="9"/>
      <x:c r="E265" s="9"/>
      <x:c r="F265" s="9"/>
      <x:c r="G265" s="9"/>
      <x:c r="H265" s="9"/>
      <x:c r="I265" s="9"/>
      <x:c r="J265" s="25">
        <x:v>7</x:v>
      </x:c>
      <x:c r="K265" s="25">
        <x:v>10</x:v>
      </x:c>
      <x:c r="L265" s="25">
        <x:v>1</x:v>
      </x:c>
      <x:c r="M265" s="25">
        <x:v>5</x:v>
      </x:c>
      <x:c r="N265" s="25">
        <x:v>25</x:v>
      </x:c>
      <x:c r="O265" s="25">
        <x:v>5</x:v>
      </x:c>
      <x:c r="P265" s="25">
        <x:v>4</x:v>
      </x:c>
      <x:c r="Q265" s="13">
        <x:v>0</x:v>
      </x:c>
      <x:c r="R265" s="13">
        <x:v>0</x:v>
      </x:c>
      <x:c r="S265" s="13">
        <x:v>0</x:v>
      </x:c>
      <x:c r="T265" s="13">
        <x:v>0</x:v>
      </x:c>
      <x:c r="U265" s="13">
        <x:v>0</x:v>
      </x:c>
      <x:c r="V265" s="13">
        <x:v>0</x:v>
      </x:c>
      <x:c r="W265" s="23">
        <x:v>0.5072</x:v>
      </x:c>
      <x:c r="X265" s="17">
        <x:v>0.5952</x:v>
      </x:c>
      <x:c r="Y265" s="17">
        <x:v>0.0323</x:v>
      </x:c>
      <x:c r="Z265" s="17">
        <x:v>0.1984</x:v>
      </x:c>
      <x:c r="AA265" s="17">
        <x:v>0.8065</x:v>
      </x:c>
      <x:c r="AB265" s="17">
        <x:v>0.1852</x:v>
      </x:c>
      <x:c r="AC265" s="20">
        <x:v>0.0993</x:v>
      </x:c>
      <x:c r="AD265" s="17">
        <x:v>0.3635</x:v>
      </x:c>
      <x:c r="AE265" s="17">
        <x:v>0.3635</x:v>
      </x:c>
      <x:c r="AF265" s="2" t="s">
        <x:v>34</x:v>
      </x:c>
    </x:row>
    <x:row r="266">
      <x:c r="A266" s="7" t="s">
        <x:v>558</x:v>
      </x:c>
      <x:c r="B266" s="7" t="s">
        <x:v>559</x:v>
      </x:c>
      <x:c r="C266" s="7" t="s">
        <x:v>560</x:v>
      </x:c>
      <x:c r="D266" s="9"/>
      <x:c r="E266" s="9"/>
      <x:c r="F266" s="9"/>
      <x:c r="G266" s="9"/>
      <x:c r="H266" s="9"/>
      <x:c r="I266" s="9"/>
      <x:c r="J266" s="9"/>
      <x:c r="K266" s="9"/>
      <x:c r="L266" s="9"/>
      <x:c r="M266" s="25">
        <x:v>34</x:v>
      </x:c>
      <x:c r="N266" s="25">
        <x:v>5</x:v>
      </x:c>
      <x:c r="O266" s="25">
        <x:v>1</x:v>
      </x:c>
      <x:c r="P266" s="25">
        <x:v>14</x:v>
      </x:c>
      <x:c r="Q266" s="13">
        <x:v>0</x:v>
      </x:c>
      <x:c r="R266" s="13">
        <x:v>0</x:v>
      </x:c>
      <x:c r="S266" s="13">
        <x:v>0</x:v>
      </x:c>
      <x:c r="T266" s="13">
        <x:v>0</x:v>
      </x:c>
      <x:c r="U266" s="13">
        <x:v>0</x:v>
      </x:c>
      <x:c r="V266" s="13">
        <x:v>0</x:v>
      </x:c>
      <x:c r="W266" s="23">
        <x:v>0</x:v>
      </x:c>
      <x:c r="X266" s="17">
        <x:v>0</x:v>
      </x:c>
      <x:c r="Y266" s="17">
        <x:v>0</x:v>
      </x:c>
      <x:c r="Z266" s="17">
        <x:v>1.4167</x:v>
      </x:c>
      <x:c r="AA266" s="17">
        <x:v>0.1613</x:v>
      </x:c>
      <x:c r="AB266" s="17">
        <x:v>0.0333</x:v>
      </x:c>
      <x:c r="AC266" s="20">
        <x:v>0.2509</x:v>
      </x:c>
      <x:c r="AD266" s="17">
        <x:v>0.3223</x:v>
      </x:c>
      <x:c r="AE266" s="17">
        <x:v>0.3223</x:v>
      </x:c>
      <x:c r="AF266" s="2" t="s">
        <x:v>34</x:v>
      </x:c>
    </x:row>
    <x:row r="267">
      <x:c r="A267" s="7" t="s">
        <x:v>561</x:v>
      </x:c>
      <x:c r="B267" s="7" t="s">
        <x:v>562</x:v>
      </x:c>
      <x:c r="C267" s="7"/>
      <x:c r="D267" s="9"/>
      <x:c r="E267" s="9"/>
      <x:c r="F267" s="9"/>
      <x:c r="G267" s="9"/>
      <x:c r="H267" s="9"/>
      <x:c r="I267" s="9"/>
      <x:c r="J267" s="25">
        <x:v>3</x:v>
      </x:c>
      <x:c r="K267" s="25">
        <x:v>3</x:v>
      </x:c>
      <x:c r="L267" s="25">
        <x:v>11</x:v>
      </x:c>
      <x:c r="M267" s="25">
        <x:v>15</x:v>
      </x:c>
      <x:c r="N267" s="25">
        <x:v>3</x:v>
      </x:c>
      <x:c r="O267" s="25">
        <x:v>4</x:v>
      </x:c>
      <x:c r="P267" s="25">
        <x:v>1</x:v>
      </x:c>
      <x:c r="Q267" s="13">
        <x:v>0</x:v>
      </x:c>
      <x:c r="R267" s="13">
        <x:v>0</x:v>
      </x:c>
      <x:c r="S267" s="13">
        <x:v>0</x:v>
      </x:c>
      <x:c r="T267" s="13">
        <x:v>0</x:v>
      </x:c>
      <x:c r="U267" s="13">
        <x:v>0</x:v>
      </x:c>
      <x:c r="V267" s="13">
        <x:v>0</x:v>
      </x:c>
      <x:c r="W267" s="23">
        <x:v>0.163</x:v>
      </x:c>
      <x:c r="X267" s="17">
        <x:v>0.1531</x:v>
      </x:c>
      <x:c r="Y267" s="17">
        <x:v>0.3943</x:v>
      </x:c>
      <x:c r="Z267" s="17">
        <x:v>0.625</x:v>
      </x:c>
      <x:c r="AA267" s="17">
        <x:v>0.0968</x:v>
      </x:c>
      <x:c r="AB267" s="17">
        <x:v>0.1333</x:v>
      </x:c>
      <x:c r="AC267" s="20">
        <x:v>0.0179</x:v>
      </x:c>
      <x:c r="AD267" s="17">
        <x:v>0.2805</x:v>
      </x:c>
      <x:c r="AE267" s="17">
        <x:v>0.2805</x:v>
      </x:c>
      <x:c r="AF267" s="2" t="s">
        <x:v>107</x:v>
      </x:c>
    </x:row>
    <x:row r="268">
      <x:c r="A268" s="7" t="s">
        <x:v>563</x:v>
      </x:c>
      <x:c r="B268" s="7" t="s">
        <x:v>564</x:v>
      </x:c>
      <x:c r="C268" s="7" t="s">
        <x:v>565</x:v>
      </x:c>
      <x:c r="D268" s="9"/>
      <x:c r="E268" s="9"/>
      <x:c r="F268" s="9"/>
      <x:c r="G268" s="9"/>
      <x:c r="H268" s="9"/>
      <x:c r="I268" s="9"/>
      <x:c r="J268" s="25">
        <x:v>4</x:v>
      </x:c>
      <x:c r="K268" s="25">
        <x:v>3</x:v>
      </x:c>
      <x:c r="L268" s="25">
        <x:v>15</x:v>
      </x:c>
      <x:c r="M268" s="25">
        <x:v>10</x:v>
      </x:c>
      <x:c r="N268" s="25">
        <x:v>1</x:v>
      </x:c>
      <x:c r="O268" s="25">
        <x:v>3</x:v>
      </x:c>
      <x:c r="P268" s="25">
        <x:v>2</x:v>
      </x:c>
      <x:c r="Q268" s="13">
        <x:v>0</x:v>
      </x:c>
      <x:c r="R268" s="13">
        <x:v>0</x:v>
      </x:c>
      <x:c r="S268" s="13">
        <x:v>0</x:v>
      </x:c>
      <x:c r="T268" s="13">
        <x:v>0</x:v>
      </x:c>
      <x:c r="U268" s="13">
        <x:v>0</x:v>
      </x:c>
      <x:c r="V268" s="13">
        <x:v>0</x:v>
      </x:c>
      <x:c r="W268" s="23">
        <x:v>0.2174</x:v>
      </x:c>
      <x:c r="X268" s="17">
        <x:v>0.1531</x:v>
      </x:c>
      <x:c r="Y268" s="17">
        <x:v>0.5376</x:v>
      </x:c>
      <x:c r="Z268" s="17">
        <x:v>0.4167</x:v>
      </x:c>
      <x:c r="AA268" s="17">
        <x:v>0.0323</x:v>
      </x:c>
      <x:c r="AB268" s="17">
        <x:v>0.1</x:v>
      </x:c>
      <x:c r="AC268" s="20">
        <x:v>0.0358</x:v>
      </x:c>
      <x:c r="AD268" s="17">
        <x:v>0.2479</x:v>
      </x:c>
      <x:c r="AE268" s="17">
        <x:v>0.2479</x:v>
      </x:c>
      <x:c r="AF268" s="2" t="s">
        <x:v>34</x:v>
      </x:c>
    </x:row>
    <x:row r="269">
      <x:c r="A269" s="7" t="s">
        <x:v>566</x:v>
      </x:c>
      <x:c r="B269" s="7" t="s">
        <x:v>567</x:v>
      </x:c>
      <x:c r="C269" s="7"/>
      <x:c r="D269" s="9"/>
      <x:c r="E269" s="9"/>
      <x:c r="F269" s="9"/>
      <x:c r="G269" s="9"/>
      <x:c r="H269" s="9"/>
      <x:c r="I269" s="9"/>
      <x:c r="J269" s="9"/>
      <x:c r="K269" s="9"/>
      <x:c r="L269" s="9"/>
      <x:c r="M269" s="9"/>
      <x:c r="N269" s="9"/>
      <x:c r="O269" s="9"/>
      <x:c r="P269" s="9"/>
      <x:c r="Q269" s="13">
        <x:v>0</x:v>
      </x:c>
      <x:c r="R269" s="13">
        <x:v>0</x:v>
      </x:c>
      <x:c r="S269" s="13">
        <x:v>0</x:v>
      </x:c>
      <x:c r="T269" s="13">
        <x:v>0</x:v>
      </x:c>
      <x:c r="U269" s="13">
        <x:v>0</x:v>
      </x:c>
      <x:c r="V269" s="13">
        <x:v>0</x:v>
      </x:c>
      <x:c r="W269" s="13">
        <x:v>0</x:v>
      </x:c>
      <x:c r="X269" s="13">
        <x:v>0</x:v>
      </x:c>
      <x:c r="Y269" s="13">
        <x:v>0</x:v>
      </x:c>
      <x:c r="Z269" s="13">
        <x:v>0</x:v>
      </x:c>
      <x:c r="AA269" s="13">
        <x:v>0</x:v>
      </x:c>
      <x:c r="AB269" s="13">
        <x:v>0</x:v>
      </x:c>
      <x:c r="AC269" s="16">
        <x:v>0</x:v>
      </x:c>
      <x:c r="AF269" s="2" t="s">
        <x:v>34</x:v>
      </x:c>
    </x:row>
    <x:row r="270">
      <x:c r="A270" s="7" t="s">
        <x:v>568</x:v>
      </x:c>
      <x:c r="B270" s="7" t="s">
        <x:v>569</x:v>
      </x:c>
      <x:c r="C270" s="7" t="s">
        <x:v>570</x:v>
      </x:c>
      <x:c r="D270" s="9"/>
      <x:c r="E270" s="9"/>
      <x:c r="F270" s="9"/>
      <x:c r="G270" s="9"/>
      <x:c r="H270" s="9"/>
      <x:c r="I270" s="9"/>
      <x:c r="J270" s="25">
        <x:v>8</x:v>
      </x:c>
      <x:c r="K270" s="25">
        <x:v>17</x:v>
      </x:c>
      <x:c r="L270" s="25">
        <x:v>19</x:v>
      </x:c>
      <x:c r="M270" s="25">
        <x:v>13</x:v>
      </x:c>
      <x:c r="N270" s="25">
        <x:v>1</x:v>
      </x:c>
      <x:c r="O270" s="9"/>
      <x:c r="P270" s="25">
        <x:v>1</x:v>
      </x:c>
      <x:c r="Q270" s="13">
        <x:v>0</x:v>
      </x:c>
      <x:c r="R270" s="13">
        <x:v>0</x:v>
      </x:c>
      <x:c r="S270" s="13">
        <x:v>0</x:v>
      </x:c>
      <x:c r="T270" s="13">
        <x:v>0</x:v>
      </x:c>
      <x:c r="U270" s="13">
        <x:v>0</x:v>
      </x:c>
      <x:c r="V270" s="13">
        <x:v>0</x:v>
      </x:c>
      <x:c r="W270" s="23">
        <x:v>0.5797</x:v>
      </x:c>
      <x:c r="X270" s="17">
        <x:v>1.0119</x:v>
      </x:c>
      <x:c r="Y270" s="17">
        <x:v>0.6129</x:v>
      </x:c>
      <x:c r="Z270" s="23">
        <x:v>0.8145</x:v>
      </x:c>
      <x:c r="AA270" s="13">
        <x:v>0</x:v>
      </x:c>
      <x:c r="AB270" s="13">
        <x:v>0</x:v>
      </x:c>
      <x:c r="AC270" s="16">
        <x:v>0.7692</x:v>
      </x:c>
      <x:c r="AD270" s="17">
        <x:v>0.8124</x:v>
      </x:c>
      <x:c r="AE270" s="17">
        <x:v>0.8124</x:v>
      </x:c>
      <x:c r="AF270" s="2" t="s">
        <x:v>34</x:v>
      </x:c>
    </x:row>
    <x:row r="271">
      <x:c r="A271" s="7" t="s">
        <x:v>571</x:v>
      </x:c>
      <x:c r="B271" s="7" t="s">
        <x:v>572</x:v>
      </x:c>
      <x:c r="C271" s="7" t="s">
        <x:v>573</x:v>
      </x:c>
      <x:c r="D271" s="9"/>
      <x:c r="E271" s="9"/>
      <x:c r="F271" s="9"/>
      <x:c r="G271" s="9"/>
      <x:c r="H271" s="9"/>
      <x:c r="I271" s="9"/>
      <x:c r="J271" s="25">
        <x:v>3</x:v>
      </x:c>
      <x:c r="K271" s="25">
        <x:v>8</x:v>
      </x:c>
      <x:c r="L271" s="25">
        <x:v>9</x:v>
      </x:c>
      <x:c r="M271" s="25">
        <x:v>3</x:v>
      </x:c>
      <x:c r="N271" s="25">
        <x:v>5</x:v>
      </x:c>
      <x:c r="O271" s="25">
        <x:v>12</x:v>
      </x:c>
      <x:c r="P271" s="25">
        <x:v>5</x:v>
      </x:c>
      <x:c r="Q271" s="13">
        <x:v>0</x:v>
      </x:c>
      <x:c r="R271" s="13">
        <x:v>0</x:v>
      </x:c>
      <x:c r="S271" s="13">
        <x:v>0</x:v>
      </x:c>
      <x:c r="T271" s="13">
        <x:v>0</x:v>
      </x:c>
      <x:c r="U271" s="13">
        <x:v>0</x:v>
      </x:c>
      <x:c r="V271" s="13">
        <x:v>0</x:v>
      </x:c>
      <x:c r="W271" s="23">
        <x:v>0.2174</x:v>
      </x:c>
      <x:c r="X271" s="17">
        <x:v>0.4762</x:v>
      </x:c>
      <x:c r="Y271" s="17">
        <x:v>0.2903</x:v>
      </x:c>
      <x:c r="Z271" s="17">
        <x:v>0.119</x:v>
      </x:c>
      <x:c r="AA271" s="17">
        <x:v>0.1613</x:v>
      </x:c>
      <x:c r="AB271" s="17">
        <x:v>0.4444</x:v>
      </x:c>
      <x:c r="AC271" s="20">
        <x:v>0.1241</x:v>
      </x:c>
      <x:c r="AD271" s="17">
        <x:v>0.2982</x:v>
      </x:c>
      <x:c r="AE271" s="17">
        <x:v>0.2982</x:v>
      </x:c>
      <x:c r="AF271" s="2" t="s">
        <x:v>34</x:v>
      </x:c>
    </x:row>
    <x:row r="272">
      <x:c r="A272" s="7" t="s">
        <x:v>574</x:v>
      </x:c>
      <x:c r="B272" s="7" t="s">
        <x:v>575</x:v>
      </x:c>
      <x:c r="C272" s="7" t="s">
        <x:v>576</x:v>
      </x:c>
      <x:c r="D272" s="9"/>
      <x:c r="E272" s="9"/>
      <x:c r="F272" s="9"/>
      <x:c r="G272" s="9"/>
      <x:c r="H272" s="9"/>
      <x:c r="I272" s="9"/>
      <x:c r="J272" s="25">
        <x:v>12</x:v>
      </x:c>
      <x:c r="K272" s="25">
        <x:v>12</x:v>
      </x:c>
      <x:c r="L272" s="25">
        <x:v>10</x:v>
      </x:c>
      <x:c r="M272" s="25">
        <x:v>1</x:v>
      </x:c>
      <x:c r="N272" s="9"/>
      <x:c r="O272" s="25">
        <x:v>2</x:v>
      </x:c>
      <x:c r="P272" s="9"/>
      <x:c r="Q272" s="13">
        <x:v>0</x:v>
      </x:c>
      <x:c r="R272" s="13">
        <x:v>0</x:v>
      </x:c>
      <x:c r="S272" s="13">
        <x:v>0</x:v>
      </x:c>
      <x:c r="T272" s="13">
        <x:v>0</x:v>
      </x:c>
      <x:c r="U272" s="13">
        <x:v>0</x:v>
      </x:c>
      <x:c r="V272" s="13">
        <x:v>0</x:v>
      </x:c>
      <x:c r="W272" s="23">
        <x:v>1.0435</x:v>
      </x:c>
      <x:c r="X272" s="17">
        <x:v>0.8571</x:v>
      </x:c>
      <x:c r="Y272" s="17">
        <x:v>0.3584</x:v>
      </x:c>
      <x:c r="Z272" s="17">
        <x:v>0.0417</x:v>
      </x:c>
      <x:c r="AA272" s="17">
        <x:v>0</x:v>
      </x:c>
      <x:c r="AB272" s="17">
        <x:v>0.0833</x:v>
      </x:c>
      <x:c r="AC272" s="20">
        <x:v>0</x:v>
      </x:c>
      <x:c r="AD272" s="17">
        <x:v>0.2681</x:v>
      </x:c>
      <x:c r="AE272" s="17">
        <x:v>0.2681</x:v>
      </x:c>
      <x:c r="AF272" s="2" t="s">
        <x:v>34</x:v>
      </x:c>
    </x:row>
    <x:row r="273">
      <x:c r="A273" s="7" t="s">
        <x:v>577</x:v>
      </x:c>
      <x:c r="B273" s="7" t="s">
        <x:v>578</x:v>
      </x:c>
      <x:c r="C273" s="7" t="s">
        <x:v>579</x:v>
      </x:c>
      <x:c r="D273" s="9"/>
      <x:c r="E273" s="9"/>
      <x:c r="F273" s="9"/>
      <x:c r="G273" s="9"/>
      <x:c r="H273" s="9"/>
      <x:c r="I273" s="9"/>
      <x:c r="J273" s="25">
        <x:v>9</x:v>
      </x:c>
      <x:c r="K273" s="25">
        <x:v>15</x:v>
      </x:c>
      <x:c r="L273" s="25">
        <x:v>8</x:v>
      </x:c>
      <x:c r="M273" s="9"/>
      <x:c r="N273" s="25">
        <x:v>4</x:v>
      </x:c>
      <x:c r="O273" s="9"/>
      <x:c r="P273" s="9"/>
      <x:c r="Q273" s="13">
        <x:v>0</x:v>
      </x:c>
      <x:c r="R273" s="13">
        <x:v>0</x:v>
      </x:c>
      <x:c r="S273" s="13">
        <x:v>0</x:v>
      </x:c>
      <x:c r="T273" s="13">
        <x:v>0</x:v>
      </x:c>
      <x:c r="U273" s="13">
        <x:v>0</x:v>
      </x:c>
      <x:c r="V273" s="13">
        <x:v>0</x:v>
      </x:c>
      <x:c r="W273" s="23">
        <x:v>0.7826</x:v>
      </x:c>
      <x:c r="X273" s="17">
        <x:v>1.0714</x:v>
      </x:c>
      <x:c r="Y273" s="17">
        <x:v>0.2867</x:v>
      </x:c>
      <x:c r="Z273" s="17">
        <x:v>0</x:v>
      </x:c>
      <x:c r="AA273" s="17">
        <x:v>0.1434</x:v>
      </x:c>
      <x:c r="AB273" s="17">
        <x:v>0</x:v>
      </x:c>
      <x:c r="AC273" s="20">
        <x:v>0</x:v>
      </x:c>
      <x:c r="AD273" s="17">
        <x:v>0.3003</x:v>
      </x:c>
      <x:c r="AE273" s="17">
        <x:v>0.3003</x:v>
      </x:c>
      <x:c r="AF273" s="2" t="s">
        <x:v>34</x:v>
      </x:c>
    </x:row>
    <x:row r="274">
      <x:c r="A274" s="7" t="s">
        <x:v>580</x:v>
      </x:c>
      <x:c r="B274" s="7" t="s">
        <x:v>581</x:v>
      </x:c>
      <x:c r="C274" s="7" t="s">
        <x:v>582</x:v>
      </x:c>
      <x:c r="D274" s="9"/>
      <x:c r="E274" s="9"/>
      <x:c r="F274" s="9"/>
      <x:c r="G274" s="9"/>
      <x:c r="H274" s="9"/>
      <x:c r="I274" s="9"/>
      <x:c r="J274" s="25">
        <x:v>8</x:v>
      </x:c>
      <x:c r="K274" s="25">
        <x:v>14</x:v>
      </x:c>
      <x:c r="L274" s="25">
        <x:v>4</x:v>
      </x:c>
      <x:c r="M274" s="9"/>
      <x:c r="N274" s="25">
        <x:v>1</x:v>
      </x:c>
      <x:c r="O274" s="9"/>
      <x:c r="P274" s="9"/>
      <x:c r="Q274" s="13">
        <x:v>0</x:v>
      </x:c>
      <x:c r="R274" s="13">
        <x:v>0</x:v>
      </x:c>
      <x:c r="S274" s="13">
        <x:v>0</x:v>
      </x:c>
      <x:c r="T274" s="13">
        <x:v>0</x:v>
      </x:c>
      <x:c r="U274" s="13">
        <x:v>0</x:v>
      </x:c>
      <x:c r="V274" s="13">
        <x:v>0</x:v>
      </x:c>
      <x:c r="W274" s="23">
        <x:v>0.6957</x:v>
      </x:c>
      <x:c r="X274" s="17">
        <x:v>1</x:v>
      </x:c>
      <x:c r="Y274" s="17">
        <x:v>0.1434</x:v>
      </x:c>
      <x:c r="Z274" s="17">
        <x:v>0</x:v>
      </x:c>
      <x:c r="AA274" s="17">
        <x:v>0.0358</x:v>
      </x:c>
      <x:c r="AB274" s="17">
        <x:v>0</x:v>
      </x:c>
      <x:c r="AC274" s="20">
        <x:v>0</x:v>
      </x:c>
      <x:c r="AD274" s="17">
        <x:v>0.2358</x:v>
      </x:c>
      <x:c r="AE274" s="17">
        <x:v>0.2358</x:v>
      </x:c>
      <x:c r="AF274" s="2" t="s">
        <x:v>34</x:v>
      </x:c>
    </x:row>
    <x:row r="275">
      <x:c r="A275" s="7" t="s">
        <x:v>583</x:v>
      </x:c>
      <x:c r="B275" s="7" t="s">
        <x:v>584</x:v>
      </x:c>
      <x:c r="C275" s="7" t="s">
        <x:v>585</x:v>
      </x:c>
      <x:c r="D275" s="9"/>
      <x:c r="E275" s="9"/>
      <x:c r="F275" s="9"/>
      <x:c r="G275" s="9"/>
      <x:c r="H275" s="9"/>
      <x:c r="I275" s="9"/>
      <x:c r="J275" s="25">
        <x:v>8</x:v>
      </x:c>
      <x:c r="K275" s="25">
        <x:v>16</x:v>
      </x:c>
      <x:c r="L275" s="25">
        <x:v>9</x:v>
      </x:c>
      <x:c r="M275" s="25">
        <x:v>1</x:v>
      </x:c>
      <x:c r="N275" s="25">
        <x:v>1</x:v>
      </x:c>
      <x:c r="O275" s="25">
        <x:v>1</x:v>
      </x:c>
      <x:c r="P275" s="25">
        <x:v>1</x:v>
      </x:c>
      <x:c r="Q275" s="13">
        <x:v>0</x:v>
      </x:c>
      <x:c r="R275" s="13">
        <x:v>0</x:v>
      </x:c>
      <x:c r="S275" s="13">
        <x:v>0</x:v>
      </x:c>
      <x:c r="T275" s="13">
        <x:v>0</x:v>
      </x:c>
      <x:c r="U275" s="13">
        <x:v>0</x:v>
      </x:c>
      <x:c r="V275" s="13">
        <x:v>0</x:v>
      </x:c>
      <x:c r="W275" s="23">
        <x:v>0.6957</x:v>
      </x:c>
      <x:c r="X275" s="17">
        <x:v>1.1429</x:v>
      </x:c>
      <x:c r="Y275" s="17">
        <x:v>0.3226</x:v>
      </x:c>
      <x:c r="Z275" s="17">
        <x:v>0.0417</x:v>
      </x:c>
      <x:c r="AA275" s="17">
        <x:v>0.0358</x:v>
      </x:c>
      <x:c r="AB275" s="17">
        <x:v>0.0417</x:v>
      </x:c>
      <x:c r="AC275" s="20">
        <x:v>0.0293</x:v>
      </x:c>
      <x:c r="AD275" s="17">
        <x:v>0.3169</x:v>
      </x:c>
      <x:c r="AE275" s="17">
        <x:v>0.3169</x:v>
      </x:c>
      <x:c r="AF275" s="2" t="s">
        <x:v>34</x:v>
      </x:c>
    </x:row>
    <x:row r="276">
      <x:c r="A276" s="7" t="s">
        <x:v>586</x:v>
      </x:c>
      <x:c r="B276" s="7" t="s">
        <x:v>587</x:v>
      </x:c>
      <x:c r="C276" s="7" t="s">
        <x:v>588</x:v>
      </x:c>
      <x:c r="D276" s="9"/>
      <x:c r="E276" s="9"/>
      <x:c r="F276" s="9"/>
      <x:c r="G276" s="9"/>
      <x:c r="H276" s="9"/>
      <x:c r="I276" s="9"/>
      <x:c r="J276" s="25">
        <x:v>21</x:v>
      </x:c>
      <x:c r="K276" s="25">
        <x:v>16</x:v>
      </x:c>
      <x:c r="L276" s="25">
        <x:v>16</x:v>
      </x:c>
      <x:c r="M276" s="25">
        <x:v>4</x:v>
      </x:c>
      <x:c r="N276" s="25">
        <x:v>2</x:v>
      </x:c>
      <x:c r="O276" s="25">
        <x:v>2</x:v>
      </x:c>
      <x:c r="P276" s="25">
        <x:v>4</x:v>
      </x:c>
      <x:c r="Q276" s="13">
        <x:v>0</x:v>
      </x:c>
      <x:c r="R276" s="13">
        <x:v>0</x:v>
      </x:c>
      <x:c r="S276" s="13">
        <x:v>0</x:v>
      </x:c>
      <x:c r="T276" s="13">
        <x:v>0</x:v>
      </x:c>
      <x:c r="U276" s="13">
        <x:v>0</x:v>
      </x:c>
      <x:c r="V276" s="13">
        <x:v>0</x:v>
      </x:c>
      <x:c r="W276" s="23">
        <x:v>1.8261</x:v>
      </x:c>
      <x:c r="X276" s="17">
        <x:v>1.1429</x:v>
      </x:c>
      <x:c r="Y276" s="17">
        <x:v>0.5735</x:v>
      </x:c>
      <x:c r="Z276" s="17">
        <x:v>0.1667</x:v>
      </x:c>
      <x:c r="AA276" s="17">
        <x:v>0.0717</x:v>
      </x:c>
      <x:c r="AB276" s="17">
        <x:v>0.0833</x:v>
      </x:c>
      <x:c r="AC276" s="20">
        <x:v>0.1173</x:v>
      </x:c>
      <x:c r="AD276" s="17">
        <x:v>0.4076</x:v>
      </x:c>
      <x:c r="AE276" s="17">
        <x:v>0.4076</x:v>
      </x:c>
      <x:c r="AF276" s="2" t="s">
        <x:v>34</x:v>
      </x:c>
    </x:row>
    <x:row r="277">
      <x:c r="A277" s="7" t="s">
        <x:v>589</x:v>
      </x:c>
      <x:c r="B277" s="7" t="s">
        <x:v>590</x:v>
      </x:c>
      <x:c r="C277" s="7" t="s">
        <x:v>591</x:v>
      </x:c>
      <x:c r="D277" s="9"/>
      <x:c r="E277" s="9"/>
      <x:c r="F277" s="9"/>
      <x:c r="G277" s="9"/>
      <x:c r="H277" s="9"/>
      <x:c r="I277" s="9"/>
      <x:c r="J277" s="25">
        <x:v>3</x:v>
      </x:c>
      <x:c r="K277" s="25">
        <x:v>13</x:v>
      </x:c>
      <x:c r="L277" s="25">
        <x:v>3</x:v>
      </x:c>
      <x:c r="M277" s="25">
        <x:v>3</x:v>
      </x:c>
      <x:c r="N277" s="9"/>
      <x:c r="O277" s="9"/>
      <x:c r="P277" s="25">
        <x:v>1</x:v>
      </x:c>
      <x:c r="Q277" s="13">
        <x:v>0</x:v>
      </x:c>
      <x:c r="R277" s="13">
        <x:v>0</x:v>
      </x:c>
      <x:c r="S277" s="13">
        <x:v>0</x:v>
      </x:c>
      <x:c r="T277" s="13">
        <x:v>0</x:v>
      </x:c>
      <x:c r="U277" s="13">
        <x:v>0</x:v>
      </x:c>
      <x:c r="V277" s="13">
        <x:v>0</x:v>
      </x:c>
      <x:c r="W277" s="23">
        <x:v>0.2609</x:v>
      </x:c>
      <x:c r="X277" s="17">
        <x:v>0.9286</x:v>
      </x:c>
      <x:c r="Y277" s="17">
        <x:v>0.1075</x:v>
      </x:c>
      <x:c r="Z277" s="17">
        <x:v>0.125</x:v>
      </x:c>
      <x:c r="AA277" s="17">
        <x:v>0</x:v>
      </x:c>
      <x:c r="AB277" s="17">
        <x:v>0</x:v>
      </x:c>
      <x:c r="AC277" s="20">
        <x:v>0.0293</x:v>
      </x:c>
      <x:c r="AD277" s="17">
        <x:v>0.2322</x:v>
      </x:c>
      <x:c r="AE277" s="17">
        <x:v>0.2322</x:v>
      </x:c>
      <x:c r="AF277" s="2" t="s">
        <x:v>34</x:v>
      </x:c>
    </x:row>
    <x:row r="278">
      <x:c r="A278" s="7" t="s">
        <x:v>592</x:v>
      </x:c>
      <x:c r="B278" s="7" t="s">
        <x:v>593</x:v>
      </x:c>
      <x:c r="C278" s="7" t="s">
        <x:v>594</x:v>
      </x:c>
      <x:c r="D278" s="9"/>
      <x:c r="E278" s="9"/>
      <x:c r="F278" s="9"/>
      <x:c r="G278" s="9"/>
      <x:c r="H278" s="9"/>
      <x:c r="I278" s="9"/>
      <x:c r="J278" s="25">
        <x:v>3</x:v>
      </x:c>
      <x:c r="K278" s="25">
        <x:v>20</x:v>
      </x:c>
      <x:c r="L278" s="25">
        <x:v>8</x:v>
      </x:c>
      <x:c r="M278" s="25">
        <x:v>6</x:v>
      </x:c>
      <x:c r="N278" s="25">
        <x:v>2</x:v>
      </x:c>
      <x:c r="O278" s="9"/>
      <x:c r="P278" s="25">
        <x:v>1</x:v>
      </x:c>
      <x:c r="Q278" s="13">
        <x:v>0</x:v>
      </x:c>
      <x:c r="R278" s="13">
        <x:v>0</x:v>
      </x:c>
      <x:c r="S278" s="13">
        <x:v>0</x:v>
      </x:c>
      <x:c r="T278" s="13">
        <x:v>0</x:v>
      </x:c>
      <x:c r="U278" s="13">
        <x:v>0</x:v>
      </x:c>
      <x:c r="V278" s="13">
        <x:v>0</x:v>
      </x:c>
      <x:c r="W278" s="23">
        <x:v>0.2609</x:v>
      </x:c>
      <x:c r="X278" s="17">
        <x:v>1.4286</x:v>
      </x:c>
      <x:c r="Y278" s="17">
        <x:v>0.2867</x:v>
      </x:c>
      <x:c r="Z278" s="17">
        <x:v>0.25</x:v>
      </x:c>
      <x:c r="AA278" s="17">
        <x:v>0.0717</x:v>
      </x:c>
      <x:c r="AB278" s="17">
        <x:v>0</x:v>
      </x:c>
      <x:c r="AC278" s="20">
        <x:v>0.0293</x:v>
      </x:c>
      <x:c r="AD278" s="17">
        <x:v>0.4074</x:v>
      </x:c>
      <x:c r="AE278" s="17">
        <x:v>0.4074</x:v>
      </x:c>
      <x:c r="AF278" s="2" t="s">
        <x:v>34</x:v>
      </x:c>
    </x:row>
    <x:row r="279">
      <x:c r="A279" s="7" t="s">
        <x:v>595</x:v>
      </x:c>
      <x:c r="B279" s="7" t="s">
        <x:v>596</x:v>
      </x:c>
      <x:c r="C279" s="7" t="s">
        <x:v>597</x:v>
      </x:c>
      <x:c r="D279" s="9"/>
      <x:c r="E279" s="9"/>
      <x:c r="F279" s="9"/>
      <x:c r="G279" s="9"/>
      <x:c r="H279" s="9"/>
      <x:c r="I279" s="9"/>
      <x:c r="J279" s="25">
        <x:v>6</x:v>
      </x:c>
      <x:c r="K279" s="25">
        <x:v>17</x:v>
      </x:c>
      <x:c r="L279" s="25">
        <x:v>3</x:v>
      </x:c>
      <x:c r="M279" s="25">
        <x:v>3</x:v>
      </x:c>
      <x:c r="N279" s="9"/>
      <x:c r="O279" s="9"/>
      <x:c r="P279" s="25">
        <x:v>1</x:v>
      </x:c>
      <x:c r="Q279" s="13">
        <x:v>0</x:v>
      </x:c>
      <x:c r="R279" s="13">
        <x:v>0</x:v>
      </x:c>
      <x:c r="S279" s="13">
        <x:v>0</x:v>
      </x:c>
      <x:c r="T279" s="13">
        <x:v>0</x:v>
      </x:c>
      <x:c r="U279" s="13">
        <x:v>0</x:v>
      </x:c>
      <x:c r="V279" s="13">
        <x:v>0</x:v>
      </x:c>
      <x:c r="W279" s="23">
        <x:v>0.5217</x:v>
      </x:c>
      <x:c r="X279" s="17">
        <x:v>1.2143</x:v>
      </x:c>
      <x:c r="Y279" s="17">
        <x:v>0.1075</x:v>
      </x:c>
      <x:c r="Z279" s="17">
        <x:v>0.125</x:v>
      </x:c>
      <x:c r="AA279" s="17">
        <x:v>0</x:v>
      </x:c>
      <x:c r="AB279" s="17">
        <x:v>0</x:v>
      </x:c>
      <x:c r="AC279" s="20">
        <x:v>0.0293</x:v>
      </x:c>
      <x:c r="AD279" s="17">
        <x:v>0.2894</x:v>
      </x:c>
      <x:c r="AE279" s="17">
        <x:v>0.2894</x:v>
      </x:c>
      <x:c r="AF279" s="2" t="s">
        <x:v>34</x:v>
      </x:c>
    </x:row>
    <x:row r="280">
      <x:c r="A280" s="7" t="s">
        <x:v>598</x:v>
      </x:c>
      <x:c r="B280" s="7" t="s">
        <x:v>599</x:v>
      </x:c>
      <x:c r="C280" s="7" t="s">
        <x:v>600</x:v>
      </x:c>
      <x:c r="D280" s="9"/>
      <x:c r="E280" s="9"/>
      <x:c r="F280" s="9"/>
      <x:c r="G280" s="9"/>
      <x:c r="H280" s="9"/>
      <x:c r="I280" s="9"/>
      <x:c r="J280" s="25">
        <x:v>4</x:v>
      </x:c>
      <x:c r="K280" s="9"/>
      <x:c r="L280" s="25">
        <x:v>2</x:v>
      </x:c>
      <x:c r="M280" s="25">
        <x:v>2</x:v>
      </x:c>
      <x:c r="N280" s="9"/>
      <x:c r="O280" s="9"/>
      <x:c r="P280" s="25">
        <x:v>1</x:v>
      </x:c>
      <x:c r="Q280" s="13">
        <x:v>0</x:v>
      </x:c>
      <x:c r="R280" s="13">
        <x:v>0</x:v>
      </x:c>
      <x:c r="S280" s="13">
        <x:v>0</x:v>
      </x:c>
      <x:c r="T280" s="13">
        <x:v>0</x:v>
      </x:c>
      <x:c r="U280" s="13">
        <x:v>0</x:v>
      </x:c>
      <x:c r="V280" s="13">
        <x:v>0</x:v>
      </x:c>
      <x:c r="W280" s="23">
        <x:v>0.3478</x:v>
      </x:c>
      <x:c r="X280" s="17">
        <x:v>0</x:v>
      </x:c>
      <x:c r="Y280" s="17">
        <x:v>0.0717</x:v>
      </x:c>
      <x:c r="Z280" s="17">
        <x:v>0.0833</x:v>
      </x:c>
      <x:c r="AA280" s="17">
        <x:v>0</x:v>
      </x:c>
      <x:c r="AB280" s="17">
        <x:v>0</x:v>
      </x:c>
      <x:c r="AC280" s="20">
        <x:v>0.0293</x:v>
      </x:c>
      <x:c r="AD280" s="17">
        <x:v>0.031</x:v>
      </x:c>
      <x:c r="AE280" s="17">
        <x:v>0.031</x:v>
      </x:c>
      <x:c r="AF280" s="2" t="s">
        <x:v>34</x:v>
      </x:c>
    </x:row>
    <x:row r="281">
      <x:c r="A281" s="7" t="s">
        <x:v>601</x:v>
      </x:c>
      <x:c r="B281" s="7" t="s">
        <x:v>602</x:v>
      </x:c>
      <x:c r="C281" s="7" t="s">
        <x:v>603</x:v>
      </x:c>
      <x:c r="D281" s="9"/>
      <x:c r="E281" s="9"/>
      <x:c r="F281" s="9"/>
      <x:c r="G281" s="9"/>
      <x:c r="H281" s="9"/>
      <x:c r="I281" s="9"/>
      <x:c r="J281" s="25">
        <x:v>4</x:v>
      </x:c>
      <x:c r="K281" s="9"/>
      <x:c r="L281" s="9"/>
      <x:c r="M281" s="25">
        <x:v>2</x:v>
      </x:c>
      <x:c r="N281" s="25">
        <x:v>1</x:v>
      </x:c>
      <x:c r="O281" s="9"/>
      <x:c r="P281" s="9"/>
      <x:c r="Q281" s="13">
        <x:v>0</x:v>
      </x:c>
      <x:c r="R281" s="13">
        <x:v>0</x:v>
      </x:c>
      <x:c r="S281" s="13">
        <x:v>0</x:v>
      </x:c>
      <x:c r="T281" s="13">
        <x:v>0</x:v>
      </x:c>
      <x:c r="U281" s="13">
        <x:v>0</x:v>
      </x:c>
      <x:c r="V281" s="13">
        <x:v>0</x:v>
      </x:c>
      <x:c r="W281" s="23">
        <x:v>0.3478</x:v>
      </x:c>
      <x:c r="X281" s="17">
        <x:v>0</x:v>
      </x:c>
      <x:c r="Y281" s="17">
        <x:v>0</x:v>
      </x:c>
      <x:c r="Z281" s="17">
        <x:v>0.0833</x:v>
      </x:c>
      <x:c r="AA281" s="17">
        <x:v>0.0358</x:v>
      </x:c>
      <x:c r="AB281" s="17">
        <x:v>0</x:v>
      </x:c>
      <x:c r="AC281" s="20">
        <x:v>0</x:v>
      </x:c>
      <x:c r="AD281" s="17">
        <x:v>0.0238</x:v>
      </x:c>
      <x:c r="AE281" s="17">
        <x:v>0.0238</x:v>
      </x:c>
      <x:c r="AF281" s="2" t="s">
        <x:v>34</x:v>
      </x:c>
    </x:row>
    <x:row r="282">
      <x:c r="A282" s="7" t="s">
        <x:v>604</x:v>
      </x:c>
      <x:c r="B282" s="7" t="s">
        <x:v>605</x:v>
      </x:c>
      <x:c r="C282" s="7" t="s">
        <x:v>606</x:v>
      </x:c>
      <x:c r="D282" s="9"/>
      <x:c r="E282" s="9"/>
      <x:c r="F282" s="9"/>
      <x:c r="G282" s="9"/>
      <x:c r="H282" s="9"/>
      <x:c r="I282" s="9"/>
      <x:c r="J282" s="25">
        <x:v>2</x:v>
      </x:c>
      <x:c r="K282" s="25">
        <x:v>7</x:v>
      </x:c>
      <x:c r="L282" s="25">
        <x:v>15</x:v>
      </x:c>
      <x:c r="M282" s="9"/>
      <x:c r="N282" s="9"/>
      <x:c r="O282" s="25">
        <x:v>1</x:v>
      </x:c>
      <x:c r="P282" s="9"/>
      <x:c r="Q282" s="13">
        <x:v>0</x:v>
      </x:c>
      <x:c r="R282" s="13">
        <x:v>0</x:v>
      </x:c>
      <x:c r="S282" s="13">
        <x:v>0</x:v>
      </x:c>
      <x:c r="T282" s="13">
        <x:v>0</x:v>
      </x:c>
      <x:c r="U282" s="13">
        <x:v>0</x:v>
      </x:c>
      <x:c r="V282" s="13">
        <x:v>0</x:v>
      </x:c>
      <x:c r="W282" s="23">
        <x:v>0.1087</x:v>
      </x:c>
      <x:c r="X282" s="17">
        <x:v>0.3571</x:v>
      </x:c>
      <x:c r="Y282" s="17">
        <x:v>0.5376</x:v>
      </x:c>
      <x:c r="Z282" s="17">
        <x:v>0</x:v>
      </x:c>
      <x:c r="AA282" s="17">
        <x:v>0</x:v>
      </x:c>
      <x:c r="AB282" s="17">
        <x:v>0.0333</x:v>
      </x:c>
      <x:c r="AC282" s="20">
        <x:v>0</x:v>
      </x:c>
      <x:c r="AD282" s="17">
        <x:v>0.1856</x:v>
      </x:c>
      <x:c r="AE282" s="17">
        <x:v>0.1856</x:v>
      </x:c>
      <x:c r="AF282" s="2" t="s">
        <x:v>34</x:v>
      </x:c>
    </x:row>
    <x:row r="283">
      <x:c r="A283" s="7" t="s">
        <x:v>607</x:v>
      </x:c>
      <x:c r="B283" s="7" t="s">
        <x:v>608</x:v>
      </x:c>
      <x:c r="C283" s="7" t="s">
        <x:v>609</x:v>
      </x:c>
      <x:c r="D283" s="9"/>
      <x:c r="E283" s="9"/>
      <x:c r="F283" s="9"/>
      <x:c r="G283" s="9"/>
      <x:c r="H283" s="9"/>
      <x:c r="I283" s="9"/>
      <x:c r="J283" s="25">
        <x:v>3</x:v>
      </x:c>
      <x:c r="K283" s="9"/>
      <x:c r="L283" s="25">
        <x:v>5</x:v>
      </x:c>
      <x:c r="M283" s="25">
        <x:v>9</x:v>
      </x:c>
      <x:c r="N283" s="25">
        <x:v>3</x:v>
      </x:c>
      <x:c r="O283" s="25">
        <x:v>13</x:v>
      </x:c>
      <x:c r="P283" s="25">
        <x:v>1</x:v>
      </x:c>
      <x:c r="Q283" s="13">
        <x:v>0</x:v>
      </x:c>
      <x:c r="R283" s="13">
        <x:v>0</x:v>
      </x:c>
      <x:c r="S283" s="13">
        <x:v>0</x:v>
      </x:c>
      <x:c r="T283" s="13">
        <x:v>0</x:v>
      </x:c>
      <x:c r="U283" s="13">
        <x:v>0</x:v>
      </x:c>
      <x:c r="V283" s="13">
        <x:v>0</x:v>
      </x:c>
      <x:c r="W283" s="23">
        <x:v>0.163</x:v>
      </x:c>
      <x:c r="X283" s="17">
        <x:v>0</x:v>
      </x:c>
      <x:c r="Y283" s="17">
        <x:v>0.1792</x:v>
      </x:c>
      <x:c r="Z283" s="17">
        <x:v>0.375</x:v>
      </x:c>
      <x:c r="AA283" s="17">
        <x:v>0.0968</x:v>
      </x:c>
      <x:c r="AB283" s="17">
        <x:v>0.4333</x:v>
      </x:c>
      <x:c r="AC283" s="20">
        <x:v>0.0179</x:v>
      </x:c>
      <x:c r="AD283" s="17">
        <x:v>0.2169</x:v>
      </x:c>
      <x:c r="AE283" s="17">
        <x:v>0.2169</x:v>
      </x:c>
      <x:c r="AF283" s="2" t="s">
        <x:v>34</x:v>
      </x:c>
    </x:row>
    <x:row r="284">
      <x:c r="A284" s="7" t="s">
        <x:v>610</x:v>
      </x:c>
      <x:c r="B284" s="7" t="s">
        <x:v>611</x:v>
      </x:c>
      <x:c r="C284" s="7" t="s">
        <x:v>612</x:v>
      </x:c>
      <x:c r="D284" s="9"/>
      <x:c r="E284" s="9"/>
      <x:c r="F284" s="9"/>
      <x:c r="G284" s="9"/>
      <x:c r="H284" s="9"/>
      <x:c r="I284" s="9"/>
      <x:c r="J284" s="25">
        <x:v>6</x:v>
      </x:c>
      <x:c r="K284" s="25">
        <x:v>1</x:v>
      </x:c>
      <x:c r="L284" s="25">
        <x:v>10</x:v>
      </x:c>
      <x:c r="M284" s="25">
        <x:v>6</x:v>
      </x:c>
      <x:c r="N284" s="25">
        <x:v>1</x:v>
      </x:c>
      <x:c r="O284" s="25">
        <x:v>10</x:v>
      </x:c>
      <x:c r="P284" s="25">
        <x:v>6</x:v>
      </x:c>
      <x:c r="Q284" s="13">
        <x:v>0</x:v>
      </x:c>
      <x:c r="R284" s="13">
        <x:v>0</x:v>
      </x:c>
      <x:c r="S284" s="13">
        <x:v>0</x:v>
      </x:c>
      <x:c r="T284" s="13">
        <x:v>0</x:v>
      </x:c>
      <x:c r="U284" s="13">
        <x:v>0</x:v>
      </x:c>
      <x:c r="V284" s="13">
        <x:v>0</x:v>
      </x:c>
      <x:c r="W284" s="23">
        <x:v>0.3261</x:v>
      </x:c>
      <x:c r="X284" s="17">
        <x:v>0.051</x:v>
      </x:c>
      <x:c r="Y284" s="17">
        <x:v>0.3584</x:v>
      </x:c>
      <x:c r="Z284" s="17">
        <x:v>0.25</x:v>
      </x:c>
      <x:c r="AA284" s="17">
        <x:v>0.0323</x:v>
      </x:c>
      <x:c r="AB284" s="17">
        <x:v>0.3333</x:v>
      </x:c>
      <x:c r="AC284" s="20">
        <x:v>0.1075</x:v>
      </x:c>
      <x:c r="AD284" s="17">
        <x:v>0.205</x:v>
      </x:c>
      <x:c r="AE284" s="17">
        <x:v>0.205</x:v>
      </x:c>
      <x:c r="AF284" s="2" t="s">
        <x:v>34</x:v>
      </x:c>
    </x:row>
    <x:row r="285">
      <x:c r="A285" s="7" t="s">
        <x:v>613</x:v>
      </x:c>
      <x:c r="B285" s="7" t="s">
        <x:v>614</x:v>
      </x:c>
      <x:c r="C285" s="7" t="s">
        <x:v>615</x:v>
      </x:c>
      <x:c r="D285" s="9"/>
      <x:c r="E285" s="9"/>
      <x:c r="F285" s="9"/>
      <x:c r="G285" s="9"/>
      <x:c r="H285" s="9"/>
      <x:c r="I285" s="9"/>
      <x:c r="J285" s="25">
        <x:v>2</x:v>
      </x:c>
      <x:c r="K285" s="25">
        <x:v>2</x:v>
      </x:c>
      <x:c r="L285" s="9"/>
      <x:c r="M285" s="25">
        <x:v>5</x:v>
      </x:c>
      <x:c r="N285" s="25">
        <x:v>4</x:v>
      </x:c>
      <x:c r="O285" s="25">
        <x:v>7</x:v>
      </x:c>
      <x:c r="P285" s="25">
        <x:v>1</x:v>
      </x:c>
      <x:c r="Q285" s="13">
        <x:v>0</x:v>
      </x:c>
      <x:c r="R285" s="13">
        <x:v>0</x:v>
      </x:c>
      <x:c r="S285" s="13">
        <x:v>0</x:v>
      </x:c>
      <x:c r="T285" s="13">
        <x:v>0</x:v>
      </x:c>
      <x:c r="U285" s="13">
        <x:v>0</x:v>
      </x:c>
      <x:c r="V285" s="13">
        <x:v>0</x:v>
      </x:c>
      <x:c r="W285" s="23">
        <x:v>0.1087</x:v>
      </x:c>
      <x:c r="X285" s="17">
        <x:v>0.102</x:v>
      </x:c>
      <x:c r="Y285" s="17">
        <x:v>0</x:v>
      </x:c>
      <x:c r="Z285" s="17">
        <x:v>0.2083</x:v>
      </x:c>
      <x:c r="AA285" s="17">
        <x:v>0.129</x:v>
      </x:c>
      <x:c r="AB285" s="17">
        <x:v>0.2333</x:v>
      </x:c>
      <x:c r="AC285" s="20">
        <x:v>0.0179</x:v>
      </x:c>
      <x:c r="AD285" s="17">
        <x:v>0.1345</x:v>
      </x:c>
      <x:c r="AE285" s="17">
        <x:v>0.1345</x:v>
      </x:c>
      <x:c r="AF285" s="2" t="s">
        <x:v>34</x:v>
      </x:c>
    </x:row>
    <x:row r="286">
      <x:c r="A286" s="7" t="s">
        <x:v>616</x:v>
      </x:c>
      <x:c r="B286" s="7" t="s">
        <x:v>617</x:v>
      </x:c>
      <x:c r="C286" s="7" t="s">
        <x:v>618</x:v>
      </x:c>
      <x:c r="D286" s="9"/>
      <x:c r="E286" s="9"/>
      <x:c r="F286" s="9"/>
      <x:c r="G286" s="9"/>
      <x:c r="H286" s="9"/>
      <x:c r="I286" s="9"/>
      <x:c r="J286" s="25">
        <x:v>1</x:v>
      </x:c>
      <x:c r="K286" s="25">
        <x:v>1</x:v>
      </x:c>
      <x:c r="L286" s="9"/>
      <x:c r="M286" s="25">
        <x:v>7</x:v>
      </x:c>
      <x:c r="N286" s="25">
        <x:v>3</x:v>
      </x:c>
      <x:c r="O286" s="25">
        <x:v>6</x:v>
      </x:c>
      <x:c r="P286" s="25">
        <x:v>5</x:v>
      </x:c>
      <x:c r="Q286" s="13">
        <x:v>0</x:v>
      </x:c>
      <x:c r="R286" s="13">
        <x:v>0</x:v>
      </x:c>
      <x:c r="S286" s="13">
        <x:v>0</x:v>
      </x:c>
      <x:c r="T286" s="13">
        <x:v>0</x:v>
      </x:c>
      <x:c r="U286" s="13">
        <x:v>0</x:v>
      </x:c>
      <x:c r="V286" s="13">
        <x:v>0</x:v>
      </x:c>
      <x:c r="W286" s="23">
        <x:v>0.0543</x:v>
      </x:c>
      <x:c r="X286" s="17">
        <x:v>0.051</x:v>
      </x:c>
      <x:c r="Y286" s="17">
        <x:v>0</x:v>
      </x:c>
      <x:c r="Z286" s="17">
        <x:v>0.2917</x:v>
      </x:c>
      <x:c r="AA286" s="17">
        <x:v>0.0968</x:v>
      </x:c>
      <x:c r="AB286" s="17">
        <x:v>0.2</x:v>
      </x:c>
      <x:c r="AC286" s="20">
        <x:v>0.0896</x:v>
      </x:c>
      <x:c r="AD286" s="17">
        <x:v>0.1279</x:v>
      </x:c>
      <x:c r="AE286" s="17">
        <x:v>0.1279</x:v>
      </x:c>
      <x:c r="AF286" s="2" t="s">
        <x:v>34</x:v>
      </x:c>
    </x:row>
    <x:row r="287">
      <x:c r="A287" s="7" t="s">
        <x:v>619</x:v>
      </x:c>
      <x:c r="B287" s="7" t="s">
        <x:v>620</x:v>
      </x:c>
      <x:c r="C287" s="7" t="s">
        <x:v>621</x:v>
      </x:c>
      <x:c r="D287" s="9"/>
      <x:c r="E287" s="9"/>
      <x:c r="F287" s="9"/>
      <x:c r="G287" s="9"/>
      <x:c r="H287" s="9"/>
      <x:c r="I287" s="9"/>
      <x:c r="J287" s="25">
        <x:v>2</x:v>
      </x:c>
      <x:c r="K287" s="25">
        <x:v>3</x:v>
      </x:c>
      <x:c r="L287" s="25">
        <x:v>4</x:v>
      </x:c>
      <x:c r="M287" s="25">
        <x:v>2</x:v>
      </x:c>
      <x:c r="N287" s="25">
        <x:v>2</x:v>
      </x:c>
      <x:c r="O287" s="25">
        <x:v>5</x:v>
      </x:c>
      <x:c r="P287" s="9"/>
      <x:c r="Q287" s="13">
        <x:v>0</x:v>
      </x:c>
      <x:c r="R287" s="13">
        <x:v>0</x:v>
      </x:c>
      <x:c r="S287" s="13">
        <x:v>0</x:v>
      </x:c>
      <x:c r="T287" s="13">
        <x:v>0</x:v>
      </x:c>
      <x:c r="U287" s="13">
        <x:v>0</x:v>
      </x:c>
      <x:c r="V287" s="13">
        <x:v>0</x:v>
      </x:c>
      <x:c r="W287" s="23">
        <x:v>0.1087</x:v>
      </x:c>
      <x:c r="X287" s="17">
        <x:v>0.1531</x:v>
      </x:c>
      <x:c r="Y287" s="17">
        <x:v>0.1434</x:v>
      </x:c>
      <x:c r="Z287" s="17">
        <x:v>0.0833</x:v>
      </x:c>
      <x:c r="AA287" s="17">
        <x:v>0.0645</x:v>
      </x:c>
      <x:c r="AB287" s="17">
        <x:v>0.1667</x:v>
      </x:c>
      <x:c r="AC287" s="20">
        <x:v>0</x:v>
      </x:c>
      <x:c r="AD287" s="17">
        <x:v>0.1222</x:v>
      </x:c>
      <x:c r="AE287" s="17">
        <x:v>0.1222</x:v>
      </x:c>
      <x:c r="AF287" s="2" t="s">
        <x:v>34</x:v>
      </x:c>
    </x:row>
    <x:row r="288">
      <x:c r="A288" s="7" t="s">
        <x:v>622</x:v>
      </x:c>
      <x:c r="B288" s="7" t="s">
        <x:v>623</x:v>
      </x:c>
      <x:c r="C288" s="7" t="s">
        <x:v>624</x:v>
      </x:c>
      <x:c r="D288" s="9"/>
      <x:c r="E288" s="9"/>
      <x:c r="F288" s="9"/>
      <x:c r="G288" s="9"/>
      <x:c r="H288" s="9"/>
      <x:c r="I288" s="9"/>
      <x:c r="J288" s="25">
        <x:v>3</x:v>
      </x:c>
      <x:c r="K288" s="25">
        <x:v>22</x:v>
      </x:c>
      <x:c r="L288" s="25">
        <x:v>4</x:v>
      </x:c>
      <x:c r="M288" s="25">
        <x:v>2</x:v>
      </x:c>
      <x:c r="N288" s="25">
        <x:v>1</x:v>
      </x:c>
      <x:c r="O288" s="25">
        <x:v>3</x:v>
      </x:c>
      <x:c r="P288" s="25">
        <x:v>1</x:v>
      </x:c>
      <x:c r="Q288" s="13">
        <x:v>0</x:v>
      </x:c>
      <x:c r="R288" s="13">
        <x:v>0</x:v>
      </x:c>
      <x:c r="S288" s="13">
        <x:v>0</x:v>
      </x:c>
      <x:c r="T288" s="13">
        <x:v>0</x:v>
      </x:c>
      <x:c r="U288" s="13">
        <x:v>0</x:v>
      </x:c>
      <x:c r="V288" s="13">
        <x:v>0</x:v>
      </x:c>
      <x:c r="W288" s="23">
        <x:v>0.163</x:v>
      </x:c>
      <x:c r="X288" s="17">
        <x:v>1.1224</x:v>
      </x:c>
      <x:c r="Y288" s="17">
        <x:v>0.1434</x:v>
      </x:c>
      <x:c r="Z288" s="17">
        <x:v>0.0833</x:v>
      </x:c>
      <x:c r="AA288" s="17">
        <x:v>0.0323</x:v>
      </x:c>
      <x:c r="AB288" s="17">
        <x:v>0.1</x:v>
      </x:c>
      <x:c r="AC288" s="20">
        <x:v>0.0179</x:v>
      </x:c>
      <x:c r="AD288" s="17">
        <x:v>0.2963</x:v>
      </x:c>
      <x:c r="AE288" s="17">
        <x:v>0.2963</x:v>
      </x:c>
      <x:c r="AF288" s="2" t="s">
        <x:v>34</x:v>
      </x:c>
    </x:row>
    <x:row r="289">
      <x:c r="A289" s="7" t="s">
        <x:v>625</x:v>
      </x:c>
      <x:c r="B289" s="7" t="s">
        <x:v>626</x:v>
      </x:c>
      <x:c r="C289" s="7" t="s">
        <x:v>627</x:v>
      </x:c>
      <x:c r="D289" s="9"/>
      <x:c r="E289" s="9"/>
      <x:c r="F289" s="9"/>
      <x:c r="G289" s="9"/>
      <x:c r="H289" s="9"/>
      <x:c r="I289" s="9"/>
      <x:c r="J289" s="9"/>
      <x:c r="K289" s="25">
        <x:v>13</x:v>
      </x:c>
      <x:c r="L289" s="25">
        <x:v>4</x:v>
      </x:c>
      <x:c r="M289" s="25">
        <x:v>2</x:v>
      </x:c>
      <x:c r="N289" s="9"/>
      <x:c r="O289" s="25">
        <x:v>3</x:v>
      </x:c>
      <x:c r="P289" s="25">
        <x:v>1</x:v>
      </x:c>
      <x:c r="Q289" s="13">
        <x:v>0</x:v>
      </x:c>
      <x:c r="R289" s="13">
        <x:v>0</x:v>
      </x:c>
      <x:c r="S289" s="13">
        <x:v>0</x:v>
      </x:c>
      <x:c r="T289" s="13">
        <x:v>0</x:v>
      </x:c>
      <x:c r="U289" s="13">
        <x:v>0</x:v>
      </x:c>
      <x:c r="V289" s="13">
        <x:v>0</x:v>
      </x:c>
      <x:c r="W289" s="23">
        <x:v>0</x:v>
      </x:c>
      <x:c r="X289" s="17">
        <x:v>0.6633</x:v>
      </x:c>
      <x:c r="Y289" s="17">
        <x:v>0.1434</x:v>
      </x:c>
      <x:c r="Z289" s="17">
        <x:v>0.0833</x:v>
      </x:c>
      <x:c r="AA289" s="17">
        <x:v>0</x:v>
      </x:c>
      <x:c r="AB289" s="17">
        <x:v>0.1</x:v>
      </x:c>
      <x:c r="AC289" s="20">
        <x:v>0.0179</x:v>
      </x:c>
      <x:c r="AD289" s="17">
        <x:v>0.198</x:v>
      </x:c>
      <x:c r="AE289" s="17">
        <x:v>0.198</x:v>
      </x:c>
      <x:c r="AF289" s="2" t="s">
        <x:v>34</x:v>
      </x:c>
    </x:row>
    <x:row r="290">
      <x:c r="A290" s="7" t="s">
        <x:v>628</x:v>
      </x:c>
      <x:c r="B290" s="7" t="s">
        <x:v>629</x:v>
      </x:c>
      <x:c r="C290" s="7" t="s">
        <x:v>630</x:v>
      </x:c>
      <x:c r="D290" s="9"/>
      <x:c r="E290" s="9"/>
      <x:c r="F290" s="9"/>
      <x:c r="G290" s="9"/>
      <x:c r="H290" s="9"/>
      <x:c r="I290" s="9"/>
      <x:c r="J290" s="9"/>
      <x:c r="K290" s="9"/>
      <x:c r="L290" s="9"/>
      <x:c r="M290" s="9"/>
      <x:c r="N290" s="9"/>
      <x:c r="O290" s="9"/>
      <x:c r="P290" s="9"/>
      <x:c r="Q290" s="13">
        <x:v>0</x:v>
      </x:c>
      <x:c r="R290" s="13">
        <x:v>0</x:v>
      </x:c>
      <x:c r="S290" s="13">
        <x:v>0</x:v>
      </x:c>
      <x:c r="T290" s="13">
        <x:v>0</x:v>
      </x:c>
      <x:c r="U290" s="13">
        <x:v>0</x:v>
      </x:c>
      <x:c r="V290" s="13">
        <x:v>0</x:v>
      </x:c>
      <x:c r="W290" s="13">
        <x:v>0</x:v>
      </x:c>
      <x:c r="X290" s="13">
        <x:v>0</x:v>
      </x:c>
      <x:c r="Y290" s="13">
        <x:v>0</x:v>
      </x:c>
      <x:c r="Z290" s="13">
        <x:v>0</x:v>
      </x:c>
      <x:c r="AA290" s="13">
        <x:v>0</x:v>
      </x:c>
      <x:c r="AB290" s="13">
        <x:v>0</x:v>
      </x:c>
      <x:c r="AC290" s="16">
        <x:v>0</x:v>
      </x:c>
      <x:c r="AF290" s="2" t="s">
        <x:v>34</x:v>
      </x:c>
    </x:row>
    <x:row r="291">
      <x:c r="A291" s="7" t="s">
        <x:v>631</x:v>
      </x:c>
      <x:c r="B291" s="7" t="s">
        <x:v>632</x:v>
      </x:c>
      <x:c r="C291" s="7" t="s">
        <x:v>633</x:v>
      </x:c>
      <x:c r="D291" s="9"/>
      <x:c r="E291" s="9"/>
      <x:c r="F291" s="9"/>
      <x:c r="G291" s="9"/>
      <x:c r="H291" s="9"/>
      <x:c r="I291" s="9"/>
      <x:c r="J291" s="9"/>
      <x:c r="K291" s="9"/>
      <x:c r="L291" s="9"/>
      <x:c r="M291" s="9"/>
      <x:c r="N291" s="9"/>
      <x:c r="O291" s="9"/>
      <x:c r="P291" s="9"/>
      <x:c r="Q291" s="13">
        <x:v>0</x:v>
      </x:c>
      <x:c r="R291" s="13">
        <x:v>0</x:v>
      </x:c>
      <x:c r="S291" s="13">
        <x:v>0</x:v>
      </x:c>
      <x:c r="T291" s="13">
        <x:v>0</x:v>
      </x:c>
      <x:c r="U291" s="13">
        <x:v>0</x:v>
      </x:c>
      <x:c r="V291" s="13">
        <x:v>0</x:v>
      </x:c>
      <x:c r="W291" s="13">
        <x:v>0</x:v>
      </x:c>
      <x:c r="X291" s="13">
        <x:v>0</x:v>
      </x:c>
      <x:c r="Y291" s="13">
        <x:v>0</x:v>
      </x:c>
      <x:c r="Z291" s="13">
        <x:v>0</x:v>
      </x:c>
      <x:c r="AA291" s="13">
        <x:v>0</x:v>
      </x:c>
      <x:c r="AB291" s="13">
        <x:v>0</x:v>
      </x:c>
      <x:c r="AC291" s="16">
        <x:v>0</x:v>
      </x:c>
      <x:c r="AF291" s="2" t="s">
        <x:v>34</x:v>
      </x:c>
    </x:row>
    <x:row r="292">
      <x:c r="A292" s="7" t="s">
        <x:v>634</x:v>
      </x:c>
      <x:c r="B292" s="7" t="s">
        <x:v>635</x:v>
      </x:c>
      <x:c r="C292" s="7" t="s">
        <x:v>636</x:v>
      </x:c>
      <x:c r="D292" s="9"/>
      <x:c r="E292" s="9"/>
      <x:c r="F292" s="9"/>
      <x:c r="G292" s="9"/>
      <x:c r="H292" s="9"/>
      <x:c r="I292" s="9"/>
      <x:c r="J292" s="9"/>
      <x:c r="K292" s="9"/>
      <x:c r="L292" s="9"/>
      <x:c r="M292" s="9"/>
      <x:c r="N292" s="9"/>
      <x:c r="O292" s="9"/>
      <x:c r="P292" s="9"/>
      <x:c r="Q292" s="13">
        <x:v>0</x:v>
      </x:c>
      <x:c r="R292" s="13">
        <x:v>0</x:v>
      </x:c>
      <x:c r="S292" s="13">
        <x:v>0</x:v>
      </x:c>
      <x:c r="T292" s="13">
        <x:v>0</x:v>
      </x:c>
      <x:c r="U292" s="13">
        <x:v>0</x:v>
      </x:c>
      <x:c r="V292" s="13">
        <x:v>0</x:v>
      </x:c>
      <x:c r="W292" s="13">
        <x:v>0</x:v>
      </x:c>
      <x:c r="X292" s="13">
        <x:v>0</x:v>
      </x:c>
      <x:c r="Y292" s="13">
        <x:v>0</x:v>
      </x:c>
      <x:c r="Z292" s="13">
        <x:v>0</x:v>
      </x:c>
      <x:c r="AA292" s="13">
        <x:v>0</x:v>
      </x:c>
      <x:c r="AB292" s="13">
        <x:v>0</x:v>
      </x:c>
      <x:c r="AC292" s="16">
        <x:v>0</x:v>
      </x:c>
      <x:c r="AF292" s="2" t="s">
        <x:v>34</x:v>
      </x:c>
    </x:row>
    <x:row r="293">
      <x:c r="A293" s="7" t="s">
        <x:v>637</x:v>
      </x:c>
      <x:c r="B293" s="7" t="s">
        <x:v>638</x:v>
      </x:c>
      <x:c r="C293" s="7" t="s">
        <x:v>639</x:v>
      </x:c>
      <x:c r="D293" s="9"/>
      <x:c r="E293" s="9"/>
      <x:c r="F293" s="9"/>
      <x:c r="G293" s="9"/>
      <x:c r="H293" s="9"/>
      <x:c r="I293" s="9"/>
      <x:c r="J293" s="9"/>
      <x:c r="K293" s="9"/>
      <x:c r="L293" s="9"/>
      <x:c r="M293" s="9"/>
      <x:c r="N293" s="9"/>
      <x:c r="O293" s="9"/>
      <x:c r="P293" s="9"/>
      <x:c r="Q293" s="13">
        <x:v>0</x:v>
      </x:c>
      <x:c r="R293" s="13">
        <x:v>0</x:v>
      </x:c>
      <x:c r="S293" s="13">
        <x:v>0</x:v>
      </x:c>
      <x:c r="T293" s="13">
        <x:v>0</x:v>
      </x:c>
      <x:c r="U293" s="13">
        <x:v>0</x:v>
      </x:c>
      <x:c r="V293" s="13">
        <x:v>0</x:v>
      </x:c>
      <x:c r="W293" s="13">
        <x:v>0</x:v>
      </x:c>
      <x:c r="X293" s="13">
        <x:v>0</x:v>
      </x:c>
      <x:c r="Y293" s="13">
        <x:v>0</x:v>
      </x:c>
      <x:c r="Z293" s="13">
        <x:v>0</x:v>
      </x:c>
      <x:c r="AA293" s="13">
        <x:v>0</x:v>
      </x:c>
      <x:c r="AB293" s="13">
        <x:v>0</x:v>
      </x:c>
      <x:c r="AC293" s="16">
        <x:v>0</x:v>
      </x:c>
      <x:c r="AF293" s="2" t="s">
        <x:v>34</x:v>
      </x:c>
    </x:row>
    <x:row r="294">
      <x:c r="A294" s="7" t="s">
        <x:v>640</x:v>
      </x:c>
      <x:c r="B294" s="7" t="s">
        <x:v>641</x:v>
      </x:c>
      <x:c r="C294" s="7" t="s">
        <x:v>642</x:v>
      </x:c>
      <x:c r="D294" s="9"/>
      <x:c r="E294" s="9"/>
      <x:c r="F294" s="9"/>
      <x:c r="G294" s="9"/>
      <x:c r="H294" s="9"/>
      <x:c r="I294" s="9"/>
      <x:c r="J294" s="9"/>
      <x:c r="K294" s="9"/>
      <x:c r="L294" s="9"/>
      <x:c r="M294" s="9"/>
      <x:c r="N294" s="9"/>
      <x:c r="O294" s="9"/>
      <x:c r="P294" s="9"/>
      <x:c r="Q294" s="13">
        <x:v>0</x:v>
      </x:c>
      <x:c r="R294" s="13">
        <x:v>0</x:v>
      </x:c>
      <x:c r="S294" s="13">
        <x:v>0</x:v>
      </x:c>
      <x:c r="T294" s="13">
        <x:v>0</x:v>
      </x:c>
      <x:c r="U294" s="13">
        <x:v>0</x:v>
      </x:c>
      <x:c r="V294" s="13">
        <x:v>0</x:v>
      </x:c>
      <x:c r="W294" s="13">
        <x:v>0</x:v>
      </x:c>
      <x:c r="X294" s="13">
        <x:v>0</x:v>
      </x:c>
      <x:c r="Y294" s="13">
        <x:v>0</x:v>
      </x:c>
      <x:c r="Z294" s="13">
        <x:v>0</x:v>
      </x:c>
      <x:c r="AA294" s="13">
        <x:v>0</x:v>
      </x:c>
      <x:c r="AB294" s="13">
        <x:v>0</x:v>
      </x:c>
      <x:c r="AC294" s="16">
        <x:v>0</x:v>
      </x:c>
      <x:c r="AF294" s="2" t="s">
        <x:v>34</x:v>
      </x:c>
    </x:row>
    <x:row r="295">
      <x:c r="A295" s="7" t="s">
        <x:v>643</x:v>
      </x:c>
      <x:c r="B295" s="7" t="s">
        <x:v>644</x:v>
      </x:c>
      <x:c r="C295" s="7" t="s">
        <x:v>645</x:v>
      </x:c>
      <x:c r="D295" s="9"/>
      <x:c r="E295" s="9"/>
      <x:c r="F295" s="9"/>
      <x:c r="G295" s="9"/>
      <x:c r="H295" s="9"/>
      <x:c r="I295" s="9"/>
      <x:c r="J295" s="9"/>
      <x:c r="K295" s="9"/>
      <x:c r="L295" s="9"/>
      <x:c r="M295" s="9"/>
      <x:c r="N295" s="9"/>
      <x:c r="O295" s="9"/>
      <x:c r="P295" s="9"/>
      <x:c r="Q295" s="13">
        <x:v>0</x:v>
      </x:c>
      <x:c r="R295" s="13">
        <x:v>0</x:v>
      </x:c>
      <x:c r="S295" s="13">
        <x:v>0</x:v>
      </x:c>
      <x:c r="T295" s="13">
        <x:v>0</x:v>
      </x:c>
      <x:c r="U295" s="13">
        <x:v>0</x:v>
      </x:c>
      <x:c r="V295" s="13">
        <x:v>0</x:v>
      </x:c>
      <x:c r="W295" s="13">
        <x:v>0</x:v>
      </x:c>
      <x:c r="X295" s="13">
        <x:v>0</x:v>
      </x:c>
      <x:c r="Y295" s="13">
        <x:v>0</x:v>
      </x:c>
      <x:c r="Z295" s="13">
        <x:v>0</x:v>
      </x:c>
      <x:c r="AA295" s="13">
        <x:v>0</x:v>
      </x:c>
      <x:c r="AB295" s="13">
        <x:v>0</x:v>
      </x:c>
      <x:c r="AC295" s="16">
        <x:v>0</x:v>
      </x:c>
      <x:c r="AF295" s="2" t="s">
        <x:v>34</x:v>
      </x:c>
    </x:row>
    <x:row r="296">
      <x:c r="A296" s="7" t="s">
        <x:v>646</x:v>
      </x:c>
      <x:c r="B296" s="7" t="s">
        <x:v>647</x:v>
      </x:c>
      <x:c r="C296" s="7" t="s">
        <x:v>648</x:v>
      </x:c>
      <x:c r="D296" s="9"/>
      <x:c r="E296" s="9"/>
      <x:c r="F296" s="9"/>
      <x:c r="G296" s="9"/>
      <x:c r="H296" s="9"/>
      <x:c r="I296" s="9"/>
      <x:c r="J296" s="9"/>
      <x:c r="K296" s="9"/>
      <x:c r="L296" s="9"/>
      <x:c r="M296" s="9"/>
      <x:c r="N296" s="9"/>
      <x:c r="O296" s="9"/>
      <x:c r="P296" s="9"/>
      <x:c r="Q296" s="13">
        <x:v>0</x:v>
      </x:c>
      <x:c r="R296" s="13">
        <x:v>0</x:v>
      </x:c>
      <x:c r="S296" s="13">
        <x:v>0</x:v>
      </x:c>
      <x:c r="T296" s="13">
        <x:v>0</x:v>
      </x:c>
      <x:c r="U296" s="13">
        <x:v>0</x:v>
      </x:c>
      <x:c r="V296" s="13">
        <x:v>0</x:v>
      </x:c>
      <x:c r="W296" s="13">
        <x:v>0</x:v>
      </x:c>
      <x:c r="X296" s="13">
        <x:v>0</x:v>
      </x:c>
      <x:c r="Y296" s="13">
        <x:v>0</x:v>
      </x:c>
      <x:c r="Z296" s="13">
        <x:v>0</x:v>
      </x:c>
      <x:c r="AA296" s="13">
        <x:v>0</x:v>
      </x:c>
      <x:c r="AB296" s="13">
        <x:v>0</x:v>
      </x:c>
      <x:c r="AC296" s="16">
        <x:v>0</x:v>
      </x:c>
      <x:c r="AF296" s="2" t="s">
        <x:v>34</x:v>
      </x:c>
    </x:row>
    <x:row r="297">
      <x:c r="A297" s="7" t="s">
        <x:v>649</x:v>
      </x:c>
      <x:c r="B297" s="7" t="s">
        <x:v>650</x:v>
      </x:c>
      <x:c r="C297" s="7" t="s">
        <x:v>651</x:v>
      </x:c>
      <x:c r="D297" s="9"/>
      <x:c r="E297" s="9"/>
      <x:c r="F297" s="9"/>
      <x:c r="G297" s="9"/>
      <x:c r="H297" s="9"/>
      <x:c r="I297" s="9"/>
      <x:c r="J297" s="9"/>
      <x:c r="K297" s="9"/>
      <x:c r="L297" s="9"/>
      <x:c r="M297" s="9"/>
      <x:c r="N297" s="9"/>
      <x:c r="O297" s="9"/>
      <x:c r="P297" s="9"/>
      <x:c r="Q297" s="13">
        <x:v>0</x:v>
      </x:c>
      <x:c r="R297" s="13">
        <x:v>0</x:v>
      </x:c>
      <x:c r="S297" s="13">
        <x:v>0</x:v>
      </x:c>
      <x:c r="T297" s="13">
        <x:v>0</x:v>
      </x:c>
      <x:c r="U297" s="13">
        <x:v>0</x:v>
      </x:c>
      <x:c r="V297" s="13">
        <x:v>0</x:v>
      </x:c>
      <x:c r="W297" s="13">
        <x:v>0</x:v>
      </x:c>
      <x:c r="X297" s="13">
        <x:v>0</x:v>
      </x:c>
      <x:c r="Y297" s="13">
        <x:v>0</x:v>
      </x:c>
      <x:c r="Z297" s="13">
        <x:v>0</x:v>
      </x:c>
      <x:c r="AA297" s="13">
        <x:v>0</x:v>
      </x:c>
      <x:c r="AB297" s="13">
        <x:v>0</x:v>
      </x:c>
      <x:c r="AC297" s="16">
        <x:v>0</x:v>
      </x:c>
      <x:c r="AF297" s="2" t="s">
        <x:v>34</x:v>
      </x:c>
    </x:row>
    <x:row r="298">
      <x:c r="A298" s="7" t="s">
        <x:v>652</x:v>
      </x:c>
      <x:c r="B298" s="7" t="s">
        <x:v>653</x:v>
      </x:c>
      <x:c r="C298" s="7" t="s">
        <x:v>654</x:v>
      </x:c>
      <x:c r="D298" s="9"/>
      <x:c r="E298" s="9"/>
      <x:c r="F298" s="9"/>
      <x:c r="G298" s="9"/>
      <x:c r="H298" s="9"/>
      <x:c r="I298" s="9"/>
      <x:c r="J298" s="9"/>
      <x:c r="K298" s="9"/>
      <x:c r="L298" s="9"/>
      <x:c r="M298" s="9"/>
      <x:c r="N298" s="9"/>
      <x:c r="O298" s="9"/>
      <x:c r="P298" s="9"/>
      <x:c r="Q298" s="13">
        <x:v>0</x:v>
      </x:c>
      <x:c r="R298" s="13">
        <x:v>0</x:v>
      </x:c>
      <x:c r="S298" s="13">
        <x:v>0</x:v>
      </x:c>
      <x:c r="T298" s="13">
        <x:v>0</x:v>
      </x:c>
      <x:c r="U298" s="13">
        <x:v>0</x:v>
      </x:c>
      <x:c r="V298" s="13">
        <x:v>0</x:v>
      </x:c>
      <x:c r="W298" s="13">
        <x:v>0</x:v>
      </x:c>
      <x:c r="X298" s="13">
        <x:v>0</x:v>
      </x:c>
      <x:c r="Y298" s="13">
        <x:v>0</x:v>
      </x:c>
      <x:c r="Z298" s="13">
        <x:v>0</x:v>
      </x:c>
      <x:c r="AA298" s="13">
        <x:v>0</x:v>
      </x:c>
      <x:c r="AB298" s="13">
        <x:v>0</x:v>
      </x:c>
      <x:c r="AC298" s="16">
        <x:v>0</x:v>
      </x:c>
      <x:c r="AF298" s="2" t="s">
        <x:v>34</x:v>
      </x:c>
    </x:row>
    <x:row r="299">
      <x:c r="A299" s="7" t="s">
        <x:v>655</x:v>
      </x:c>
      <x:c r="B299" s="7" t="s">
        <x:v>656</x:v>
      </x:c>
      <x:c r="C299" s="7" t="s">
        <x:v>657</x:v>
      </x:c>
      <x:c r="D299" s="9"/>
      <x:c r="E299" s="9"/>
      <x:c r="F299" s="9"/>
      <x:c r="G299" s="9"/>
      <x:c r="H299" s="9"/>
      <x:c r="I299" s="9"/>
      <x:c r="J299" s="9"/>
      <x:c r="K299" s="9"/>
      <x:c r="L299" s="9"/>
      <x:c r="M299" s="9"/>
      <x:c r="N299" s="9"/>
      <x:c r="O299" s="9"/>
      <x:c r="P299" s="9"/>
      <x:c r="Q299" s="13">
        <x:v>0</x:v>
      </x:c>
      <x:c r="R299" s="13">
        <x:v>0</x:v>
      </x:c>
      <x:c r="S299" s="13">
        <x:v>0</x:v>
      </x:c>
      <x:c r="T299" s="13">
        <x:v>0</x:v>
      </x:c>
      <x:c r="U299" s="13">
        <x:v>0</x:v>
      </x:c>
      <x:c r="V299" s="13">
        <x:v>0</x:v>
      </x:c>
      <x:c r="W299" s="13">
        <x:v>0</x:v>
      </x:c>
      <x:c r="X299" s="13">
        <x:v>0</x:v>
      </x:c>
      <x:c r="Y299" s="13">
        <x:v>0</x:v>
      </x:c>
      <x:c r="Z299" s="13">
        <x:v>0</x:v>
      </x:c>
      <x:c r="AA299" s="13">
        <x:v>0</x:v>
      </x:c>
      <x:c r="AB299" s="13">
        <x:v>0</x:v>
      </x:c>
      <x:c r="AC299" s="16">
        <x:v>0</x:v>
      </x:c>
      <x:c r="AF299" s="2" t="s">
        <x:v>34</x:v>
      </x:c>
    </x:row>
    <x:row r="300">
      <x:c r="A300" s="7" t="s">
        <x:v>658</x:v>
      </x:c>
      <x:c r="B300" s="7" t="s">
        <x:v>659</x:v>
      </x:c>
      <x:c r="C300" s="7" t="s">
        <x:v>660</x:v>
      </x:c>
      <x:c r="D300" s="9"/>
      <x:c r="E300" s="9"/>
      <x:c r="F300" s="9"/>
      <x:c r="G300" s="9"/>
      <x:c r="H300" s="9"/>
      <x:c r="I300" s="9"/>
      <x:c r="J300" s="9"/>
      <x:c r="K300" s="9"/>
      <x:c r="L300" s="25">
        <x:v>14</x:v>
      </x:c>
      <x:c r="M300" s="25">
        <x:v>35</x:v>
      </x:c>
      <x:c r="N300" s="25">
        <x:v>59</x:v>
      </x:c>
      <x:c r="O300" s="25">
        <x:v>45</x:v>
      </x:c>
      <x:c r="P300" s="25">
        <x:v>2</x:v>
      </x:c>
      <x:c r="Q300" s="13">
        <x:v>0</x:v>
      </x:c>
      <x:c r="R300" s="13">
        <x:v>0</x:v>
      </x:c>
      <x:c r="S300" s="13">
        <x:v>0</x:v>
      </x:c>
      <x:c r="T300" s="13">
        <x:v>0</x:v>
      </x:c>
      <x:c r="U300" s="13">
        <x:v>0</x:v>
      </x:c>
      <x:c r="V300" s="13">
        <x:v>0</x:v>
      </x:c>
      <x:c r="W300" s="13">
        <x:v>0</x:v>
      </x:c>
      <x:c r="X300" s="13">
        <x:v>0</x:v>
      </x:c>
      <x:c r="Y300" s="23">
        <x:v>0.7071</x:v>
      </x:c>
      <x:c r="Z300" s="17">
        <x:v>1.4583</x:v>
      </x:c>
      <x:c r="AA300" s="17">
        <x:v>1.9032</x:v>
      </x:c>
      <x:c r="AB300" s="23">
        <x:v>2.8125</x:v>
      </x:c>
      <x:c r="AC300" s="16">
        <x:v>1.1111</x:v>
      </x:c>
      <x:c r="AD300" s="17">
        <x:v>1.6808</x:v>
      </x:c>
      <x:c r="AE300" s="17">
        <x:v>1.6808</x:v>
      </x:c>
      <x:c r="AF300" s="2" t="s">
        <x:v>34</x:v>
      </x:c>
    </x:row>
    <x:row r="301">
      <x:c r="A301" s="7" t="s">
        <x:v>661</x:v>
      </x:c>
      <x:c r="B301" s="7" t="s">
        <x:v>662</x:v>
      </x:c>
      <x:c r="C301" s="7" t="s">
        <x:v>663</x:v>
      </x:c>
      <x:c r="D301" s="9"/>
      <x:c r="E301" s="9"/>
      <x:c r="F301" s="9"/>
      <x:c r="G301" s="9"/>
      <x:c r="H301" s="9"/>
      <x:c r="I301" s="9"/>
      <x:c r="J301" s="9"/>
      <x:c r="K301" s="9"/>
      <x:c r="L301" s="25">
        <x:v>14</x:v>
      </x:c>
      <x:c r="M301" s="25">
        <x:v>20</x:v>
      </x:c>
      <x:c r="N301" s="25">
        <x:v>8</x:v>
      </x:c>
      <x:c r="O301" s="25">
        <x:v>25</x:v>
      </x:c>
      <x:c r="P301" s="25">
        <x:v>41</x:v>
      </x:c>
      <x:c r="Q301" s="13">
        <x:v>0</x:v>
      </x:c>
      <x:c r="R301" s="13">
        <x:v>0</x:v>
      </x:c>
      <x:c r="S301" s="13">
        <x:v>0</x:v>
      </x:c>
      <x:c r="T301" s="13">
        <x:v>0</x:v>
      </x:c>
      <x:c r="U301" s="13">
        <x:v>0</x:v>
      </x:c>
      <x:c r="V301" s="13">
        <x:v>0</x:v>
      </x:c>
      <x:c r="W301" s="13">
        <x:v>0</x:v>
      </x:c>
      <x:c r="X301" s="13">
        <x:v>0</x:v>
      </x:c>
      <x:c r="Y301" s="23">
        <x:v>0.7071</x:v>
      </x:c>
      <x:c r="Z301" s="17">
        <x:v>0.8333</x:v>
      </x:c>
      <x:c r="AA301" s="17">
        <x:v>0.2581</x:v>
      </x:c>
      <x:c r="AB301" s="17">
        <x:v>0.8333</x:v>
      </x:c>
      <x:c r="AC301" s="20">
        <x:v>0.7348</x:v>
      </x:c>
      <x:c r="AD301" s="17">
        <x:v>0.6416</x:v>
      </x:c>
      <x:c r="AE301" s="17">
        <x:v>0.6416</x:v>
      </x:c>
      <x:c r="AF301" s="2" t="s">
        <x:v>34</x:v>
      </x:c>
    </x:row>
    <x:row r="302">
      <x:c r="A302" s="7" t="s">
        <x:v>664</x:v>
      </x:c>
      <x:c r="B302" s="7" t="s">
        <x:v>665</x:v>
      </x:c>
      <x:c r="C302" s="7" t="s">
        <x:v>666</x:v>
      </x:c>
      <x:c r="D302" s="9"/>
      <x:c r="E302" s="9"/>
      <x:c r="F302" s="9"/>
      <x:c r="G302" s="9"/>
      <x:c r="H302" s="9"/>
      <x:c r="I302" s="9"/>
      <x:c r="J302" s="9"/>
      <x:c r="K302" s="9"/>
      <x:c r="L302" s="25">
        <x:v>7</x:v>
      </x:c>
      <x:c r="M302" s="25">
        <x:v>44</x:v>
      </x:c>
      <x:c r="N302" s="25">
        <x:v>24</x:v>
      </x:c>
      <x:c r="O302" s="25">
        <x:v>10</x:v>
      </x:c>
      <x:c r="P302" s="25">
        <x:v>12</x:v>
      </x:c>
      <x:c r="Q302" s="13">
        <x:v>0</x:v>
      </x:c>
      <x:c r="R302" s="13">
        <x:v>0</x:v>
      </x:c>
      <x:c r="S302" s="13">
        <x:v>0</x:v>
      </x:c>
      <x:c r="T302" s="13">
        <x:v>0</x:v>
      </x:c>
      <x:c r="U302" s="13">
        <x:v>0</x:v>
      </x:c>
      <x:c r="V302" s="13">
        <x:v>0</x:v>
      </x:c>
      <x:c r="W302" s="13">
        <x:v>0</x:v>
      </x:c>
      <x:c r="X302" s="13">
        <x:v>0</x:v>
      </x:c>
      <x:c r="Y302" s="23">
        <x:v>0.3535</x:v>
      </x:c>
      <x:c r="Z302" s="17">
        <x:v>1.8333</x:v>
      </x:c>
      <x:c r="AA302" s="17">
        <x:v>0.7742</x:v>
      </x:c>
      <x:c r="AB302" s="17">
        <x:v>0.3333</x:v>
      </x:c>
      <x:c r="AC302" s="16">
        <x:v>3.3333</x:v>
      </x:c>
      <x:c r="AD302" s="17">
        <x:v>0.9803</x:v>
      </x:c>
      <x:c r="AE302" s="17">
        <x:v>0.9803</x:v>
      </x:c>
      <x:c r="AF302" s="2" t="s">
        <x:v>34</x:v>
      </x:c>
    </x:row>
    <x:row r="303">
      <x:c r="A303" s="7" t="s">
        <x:v>667</x:v>
      </x:c>
      <x:c r="B303" s="7" t="s">
        <x:v>668</x:v>
      </x:c>
      <x:c r="C303" s="7" t="s">
        <x:v>669</x:v>
      </x:c>
      <x:c r="D303" s="9"/>
      <x:c r="E303" s="9"/>
      <x:c r="F303" s="9"/>
      <x:c r="G303" s="9"/>
      <x:c r="H303" s="9"/>
      <x:c r="I303" s="9"/>
      <x:c r="J303" s="9"/>
      <x:c r="K303" s="9"/>
      <x:c r="L303" s="25">
        <x:v>4</x:v>
      </x:c>
      <x:c r="M303" s="25">
        <x:v>28</x:v>
      </x:c>
      <x:c r="N303" s="25">
        <x:v>21</x:v>
      </x:c>
      <x:c r="O303" s="25">
        <x:v>14</x:v>
      </x:c>
      <x:c r="P303" s="25">
        <x:v>32</x:v>
      </x:c>
      <x:c r="Q303" s="13">
        <x:v>0</x:v>
      </x:c>
      <x:c r="R303" s="13">
        <x:v>0</x:v>
      </x:c>
      <x:c r="S303" s="13">
        <x:v>0</x:v>
      </x:c>
      <x:c r="T303" s="13">
        <x:v>0</x:v>
      </x:c>
      <x:c r="U303" s="13">
        <x:v>0</x:v>
      </x:c>
      <x:c r="V303" s="13">
        <x:v>0</x:v>
      </x:c>
      <x:c r="W303" s="13">
        <x:v>0</x:v>
      </x:c>
      <x:c r="X303" s="13">
        <x:v>0</x:v>
      </x:c>
      <x:c r="Y303" s="23">
        <x:v>0.202</x:v>
      </x:c>
      <x:c r="Z303" s="17">
        <x:v>1.1667</x:v>
      </x:c>
      <x:c r="AA303" s="17">
        <x:v>0.6774</x:v>
      </x:c>
      <x:c r="AB303" s="17">
        <x:v>0.4667</x:v>
      </x:c>
      <x:c r="AC303" s="16">
        <x:v>8.8889</x:v>
      </x:c>
      <x:c r="AD303" s="17">
        <x:v>0.7703</x:v>
      </x:c>
      <x:c r="AE303" s="17">
        <x:v>0.7703</x:v>
      </x:c>
      <x:c r="AF303" s="2" t="s">
        <x:v>34</x:v>
      </x:c>
    </x:row>
    <x:row r="304">
      <x:c r="A304" s="7" t="s">
        <x:v>670</x:v>
      </x:c>
      <x:c r="B304" s="7" t="s">
        <x:v>671</x:v>
      </x:c>
      <x:c r="C304" s="7" t="s">
        <x:v>672</x:v>
      </x:c>
      <x:c r="D304" s="9"/>
      <x:c r="E304" s="9"/>
      <x:c r="F304" s="9"/>
      <x:c r="G304" s="9"/>
      <x:c r="H304" s="9"/>
      <x:c r="I304" s="9"/>
      <x:c r="J304" s="9"/>
      <x:c r="K304" s="9"/>
      <x:c r="L304" s="25">
        <x:v>4</x:v>
      </x:c>
      <x:c r="M304" s="25">
        <x:v>33</x:v>
      </x:c>
      <x:c r="N304" s="25">
        <x:v>12</x:v>
      </x:c>
      <x:c r="O304" s="25">
        <x:v>10</x:v>
      </x:c>
      <x:c r="P304" s="25">
        <x:v>28</x:v>
      </x:c>
      <x:c r="Q304" s="13">
        <x:v>0</x:v>
      </x:c>
      <x:c r="R304" s="13">
        <x:v>0</x:v>
      </x:c>
      <x:c r="S304" s="13">
        <x:v>0</x:v>
      </x:c>
      <x:c r="T304" s="13">
        <x:v>0</x:v>
      </x:c>
      <x:c r="U304" s="13">
        <x:v>0</x:v>
      </x:c>
      <x:c r="V304" s="13">
        <x:v>0</x:v>
      </x:c>
      <x:c r="W304" s="13">
        <x:v>0</x:v>
      </x:c>
      <x:c r="X304" s="13">
        <x:v>0</x:v>
      </x:c>
      <x:c r="Y304" s="23">
        <x:v>0.202</x:v>
      </x:c>
      <x:c r="Z304" s="17">
        <x:v>1.375</x:v>
      </x:c>
      <x:c r="AA304" s="17">
        <x:v>0.3871</x:v>
      </x:c>
      <x:c r="AB304" s="17">
        <x:v>0.3333</x:v>
      </x:c>
      <x:c r="AC304" s="20">
        <x:v>0.5018</x:v>
      </x:c>
      <x:c r="AD304" s="17">
        <x:v>0.6985</x:v>
      </x:c>
      <x:c r="AE304" s="17">
        <x:v>0.6985</x:v>
      </x:c>
      <x:c r="AF304" s="2" t="s">
        <x:v>34</x:v>
      </x:c>
    </x:row>
    <x:row r="305">
      <x:c r="A305" s="7" t="s">
        <x:v>673</x:v>
      </x:c>
      <x:c r="B305" s="7" t="s">
        <x:v>674</x:v>
      </x:c>
      <x:c r="C305" s="7" t="s">
        <x:v>675</x:v>
      </x:c>
      <x:c r="D305" s="9"/>
      <x:c r="E305" s="9"/>
      <x:c r="F305" s="9"/>
      <x:c r="G305" s="9"/>
      <x:c r="H305" s="9"/>
      <x:c r="I305" s="9"/>
      <x:c r="J305" s="9"/>
      <x:c r="K305" s="9"/>
      <x:c r="L305" s="9"/>
      <x:c r="M305" s="9"/>
      <x:c r="N305" s="9"/>
      <x:c r="O305" s="9"/>
      <x:c r="P305" s="9"/>
      <x:c r="Q305" s="13">
        <x:v>0</x:v>
      </x:c>
      <x:c r="R305" s="13">
        <x:v>0</x:v>
      </x:c>
      <x:c r="S305" s="13">
        <x:v>0</x:v>
      </x:c>
      <x:c r="T305" s="13">
        <x:v>0</x:v>
      </x:c>
      <x:c r="U305" s="13">
        <x:v>0</x:v>
      </x:c>
      <x:c r="V305" s="13">
        <x:v>0</x:v>
      </x:c>
      <x:c r="W305" s="13">
        <x:v>0</x:v>
      </x:c>
      <x:c r="X305" s="13">
        <x:v>0</x:v>
      </x:c>
      <x:c r="Y305" s="13">
        <x:v>0</x:v>
      </x:c>
      <x:c r="Z305" s="13">
        <x:v>0</x:v>
      </x:c>
      <x:c r="AA305" s="13">
        <x:v>0</x:v>
      </x:c>
      <x:c r="AB305" s="13">
        <x:v>0</x:v>
      </x:c>
      <x:c r="AC305" s="16">
        <x:v>0</x:v>
      </x:c>
      <x:c r="AF305" s="2" t="s">
        <x:v>34</x:v>
      </x:c>
    </x:row>
    <x:row r="306">
      <x:c r="A306" s="7" t="s">
        <x:v>676</x:v>
      </x:c>
      <x:c r="B306" s="7" t="s">
        <x:v>677</x:v>
      </x:c>
      <x:c r="C306" s="7" t="s">
        <x:v>678</x:v>
      </x:c>
      <x:c r="D306" s="9"/>
      <x:c r="E306" s="9"/>
      <x:c r="F306" s="9"/>
      <x:c r="G306" s="9"/>
      <x:c r="H306" s="9"/>
      <x:c r="I306" s="9"/>
      <x:c r="J306" s="9"/>
      <x:c r="K306" s="9"/>
      <x:c r="L306" s="9"/>
      <x:c r="M306" s="9"/>
      <x:c r="N306" s="9"/>
      <x:c r="O306" s="9"/>
      <x:c r="P306" s="9"/>
      <x:c r="Q306" s="13">
        <x:v>0</x:v>
      </x:c>
      <x:c r="R306" s="13">
        <x:v>0</x:v>
      </x:c>
      <x:c r="S306" s="13">
        <x:v>0</x:v>
      </x:c>
      <x:c r="T306" s="13">
        <x:v>0</x:v>
      </x:c>
      <x:c r="U306" s="13">
        <x:v>0</x:v>
      </x:c>
      <x:c r="V306" s="13">
        <x:v>0</x:v>
      </x:c>
      <x:c r="W306" s="13">
        <x:v>0</x:v>
      </x:c>
      <x:c r="X306" s="13">
        <x:v>0</x:v>
      </x:c>
      <x:c r="Y306" s="13">
        <x:v>0</x:v>
      </x:c>
      <x:c r="Z306" s="13">
        <x:v>0</x:v>
      </x:c>
      <x:c r="AA306" s="13">
        <x:v>0</x:v>
      </x:c>
      <x:c r="AB306" s="13">
        <x:v>0</x:v>
      </x:c>
      <x:c r="AC306" s="16">
        <x:v>0</x:v>
      </x:c>
      <x:c r="AF306" s="2" t="s">
        <x:v>34</x:v>
      </x:c>
    </x:row>
    <x:row r="307">
      <x:c r="A307" s="7" t="s">
        <x:v>679</x:v>
      </x:c>
      <x:c r="B307" s="7" t="s">
        <x:v>680</x:v>
      </x:c>
      <x:c r="C307" s="7" t="s">
        <x:v>681</x:v>
      </x:c>
      <x:c r="D307" s="9"/>
      <x:c r="E307" s="9"/>
      <x:c r="F307" s="9"/>
      <x:c r="G307" s="9"/>
      <x:c r="H307" s="9"/>
      <x:c r="I307" s="9"/>
      <x:c r="J307" s="9"/>
      <x:c r="K307" s="9"/>
      <x:c r="L307" s="9"/>
      <x:c r="M307" s="9"/>
      <x:c r="N307" s="9"/>
      <x:c r="O307" s="9"/>
      <x:c r="P307" s="9"/>
      <x:c r="Q307" s="13">
        <x:v>0</x:v>
      </x:c>
      <x:c r="R307" s="13">
        <x:v>0</x:v>
      </x:c>
      <x:c r="S307" s="13">
        <x:v>0</x:v>
      </x:c>
      <x:c r="T307" s="13">
        <x:v>0</x:v>
      </x:c>
      <x:c r="U307" s="13">
        <x:v>0</x:v>
      </x:c>
      <x:c r="V307" s="13">
        <x:v>0</x:v>
      </x:c>
      <x:c r="W307" s="13">
        <x:v>0</x:v>
      </x:c>
      <x:c r="X307" s="13">
        <x:v>0</x:v>
      </x:c>
      <x:c r="Y307" s="13">
        <x:v>0</x:v>
      </x:c>
      <x:c r="Z307" s="13">
        <x:v>0</x:v>
      </x:c>
      <x:c r="AA307" s="13">
        <x:v>0</x:v>
      </x:c>
      <x:c r="AB307" s="13">
        <x:v>0</x:v>
      </x:c>
      <x:c r="AC307" s="16">
        <x:v>0</x:v>
      </x:c>
      <x:c r="AF307" s="2" t="s">
        <x:v>34</x:v>
      </x:c>
    </x:row>
    <x:row r="308">
      <x:c r="A308" s="7" t="s">
        <x:v>682</x:v>
      </x:c>
      <x:c r="B308" s="7" t="s">
        <x:v>683</x:v>
      </x:c>
      <x:c r="C308" s="7" t="s">
        <x:v>684</x:v>
      </x:c>
      <x:c r="D308" s="9"/>
      <x:c r="E308" s="9"/>
      <x:c r="F308" s="9"/>
      <x:c r="G308" s="9"/>
      <x:c r="H308" s="9"/>
      <x:c r="I308" s="9"/>
      <x:c r="J308" s="9"/>
      <x:c r="K308" s="9"/>
      <x:c r="L308" s="9"/>
      <x:c r="M308" s="25">
        <x:v>20</x:v>
      </x:c>
      <x:c r="N308" s="25">
        <x:v>5</x:v>
      </x:c>
      <x:c r="O308" s="25">
        <x:v>1</x:v>
      </x:c>
      <x:c r="P308" s="25">
        <x:v>2</x:v>
      </x:c>
      <x:c r="Q308" s="13">
        <x:v>0</x:v>
      </x:c>
      <x:c r="R308" s="13">
        <x:v>0</x:v>
      </x:c>
      <x:c r="S308" s="13">
        <x:v>0</x:v>
      </x:c>
      <x:c r="T308" s="13">
        <x:v>0</x:v>
      </x:c>
      <x:c r="U308" s="13">
        <x:v>0</x:v>
      </x:c>
      <x:c r="V308" s="13">
        <x:v>0</x:v>
      </x:c>
      <x:c r="W308" s="13">
        <x:v>0</x:v>
      </x:c>
      <x:c r="X308" s="13">
        <x:v>0</x:v>
      </x:c>
      <x:c r="Y308" s="13">
        <x:v>0</x:v>
      </x:c>
      <x:c r="Z308" s="23">
        <x:v>25</x:v>
      </x:c>
      <x:c r="AA308" s="17">
        <x:v>0.1613</x:v>
      </x:c>
      <x:c r="AB308" s="17">
        <x:v>0.0333</x:v>
      </x:c>
      <x:c r="AC308" s="20">
        <x:v>0.0358</x:v>
      </x:c>
      <x:c r="AD308" s="17">
        <x:v>0.0973</x:v>
      </x:c>
      <x:c r="AE308" s="17">
        <x:v>0.0973</x:v>
      </x:c>
      <x:c r="AF308" s="2" t="s">
        <x:v>34</x:v>
      </x:c>
    </x:row>
    <x:row r="309">
      <x:c r="A309" s="7" t="s">
        <x:v>685</x:v>
      </x:c>
      <x:c r="B309" s="7" t="s">
        <x:v>686</x:v>
      </x:c>
      <x:c r="C309" s="7" t="s">
        <x:v>687</x:v>
      </x:c>
      <x:c r="D309" s="9"/>
      <x:c r="E309" s="9"/>
      <x:c r="F309" s="9"/>
      <x:c r="G309" s="9"/>
      <x:c r="H309" s="9"/>
      <x:c r="I309" s="9"/>
      <x:c r="J309" s="9"/>
      <x:c r="K309" s="9"/>
      <x:c r="L309" s="9"/>
      <x:c r="M309" s="25">
        <x:v>20</x:v>
      </x:c>
      <x:c r="N309" s="25">
        <x:v>10</x:v>
      </x:c>
      <x:c r="O309" s="25">
        <x:v>5</x:v>
      </x:c>
      <x:c r="P309" s="25">
        <x:v>2</x:v>
      </x:c>
      <x:c r="Q309" s="13">
        <x:v>0</x:v>
      </x:c>
      <x:c r="R309" s="13">
        <x:v>0</x:v>
      </x:c>
      <x:c r="S309" s="13">
        <x:v>0</x:v>
      </x:c>
      <x:c r="T309" s="13">
        <x:v>0</x:v>
      </x:c>
      <x:c r="U309" s="13">
        <x:v>0</x:v>
      </x:c>
      <x:c r="V309" s="13">
        <x:v>0</x:v>
      </x:c>
      <x:c r="W309" s="13">
        <x:v>0</x:v>
      </x:c>
      <x:c r="X309" s="13">
        <x:v>0</x:v>
      </x:c>
      <x:c r="Y309" s="13">
        <x:v>0</x:v>
      </x:c>
      <x:c r="Z309" s="23">
        <x:v>25</x:v>
      </x:c>
      <x:c r="AA309" s="17">
        <x:v>0.3226</x:v>
      </x:c>
      <x:c r="AB309" s="17">
        <x:v>0.1667</x:v>
      </x:c>
      <x:c r="AC309" s="20">
        <x:v>0.0358</x:v>
      </x:c>
      <x:c r="AD309" s="17">
        <x:v>0.2447</x:v>
      </x:c>
      <x:c r="AE309" s="17">
        <x:v>0.2447</x:v>
      </x:c>
      <x:c r="AF309" s="2" t="s">
        <x:v>34</x:v>
      </x:c>
    </x:row>
    <x:row r="310">
      <x:c r="A310" s="7" t="s">
        <x:v>688</x:v>
      </x:c>
      <x:c r="B310" s="7" t="s">
        <x:v>689</x:v>
      </x:c>
      <x:c r="C310" s="7" t="s">
        <x:v>690</x:v>
      </x:c>
      <x:c r="D310" s="9"/>
      <x:c r="E310" s="9"/>
      <x:c r="F310" s="9"/>
      <x:c r="G310" s="9"/>
      <x:c r="H310" s="9"/>
      <x:c r="I310" s="9"/>
      <x:c r="J310" s="9"/>
      <x:c r="K310" s="9"/>
      <x:c r="L310" s="9"/>
      <x:c r="M310" s="25">
        <x:v>30</x:v>
      </x:c>
      <x:c r="N310" s="25">
        <x:v>10</x:v>
      </x:c>
      <x:c r="O310" s="25">
        <x:v>5</x:v>
      </x:c>
      <x:c r="P310" s="25">
        <x:v>1</x:v>
      </x:c>
      <x:c r="Q310" s="13">
        <x:v>0</x:v>
      </x:c>
      <x:c r="R310" s="13">
        <x:v>0</x:v>
      </x:c>
      <x:c r="S310" s="13">
        <x:v>0</x:v>
      </x:c>
      <x:c r="T310" s="13">
        <x:v>0</x:v>
      </x:c>
      <x:c r="U310" s="13">
        <x:v>0</x:v>
      </x:c>
      <x:c r="V310" s="13">
        <x:v>0</x:v>
      </x:c>
      <x:c r="W310" s="13">
        <x:v>0</x:v>
      </x:c>
      <x:c r="X310" s="13">
        <x:v>0</x:v>
      </x:c>
      <x:c r="Y310" s="13">
        <x:v>0</x:v>
      </x:c>
      <x:c r="Z310" s="23">
        <x:v>37.5</x:v>
      </x:c>
      <x:c r="AA310" s="17">
        <x:v>0.3226</x:v>
      </x:c>
      <x:c r="AB310" s="17">
        <x:v>0.1667</x:v>
      </x:c>
      <x:c r="AC310" s="20">
        <x:v>0.0179</x:v>
      </x:c>
      <x:c r="AD310" s="17">
        <x:v>0.2447</x:v>
      </x:c>
      <x:c r="AE310" s="17">
        <x:v>0.2447</x:v>
      </x:c>
      <x:c r="AF310" s="2" t="s">
        <x:v>34</x:v>
      </x:c>
    </x:row>
    <x:row r="311">
      <x:c r="A311" s="7" t="s">
        <x:v>691</x:v>
      </x:c>
      <x:c r="B311" s="7" t="s">
        <x:v>692</x:v>
      </x:c>
      <x:c r="C311" s="7" t="s">
        <x:v>693</x:v>
      </x:c>
      <x:c r="D311" s="9"/>
      <x:c r="E311" s="9"/>
      <x:c r="F311" s="9"/>
      <x:c r="G311" s="9"/>
      <x:c r="H311" s="9"/>
      <x:c r="I311" s="9"/>
      <x:c r="J311" s="9"/>
      <x:c r="K311" s="9"/>
      <x:c r="L311" s="9"/>
      <x:c r="M311" s="25">
        <x:v>15</x:v>
      </x:c>
      <x:c r="N311" s="25">
        <x:v>6</x:v>
      </x:c>
      <x:c r="O311" s="25">
        <x:v>8</x:v>
      </x:c>
      <x:c r="P311" s="9"/>
      <x:c r="Q311" s="13">
        <x:v>0</x:v>
      </x:c>
      <x:c r="R311" s="13">
        <x:v>0</x:v>
      </x:c>
      <x:c r="S311" s="13">
        <x:v>0</x:v>
      </x:c>
      <x:c r="T311" s="13">
        <x:v>0</x:v>
      </x:c>
      <x:c r="U311" s="13">
        <x:v>0</x:v>
      </x:c>
      <x:c r="V311" s="13">
        <x:v>0</x:v>
      </x:c>
      <x:c r="W311" s="13">
        <x:v>0</x:v>
      </x:c>
      <x:c r="X311" s="13">
        <x:v>0</x:v>
      </x:c>
      <x:c r="Y311" s="13">
        <x:v>0</x:v>
      </x:c>
      <x:c r="Z311" s="23">
        <x:v>18.75</x:v>
      </x:c>
      <x:c r="AA311" s="17">
        <x:v>0.1935</x:v>
      </x:c>
      <x:c r="AB311" s="17">
        <x:v>0.2667</x:v>
      </x:c>
      <x:c r="AC311" s="20">
        <x:v>0</x:v>
      </x:c>
      <x:c r="AD311" s="17">
        <x:v>0.2301</x:v>
      </x:c>
      <x:c r="AE311" s="17">
        <x:v>0.2301</x:v>
      </x:c>
      <x:c r="AF311" s="2" t="s">
        <x:v>34</x:v>
      </x:c>
    </x:row>
    <x:row r="312">
      <x:c r="A312" s="7" t="s">
        <x:v>694</x:v>
      </x:c>
      <x:c r="B312" s="7" t="s">
        <x:v>695</x:v>
      </x:c>
      <x:c r="C312" s="7" t="s">
        <x:v>696</x:v>
      </x:c>
      <x:c r="D312" s="9"/>
      <x:c r="E312" s="9"/>
      <x:c r="F312" s="9"/>
      <x:c r="G312" s="9"/>
      <x:c r="H312" s="9"/>
      <x:c r="I312" s="9"/>
      <x:c r="J312" s="9"/>
      <x:c r="K312" s="9"/>
      <x:c r="L312" s="9"/>
      <x:c r="M312" s="25">
        <x:v>15</x:v>
      </x:c>
      <x:c r="N312" s="25">
        <x:v>6</x:v>
      </x:c>
      <x:c r="O312" s="25">
        <x:v>3</x:v>
      </x:c>
      <x:c r="P312" s="9"/>
      <x:c r="Q312" s="13">
        <x:v>0</x:v>
      </x:c>
      <x:c r="R312" s="13">
        <x:v>0</x:v>
      </x:c>
      <x:c r="S312" s="13">
        <x:v>0</x:v>
      </x:c>
      <x:c r="T312" s="13">
        <x:v>0</x:v>
      </x:c>
      <x:c r="U312" s="13">
        <x:v>0</x:v>
      </x:c>
      <x:c r="V312" s="13">
        <x:v>0</x:v>
      </x:c>
      <x:c r="W312" s="13">
        <x:v>0</x:v>
      </x:c>
      <x:c r="X312" s="13">
        <x:v>0</x:v>
      </x:c>
      <x:c r="Y312" s="13">
        <x:v>0</x:v>
      </x:c>
      <x:c r="Z312" s="23">
        <x:v>18.75</x:v>
      </x:c>
      <x:c r="AA312" s="17">
        <x:v>0.1935</x:v>
      </x:c>
      <x:c r="AB312" s="17">
        <x:v>0.1</x:v>
      </x:c>
      <x:c r="AC312" s="20">
        <x:v>0</x:v>
      </x:c>
      <x:c r="AD312" s="17">
        <x:v>0.1468</x:v>
      </x:c>
      <x:c r="AE312" s="17">
        <x:v>0.1468</x:v>
      </x:c>
      <x:c r="AF312" s="2" t="s">
        <x:v>34</x:v>
      </x:c>
    </x:row>
    <x:row r="313">
      <x:c r="A313" s="7" t="s">
        <x:v>697</x:v>
      </x:c>
      <x:c r="B313" s="7" t="s">
        <x:v>698</x:v>
      </x:c>
      <x:c r="C313" s="7" t="s">
        <x:v>699</x:v>
      </x:c>
      <x:c r="D313" s="9"/>
      <x:c r="E313" s="9"/>
      <x:c r="F313" s="9"/>
      <x:c r="G313" s="9"/>
      <x:c r="H313" s="9"/>
      <x:c r="I313" s="9"/>
      <x:c r="J313" s="9"/>
      <x:c r="K313" s="9"/>
      <x:c r="L313" s="9"/>
      <x:c r="M313" s="25">
        <x:v>10</x:v>
      </x:c>
      <x:c r="N313" s="25">
        <x:v>5</x:v>
      </x:c>
      <x:c r="O313" s="25">
        <x:v>1</x:v>
      </x:c>
      <x:c r="P313" s="9"/>
      <x:c r="Q313" s="13">
        <x:v>0</x:v>
      </x:c>
      <x:c r="R313" s="13">
        <x:v>0</x:v>
      </x:c>
      <x:c r="S313" s="13">
        <x:v>0</x:v>
      </x:c>
      <x:c r="T313" s="13">
        <x:v>0</x:v>
      </x:c>
      <x:c r="U313" s="13">
        <x:v>0</x:v>
      </x:c>
      <x:c r="V313" s="13">
        <x:v>0</x:v>
      </x:c>
      <x:c r="W313" s="13">
        <x:v>0</x:v>
      </x:c>
      <x:c r="X313" s="13">
        <x:v>0</x:v>
      </x:c>
      <x:c r="Y313" s="13">
        <x:v>0</x:v>
      </x:c>
      <x:c r="Z313" s="23">
        <x:v>12.5</x:v>
      </x:c>
      <x:c r="AA313" s="17">
        <x:v>0.1613</x:v>
      </x:c>
      <x:c r="AB313" s="17">
        <x:v>0.0333</x:v>
      </x:c>
      <x:c r="AC313" s="20">
        <x:v>0</x:v>
      </x:c>
      <x:c r="AD313" s="17">
        <x:v>0.0973</x:v>
      </x:c>
      <x:c r="AE313" s="17">
        <x:v>0.0973</x:v>
      </x:c>
      <x:c r="AF313" s="2" t="s">
        <x:v>34</x:v>
      </x:c>
    </x:row>
    <x:row r="314">
      <x:c r="A314" s="7" t="s">
        <x:v>700</x:v>
      </x:c>
      <x:c r="B314" s="7" t="s">
        <x:v>701</x:v>
      </x:c>
      <x:c r="C314" s="7" t="s">
        <x:v>702</x:v>
      </x:c>
      <x:c r="D314" s="9"/>
      <x:c r="E314" s="9"/>
      <x:c r="F314" s="9"/>
      <x:c r="G314" s="9"/>
      <x:c r="H314" s="9"/>
      <x:c r="I314" s="9"/>
      <x:c r="J314" s="9"/>
      <x:c r="K314" s="9"/>
      <x:c r="L314" s="9"/>
      <x:c r="M314" s="25">
        <x:v>10</x:v>
      </x:c>
      <x:c r="N314" s="25">
        <x:v>2</x:v>
      </x:c>
      <x:c r="O314" s="9"/>
      <x:c r="P314" s="25">
        <x:v>1</x:v>
      </x:c>
      <x:c r="Q314" s="13">
        <x:v>0</x:v>
      </x:c>
      <x:c r="R314" s="13">
        <x:v>0</x:v>
      </x:c>
      <x:c r="S314" s="13">
        <x:v>0</x:v>
      </x:c>
      <x:c r="T314" s="13">
        <x:v>0</x:v>
      </x:c>
      <x:c r="U314" s="13">
        <x:v>0</x:v>
      </x:c>
      <x:c r="V314" s="13">
        <x:v>0</x:v>
      </x:c>
      <x:c r="W314" s="13">
        <x:v>0</x:v>
      </x:c>
      <x:c r="X314" s="13">
        <x:v>0</x:v>
      </x:c>
      <x:c r="Y314" s="13">
        <x:v>0</x:v>
      </x:c>
      <x:c r="Z314" s="23">
        <x:v>12.5</x:v>
      </x:c>
      <x:c r="AA314" s="17">
        <x:v>0.0645</x:v>
      </x:c>
      <x:c r="AB314" s="17">
        <x:v>0</x:v>
      </x:c>
      <x:c r="AC314" s="20">
        <x:v>0.0179</x:v>
      </x:c>
      <x:c r="AD314" s="17">
        <x:v>0.0323</x:v>
      </x:c>
      <x:c r="AE314" s="17">
        <x:v>0.0323</x:v>
      </x:c>
      <x:c r="AF314" s="2" t="s">
        <x:v>34</x:v>
      </x:c>
    </x:row>
    <x:row r="315">
      <x:c r="A315" s="7" t="s">
        <x:v>703</x:v>
      </x:c>
      <x:c r="B315" s="7" t="s">
        <x:v>704</x:v>
      </x:c>
      <x:c r="C315" s="7" t="s">
        <x:v>705</x:v>
      </x:c>
      <x:c r="D315" s="9"/>
      <x:c r="E315" s="9"/>
      <x:c r="F315" s="9"/>
      <x:c r="G315" s="9"/>
      <x:c r="H315" s="9"/>
      <x:c r="I315" s="9"/>
      <x:c r="J315" s="9"/>
      <x:c r="K315" s="9"/>
      <x:c r="L315" s="9"/>
      <x:c r="M315" s="25">
        <x:v>25</x:v>
      </x:c>
      <x:c r="N315" s="25">
        <x:v>4</x:v>
      </x:c>
      <x:c r="O315" s="25">
        <x:v>2</x:v>
      </x:c>
      <x:c r="P315" s="9"/>
      <x:c r="Q315" s="13">
        <x:v>0</x:v>
      </x:c>
      <x:c r="R315" s="13">
        <x:v>0</x:v>
      </x:c>
      <x:c r="S315" s="13">
        <x:v>0</x:v>
      </x:c>
      <x:c r="T315" s="13">
        <x:v>0</x:v>
      </x:c>
      <x:c r="U315" s="13">
        <x:v>0</x:v>
      </x:c>
      <x:c r="V315" s="13">
        <x:v>0</x:v>
      </x:c>
      <x:c r="W315" s="13">
        <x:v>0</x:v>
      </x:c>
      <x:c r="X315" s="13">
        <x:v>0</x:v>
      </x:c>
      <x:c r="Y315" s="13">
        <x:v>0</x:v>
      </x:c>
      <x:c r="Z315" s="23">
        <x:v>31.25</x:v>
      </x:c>
      <x:c r="AA315" s="17">
        <x:v>0.129</x:v>
      </x:c>
      <x:c r="AB315" s="17">
        <x:v>0.0667</x:v>
      </x:c>
      <x:c r="AC315" s="20">
        <x:v>0</x:v>
      </x:c>
      <x:c r="AD315" s="17">
        <x:v>0.0979</x:v>
      </x:c>
      <x:c r="AE315" s="17">
        <x:v>0.0979</x:v>
      </x:c>
      <x:c r="AF315" s="2" t="s">
        <x:v>34</x:v>
      </x:c>
    </x:row>
    <x:row r="316">
      <x:c r="A316" s="7" t="s">
        <x:v>706</x:v>
      </x:c>
      <x:c r="B316" s="7" t="s">
        <x:v>707</x:v>
      </x:c>
      <x:c r="C316" s="7" t="s">
        <x:v>708</x:v>
      </x:c>
      <x:c r="D316" s="9"/>
      <x:c r="E316" s="9"/>
      <x:c r="F316" s="9"/>
      <x:c r="G316" s="9"/>
      <x:c r="H316" s="9"/>
      <x:c r="I316" s="9"/>
      <x:c r="J316" s="9"/>
      <x:c r="K316" s="9"/>
      <x:c r="L316" s="9"/>
      <x:c r="M316" s="25">
        <x:v>10</x:v>
      </x:c>
      <x:c r="N316" s="25">
        <x:v>8</x:v>
      </x:c>
      <x:c r="O316" s="9"/>
      <x:c r="P316" s="25">
        <x:v>1</x:v>
      </x:c>
      <x:c r="Q316" s="13">
        <x:v>0</x:v>
      </x:c>
      <x:c r="R316" s="13">
        <x:v>0</x:v>
      </x:c>
      <x:c r="S316" s="13">
        <x:v>0</x:v>
      </x:c>
      <x:c r="T316" s="13">
        <x:v>0</x:v>
      </x:c>
      <x:c r="U316" s="13">
        <x:v>0</x:v>
      </x:c>
      <x:c r="V316" s="13">
        <x:v>0</x:v>
      </x:c>
      <x:c r="W316" s="13">
        <x:v>0</x:v>
      </x:c>
      <x:c r="X316" s="13">
        <x:v>0</x:v>
      </x:c>
      <x:c r="Y316" s="13">
        <x:v>0</x:v>
      </x:c>
      <x:c r="Z316" s="23">
        <x:v>12.5</x:v>
      </x:c>
      <x:c r="AA316" s="17">
        <x:v>0.2581</x:v>
      </x:c>
      <x:c r="AB316" s="17">
        <x:v>0</x:v>
      </x:c>
      <x:c r="AC316" s="20">
        <x:v>0.0179</x:v>
      </x:c>
      <x:c r="AD316" s="17">
        <x:v>0.1291</x:v>
      </x:c>
      <x:c r="AE316" s="17">
        <x:v>0.1291</x:v>
      </x:c>
      <x:c r="AF316" s="2" t="s">
        <x:v>34</x:v>
      </x:c>
    </x:row>
    <x:row r="317">
      <x:c r="A317" s="7" t="s">
        <x:v>709</x:v>
      </x:c>
      <x:c r="B317" s="7" t="s">
        <x:v>710</x:v>
      </x:c>
      <x:c r="C317" s="7" t="s">
        <x:v>711</x:v>
      </x:c>
      <x:c r="D317" s="9"/>
      <x:c r="E317" s="9"/>
      <x:c r="F317" s="9"/>
      <x:c r="G317" s="9"/>
      <x:c r="H317" s="9"/>
      <x:c r="I317" s="9"/>
      <x:c r="J317" s="9"/>
      <x:c r="K317" s="9"/>
      <x:c r="L317" s="9"/>
      <x:c r="M317" s="25">
        <x:v>20</x:v>
      </x:c>
      <x:c r="N317" s="9"/>
      <x:c r="O317" s="9"/>
      <x:c r="P317" s="9"/>
      <x:c r="Q317" s="13">
        <x:v>0</x:v>
      </x:c>
      <x:c r="R317" s="13">
        <x:v>0</x:v>
      </x:c>
      <x:c r="S317" s="13">
        <x:v>0</x:v>
      </x:c>
      <x:c r="T317" s="13">
        <x:v>0</x:v>
      </x:c>
      <x:c r="U317" s="13">
        <x:v>0</x:v>
      </x:c>
      <x:c r="V317" s="13">
        <x:v>0</x:v>
      </x:c>
      <x:c r="W317" s="13">
        <x:v>0</x:v>
      </x:c>
      <x:c r="X317" s="13">
        <x:v>0</x:v>
      </x:c>
      <x:c r="Y317" s="13">
        <x:v>0</x:v>
      </x:c>
      <x:c r="Z317" s="13">
        <x:v>0</x:v>
      </x:c>
      <x:c r="AA317" s="13">
        <x:v>0</x:v>
      </x:c>
      <x:c r="AB317" s="13">
        <x:v>0</x:v>
      </x:c>
      <x:c r="AC317" s="16">
        <x:v>0</x:v>
      </x:c>
      <x:c r="AF317" s="2" t="s">
        <x:v>34</x:v>
      </x:c>
    </x:row>
    <x:row r="318">
      <x:c r="A318" s="7" t="s">
        <x:v>712</x:v>
      </x:c>
      <x:c r="B318" s="7" t="s">
        <x:v>713</x:v>
      </x:c>
      <x:c r="C318" s="7" t="s">
        <x:v>711</x:v>
      </x:c>
      <x:c r="D318" s="9"/>
      <x:c r="E318" s="9"/>
      <x:c r="F318" s="9"/>
      <x:c r="G318" s="9"/>
      <x:c r="H318" s="9"/>
      <x:c r="I318" s="9"/>
      <x:c r="J318" s="9"/>
      <x:c r="K318" s="9"/>
      <x:c r="L318" s="9"/>
      <x:c r="M318" s="25">
        <x:v>20</x:v>
      </x:c>
      <x:c r="N318" s="9"/>
      <x:c r="O318" s="9"/>
      <x:c r="P318" s="9"/>
      <x:c r="Q318" s="13">
        <x:v>0</x:v>
      </x:c>
      <x:c r="R318" s="13">
        <x:v>0</x:v>
      </x:c>
      <x:c r="S318" s="13">
        <x:v>0</x:v>
      </x:c>
      <x:c r="T318" s="13">
        <x:v>0</x:v>
      </x:c>
      <x:c r="U318" s="13">
        <x:v>0</x:v>
      </x:c>
      <x:c r="V318" s="13">
        <x:v>0</x:v>
      </x:c>
      <x:c r="W318" s="13">
        <x:v>0</x:v>
      </x:c>
      <x:c r="X318" s="13">
        <x:v>0</x:v>
      </x:c>
      <x:c r="Y318" s="13">
        <x:v>0</x:v>
      </x:c>
      <x:c r="Z318" s="13">
        <x:v>0</x:v>
      </x:c>
      <x:c r="AA318" s="13">
        <x:v>0</x:v>
      </x:c>
      <x:c r="AB318" s="13">
        <x:v>0</x:v>
      </x:c>
      <x:c r="AC318" s="16">
        <x:v>0</x:v>
      </x:c>
      <x:c r="AF318" s="2" t="s">
        <x:v>34</x:v>
      </x:c>
    </x:row>
    <x:row r="319">
      <x:c r="A319" s="7" t="s">
        <x:v>714</x:v>
      </x:c>
      <x:c r="B319" s="7" t="s">
        <x:v>715</x:v>
      </x:c>
      <x:c r="C319" s="7" t="s">
        <x:v>716</x:v>
      </x:c>
      <x:c r="D319" s="9"/>
      <x:c r="E319" s="9"/>
      <x:c r="F319" s="9"/>
      <x:c r="G319" s="9"/>
      <x:c r="H319" s="9"/>
      <x:c r="I319" s="9"/>
      <x:c r="J319" s="9"/>
      <x:c r="K319" s="9"/>
      <x:c r="L319" s="9"/>
      <x:c r="M319" s="25">
        <x:v>20</x:v>
      </x:c>
      <x:c r="N319" s="9"/>
      <x:c r="O319" s="9"/>
      <x:c r="P319" s="9"/>
      <x:c r="Q319" s="13">
        <x:v>0</x:v>
      </x:c>
      <x:c r="R319" s="13">
        <x:v>0</x:v>
      </x:c>
      <x:c r="S319" s="13">
        <x:v>0</x:v>
      </x:c>
      <x:c r="T319" s="13">
        <x:v>0</x:v>
      </x:c>
      <x:c r="U319" s="13">
        <x:v>0</x:v>
      </x:c>
      <x:c r="V319" s="13">
        <x:v>0</x:v>
      </x:c>
      <x:c r="W319" s="13">
        <x:v>0</x:v>
      </x:c>
      <x:c r="X319" s="13">
        <x:v>0</x:v>
      </x:c>
      <x:c r="Y319" s="13">
        <x:v>0</x:v>
      </x:c>
      <x:c r="Z319" s="13">
        <x:v>0</x:v>
      </x:c>
      <x:c r="AA319" s="13">
        <x:v>0</x:v>
      </x:c>
      <x:c r="AB319" s="13">
        <x:v>0</x:v>
      </x:c>
      <x:c r="AC319" s="16">
        <x:v>0</x:v>
      </x:c>
      <x:c r="AF319" s="2" t="s">
        <x:v>34</x:v>
      </x:c>
    </x:row>
    <x:row r="320">
      <x:c r="A320" s="7" t="s">
        <x:v>717</x:v>
      </x:c>
      <x:c r="B320" s="7" t="s">
        <x:v>718</x:v>
      </x:c>
      <x:c r="C320" s="7" t="s">
        <x:v>719</x:v>
      </x:c>
      <x:c r="D320" s="9"/>
      <x:c r="E320" s="9"/>
      <x:c r="F320" s="9"/>
      <x:c r="G320" s="9"/>
      <x:c r="H320" s="9"/>
      <x:c r="I320" s="9"/>
      <x:c r="J320" s="9"/>
      <x:c r="K320" s="9"/>
      <x:c r="L320" s="9"/>
      <x:c r="M320" s="25">
        <x:v>20</x:v>
      </x:c>
      <x:c r="N320" s="9"/>
      <x:c r="O320" s="9"/>
      <x:c r="P320" s="9"/>
      <x:c r="Q320" s="13">
        <x:v>0</x:v>
      </x:c>
      <x:c r="R320" s="13">
        <x:v>0</x:v>
      </x:c>
      <x:c r="S320" s="13">
        <x:v>0</x:v>
      </x:c>
      <x:c r="T320" s="13">
        <x:v>0</x:v>
      </x:c>
      <x:c r="U320" s="13">
        <x:v>0</x:v>
      </x:c>
      <x:c r="V320" s="13">
        <x:v>0</x:v>
      </x:c>
      <x:c r="W320" s="13">
        <x:v>0</x:v>
      </x:c>
      <x:c r="X320" s="13">
        <x:v>0</x:v>
      </x:c>
      <x:c r="Y320" s="13">
        <x:v>0</x:v>
      </x:c>
      <x:c r="Z320" s="13">
        <x:v>0</x:v>
      </x:c>
      <x:c r="AA320" s="13">
        <x:v>0</x:v>
      </x:c>
      <x:c r="AB320" s="13">
        <x:v>0</x:v>
      </x:c>
      <x:c r="AC320" s="16">
        <x:v>0</x:v>
      </x:c>
      <x:c r="AF320" s="2" t="s">
        <x:v>34</x:v>
      </x:c>
    </x:row>
    <x:row r="321">
      <x:c r="A321" s="7" t="s">
        <x:v>720</x:v>
      </x:c>
      <x:c r="B321" s="7" t="s">
        <x:v>721</x:v>
      </x:c>
      <x:c r="C321" s="7" t="s">
        <x:v>722</x:v>
      </x:c>
      <x:c r="D321" s="9"/>
      <x:c r="E321" s="9"/>
      <x:c r="F321" s="9"/>
      <x:c r="G321" s="9"/>
      <x:c r="H321" s="9"/>
      <x:c r="I321" s="9"/>
      <x:c r="J321" s="9"/>
      <x:c r="K321" s="9"/>
      <x:c r="L321" s="9"/>
      <x:c r="M321" s="9"/>
      <x:c r="N321" s="25">
        <x:v>7</x:v>
      </x:c>
      <x:c r="O321" s="9"/>
      <x:c r="P321" s="9"/>
      <x:c r="Q321" s="13">
        <x:v>0</x:v>
      </x:c>
      <x:c r="R321" s="13">
        <x:v>0</x:v>
      </x:c>
      <x:c r="S321" s="13">
        <x:v>0</x:v>
      </x:c>
      <x:c r="T321" s="13">
        <x:v>0</x:v>
      </x:c>
      <x:c r="U321" s="13">
        <x:v>0</x:v>
      </x:c>
      <x:c r="V321" s="13">
        <x:v>0</x:v>
      </x:c>
      <x:c r="W321" s="13">
        <x:v>0</x:v>
      </x:c>
      <x:c r="X321" s="13">
        <x:v>0</x:v>
      </x:c>
      <x:c r="Y321" s="13">
        <x:v>0</x:v>
      </x:c>
      <x:c r="Z321" s="23">
        <x:v>0</x:v>
      </x:c>
      <x:c r="AA321" s="17">
        <x:v>0.2509</x:v>
      </x:c>
      <x:c r="AB321" s="17">
        <x:v>0</x:v>
      </x:c>
      <x:c r="AC321" s="20">
        <x:v>0</x:v>
      </x:c>
      <x:c r="AD321" s="17">
        <x:v>0.1255</x:v>
      </x:c>
      <x:c r="AE321" s="17">
        <x:v>0.1255</x:v>
      </x:c>
      <x:c r="AF321" s="2" t="s">
        <x:v>34</x:v>
      </x:c>
    </x:row>
    <x:row r="322">
      <x:c r="A322" s="7" t="s">
        <x:v>723</x:v>
      </x:c>
      <x:c r="B322" s="7" t="s">
        <x:v>724</x:v>
      </x:c>
      <x:c r="C322" s="7" t="s">
        <x:v>725</x:v>
      </x:c>
      <x:c r="D322" s="9"/>
      <x:c r="E322" s="9"/>
      <x:c r="F322" s="9"/>
      <x:c r="G322" s="9"/>
      <x:c r="H322" s="9"/>
      <x:c r="I322" s="9"/>
      <x:c r="J322" s="9"/>
      <x:c r="K322" s="9"/>
      <x:c r="L322" s="9"/>
      <x:c r="M322" s="9"/>
      <x:c r="N322" s="25">
        <x:v>4</x:v>
      </x:c>
      <x:c r="O322" s="25">
        <x:v>2</x:v>
      </x:c>
      <x:c r="P322" s="25">
        <x:v>1</x:v>
      </x:c>
      <x:c r="Q322" s="13">
        <x:v>0</x:v>
      </x:c>
      <x:c r="R322" s="13">
        <x:v>0</x:v>
      </x:c>
      <x:c r="S322" s="13">
        <x:v>0</x:v>
      </x:c>
      <x:c r="T322" s="13">
        <x:v>0</x:v>
      </x:c>
      <x:c r="U322" s="13">
        <x:v>0</x:v>
      </x:c>
      <x:c r="V322" s="13">
        <x:v>0</x:v>
      </x:c>
      <x:c r="W322" s="13">
        <x:v>0</x:v>
      </x:c>
      <x:c r="X322" s="13">
        <x:v>0</x:v>
      </x:c>
      <x:c r="Y322" s="13">
        <x:v>0</x:v>
      </x:c>
      <x:c r="Z322" s="23">
        <x:v>0</x:v>
      </x:c>
      <x:c r="AA322" s="17">
        <x:v>0.1434</x:v>
      </x:c>
      <x:c r="AB322" s="17">
        <x:v>0.0833</x:v>
      </x:c>
      <x:c r="AC322" s="20">
        <x:v>0.0293</x:v>
      </x:c>
      <x:c r="AD322" s="17">
        <x:v>0.1134</x:v>
      </x:c>
      <x:c r="AE322" s="17">
        <x:v>0.1134</x:v>
      </x:c>
      <x:c r="AF322" s="2" t="s">
        <x:v>34</x:v>
      </x:c>
    </x:row>
    <x:row r="323">
      <x:c r="A323" s="7" t="s">
        <x:v>726</x:v>
      </x:c>
      <x:c r="B323" s="7" t="s">
        <x:v>727</x:v>
      </x:c>
      <x:c r="C323" s="7" t="s">
        <x:v>728</x:v>
      </x:c>
      <x:c r="D323" s="9"/>
      <x:c r="E323" s="9"/>
      <x:c r="F323" s="9"/>
      <x:c r="G323" s="9"/>
      <x:c r="H323" s="9"/>
      <x:c r="I323" s="9"/>
      <x:c r="J323" s="9"/>
      <x:c r="K323" s="9"/>
      <x:c r="L323" s="9"/>
      <x:c r="M323" s="9"/>
      <x:c r="N323" s="25">
        <x:v>6</x:v>
      </x:c>
      <x:c r="O323" s="25">
        <x:v>1</x:v>
      </x:c>
      <x:c r="P323" s="9"/>
      <x:c r="Q323" s="13">
        <x:v>0</x:v>
      </x:c>
      <x:c r="R323" s="13">
        <x:v>0</x:v>
      </x:c>
      <x:c r="S323" s="13">
        <x:v>0</x:v>
      </x:c>
      <x:c r="T323" s="13">
        <x:v>0</x:v>
      </x:c>
      <x:c r="U323" s="13">
        <x:v>0</x:v>
      </x:c>
      <x:c r="V323" s="13">
        <x:v>0</x:v>
      </x:c>
      <x:c r="W323" s="13">
        <x:v>0</x:v>
      </x:c>
      <x:c r="X323" s="13">
        <x:v>0</x:v>
      </x:c>
      <x:c r="Y323" s="13">
        <x:v>0</x:v>
      </x:c>
      <x:c r="Z323" s="23">
        <x:v>0</x:v>
      </x:c>
      <x:c r="AA323" s="17">
        <x:v>0.2151</x:v>
      </x:c>
      <x:c r="AB323" s="17">
        <x:v>0.0417</x:v>
      </x:c>
      <x:c r="AC323" s="20">
        <x:v>0</x:v>
      </x:c>
      <x:c r="AD323" s="17">
        <x:v>0.1284</x:v>
      </x:c>
      <x:c r="AE323" s="17">
        <x:v>0.1284</x:v>
      </x:c>
      <x:c r="AF323" s="2" t="s">
        <x:v>34</x:v>
      </x:c>
    </x:row>
    <x:row r="324">
      <x:c r="A324" s="7" t="s">
        <x:v>729</x:v>
      </x:c>
      <x:c r="B324" s="7" t="s">
        <x:v>730</x:v>
      </x:c>
      <x:c r="C324" s="7" t="s">
        <x:v>731</x:v>
      </x:c>
      <x:c r="D324" s="9"/>
      <x:c r="E324" s="9"/>
      <x:c r="F324" s="9"/>
      <x:c r="G324" s="9"/>
      <x:c r="H324" s="9"/>
      <x:c r="I324" s="9"/>
      <x:c r="J324" s="9"/>
      <x:c r="K324" s="9"/>
      <x:c r="L324" s="9"/>
      <x:c r="M324" s="9"/>
      <x:c r="N324" s="25">
        <x:v>2</x:v>
      </x:c>
      <x:c r="O324" s="25">
        <x:v>1</x:v>
      </x:c>
      <x:c r="P324" s="25">
        <x:v>1</x:v>
      </x:c>
      <x:c r="Q324" s="13">
        <x:v>0</x:v>
      </x:c>
      <x:c r="R324" s="13">
        <x:v>0</x:v>
      </x:c>
      <x:c r="S324" s="13">
        <x:v>0</x:v>
      </x:c>
      <x:c r="T324" s="13">
        <x:v>0</x:v>
      </x:c>
      <x:c r="U324" s="13">
        <x:v>0</x:v>
      </x:c>
      <x:c r="V324" s="13">
        <x:v>0</x:v>
      </x:c>
      <x:c r="W324" s="13">
        <x:v>0</x:v>
      </x:c>
      <x:c r="X324" s="13">
        <x:v>0</x:v>
      </x:c>
      <x:c r="Y324" s="13">
        <x:v>0</x:v>
      </x:c>
      <x:c r="Z324" s="23">
        <x:v>0</x:v>
      </x:c>
      <x:c r="AA324" s="17">
        <x:v>0.0717</x:v>
      </x:c>
      <x:c r="AB324" s="17">
        <x:v>0.0417</x:v>
      </x:c>
      <x:c r="AC324" s="20">
        <x:v>0.0293</x:v>
      </x:c>
      <x:c r="AD324" s="17">
        <x:v>0.0567</x:v>
      </x:c>
      <x:c r="AE324" s="17">
        <x:v>0.0567</x:v>
      </x:c>
      <x:c r="AF324" s="2" t="s">
        <x:v>34</x:v>
      </x:c>
    </x:row>
    <x:row r="325">
      <x:c r="A325" s="7" t="s">
        <x:v>732</x:v>
      </x:c>
      <x:c r="B325" s="7" t="s">
        <x:v>733</x:v>
      </x:c>
      <x:c r="C325" s="7" t="s">
        <x:v>734</x:v>
      </x:c>
      <x:c r="D325" s="9"/>
      <x:c r="E325" s="9"/>
      <x:c r="F325" s="9"/>
      <x:c r="G325" s="9"/>
      <x:c r="H325" s="9"/>
      <x:c r="I325" s="9"/>
      <x:c r="J325" s="9"/>
      <x:c r="K325" s="9"/>
      <x:c r="L325" s="9"/>
      <x:c r="M325" s="25">
        <x:v>25</x:v>
      </x:c>
      <x:c r="N325" s="25">
        <x:v>11</x:v>
      </x:c>
      <x:c r="O325" s="25">
        <x:v>42</x:v>
      </x:c>
      <x:c r="P325" s="25">
        <x:v>5</x:v>
      </x:c>
      <x:c r="Q325" s="13">
        <x:v>0</x:v>
      </x:c>
      <x:c r="R325" s="13">
        <x:v>0</x:v>
      </x:c>
      <x:c r="S325" s="13">
        <x:v>0</x:v>
      </x:c>
      <x:c r="T325" s="13">
        <x:v>0</x:v>
      </x:c>
      <x:c r="U325" s="13">
        <x:v>0</x:v>
      </x:c>
      <x:c r="V325" s="13">
        <x:v>0</x:v>
      </x:c>
      <x:c r="W325" s="13">
        <x:v>0</x:v>
      </x:c>
      <x:c r="X325" s="13">
        <x:v>0</x:v>
      </x:c>
      <x:c r="Y325" s="13">
        <x:v>0</x:v>
      </x:c>
      <x:c r="Z325" s="23">
        <x:v>31.25</x:v>
      </x:c>
      <x:c r="AA325" s="17">
        <x:v>0.3548</x:v>
      </x:c>
      <x:c r="AB325" s="17">
        <x:v>1.4</x:v>
      </x:c>
      <x:c r="AC325" s="20">
        <x:v>0.0896</x:v>
      </x:c>
      <x:c r="AD325" s="17">
        <x:v>0.8774</x:v>
      </x:c>
      <x:c r="AE325" s="17">
        <x:v>0.8774</x:v>
      </x:c>
      <x:c r="AF325" s="2" t="s">
        <x:v>34</x:v>
      </x:c>
    </x:row>
    <x:row r="326">
      <x:c r="A326" s="7" t="s">
        <x:v>735</x:v>
      </x:c>
      <x:c r="B326" s="7" t="s">
        <x:v>736</x:v>
      </x:c>
      <x:c r="C326" s="7" t="s">
        <x:v>737</x:v>
      </x:c>
      <x:c r="D326" s="9"/>
      <x:c r="E326" s="9"/>
      <x:c r="F326" s="9"/>
      <x:c r="G326" s="9"/>
      <x:c r="H326" s="9"/>
      <x:c r="I326" s="9"/>
      <x:c r="J326" s="9"/>
      <x:c r="K326" s="9"/>
      <x:c r="L326" s="9"/>
      <x:c r="M326" s="25">
        <x:v>25</x:v>
      </x:c>
      <x:c r="N326" s="25">
        <x:v>10</x:v>
      </x:c>
      <x:c r="O326" s="25">
        <x:v>40</x:v>
      </x:c>
      <x:c r="P326" s="25">
        <x:v>4</x:v>
      </x:c>
      <x:c r="Q326" s="13">
        <x:v>0</x:v>
      </x:c>
      <x:c r="R326" s="13">
        <x:v>0</x:v>
      </x:c>
      <x:c r="S326" s="13">
        <x:v>0</x:v>
      </x:c>
      <x:c r="T326" s="13">
        <x:v>0</x:v>
      </x:c>
      <x:c r="U326" s="13">
        <x:v>0</x:v>
      </x:c>
      <x:c r="V326" s="13">
        <x:v>0</x:v>
      </x:c>
      <x:c r="W326" s="13">
        <x:v>0</x:v>
      </x:c>
      <x:c r="X326" s="13">
        <x:v>0</x:v>
      </x:c>
      <x:c r="Y326" s="13">
        <x:v>0</x:v>
      </x:c>
      <x:c r="Z326" s="23">
        <x:v>31.25</x:v>
      </x:c>
      <x:c r="AA326" s="17">
        <x:v>0.3226</x:v>
      </x:c>
      <x:c r="AB326" s="17">
        <x:v>1.3333</x:v>
      </x:c>
      <x:c r="AC326" s="20">
        <x:v>0.0717</x:v>
      </x:c>
      <x:c r="AD326" s="17">
        <x:v>0.828</x:v>
      </x:c>
      <x:c r="AE326" s="17">
        <x:v>0.828</x:v>
      </x:c>
      <x:c r="AF326" s="2" t="s">
        <x:v>34</x:v>
      </x:c>
    </x:row>
    <x:row r="327">
      <x:c r="A327" s="7" t="s">
        <x:v>738</x:v>
      </x:c>
      <x:c r="B327" s="7" t="s">
        <x:v>739</x:v>
      </x:c>
      <x:c r="C327" s="7" t="s">
        <x:v>740</x:v>
      </x:c>
      <x:c r="D327" s="9"/>
      <x:c r="E327" s="9"/>
      <x:c r="F327" s="9"/>
      <x:c r="G327" s="9"/>
      <x:c r="H327" s="9"/>
      <x:c r="I327" s="9"/>
      <x:c r="J327" s="9"/>
      <x:c r="K327" s="9"/>
      <x:c r="L327" s="9"/>
      <x:c r="M327" s="25">
        <x:v>15</x:v>
      </x:c>
      <x:c r="N327" s="25">
        <x:v>11</x:v>
      </x:c>
      <x:c r="O327" s="25">
        <x:v>46</x:v>
      </x:c>
      <x:c r="P327" s="25">
        <x:v>8</x:v>
      </x:c>
      <x:c r="Q327" s="13">
        <x:v>0</x:v>
      </x:c>
      <x:c r="R327" s="13">
        <x:v>0</x:v>
      </x:c>
      <x:c r="S327" s="13">
        <x:v>0</x:v>
      </x:c>
      <x:c r="T327" s="13">
        <x:v>0</x:v>
      </x:c>
      <x:c r="U327" s="13">
        <x:v>0</x:v>
      </x:c>
      <x:c r="V327" s="13">
        <x:v>0</x:v>
      </x:c>
      <x:c r="W327" s="13">
        <x:v>0</x:v>
      </x:c>
      <x:c r="X327" s="13">
        <x:v>0</x:v>
      </x:c>
      <x:c r="Y327" s="13">
        <x:v>0</x:v>
      </x:c>
      <x:c r="Z327" s="23">
        <x:v>18.75</x:v>
      </x:c>
      <x:c r="AA327" s="17">
        <x:v>0.3548</x:v>
      </x:c>
      <x:c r="AB327" s="17">
        <x:v>1.5333</x:v>
      </x:c>
      <x:c r="AC327" s="20">
        <x:v>0.1434</x:v>
      </x:c>
      <x:c r="AD327" s="17">
        <x:v>0.9441</x:v>
      </x:c>
      <x:c r="AE327" s="17">
        <x:v>0.9441</x:v>
      </x:c>
      <x:c r="AF327" s="2" t="s">
        <x:v>34</x:v>
      </x:c>
    </x:row>
    <x:row r="328">
      <x:c r="A328" s="7" t="s">
        <x:v>741</x:v>
      </x:c>
      <x:c r="B328" s="7" t="s">
        <x:v>742</x:v>
      </x:c>
      <x:c r="C328" s="7" t="s">
        <x:v>743</x:v>
      </x:c>
      <x:c r="D328" s="9"/>
      <x:c r="E328" s="9"/>
      <x:c r="F328" s="9"/>
      <x:c r="G328" s="9"/>
      <x:c r="H328" s="9"/>
      <x:c r="I328" s="9"/>
      <x:c r="J328" s="9"/>
      <x:c r="K328" s="9"/>
      <x:c r="L328" s="9"/>
      <x:c r="M328" s="9"/>
      <x:c r="N328" s="9"/>
      <x:c r="O328" s="9"/>
      <x:c r="P328" s="9"/>
      <x:c r="Q328" s="13">
        <x:v>0</x:v>
      </x:c>
      <x:c r="R328" s="13">
        <x:v>0</x:v>
      </x:c>
      <x:c r="S328" s="13">
        <x:v>0</x:v>
      </x:c>
      <x:c r="T328" s="13">
        <x:v>0</x:v>
      </x:c>
      <x:c r="U328" s="13">
        <x:v>0</x:v>
      </x:c>
      <x:c r="V328" s="13">
        <x:v>0</x:v>
      </x:c>
      <x:c r="W328" s="13">
        <x:v>0</x:v>
      </x:c>
      <x:c r="X328" s="13">
        <x:v>0</x:v>
      </x:c>
      <x:c r="Y328" s="13">
        <x:v>0</x:v>
      </x:c>
      <x:c r="Z328" s="13">
        <x:v>0</x:v>
      </x:c>
      <x:c r="AA328" s="13">
        <x:v>0</x:v>
      </x:c>
      <x:c r="AB328" s="13">
        <x:v>0</x:v>
      </x:c>
      <x:c r="AC328" s="16">
        <x:v>0</x:v>
      </x:c>
      <x:c r="AF328" s="2" t="s">
        <x:v>34</x:v>
      </x:c>
    </x:row>
    <x:row r="329">
      <x:c r="A329" s="7" t="s">
        <x:v>744</x:v>
      </x:c>
      <x:c r="B329" s="7" t="s">
        <x:v>745</x:v>
      </x:c>
      <x:c r="C329" s="7" t="s">
        <x:v>746</x:v>
      </x:c>
      <x:c r="D329" s="9"/>
      <x:c r="E329" s="9"/>
      <x:c r="F329" s="9"/>
      <x:c r="G329" s="9"/>
      <x:c r="H329" s="9"/>
      <x:c r="I329" s="9"/>
      <x:c r="J329" s="9"/>
      <x:c r="K329" s="9"/>
      <x:c r="L329" s="25">
        <x:v>2</x:v>
      </x:c>
      <x:c r="M329" s="25">
        <x:v>4</x:v>
      </x:c>
      <x:c r="N329" s="25">
        <x:v>2</x:v>
      </x:c>
      <x:c r="O329" s="9"/>
      <x:c r="P329" s="25">
        <x:v>7</x:v>
      </x:c>
      <x:c r="Q329" s="13">
        <x:v>0</x:v>
      </x:c>
      <x:c r="R329" s="13">
        <x:v>0</x:v>
      </x:c>
      <x:c r="S329" s="13">
        <x:v>0</x:v>
      </x:c>
      <x:c r="T329" s="13">
        <x:v>0</x:v>
      </x:c>
      <x:c r="U329" s="13">
        <x:v>0</x:v>
      </x:c>
      <x:c r="V329" s="13">
        <x:v>0</x:v>
      </x:c>
      <x:c r="W329" s="13">
        <x:v>0</x:v>
      </x:c>
      <x:c r="X329" s="13">
        <x:v>0</x:v>
      </x:c>
      <x:c r="Y329" s="23">
        <x:v>0.101</x:v>
      </x:c>
      <x:c r="Z329" s="17">
        <x:v>0.1667</x:v>
      </x:c>
      <x:c r="AA329" s="17">
        <x:v>0.0645</x:v>
      </x:c>
      <x:c r="AB329" s="17">
        <x:v>0</x:v>
      </x:c>
      <x:c r="AC329" s="20">
        <x:v>0.1254</x:v>
      </x:c>
      <x:c r="AD329" s="17">
        <x:v>0.0771</x:v>
      </x:c>
      <x:c r="AE329" s="17">
        <x:v>0.0771</x:v>
      </x:c>
      <x:c r="AF329" s="2" t="s">
        <x:v>34</x:v>
      </x:c>
    </x:row>
    <x:row r="330">
      <x:c r="A330" s="7" t="s">
        <x:v>747</x:v>
      </x:c>
      <x:c r="B330" s="7" t="s">
        <x:v>748</x:v>
      </x:c>
      <x:c r="C330" s="7" t="s">
        <x:v>749</x:v>
      </x:c>
      <x:c r="D330" s="9"/>
      <x:c r="E330" s="9"/>
      <x:c r="F330" s="9"/>
      <x:c r="G330" s="9"/>
      <x:c r="H330" s="9"/>
      <x:c r="I330" s="9"/>
      <x:c r="J330" s="9"/>
      <x:c r="K330" s="9"/>
      <x:c r="L330" s="25">
        <x:v>1</x:v>
      </x:c>
      <x:c r="M330" s="25">
        <x:v>1</x:v>
      </x:c>
      <x:c r="N330" s="25">
        <x:v>2</x:v>
      </x:c>
      <x:c r="O330" s="9"/>
      <x:c r="P330" s="25">
        <x:v>6</x:v>
      </x:c>
      <x:c r="Q330" s="13">
        <x:v>0</x:v>
      </x:c>
      <x:c r="R330" s="13">
        <x:v>0</x:v>
      </x:c>
      <x:c r="S330" s="13">
        <x:v>0</x:v>
      </x:c>
      <x:c r="T330" s="13">
        <x:v>0</x:v>
      </x:c>
      <x:c r="U330" s="13">
        <x:v>0</x:v>
      </x:c>
      <x:c r="V330" s="13">
        <x:v>0</x:v>
      </x:c>
      <x:c r="W330" s="13">
        <x:v>0</x:v>
      </x:c>
      <x:c r="X330" s="13">
        <x:v>0</x:v>
      </x:c>
      <x:c r="Y330" s="23">
        <x:v>0.0505</x:v>
      </x:c>
      <x:c r="Z330" s="17">
        <x:v>0.0417</x:v>
      </x:c>
      <x:c r="AA330" s="17">
        <x:v>0.0645</x:v>
      </x:c>
      <x:c r="AB330" s="17">
        <x:v>0</x:v>
      </x:c>
      <x:c r="AC330" s="20">
        <x:v>0.1075</x:v>
      </x:c>
      <x:c r="AD330" s="17">
        <x:v>0.0354</x:v>
      </x:c>
      <x:c r="AE330" s="17">
        <x:v>0.0354</x:v>
      </x:c>
      <x:c r="AF330" s="2" t="s">
        <x:v>34</x:v>
      </x:c>
    </x:row>
    <x:row r="331">
      <x:c r="A331" s="7" t="s">
        <x:v>750</x:v>
      </x:c>
      <x:c r="B331" s="7" t="s">
        <x:v>751</x:v>
      </x:c>
      <x:c r="C331" s="7" t="s">
        <x:v>752</x:v>
      </x:c>
      <x:c r="D331" s="9"/>
      <x:c r="E331" s="9"/>
      <x:c r="F331" s="9"/>
      <x:c r="G331" s="9"/>
      <x:c r="H331" s="9"/>
      <x:c r="I331" s="9"/>
      <x:c r="J331" s="9"/>
      <x:c r="K331" s="9"/>
      <x:c r="L331" s="9"/>
      <x:c r="M331" s="9"/>
      <x:c r="N331" s="25">
        <x:v>3</x:v>
      </x:c>
      <x:c r="O331" s="9"/>
      <x:c r="P331" s="25">
        <x:v>2</x:v>
      </x:c>
      <x:c r="Q331" s="13">
        <x:v>0</x:v>
      </x:c>
      <x:c r="R331" s="13">
        <x:v>0</x:v>
      </x:c>
      <x:c r="S331" s="13">
        <x:v>0</x:v>
      </x:c>
      <x:c r="T331" s="13">
        <x:v>0</x:v>
      </x:c>
      <x:c r="U331" s="13">
        <x:v>0</x:v>
      </x:c>
      <x:c r="V331" s="13">
        <x:v>0</x:v>
      </x:c>
      <x:c r="W331" s="13">
        <x:v>0</x:v>
      </x:c>
      <x:c r="X331" s="13">
        <x:v>0</x:v>
      </x:c>
      <x:c r="Y331" s="13">
        <x:v>0</x:v>
      </x:c>
      <x:c r="Z331" s="23">
        <x:v>0</x:v>
      </x:c>
      <x:c r="AA331" s="17">
        <x:v>0.0968</x:v>
      </x:c>
      <x:c r="AB331" s="17">
        <x:v>0</x:v>
      </x:c>
      <x:c r="AC331" s="20">
        <x:v>0.0358</x:v>
      </x:c>
      <x:c r="AD331" s="17">
        <x:v>0.0484</x:v>
      </x:c>
      <x:c r="AE331" s="17">
        <x:v>0.0484</x:v>
      </x:c>
      <x:c r="AF331" s="2" t="s">
        <x:v>34</x:v>
      </x:c>
    </x:row>
    <x:row r="332">
      <x:c r="A332" s="7" t="s">
        <x:v>753</x:v>
      </x:c>
      <x:c r="B332" s="7" t="s">
        <x:v>754</x:v>
      </x:c>
      <x:c r="C332" s="7" t="s">
        <x:v>755</x:v>
      </x:c>
      <x:c r="D332" s="9"/>
      <x:c r="E332" s="9"/>
      <x:c r="F332" s="9"/>
      <x:c r="G332" s="9"/>
      <x:c r="H332" s="9"/>
      <x:c r="I332" s="9"/>
      <x:c r="J332" s="9"/>
      <x:c r="K332" s="9"/>
      <x:c r="L332" s="9"/>
      <x:c r="M332" s="9"/>
      <x:c r="N332" s="25">
        <x:v>3</x:v>
      </x:c>
      <x:c r="O332" s="25">
        <x:v>1</x:v>
      </x:c>
      <x:c r="P332" s="25">
        <x:v>1</x:v>
      </x:c>
      <x:c r="Q332" s="13">
        <x:v>0</x:v>
      </x:c>
      <x:c r="R332" s="13">
        <x:v>0</x:v>
      </x:c>
      <x:c r="S332" s="13">
        <x:v>0</x:v>
      </x:c>
      <x:c r="T332" s="13">
        <x:v>0</x:v>
      </x:c>
      <x:c r="U332" s="13">
        <x:v>0</x:v>
      </x:c>
      <x:c r="V332" s="13">
        <x:v>0</x:v>
      </x:c>
      <x:c r="W332" s="13">
        <x:v>0</x:v>
      </x:c>
      <x:c r="X332" s="13">
        <x:v>0</x:v>
      </x:c>
      <x:c r="Y332" s="13">
        <x:v>0</x:v>
      </x:c>
      <x:c r="Z332" s="23">
        <x:v>0</x:v>
      </x:c>
      <x:c r="AA332" s="17">
        <x:v>0.0968</x:v>
      </x:c>
      <x:c r="AB332" s="17">
        <x:v>0.0333</x:v>
      </x:c>
      <x:c r="AC332" s="20">
        <x:v>0.0179</x:v>
      </x:c>
      <x:c r="AD332" s="17">
        <x:v>0.0651</x:v>
      </x:c>
      <x:c r="AE332" s="17">
        <x:v>0.0651</x:v>
      </x:c>
      <x:c r="AF332" s="2" t="s">
        <x:v>34</x:v>
      </x:c>
    </x:row>
    <x:row r="333">
      <x:c r="A333" s="7" t="s">
        <x:v>756</x:v>
      </x:c>
      <x:c r="B333" s="7" t="s">
        <x:v>757</x:v>
      </x:c>
      <x:c r="C333" s="7" t="s">
        <x:v>758</x:v>
      </x:c>
      <x:c r="D333" s="9"/>
      <x:c r="E333" s="9"/>
      <x:c r="F333" s="9"/>
      <x:c r="G333" s="9"/>
      <x:c r="H333" s="9"/>
      <x:c r="I333" s="9"/>
      <x:c r="J333" s="9"/>
      <x:c r="K333" s="9"/>
      <x:c r="L333" s="9"/>
      <x:c r="M333" s="9"/>
      <x:c r="N333" s="25">
        <x:v>3</x:v>
      </x:c>
      <x:c r="O333" s="9"/>
      <x:c r="P333" s="25">
        <x:v>2</x:v>
      </x:c>
      <x:c r="Q333" s="13">
        <x:v>0</x:v>
      </x:c>
      <x:c r="R333" s="13">
        <x:v>0</x:v>
      </x:c>
      <x:c r="S333" s="13">
        <x:v>0</x:v>
      </x:c>
      <x:c r="T333" s="13">
        <x:v>0</x:v>
      </x:c>
      <x:c r="U333" s="13">
        <x:v>0</x:v>
      </x:c>
      <x:c r="V333" s="13">
        <x:v>0</x:v>
      </x:c>
      <x:c r="W333" s="13">
        <x:v>0</x:v>
      </x:c>
      <x:c r="X333" s="13">
        <x:v>0</x:v>
      </x:c>
      <x:c r="Y333" s="13">
        <x:v>0</x:v>
      </x:c>
      <x:c r="Z333" s="23">
        <x:v>0</x:v>
      </x:c>
      <x:c r="AA333" s="17">
        <x:v>0.0968</x:v>
      </x:c>
      <x:c r="AB333" s="17">
        <x:v>0</x:v>
      </x:c>
      <x:c r="AC333" s="20">
        <x:v>0.0358</x:v>
      </x:c>
      <x:c r="AD333" s="17">
        <x:v>0.0484</x:v>
      </x:c>
      <x:c r="AE333" s="17">
        <x:v>0.0484</x:v>
      </x:c>
      <x:c r="AF333" s="2" t="s">
        <x:v>34</x:v>
      </x:c>
    </x:row>
    <x:row r="334">
      <x:c r="A334" s="7" t="s">
        <x:v>759</x:v>
      </x:c>
      <x:c r="B334" s="7" t="s">
        <x:v>760</x:v>
      </x:c>
      <x:c r="C334" s="7"/>
      <x:c r="D334" s="9"/>
      <x:c r="E334" s="9"/>
      <x:c r="F334" s="9"/>
      <x:c r="G334" s="9"/>
      <x:c r="H334" s="9"/>
      <x:c r="I334" s="9"/>
      <x:c r="J334" s="9"/>
      <x:c r="K334" s="9"/>
      <x:c r="L334" s="9"/>
      <x:c r="M334" s="9"/>
      <x:c r="N334" s="25">
        <x:v>2</x:v>
      </x:c>
      <x:c r="O334" s="9"/>
      <x:c r="P334" s="25">
        <x:v>1</x:v>
      </x:c>
      <x:c r="Q334" s="13">
        <x:v>0</x:v>
      </x:c>
      <x:c r="R334" s="13">
        <x:v>0</x:v>
      </x:c>
      <x:c r="S334" s="13">
        <x:v>0</x:v>
      </x:c>
      <x:c r="T334" s="13">
        <x:v>0</x:v>
      </x:c>
      <x:c r="U334" s="13">
        <x:v>0</x:v>
      </x:c>
      <x:c r="V334" s="13">
        <x:v>0</x:v>
      </x:c>
      <x:c r="W334" s="13">
        <x:v>0</x:v>
      </x:c>
      <x:c r="X334" s="13">
        <x:v>0</x:v>
      </x:c>
      <x:c r="Y334" s="13">
        <x:v>0</x:v>
      </x:c>
      <x:c r="Z334" s="23">
        <x:v>0</x:v>
      </x:c>
      <x:c r="AA334" s="17">
        <x:v>0.0645</x:v>
      </x:c>
      <x:c r="AB334" s="17">
        <x:v>0</x:v>
      </x:c>
      <x:c r="AC334" s="20">
        <x:v>0.0179</x:v>
      </x:c>
      <x:c r="AD334" s="17">
        <x:v>0.0323</x:v>
      </x:c>
      <x:c r="AE334" s="17">
        <x:v>0.0323</x:v>
      </x:c>
      <x:c r="AF334" s="2" t="s">
        <x:v>34</x:v>
      </x:c>
    </x:row>
    <x:row r="335">
      <x:c r="A335" s="7" t="s">
        <x:v>761</x:v>
      </x:c>
      <x:c r="B335" s="7" t="s">
        <x:v>762</x:v>
      </x:c>
      <x:c r="C335" s="7" t="s">
        <x:v>763</x:v>
      </x:c>
      <x:c r="D335" s="9"/>
      <x:c r="E335" s="9"/>
      <x:c r="F335" s="9"/>
      <x:c r="G335" s="9"/>
      <x:c r="H335" s="9"/>
      <x:c r="I335" s="9"/>
      <x:c r="J335" s="9"/>
      <x:c r="K335" s="9"/>
      <x:c r="L335" s="9"/>
      <x:c r="M335" s="9"/>
      <x:c r="N335" s="25">
        <x:v>23</x:v>
      </x:c>
      <x:c r="O335" s="25">
        <x:v>25</x:v>
      </x:c>
      <x:c r="P335" s="25">
        <x:v>11</x:v>
      </x:c>
      <x:c r="Q335" s="13">
        <x:v>0</x:v>
      </x:c>
      <x:c r="R335" s="13">
        <x:v>0</x:v>
      </x:c>
      <x:c r="S335" s="13">
        <x:v>0</x:v>
      </x:c>
      <x:c r="T335" s="13">
        <x:v>0</x:v>
      </x:c>
      <x:c r="U335" s="13">
        <x:v>0</x:v>
      </x:c>
      <x:c r="V335" s="13">
        <x:v>0</x:v>
      </x:c>
      <x:c r="W335" s="13">
        <x:v>0</x:v>
      </x:c>
      <x:c r="X335" s="13">
        <x:v>0</x:v>
      </x:c>
      <x:c r="Y335" s="13">
        <x:v>0</x:v>
      </x:c>
      <x:c r="Z335" s="23">
        <x:v>0</x:v>
      </x:c>
      <x:c r="AA335" s="17">
        <x:v>0.7419</x:v>
      </x:c>
      <x:c r="AB335" s="17">
        <x:v>0.8333</x:v>
      </x:c>
      <x:c r="AC335" s="20">
        <x:v>0.1971</x:v>
      </x:c>
      <x:c r="AD335" s="17">
        <x:v>0.7876</x:v>
      </x:c>
      <x:c r="AE335" s="17">
        <x:v>0.7876</x:v>
      </x:c>
      <x:c r="AF335" s="2" t="s">
        <x:v>34</x:v>
      </x:c>
    </x:row>
    <x:row r="336">
      <x:c r="A336" s="7" t="s">
        <x:v>764</x:v>
      </x:c>
      <x:c r="B336" s="7" t="s">
        <x:v>765</x:v>
      </x:c>
      <x:c r="C336" s="7" t="s">
        <x:v>766</x:v>
      </x:c>
      <x:c r="D336" s="9"/>
      <x:c r="E336" s="9"/>
      <x:c r="F336" s="9"/>
      <x:c r="G336" s="9"/>
      <x:c r="H336" s="9"/>
      <x:c r="I336" s="9"/>
      <x:c r="J336" s="9"/>
      <x:c r="K336" s="9"/>
      <x:c r="L336" s="9"/>
      <x:c r="M336" s="9"/>
      <x:c r="N336" s="25">
        <x:v>15</x:v>
      </x:c>
      <x:c r="O336" s="25">
        <x:v>21</x:v>
      </x:c>
      <x:c r="P336" s="25">
        <x:v>10</x:v>
      </x:c>
      <x:c r="Q336" s="13">
        <x:v>0</x:v>
      </x:c>
      <x:c r="R336" s="13">
        <x:v>0</x:v>
      </x:c>
      <x:c r="S336" s="13">
        <x:v>0</x:v>
      </x:c>
      <x:c r="T336" s="13">
        <x:v>0</x:v>
      </x:c>
      <x:c r="U336" s="13">
        <x:v>0</x:v>
      </x:c>
      <x:c r="V336" s="13">
        <x:v>0</x:v>
      </x:c>
      <x:c r="W336" s="13">
        <x:v>0</x:v>
      </x:c>
      <x:c r="X336" s="13">
        <x:v>0</x:v>
      </x:c>
      <x:c r="Y336" s="13">
        <x:v>0</x:v>
      </x:c>
      <x:c r="Z336" s="23">
        <x:v>0</x:v>
      </x:c>
      <x:c r="AA336" s="17">
        <x:v>0.4839</x:v>
      </x:c>
      <x:c r="AB336" s="17">
        <x:v>0.7</x:v>
      </x:c>
      <x:c r="AC336" s="20">
        <x:v>0.1792</x:v>
      </x:c>
      <x:c r="AD336" s="17">
        <x:v>0.592</x:v>
      </x:c>
      <x:c r="AE336" s="17">
        <x:v>0.592</x:v>
      </x:c>
      <x:c r="AF336" s="2" t="s">
        <x:v>34</x:v>
      </x:c>
    </x:row>
    <x:row r="337">
      <x:c r="A337" s="7" t="s">
        <x:v>767</x:v>
      </x:c>
      <x:c r="B337" s="7" t="s">
        <x:v>768</x:v>
      </x:c>
      <x:c r="C337" s="7"/>
      <x:c r="D337" s="9"/>
      <x:c r="E337" s="9"/>
      <x:c r="F337" s="9"/>
      <x:c r="G337" s="9"/>
      <x:c r="H337" s="9"/>
      <x:c r="I337" s="9"/>
      <x:c r="J337" s="9"/>
      <x:c r="K337" s="9"/>
      <x:c r="L337" s="9"/>
      <x:c r="M337" s="9"/>
      <x:c r="N337" s="25">
        <x:v>2</x:v>
      </x:c>
      <x:c r="O337" s="9"/>
      <x:c r="P337" s="25">
        <x:v>1</x:v>
      </x:c>
      <x:c r="Q337" s="13">
        <x:v>0</x:v>
      </x:c>
      <x:c r="R337" s="13">
        <x:v>0</x:v>
      </x:c>
      <x:c r="S337" s="13">
        <x:v>0</x:v>
      </x:c>
      <x:c r="T337" s="13">
        <x:v>0</x:v>
      </x:c>
      <x:c r="U337" s="13">
        <x:v>0</x:v>
      </x:c>
      <x:c r="V337" s="13">
        <x:v>0</x:v>
      </x:c>
      <x:c r="W337" s="13">
        <x:v>0</x:v>
      </x:c>
      <x:c r="X337" s="13">
        <x:v>0</x:v>
      </x:c>
      <x:c r="Y337" s="13">
        <x:v>0</x:v>
      </x:c>
      <x:c r="Z337" s="23">
        <x:v>0</x:v>
      </x:c>
      <x:c r="AA337" s="17">
        <x:v>0.0645</x:v>
      </x:c>
      <x:c r="AB337" s="17">
        <x:v>0</x:v>
      </x:c>
      <x:c r="AC337" s="20">
        <x:v>0.0179</x:v>
      </x:c>
      <x:c r="AD337" s="17">
        <x:v>0.0323</x:v>
      </x:c>
      <x:c r="AE337" s="17">
        <x:v>0.0323</x:v>
      </x:c>
      <x:c r="AF337" s="2" t="s">
        <x:v>34</x:v>
      </x:c>
    </x:row>
    <x:row r="338">
      <x:c r="A338" s="7" t="s">
        <x:v>769</x:v>
      </x:c>
      <x:c r="B338" s="7" t="s">
        <x:v>770</x:v>
      </x:c>
      <x:c r="C338" s="7"/>
      <x:c r="D338" s="9"/>
      <x:c r="E338" s="9"/>
      <x:c r="F338" s="9"/>
      <x:c r="G338" s="9"/>
      <x:c r="H338" s="9"/>
      <x:c r="I338" s="9"/>
      <x:c r="J338" s="9"/>
      <x:c r="K338" s="9"/>
      <x:c r="L338" s="9"/>
      <x:c r="M338" s="25">
        <x:v>20</x:v>
      </x:c>
      <x:c r="N338" s="9"/>
      <x:c r="O338" s="9"/>
      <x:c r="P338" s="9"/>
      <x:c r="Q338" s="13">
        <x:v>0</x:v>
      </x:c>
      <x:c r="R338" s="13">
        <x:v>0</x:v>
      </x:c>
      <x:c r="S338" s="13">
        <x:v>0</x:v>
      </x:c>
      <x:c r="T338" s="13">
        <x:v>0</x:v>
      </x:c>
      <x:c r="U338" s="13">
        <x:v>0</x:v>
      </x:c>
      <x:c r="V338" s="13">
        <x:v>0</x:v>
      </x:c>
      <x:c r="W338" s="13">
        <x:v>0</x:v>
      </x:c>
      <x:c r="X338" s="13">
        <x:v>0</x:v>
      </x:c>
      <x:c r="Y338" s="13">
        <x:v>0</x:v>
      </x:c>
      <x:c r="Z338" s="13">
        <x:v>0</x:v>
      </x:c>
      <x:c r="AA338" s="13">
        <x:v>0</x:v>
      </x:c>
      <x:c r="AB338" s="13">
        <x:v>0</x:v>
      </x:c>
      <x:c r="AC338" s="16">
        <x:v>0</x:v>
      </x:c>
      <x:c r="AF338" s="2" t="s">
        <x:v>34</x:v>
      </x:c>
    </x:row>
    <x:row r="339">
      <x:c r="A339" s="7" t="s">
        <x:v>771</x:v>
      </x:c>
      <x:c r="B339" s="7" t="s">
        <x:v>772</x:v>
      </x:c>
      <x:c r="C339" s="7"/>
      <x:c r="D339" s="9"/>
      <x:c r="E339" s="9"/>
      <x:c r="F339" s="9"/>
      <x:c r="G339" s="9"/>
      <x:c r="H339" s="9"/>
      <x:c r="I339" s="9"/>
      <x:c r="J339" s="9"/>
      <x:c r="K339" s="9"/>
      <x:c r="L339" s="9"/>
      <x:c r="M339" s="9"/>
      <x:c r="N339" s="25">
        <x:v>8</x:v>
      </x:c>
      <x:c r="O339" s="9"/>
      <x:c r="P339" s="25">
        <x:v>12</x:v>
      </x:c>
      <x:c r="Q339" s="13">
        <x:v>0</x:v>
      </x:c>
      <x:c r="R339" s="13">
        <x:v>0</x:v>
      </x:c>
      <x:c r="S339" s="13">
        <x:v>0</x:v>
      </x:c>
      <x:c r="T339" s="13">
        <x:v>0</x:v>
      </x:c>
      <x:c r="U339" s="13">
        <x:v>0</x:v>
      </x:c>
      <x:c r="V339" s="13">
        <x:v>0</x:v>
      </x:c>
      <x:c r="W339" s="13">
        <x:v>0</x:v>
      </x:c>
      <x:c r="X339" s="13">
        <x:v>0</x:v>
      </x:c>
      <x:c r="Y339" s="13">
        <x:v>0</x:v>
      </x:c>
      <x:c r="Z339" s="23">
        <x:v>0</x:v>
      </x:c>
      <x:c r="AA339" s="17">
        <x:v>0.2581</x:v>
      </x:c>
      <x:c r="AB339" s="17">
        <x:v>0</x:v>
      </x:c>
      <x:c r="AC339" s="16">
        <x:v>3.3333</x:v>
      </x:c>
      <x:c r="AD339" s="17">
        <x:v>0.1291</x:v>
      </x:c>
      <x:c r="AE339" s="17">
        <x:v>0.1291</x:v>
      </x:c>
      <x:c r="AF339" s="2" t="s">
        <x:v>34</x:v>
      </x:c>
    </x:row>
    <x:row r="340">
      <x:c r="A340" s="7" t="s">
        <x:v>773</x:v>
      </x:c>
      <x:c r="B340" s="7" t="s">
        <x:v>774</x:v>
      </x:c>
      <x:c r="C340" s="7"/>
      <x:c r="D340" s="9"/>
      <x:c r="E340" s="9"/>
      <x:c r="F340" s="9"/>
      <x:c r="G340" s="9"/>
      <x:c r="H340" s="9"/>
      <x:c r="I340" s="9"/>
      <x:c r="J340" s="9"/>
      <x:c r="K340" s="9"/>
      <x:c r="L340" s="9"/>
      <x:c r="M340" s="25">
        <x:v>10</x:v>
      </x:c>
      <x:c r="N340" s="9"/>
      <x:c r="O340" s="9"/>
      <x:c r="P340" s="9"/>
      <x:c r="Q340" s="13">
        <x:v>0</x:v>
      </x:c>
      <x:c r="R340" s="13">
        <x:v>0</x:v>
      </x:c>
      <x:c r="S340" s="13">
        <x:v>0</x:v>
      </x:c>
      <x:c r="T340" s="13">
        <x:v>0</x:v>
      </x:c>
      <x:c r="U340" s="13">
        <x:v>0</x:v>
      </x:c>
      <x:c r="V340" s="13">
        <x:v>0</x:v>
      </x:c>
      <x:c r="W340" s="13">
        <x:v>0</x:v>
      </x:c>
      <x:c r="X340" s="13">
        <x:v>0</x:v>
      </x:c>
      <x:c r="Y340" s="13">
        <x:v>0</x:v>
      </x:c>
      <x:c r="Z340" s="13">
        <x:v>0</x:v>
      </x:c>
      <x:c r="AA340" s="13">
        <x:v>0</x:v>
      </x:c>
      <x:c r="AB340" s="13">
        <x:v>0</x:v>
      </x:c>
      <x:c r="AC340" s="28">
        <x:v>0</x:v>
      </x:c>
      <x:c r="AF340" s="2" t="s">
        <x:v>34</x:v>
      </x:c>
    </x:row>
    <x:row r="341">
      <x:c r="A341" s="7" t="s">
        <x:v>775</x:v>
      </x:c>
      <x:c r="B341" s="7" t="s">
        <x:v>776</x:v>
      </x:c>
      <x:c r="C341" s="7"/>
      <x:c r="D341" s="9"/>
      <x:c r="E341" s="9"/>
      <x:c r="F341" s="9"/>
      <x:c r="G341" s="9"/>
      <x:c r="H341" s="9"/>
      <x:c r="I341" s="9"/>
      <x:c r="J341" s="9"/>
      <x:c r="K341" s="9"/>
      <x:c r="L341" s="9"/>
      <x:c r="M341" s="9"/>
      <x:c r="N341" s="9"/>
      <x:c r="O341" s="9"/>
      <x:c r="P341" s="9"/>
      <x:c r="Q341" s="13">
        <x:v>0</x:v>
      </x:c>
      <x:c r="R341" s="13">
        <x:v>0</x:v>
      </x:c>
      <x:c r="S341" s="13">
        <x:v>0</x:v>
      </x:c>
      <x:c r="T341" s="13">
        <x:v>0</x:v>
      </x:c>
      <x:c r="U341" s="13">
        <x:v>0</x:v>
      </x:c>
      <x:c r="V341" s="13">
        <x:v>0</x:v>
      </x:c>
      <x:c r="W341" s="13">
        <x:v>0</x:v>
      </x:c>
      <x:c r="X341" s="13">
        <x:v>0</x:v>
      </x:c>
      <x:c r="Y341" s="13">
        <x:v>0</x:v>
      </x:c>
      <x:c r="Z341" s="13">
        <x:v>0</x:v>
      </x:c>
      <x:c r="AA341" s="13">
        <x:v>0</x:v>
      </x:c>
      <x:c r="AB341" s="13">
        <x:v>0</x:v>
      </x:c>
      <x:c r="AC341" s="28">
        <x:v>0</x:v>
      </x:c>
      <x:c r="AF341" s="2" t="s">
        <x:v>34</x:v>
      </x:c>
    </x:row>
    <x:row r="342">
      <x:c r="A342" s="7" t="s">
        <x:v>777</x:v>
      </x:c>
      <x:c r="B342" s="7" t="s">
        <x:v>778</x:v>
      </x:c>
      <x:c r="C342" s="7"/>
      <x:c r="D342" s="9"/>
      <x:c r="E342" s="9"/>
      <x:c r="F342" s="9"/>
      <x:c r="G342" s="9"/>
      <x:c r="H342" s="9"/>
      <x:c r="I342" s="9"/>
      <x:c r="J342" s="9"/>
      <x:c r="K342" s="9"/>
      <x:c r="L342" s="9"/>
      <x:c r="M342" s="9"/>
      <x:c r="N342" s="9"/>
      <x:c r="O342" s="9"/>
      <x:c r="P342" s="9"/>
      <x:c r="Q342" s="13">
        <x:v>0</x:v>
      </x:c>
      <x:c r="R342" s="13">
        <x:v>0</x:v>
      </x:c>
      <x:c r="S342" s="13">
        <x:v>0</x:v>
      </x:c>
      <x:c r="T342" s="13">
        <x:v>0</x:v>
      </x:c>
      <x:c r="U342" s="13">
        <x:v>0</x:v>
      </x:c>
      <x:c r="V342" s="13">
        <x:v>0</x:v>
      </x:c>
      <x:c r="W342" s="13">
        <x:v>0</x:v>
      </x:c>
      <x:c r="X342" s="13">
        <x:v>0</x:v>
      </x:c>
      <x:c r="Y342" s="13">
        <x:v>0</x:v>
      </x:c>
      <x:c r="Z342" s="13">
        <x:v>0</x:v>
      </x:c>
      <x:c r="AA342" s="13">
        <x:v>0</x:v>
      </x:c>
      <x:c r="AB342" s="13">
        <x:v>0</x:v>
      </x:c>
      <x:c r="AC342" s="28">
        <x:v>0</x:v>
      </x:c>
      <x:c r="AF342" s="2" t="s">
        <x:v>34</x:v>
      </x:c>
    </x:row>
    <x:row r="343">
      <x:c r="A343" s="7" t="s">
        <x:v>779</x:v>
      </x:c>
      <x:c r="B343" s="7" t="s">
        <x:v>780</x:v>
      </x:c>
      <x:c r="C343" s="7"/>
      <x:c r="D343" s="9"/>
      <x:c r="E343" s="9"/>
      <x:c r="F343" s="9"/>
      <x:c r="G343" s="9"/>
      <x:c r="H343" s="9"/>
      <x:c r="I343" s="9"/>
      <x:c r="J343" s="9"/>
      <x:c r="K343" s="9"/>
      <x:c r="L343" s="9"/>
      <x:c r="M343" s="9"/>
      <x:c r="N343" s="9"/>
      <x:c r="O343" s="9"/>
      <x:c r="P343" s="9"/>
      <x:c r="Q343" s="13">
        <x:v>0</x:v>
      </x:c>
      <x:c r="R343" s="13">
        <x:v>0</x:v>
      </x:c>
      <x:c r="S343" s="13">
        <x:v>0</x:v>
      </x:c>
      <x:c r="T343" s="13">
        <x:v>0</x:v>
      </x:c>
      <x:c r="U343" s="13">
        <x:v>0</x:v>
      </x:c>
      <x:c r="V343" s="13">
        <x:v>0</x:v>
      </x:c>
      <x:c r="W343" s="13">
        <x:v>0</x:v>
      </x:c>
      <x:c r="X343" s="13">
        <x:v>0</x:v>
      </x:c>
      <x:c r="Y343" s="13">
        <x:v>0</x:v>
      </x:c>
      <x:c r="Z343" s="13">
        <x:v>0</x:v>
      </x:c>
      <x:c r="AA343" s="13">
        <x:v>0</x:v>
      </x:c>
      <x:c r="AB343" s="13">
        <x:v>0</x:v>
      </x:c>
      <x:c r="AC343" s="28">
        <x:v>0</x:v>
      </x:c>
      <x:c r="AF343" s="2" t="s">
        <x:v>34</x:v>
      </x:c>
    </x:row>
    <x:row r="344">
      <x:c r="A344" s="7" t="s">
        <x:v>781</x:v>
      </x:c>
      <x:c r="B344" s="7" t="s">
        <x:v>782</x:v>
      </x:c>
      <x:c r="C344" s="7"/>
      <x:c r="D344" s="9"/>
      <x:c r="E344" s="9"/>
      <x:c r="F344" s="9"/>
      <x:c r="G344" s="9"/>
      <x:c r="H344" s="9"/>
      <x:c r="I344" s="9"/>
      <x:c r="J344" s="9"/>
      <x:c r="K344" s="9"/>
      <x:c r="L344" s="9"/>
      <x:c r="M344" s="9"/>
      <x:c r="N344" s="9"/>
      <x:c r="O344" s="9"/>
      <x:c r="P344" s="9"/>
      <x:c r="Q344" s="13">
        <x:v>0</x:v>
      </x:c>
      <x:c r="R344" s="13">
        <x:v>0</x:v>
      </x:c>
      <x:c r="S344" s="13">
        <x:v>0</x:v>
      </x:c>
      <x:c r="T344" s="13">
        <x:v>0</x:v>
      </x:c>
      <x:c r="U344" s="13">
        <x:v>0</x:v>
      </x:c>
      <x:c r="V344" s="13">
        <x:v>0</x:v>
      </x:c>
      <x:c r="W344" s="13">
        <x:v>0</x:v>
      </x:c>
      <x:c r="X344" s="13">
        <x:v>0</x:v>
      </x:c>
      <x:c r="Y344" s="13">
        <x:v>0</x:v>
      </x:c>
      <x:c r="Z344" s="13">
        <x:v>0</x:v>
      </x:c>
      <x:c r="AA344" s="13">
        <x:v>0</x:v>
      </x:c>
      <x:c r="AB344" s="13">
        <x:v>0</x:v>
      </x:c>
      <x:c r="AC344" s="28">
        <x:v>0</x:v>
      </x:c>
      <x:c r="AF344" s="2" t="s">
        <x:v>34</x:v>
      </x:c>
    </x:row>
    <x:row r="345">
      <x:c r="A345" s="7" t="s">
        <x:v>783</x:v>
      </x:c>
      <x:c r="B345" s="7" t="s">
        <x:v>784</x:v>
      </x:c>
      <x:c r="C345" s="7"/>
      <x:c r="D345" s="9"/>
      <x:c r="E345" s="9"/>
      <x:c r="F345" s="9"/>
      <x:c r="G345" s="9"/>
      <x:c r="H345" s="9"/>
      <x:c r="I345" s="9"/>
      <x:c r="J345" s="9"/>
      <x:c r="K345" s="9"/>
      <x:c r="L345" s="9"/>
      <x:c r="M345" s="9"/>
      <x:c r="N345" s="9"/>
      <x:c r="O345" s="9"/>
      <x:c r="P345" s="9"/>
      <x:c r="Q345" s="13">
        <x:v>0</x:v>
      </x:c>
      <x:c r="R345" s="13">
        <x:v>0</x:v>
      </x:c>
      <x:c r="S345" s="13">
        <x:v>0</x:v>
      </x:c>
      <x:c r="T345" s="13">
        <x:v>0</x:v>
      </x:c>
      <x:c r="U345" s="13">
        <x:v>0</x:v>
      </x:c>
      <x:c r="V345" s="13">
        <x:v>0</x:v>
      </x:c>
      <x:c r="W345" s="13">
        <x:v>0</x:v>
      </x:c>
      <x:c r="X345" s="13">
        <x:v>0</x:v>
      </x:c>
      <x:c r="Y345" s="13">
        <x:v>0</x:v>
      </x:c>
      <x:c r="Z345" s="13">
        <x:v>0</x:v>
      </x:c>
      <x:c r="AA345" s="13">
        <x:v>0</x:v>
      </x:c>
      <x:c r="AB345" s="13">
        <x:v>0</x:v>
      </x:c>
      <x:c r="AC345" s="28">
        <x:v>0</x:v>
      </x:c>
      <x:c r="AF345" s="2" t="s">
        <x:v>34</x:v>
      </x:c>
    </x:row>
    <x:row r="346">
      <x:c r="A346" s="7" t="s">
        <x:v>785</x:v>
      </x:c>
      <x:c r="B346" s="7" t="s">
        <x:v>786</x:v>
      </x:c>
      <x:c r="C346" s="7"/>
      <x:c r="D346" s="9"/>
      <x:c r="E346" s="9"/>
      <x:c r="F346" s="9"/>
      <x:c r="G346" s="9"/>
      <x:c r="H346" s="9"/>
      <x:c r="I346" s="9"/>
      <x:c r="J346" s="9"/>
      <x:c r="K346" s="9"/>
      <x:c r="L346" s="9"/>
      <x:c r="M346" s="9"/>
      <x:c r="N346" s="9"/>
      <x:c r="O346" s="9"/>
      <x:c r="P346" s="9"/>
      <x:c r="Q346" s="13">
        <x:v>0</x:v>
      </x:c>
      <x:c r="R346" s="13">
        <x:v>0</x:v>
      </x:c>
      <x:c r="S346" s="13">
        <x:v>0</x:v>
      </x:c>
      <x:c r="T346" s="13">
        <x:v>0</x:v>
      </x:c>
      <x:c r="U346" s="13">
        <x:v>0</x:v>
      </x:c>
      <x:c r="V346" s="13">
        <x:v>0</x:v>
      </x:c>
      <x:c r="W346" s="13">
        <x:v>0</x:v>
      </x:c>
      <x:c r="X346" s="13">
        <x:v>0</x:v>
      </x:c>
      <x:c r="Y346" s="13">
        <x:v>0</x:v>
      </x:c>
      <x:c r="Z346" s="13">
        <x:v>0</x:v>
      </x:c>
      <x:c r="AA346" s="13">
        <x:v>0</x:v>
      </x:c>
      <x:c r="AB346" s="13">
        <x:v>0</x:v>
      </x:c>
      <x:c r="AC346" s="28">
        <x:v>0</x:v>
      </x:c>
      <x:c r="AF346" s="2" t="s">
        <x:v>34</x:v>
      </x:c>
    </x:row>
    <x:row r="347">
      <x:c r="A347" s="7" t="s">
        <x:v>787</x:v>
      </x:c>
      <x:c r="B347" s="7" t="s">
        <x:v>788</x:v>
      </x:c>
      <x:c r="C347" s="7"/>
      <x:c r="D347" s="9"/>
      <x:c r="E347" s="9"/>
      <x:c r="F347" s="9"/>
      <x:c r="G347" s="9"/>
      <x:c r="H347" s="9"/>
      <x:c r="I347" s="9"/>
      <x:c r="J347" s="9"/>
      <x:c r="K347" s="9"/>
      <x:c r="L347" s="9"/>
      <x:c r="M347" s="9"/>
      <x:c r="N347" s="9"/>
      <x:c r="O347" s="9"/>
      <x:c r="P347" s="9"/>
      <x:c r="Q347" s="13">
        <x:v>0</x:v>
      </x:c>
      <x:c r="R347" s="13">
        <x:v>0</x:v>
      </x:c>
      <x:c r="S347" s="13">
        <x:v>0</x:v>
      </x:c>
      <x:c r="T347" s="13">
        <x:v>0</x:v>
      </x:c>
      <x:c r="U347" s="13">
        <x:v>0</x:v>
      </x:c>
      <x:c r="V347" s="13">
        <x:v>0</x:v>
      </x:c>
      <x:c r="W347" s="13">
        <x:v>0</x:v>
      </x:c>
      <x:c r="X347" s="13">
        <x:v>0</x:v>
      </x:c>
      <x:c r="Y347" s="13">
        <x:v>0</x:v>
      </x:c>
      <x:c r="Z347" s="13">
        <x:v>0</x:v>
      </x:c>
      <x:c r="AA347" s="13">
        <x:v>0</x:v>
      </x:c>
      <x:c r="AB347" s="13">
        <x:v>0</x:v>
      </x:c>
      <x:c r="AC347" s="28">
        <x:v>0</x:v>
      </x:c>
      <x:c r="AF347" s="2" t="s">
        <x:v>34</x:v>
      </x:c>
    </x:row>
    <x:row r="348">
      <x:c r="A348" s="7" t="s">
        <x:v>789</x:v>
      </x:c>
      <x:c r="B348" s="7" t="s">
        <x:v>790</x:v>
      </x:c>
      <x:c r="C348" s="7" t="s">
        <x:v>791</x:v>
      </x:c>
      <x:c r="D348" s="9"/>
      <x:c r="E348" s="9"/>
      <x:c r="F348" s="9"/>
      <x:c r="G348" s="9"/>
      <x:c r="H348" s="9"/>
      <x:c r="I348" s="9"/>
      <x:c r="J348" s="9"/>
      <x:c r="K348" s="9"/>
      <x:c r="L348" s="9"/>
      <x:c r="M348" s="9"/>
      <x:c r="N348" s="9"/>
      <x:c r="O348" s="9"/>
      <x:c r="P348" s="9"/>
      <x:c r="Q348" s="13">
        <x:v>0</x:v>
      </x:c>
      <x:c r="R348" s="13">
        <x:v>0</x:v>
      </x:c>
      <x:c r="S348" s="13">
        <x:v>0</x:v>
      </x:c>
      <x:c r="T348" s="13">
        <x:v>0</x:v>
      </x:c>
      <x:c r="U348" s="13">
        <x:v>0</x:v>
      </x:c>
      <x:c r="V348" s="13">
        <x:v>0</x:v>
      </x:c>
      <x:c r="W348" s="13">
        <x:v>0</x:v>
      </x:c>
      <x:c r="X348" s="13">
        <x:v>0</x:v>
      </x:c>
      <x:c r="Y348" s="13">
        <x:v>0</x:v>
      </x:c>
      <x:c r="Z348" s="13">
        <x:v>0</x:v>
      </x:c>
      <x:c r="AA348" s="13">
        <x:v>0</x:v>
      </x:c>
      <x:c r="AB348" s="13">
        <x:v>0</x:v>
      </x:c>
      <x:c r="AC348" s="28">
        <x:v>0</x:v>
      </x:c>
      <x:c r="AF348" s="2" t="s">
        <x:v>34</x:v>
      </x:c>
    </x:row>
    <x:row r="349">
      <x:c r="A349" s="7" t="s">
        <x:v>792</x:v>
      </x:c>
      <x:c r="B349" s="7" t="s">
        <x:v>793</x:v>
      </x:c>
      <x:c r="C349" s="7"/>
      <x:c r="D349" s="9"/>
      <x:c r="E349" s="9"/>
      <x:c r="F349" s="9"/>
      <x:c r="G349" s="9"/>
      <x:c r="H349" s="9"/>
      <x:c r="I349" s="9"/>
      <x:c r="J349" s="9"/>
      <x:c r="K349" s="9"/>
      <x:c r="L349" s="9"/>
      <x:c r="M349" s="9"/>
      <x:c r="N349" s="9"/>
      <x:c r="O349" s="9"/>
      <x:c r="P349" s="9"/>
      <x:c r="Q349" s="13">
        <x:v>0</x:v>
      </x:c>
      <x:c r="R349" s="13">
        <x:v>0</x:v>
      </x:c>
      <x:c r="S349" s="13">
        <x:v>0</x:v>
      </x:c>
      <x:c r="T349" s="13">
        <x:v>0</x:v>
      </x:c>
      <x:c r="U349" s="13">
        <x:v>0</x:v>
      </x:c>
      <x:c r="V349" s="13">
        <x:v>0</x:v>
      </x:c>
      <x:c r="W349" s="13">
        <x:v>0</x:v>
      </x:c>
      <x:c r="X349" s="13">
        <x:v>0</x:v>
      </x:c>
      <x:c r="Y349" s="13">
        <x:v>0</x:v>
      </x:c>
      <x:c r="Z349" s="13">
        <x:v>0</x:v>
      </x:c>
      <x:c r="AA349" s="13">
        <x:v>0</x:v>
      </x:c>
      <x:c r="AB349" s="13">
        <x:v>0</x:v>
      </x:c>
      <x:c r="AC349" s="28">
        <x:v>0</x:v>
      </x:c>
      <x:c r="AF349" s="2" t="s">
        <x:v>34</x:v>
      </x:c>
    </x:row>
    <x:row r="350">
      <x:c r="A350" s="7" t="s">
        <x:v>794</x:v>
      </x:c>
      <x:c r="B350" s="7" t="s">
        <x:v>795</x:v>
      </x:c>
      <x:c r="C350" s="7"/>
      <x:c r="D350" s="9"/>
      <x:c r="E350" s="9"/>
      <x:c r="F350" s="9"/>
      <x:c r="G350" s="9"/>
      <x:c r="H350" s="9"/>
      <x:c r="I350" s="9"/>
      <x:c r="J350" s="9"/>
      <x:c r="K350" s="9"/>
      <x:c r="L350" s="9"/>
      <x:c r="M350" s="9"/>
      <x:c r="N350" s="9"/>
      <x:c r="O350" s="9"/>
      <x:c r="P350" s="9"/>
      <x:c r="Q350" s="13">
        <x:v>0</x:v>
      </x:c>
      <x:c r="R350" s="13">
        <x:v>0</x:v>
      </x:c>
      <x:c r="S350" s="13">
        <x:v>0</x:v>
      </x:c>
      <x:c r="T350" s="13">
        <x:v>0</x:v>
      </x:c>
      <x:c r="U350" s="13">
        <x:v>0</x:v>
      </x:c>
      <x:c r="V350" s="13">
        <x:v>0</x:v>
      </x:c>
      <x:c r="W350" s="13">
        <x:v>0</x:v>
      </x:c>
      <x:c r="X350" s="13">
        <x:v>0</x:v>
      </x:c>
      <x:c r="Y350" s="13">
        <x:v>0</x:v>
      </x:c>
      <x:c r="Z350" s="13">
        <x:v>0</x:v>
      </x:c>
      <x:c r="AA350" s="13">
        <x:v>0</x:v>
      </x:c>
      <x:c r="AB350" s="13">
        <x:v>0</x:v>
      </x:c>
      <x:c r="AC350" s="28">
        <x:v>0</x:v>
      </x:c>
      <x:c r="AF350" s="2" t="s">
        <x:v>34</x:v>
      </x:c>
    </x:row>
    <x:row r="351">
      <x:c r="A351" s="7" t="s">
        <x:v>796</x:v>
      </x:c>
      <x:c r="B351" s="7" t="s">
        <x:v>797</x:v>
      </x:c>
      <x:c r="C351" s="7"/>
      <x:c r="D351" s="9"/>
      <x:c r="E351" s="9"/>
      <x:c r="F351" s="9"/>
      <x:c r="G351" s="9"/>
      <x:c r="H351" s="9"/>
      <x:c r="I351" s="9"/>
      <x:c r="J351" s="9"/>
      <x:c r="K351" s="9"/>
      <x:c r="L351" s="9"/>
      <x:c r="M351" s="9"/>
      <x:c r="N351" s="9"/>
      <x:c r="O351" s="9"/>
      <x:c r="P351" s="9"/>
      <x:c r="Q351" s="13">
        <x:v>0</x:v>
      </x:c>
      <x:c r="R351" s="13">
        <x:v>0</x:v>
      </x:c>
      <x:c r="S351" s="13">
        <x:v>0</x:v>
      </x:c>
      <x:c r="T351" s="13">
        <x:v>0</x:v>
      </x:c>
      <x:c r="U351" s="13">
        <x:v>0</x:v>
      </x:c>
      <x:c r="V351" s="13">
        <x:v>0</x:v>
      </x:c>
      <x:c r="W351" s="13">
        <x:v>0</x:v>
      </x:c>
      <x:c r="X351" s="13">
        <x:v>0</x:v>
      </x:c>
      <x:c r="Y351" s="13">
        <x:v>0</x:v>
      </x:c>
      <x:c r="Z351" s="13">
        <x:v>0</x:v>
      </x:c>
      <x:c r="AA351" s="13">
        <x:v>0</x:v>
      </x:c>
      <x:c r="AB351" s="13">
        <x:v>0</x:v>
      </x:c>
      <x:c r="AC351" s="28">
        <x:v>0</x:v>
      </x:c>
      <x:c r="AF351" s="2" t="s">
        <x:v>34</x:v>
      </x:c>
    </x:row>
    <x:row r="352">
      <x:c r="A352" s="7" t="s">
        <x:v>798</x:v>
      </x:c>
      <x:c r="B352" s="7" t="s">
        <x:v>799</x:v>
      </x:c>
      <x:c r="C352" s="7"/>
      <x:c r="D352" s="9"/>
      <x:c r="E352" s="9"/>
      <x:c r="F352" s="9"/>
      <x:c r="G352" s="9"/>
      <x:c r="H352" s="9"/>
      <x:c r="I352" s="9"/>
      <x:c r="J352" s="9"/>
      <x:c r="K352" s="9"/>
      <x:c r="L352" s="9"/>
      <x:c r="M352" s="9"/>
      <x:c r="N352" s="9"/>
      <x:c r="O352" s="9"/>
      <x:c r="P352" s="9"/>
      <x:c r="Q352" s="13">
        <x:v>0</x:v>
      </x:c>
      <x:c r="R352" s="13">
        <x:v>0</x:v>
      </x:c>
      <x:c r="S352" s="13">
        <x:v>0</x:v>
      </x:c>
      <x:c r="T352" s="13">
        <x:v>0</x:v>
      </x:c>
      <x:c r="U352" s="13">
        <x:v>0</x:v>
      </x:c>
      <x:c r="V352" s="13">
        <x:v>0</x:v>
      </x:c>
      <x:c r="W352" s="13">
        <x:v>0</x:v>
      </x:c>
      <x:c r="X352" s="13">
        <x:v>0</x:v>
      </x:c>
      <x:c r="Y352" s="13">
        <x:v>0</x:v>
      </x:c>
      <x:c r="Z352" s="13">
        <x:v>0</x:v>
      </x:c>
      <x:c r="AA352" s="13">
        <x:v>0</x:v>
      </x:c>
      <x:c r="AB352" s="13">
        <x:v>0</x:v>
      </x:c>
      <x:c r="AC352" s="28">
        <x:v>0</x:v>
      </x:c>
      <x:c r="AF352" s="2" t="s">
        <x:v>34</x:v>
      </x:c>
    </x:row>
    <x:row r="353">
      <x:c r="A353" s="7" t="s">
        <x:v>800</x:v>
      </x:c>
      <x:c r="B353" s="7" t="s">
        <x:v>801</x:v>
      </x:c>
      <x:c r="C353" s="7"/>
      <x:c r="D353" s="9"/>
      <x:c r="E353" s="9"/>
      <x:c r="F353" s="9"/>
      <x:c r="G353" s="9"/>
      <x:c r="H353" s="9"/>
      <x:c r="I353" s="9"/>
      <x:c r="J353" s="9"/>
      <x:c r="K353" s="9"/>
      <x:c r="L353" s="9"/>
      <x:c r="M353" s="9"/>
      <x:c r="N353" s="9"/>
      <x:c r="O353" s="9"/>
      <x:c r="P353" s="9"/>
      <x:c r="Q353" s="13">
        <x:v>0</x:v>
      </x:c>
      <x:c r="R353" s="13">
        <x:v>0</x:v>
      </x:c>
      <x:c r="S353" s="13">
        <x:v>0</x:v>
      </x:c>
      <x:c r="T353" s="13">
        <x:v>0</x:v>
      </x:c>
      <x:c r="U353" s="13">
        <x:v>0</x:v>
      </x:c>
      <x:c r="V353" s="13">
        <x:v>0</x:v>
      </x:c>
      <x:c r="W353" s="13">
        <x:v>0</x:v>
      </x:c>
      <x:c r="X353" s="13">
        <x:v>0</x:v>
      </x:c>
      <x:c r="Y353" s="13">
        <x:v>0</x:v>
      </x:c>
      <x:c r="Z353" s="13">
        <x:v>0</x:v>
      </x:c>
      <x:c r="AA353" s="13">
        <x:v>0</x:v>
      </x:c>
      <x:c r="AB353" s="13">
        <x:v>0</x:v>
      </x:c>
      <x:c r="AC353" s="28">
        <x:v>0</x:v>
      </x:c>
      <x:c r="AF353" s="2" t="s">
        <x:v>34</x:v>
      </x:c>
    </x:row>
    <x:row r="354">
      <x:c r="A354" s="7" t="s">
        <x:v>802</x:v>
      </x:c>
      <x:c r="B354" s="7" t="s">
        <x:v>803</x:v>
      </x:c>
      <x:c r="C354" s="7"/>
      <x:c r="D354" s="9"/>
      <x:c r="E354" s="9"/>
      <x:c r="F354" s="9"/>
      <x:c r="G354" s="9"/>
      <x:c r="H354" s="9"/>
      <x:c r="I354" s="9"/>
      <x:c r="J354" s="9"/>
      <x:c r="K354" s="9"/>
      <x:c r="L354" s="9"/>
      <x:c r="M354" s="9"/>
      <x:c r="N354" s="9"/>
      <x:c r="O354" s="9"/>
      <x:c r="P354" s="9"/>
      <x:c r="Q354" s="13">
        <x:v>0</x:v>
      </x:c>
      <x:c r="R354" s="13">
        <x:v>0</x:v>
      </x:c>
      <x:c r="S354" s="13">
        <x:v>0</x:v>
      </x:c>
      <x:c r="T354" s="13">
        <x:v>0</x:v>
      </x:c>
      <x:c r="U354" s="13">
        <x:v>0</x:v>
      </x:c>
      <x:c r="V354" s="13">
        <x:v>0</x:v>
      </x:c>
      <x:c r="W354" s="13">
        <x:v>0</x:v>
      </x:c>
      <x:c r="X354" s="13">
        <x:v>0</x:v>
      </x:c>
      <x:c r="Y354" s="13">
        <x:v>0</x:v>
      </x:c>
      <x:c r="Z354" s="13">
        <x:v>0</x:v>
      </x:c>
      <x:c r="AA354" s="13">
        <x:v>0</x:v>
      </x:c>
      <x:c r="AB354" s="13">
        <x:v>0</x:v>
      </x:c>
      <x:c r="AC354" s="28">
        <x:v>0</x:v>
      </x:c>
      <x:c r="AF354" s="2" t="s">
        <x:v>34</x:v>
      </x:c>
    </x:row>
    <x:row r="355">
      <x:c r="A355" s="7" t="s">
        <x:v>804</x:v>
      </x:c>
      <x:c r="B355" s="7" t="s">
        <x:v>805</x:v>
      </x:c>
      <x:c r="C355" s="7"/>
      <x:c r="D355" s="9"/>
      <x:c r="E355" s="9"/>
      <x:c r="F355" s="9"/>
      <x:c r="G355" s="9"/>
      <x:c r="H355" s="9"/>
      <x:c r="I355" s="9"/>
      <x:c r="J355" s="9"/>
      <x:c r="K355" s="9"/>
      <x:c r="L355" s="9"/>
      <x:c r="M355" s="9"/>
      <x:c r="N355" s="9"/>
      <x:c r="O355" s="9"/>
      <x:c r="P355" s="9"/>
      <x:c r="Q355" s="13">
        <x:v>0</x:v>
      </x:c>
      <x:c r="R355" s="13">
        <x:v>0</x:v>
      </x:c>
      <x:c r="S355" s="13">
        <x:v>0</x:v>
      </x:c>
      <x:c r="T355" s="13">
        <x:v>0</x:v>
      </x:c>
      <x:c r="U355" s="13">
        <x:v>0</x:v>
      </x:c>
      <x:c r="V355" s="13">
        <x:v>0</x:v>
      </x:c>
      <x:c r="W355" s="13">
        <x:v>0</x:v>
      </x:c>
      <x:c r="X355" s="13">
        <x:v>0</x:v>
      </x:c>
      <x:c r="Y355" s="13">
        <x:v>0</x:v>
      </x:c>
      <x:c r="Z355" s="13">
        <x:v>0</x:v>
      </x:c>
      <x:c r="AA355" s="13">
        <x:v>0</x:v>
      </x:c>
      <x:c r="AB355" s="13">
        <x:v>0</x:v>
      </x:c>
      <x:c r="AC355" s="28">
        <x:v>0</x:v>
      </x:c>
      <x:c r="AF355" s="2" t="s">
        <x:v>34</x:v>
      </x:c>
    </x:row>
    <x:row r="356">
      <x:c r="A356" s="7" t="s">
        <x:v>806</x:v>
      </x:c>
      <x:c r="B356" s="7" t="s">
        <x:v>807</x:v>
      </x:c>
      <x:c r="C356" s="7"/>
      <x:c r="D356" s="9"/>
      <x:c r="E356" s="9"/>
      <x:c r="F356" s="9"/>
      <x:c r="G356" s="9"/>
      <x:c r="H356" s="9"/>
      <x:c r="I356" s="9"/>
      <x:c r="J356" s="9"/>
      <x:c r="K356" s="9"/>
      <x:c r="L356" s="9"/>
      <x:c r="M356" s="9"/>
      <x:c r="N356" s="9"/>
      <x:c r="O356" s="9"/>
      <x:c r="P356" s="9"/>
      <x:c r="Q356" s="13">
        <x:v>0</x:v>
      </x:c>
      <x:c r="R356" s="13">
        <x:v>0</x:v>
      </x:c>
      <x:c r="S356" s="13">
        <x:v>0</x:v>
      </x:c>
      <x:c r="T356" s="13">
        <x:v>0</x:v>
      </x:c>
      <x:c r="U356" s="13">
        <x:v>0</x:v>
      </x:c>
      <x:c r="V356" s="13">
        <x:v>0</x:v>
      </x:c>
      <x:c r="W356" s="13">
        <x:v>0</x:v>
      </x:c>
      <x:c r="X356" s="13">
        <x:v>0</x:v>
      </x:c>
      <x:c r="Y356" s="13">
        <x:v>0</x:v>
      </x:c>
      <x:c r="Z356" s="13">
        <x:v>0</x:v>
      </x:c>
      <x:c r="AA356" s="13">
        <x:v>0</x:v>
      </x:c>
      <x:c r="AB356" s="13">
        <x:v>0</x:v>
      </x:c>
      <x:c r="AC356" s="28">
        <x:v>0</x:v>
      </x:c>
      <x:c r="AF356" s="2" t="s">
        <x:v>34</x:v>
      </x:c>
    </x:row>
    <x:row r="357">
      <x:c r="A357" s="7" t="s">
        <x:v>808</x:v>
      </x:c>
      <x:c r="B357" s="7" t="s">
        <x:v>809</x:v>
      </x:c>
      <x:c r="C357" s="7"/>
      <x:c r="D357" s="9"/>
      <x:c r="E357" s="9"/>
      <x:c r="F357" s="9"/>
      <x:c r="G357" s="9"/>
      <x:c r="H357" s="9"/>
      <x:c r="I357" s="9"/>
      <x:c r="J357" s="9"/>
      <x:c r="K357" s="9"/>
      <x:c r="L357" s="9"/>
      <x:c r="M357" s="9"/>
      <x:c r="N357" s="9"/>
      <x:c r="O357" s="9"/>
      <x:c r="P357" s="9"/>
      <x:c r="Q357" s="13">
        <x:v>0</x:v>
      </x:c>
      <x:c r="R357" s="13">
        <x:v>0</x:v>
      </x:c>
      <x:c r="S357" s="13">
        <x:v>0</x:v>
      </x:c>
      <x:c r="T357" s="13">
        <x:v>0</x:v>
      </x:c>
      <x:c r="U357" s="13">
        <x:v>0</x:v>
      </x:c>
      <x:c r="V357" s="13">
        <x:v>0</x:v>
      </x:c>
      <x:c r="W357" s="13">
        <x:v>0</x:v>
      </x:c>
      <x:c r="X357" s="13">
        <x:v>0</x:v>
      </x:c>
      <x:c r="Y357" s="13">
        <x:v>0</x:v>
      </x:c>
      <x:c r="Z357" s="13">
        <x:v>0</x:v>
      </x:c>
      <x:c r="AA357" s="13">
        <x:v>0</x:v>
      </x:c>
      <x:c r="AB357" s="13">
        <x:v>0</x:v>
      </x:c>
      <x:c r="AC357" s="28">
        <x:v>0</x:v>
      </x:c>
      <x:c r="AF357" s="2" t="s">
        <x:v>34</x:v>
      </x:c>
    </x:row>
    <x:row r="358">
      <x:c r="A358" s="7" t="s">
        <x:v>810</x:v>
      </x:c>
      <x:c r="B358" s="7" t="s">
        <x:v>811</x:v>
      </x:c>
      <x:c r="C358" s="7"/>
      <x:c r="D358" s="9"/>
      <x:c r="E358" s="9"/>
      <x:c r="F358" s="9"/>
      <x:c r="G358" s="9"/>
      <x:c r="H358" s="9"/>
      <x:c r="I358" s="9"/>
      <x:c r="J358" s="9"/>
      <x:c r="K358" s="9"/>
      <x:c r="L358" s="9"/>
      <x:c r="M358" s="9"/>
      <x:c r="N358" s="9"/>
      <x:c r="O358" s="9"/>
      <x:c r="P358" s="9"/>
      <x:c r="Q358" s="13">
        <x:v>0</x:v>
      </x:c>
      <x:c r="R358" s="13">
        <x:v>0</x:v>
      </x:c>
      <x:c r="S358" s="13">
        <x:v>0</x:v>
      </x:c>
      <x:c r="T358" s="13">
        <x:v>0</x:v>
      </x:c>
      <x:c r="U358" s="13">
        <x:v>0</x:v>
      </x:c>
      <x:c r="V358" s="13">
        <x:v>0</x:v>
      </x:c>
      <x:c r="W358" s="13">
        <x:v>0</x:v>
      </x:c>
      <x:c r="X358" s="13">
        <x:v>0</x:v>
      </x:c>
      <x:c r="Y358" s="13">
        <x:v>0</x:v>
      </x:c>
      <x:c r="Z358" s="13">
        <x:v>0</x:v>
      </x:c>
      <x:c r="AA358" s="13">
        <x:v>0</x:v>
      </x:c>
      <x:c r="AB358" s="13">
        <x:v>0</x:v>
      </x:c>
      <x:c r="AC358" s="28">
        <x:v>0</x:v>
      </x:c>
      <x:c r="AF358" s="2" t="s">
        <x:v>34</x:v>
      </x:c>
    </x:row>
    <x:row r="359">
      <x:c r="A359" s="7" t="s">
        <x:v>812</x:v>
      </x:c>
      <x:c r="B359" s="7" t="s">
        <x:v>813</x:v>
      </x:c>
      <x:c r="C359" s="7"/>
      <x:c r="D359" s="9"/>
      <x:c r="E359" s="9"/>
      <x:c r="F359" s="9"/>
      <x:c r="G359" s="9"/>
      <x:c r="H359" s="9"/>
      <x:c r="I359" s="9"/>
      <x:c r="J359" s="9"/>
      <x:c r="K359" s="9"/>
      <x:c r="L359" s="9"/>
      <x:c r="M359" s="9"/>
      <x:c r="N359" s="9"/>
      <x:c r="O359" s="9"/>
      <x:c r="P359" s="9"/>
      <x:c r="Q359" s="13">
        <x:v>0</x:v>
      </x:c>
      <x:c r="R359" s="13">
        <x:v>0</x:v>
      </x:c>
      <x:c r="S359" s="13">
        <x:v>0</x:v>
      </x:c>
      <x:c r="T359" s="13">
        <x:v>0</x:v>
      </x:c>
      <x:c r="U359" s="13">
        <x:v>0</x:v>
      </x:c>
      <x:c r="V359" s="13">
        <x:v>0</x:v>
      </x:c>
      <x:c r="W359" s="13">
        <x:v>0</x:v>
      </x:c>
      <x:c r="X359" s="13">
        <x:v>0</x:v>
      </x:c>
      <x:c r="Y359" s="13">
        <x:v>0</x:v>
      </x:c>
      <x:c r="Z359" s="13">
        <x:v>0</x:v>
      </x:c>
      <x:c r="AA359" s="13">
        <x:v>0</x:v>
      </x:c>
      <x:c r="AB359" s="13">
        <x:v>0</x:v>
      </x:c>
      <x:c r="AC359" s="28">
        <x:v>0</x:v>
      </x:c>
      <x:c r="AF359" s="2" t="s">
        <x:v>34</x:v>
      </x:c>
    </x:row>
    <x:row r="360">
      <x:c r="A360" s="7" t="s">
        <x:v>814</x:v>
      </x:c>
      <x:c r="B360" s="7" t="s">
        <x:v>815</x:v>
      </x:c>
      <x:c r="C360" s="7"/>
      <x:c r="D360" s="9"/>
      <x:c r="E360" s="9"/>
      <x:c r="F360" s="9"/>
      <x:c r="G360" s="9"/>
      <x:c r="H360" s="9"/>
      <x:c r="I360" s="9"/>
      <x:c r="J360" s="9"/>
      <x:c r="K360" s="9"/>
      <x:c r="L360" s="9"/>
      <x:c r="M360" s="9"/>
      <x:c r="N360" s="9"/>
      <x:c r="O360" s="9"/>
      <x:c r="P360" s="9"/>
      <x:c r="Q360" s="13">
        <x:v>0</x:v>
      </x:c>
      <x:c r="R360" s="13">
        <x:v>0</x:v>
      </x:c>
      <x:c r="S360" s="13">
        <x:v>0</x:v>
      </x:c>
      <x:c r="T360" s="13">
        <x:v>0</x:v>
      </x:c>
      <x:c r="U360" s="13">
        <x:v>0</x:v>
      </x:c>
      <x:c r="V360" s="13">
        <x:v>0</x:v>
      </x:c>
      <x:c r="W360" s="13">
        <x:v>0</x:v>
      </x:c>
      <x:c r="X360" s="13">
        <x:v>0</x:v>
      </x:c>
      <x:c r="Y360" s="13">
        <x:v>0</x:v>
      </x:c>
      <x:c r="Z360" s="13">
        <x:v>0</x:v>
      </x:c>
      <x:c r="AA360" s="13">
        <x:v>0</x:v>
      </x:c>
      <x:c r="AB360" s="13">
        <x:v>0</x:v>
      </x:c>
      <x:c r="AC360" s="28">
        <x:v>0</x:v>
      </x:c>
      <x:c r="AF360" s="2" t="s">
        <x:v>34</x:v>
      </x:c>
    </x:row>
    <x:row r="361">
      <x:c r="A361" s="7" t="s">
        <x:v>816</x:v>
      </x:c>
      <x:c r="B361" s="7" t="s">
        <x:v>817</x:v>
      </x:c>
      <x:c r="C361" s="7"/>
      <x:c r="D361" s="9"/>
      <x:c r="E361" s="9"/>
      <x:c r="F361" s="9"/>
      <x:c r="G361" s="9"/>
      <x:c r="H361" s="9"/>
      <x:c r="I361" s="9"/>
      <x:c r="J361" s="9"/>
      <x:c r="K361" s="9"/>
      <x:c r="L361" s="9"/>
      <x:c r="M361" s="9"/>
      <x:c r="N361" s="9"/>
      <x:c r="O361" s="9"/>
      <x:c r="P361" s="9"/>
      <x:c r="Q361" s="13">
        <x:v>0</x:v>
      </x:c>
      <x:c r="R361" s="13">
        <x:v>0</x:v>
      </x:c>
      <x:c r="S361" s="13">
        <x:v>0</x:v>
      </x:c>
      <x:c r="T361" s="13">
        <x:v>0</x:v>
      </x:c>
      <x:c r="U361" s="13">
        <x:v>0</x:v>
      </x:c>
      <x:c r="V361" s="13">
        <x:v>0</x:v>
      </x:c>
      <x:c r="W361" s="13">
        <x:v>0</x:v>
      </x:c>
      <x:c r="X361" s="13">
        <x:v>0</x:v>
      </x:c>
      <x:c r="Y361" s="13">
        <x:v>0</x:v>
      </x:c>
      <x:c r="Z361" s="13">
        <x:v>0</x:v>
      </x:c>
      <x:c r="AA361" s="13">
        <x:v>0</x:v>
      </x:c>
      <x:c r="AB361" s="13">
        <x:v>0</x:v>
      </x:c>
      <x:c r="AC361" s="28">
        <x:v>0</x:v>
      </x:c>
      <x:c r="AF361" s="2" t="s">
        <x:v>34</x:v>
      </x:c>
    </x:row>
    <x:row r="362">
      <x:c r="A362" s="7" t="s">
        <x:v>818</x:v>
      </x:c>
      <x:c r="B362" s="7" t="s">
        <x:v>819</x:v>
      </x:c>
      <x:c r="C362" s="7"/>
      <x:c r="D362" s="9"/>
      <x:c r="E362" s="9"/>
      <x:c r="F362" s="9"/>
      <x:c r="G362" s="9"/>
      <x:c r="H362" s="9"/>
      <x:c r="I362" s="9"/>
      <x:c r="J362" s="9"/>
      <x:c r="K362" s="9"/>
      <x:c r="L362" s="9"/>
      <x:c r="M362" s="9"/>
      <x:c r="N362" s="9"/>
      <x:c r="O362" s="9"/>
      <x:c r="P362" s="9"/>
      <x:c r="Q362" s="13">
        <x:v>0</x:v>
      </x:c>
      <x:c r="R362" s="13">
        <x:v>0</x:v>
      </x:c>
      <x:c r="S362" s="13">
        <x:v>0</x:v>
      </x:c>
      <x:c r="T362" s="13">
        <x:v>0</x:v>
      </x:c>
      <x:c r="U362" s="13">
        <x:v>0</x:v>
      </x:c>
      <x:c r="V362" s="13">
        <x:v>0</x:v>
      </x:c>
      <x:c r="W362" s="13">
        <x:v>0</x:v>
      </x:c>
      <x:c r="X362" s="13">
        <x:v>0</x:v>
      </x:c>
      <x:c r="Y362" s="13">
        <x:v>0</x:v>
      </x:c>
      <x:c r="Z362" s="13">
        <x:v>0</x:v>
      </x:c>
      <x:c r="AA362" s="13">
        <x:v>0</x:v>
      </x:c>
      <x:c r="AB362" s="13">
        <x:v>0</x:v>
      </x:c>
      <x:c r="AC362" s="28">
        <x:v>0</x:v>
      </x:c>
      <x:c r="AF362" s="2" t="s">
        <x:v>34</x:v>
      </x:c>
    </x:row>
    <x:row r="363">
      <x:c r="A363" s="6" t="s">
        <x:v>820</x:v>
      </x:c>
      <x:c r="B363" s="7" t="s">
        <x:v>821</x:v>
      </x:c>
      <x:c r="C363" s="7"/>
      <x:c r="D363" s="9"/>
      <x:c r="E363" s="9"/>
      <x:c r="F363" s="9"/>
      <x:c r="G363" s="9"/>
      <x:c r="H363" s="9"/>
      <x:c r="I363" s="9"/>
      <x:c r="J363" s="9"/>
      <x:c r="K363" s="9"/>
      <x:c r="L363" s="9"/>
      <x:c r="M363" s="9"/>
      <x:c r="N363" s="9"/>
      <x:c r="O363" s="9"/>
      <x:c r="P363" s="9"/>
      <x:c r="Q363" s="13">
        <x:v>0</x:v>
      </x:c>
      <x:c r="R363" s="13">
        <x:v>0</x:v>
      </x:c>
      <x:c r="S363" s="13">
        <x:v>0</x:v>
      </x:c>
      <x:c r="T363" s="13">
        <x:v>0</x:v>
      </x:c>
      <x:c r="U363" s="13">
        <x:v>0</x:v>
      </x:c>
      <x:c r="V363" s="13">
        <x:v>0</x:v>
      </x:c>
      <x:c r="W363" s="13">
        <x:v>0</x:v>
      </x:c>
      <x:c r="X363" s="13">
        <x:v>0</x:v>
      </x:c>
      <x:c r="Y363" s="13">
        <x:v>0</x:v>
      </x:c>
      <x:c r="Z363" s="13">
        <x:v>0</x:v>
      </x:c>
      <x:c r="AA363" s="13">
        <x:v>0</x:v>
      </x:c>
      <x:c r="AB363" s="13">
        <x:v>0</x:v>
      </x:c>
      <x:c r="AC363" s="28">
        <x:v>0</x:v>
      </x:c>
      <x:c r="AF363" s="2" t="s">
        <x:v>34</x:v>
      </x:c>
    </x:row>
    <x:row r="364">
      <x:c r="A364" s="6" t="s">
        <x:v>822</x:v>
      </x:c>
      <x:c r="B364" s="7" t="s">
        <x:v>823</x:v>
      </x:c>
      <x:c r="C364" s="7"/>
      <x:c r="D364" s="9"/>
      <x:c r="E364" s="9"/>
      <x:c r="F364" s="9"/>
      <x:c r="G364" s="9"/>
      <x:c r="H364" s="9"/>
      <x:c r="I364" s="9"/>
      <x:c r="J364" s="9"/>
      <x:c r="K364" s="9"/>
      <x:c r="L364" s="9"/>
      <x:c r="M364" s="9"/>
      <x:c r="N364" s="9"/>
      <x:c r="O364" s="9"/>
      <x:c r="P364" s="9"/>
      <x:c r="Q364" s="13">
        <x:v>0</x:v>
      </x:c>
      <x:c r="R364" s="13">
        <x:v>0</x:v>
      </x:c>
      <x:c r="S364" s="13">
        <x:v>0</x:v>
      </x:c>
      <x:c r="T364" s="13">
        <x:v>0</x:v>
      </x:c>
      <x:c r="U364" s="13">
        <x:v>0</x:v>
      </x:c>
      <x:c r="V364" s="13">
        <x:v>0</x:v>
      </x:c>
      <x:c r="W364" s="13">
        <x:v>0</x:v>
      </x:c>
      <x:c r="X364" s="13">
        <x:v>0</x:v>
      </x:c>
      <x:c r="Y364" s="13">
        <x:v>0</x:v>
      </x:c>
      <x:c r="Z364" s="13">
        <x:v>0</x:v>
      </x:c>
      <x:c r="AA364" s="13">
        <x:v>0</x:v>
      </x:c>
      <x:c r="AB364" s="13">
        <x:v>0</x:v>
      </x:c>
      <x:c r="AC364" s="28">
        <x:v>0</x:v>
      </x:c>
      <x:c r="AF364" s="2" t="s">
        <x:v>34</x:v>
      </x:c>
    </x:row>
    <x:row r="365">
      <x:c r="A365" s="7" t="s">
        <x:v>824</x:v>
      </x:c>
      <x:c r="B365" s="7" t="s">
        <x:v>825</x:v>
      </x:c>
      <x:c r="C365" s="7" t="s">
        <x:v>826</x:v>
      </x:c>
      <x:c r="D365" s="9"/>
      <x:c r="E365" s="9"/>
      <x:c r="F365" s="9"/>
      <x:c r="G365" s="9"/>
      <x:c r="H365" s="9"/>
      <x:c r="I365" s="9"/>
      <x:c r="J365" s="9"/>
      <x:c r="K365" s="9"/>
      <x:c r="L365" s="9"/>
      <x:c r="M365" s="9"/>
      <x:c r="N365" s="9"/>
      <x:c r="O365" s="9"/>
      <x:c r="P365" s="9"/>
      <x:c r="Q365" s="13">
        <x:v>0</x:v>
      </x:c>
      <x:c r="R365" s="13">
        <x:v>0</x:v>
      </x:c>
      <x:c r="S365" s="13">
        <x:v>0</x:v>
      </x:c>
      <x:c r="T365" s="13">
        <x:v>0</x:v>
      </x:c>
      <x:c r="U365" s="13">
        <x:v>0</x:v>
      </x:c>
      <x:c r="V365" s="13">
        <x:v>0</x:v>
      </x:c>
      <x:c r="W365" s="13">
        <x:v>0</x:v>
      </x:c>
      <x:c r="X365" s="13">
        <x:v>0</x:v>
      </x:c>
      <x:c r="Y365" s="13">
        <x:v>0</x:v>
      </x:c>
      <x:c r="Z365" s="13">
        <x:v>0</x:v>
      </x:c>
      <x:c r="AA365" s="13">
        <x:v>0</x:v>
      </x:c>
      <x:c r="AB365" s="13">
        <x:v>0</x:v>
      </x:c>
      <x:c r="AC365" s="28">
        <x:v>0</x:v>
      </x:c>
      <x:c r="AF365" s="2" t="s">
        <x:v>34</x:v>
      </x:c>
    </x:row>
    <x:row r="366">
      <x:c r="A366" s="7" t="s">
        <x:v>827</x:v>
      </x:c>
      <x:c r="B366" s="7" t="s">
        <x:v>828</x:v>
      </x:c>
      <x:c r="C366" s="7"/>
      <x:c r="D366" s="9"/>
      <x:c r="E366" s="9"/>
      <x:c r="F366" s="9"/>
      <x:c r="G366" s="9"/>
      <x:c r="H366" s="9"/>
      <x:c r="I366" s="9"/>
      <x:c r="J366" s="9"/>
      <x:c r="K366" s="9"/>
      <x:c r="L366" s="9"/>
      <x:c r="M366" s="9"/>
      <x:c r="N366" s="9"/>
      <x:c r="O366" s="9"/>
      <x:c r="P366" s="9"/>
      <x:c r="Q366" s="13">
        <x:v>0</x:v>
      </x:c>
      <x:c r="R366" s="13">
        <x:v>0</x:v>
      </x:c>
      <x:c r="S366" s="13">
        <x:v>0</x:v>
      </x:c>
      <x:c r="T366" s="13">
        <x:v>0</x:v>
      </x:c>
      <x:c r="U366" s="13">
        <x:v>0</x:v>
      </x:c>
      <x:c r="V366" s="13">
        <x:v>0</x:v>
      </x:c>
      <x:c r="W366" s="13">
        <x:v>0</x:v>
      </x:c>
      <x:c r="X366" s="13">
        <x:v>0</x:v>
      </x:c>
      <x:c r="Y366" s="13">
        <x:v>0</x:v>
      </x:c>
      <x:c r="Z366" s="13">
        <x:v>0</x:v>
      </x:c>
      <x:c r="AA366" s="13">
        <x:v>0</x:v>
      </x:c>
      <x:c r="AB366" s="13">
        <x:v>0</x:v>
      </x:c>
      <x:c r="AC366" s="28">
        <x:v>0</x:v>
      </x:c>
      <x:c r="AF366" s="2" t="s">
        <x:v>34</x:v>
      </x:c>
    </x:row>
    <x:row r="367">
      <x:c r="A367" s="6" t="s">
        <x:v>829</x:v>
      </x:c>
      <x:c r="B367" s="7" t="s">
        <x:v>830</x:v>
      </x:c>
      <x:c r="C367" s="7"/>
      <x:c r="D367" s="9"/>
      <x:c r="E367" s="9"/>
      <x:c r="F367" s="9"/>
      <x:c r="G367" s="9"/>
      <x:c r="H367" s="9"/>
      <x:c r="I367" s="9"/>
      <x:c r="J367" s="9"/>
      <x:c r="K367" s="9"/>
      <x:c r="L367" s="9"/>
      <x:c r="M367" s="9"/>
      <x:c r="N367" s="9"/>
      <x:c r="O367" s="9"/>
      <x:c r="P367" s="9"/>
      <x:c r="Q367" s="13">
        <x:v>0</x:v>
      </x:c>
      <x:c r="R367" s="13">
        <x:v>0</x:v>
      </x:c>
      <x:c r="S367" s="13">
        <x:v>0</x:v>
      </x:c>
      <x:c r="T367" s="13">
        <x:v>0</x:v>
      </x:c>
      <x:c r="U367" s="13">
        <x:v>0</x:v>
      </x:c>
      <x:c r="V367" s="13">
        <x:v>0</x:v>
      </x:c>
      <x:c r="W367" s="13">
        <x:v>0</x:v>
      </x:c>
      <x:c r="X367" s="13">
        <x:v>0</x:v>
      </x:c>
      <x:c r="Y367" s="13">
        <x:v>0</x:v>
      </x:c>
      <x:c r="Z367" s="13">
        <x:v>0</x:v>
      </x:c>
      <x:c r="AA367" s="13">
        <x:v>0</x:v>
      </x:c>
      <x:c r="AB367" s="13">
        <x:v>0</x:v>
      </x:c>
      <x:c r="AC367" s="16">
        <x:v>0</x:v>
      </x:c>
      <x:c r="AF367" s="2" t="s">
        <x:v>34</x:v>
      </x:c>
    </x:row>
    <x:row r="368">
      <x:c r="A368" s="6" t="s">
        <x:v>831</x:v>
      </x:c>
      <x:c r="B368" s="7" t="s">
        <x:v>832</x:v>
      </x:c>
      <x:c r="C368" s="7"/>
      <x:c r="D368" s="9"/>
      <x:c r="E368" s="9"/>
      <x:c r="F368" s="9"/>
      <x:c r="G368" s="9"/>
      <x:c r="H368" s="9"/>
      <x:c r="I368" s="9"/>
      <x:c r="J368" s="9"/>
      <x:c r="K368" s="9"/>
      <x:c r="L368" s="9"/>
      <x:c r="M368" s="9"/>
      <x:c r="N368" s="9"/>
      <x:c r="O368" s="9"/>
      <x:c r="P368" s="9"/>
      <x:c r="Q368" s="13">
        <x:v>0</x:v>
      </x:c>
      <x:c r="R368" s="13">
        <x:v>0</x:v>
      </x:c>
      <x:c r="S368" s="13">
        <x:v>0</x:v>
      </x:c>
      <x:c r="T368" s="13">
        <x:v>0</x:v>
      </x:c>
      <x:c r="U368" s="13">
        <x:v>0</x:v>
      </x:c>
      <x:c r="V368" s="13">
        <x:v>0</x:v>
      </x:c>
      <x:c r="W368" s="13">
        <x:v>0</x:v>
      </x:c>
      <x:c r="X368" s="13">
        <x:v>0</x:v>
      </x:c>
      <x:c r="Y368" s="13">
        <x:v>0</x:v>
      </x:c>
      <x:c r="Z368" s="13">
        <x:v>0</x:v>
      </x:c>
      <x:c r="AA368" s="13">
        <x:v>0</x:v>
      </x:c>
      <x:c r="AB368" s="13">
        <x:v>0</x:v>
      </x:c>
      <x:c r="AC368" s="16">
        <x:v>0</x:v>
      </x:c>
      <x:c r="AF368" s="2" t="s">
        <x:v>34</x:v>
      </x:c>
    </x:row>
    <x:row r="369">
      <x:c r="A369" s="6" t="s">
        <x:v>833</x:v>
      </x:c>
      <x:c r="B369" s="7" t="s">
        <x:v>834</x:v>
      </x:c>
      <x:c r="C369" s="7"/>
      <x:c r="D369" s="9"/>
      <x:c r="E369" s="9"/>
      <x:c r="F369" s="9"/>
      <x:c r="G369" s="9"/>
      <x:c r="H369" s="9"/>
      <x:c r="I369" s="9"/>
      <x:c r="J369" s="9"/>
      <x:c r="K369" s="9"/>
      <x:c r="L369" s="9"/>
      <x:c r="M369" s="9"/>
      <x:c r="N369" s="9"/>
      <x:c r="O369" s="9"/>
      <x:c r="P369" s="9"/>
      <x:c r="Q369" s="13">
        <x:v>0</x:v>
      </x:c>
      <x:c r="R369" s="13">
        <x:v>0</x:v>
      </x:c>
      <x:c r="S369" s="13">
        <x:v>0</x:v>
      </x:c>
      <x:c r="T369" s="13">
        <x:v>0</x:v>
      </x:c>
      <x:c r="U369" s="13">
        <x:v>0</x:v>
      </x:c>
      <x:c r="V369" s="13">
        <x:v>0</x:v>
      </x:c>
      <x:c r="W369" s="13">
        <x:v>0</x:v>
      </x:c>
      <x:c r="X369" s="13">
        <x:v>0</x:v>
      </x:c>
      <x:c r="Y369" s="13">
        <x:v>0</x:v>
      </x:c>
      <x:c r="Z369" s="13">
        <x:v>0</x:v>
      </x:c>
      <x:c r="AA369" s="13">
        <x:v>0</x:v>
      </x:c>
      <x:c r="AB369" s="13">
        <x:v>0</x:v>
      </x:c>
      <x:c r="AC369" s="16">
        <x:v>0</x:v>
      </x:c>
      <x:c r="AF369" s="2" t="s">
        <x:v>34</x:v>
      </x:c>
    </x:row>
    <x:row r="370">
      <x:c r="A370" s="6" t="s">
        <x:v>835</x:v>
      </x:c>
      <x:c r="B370" s="7" t="s">
        <x:v>836</x:v>
      </x:c>
      <x:c r="C370" s="7"/>
      <x:c r="D370" s="9"/>
      <x:c r="E370" s="9"/>
      <x:c r="F370" s="9"/>
      <x:c r="G370" s="9"/>
      <x:c r="H370" s="9"/>
      <x:c r="I370" s="9"/>
      <x:c r="J370" s="9"/>
      <x:c r="K370" s="9"/>
      <x:c r="L370" s="9"/>
      <x:c r="M370" s="9"/>
      <x:c r="N370" s="9"/>
      <x:c r="O370" s="9"/>
      <x:c r="P370" s="9"/>
      <x:c r="Q370" s="13">
        <x:v>0</x:v>
      </x:c>
      <x:c r="R370" s="13">
        <x:v>0</x:v>
      </x:c>
      <x:c r="S370" s="13">
        <x:v>0</x:v>
      </x:c>
      <x:c r="T370" s="13">
        <x:v>0</x:v>
      </x:c>
      <x:c r="U370" s="13">
        <x:v>0</x:v>
      </x:c>
      <x:c r="V370" s="13">
        <x:v>0</x:v>
      </x:c>
      <x:c r="W370" s="13">
        <x:v>0</x:v>
      </x:c>
      <x:c r="X370" s="13">
        <x:v>0</x:v>
      </x:c>
      <x:c r="Y370" s="13">
        <x:v>0</x:v>
      </x:c>
      <x:c r="Z370" s="13">
        <x:v>0</x:v>
      </x:c>
      <x:c r="AA370" s="13">
        <x:v>0</x:v>
      </x:c>
      <x:c r="AB370" s="13">
        <x:v>0</x:v>
      </x:c>
      <x:c r="AC370" s="16">
        <x:v>0</x:v>
      </x:c>
      <x:c r="AF370" s="2" t="s">
        <x:v>34</x:v>
      </x:c>
    </x:row>
    <x:row r="371">
      <x:c r="A371" s="7" t="s">
        <x:v>837</x:v>
      </x:c>
      <x:c r="B371" s="7" t="s">
        <x:v>838</x:v>
      </x:c>
      <x:c r="C371" s="7"/>
      <x:c r="D371" s="9"/>
      <x:c r="E371" s="9"/>
      <x:c r="F371" s="9"/>
      <x:c r="G371" s="9"/>
      <x:c r="H371" s="9"/>
      <x:c r="I371" s="9"/>
      <x:c r="J371" s="9"/>
      <x:c r="K371" s="9"/>
      <x:c r="L371" s="9"/>
      <x:c r="M371" s="9"/>
      <x:c r="N371" s="9"/>
      <x:c r="O371" s="9"/>
      <x:c r="P371" s="9"/>
      <x:c r="Q371" s="13">
        <x:v>0</x:v>
      </x:c>
      <x:c r="R371" s="13">
        <x:v>0</x:v>
      </x:c>
      <x:c r="S371" s="13">
        <x:v>0</x:v>
      </x:c>
      <x:c r="T371" s="13">
        <x:v>0</x:v>
      </x:c>
      <x:c r="U371" s="13">
        <x:v>0</x:v>
      </x:c>
      <x:c r="V371" s="13">
        <x:v>0</x:v>
      </x:c>
      <x:c r="W371" s="13">
        <x:v>0</x:v>
      </x:c>
      <x:c r="X371" s="13">
        <x:v>0</x:v>
      </x:c>
      <x:c r="Y371" s="13">
        <x:v>0</x:v>
      </x:c>
      <x:c r="Z371" s="13">
        <x:v>0</x:v>
      </x:c>
      <x:c r="AA371" s="13">
        <x:v>0</x:v>
      </x:c>
      <x:c r="AB371" s="13">
        <x:v>0</x:v>
      </x:c>
      <x:c r="AC371" s="28">
        <x:v>0</x:v>
      </x:c>
      <x:c r="AF371" s="2" t="s">
        <x:v>107</x:v>
      </x:c>
    </x:row>
    <x:row r="372">
      <x:c r="A372" s="7" t="s">
        <x:v>839</x:v>
      </x:c>
      <x:c r="B372" s="7" t="s">
        <x:v>840</x:v>
      </x:c>
      <x:c r="C372" s="7"/>
      <x:c r="D372" s="9"/>
      <x:c r="E372" s="9"/>
      <x:c r="F372" s="9"/>
      <x:c r="G372" s="9"/>
      <x:c r="H372" s="9"/>
      <x:c r="I372" s="9"/>
      <x:c r="J372" s="9"/>
      <x:c r="K372" s="9"/>
      <x:c r="L372" s="9"/>
      <x:c r="M372" s="9"/>
      <x:c r="N372" s="9"/>
      <x:c r="O372" s="9"/>
      <x:c r="P372" s="9"/>
      <x:c r="Q372" s="13">
        <x:v>0</x:v>
      </x:c>
      <x:c r="R372" s="13">
        <x:v>0</x:v>
      </x:c>
      <x:c r="S372" s="13">
        <x:v>0</x:v>
      </x:c>
      <x:c r="T372" s="13">
        <x:v>0</x:v>
      </x:c>
      <x:c r="U372" s="13">
        <x:v>0</x:v>
      </x:c>
      <x:c r="V372" s="13">
        <x:v>0</x:v>
      </x:c>
      <x:c r="W372" s="13">
        <x:v>0</x:v>
      </x:c>
      <x:c r="X372" s="13">
        <x:v>0</x:v>
      </x:c>
      <x:c r="Y372" s="13">
        <x:v>0</x:v>
      </x:c>
      <x:c r="Z372" s="13">
        <x:v>0</x:v>
      </x:c>
      <x:c r="AA372" s="13">
        <x:v>0</x:v>
      </x:c>
      <x:c r="AB372" s="13">
        <x:v>0</x:v>
      </x:c>
      <x:c r="AC372" s="28">
        <x:v>0</x:v>
      </x:c>
      <x:c r="AF372" s="2" t="s">
        <x:v>107</x:v>
      </x:c>
    </x:row>
    <x:row r="373">
      <x:c r="A373" s="7" t="s">
        <x:v>841</x:v>
      </x:c>
      <x:c r="B373" s="7" t="s">
        <x:v>842</x:v>
      </x:c>
      <x:c r="C373" s="7"/>
      <x:c r="D373" s="9"/>
      <x:c r="E373" s="9"/>
      <x:c r="F373" s="9"/>
      <x:c r="G373" s="9"/>
      <x:c r="H373" s="9"/>
      <x:c r="I373" s="9"/>
      <x:c r="J373" s="9"/>
      <x:c r="K373" s="9"/>
      <x:c r="L373" s="9"/>
      <x:c r="M373" s="9"/>
      <x:c r="N373" s="9"/>
      <x:c r="O373" s="9"/>
      <x:c r="P373" s="9"/>
      <x:c r="Q373" s="13">
        <x:v>0</x:v>
      </x:c>
      <x:c r="R373" s="13">
        <x:v>0</x:v>
      </x:c>
      <x:c r="S373" s="13">
        <x:v>0</x:v>
      </x:c>
      <x:c r="T373" s="13">
        <x:v>0</x:v>
      </x:c>
      <x:c r="U373" s="13">
        <x:v>0</x:v>
      </x:c>
      <x:c r="V373" s="13">
        <x:v>0</x:v>
      </x:c>
      <x:c r="W373" s="13">
        <x:v>0</x:v>
      </x:c>
      <x:c r="X373" s="13">
        <x:v>0</x:v>
      </x:c>
      <x:c r="Y373" s="13">
        <x:v>0</x:v>
      </x:c>
      <x:c r="Z373" s="13">
        <x:v>0</x:v>
      </x:c>
      <x:c r="AA373" s="13">
        <x:v>0</x:v>
      </x:c>
      <x:c r="AB373" s="13">
        <x:v>0</x:v>
      </x:c>
      <x:c r="AC373" s="16">
        <x:v>0</x:v>
      </x:c>
      <x:c r="AF373" s="2" t="s">
        <x:v>107</x:v>
      </x:c>
    </x:row>
    <x:row r="374">
      <x:c r="A374" s="7" t="s">
        <x:v>843</x:v>
      </x:c>
      <x:c r="B374" s="7" t="s">
        <x:v>844</x:v>
      </x:c>
      <x:c r="C374" s="7"/>
      <x:c r="D374" s="9"/>
      <x:c r="E374" s="9"/>
      <x:c r="F374" s="9"/>
      <x:c r="G374" s="9"/>
      <x:c r="H374" s="9"/>
      <x:c r="I374" s="9"/>
      <x:c r="J374" s="9"/>
      <x:c r="K374" s="9"/>
      <x:c r="L374" s="9"/>
      <x:c r="M374" s="9"/>
      <x:c r="N374" s="9"/>
      <x:c r="O374" s="9"/>
      <x:c r="P374" s="9"/>
      <x:c r="Q374" s="13">
        <x:v>0</x:v>
      </x:c>
      <x:c r="R374" s="13">
        <x:v>0</x:v>
      </x:c>
      <x:c r="S374" s="13">
        <x:v>0</x:v>
      </x:c>
      <x:c r="T374" s="13">
        <x:v>0</x:v>
      </x:c>
      <x:c r="U374" s="13">
        <x:v>0</x:v>
      </x:c>
      <x:c r="V374" s="13">
        <x:v>0</x:v>
      </x:c>
      <x:c r="W374" s="13">
        <x:v>0</x:v>
      </x:c>
      <x:c r="X374" s="13">
        <x:v>0</x:v>
      </x:c>
      <x:c r="Y374" s="13">
        <x:v>0</x:v>
      </x:c>
      <x:c r="Z374" s="13">
        <x:v>0</x:v>
      </x:c>
      <x:c r="AA374" s="13">
        <x:v>0</x:v>
      </x:c>
      <x:c r="AB374" s="13">
        <x:v>0</x:v>
      </x:c>
      <x:c r="AC374" s="16">
        <x:v>0</x:v>
      </x:c>
      <x:c r="AF374" s="2" t="s">
        <x:v>107</x:v>
      </x:c>
    </x:row>
    <x:row r="375">
      <x:c r="A375" s="7" t="s">
        <x:v>845</x:v>
      </x:c>
      <x:c r="B375" s="7" t="s">
        <x:v>846</x:v>
      </x:c>
      <x:c r="C375" s="7"/>
      <x:c r="D375" s="9"/>
      <x:c r="E375" s="9"/>
      <x:c r="F375" s="9"/>
      <x:c r="G375" s="9"/>
      <x:c r="H375" s="9"/>
      <x:c r="I375" s="9"/>
      <x:c r="J375" s="9"/>
      <x:c r="K375" s="9"/>
      <x:c r="L375" s="9"/>
      <x:c r="M375" s="9"/>
      <x:c r="N375" s="9"/>
      <x:c r="O375" s="9"/>
      <x:c r="P375" s="9"/>
      <x:c r="Q375" s="13">
        <x:v>0</x:v>
      </x:c>
      <x:c r="R375" s="13">
        <x:v>0</x:v>
      </x:c>
      <x:c r="S375" s="13">
        <x:v>0</x:v>
      </x:c>
      <x:c r="T375" s="13">
        <x:v>0</x:v>
      </x:c>
      <x:c r="U375" s="13">
        <x:v>0</x:v>
      </x:c>
      <x:c r="V375" s="13">
        <x:v>0</x:v>
      </x:c>
      <x:c r="W375" s="13">
        <x:v>0</x:v>
      </x:c>
      <x:c r="X375" s="13">
        <x:v>0</x:v>
      </x:c>
      <x:c r="Y375" s="13">
        <x:v>0</x:v>
      </x:c>
      <x:c r="Z375" s="13">
        <x:v>0</x:v>
      </x:c>
      <x:c r="AA375" s="13">
        <x:v>0</x:v>
      </x:c>
      <x:c r="AB375" s="13">
        <x:v>0</x:v>
      </x:c>
      <x:c r="AC375" s="16">
        <x:v>0</x:v>
      </x:c>
      <x:c r="AF375" s="2" t="s">
        <x:v>107</x:v>
      </x:c>
    </x:row>
    <x:row r="376">
      <x:c r="A376" s="7" t="s">
        <x:v>847</x:v>
      </x:c>
      <x:c r="B376" s="7" t="s">
        <x:v>848</x:v>
      </x:c>
      <x:c r="C376" s="7"/>
      <x:c r="D376" s="9"/>
      <x:c r="E376" s="9"/>
      <x:c r="F376" s="9"/>
      <x:c r="G376" s="9"/>
      <x:c r="H376" s="9"/>
      <x:c r="I376" s="9"/>
      <x:c r="J376" s="9"/>
      <x:c r="K376" s="9"/>
      <x:c r="L376" s="9"/>
      <x:c r="M376" s="9"/>
      <x:c r="N376" s="9"/>
      <x:c r="O376" s="9"/>
      <x:c r="P376" s="9"/>
      <x:c r="Q376" s="13">
        <x:v>0</x:v>
      </x:c>
      <x:c r="R376" s="13">
        <x:v>0</x:v>
      </x:c>
      <x:c r="S376" s="13">
        <x:v>0</x:v>
      </x:c>
      <x:c r="T376" s="13">
        <x:v>0</x:v>
      </x:c>
      <x:c r="U376" s="13">
        <x:v>0</x:v>
      </x:c>
      <x:c r="V376" s="13">
        <x:v>0</x:v>
      </x:c>
      <x:c r="W376" s="13">
        <x:v>0</x:v>
      </x:c>
      <x:c r="X376" s="13">
        <x:v>0</x:v>
      </x:c>
      <x:c r="Y376" s="13">
        <x:v>0</x:v>
      </x:c>
      <x:c r="Z376" s="13">
        <x:v>0</x:v>
      </x:c>
      <x:c r="AA376" s="13">
        <x:v>0</x:v>
      </x:c>
      <x:c r="AB376" s="13">
        <x:v>0</x:v>
      </x:c>
      <x:c r="AC376" s="16">
        <x:v>0</x:v>
      </x:c>
      <x:c r="AF376" s="2" t="s">
        <x:v>34</x:v>
      </x:c>
    </x:row>
    <x:row r="377">
      <x:c r="A377" s="7" t="s">
        <x:v>849</x:v>
      </x:c>
      <x:c r="B377" s="7" t="s">
        <x:v>850</x:v>
      </x:c>
      <x:c r="C377" s="7"/>
      <x:c r="D377" s="9"/>
      <x:c r="E377" s="9"/>
      <x:c r="F377" s="9"/>
      <x:c r="G377" s="9"/>
      <x:c r="H377" s="9"/>
      <x:c r="I377" s="9"/>
      <x:c r="J377" s="9"/>
      <x:c r="K377" s="9"/>
      <x:c r="L377" s="9"/>
      <x:c r="M377" s="9"/>
      <x:c r="N377" s="9"/>
      <x:c r="O377" s="9"/>
      <x:c r="P377" s="9"/>
      <x:c r="Q377" s="13">
        <x:v>0</x:v>
      </x:c>
      <x:c r="R377" s="13">
        <x:v>0</x:v>
      </x:c>
      <x:c r="S377" s="13">
        <x:v>0</x:v>
      </x:c>
      <x:c r="T377" s="13">
        <x:v>0</x:v>
      </x:c>
      <x:c r="U377" s="13">
        <x:v>0</x:v>
      </x:c>
      <x:c r="V377" s="13">
        <x:v>0</x:v>
      </x:c>
      <x:c r="W377" s="13">
        <x:v>0</x:v>
      </x:c>
      <x:c r="X377" s="13">
        <x:v>0</x:v>
      </x:c>
      <x:c r="Y377" s="13">
        <x:v>0</x:v>
      </x:c>
      <x:c r="Z377" s="13">
        <x:v>0</x:v>
      </x:c>
      <x:c r="AA377" s="13">
        <x:v>0</x:v>
      </x:c>
      <x:c r="AB377" s="13">
        <x:v>0</x:v>
      </x:c>
      <x:c r="AC377" s="16">
        <x:v>0</x:v>
      </x:c>
      <x:c r="AF377" s="2" t="s">
        <x:v>34</x:v>
      </x:c>
    </x:row>
    <x:row r="378">
      <x:c r="A378" s="7" t="s">
        <x:v>851</x:v>
      </x:c>
      <x:c r="B378" s="7" t="s">
        <x:v>852</x:v>
      </x:c>
      <x:c r="C378" s="7"/>
      <x:c r="D378" s="9"/>
      <x:c r="E378" s="9"/>
      <x:c r="F378" s="9"/>
      <x:c r="G378" s="9"/>
      <x:c r="H378" s="9"/>
      <x:c r="I378" s="9"/>
      <x:c r="J378" s="9"/>
      <x:c r="K378" s="9"/>
      <x:c r="L378" s="9"/>
      <x:c r="M378" s="9"/>
      <x:c r="N378" s="9"/>
      <x:c r="O378" s="9"/>
      <x:c r="P378" s="9"/>
      <x:c r="Q378" s="13">
        <x:v>0</x:v>
      </x:c>
      <x:c r="R378" s="13">
        <x:v>0</x:v>
      </x:c>
      <x:c r="S378" s="13">
        <x:v>0</x:v>
      </x:c>
      <x:c r="T378" s="13">
        <x:v>0</x:v>
      </x:c>
      <x:c r="U378" s="13">
        <x:v>0</x:v>
      </x:c>
      <x:c r="V378" s="13">
        <x:v>0</x:v>
      </x:c>
      <x:c r="W378" s="13">
        <x:v>0</x:v>
      </x:c>
      <x:c r="X378" s="13">
        <x:v>0</x:v>
      </x:c>
      <x:c r="Y378" s="13">
        <x:v>0</x:v>
      </x:c>
      <x:c r="Z378" s="13">
        <x:v>0</x:v>
      </x:c>
      <x:c r="AA378" s="13">
        <x:v>0</x:v>
      </x:c>
      <x:c r="AB378" s="13">
        <x:v>0</x:v>
      </x:c>
      <x:c r="AC378" s="16">
        <x:v>0</x:v>
      </x:c>
      <x:c r="AF378" s="2" t="s">
        <x:v>34</x:v>
      </x:c>
    </x:row>
    <x:row r="379">
      <x:c r="A379" s="7" t="s">
        <x:v>853</x:v>
      </x:c>
      <x:c r="B379" s="7" t="s">
        <x:v>854</x:v>
      </x:c>
      <x:c r="C379" s="7"/>
      <x:c r="D379" s="9"/>
      <x:c r="E379" s="9"/>
      <x:c r="F379" s="9"/>
      <x:c r="G379" s="9"/>
      <x:c r="H379" s="9"/>
      <x:c r="I379" s="9"/>
      <x:c r="J379" s="9"/>
      <x:c r="K379" s="9"/>
      <x:c r="L379" s="9"/>
      <x:c r="M379" s="9"/>
      <x:c r="N379" s="9"/>
      <x:c r="O379" s="9"/>
      <x:c r="P379" s="9"/>
      <x:c r="Q379" s="13">
        <x:v>0</x:v>
      </x:c>
      <x:c r="R379" s="13">
        <x:v>0</x:v>
      </x:c>
      <x:c r="S379" s="13">
        <x:v>0</x:v>
      </x:c>
      <x:c r="T379" s="13">
        <x:v>0</x:v>
      </x:c>
      <x:c r="U379" s="13">
        <x:v>0</x:v>
      </x:c>
      <x:c r="V379" s="13">
        <x:v>0</x:v>
      </x:c>
      <x:c r="W379" s="13">
        <x:v>0</x:v>
      </x:c>
      <x:c r="X379" s="13">
        <x:v>0</x:v>
      </x:c>
      <x:c r="Y379" s="13">
        <x:v>0</x:v>
      </x:c>
      <x:c r="Z379" s="13">
        <x:v>0</x:v>
      </x:c>
      <x:c r="AA379" s="13">
        <x:v>0</x:v>
      </x:c>
      <x:c r="AB379" s="13">
        <x:v>0</x:v>
      </x:c>
      <x:c r="AC379" s="16">
        <x:v>0</x:v>
      </x:c>
      <x:c r="AF379" s="2" t="s">
        <x:v>34</x:v>
      </x:c>
    </x:row>
    <x:row r="380">
      <x:c r="A380" s="7" t="s">
        <x:v>855</x:v>
      </x:c>
      <x:c r="B380" s="7" t="s">
        <x:v>856</x:v>
      </x:c>
      <x:c r="C380" s="7"/>
      <x:c r="D380" s="9"/>
      <x:c r="E380" s="9"/>
      <x:c r="F380" s="9"/>
      <x:c r="G380" s="9"/>
      <x:c r="H380" s="9"/>
      <x:c r="I380" s="9"/>
      <x:c r="J380" s="9"/>
      <x:c r="K380" s="9"/>
      <x:c r="L380" s="9"/>
      <x:c r="M380" s="9"/>
      <x:c r="N380" s="9"/>
      <x:c r="O380" s="9"/>
      <x:c r="P380" s="9"/>
      <x:c r="Q380" s="13">
        <x:v>0</x:v>
      </x:c>
      <x:c r="R380" s="13">
        <x:v>0</x:v>
      </x:c>
      <x:c r="S380" s="13">
        <x:v>0</x:v>
      </x:c>
      <x:c r="T380" s="13">
        <x:v>0</x:v>
      </x:c>
      <x:c r="U380" s="13">
        <x:v>0</x:v>
      </x:c>
      <x:c r="V380" s="13">
        <x:v>0</x:v>
      </x:c>
      <x:c r="W380" s="13">
        <x:v>0</x:v>
      </x:c>
      <x:c r="X380" s="13">
        <x:v>0</x:v>
      </x:c>
      <x:c r="Y380" s="13">
        <x:v>0</x:v>
      </x:c>
      <x:c r="Z380" s="13">
        <x:v>0</x:v>
      </x:c>
      <x:c r="AA380" s="13">
        <x:v>0</x:v>
      </x:c>
      <x:c r="AB380" s="13">
        <x:v>0</x:v>
      </x:c>
      <x:c r="AC380" s="16">
        <x:v>0</x:v>
      </x:c>
      <x:c r="AF380" s="2" t="s">
        <x:v>34</x:v>
      </x:c>
    </x:row>
    <x:row r="381">
      <x:c r="A381" s="7" t="s">
        <x:v>857</x:v>
      </x:c>
      <x:c r="B381" s="7" t="s">
        <x:v>858</x:v>
      </x:c>
      <x:c r="C381" s="7"/>
      <x:c r="D381" s="9"/>
      <x:c r="E381" s="9"/>
      <x:c r="F381" s="9"/>
      <x:c r="G381" s="9"/>
      <x:c r="H381" s="9"/>
      <x:c r="I381" s="9"/>
      <x:c r="J381" s="9"/>
      <x:c r="K381" s="9"/>
      <x:c r="L381" s="9"/>
      <x:c r="M381" s="9"/>
      <x:c r="N381" s="9"/>
      <x:c r="O381" s="25">
        <x:v>1</x:v>
      </x:c>
      <x:c r="P381" s="9"/>
      <x:c r="Q381" s="13">
        <x:v>0</x:v>
      </x:c>
      <x:c r="R381" s="13">
        <x:v>0</x:v>
      </x:c>
      <x:c r="S381" s="13">
        <x:v>0</x:v>
      </x:c>
      <x:c r="T381" s="13">
        <x:v>0</x:v>
      </x:c>
      <x:c r="U381" s="13">
        <x:v>0</x:v>
      </x:c>
      <x:c r="V381" s="13">
        <x:v>0</x:v>
      </x:c>
      <x:c r="W381" s="13">
        <x:v>0</x:v>
      </x:c>
      <x:c r="X381" s="13">
        <x:v>0</x:v>
      </x:c>
      <x:c r="Y381" s="13">
        <x:v>0</x:v>
      </x:c>
      <x:c r="Z381" s="13">
        <x:v>0</x:v>
      </x:c>
      <x:c r="AA381" s="13">
        <x:v>0</x:v>
      </x:c>
      <x:c r="AB381" s="13">
        <x:v>0</x:v>
      </x:c>
      <x:c r="AC381" s="16">
        <x:v>0</x:v>
      </x:c>
      <x:c r="AF381" s="2" t="s">
        <x:v>34</x:v>
      </x:c>
    </x:row>
    <x:row r="382">
      <x:c r="A382" s="7" t="s">
        <x:v>859</x:v>
      </x:c>
      <x:c r="B382" s="7" t="s">
        <x:v>860</x:v>
      </x:c>
      <x:c r="C382" s="7"/>
      <x:c r="D382" s="9"/>
      <x:c r="E382" s="9"/>
      <x:c r="F382" s="9"/>
      <x:c r="G382" s="9"/>
      <x:c r="H382" s="9"/>
      <x:c r="I382" s="9"/>
      <x:c r="J382" s="9"/>
      <x:c r="K382" s="9"/>
      <x:c r="L382" s="9"/>
      <x:c r="M382" s="9"/>
      <x:c r="N382" s="9"/>
      <x:c r="O382" s="9"/>
      <x:c r="P382" s="9"/>
      <x:c r="Q382" s="13">
        <x:v>0</x:v>
      </x:c>
      <x:c r="R382" s="13">
        <x:v>0</x:v>
      </x:c>
      <x:c r="S382" s="23">
        <x:v>0</x:v>
      </x:c>
      <x:c r="T382" s="13">
        <x:v>0</x:v>
      </x:c>
      <x:c r="U382" s="13">
        <x:v>0</x:v>
      </x:c>
      <x:c r="V382" s="13">
        <x:v>0</x:v>
      </x:c>
      <x:c r="W382" s="13">
        <x:v>0</x:v>
      </x:c>
      <x:c r="X382" s="13">
        <x:v>0</x:v>
      </x:c>
      <x:c r="Y382" s="13">
        <x:v>0</x:v>
      </x:c>
      <x:c r="Z382" s="13">
        <x:v>0</x:v>
      </x:c>
      <x:c r="AA382" s="13">
        <x:v>0</x:v>
      </x:c>
      <x:c r="AB382" s="13">
        <x:v>0</x:v>
      </x:c>
      <x:c r="AC382" s="16">
        <x:v>0</x:v>
      </x:c>
      <x:c r="AF382" s="2" t="s">
        <x:v>34</x:v>
      </x:c>
    </x:row>
    <x:row r="383">
      <x:c r="A383" s="7" t="s">
        <x:v>861</x:v>
      </x:c>
      <x:c r="B383" s="7" t="s">
        <x:v>862</x:v>
      </x:c>
      <x:c r="C383" s="7"/>
      <x:c r="D383" s="9"/>
      <x:c r="E383" s="9"/>
      <x:c r="F383" s="25">
        <x:v>1</x:v>
      </x:c>
      <x:c r="G383" s="25">
        <x:v>2</x:v>
      </x:c>
      <x:c r="H383" s="25">
        <x:v>1</x:v>
      </x:c>
      <x:c r="I383" s="25">
        <x:v>1</x:v>
      </x:c>
      <x:c r="J383" s="25">
        <x:v>1</x:v>
      </x:c>
      <x:c r="K383" s="9"/>
      <x:c r="L383" s="9"/>
      <x:c r="M383" s="9"/>
      <x:c r="N383" s="9"/>
      <x:c r="O383" s="25">
        <x:v>1</x:v>
      </x:c>
      <x:c r="P383" s="25">
        <x:v>1</x:v>
      </x:c>
      <x:c r="Q383" s="13">
        <x:v>0</x:v>
      </x:c>
      <x:c r="R383" s="13">
        <x:v>0</x:v>
      </x:c>
      <x:c r="S383" s="23">
        <x:v>0.0357</x:v>
      </x:c>
      <x:c r="T383" s="17">
        <x:v>0.0645</x:v>
      </x:c>
      <x:c r="U383" s="17">
        <x:v>0.0333</x:v>
      </x:c>
      <x:c r="V383" s="17">
        <x:v>0.0248</x:v>
      </x:c>
      <x:c r="W383" s="17">
        <x:v>0.0461</x:v>
      </x:c>
      <x:c r="X383" s="17">
        <x:v>0</x:v>
      </x:c>
      <x:c r="Y383" s="17">
        <x:v>0</x:v>
      </x:c>
      <x:c r="Z383" s="17">
        <x:v>0</x:v>
      </x:c>
      <x:c r="AA383" s="17">
        <x:v>0</x:v>
      </x:c>
      <x:c r="AB383" s="17">
        <x:v>0.0333</x:v>
      </x:c>
      <x:c r="AC383" s="20">
        <x:v>0.0323</x:v>
      </x:c>
      <x:c r="AD383" s="17">
        <x:v>0.0224</x:v>
      </x:c>
      <x:c r="AE383" s="17">
        <x:v>0.0224</x:v>
      </x:c>
      <x:c r="AF383" s="2" t="s">
        <x:v>34</x:v>
      </x:c>
    </x:row>
    <x:row r="384">
      <x:c r="A384" s="7" t="s">
        <x:v>863</x:v>
      </x:c>
      <x:c r="B384" s="7" t="s">
        <x:v>864</x:v>
      </x:c>
      <x:c r="C384" s="7"/>
      <x:c r="D384" s="9"/>
      <x:c r="E384" s="9"/>
      <x:c r="F384" s="25">
        <x:v>1</x:v>
      </x:c>
      <x:c r="G384" s="25">
        <x:v>2</x:v>
      </x:c>
      <x:c r="H384" s="25">
        <x:v>3</x:v>
      </x:c>
      <x:c r="I384" s="25">
        <x:v>5</x:v>
      </x:c>
      <x:c r="J384" s="25">
        <x:v>1</x:v>
      </x:c>
      <x:c r="K384" s="9"/>
      <x:c r="L384" s="9"/>
      <x:c r="M384" s="25">
        <x:v>3</x:v>
      </x:c>
      <x:c r="N384" s="25">
        <x:v>1</x:v>
      </x:c>
      <x:c r="O384" s="9"/>
      <x:c r="P384" s="25">
        <x:v>3</x:v>
      </x:c>
      <x:c r="Q384" s="13">
        <x:v>0</x:v>
      </x:c>
      <x:c r="R384" s="13">
        <x:v>0</x:v>
      </x:c>
      <x:c r="S384" s="23">
        <x:v>0.0833</x:v>
      </x:c>
      <x:c r="T384" s="17">
        <x:v>0.0645</x:v>
      </x:c>
      <x:c r="U384" s="17">
        <x:v>0.1</x:v>
      </x:c>
      <x:c r="V384" s="17">
        <x:v>0.1241</x:v>
      </x:c>
      <x:c r="W384" s="17">
        <x:v>0.0461</x:v>
      </x:c>
      <x:c r="X384" s="17">
        <x:v>0</x:v>
      </x:c>
      <x:c r="Y384" s="17">
        <x:v>0</x:v>
      </x:c>
      <x:c r="Z384" s="17">
        <x:v>0.1</x:v>
      </x:c>
      <x:c r="AA384" s="17">
        <x:v>0.0323</x:v>
      </x:c>
      <x:c r="AB384" s="17">
        <x:v>0</x:v>
      </x:c>
      <x:c r="AC384" s="20">
        <x:v>0.0968</x:v>
      </x:c>
      <x:c r="AD384" s="17">
        <x:v>0.0519</x:v>
      </x:c>
      <x:c r="AE384" s="17">
        <x:v>0.0519</x:v>
      </x:c>
      <x:c r="AF384" s="2" t="s">
        <x:v>34</x:v>
      </x:c>
    </x:row>
    <x:row r="385">
      <x:c r="A385" s="7" t="s">
        <x:v>865</x:v>
      </x:c>
      <x:c r="B385" s="7" t="s">
        <x:v>866</x:v>
      </x:c>
      <x:c r="C385" s="7"/>
      <x:c r="D385" s="9"/>
      <x:c r="E385" s="9"/>
      <x:c r="F385" s="9"/>
      <x:c r="G385" s="9"/>
      <x:c r="H385" s="9"/>
      <x:c r="I385" s="9"/>
      <x:c r="J385" s="9"/>
      <x:c r="K385" s="9"/>
      <x:c r="L385" s="9"/>
      <x:c r="M385" s="9"/>
      <x:c r="N385" s="9"/>
      <x:c r="O385" s="9"/>
      <x:c r="P385" s="9"/>
      <x:c r="Q385" s="13">
        <x:v>0</x:v>
      </x:c>
      <x:c r="R385" s="13">
        <x:v>0</x:v>
      </x:c>
      <x:c r="S385" s="13">
        <x:v>0</x:v>
      </x:c>
      <x:c r="T385" s="13">
        <x:v>0</x:v>
      </x:c>
      <x:c r="U385" s="13">
        <x:v>0</x:v>
      </x:c>
      <x:c r="V385" s="13">
        <x:v>0</x:v>
      </x:c>
      <x:c r="W385" s="13">
        <x:v>0</x:v>
      </x:c>
      <x:c r="X385" s="13">
        <x:v>0</x:v>
      </x:c>
      <x:c r="Y385" s="13">
        <x:v>0</x:v>
      </x:c>
      <x:c r="Z385" s="13">
        <x:v>0</x:v>
      </x:c>
      <x:c r="AA385" s="13">
        <x:v>0</x:v>
      </x:c>
      <x:c r="AB385" s="13">
        <x:v>0</x:v>
      </x:c>
      <x:c r="AC385" s="16">
        <x:v>0</x:v>
      </x:c>
      <x:c r="AF385" s="2" t="s">
        <x:v>107</x:v>
      </x:c>
    </x:row>
    <x:row r="386">
      <x:c r="A386" s="7" t="s">
        <x:v>867</x:v>
      </x:c>
      <x:c r="B386" s="7" t="s">
        <x:v>868</x:v>
      </x:c>
      <x:c r="C386" s="7"/>
      <x:c r="D386" s="9"/>
      <x:c r="E386" s="9"/>
      <x:c r="F386" s="9"/>
      <x:c r="G386" s="9"/>
      <x:c r="H386" s="9"/>
      <x:c r="I386" s="9"/>
      <x:c r="J386" s="9"/>
      <x:c r="K386" s="9"/>
      <x:c r="L386" s="9"/>
      <x:c r="M386" s="9"/>
      <x:c r="N386" s="9"/>
      <x:c r="O386" s="9"/>
      <x:c r="P386" s="9"/>
      <x:c r="Q386" s="13">
        <x:v>0</x:v>
      </x:c>
      <x:c r="R386" s="13">
        <x:v>0</x:v>
      </x:c>
      <x:c r="S386" s="13">
        <x:v>0</x:v>
      </x:c>
      <x:c r="T386" s="13">
        <x:v>0</x:v>
      </x:c>
      <x:c r="U386" s="13">
        <x:v>0</x:v>
      </x:c>
      <x:c r="V386" s="13">
        <x:v>0</x:v>
      </x:c>
      <x:c r="W386" s="13">
        <x:v>0</x:v>
      </x:c>
      <x:c r="X386" s="13">
        <x:v>0</x:v>
      </x:c>
      <x:c r="Y386" s="13">
        <x:v>0</x:v>
      </x:c>
      <x:c r="Z386" s="13">
        <x:v>0</x:v>
      </x:c>
      <x:c r="AA386" s="13">
        <x:v>0</x:v>
      </x:c>
      <x:c r="AB386" s="13">
        <x:v>0</x:v>
      </x:c>
      <x:c r="AC386" s="16">
        <x:v>0</x:v>
      </x:c>
      <x:c r="AF386" s="2" t="s">
        <x:v>107</x:v>
      </x:c>
    </x:row>
    <x:row r="387">
      <x:c r="A387" s="7" t="s">
        <x:v>869</x:v>
      </x:c>
      <x:c r="B387" s="7" t="s">
        <x:v>870</x:v>
      </x:c>
      <x:c r="C387" s="7"/>
      <x:c r="D387" s="9"/>
      <x:c r="E387" s="9"/>
      <x:c r="F387" s="9"/>
      <x:c r="G387" s="9"/>
      <x:c r="H387" s="9"/>
      <x:c r="I387" s="9"/>
      <x:c r="J387" s="9"/>
      <x:c r="K387" s="9"/>
      <x:c r="L387" s="9"/>
      <x:c r="M387" s="9"/>
      <x:c r="N387" s="9"/>
      <x:c r="O387" s="9"/>
      <x:c r="P387" s="9"/>
      <x:c r="Q387" s="13">
        <x:v>0</x:v>
      </x:c>
      <x:c r="R387" s="13">
        <x:v>0</x:v>
      </x:c>
      <x:c r="S387" s="13">
        <x:v>0</x:v>
      </x:c>
      <x:c r="T387" s="13">
        <x:v>0</x:v>
      </x:c>
      <x:c r="U387" s="13">
        <x:v>0</x:v>
      </x:c>
      <x:c r="V387" s="13">
        <x:v>0</x:v>
      </x:c>
      <x:c r="W387" s="13">
        <x:v>0</x:v>
      </x:c>
      <x:c r="X387" s="13">
        <x:v>0</x:v>
      </x:c>
      <x:c r="Y387" s="13">
        <x:v>0</x:v>
      </x:c>
      <x:c r="Z387" s="13">
        <x:v>0</x:v>
      </x:c>
      <x:c r="AA387" s="13">
        <x:v>0</x:v>
      </x:c>
      <x:c r="AB387" s="13">
        <x:v>0</x:v>
      </x:c>
      <x:c r="AC387" s="16">
        <x:v>0</x:v>
      </x:c>
      <x:c r="AF387" s="2" t="s">
        <x:v>34</x:v>
      </x:c>
    </x:row>
    <x:row r="388">
      <x:c r="A388" s="7" t="s">
        <x:v>871</x:v>
      </x:c>
      <x:c r="B388" s="7" t="s">
        <x:v>872</x:v>
      </x:c>
      <x:c r="C388" s="7"/>
      <x:c r="D388" s="9"/>
      <x:c r="E388" s="9"/>
      <x:c r="F388" s="9"/>
      <x:c r="G388" s="9"/>
      <x:c r="H388" s="9"/>
      <x:c r="I388" s="9"/>
      <x:c r="J388" s="9"/>
      <x:c r="K388" s="9"/>
      <x:c r="L388" s="9"/>
      <x:c r="M388" s="9"/>
      <x:c r="N388" s="9"/>
      <x:c r="O388" s="9"/>
      <x:c r="P388" s="9"/>
      <x:c r="Q388" s="13">
        <x:v>0</x:v>
      </x:c>
      <x:c r="R388" s="13">
        <x:v>0</x:v>
      </x:c>
      <x:c r="S388" s="13">
        <x:v>0</x:v>
      </x:c>
      <x:c r="T388" s="13">
        <x:v>0</x:v>
      </x:c>
      <x:c r="U388" s="13">
        <x:v>0</x:v>
      </x:c>
      <x:c r="V388" s="13">
        <x:v>0</x:v>
      </x:c>
      <x:c r="W388" s="13">
        <x:v>0</x:v>
      </x:c>
      <x:c r="X388" s="13">
        <x:v>0</x:v>
      </x:c>
      <x:c r="Y388" s="13">
        <x:v>0</x:v>
      </x:c>
      <x:c r="Z388" s="13">
        <x:v>0</x:v>
      </x:c>
      <x:c r="AA388" s="13">
        <x:v>0</x:v>
      </x:c>
      <x:c r="AB388" s="13">
        <x:v>0</x:v>
      </x:c>
      <x:c r="AC388" s="16">
        <x:v>0</x:v>
      </x:c>
      <x:c r="AF388" s="2" t="s">
        <x:v>107</x:v>
      </x:c>
    </x:row>
    <x:row r="389">
      <x:c r="A389" s="7" t="s">
        <x:v>873</x:v>
      </x:c>
      <x:c r="B389" s="7" t="s">
        <x:v>874</x:v>
      </x:c>
      <x:c r="C389" s="7"/>
      <x:c r="D389" s="9"/>
      <x:c r="E389" s="9"/>
      <x:c r="F389" s="9"/>
      <x:c r="G389" s="9"/>
      <x:c r="H389" s="9"/>
      <x:c r="I389" s="9"/>
      <x:c r="J389" s="9"/>
      <x:c r="K389" s="9"/>
      <x:c r="L389" s="9"/>
      <x:c r="M389" s="9"/>
      <x:c r="N389" s="9"/>
      <x:c r="O389" s="9"/>
      <x:c r="P389" s="9"/>
      <x:c r="Q389" s="13">
        <x:v>0</x:v>
      </x:c>
      <x:c r="R389" s="13">
        <x:v>0</x:v>
      </x:c>
      <x:c r="S389" s="13">
        <x:v>0</x:v>
      </x:c>
      <x:c r="T389" s="13">
        <x:v>0</x:v>
      </x:c>
      <x:c r="U389" s="13">
        <x:v>0</x:v>
      </x:c>
      <x:c r="V389" s="13">
        <x:v>0</x:v>
      </x:c>
      <x:c r="W389" s="13">
        <x:v>0</x:v>
      </x:c>
      <x:c r="X389" s="13">
        <x:v>0</x:v>
      </x:c>
      <x:c r="Y389" s="13">
        <x:v>0</x:v>
      </x:c>
      <x:c r="Z389" s="13">
        <x:v>0</x:v>
      </x:c>
      <x:c r="AA389" s="13">
        <x:v>0</x:v>
      </x:c>
      <x:c r="AB389" s="13">
        <x:v>0</x:v>
      </x:c>
      <x:c r="AC389" s="16">
        <x:v>0</x:v>
      </x:c>
      <x:c r="AF389" s="2" t="s">
        <x:v>34</x:v>
      </x:c>
    </x:row>
    <x:row r="390">
      <x:c r="A390" s="7" t="s">
        <x:v>875</x:v>
      </x:c>
      <x:c r="B390" s="7" t="s">
        <x:v>876</x:v>
      </x:c>
      <x:c r="C390" s="7" t="s">
        <x:v>877</x:v>
      </x:c>
      <x:c r="D390" s="25">
        <x:v>1</x:v>
      </x:c>
      <x:c r="E390" s="25">
        <x:v>2</x:v>
      </x:c>
      <x:c r="F390" s="25">
        <x:v>-27</x:v>
      </x:c>
      <x:c r="G390" s="25">
        <x:v>5</x:v>
      </x:c>
      <x:c r="H390" s="25">
        <x:v>9</x:v>
      </x:c>
      <x:c r="I390" s="25">
        <x:v>24</x:v>
      </x:c>
      <x:c r="J390" s="25">
        <x:v>14</x:v>
      </x:c>
      <x:c r="K390" s="25">
        <x:v>1</x:v>
      </x:c>
      <x:c r="L390" s="25">
        <x:v>3</x:v>
      </x:c>
      <x:c r="M390" s="25">
        <x:v>1</x:v>
      </x:c>
      <x:c r="N390" s="25">
        <x:v>2</x:v>
      </x:c>
      <x:c r="O390" s="9"/>
      <x:c r="P390" s="9"/>
      <x:c r="Q390" s="17">
        <x:v>0.0293</x:v>
      </x:c>
      <x:c r="R390" s="17">
        <x:v>0.0561</x:v>
      </x:c>
      <x:c r="S390" s="17">
        <x:v>-1.2857</x:v>
      </x:c>
      <x:c r="T390" s="17">
        <x:v>0.1613</x:v>
      </x:c>
      <x:c r="U390" s="17">
        <x:v>0.2727</x:v>
      </x:c>
      <x:c r="V390" s="17">
        <x:v>0.4839</x:v>
      </x:c>
      <x:c r="W390" s="17">
        <x:v>0.7527</x:v>
      </x:c>
      <x:c r="X390" s="17">
        <x:v>0.0595</x:v>
      </x:c>
      <x:c r="Y390" s="17">
        <x:v>0.0968</x:v>
      </x:c>
      <x:c r="Z390" s="17">
        <x:v>0.0392</x:v>
      </x:c>
      <x:c r="AA390" s="23">
        <x:v>0.6667</x:v>
      </x:c>
      <x:c r="AB390" s="13">
        <x:v>0</x:v>
      </x:c>
      <x:c r="AC390" s="16">
        <x:v>0</x:v>
      </x:c>
      <x:c r="AD390" s="17">
        <x:v>0.0666</x:v>
      </x:c>
      <x:c r="AE390" s="17">
        <x:v>0.0666</x:v>
      </x:c>
      <x:c r="AF390" s="2" t="s">
        <x:v>34</x:v>
      </x:c>
    </x:row>
    <x:row r="391">
      <x:c r="A391" s="7" t="s">
        <x:v>878</x:v>
      </x:c>
      <x:c r="B391" s="7" t="s">
        <x:v>879</x:v>
      </x:c>
      <x:c r="C391" s="7" t="s">
        <x:v>880</x:v>
      </x:c>
      <x:c r="D391" s="25">
        <x:v>3</x:v>
      </x:c>
      <x:c r="E391" s="25">
        <x:v>-1</x:v>
      </x:c>
      <x:c r="F391" s="25">
        <x:v>-3</x:v>
      </x:c>
      <x:c r="G391" s="25">
        <x:v>1</x:v>
      </x:c>
      <x:c r="H391" s="25">
        <x:v>2</x:v>
      </x:c>
      <x:c r="I391" s="25">
        <x:v>10</x:v>
      </x:c>
      <x:c r="J391" s="25">
        <x:v>3</x:v>
      </x:c>
      <x:c r="K391" s="25">
        <x:v>3</x:v>
      </x:c>
      <x:c r="L391" s="25">
        <x:v>2</x:v>
      </x:c>
      <x:c r="M391" s="25">
        <x:v>2</x:v>
      </x:c>
      <x:c r="N391" s="25">
        <x:v>3</x:v>
      </x:c>
      <x:c r="O391" s="25">
        <x:v>1</x:v>
      </x:c>
      <x:c r="P391" s="25">
        <x:v>1</x:v>
      </x:c>
      <x:c r="Q391" s="17">
        <x:v>0.088</x:v>
      </x:c>
      <x:c r="R391" s="17">
        <x:v>-0.0281</x:v>
      </x:c>
      <x:c r="S391" s="17">
        <x:v>-0.1429</x:v>
      </x:c>
      <x:c r="T391" s="17">
        <x:v>0.0323</x:v>
      </x:c>
      <x:c r="U391" s="17">
        <x:v>0.0606</x:v>
      </x:c>
      <x:c r="V391" s="17">
        <x:v>0.2016</x:v>
      </x:c>
      <x:c r="W391" s="17">
        <x:v>0.1613</x:v>
      </x:c>
      <x:c r="X391" s="17">
        <x:v>0.1786</x:v>
      </x:c>
      <x:c r="Y391" s="17">
        <x:v>0.0645</x:v>
      </x:c>
      <x:c r="Z391" s="17">
        <x:v>0.0784</x:v>
      </x:c>
      <x:c r="AA391" s="17">
        <x:v>0.0968</x:v>
      </x:c>
      <x:c r="AB391" s="17">
        <x:v>0.0333</x:v>
      </x:c>
      <x:c r="AC391" s="20">
        <x:v>0.0293</x:v>
      </x:c>
      <x:c r="AD391" s="17">
        <x:v>0.0687</x:v>
      </x:c>
      <x:c r="AE391" s="17">
        <x:v>0.0687</x:v>
      </x:c>
      <x:c r="AF391" s="2" t="s">
        <x:v>34</x:v>
      </x:c>
    </x:row>
    <x:row r="392">
      <x:c r="A392" s="7" t="s">
        <x:v>881</x:v>
      </x:c>
      <x:c r="B392" s="7" t="s">
        <x:v>882</x:v>
      </x:c>
      <x:c r="C392" s="7" t="s">
        <x:v>883</x:v>
      </x:c>
      <x:c r="D392" s="9"/>
      <x:c r="E392" s="9"/>
      <x:c r="F392" s="9"/>
      <x:c r="G392" s="9"/>
      <x:c r="H392" s="9"/>
      <x:c r="I392" s="9"/>
      <x:c r="J392" s="9"/>
      <x:c r="K392" s="9"/>
      <x:c r="L392" s="9"/>
      <x:c r="M392" s="9"/>
      <x:c r="N392" s="9"/>
      <x:c r="O392" s="9"/>
      <x:c r="P392" s="9"/>
      <x:c r="Q392" s="13">
        <x:v>0</x:v>
      </x:c>
      <x:c r="R392" s="13">
        <x:v>0</x:v>
      </x:c>
      <x:c r="S392" s="13">
        <x:v>0</x:v>
      </x:c>
      <x:c r="T392" s="13">
        <x:v>0</x:v>
      </x:c>
      <x:c r="U392" s="13">
        <x:v>0</x:v>
      </x:c>
      <x:c r="V392" s="13">
        <x:v>0</x:v>
      </x:c>
      <x:c r="W392" s="13">
        <x:v>0</x:v>
      </x:c>
      <x:c r="X392" s="13">
        <x:v>0</x:v>
      </x:c>
      <x:c r="Y392" s="13">
        <x:v>0</x:v>
      </x:c>
      <x:c r="Z392" s="13">
        <x:v>0</x:v>
      </x:c>
      <x:c r="AA392" s="13">
        <x:v>0</x:v>
      </x:c>
      <x:c r="AB392" s="13">
        <x:v>0</x:v>
      </x:c>
      <x:c r="AC392" s="16">
        <x:v>0</x:v>
      </x:c>
      <x:c r="AF392" s="2" t="s">
        <x:v>34</x:v>
      </x:c>
    </x:row>
    <x:row r="393">
      <x:c r="A393" s="7" t="s">
        <x:v>884</x:v>
      </x:c>
      <x:c r="B393" s="7" t="s">
        <x:v>885</x:v>
      </x:c>
      <x:c r="C393" s="7" t="s">
        <x:v>886</x:v>
      </x:c>
      <x:c r="D393" s="9"/>
      <x:c r="E393" s="9"/>
      <x:c r="F393" s="9"/>
      <x:c r="G393" s="9"/>
      <x:c r="H393" s="9"/>
      <x:c r="I393" s="9"/>
      <x:c r="J393" s="9"/>
      <x:c r="K393" s="9"/>
      <x:c r="L393" s="25">
        <x:v>13</x:v>
      </x:c>
      <x:c r="M393" s="25">
        <x:v>12</x:v>
      </x:c>
      <x:c r="N393" s="25">
        <x:v>7</x:v>
      </x:c>
      <x:c r="O393" s="25">
        <x:v>3</x:v>
      </x:c>
      <x:c r="P393" s="25">
        <x:v>1</x:v>
      </x:c>
      <x:c r="Q393" s="13">
        <x:v>0</x:v>
      </x:c>
      <x:c r="R393" s="13">
        <x:v>0</x:v>
      </x:c>
      <x:c r="S393" s="13">
        <x:v>0</x:v>
      </x:c>
      <x:c r="T393" s="13">
        <x:v>0</x:v>
      </x:c>
      <x:c r="U393" s="13">
        <x:v>0</x:v>
      </x:c>
      <x:c r="V393" s="13">
        <x:v>0</x:v>
      </x:c>
      <x:c r="W393" s="13">
        <x:v>0</x:v>
      </x:c>
      <x:c r="X393" s="13">
        <x:v>0</x:v>
      </x:c>
      <x:c r="Y393" s="23">
        <x:v>0.5909</x:v>
      </x:c>
      <x:c r="Z393" s="17">
        <x:v>0.4706</x:v>
      </x:c>
      <x:c r="AA393" s="17">
        <x:v>0.2258</x:v>
      </x:c>
      <x:c r="AB393" s="17">
        <x:v>0.1</x:v>
      </x:c>
      <x:c r="AC393" s="20">
        <x:v>0.0293</x:v>
      </x:c>
      <x:c r="AD393" s="17">
        <x:v>0.2655</x:v>
      </x:c>
      <x:c r="AE393" s="17">
        <x:v>0.2655</x:v>
      </x:c>
      <x:c r="AF393" s="2" t="s">
        <x:v>34</x:v>
      </x:c>
    </x:row>
    <x:row r="394">
      <x:c r="A394" s="7" t="s">
        <x:v>887</x:v>
      </x:c>
      <x:c r="B394" s="7" t="s">
        <x:v>888</x:v>
      </x:c>
      <x:c r="C394" s="7"/>
      <x:c r="D394" s="9"/>
      <x:c r="E394" s="9"/>
      <x:c r="F394" s="9"/>
      <x:c r="G394" s="9"/>
      <x:c r="H394" s="9"/>
      <x:c r="I394" s="9"/>
      <x:c r="J394" s="9"/>
      <x:c r="K394" s="9"/>
      <x:c r="L394" s="9"/>
      <x:c r="M394" s="9"/>
      <x:c r="N394" s="9"/>
      <x:c r="O394" s="9"/>
      <x:c r="P394" s="9"/>
      <x:c r="Q394" s="13">
        <x:v>0</x:v>
      </x:c>
      <x:c r="R394" s="13">
        <x:v>0</x:v>
      </x:c>
      <x:c r="S394" s="13">
        <x:v>0</x:v>
      </x:c>
      <x:c r="T394" s="13">
        <x:v>0</x:v>
      </x:c>
      <x:c r="U394" s="13">
        <x:v>0</x:v>
      </x:c>
      <x:c r="V394" s="13">
        <x:v>0</x:v>
      </x:c>
      <x:c r="W394" s="13">
        <x:v>0</x:v>
      </x:c>
      <x:c r="X394" s="13">
        <x:v>0</x:v>
      </x:c>
      <x:c r="Y394" s="13">
        <x:v>0</x:v>
      </x:c>
      <x:c r="Z394" s="13">
        <x:v>0</x:v>
      </x:c>
      <x:c r="AA394" s="13">
        <x:v>0</x:v>
      </x:c>
      <x:c r="AB394" s="13">
        <x:v>0</x:v>
      </x:c>
      <x:c r="AC394" s="16">
        <x:v>0</x:v>
      </x:c>
      <x:c r="AF394" s="2" t="s">
        <x:v>34</x:v>
      </x:c>
    </x:row>
    <x:row r="395">
      <x:c r="A395" s="7" t="s">
        <x:v>889</x:v>
      </x:c>
      <x:c r="B395" s="7" t="s">
        <x:v>890</x:v>
      </x:c>
      <x:c r="C395" s="7"/>
      <x:c r="D395" s="9"/>
      <x:c r="E395" s="9"/>
      <x:c r="F395" s="9"/>
      <x:c r="G395" s="9"/>
      <x:c r="H395" s="9"/>
      <x:c r="I395" s="9"/>
      <x:c r="J395" s="9"/>
      <x:c r="K395" s="9"/>
      <x:c r="L395" s="9"/>
      <x:c r="M395" s="25">
        <x:v>1</x:v>
      </x:c>
      <x:c r="N395" s="9"/>
      <x:c r="O395" s="25">
        <x:v>2</x:v>
      </x:c>
      <x:c r="P395" s="25">
        <x:v>2</x:v>
      </x:c>
      <x:c r="Q395" s="13">
        <x:v>0</x:v>
      </x:c>
      <x:c r="R395" s="13">
        <x:v>0</x:v>
      </x:c>
      <x:c r="S395" s="13">
        <x:v>0</x:v>
      </x:c>
      <x:c r="T395" s="13">
        <x:v>0</x:v>
      </x:c>
      <x:c r="U395" s="13">
        <x:v>0</x:v>
      </x:c>
      <x:c r="V395" s="13">
        <x:v>0</x:v>
      </x:c>
      <x:c r="W395" s="13">
        <x:v>0</x:v>
      </x:c>
      <x:c r="X395" s="13">
        <x:v>0</x:v>
      </x:c>
      <x:c r="Y395" s="23">
        <x:v>0</x:v>
      </x:c>
      <x:c r="Z395" s="17">
        <x:v>0.0392</x:v>
      </x:c>
      <x:c r="AA395" s="17">
        <x:v>0</x:v>
      </x:c>
      <x:c r="AB395" s="17">
        <x:v>0.0667</x:v>
      </x:c>
      <x:c r="AC395" s="20">
        <x:v>0.0587</x:v>
      </x:c>
      <x:c r="AD395" s="17">
        <x:v>0.0353</x:v>
      </x:c>
      <x:c r="AE395" s="17">
        <x:v>0.0353</x:v>
      </x:c>
      <x:c r="AF395" s="2" t="s">
        <x:v>34</x:v>
      </x:c>
    </x:row>
    <x:row r="396">
      <x:c r="A396" s="7" t="s">
        <x:v>891</x:v>
      </x:c>
      <x:c r="B396" s="7" t="s">
        <x:v>892</x:v>
      </x:c>
      <x:c r="C396" s="7"/>
      <x:c r="D396" s="9"/>
      <x:c r="E396" s="9"/>
      <x:c r="F396" s="9"/>
      <x:c r="G396" s="9"/>
      <x:c r="H396" s="9"/>
      <x:c r="I396" s="25">
        <x:v>4</x:v>
      </x:c>
      <x:c r="J396" s="25">
        <x:v>3</x:v>
      </x:c>
      <x:c r="K396" s="9"/>
      <x:c r="L396" s="25">
        <x:v>18</x:v>
      </x:c>
      <x:c r="M396" s="25">
        <x:v>1</x:v>
      </x:c>
      <x:c r="N396" s="25">
        <x:v>3</x:v>
      </x:c>
      <x:c r="O396" s="25">
        <x:v>2</x:v>
      </x:c>
      <x:c r="P396" s="25">
        <x:v>1</x:v>
      </x:c>
      <x:c r="Q396" s="13">
        <x:v>0</x:v>
      </x:c>
      <x:c r="R396" s="13">
        <x:v>0</x:v>
      </x:c>
      <x:c r="S396" s="13">
        <x:v>0</x:v>
      </x:c>
      <x:c r="T396" s="13">
        <x:v>0</x:v>
      </x:c>
      <x:c r="U396" s="13">
        <x:v>0</x:v>
      </x:c>
      <x:c r="V396" s="23">
        <x:v>0.0893</x:v>
      </x:c>
      <x:c r="W396" s="17">
        <x:v>0.1613</x:v>
      </x:c>
      <x:c r="X396" s="17">
        <x:v>0</x:v>
      </x:c>
      <x:c r="Y396" s="17">
        <x:v>0.5806</x:v>
      </x:c>
      <x:c r="Z396" s="17">
        <x:v>0.0392</x:v>
      </x:c>
      <x:c r="AA396" s="17">
        <x:v>0.0968</x:v>
      </x:c>
      <x:c r="AB396" s="17">
        <x:v>0.0667</x:v>
      </x:c>
      <x:c r="AC396" s="20">
        <x:v>0.0293</x:v>
      </x:c>
      <x:c r="AD396" s="17">
        <x:v>0.1574</x:v>
      </x:c>
      <x:c r="AE396" s="17">
        <x:v>0.1574</x:v>
      </x:c>
      <x:c r="AF396" s="2" t="s">
        <x:v>34</x:v>
      </x:c>
    </x:row>
    <x:row r="397">
      <x:c r="A397" s="7" t="s">
        <x:v>893</x:v>
      </x:c>
      <x:c r="B397" s="7" t="s">
        <x:v>894</x:v>
      </x:c>
      <x:c r="C397" s="7"/>
      <x:c r="D397" s="9"/>
      <x:c r="E397" s="9"/>
      <x:c r="F397" s="9"/>
      <x:c r="G397" s="9"/>
      <x:c r="H397" s="9"/>
      <x:c r="I397" s="25">
        <x:v>6</x:v>
      </x:c>
      <x:c r="J397" s="25">
        <x:v>1</x:v>
      </x:c>
      <x:c r="K397" s="25">
        <x:v>2</x:v>
      </x:c>
      <x:c r="L397" s="25">
        <x:v>16</x:v>
      </x:c>
      <x:c r="M397" s="9"/>
      <x:c r="N397" s="9"/>
      <x:c r="O397" s="9"/>
      <x:c r="P397" s="9"/>
      <x:c r="Q397" s="13">
        <x:v>0</x:v>
      </x:c>
      <x:c r="R397" s="13">
        <x:v>0</x:v>
      </x:c>
      <x:c r="S397" s="13">
        <x:v>0</x:v>
      </x:c>
      <x:c r="T397" s="13">
        <x:v>0</x:v>
      </x:c>
      <x:c r="U397" s="13">
        <x:v>0</x:v>
      </x:c>
      <x:c r="V397" s="23">
        <x:v>0.1339</x:v>
      </x:c>
      <x:c r="W397" s="17">
        <x:v>0.0538</x:v>
      </x:c>
      <x:c r="X397" s="17">
        <x:v>0.119</x:v>
      </x:c>
      <x:c r="Y397" s="17">
        <x:v>0.5161</x:v>
      </x:c>
      <x:c r="Z397" s="17">
        <x:v>0</x:v>
      </x:c>
      <x:c r="AA397" s="17">
        <x:v>0</x:v>
      </x:c>
      <x:c r="AB397" s="17">
        <x:v>0</x:v>
      </x:c>
      <x:c r="AC397" s="20">
        <x:v>0</x:v>
      </x:c>
      <x:c r="AD397" s="17">
        <x:v>0.1148</x:v>
      </x:c>
      <x:c r="AE397" s="17">
        <x:v>0.1148</x:v>
      </x:c>
      <x:c r="AF397" s="2" t="s">
        <x:v>34</x:v>
      </x:c>
    </x:row>
    <x:row r="398">
      <x:c r="A398" s="7" t="s">
        <x:v>895</x:v>
      </x:c>
      <x:c r="B398" s="7" t="s">
        <x:v>896</x:v>
      </x:c>
      <x:c r="C398" s="7"/>
      <x:c r="D398" s="9"/>
      <x:c r="E398" s="9"/>
      <x:c r="F398" s="9"/>
      <x:c r="G398" s="9"/>
      <x:c r="H398" s="9"/>
      <x:c r="I398" s="25">
        <x:v>5</x:v>
      </x:c>
      <x:c r="J398" s="9"/>
      <x:c r="K398" s="25">
        <x:v>1</x:v>
      </x:c>
      <x:c r="L398" s="25">
        <x:v>13</x:v>
      </x:c>
      <x:c r="M398" s="9"/>
      <x:c r="N398" s="25">
        <x:v>3</x:v>
      </x:c>
      <x:c r="O398" s="25">
        <x:v>2</x:v>
      </x:c>
      <x:c r="P398" s="25">
        <x:v>1</x:v>
      </x:c>
      <x:c r="Q398" s="13">
        <x:v>0</x:v>
      </x:c>
      <x:c r="R398" s="13">
        <x:v>0</x:v>
      </x:c>
      <x:c r="S398" s="13">
        <x:v>0</x:v>
      </x:c>
      <x:c r="T398" s="13">
        <x:v>0</x:v>
      </x:c>
      <x:c r="U398" s="13">
        <x:v>0</x:v>
      </x:c>
      <x:c r="V398" s="23">
        <x:v>0.1116</x:v>
      </x:c>
      <x:c r="W398" s="17">
        <x:v>0</x:v>
      </x:c>
      <x:c r="X398" s="17">
        <x:v>0.0595</x:v>
      </x:c>
      <x:c r="Y398" s="17">
        <x:v>0.4194</x:v>
      </x:c>
      <x:c r="Z398" s="17">
        <x:v>0</x:v>
      </x:c>
      <x:c r="AA398" s="23">
        <x:v>0.1579</x:v>
      </x:c>
      <x:c r="AB398" s="13">
        <x:v>0</x:v>
      </x:c>
      <x:c r="AC398" s="16">
        <x:v>0.9091</x:v>
      </x:c>
      <x:c r="AD398" s="17">
        <x:v>0.1197</x:v>
      </x:c>
      <x:c r="AE398" s="17">
        <x:v>0.1197</x:v>
      </x:c>
      <x:c r="AF398" s="2" t="s">
        <x:v>34</x:v>
      </x:c>
    </x:row>
    <x:row r="399">
      <x:c r="A399" s="7" t="s">
        <x:v>897</x:v>
      </x:c>
      <x:c r="B399" s="7" t="s">
        <x:v>898</x:v>
      </x:c>
      <x:c r="C399" s="7"/>
      <x:c r="D399" s="9"/>
      <x:c r="E399" s="9"/>
      <x:c r="F399" s="9"/>
      <x:c r="G399" s="9"/>
      <x:c r="H399" s="9"/>
      <x:c r="I399" s="9"/>
      <x:c r="J399" s="9"/>
      <x:c r="K399" s="9"/>
      <x:c r="L399" s="9"/>
      <x:c r="M399" s="9"/>
      <x:c r="N399" s="9"/>
      <x:c r="O399" s="9"/>
      <x:c r="P399" s="9"/>
      <x:c r="Q399" s="13">
        <x:v>0</x:v>
      </x:c>
      <x:c r="R399" s="13">
        <x:v>0</x:v>
      </x:c>
      <x:c r="S399" s="13">
        <x:v>0</x:v>
      </x:c>
      <x:c r="T399" s="13">
        <x:v>0</x:v>
      </x:c>
      <x:c r="U399" s="13">
        <x:v>0</x:v>
      </x:c>
      <x:c r="V399" s="13">
        <x:v>0</x:v>
      </x:c>
      <x:c r="W399" s="13">
        <x:v>0</x:v>
      </x:c>
      <x:c r="X399" s="13">
        <x:v>0</x:v>
      </x:c>
      <x:c r="Y399" s="13">
        <x:v>0</x:v>
      </x:c>
      <x:c r="Z399" s="13">
        <x:v>0</x:v>
      </x:c>
      <x:c r="AA399" s="13">
        <x:v>0</x:v>
      </x:c>
      <x:c r="AB399" s="13">
        <x:v>0</x:v>
      </x:c>
      <x:c r="AC399" s="28">
        <x:v>0</x:v>
      </x:c>
      <x:c r="AF399" s="2" t="s">
        <x:v>34</x:v>
      </x:c>
    </x:row>
    <x:row r="400">
      <x:c r="A400" s="7" t="s">
        <x:v>899</x:v>
      </x:c>
      <x:c r="B400" s="7" t="s">
        <x:v>900</x:v>
      </x:c>
      <x:c r="C400" s="7"/>
      <x:c r="D400" s="9"/>
      <x:c r="E400" s="9"/>
      <x:c r="F400" s="9"/>
      <x:c r="G400" s="9"/>
      <x:c r="H400" s="9"/>
      <x:c r="I400" s="9"/>
      <x:c r="J400" s="9"/>
      <x:c r="K400" s="9"/>
      <x:c r="L400" s="9"/>
      <x:c r="M400" s="9"/>
      <x:c r="N400" s="9"/>
      <x:c r="O400" s="9"/>
      <x:c r="P400" s="9"/>
      <x:c r="Q400" s="13">
        <x:v>0</x:v>
      </x:c>
      <x:c r="R400" s="13">
        <x:v>0</x:v>
      </x:c>
      <x:c r="S400" s="13">
        <x:v>0</x:v>
      </x:c>
      <x:c r="T400" s="13">
        <x:v>0</x:v>
      </x:c>
      <x:c r="U400" s="13">
        <x:v>0</x:v>
      </x:c>
      <x:c r="V400" s="13">
        <x:v>0</x:v>
      </x:c>
      <x:c r="W400" s="13">
        <x:v>0</x:v>
      </x:c>
      <x:c r="X400" s="13">
        <x:v>0</x:v>
      </x:c>
      <x:c r="Y400" s="13">
        <x:v>0</x:v>
      </x:c>
      <x:c r="Z400" s="13">
        <x:v>0</x:v>
      </x:c>
      <x:c r="AA400" s="13">
        <x:v>0</x:v>
      </x:c>
      <x:c r="AB400" s="13">
        <x:v>0</x:v>
      </x:c>
      <x:c r="AC400" s="28">
        <x:v>0</x:v>
      </x:c>
      <x:c r="AF400" s="2" t="s">
        <x:v>34</x:v>
      </x:c>
    </x:row>
    <x:row r="401">
      <x:c r="A401" s="7" t="s">
        <x:v>901</x:v>
      </x:c>
      <x:c r="B401" s="7" t="s">
        <x:v>902</x:v>
      </x:c>
      <x:c r="C401" s="7"/>
      <x:c r="D401" s="25">
        <x:v>17</x:v>
      </x:c>
      <x:c r="E401" s="25">
        <x:v>17</x:v>
      </x:c>
      <x:c r="F401" s="25">
        <x:v>44</x:v>
      </x:c>
      <x:c r="G401" s="25">
        <x:v>23</x:v>
      </x:c>
      <x:c r="H401" s="25">
        <x:v>16</x:v>
      </x:c>
      <x:c r="I401" s="25">
        <x:v>13</x:v>
      </x:c>
      <x:c r="J401" s="25">
        <x:v>37</x:v>
      </x:c>
      <x:c r="K401" s="25">
        <x:v>8</x:v>
      </x:c>
      <x:c r="L401" s="25">
        <x:v>19</x:v>
      </x:c>
      <x:c r="M401" s="25">
        <x:v>34</x:v>
      </x:c>
      <x:c r="N401" s="25">
        <x:v>7</x:v>
      </x:c>
      <x:c r="O401" s="25">
        <x:v>26</x:v>
      </x:c>
      <x:c r="P401" s="25">
        <x:v>26</x:v>
      </x:c>
      <x:c r="Q401" s="23">
        <x:v>0.5862</x:v>
      </x:c>
      <x:c r="R401" s="17">
        <x:v>0.5484</x:v>
      </x:c>
      <x:c r="S401" s="17">
        <x:v>1.4667</x:v>
      </x:c>
      <x:c r="T401" s="17">
        <x:v>0.7419</x:v>
      </x:c>
      <x:c r="U401" s="17">
        <x:v>0.5333</x:v>
      </x:c>
      <x:c r="V401" s="17">
        <x:v>0.4194</x:v>
      </x:c>
      <x:c r="W401" s="17">
        <x:v>1.1935</x:v>
      </x:c>
      <x:c r="X401" s="17">
        <x:v>0.2857</x:v>
      </x:c>
      <x:c r="Y401" s="17">
        <x:v>0.6129</x:v>
      </x:c>
      <x:c r="Z401" s="17">
        <x:v>1.1333</x:v>
      </x:c>
      <x:c r="AA401" s="17">
        <x:v>0.2258</x:v>
      </x:c>
      <x:c r="AB401" s="17">
        <x:v>0.8667</x:v>
      </x:c>
      <x:c r="AC401" s="20">
        <x:v>0.8387</x:v>
      </x:c>
      <x:c r="AD401" s="17">
        <x:v>0.7298</x:v>
      </x:c>
      <x:c r="AE401" s="17">
        <x:v>0.7298</x:v>
      </x:c>
      <x:c r="AF401" s="2" t="s">
        <x:v>34</x:v>
      </x:c>
    </x:row>
    <x:row r="402">
      <x:c r="A402" s="7" t="s">
        <x:v>903</x:v>
      </x:c>
      <x:c r="B402" s="7" t="s">
        <x:v>904</x:v>
      </x:c>
      <x:c r="C402" s="7"/>
      <x:c r="D402" s="9"/>
      <x:c r="E402" s="9"/>
      <x:c r="F402" s="9"/>
      <x:c r="G402" s="9"/>
      <x:c r="H402" s="9"/>
      <x:c r="I402" s="9"/>
      <x:c r="J402" s="9"/>
      <x:c r="K402" s="9"/>
      <x:c r="L402" s="9"/>
      <x:c r="M402" s="9"/>
      <x:c r="N402" s="25">
        <x:v>3</x:v>
      </x:c>
      <x:c r="O402" s="9"/>
      <x:c r="P402" s="25">
        <x:v>3</x:v>
      </x:c>
      <x:c r="Q402" s="13">
        <x:v>0</x:v>
      </x:c>
      <x:c r="R402" s="13">
        <x:v>0</x:v>
      </x:c>
      <x:c r="S402" s="13">
        <x:v>0</x:v>
      </x:c>
      <x:c r="T402" s="13">
        <x:v>0</x:v>
      </x:c>
      <x:c r="U402" s="13">
        <x:v>0</x:v>
      </x:c>
      <x:c r="V402" s="13">
        <x:v>0</x:v>
      </x:c>
      <x:c r="W402" s="13">
        <x:v>0</x:v>
      </x:c>
      <x:c r="X402" s="13">
        <x:v>0</x:v>
      </x:c>
      <x:c r="Y402" s="13">
        <x:v>0</x:v>
      </x:c>
      <x:c r="Z402" s="23">
        <x:v>0</x:v>
      </x:c>
      <x:c r="AA402" s="17">
        <x:v>0.0968</x:v>
      </x:c>
      <x:c r="AB402" s="17">
        <x:v>0</x:v>
      </x:c>
      <x:c r="AC402" s="20">
        <x:v>0.0968</x:v>
      </x:c>
      <x:c r="AD402" s="17">
        <x:v>0.0484</x:v>
      </x:c>
      <x:c r="AE402" s="17">
        <x:v>0.0484</x:v>
      </x:c>
      <x:c r="AF402" s="2" t="s">
        <x:v>34</x:v>
      </x:c>
    </x:row>
    <x:row r="403">
      <x:c r="A403" s="6" t="s">
        <x:v>905</x:v>
      </x:c>
      <x:c r="B403" s="7" t="s">
        <x:v>906</x:v>
      </x:c>
      <x:c r="C403" s="7"/>
      <x:c r="D403" s="9"/>
      <x:c r="E403" s="9"/>
      <x:c r="F403" s="9"/>
      <x:c r="G403" s="9"/>
      <x:c r="H403" s="9"/>
      <x:c r="I403" s="9"/>
      <x:c r="J403" s="9"/>
      <x:c r="K403" s="9"/>
      <x:c r="L403" s="9"/>
      <x:c r="M403" s="9"/>
      <x:c r="N403" s="9"/>
      <x:c r="O403" s="9"/>
      <x:c r="P403" s="9"/>
      <x:c r="Q403" s="13">
        <x:v>0</x:v>
      </x:c>
      <x:c r="R403" s="13">
        <x:v>0</x:v>
      </x:c>
      <x:c r="S403" s="13">
        <x:v>0</x:v>
      </x:c>
      <x:c r="T403" s="13">
        <x:v>0</x:v>
      </x:c>
      <x:c r="U403" s="13">
        <x:v>0</x:v>
      </x:c>
      <x:c r="V403" s="13">
        <x:v>0</x:v>
      </x:c>
      <x:c r="W403" s="13">
        <x:v>0</x:v>
      </x:c>
      <x:c r="X403" s="13">
        <x:v>0</x:v>
      </x:c>
      <x:c r="Y403" s="13">
        <x:v>0</x:v>
      </x:c>
      <x:c r="Z403" s="13">
        <x:v>0</x:v>
      </x:c>
      <x:c r="AA403" s="13">
        <x:v>0</x:v>
      </x:c>
      <x:c r="AB403" s="13">
        <x:v>0</x:v>
      </x:c>
      <x:c r="AC403" s="28">
        <x:v>0</x:v>
      </x:c>
      <x:c r="AF403" s="2" t="s">
        <x:v>34</x:v>
      </x:c>
    </x:row>
    <x:row r="404">
      <x:c r="A404" s="6" t="s">
        <x:v>907</x:v>
      </x:c>
      <x:c r="B404" s="7" t="s">
        <x:v>908</x:v>
      </x:c>
      <x:c r="C404" s="7"/>
      <x:c r="D404" s="9"/>
      <x:c r="E404" s="9"/>
      <x:c r="F404" s="9"/>
      <x:c r="G404" s="9"/>
      <x:c r="H404" s="9"/>
      <x:c r="I404" s="9"/>
      <x:c r="J404" s="9"/>
      <x:c r="K404" s="9"/>
      <x:c r="L404" s="9"/>
      <x:c r="M404" s="9"/>
      <x:c r="N404" s="9"/>
      <x:c r="O404" s="9"/>
      <x:c r="P404" s="9"/>
      <x:c r="Q404" s="13">
        <x:v>0</x:v>
      </x:c>
      <x:c r="R404" s="13">
        <x:v>0</x:v>
      </x:c>
      <x:c r="S404" s="13">
        <x:v>0</x:v>
      </x:c>
      <x:c r="T404" s="13">
        <x:v>0</x:v>
      </x:c>
      <x:c r="U404" s="13">
        <x:v>0</x:v>
      </x:c>
      <x:c r="V404" s="13">
        <x:v>0</x:v>
      </x:c>
      <x:c r="W404" s="13">
        <x:v>0</x:v>
      </x:c>
      <x:c r="X404" s="13">
        <x:v>0</x:v>
      </x:c>
      <x:c r="Y404" s="13">
        <x:v>0</x:v>
      </x:c>
      <x:c r="Z404" s="13">
        <x:v>0</x:v>
      </x:c>
      <x:c r="AA404" s="13">
        <x:v>0</x:v>
      </x:c>
      <x:c r="AB404" s="13">
        <x:v>0</x:v>
      </x:c>
      <x:c r="AC404" s="28">
        <x:v>0</x:v>
      </x:c>
      <x:c r="AF404" s="2" t="s">
        <x:v>34</x:v>
      </x:c>
    </x:row>
    <x:row r="405">
      <x:c r="A405" s="6" t="s">
        <x:v>909</x:v>
      </x:c>
      <x:c r="B405" s="7" t="s">
        <x:v>910</x:v>
      </x:c>
      <x:c r="C405" s="7"/>
      <x:c r="D405" s="9"/>
      <x:c r="E405" s="9"/>
      <x:c r="F405" s="9"/>
      <x:c r="G405" s="9"/>
      <x:c r="H405" s="9"/>
      <x:c r="I405" s="9"/>
      <x:c r="J405" s="9"/>
      <x:c r="K405" s="9"/>
      <x:c r="L405" s="9"/>
      <x:c r="M405" s="9"/>
      <x:c r="N405" s="9"/>
      <x:c r="O405" s="9"/>
      <x:c r="P405" s="9"/>
      <x:c r="Q405" s="13">
        <x:v>0</x:v>
      </x:c>
      <x:c r="R405" s="13">
        <x:v>0</x:v>
      </x:c>
      <x:c r="S405" s="13">
        <x:v>0</x:v>
      </x:c>
      <x:c r="T405" s="13">
        <x:v>0</x:v>
      </x:c>
      <x:c r="U405" s="13">
        <x:v>0</x:v>
      </x:c>
      <x:c r="V405" s="13">
        <x:v>0</x:v>
      </x:c>
      <x:c r="W405" s="13">
        <x:v>0</x:v>
      </x:c>
      <x:c r="X405" s="13">
        <x:v>0</x:v>
      </x:c>
      <x:c r="Y405" s="13">
        <x:v>0</x:v>
      </x:c>
      <x:c r="Z405" s="13">
        <x:v>0</x:v>
      </x:c>
      <x:c r="AA405" s="13">
        <x:v>0</x:v>
      </x:c>
      <x:c r="AB405" s="13">
        <x:v>0</x:v>
      </x:c>
      <x:c r="AC405" s="28">
        <x:v>0</x:v>
      </x:c>
      <x:c r="AF405" s="2" t="s">
        <x:v>34</x:v>
      </x:c>
    </x:row>
    <x:row r="406">
      <x:c r="A406" s="7" t="s">
        <x:v>911</x:v>
      </x:c>
      <x:c r="B406" s="7" t="s">
        <x:v>912</x:v>
      </x:c>
      <x:c r="C406" s="7"/>
      <x:c r="D406" s="25">
        <x:v>19</x:v>
      </x:c>
      <x:c r="E406" s="25">
        <x:v>19</x:v>
      </x:c>
      <x:c r="F406" s="25">
        <x:v>13</x:v>
      </x:c>
      <x:c r="G406" s="25">
        <x:v>22</x:v>
      </x:c>
      <x:c r="H406" s="25">
        <x:v>47</x:v>
      </x:c>
      <x:c r="I406" s="25">
        <x:v>115</x:v>
      </x:c>
      <x:c r="J406" s="25">
        <x:v>16</x:v>
      </x:c>
      <x:c r="K406" s="25">
        <x:v>22</x:v>
      </x:c>
      <x:c r="L406" s="25">
        <x:v>20</x:v>
      </x:c>
      <x:c r="M406" s="25">
        <x:v>12</x:v>
      </x:c>
      <x:c r="N406" s="25">
        <x:v>17</x:v>
      </x:c>
      <x:c r="O406" s="25">
        <x:v>13</x:v>
      </x:c>
      <x:c r="P406" s="9"/>
      <x:c r="Q406" s="23">
        <x:v>0.504</x:v>
      </x:c>
      <x:c r="R406" s="23">
        <x:v>0.7308</x:v>
      </x:c>
      <x:c r="S406" s="23">
        <x:v>0.6633</x:v>
      </x:c>
      <x:c r="T406" s="17">
        <x:v>0.7097</x:v>
      </x:c>
      <x:c r="U406" s="23">
        <x:v>1.28</x:v>
      </x:c>
      <x:c r="V406" s="23">
        <x:v>2.416</x:v>
      </x:c>
      <x:c r="W406" s="17">
        <x:v>0.8602</x:v>
      </x:c>
      <x:c r="X406" s="17">
        <x:v>1.3095</x:v>
      </x:c>
      <x:c r="Y406" s="17">
        <x:v>0.6452</x:v>
      </x:c>
      <x:c r="Z406" s="17">
        <x:v>0.4762</x:v>
      </x:c>
      <x:c r="AA406" s="17">
        <x:v>0.5484</x:v>
      </x:c>
      <x:c r="AB406" s="23">
        <x:v>0.8497</x:v>
      </x:c>
      <x:c r="AC406" s="16">
        <x:v>0</x:v>
      </x:c>
      <x:c r="AD406" s="17">
        <x:v>0.7582</x:v>
      </x:c>
      <x:c r="AE406" s="17">
        <x:v>0.7582</x:v>
      </x:c>
      <x:c r="AF406" s="2" t="s">
        <x:v>34</x:v>
      </x:c>
    </x:row>
    <x:row r="407">
      <x:c r="A407" s="7" t="s">
        <x:v>913</x:v>
      </x:c>
      <x:c r="B407" s="7" t="s">
        <x:v>914</x:v>
      </x:c>
      <x:c r="C407" s="7"/>
      <x:c r="D407" s="25">
        <x:v>13</x:v>
      </x:c>
      <x:c r="E407" s="25">
        <x:v>23</x:v>
      </x:c>
      <x:c r="F407" s="25">
        <x:v>4</x:v>
      </x:c>
      <x:c r="G407" s="25">
        <x:v>15</x:v>
      </x:c>
      <x:c r="H407" s="25">
        <x:v>24</x:v>
      </x:c>
      <x:c r="I407" s="25">
        <x:v>12</x:v>
      </x:c>
      <x:c r="J407" s="25">
        <x:v>5</x:v>
      </x:c>
      <x:c r="K407" s="25">
        <x:v>11</x:v>
      </x:c>
      <x:c r="L407" s="25">
        <x:v>12</x:v>
      </x:c>
      <x:c r="M407" s="25">
        <x:v>1</x:v>
      </x:c>
      <x:c r="N407" s="25">
        <x:v>12</x:v>
      </x:c>
      <x:c r="O407" s="25">
        <x:v>16</x:v>
      </x:c>
      <x:c r="P407" s="25">
        <x:v>6</x:v>
      </x:c>
      <x:c r="Q407" s="23">
        <x:v>0.3448</x:v>
      </x:c>
      <x:c r="R407" s="17">
        <x:v>0.7419</x:v>
      </x:c>
      <x:c r="S407" s="17">
        <x:v>0.1905</x:v>
      </x:c>
      <x:c r="T407" s="17">
        <x:v>0.4839</x:v>
      </x:c>
      <x:c r="U407" s="23">
        <x:v>0.6787</x:v>
      </x:c>
      <x:c r="V407" s="23">
        <x:v>0.2521</x:v>
      </x:c>
      <x:c r="W407" s="17">
        <x:v>0.2688</x:v>
      </x:c>
      <x:c r="X407" s="17">
        <x:v>0.6548</x:v>
      </x:c>
      <x:c r="Y407" s="17">
        <x:v>0.3871</x:v>
      </x:c>
      <x:c r="Z407" s="17">
        <x:v>0.0397</x:v>
      </x:c>
      <x:c r="AA407" s="17">
        <x:v>0.3871</x:v>
      </x:c>
      <x:c r="AB407" s="17">
        <x:v>0.5926</x:v>
      </x:c>
      <x:c r="AC407" s="20">
        <x:v>0.1489</x:v>
      </x:c>
      <x:c r="AD407" s="17">
        <x:v>0.4163</x:v>
      </x:c>
      <x:c r="AE407" s="17">
        <x:v>0.4163</x:v>
      </x:c>
      <x:c r="AF407" s="2" t="s">
        <x:v>34</x:v>
      </x:c>
    </x:row>
    <x:row r="408">
      <x:c r="A408" s="7" t="s">
        <x:v>915</x:v>
      </x:c>
      <x:c r="B408" s="7" t="s">
        <x:v>916</x:v>
      </x:c>
      <x:c r="C408" s="7"/>
      <x:c r="D408" s="25">
        <x:v>13</x:v>
      </x:c>
      <x:c r="E408" s="25">
        <x:v>20</x:v>
      </x:c>
      <x:c r="F408" s="25">
        <x:v>10</x:v>
      </x:c>
      <x:c r="G408" s="9"/>
      <x:c r="H408" s="25">
        <x:v>-1</x:v>
      </x:c>
      <x:c r="I408" s="25">
        <x:v>1</x:v>
      </x:c>
      <x:c r="J408" s="9"/>
      <x:c r="K408" s="9"/>
      <x:c r="L408" s="9"/>
      <x:c r="M408" s="9"/>
      <x:c r="N408" s="9"/>
      <x:c r="O408" s="9"/>
      <x:c r="P408" s="9"/>
      <x:c r="Q408" s="17">
        <x:v>0.3226</x:v>
      </x:c>
      <x:c r="R408" s="17">
        <x:v>0.6452</x:v>
      </x:c>
      <x:c r="S408" s="23">
        <x:v>0.5952</x:v>
      </x:c>
      <x:c r="T408" s="13">
        <x:v>0</x:v>
      </x:c>
      <x:c r="U408" s="13">
        <x:v>0</x:v>
      </x:c>
      <x:c r="V408" s="13">
        <x:v>0</x:v>
      </x:c>
      <x:c r="W408" s="13">
        <x:v>0</x:v>
      </x:c>
      <x:c r="X408" s="13">
        <x:v>0</x:v>
      </x:c>
      <x:c r="Y408" s="13">
        <x:v>0</x:v>
      </x:c>
      <x:c r="Z408" s="13">
        <x:v>0</x:v>
      </x:c>
      <x:c r="AA408" s="13">
        <x:v>0</x:v>
      </x:c>
      <x:c r="AB408" s="13">
        <x:v>0</x:v>
      </x:c>
      <x:c r="AC408" s="16">
        <x:v>0</x:v>
      </x:c>
      <x:c r="AD408" s="17">
        <x:v>0.4839</x:v>
      </x:c>
      <x:c r="AE408" s="17">
        <x:v>0.4839</x:v>
      </x:c>
      <x:c r="AF408" s="2" t="s">
        <x:v>34</x:v>
      </x:c>
    </x:row>
    <x:row r="409">
      <x:c r="A409" s="7" t="s">
        <x:v>917</x:v>
      </x:c>
      <x:c r="B409" s="7" t="s">
        <x:v>918</x:v>
      </x:c>
      <x:c r="C409" s="7"/>
      <x:c r="D409" s="25">
        <x:v>1</x:v>
      </x:c>
      <x:c r="E409" s="25">
        <x:v>1</x:v>
      </x:c>
      <x:c r="F409" s="25">
        <x:v>3</x:v>
      </x:c>
      <x:c r="G409" s="25">
        <x:v>17</x:v>
      </x:c>
      <x:c r="H409" s="25">
        <x:v>19</x:v>
      </x:c>
      <x:c r="I409" s="25">
        <x:v>116</x:v>
      </x:c>
      <x:c r="J409" s="25">
        <x:v>8</x:v>
      </x:c>
      <x:c r="K409" s="25">
        <x:v>8</x:v>
      </x:c>
      <x:c r="L409" s="25">
        <x:v>4</x:v>
      </x:c>
      <x:c r="M409" s="25">
        <x:v>11</x:v>
      </x:c>
      <x:c r="N409" s="25">
        <x:v>11</x:v>
      </x:c>
      <x:c r="O409" s="25">
        <x:v>1</x:v>
      </x:c>
      <x:c r="P409" s="9"/>
      <x:c r="Q409" s="13">
        <x:v>0</x:v>
      </x:c>
      <x:c r="R409" s="13">
        <x:v>0</x:v>
      </x:c>
      <x:c r="S409" s="23">
        <x:v>0.1531</x:v>
      </x:c>
      <x:c r="T409" s="17">
        <x:v>0.5484</x:v>
      </x:c>
      <x:c r="U409" s="23">
        <x:v>0.5588</x:v>
      </x:c>
      <x:c r="V409" s="23">
        <x:v>2.437</x:v>
      </x:c>
      <x:c r="W409" s="17">
        <x:v>0.4301</x:v>
      </x:c>
      <x:c r="X409" s="17">
        <x:v>0.4762</x:v>
      </x:c>
      <x:c r="Y409" s="17">
        <x:v>0.129</x:v>
      </x:c>
      <x:c r="Z409" s="17">
        <x:v>0.4365</x:v>
      </x:c>
      <x:c r="AA409" s="23">
        <x:v>0.4231</x:v>
      </x:c>
      <x:c r="AB409" s="13">
        <x:v>0</x:v>
      </x:c>
      <x:c r="AC409" s="16">
        <x:v>0</x:v>
      </x:c>
      <x:c r="AD409" s="17">
        <x:v>0.404</x:v>
      </x:c>
      <x:c r="AE409" s="17">
        <x:v>0.404</x:v>
      </x:c>
      <x:c r="AF409" s="2" t="s">
        <x:v>34</x:v>
      </x:c>
    </x:row>
    <x:row r="410">
      <x:c r="A410" s="7" t="s">
        <x:v>919</x:v>
      </x:c>
      <x:c r="B410" s="7" t="s">
        <x:v>920</x:v>
      </x:c>
      <x:c r="C410" s="7"/>
      <x:c r="D410" s="9"/>
      <x:c r="E410" s="9"/>
      <x:c r="F410" s="25">
        <x:v>3</x:v>
      </x:c>
      <x:c r="G410" s="25">
        <x:v>7</x:v>
      </x:c>
      <x:c r="H410" s="25">
        <x:v>19</x:v>
      </x:c>
      <x:c r="I410" s="25">
        <x:v>15</x:v>
      </x:c>
      <x:c r="J410" s="25">
        <x:v>3</x:v>
      </x:c>
      <x:c r="K410" s="25">
        <x:v>10</x:v>
      </x:c>
      <x:c r="L410" s="25">
        <x:v>9</x:v>
      </x:c>
      <x:c r="M410" s="25">
        <x:v>6</x:v>
      </x:c>
      <x:c r="N410" s="25">
        <x:v>5</x:v>
      </x:c>
      <x:c r="O410" s="25">
        <x:v>3</x:v>
      </x:c>
      <x:c r="P410" s="25">
        <x:v>9</x:v>
      </x:c>
      <x:c r="Q410" s="13">
        <x:v>0</x:v>
      </x:c>
      <x:c r="R410" s="13">
        <x:v>0</x:v>
      </x:c>
      <x:c r="S410" s="23">
        <x:v>0.1531</x:v>
      </x:c>
      <x:c r="T410" s="17">
        <x:v>0.2258</x:v>
      </x:c>
      <x:c r="U410" s="17">
        <x:v>0.4657</x:v>
      </x:c>
      <x:c r="V410" s="17">
        <x:v>0.2846</x:v>
      </x:c>
      <x:c r="W410" s="17">
        <x:v>0.1613</x:v>
      </x:c>
      <x:c r="X410" s="17">
        <x:v>0.5952</x:v>
      </x:c>
      <x:c r="Y410" s="17">
        <x:v>0.2903</x:v>
      </x:c>
      <x:c r="Z410" s="17">
        <x:v>0.2381</x:v>
      </x:c>
      <x:c r="AA410" s="17">
        <x:v>0.1613</x:v>
      </x:c>
      <x:c r="AB410" s="17">
        <x:v>0.1111</x:v>
      </x:c>
      <x:c r="AC410" s="20">
        <x:v>0.2233</x:v>
      </x:c>
      <x:c r="AD410" s="17">
        <x:v>0.2815</x:v>
      </x:c>
      <x:c r="AE410" s="17">
        <x:v>0.2815</x:v>
      </x:c>
      <x:c r="AF410" s="2" t="s">
        <x:v>34</x:v>
      </x:c>
    </x:row>
    <x:row r="411">
      <x:c r="A411" s="7" t="s">
        <x:v>921</x:v>
      </x:c>
      <x:c r="B411" s="7" t="s">
        <x:v>922</x:v>
      </x:c>
      <x:c r="C411" s="7"/>
      <x:c r="D411" s="9"/>
      <x:c r="E411" s="9"/>
      <x:c r="F411" s="25">
        <x:v>1</x:v>
      </x:c>
      <x:c r="G411" s="25">
        <x:v>6</x:v>
      </x:c>
      <x:c r="H411" s="25">
        <x:v>12</x:v>
      </x:c>
      <x:c r="I411" s="25">
        <x:v>8</x:v>
      </x:c>
      <x:c r="J411" s="25">
        <x:v>5</x:v>
      </x:c>
      <x:c r="K411" s="25">
        <x:v>9</x:v>
      </x:c>
      <x:c r="L411" s="25">
        <x:v>3</x:v>
      </x:c>
      <x:c r="M411" s="25">
        <x:v>1</x:v>
      </x:c>
      <x:c r="N411" s="25">
        <x:v>2</x:v>
      </x:c>
      <x:c r="O411" s="25">
        <x:v>2</x:v>
      </x:c>
      <x:c r="P411" s="25">
        <x:v>5</x:v>
      </x:c>
      <x:c r="Q411" s="13">
        <x:v>0</x:v>
      </x:c>
      <x:c r="R411" s="13">
        <x:v>0</x:v>
      </x:c>
      <x:c r="S411" s="23">
        <x:v>0.051</x:v>
      </x:c>
      <x:c r="T411" s="17">
        <x:v>0.1935</x:v>
      </x:c>
      <x:c r="U411" s="17">
        <x:v>0.2941</x:v>
      </x:c>
      <x:c r="V411" s="17">
        <x:v>0.1518</x:v>
      </x:c>
      <x:c r="W411" s="17">
        <x:v>0.2688</x:v>
      </x:c>
      <x:c r="X411" s="17">
        <x:v>0.5357</x:v>
      </x:c>
      <x:c r="Y411" s="17">
        <x:v>0.0968</x:v>
      </x:c>
      <x:c r="Z411" s="17">
        <x:v>0.0397</x:v>
      </x:c>
      <x:c r="AA411" s="17">
        <x:v>0.0645</x:v>
      </x:c>
      <x:c r="AB411" s="17">
        <x:v>0.0741</x:v>
      </x:c>
      <x:c r="AC411" s="20">
        <x:v>0.1241</x:v>
      </x:c>
      <x:c r="AD411" s="17">
        <x:v>0.191</x:v>
      </x:c>
      <x:c r="AE411" s="17">
        <x:v>0.191</x:v>
      </x:c>
      <x:c r="AF411" s="2" t="s">
        <x:v>34</x:v>
      </x:c>
    </x:row>
    <x:row r="412">
      <x:c r="A412" s="7" t="s">
        <x:v>923</x:v>
      </x:c>
      <x:c r="B412" s="7" t="s">
        <x:v>924</x:v>
      </x:c>
      <x:c r="C412" s="7"/>
      <x:c r="D412" s="25">
        <x:v>3</x:v>
      </x:c>
      <x:c r="E412" s="25">
        <x:v>1</x:v>
      </x:c>
      <x:c r="F412" s="9"/>
      <x:c r="G412" s="9"/>
      <x:c r="H412" s="9"/>
      <x:c r="I412" s="9"/>
      <x:c r="J412" s="9"/>
      <x:c r="K412" s="9"/>
      <x:c r="L412" s="9"/>
      <x:c r="M412" s="25">
        <x:v>-1</x:v>
      </x:c>
      <x:c r="N412" s="9"/>
      <x:c r="O412" s="9"/>
      <x:c r="P412" s="9"/>
      <x:c r="Q412" s="23">
        <x:v>0.1775</x:v>
      </x:c>
      <x:c r="R412" s="13">
        <x:v>0</x:v>
      </x:c>
      <x:c r="S412" s="13">
        <x:v>0</x:v>
      </x:c>
      <x:c r="T412" s="13">
        <x:v>0</x:v>
      </x:c>
      <x:c r="U412" s="13">
        <x:v>0</x:v>
      </x:c>
      <x:c r="V412" s="13">
        <x:v>0</x:v>
      </x:c>
      <x:c r="W412" s="13">
        <x:v>0</x:v>
      </x:c>
      <x:c r="X412" s="13">
        <x:v>0</x:v>
      </x:c>
      <x:c r="Y412" s="13">
        <x:v>0</x:v>
      </x:c>
      <x:c r="Z412" s="13">
        <x:v>0</x:v>
      </x:c>
      <x:c r="AA412" s="13">
        <x:v>0</x:v>
      </x:c>
      <x:c r="AB412" s="13">
        <x:v>0</x:v>
      </x:c>
      <x:c r="AC412" s="16">
        <x:v>0</x:v>
      </x:c>
      <x:c r="AF412" s="2" t="s">
        <x:v>34</x:v>
      </x:c>
    </x:row>
    <x:row r="413">
      <x:c r="A413" s="7" t="s">
        <x:v>925</x:v>
      </x:c>
      <x:c r="B413" s="7" t="s">
        <x:v>926</x:v>
      </x:c>
      <x:c r="C413" s="7"/>
      <x:c r="D413" s="25">
        <x:v>6</x:v>
      </x:c>
      <x:c r="E413" s="25">
        <x:v>14</x:v>
      </x:c>
      <x:c r="F413" s="25">
        <x:v>3</x:v>
      </x:c>
      <x:c r="G413" s="25">
        <x:v>5</x:v>
      </x:c>
      <x:c r="H413" s="25">
        <x:v>15</x:v>
      </x:c>
      <x:c r="I413" s="25">
        <x:v>15</x:v>
      </x:c>
      <x:c r="J413" s="25">
        <x:v>7</x:v>
      </x:c>
      <x:c r="K413" s="25">
        <x:v>9</x:v>
      </x:c>
      <x:c r="L413" s="25">
        <x:v>5</x:v>
      </x:c>
      <x:c r="M413" s="25">
        <x:v>9</x:v>
      </x:c>
      <x:c r="N413" s="25">
        <x:v>1</x:v>
      </x:c>
      <x:c r="O413" s="9"/>
      <x:c r="P413" s="9"/>
      <x:c r="Q413" s="17">
        <x:v>0.1489</x:v>
      </x:c>
      <x:c r="R413" s="17">
        <x:v>0.4516</x:v>
      </x:c>
      <x:c r="S413" s="17">
        <x:v>0.1429</x:v>
      </x:c>
      <x:c r="T413" s="17">
        <x:v>0.1613</x:v>
      </x:c>
      <x:c r="U413" s="17">
        <x:v>0.3676</x:v>
      </x:c>
      <x:c r="V413" s="17">
        <x:v>0.2846</x:v>
      </x:c>
      <x:c r="W413" s="17">
        <x:v>0.3763</x:v>
      </x:c>
      <x:c r="X413" s="17">
        <x:v>0.5357</x:v>
      </x:c>
      <x:c r="Y413" s="17">
        <x:v>0.1613</x:v>
      </x:c>
      <x:c r="Z413" s="23">
        <x:v>0.4658</x:v>
      </x:c>
      <x:c r="AA413" s="13">
        <x:v>0</x:v>
      </x:c>
      <x:c r="AB413" s="13">
        <x:v>0</x:v>
      </x:c>
      <x:c r="AC413" s="16">
        <x:v>0</x:v>
      </x:c>
      <x:c r="AD413" s="17">
        <x:v>0.2922</x:v>
      </x:c>
      <x:c r="AE413" s="17">
        <x:v>0.2922</x:v>
      </x:c>
      <x:c r="AF413" s="2" t="s">
        <x:v>34</x:v>
      </x:c>
    </x:row>
    <x:row r="414">
      <x:c r="A414" s="7" t="s">
        <x:v>927</x:v>
      </x:c>
      <x:c r="B414" s="7" t="s">
        <x:v>928</x:v>
      </x:c>
      <x:c r="C414" s="7"/>
      <x:c r="D414" s="9"/>
      <x:c r="E414" s="25">
        <x:v>-1</x:v>
      </x:c>
      <x:c r="F414" s="25">
        <x:v>7</x:v>
      </x:c>
      <x:c r="G414" s="25">
        <x:v>6</x:v>
      </x:c>
      <x:c r="H414" s="25">
        <x:v>12</x:v>
      </x:c>
      <x:c r="I414" s="25">
        <x:v>14</x:v>
      </x:c>
      <x:c r="J414" s="25">
        <x:v>4</x:v>
      </x:c>
      <x:c r="K414" s="25">
        <x:v>5</x:v>
      </x:c>
      <x:c r="L414" s="25">
        <x:v>1</x:v>
      </x:c>
      <x:c r="M414" s="25">
        <x:v>4</x:v>
      </x:c>
      <x:c r="N414" s="9"/>
      <x:c r="O414" s="25">
        <x:v>10</x:v>
      </x:c>
      <x:c r="P414" s="25">
        <x:v>9</x:v>
      </x:c>
      <x:c r="Q414" s="13">
        <x:v>0</x:v>
      </x:c>
      <x:c r="R414" s="13">
        <x:v>0</x:v>
      </x:c>
      <x:c r="S414" s="23">
        <x:v>0.3571</x:v>
      </x:c>
      <x:c r="T414" s="17">
        <x:v>0.1935</x:v>
      </x:c>
      <x:c r="U414" s="17">
        <x:v>0.2941</x:v>
      </x:c>
      <x:c r="V414" s="17">
        <x:v>0.2657</x:v>
      </x:c>
      <x:c r="W414" s="17">
        <x:v>0.2151</x:v>
      </x:c>
      <x:c r="X414" s="17">
        <x:v>0.2976</x:v>
      </x:c>
      <x:c r="Y414" s="17">
        <x:v>0.0323</x:v>
      </x:c>
      <x:c r="Z414" s="17">
        <x:v>0.1587</x:v>
      </x:c>
      <x:c r="AA414" s="17">
        <x:v>0</x:v>
      </x:c>
      <x:c r="AB414" s="17">
        <x:v>0.3704</x:v>
      </x:c>
      <x:c r="AC414" s="20">
        <x:v>0.2233</x:v>
      </x:c>
      <x:c r="AD414" s="17">
        <x:v>0.203</x:v>
      </x:c>
      <x:c r="AE414" s="17">
        <x:v>0.203</x:v>
      </x:c>
      <x:c r="AF414" s="2" t="s">
        <x:v>34</x:v>
      </x:c>
    </x:row>
    <x:row r="415">
      <x:c r="A415" s="7" t="s">
        <x:v>929</x:v>
      </x:c>
      <x:c r="B415" s="7" t="s">
        <x:v>930</x:v>
      </x:c>
      <x:c r="C415" s="7"/>
      <x:c r="D415" s="9"/>
      <x:c r="E415" s="9"/>
      <x:c r="F415" s="25">
        <x:v>6</x:v>
      </x:c>
      <x:c r="G415" s="25">
        <x:v>7</x:v>
      </x:c>
      <x:c r="H415" s="25">
        <x:v>8</x:v>
      </x:c>
      <x:c r="I415" s="25">
        <x:v>11</x:v>
      </x:c>
      <x:c r="J415" s="25">
        <x:v>6</x:v>
      </x:c>
      <x:c r="K415" s="25">
        <x:v>1</x:v>
      </x:c>
      <x:c r="L415" s="9"/>
      <x:c r="M415" s="9"/>
      <x:c r="N415" s="9"/>
      <x:c r="O415" s="25">
        <x:v>5</x:v>
      </x:c>
      <x:c r="P415" s="25">
        <x:v>1</x:v>
      </x:c>
      <x:c r="Q415" s="13">
        <x:v>0</x:v>
      </x:c>
      <x:c r="R415" s="13">
        <x:v>0</x:v>
      </x:c>
      <x:c r="S415" s="23">
        <x:v>0.3061</x:v>
      </x:c>
      <x:c r="T415" s="17">
        <x:v>0.2258</x:v>
      </x:c>
      <x:c r="U415" s="17">
        <x:v>0.1961</x:v>
      </x:c>
      <x:c r="V415" s="17">
        <x:v>0.2087</x:v>
      </x:c>
      <x:c r="W415" s="17">
        <x:v>0.3226</x:v>
      </x:c>
      <x:c r="X415" s="17">
        <x:v>0.0595</x:v>
      </x:c>
      <x:c r="Y415" s="17">
        <x:v>0</x:v>
      </x:c>
      <x:c r="Z415" s="17">
        <x:v>0</x:v>
      </x:c>
      <x:c r="AA415" s="17">
        <x:v>0</x:v>
      </x:c>
      <x:c r="AB415" s="17">
        <x:v>0.1852</x:v>
      </x:c>
      <x:c r="AC415" s="20">
        <x:v>0.0248</x:v>
      </x:c>
      <x:c r="AD415" s="17">
        <x:v>0.1331</x:v>
      </x:c>
      <x:c r="AE415" s="17">
        <x:v>0.1331</x:v>
      </x:c>
      <x:c r="AF415" s="2" t="s">
        <x:v>34</x:v>
      </x:c>
    </x:row>
    <x:row r="416">
      <x:c r="A416" s="7" t="s">
        <x:v>931</x:v>
      </x:c>
      <x:c r="B416" s="7" t="s">
        <x:v>932</x:v>
      </x:c>
      <x:c r="C416" s="7" t="s">
        <x:v>933</x:v>
      </x:c>
      <x:c r="D416" s="9"/>
      <x:c r="E416" s="9"/>
      <x:c r="F416" s="9"/>
      <x:c r="G416" s="9"/>
      <x:c r="H416" s="9"/>
      <x:c r="I416" s="9"/>
      <x:c r="J416" s="25">
        <x:v>4</x:v>
      </x:c>
      <x:c r="K416" s="25">
        <x:v>7</x:v>
      </x:c>
      <x:c r="L416" s="25">
        <x:v>25</x:v>
      </x:c>
      <x:c r="M416" s="25">
        <x:v>10</x:v>
      </x:c>
      <x:c r="N416" s="25">
        <x:v>3</x:v>
      </x:c>
      <x:c r="O416" s="9"/>
      <x:c r="P416" s="9"/>
      <x:c r="Q416" s="13">
        <x:v>0</x:v>
      </x:c>
      <x:c r="R416" s="13">
        <x:v>0</x:v>
      </x:c>
      <x:c r="S416" s="13">
        <x:v>0</x:v>
      </x:c>
      <x:c r="T416" s="13">
        <x:v>0</x:v>
      </x:c>
      <x:c r="U416" s="13">
        <x:v>0</x:v>
      </x:c>
      <x:c r="V416" s="13">
        <x:v>0</x:v>
      </x:c>
      <x:c r="W416" s="23">
        <x:v>0.2174</x:v>
      </x:c>
      <x:c r="X416" s="17">
        <x:v>0.3571</x:v>
      </x:c>
      <x:c r="Y416" s="17">
        <x:v>0.8961</x:v>
      </x:c>
      <x:c r="Z416" s="17">
        <x:v>0.4167</x:v>
      </x:c>
      <x:c r="AA416" s="23">
        <x:v>1</x:v>
      </x:c>
      <x:c r="AB416" s="13">
        <x:v>0</x:v>
      </x:c>
      <x:c r="AC416" s="16">
        <x:v>0</x:v>
      </x:c>
      <x:c r="AD416" s="17">
        <x:v>0.5566</x:v>
      </x:c>
      <x:c r="AE416" s="17">
        <x:v>0.5566</x:v>
      </x:c>
      <x:c r="AF416" s="2" t="s">
        <x:v>34</x:v>
      </x:c>
    </x:row>
    <x:row r="417">
      <x:c r="A417" s="7" t="s">
        <x:v>934</x:v>
      </x:c>
      <x:c r="B417" s="7" t="s">
        <x:v>935</x:v>
      </x:c>
      <x:c r="C417" s="7" t="s">
        <x:v>936</x:v>
      </x:c>
      <x:c r="D417" s="9"/>
      <x:c r="E417" s="9"/>
      <x:c r="F417" s="9"/>
      <x:c r="G417" s="9"/>
      <x:c r="H417" s="9"/>
      <x:c r="I417" s="9"/>
      <x:c r="J417" s="25">
        <x:v>1</x:v>
      </x:c>
      <x:c r="K417" s="25">
        <x:v>7</x:v>
      </x:c>
      <x:c r="L417" s="25">
        <x:v>11</x:v>
      </x:c>
      <x:c r="M417" s="25">
        <x:v>6</x:v>
      </x:c>
      <x:c r="N417" s="25">
        <x:v>3</x:v>
      </x:c>
      <x:c r="O417" s="25">
        <x:v>5</x:v>
      </x:c>
      <x:c r="P417" s="25">
        <x:v>3</x:v>
      </x:c>
      <x:c r="Q417" s="13">
        <x:v>0</x:v>
      </x:c>
      <x:c r="R417" s="13">
        <x:v>0</x:v>
      </x:c>
      <x:c r="S417" s="13">
        <x:v>0</x:v>
      </x:c>
      <x:c r="T417" s="13">
        <x:v>0</x:v>
      </x:c>
      <x:c r="U417" s="13">
        <x:v>0</x:v>
      </x:c>
      <x:c r="V417" s="13">
        <x:v>0</x:v>
      </x:c>
      <x:c r="W417" s="23">
        <x:v>0.0543</x:v>
      </x:c>
      <x:c r="X417" s="17">
        <x:v>0.3571</x:v>
      </x:c>
      <x:c r="Y417" s="17">
        <x:v>0.3943</x:v>
      </x:c>
      <x:c r="Z417" s="17">
        <x:v>0.25</x:v>
      </x:c>
      <x:c r="AA417" s="17">
        <x:v>0.0968</x:v>
      </x:c>
      <x:c r="AB417" s="17">
        <x:v>0.1667</x:v>
      </x:c>
      <x:c r="AC417" s="20">
        <x:v>0.0538</x:v>
      </x:c>
      <x:c r="AD417" s="17">
        <x:v>0.253</x:v>
      </x:c>
      <x:c r="AE417" s="17">
        <x:v>0.253</x:v>
      </x:c>
      <x:c r="AF417" s="2" t="s">
        <x:v>34</x:v>
      </x:c>
    </x:row>
  </x:sheetData>
  <x:legacyDrawing r:id="R19419f94b05e4b1d"/>
</x:worksheet>
</file>

<file path=xl/worksheets/sheet2.xml><?xml version="1.0" encoding="utf-8"?>
<x:worksheet xmlns:r="http://schemas.openxmlformats.org/officeDocument/2006/relationships" xmlns:x="http://schemas.openxmlformats.org/spreadsheetml/2006/main">
  <x:dimension ref="A1:AH420"/>
  <x:sheetViews>
    <x:sheetView tabSelected="1" workbookViewId="0"/>
  </x:sheetViews>
  <x:sheetFormatPr defaultRowHeight="15"/>
  <x:cols>
    <x:col min="1" max="1" width="12" customWidth="1"/>
    <x:col min="2" max="2" width="45" customWidth="1"/>
    <x:col min="3" max="5" width="12" customWidth="1"/>
    <x:col min="6" max="6" width="6" customWidth="1"/>
    <x:col min="7" max="14" width="12" customWidth="1"/>
    <x:col min="15" max="15" width="6" customWidth="1"/>
    <x:col min="16" max="23" width="12" customWidth="1"/>
    <x:col min="24" max="24" width="6" customWidth="1"/>
    <x:col min="25" max="34" width="12" customWidth="1"/>
  </x:cols>
  <x:sheetData>
    <x:row r="1">
      <x:c r="A1" s="2" t="s">
        <x:v>937</x:v>
      </x:c>
      <x:c r="B1" s="29">
        <x:v>46331</x:v>
      </x:c>
      <x:c r="D1" s="2" t="s">
        <x:v>938</x:v>
      </x:c>
      <x:c r="E1" s="24">
        <x:v>100</x:v>
      </x:c>
      <x:c r="G1" s="2" t="s">
        <x:v>939</x:v>
      </x:c>
      <x:c r="H1" s="24">
        <x:v>60</x:v>
      </x:c>
      <x:c r="J1" s="2" t="s">
        <x:v>940</x:v>
      </x:c>
      <x:c r="K1" s="30">
        <x:v>1</x:v>
      </x:c>
      <x:c r="L1" s="30">
        <x:v>1</x:v>
      </x:c>
      <x:c r="M1" s="30">
        <x:v>1</x:v>
      </x:c>
    </x:row>
    <x:row r="3">
      <x:c r="E3" s="34" t="s">
        <x:v>943</x:v>
      </x:c>
      <x:c r="N3" s="37" t="s">
        <x:v>953</x:v>
      </x:c>
      <x:c r="W3" s="34" t="s">
        <x:v>954</x:v>
      </x:c>
      <x:c r="AF3" s="37" t="s">
        <x:v>962</x:v>
      </x:c>
    </x:row>
    <x:row r="4">
      <x:c r="A4" s="3" t="s">
        <x:v>2</x:v>
      </x:c>
      <x:c r="B4" s="3" t="s">
        <x:v>1</x:v>
      </x:c>
      <x:c r="C4" s="3" t="s">
        <x:v>941</x:v>
      </x:c>
      <x:c r="D4" s="3" t="s">
        <x:v>942</x:v>
      </x:c>
      <x:c r="E4" s="3" t="s">
        <x:v>944</x:v>
      </x:c>
      <x:c r="F4" s="3" t="s">
        <x:v>945</x:v>
      </x:c>
      <x:c r="G4" s="3" t="s">
        <x:v>946</x:v>
      </x:c>
      <x:c r="H4" s="3" t="s">
        <x:v>947</x:v>
      </x:c>
      <x:c r="I4" s="3" t="s">
        <x:v>948</x:v>
      </x:c>
      <x:c r="J4" s="3" t="s">
        <x:v>949</x:v>
      </x:c>
      <x:c r="K4" s="3" t="s">
        <x:v>950</x:v>
      </x:c>
      <x:c r="L4" s="3" t="s">
        <x:v>951</x:v>
      </x:c>
      <x:c r="M4" s="3" t="s">
        <x:v>952</x:v>
      </x:c>
      <x:c r="N4" s="3" t="s">
        <x:v>944</x:v>
      </x:c>
      <x:c r="O4" s="3" t="s">
        <x:v>945</x:v>
      </x:c>
      <x:c r="P4" s="3" t="s">
        <x:v>946</x:v>
      </x:c>
      <x:c r="Q4" s="3" t="s">
        <x:v>947</x:v>
      </x:c>
      <x:c r="R4" s="3" t="s">
        <x:v>948</x:v>
      </x:c>
      <x:c r="S4" s="3" t="s">
        <x:v>949</x:v>
      </x:c>
      <x:c r="T4" s="3" t="s">
        <x:v>950</x:v>
      </x:c>
      <x:c r="U4" s="3" t="s">
        <x:v>951</x:v>
      </x:c>
      <x:c r="V4" s="3" t="s">
        <x:v>952</x:v>
      </x:c>
      <x:c r="W4" s="3" t="s">
        <x:v>955</x:v>
      </x:c>
      <x:c r="X4" s="3" t="s">
        <x:v>956</x:v>
      </x:c>
      <x:c r="Y4" s="3" t="s">
        <x:v>946</x:v>
      </x:c>
      <x:c r="Z4" s="3" t="s">
        <x:v>947</x:v>
      </x:c>
      <x:c r="AA4" s="3" t="s">
        <x:v>957</x:v>
      </x:c>
      <x:c r="AB4" s="3" t="s">
        <x:v>958</x:v>
      </x:c>
      <x:c r="AC4" s="3" t="s">
        <x:v>959</x:v>
      </x:c>
      <x:c r="AD4" s="3" t="s">
        <x:v>960</x:v>
      </x:c>
      <x:c r="AE4" s="3" t="s">
        <x:v>961</x:v>
      </x:c>
      <x:c r="AF4" s="3" t="s">
        <x:v>963</x:v>
      </x:c>
      <x:c r="AG4" s="3" t="s">
        <x:v>947</x:v>
      </x:c>
      <x:c r="AH4" s="3" t="s">
        <x:v>964</x:v>
      </x:c>
    </x:row>
    <x:row r="5">
      <x:c r="A5" s="7"/>
      <x:c r="B5" s="7" t="s">
        <x:v>38</x:v>
      </x:c>
      <x:c r="C5" s="38" t="s">
        <x:v>37</x:v>
      </x:c>
      <x:c r="D5" s="25">
        <x:v>81</x:v>
      </x:c>
      <x:c r="E5" s="39">
        <x:v>46230</x:v>
      </x:c>
      <x:c r="F5" s="40">
        <x:v>5</x:v>
      </x:c>
      <x:c r="G5" s="41">
        <x:f>(D5-(0)+0-(F5*Ventas!AE4*0.0000))</x:f>
      </x:c>
      <x:c r="H5" s="9"/>
      <x:c r="I5" s="25">
        <x:v>6</x:v>
      </x:c>
      <x:c r="J5" s="41">
        <x:f>IF(G5&gt;0,G5+I5,I5)</x:f>
      </x:c>
      <x:c r="K5" s="9"/>
      <x:c r="L5" s="9"/>
      <x:c r="M5" s="9"/>
      <x:c r="N5" s="39">
        <x:v>46275</x:v>
      </x:c>
      <x:c r="O5" s="40">
        <x:v>45</x:v>
      </x:c>
      <x:c r="P5" s="41">
        <x:f>(IF(G5&gt;0,G5+I5,I5)-(O5*Ventas!AE4*1.0000))</x:f>
      </x:c>
      <x:c r="Q5" s="9"/>
      <x:c r="R5" s="25">
        <x:v>0</x:v>
      </x:c>
      <x:c r="S5" s="41">
        <x:f>IF(P5&gt;0,P5+R5,R5)</x:f>
      </x:c>
      <x:c r="T5" s="9"/>
      <x:c r="U5" s="9"/>
      <x:c r="V5" s="9"/>
      <x:c r="W5" s="39">
        <x:v>46331</x:v>
      </x:c>
      <x:c r="X5" s="40">
        <x:v>56</x:v>
      </x:c>
      <x:c r="Y5" s="41">
        <x:f>(IF(P5&gt;0,P5+R5,R5)-(X5*Ventas!AE4*1.0000))</x:f>
      </x:c>
      <x:c r="Z5" s="9"/>
      <x:c r="AA5" s="41">
        <x:f>(100*(Ventas!AE4*1.0000) - IF(Y5&gt;0,Y5,0))</x:f>
      </x:c>
      <x:c r="AB5" s="41">
        <x:f>IF(AA5&gt;0,AA5,0)</x:f>
      </x:c>
      <x:c r="AC5" s="41">
        <x:f>IF(Y5&gt;0,Y5+IF(AB5&gt;0,AB5,0),AB5)</x:f>
      </x:c>
      <x:c r="AD5" s="9"/>
      <x:c r="AE5" s="25">
        <x:v>3027</x:v>
      </x:c>
      <x:c r="AF5" s="9"/>
      <x:c r="AG5" s="9"/>
      <x:c r="AH5" s="7" t="s">
        <x:v>34</x:v>
      </x:c>
    </x:row>
    <x:row r="6">
      <x:c r="A6" s="7"/>
      <x:c r="B6" s="7" t="s">
        <x:v>65</x:v>
      </x:c>
      <x:c r="C6" s="38" t="s">
        <x:v>64</x:v>
      </x:c>
      <x:c r="D6" s="25">
        <x:v>14</x:v>
      </x:c>
      <x:c r="E6" s="39">
        <x:v>46230</x:v>
      </x:c>
      <x:c r="F6" s="40">
        <x:v>5</x:v>
      </x:c>
      <x:c r="G6" s="41">
        <x:f>(D6-(0)+0-(F6*Ventas!AE18*0.0000))</x:f>
      </x:c>
      <x:c r="H6" s="9"/>
      <x:c r="I6" s="25">
        <x:v>0</x:v>
      </x:c>
      <x:c r="J6" s="41">
        <x:f>IF(G6&gt;0,G6+I6,I6)</x:f>
      </x:c>
      <x:c r="K6" s="9"/>
      <x:c r="L6" s="9"/>
      <x:c r="M6" s="9"/>
      <x:c r="N6" s="39">
        <x:v>46275</x:v>
      </x:c>
      <x:c r="O6" s="40">
        <x:v>45</x:v>
      </x:c>
      <x:c r="P6" s="41">
        <x:f>(IF(G6&gt;0,G6+I6,I6)-(O6*Ventas!AE18*1.0000))</x:f>
      </x:c>
      <x:c r="Q6" s="9"/>
      <x:c r="R6" s="25">
        <x:v>0</x:v>
      </x:c>
      <x:c r="S6" s="41">
        <x:f>IF(P6&gt;0,P6+R6,R6)</x:f>
      </x:c>
      <x:c r="T6" s="9"/>
      <x:c r="U6" s="9"/>
      <x:c r="V6" s="9"/>
      <x:c r="W6" s="39">
        <x:v>46331</x:v>
      </x:c>
      <x:c r="X6" s="40">
        <x:v>56</x:v>
      </x:c>
      <x:c r="Y6" s="41">
        <x:f>(IF(P6&gt;0,P6+R6,R6)-(X6*Ventas!AE18*1.0000))</x:f>
      </x:c>
      <x:c r="Z6" s="9"/>
      <x:c r="AA6" s="41">
        <x:f>(100*(Ventas!AE18*1.0000) - IF(Y6&gt;0,Y6,0))</x:f>
      </x:c>
      <x:c r="AB6" s="41">
        <x:f>IF(AA6&gt;0,AA6,0)</x:f>
      </x:c>
      <x:c r="AC6" s="41">
        <x:f>IF(Y6&gt;0,Y6+IF(AB6&gt;0,AB6,0),AB6)</x:f>
      </x:c>
      <x:c r="AD6" s="9"/>
      <x:c r="AE6" s="25">
        <x:v>3027</x:v>
      </x:c>
      <x:c r="AF6" s="9"/>
      <x:c r="AG6" s="9"/>
      <x:c r="AH6" s="7" t="s">
        <x:v>34</x:v>
      </x:c>
    </x:row>
    <x:row r="7">
      <x:c r="A7" s="7"/>
      <x:c r="B7" s="7" t="s">
        <x:v>67</x:v>
      </x:c>
      <x:c r="C7" s="38" t="s">
        <x:v>66</x:v>
      </x:c>
      <x:c r="D7" s="9"/>
      <x:c r="E7" s="39">
        <x:v>46230</x:v>
      </x:c>
      <x:c r="F7" s="40">
        <x:v>5</x:v>
      </x:c>
      <x:c r="G7" s="41">
        <x:f>(D7-(0)+0-(F7*Ventas!AE19*0.0000))</x:f>
      </x:c>
      <x:c r="H7" s="9"/>
      <x:c r="I7" s="25">
        <x:v>0</x:v>
      </x:c>
      <x:c r="J7" s="41">
        <x:f>IF(G7&gt;0,G7+I7,I7)</x:f>
      </x:c>
      <x:c r="K7" s="9"/>
      <x:c r="L7" s="9"/>
      <x:c r="M7" s="9"/>
      <x:c r="N7" s="39">
        <x:v>46275</x:v>
      </x:c>
      <x:c r="O7" s="40">
        <x:v>45</x:v>
      </x:c>
      <x:c r="P7" s="41">
        <x:f>(IF(G7&gt;0,G7+I7,I7)-(O7*Ventas!AE19*1.0000))</x:f>
      </x:c>
      <x:c r="Q7" s="9"/>
      <x:c r="R7" s="25">
        <x:v>0</x:v>
      </x:c>
      <x:c r="S7" s="41">
        <x:f>IF(P7&gt;0,P7+R7,R7)</x:f>
      </x:c>
      <x:c r="T7" s="9"/>
      <x:c r="U7" s="9"/>
      <x:c r="V7" s="9"/>
      <x:c r="W7" s="39">
        <x:v>46331</x:v>
      </x:c>
      <x:c r="X7" s="40">
        <x:v>56</x:v>
      </x:c>
      <x:c r="Y7" s="41">
        <x:f>(IF(P7&gt;0,P7+R7,R7)-(X7*Ventas!AE19*1.0000))</x:f>
      </x:c>
      <x:c r="Z7" s="9"/>
      <x:c r="AA7" s="41">
        <x:f>(100*(Ventas!AE19*1.0000) - IF(Y7&gt;0,Y7,0))</x:f>
      </x:c>
      <x:c r="AB7" s="41">
        <x:f>IF(AA7&gt;0,AA7,0)</x:f>
      </x:c>
      <x:c r="AC7" s="41">
        <x:f>IF(Y7&gt;0,Y7+IF(AB7&gt;0,AB7,0),AB7)</x:f>
      </x:c>
      <x:c r="AD7" s="9"/>
      <x:c r="AE7" s="9"/>
      <x:c r="AF7" s="9"/>
      <x:c r="AG7" s="9"/>
      <x:c r="AH7" s="7" t="s">
        <x:v>34</x:v>
      </x:c>
    </x:row>
    <x:row r="8">
      <x:c r="A8" s="7"/>
      <x:c r="B8" s="7" t="s">
        <x:v>69</x:v>
      </x:c>
      <x:c r="C8" s="38" t="s">
        <x:v>68</x:v>
      </x:c>
      <x:c r="D8" s="25">
        <x:v>8</x:v>
      </x:c>
      <x:c r="E8" s="39">
        <x:v>46230</x:v>
      </x:c>
      <x:c r="F8" s="40">
        <x:v>5</x:v>
      </x:c>
      <x:c r="G8" s="41">
        <x:f>(D8-(0)+0-(F8*Ventas!AE20*0.0000))</x:f>
      </x:c>
      <x:c r="H8" s="9"/>
      <x:c r="I8" s="25">
        <x:v>15</x:v>
      </x:c>
      <x:c r="J8" s="41">
        <x:f>IF(G8&gt;0,G8+I8,I8)</x:f>
      </x:c>
      <x:c r="K8" s="9"/>
      <x:c r="L8" s="9"/>
      <x:c r="M8" s="9"/>
      <x:c r="N8" s="39">
        <x:v>46275</x:v>
      </x:c>
      <x:c r="O8" s="40">
        <x:v>45</x:v>
      </x:c>
      <x:c r="P8" s="41">
        <x:f>(IF(G8&gt;0,G8+I8,I8)-(O8*Ventas!AE20*1.0000))</x:f>
      </x:c>
      <x:c r="Q8" s="9"/>
      <x:c r="R8" s="25">
        <x:v>0</x:v>
      </x:c>
      <x:c r="S8" s="41">
        <x:f>IF(P8&gt;0,P8+R8,R8)</x:f>
      </x:c>
      <x:c r="T8" s="9"/>
      <x:c r="U8" s="9"/>
      <x:c r="V8" s="9"/>
      <x:c r="W8" s="39">
        <x:v>46331</x:v>
      </x:c>
      <x:c r="X8" s="40">
        <x:v>56</x:v>
      </x:c>
      <x:c r="Y8" s="41">
        <x:f>(IF(P8&gt;0,P8+R8,R8)-(X8*Ventas!AE20*1.0000))</x:f>
      </x:c>
      <x:c r="Z8" s="9"/>
      <x:c r="AA8" s="41">
        <x:f>(100*(Ventas!AE20*1.0000) - IF(Y8&gt;0,Y8,0))</x:f>
      </x:c>
      <x:c r="AB8" s="41">
        <x:f>IF(AA8&gt;0,AA8,0)</x:f>
      </x:c>
      <x:c r="AC8" s="41">
        <x:f>IF(Y8&gt;0,Y8+IF(AB8&gt;0,AB8,0),AB8)</x:f>
      </x:c>
      <x:c r="AD8" s="9"/>
      <x:c r="AE8" s="25">
        <x:v>3027</x:v>
      </x:c>
      <x:c r="AF8" s="9"/>
      <x:c r="AG8" s="9"/>
      <x:c r="AH8" s="7" t="s">
        <x:v>34</x:v>
      </x:c>
    </x:row>
    <x:row r="9">
      <x:c r="A9" s="7"/>
      <x:c r="B9" s="7" t="s">
        <x:v>71</x:v>
      </x:c>
      <x:c r="C9" s="38" t="s">
        <x:v>70</x:v>
      </x:c>
      <x:c r="D9" s="25">
        <x:v>19</x:v>
      </x:c>
      <x:c r="E9" s="39">
        <x:v>46230</x:v>
      </x:c>
      <x:c r="F9" s="40">
        <x:v>5</x:v>
      </x:c>
      <x:c r="G9" s="41">
        <x:f>(D9-(0)+0-(F9*Ventas!AE21*0.0000))</x:f>
      </x:c>
      <x:c r="H9" s="9"/>
      <x:c r="I9" s="25">
        <x:v>0</x:v>
      </x:c>
      <x:c r="J9" s="41">
        <x:f>IF(G9&gt;0,G9+I9,I9)</x:f>
      </x:c>
      <x:c r="K9" s="9"/>
      <x:c r="L9" s="9"/>
      <x:c r="M9" s="9"/>
      <x:c r="N9" s="39">
        <x:v>46275</x:v>
      </x:c>
      <x:c r="O9" s="40">
        <x:v>45</x:v>
      </x:c>
      <x:c r="P9" s="41">
        <x:f>(IF(G9&gt;0,G9+I9,I9)-(O9*Ventas!AE21*1.0000))</x:f>
      </x:c>
      <x:c r="Q9" s="9"/>
      <x:c r="R9" s="25">
        <x:v>0</x:v>
      </x:c>
      <x:c r="S9" s="41">
        <x:f>IF(P9&gt;0,P9+R9,R9)</x:f>
      </x:c>
      <x:c r="T9" s="9"/>
      <x:c r="U9" s="9"/>
      <x:c r="V9" s="9"/>
      <x:c r="W9" s="39">
        <x:v>46331</x:v>
      </x:c>
      <x:c r="X9" s="40">
        <x:v>56</x:v>
      </x:c>
      <x:c r="Y9" s="41">
        <x:f>(IF(P9&gt;0,P9+R9,R9)-(X9*Ventas!AE21*1.0000))</x:f>
      </x:c>
      <x:c r="Z9" s="9"/>
      <x:c r="AA9" s="41">
        <x:f>(100*(Ventas!AE21*1.0000) - IF(Y9&gt;0,Y9,0))</x:f>
      </x:c>
      <x:c r="AB9" s="41">
        <x:f>IF(AA9&gt;0,AA9,0)</x:f>
      </x:c>
      <x:c r="AC9" s="41">
        <x:f>IF(Y9&gt;0,Y9+IF(AB9&gt;0,AB9,0),AB9)</x:f>
      </x:c>
      <x:c r="AD9" s="9"/>
      <x:c r="AE9" s="9"/>
      <x:c r="AF9" s="9"/>
      <x:c r="AG9" s="9"/>
      <x:c r="AH9" s="7" t="s">
        <x:v>34</x:v>
      </x:c>
    </x:row>
    <x:row r="10">
      <x:c r="A10" s="7"/>
      <x:c r="B10" s="7" t="s">
        <x:v>73</x:v>
      </x:c>
      <x:c r="C10" s="38" t="s">
        <x:v>72</x:v>
      </x:c>
      <x:c r="D10" s="25">
        <x:v>16</x:v>
      </x:c>
      <x:c r="E10" s="39">
        <x:v>46230</x:v>
      </x:c>
      <x:c r="F10" s="40">
        <x:v>5</x:v>
      </x:c>
      <x:c r="G10" s="41">
        <x:f>(D10-(0)+0-(F10*Ventas!AE22*0.0000))</x:f>
      </x:c>
      <x:c r="H10" s="9"/>
      <x:c r="I10" s="25">
        <x:v>10</x:v>
      </x:c>
      <x:c r="J10" s="41">
        <x:f>IF(G10&gt;0,G10+I10,I10)</x:f>
      </x:c>
      <x:c r="K10" s="9"/>
      <x:c r="L10" s="9"/>
      <x:c r="M10" s="9"/>
      <x:c r="N10" s="39">
        <x:v>46275</x:v>
      </x:c>
      <x:c r="O10" s="40">
        <x:v>45</x:v>
      </x:c>
      <x:c r="P10" s="41">
        <x:f>(IF(G10&gt;0,G10+I10,I10)-(O10*Ventas!AE22*1.0000))</x:f>
      </x:c>
      <x:c r="Q10" s="9"/>
      <x:c r="R10" s="25">
        <x:v>0</x:v>
      </x:c>
      <x:c r="S10" s="41">
        <x:f>IF(P10&gt;0,P10+R10,R10)</x:f>
      </x:c>
      <x:c r="T10" s="9"/>
      <x:c r="U10" s="9"/>
      <x:c r="V10" s="9"/>
      <x:c r="W10" s="39">
        <x:v>46331</x:v>
      </x:c>
      <x:c r="X10" s="40">
        <x:v>56</x:v>
      </x:c>
      <x:c r="Y10" s="41">
        <x:f>(IF(P10&gt;0,P10+R10,R10)-(X10*Ventas!AE22*1.0000))</x:f>
      </x:c>
      <x:c r="Z10" s="9"/>
      <x:c r="AA10" s="41">
        <x:f>(100*(Ventas!AE22*1.0000) - IF(Y10&gt;0,Y10,0))</x:f>
      </x:c>
      <x:c r="AB10" s="41">
        <x:f>IF(AA10&gt;0,AA10,0)</x:f>
      </x:c>
      <x:c r="AC10" s="41">
        <x:f>IF(Y10&gt;0,Y10+IF(AB10&gt;0,AB10,0),AB10)</x:f>
      </x:c>
      <x:c r="AD10" s="9"/>
      <x:c r="AE10" s="25">
        <x:v>3027</x:v>
      </x:c>
      <x:c r="AF10" s="9"/>
      <x:c r="AG10" s="9"/>
      <x:c r="AH10" s="7" t="s">
        <x:v>34</x:v>
      </x:c>
    </x:row>
    <x:row r="11">
      <x:c r="A11" s="7"/>
      <x:c r="B11" s="7" t="s">
        <x:v>75</x:v>
      </x:c>
      <x:c r="C11" s="38" t="s">
        <x:v>74</x:v>
      </x:c>
      <x:c r="D11" s="25">
        <x:v>13</x:v>
      </x:c>
      <x:c r="E11" s="39">
        <x:v>46230</x:v>
      </x:c>
      <x:c r="F11" s="40">
        <x:v>5</x:v>
      </x:c>
      <x:c r="G11" s="41">
        <x:f>(D11-(0)+0-(F11*Ventas!AE23*0.0000))</x:f>
      </x:c>
      <x:c r="H11" s="9"/>
      <x:c r="I11" s="25">
        <x:v>10</x:v>
      </x:c>
      <x:c r="J11" s="41">
        <x:f>IF(G11&gt;0,G11+I11,I11)</x:f>
      </x:c>
      <x:c r="K11" s="9"/>
      <x:c r="L11" s="9"/>
      <x:c r="M11" s="9"/>
      <x:c r="N11" s="39">
        <x:v>46275</x:v>
      </x:c>
      <x:c r="O11" s="40">
        <x:v>45</x:v>
      </x:c>
      <x:c r="P11" s="41">
        <x:f>(IF(G11&gt;0,G11+I11,I11)-(O11*Ventas!AE23*1.0000))</x:f>
      </x:c>
      <x:c r="Q11" s="9"/>
      <x:c r="R11" s="25">
        <x:v>0</x:v>
      </x:c>
      <x:c r="S11" s="41">
        <x:f>IF(P11&gt;0,P11+R11,R11)</x:f>
      </x:c>
      <x:c r="T11" s="9"/>
      <x:c r="U11" s="9"/>
      <x:c r="V11" s="9"/>
      <x:c r="W11" s="39">
        <x:v>46331</x:v>
      </x:c>
      <x:c r="X11" s="40">
        <x:v>56</x:v>
      </x:c>
      <x:c r="Y11" s="41">
        <x:f>(IF(P11&gt;0,P11+R11,R11)-(X11*Ventas!AE23*1.0000))</x:f>
      </x:c>
      <x:c r="Z11" s="9"/>
      <x:c r="AA11" s="41">
        <x:f>(100*(Ventas!AE23*1.0000) - IF(Y11&gt;0,Y11,0))</x:f>
      </x:c>
      <x:c r="AB11" s="41">
        <x:f>IF(AA11&gt;0,AA11,0)</x:f>
      </x:c>
      <x:c r="AC11" s="41">
        <x:f>IF(Y11&gt;0,Y11+IF(AB11&gt;0,AB11,0),AB11)</x:f>
      </x:c>
      <x:c r="AD11" s="9"/>
      <x:c r="AE11" s="25">
        <x:v>3027</x:v>
      </x:c>
      <x:c r="AF11" s="9"/>
      <x:c r="AG11" s="9"/>
      <x:c r="AH11" s="7" t="s">
        <x:v>34</x:v>
      </x:c>
    </x:row>
    <x:row r="12">
      <x:c r="A12" s="7"/>
      <x:c r="B12" s="7" t="s">
        <x:v>77</x:v>
      </x:c>
      <x:c r="C12" s="38" t="s">
        <x:v>76</x:v>
      </x:c>
      <x:c r="D12" s="25">
        <x:v>10</x:v>
      </x:c>
      <x:c r="E12" s="39">
        <x:v>46230</x:v>
      </x:c>
      <x:c r="F12" s="40">
        <x:v>5</x:v>
      </x:c>
      <x:c r="G12" s="41">
        <x:f>(D12-(0)+0-(F12*Ventas!AE24*0.0000))</x:f>
      </x:c>
      <x:c r="H12" s="9"/>
      <x:c r="I12" s="25">
        <x:v>0</x:v>
      </x:c>
      <x:c r="J12" s="41">
        <x:f>IF(G12&gt;0,G12+I12,I12)</x:f>
      </x:c>
      <x:c r="K12" s="9"/>
      <x:c r="L12" s="9"/>
      <x:c r="M12" s="9"/>
      <x:c r="N12" s="39">
        <x:v>46275</x:v>
      </x:c>
      <x:c r="O12" s="40">
        <x:v>45</x:v>
      </x:c>
      <x:c r="P12" s="41">
        <x:f>(IF(G12&gt;0,G12+I12,I12)-(O12*Ventas!AE24*1.0000))</x:f>
      </x:c>
      <x:c r="Q12" s="9"/>
      <x:c r="R12" s="25">
        <x:v>0</x:v>
      </x:c>
      <x:c r="S12" s="41">
        <x:f>IF(P12&gt;0,P12+R12,R12)</x:f>
      </x:c>
      <x:c r="T12" s="9"/>
      <x:c r="U12" s="9"/>
      <x:c r="V12" s="9"/>
      <x:c r="W12" s="39">
        <x:v>46331</x:v>
      </x:c>
      <x:c r="X12" s="40">
        <x:v>56</x:v>
      </x:c>
      <x:c r="Y12" s="41">
        <x:f>(IF(P12&gt;0,P12+R12,R12)-(X12*Ventas!AE24*1.0000))</x:f>
      </x:c>
      <x:c r="Z12" s="9"/>
      <x:c r="AA12" s="41">
        <x:f>(100*(Ventas!AE24*1.0000) - IF(Y12&gt;0,Y12,0))</x:f>
      </x:c>
      <x:c r="AB12" s="41">
        <x:f>IF(AA12&gt;0,AA12,0)</x:f>
      </x:c>
      <x:c r="AC12" s="41">
        <x:f>IF(Y12&gt;0,Y12+IF(AB12&gt;0,AB12,0),AB12)</x:f>
      </x:c>
      <x:c r="AD12" s="9"/>
      <x:c r="AE12" s="25">
        <x:v>3027</x:v>
      </x:c>
      <x:c r="AF12" s="9"/>
      <x:c r="AG12" s="9"/>
      <x:c r="AH12" s="7" t="s">
        <x:v>34</x:v>
      </x:c>
    </x:row>
    <x:row r="13">
      <x:c r="A13" s="7"/>
      <x:c r="B13" s="7" t="s">
        <x:v>79</x:v>
      </x:c>
      <x:c r="C13" s="38" t="s">
        <x:v>78</x:v>
      </x:c>
      <x:c r="D13" s="25">
        <x:v>17</x:v>
      </x:c>
      <x:c r="E13" s="39">
        <x:v>46230</x:v>
      </x:c>
      <x:c r="F13" s="40">
        <x:v>5</x:v>
      </x:c>
      <x:c r="G13" s="41">
        <x:f>(D13-(0)+0-(F13*Ventas!AE25*0.0000))</x:f>
      </x:c>
      <x:c r="H13" s="9"/>
      <x:c r="I13" s="25">
        <x:v>0</x:v>
      </x:c>
      <x:c r="J13" s="41">
        <x:f>IF(G13&gt;0,G13+I13,I13)</x:f>
      </x:c>
      <x:c r="K13" s="9"/>
      <x:c r="L13" s="9"/>
      <x:c r="M13" s="9"/>
      <x:c r="N13" s="39">
        <x:v>46275</x:v>
      </x:c>
      <x:c r="O13" s="40">
        <x:v>45</x:v>
      </x:c>
      <x:c r="P13" s="41">
        <x:f>(IF(G13&gt;0,G13+I13,I13)-(O13*Ventas!AE25*1.0000))</x:f>
      </x:c>
      <x:c r="Q13" s="9"/>
      <x:c r="R13" s="25">
        <x:v>0</x:v>
      </x:c>
      <x:c r="S13" s="41">
        <x:f>IF(P13&gt;0,P13+R13,R13)</x:f>
      </x:c>
      <x:c r="T13" s="9"/>
      <x:c r="U13" s="9"/>
      <x:c r="V13" s="9"/>
      <x:c r="W13" s="39">
        <x:v>46331</x:v>
      </x:c>
      <x:c r="X13" s="40">
        <x:v>56</x:v>
      </x:c>
      <x:c r="Y13" s="41">
        <x:f>(IF(P13&gt;0,P13+R13,R13)-(X13*Ventas!AE25*1.0000))</x:f>
      </x:c>
      <x:c r="Z13" s="9"/>
      <x:c r="AA13" s="41">
        <x:f>(100*(Ventas!AE25*1.0000) - IF(Y13&gt;0,Y13,0))</x:f>
      </x:c>
      <x:c r="AB13" s="41">
        <x:f>IF(AA13&gt;0,AA13,0)</x:f>
      </x:c>
      <x:c r="AC13" s="41">
        <x:f>IF(Y13&gt;0,Y13+IF(AB13&gt;0,AB13,0),AB13)</x:f>
      </x:c>
      <x:c r="AD13" s="9"/>
      <x:c r="AE13" s="9"/>
      <x:c r="AF13" s="9"/>
      <x:c r="AG13" s="9"/>
      <x:c r="AH13" s="7" t="s">
        <x:v>34</x:v>
      </x:c>
    </x:row>
    <x:row r="14">
      <x:c r="A14" s="7"/>
      <x:c r="B14" s="7" t="s">
        <x:v>81</x:v>
      </x:c>
      <x:c r="C14" s="38" t="s">
        <x:v>80</x:v>
      </x:c>
      <x:c r="D14" s="9"/>
      <x:c r="E14" s="39">
        <x:v>46230</x:v>
      </x:c>
      <x:c r="F14" s="40">
        <x:v>5</x:v>
      </x:c>
      <x:c r="G14" s="41">
        <x:f>(D14-(0)+0-(F14*Ventas!AE26*0.0000))</x:f>
      </x:c>
      <x:c r="H14" s="9"/>
      <x:c r="I14" s="25">
        <x:v>0</x:v>
      </x:c>
      <x:c r="J14" s="41">
        <x:f>IF(G14&gt;0,G14+I14,I14)</x:f>
      </x:c>
      <x:c r="K14" s="9"/>
      <x:c r="L14" s="9"/>
      <x:c r="M14" s="9"/>
      <x:c r="N14" s="39">
        <x:v>46275</x:v>
      </x:c>
      <x:c r="O14" s="40">
        <x:v>45</x:v>
      </x:c>
      <x:c r="P14" s="41">
        <x:f>(IF(G14&gt;0,G14+I14,I14)-(O14*Ventas!AE26*1.0000))</x:f>
      </x:c>
      <x:c r="Q14" s="9"/>
      <x:c r="R14" s="25">
        <x:v>5</x:v>
      </x:c>
      <x:c r="S14" s="41">
        <x:f>IF(P14&gt;0,P14+R14,R14)</x:f>
      </x:c>
      <x:c r="T14" s="9"/>
      <x:c r="U14" s="9"/>
      <x:c r="V14" s="9"/>
      <x:c r="W14" s="39">
        <x:v>46331</x:v>
      </x:c>
      <x:c r="X14" s="40">
        <x:v>56</x:v>
      </x:c>
      <x:c r="Y14" s="41">
        <x:f>(IF(P14&gt;0,P14+R14,R14)-(X14*Ventas!AE26*1.0000))</x:f>
      </x:c>
      <x:c r="Z14" s="9"/>
      <x:c r="AA14" s="41">
        <x:f>(100*(Ventas!AE26*1.0000) - IF(Y14&gt;0,Y14,0))</x:f>
      </x:c>
      <x:c r="AB14" s="41">
        <x:f>IF(AA14&gt;0,AA14,0)</x:f>
      </x:c>
      <x:c r="AC14" s="41">
        <x:f>IF(Y14&gt;0,Y14+IF(AB14&gt;0,AB14,0),AB14)</x:f>
      </x:c>
      <x:c r="AD14" s="9"/>
      <x:c r="AE14" s="9"/>
      <x:c r="AF14" s="9"/>
      <x:c r="AG14" s="9"/>
      <x:c r="AH14" s="7" t="s">
        <x:v>34</x:v>
      </x:c>
    </x:row>
    <x:row r="15">
      <x:c r="A15" s="7"/>
      <x:c r="B15" s="7" t="s">
        <x:v>83</x:v>
      </x:c>
      <x:c r="C15" s="38" t="s">
        <x:v>82</x:v>
      </x:c>
      <x:c r="D15" s="9"/>
      <x:c r="E15" s="39">
        <x:v>46230</x:v>
      </x:c>
      <x:c r="F15" s="40">
        <x:v>5</x:v>
      </x:c>
      <x:c r="G15" s="41">
        <x:f>(D15-(0)+0-(F15*Ventas!AE27*0.0000))</x:f>
      </x:c>
      <x:c r="H15" s="9"/>
      <x:c r="I15" s="25">
        <x:v>0</x:v>
      </x:c>
      <x:c r="J15" s="41">
        <x:f>IF(G15&gt;0,G15+I15,I15)</x:f>
      </x:c>
      <x:c r="K15" s="9"/>
      <x:c r="L15" s="9"/>
      <x:c r="M15" s="9"/>
      <x:c r="N15" s="39">
        <x:v>46275</x:v>
      </x:c>
      <x:c r="O15" s="40">
        <x:v>45</x:v>
      </x:c>
      <x:c r="P15" s="41">
        <x:f>(IF(G15&gt;0,G15+I15,I15)-(O15*Ventas!AE27*1.0000))</x:f>
      </x:c>
      <x:c r="Q15" s="9"/>
      <x:c r="R15" s="25">
        <x:v>0</x:v>
      </x:c>
      <x:c r="S15" s="41">
        <x:f>IF(P15&gt;0,P15+R15,R15)</x:f>
      </x:c>
      <x:c r="T15" s="9"/>
      <x:c r="U15" s="9"/>
      <x:c r="V15" s="9"/>
      <x:c r="W15" s="39">
        <x:v>46331</x:v>
      </x:c>
      <x:c r="X15" s="40">
        <x:v>56</x:v>
      </x:c>
      <x:c r="Y15" s="41">
        <x:f>(IF(P15&gt;0,P15+R15,R15)-(X15*Ventas!AE27*1.0000))</x:f>
      </x:c>
      <x:c r="Z15" s="9"/>
      <x:c r="AA15" s="41">
        <x:f>(100*(Ventas!AE27*1.0000) - IF(Y15&gt;0,Y15,0))</x:f>
      </x:c>
      <x:c r="AB15" s="41">
        <x:f>IF(AA15&gt;0,AA15,0)</x:f>
      </x:c>
      <x:c r="AC15" s="41">
        <x:f>IF(Y15&gt;0,Y15+IF(AB15&gt;0,AB15,0),AB15)</x:f>
      </x:c>
      <x:c r="AD15" s="9"/>
      <x:c r="AE15" s="9"/>
      <x:c r="AF15" s="9"/>
      <x:c r="AG15" s="9"/>
      <x:c r="AH15" s="7" t="s">
        <x:v>34</x:v>
      </x:c>
    </x:row>
    <x:row r="16">
      <x:c r="A16" s="7"/>
      <x:c r="B16" s="7" t="s">
        <x:v>85</x:v>
      </x:c>
      <x:c r="C16" s="38" t="s">
        <x:v>84</x:v>
      </x:c>
      <x:c r="D16" s="9"/>
      <x:c r="E16" s="39">
        <x:v>46230</x:v>
      </x:c>
      <x:c r="F16" s="40">
        <x:v>5</x:v>
      </x:c>
      <x:c r="G16" s="41">
        <x:f>(D16-(0)+0-(F16*Ventas!AE28*0.0000))</x:f>
      </x:c>
      <x:c r="H16" s="9"/>
      <x:c r="I16" s="25">
        <x:v>0</x:v>
      </x:c>
      <x:c r="J16" s="41">
        <x:f>IF(G16&gt;0,G16+I16,I16)</x:f>
      </x:c>
      <x:c r="K16" s="9"/>
      <x:c r="L16" s="9"/>
      <x:c r="M16" s="9"/>
      <x:c r="N16" s="39">
        <x:v>46275</x:v>
      </x:c>
      <x:c r="O16" s="40">
        <x:v>45</x:v>
      </x:c>
      <x:c r="P16" s="41">
        <x:f>(IF(G16&gt;0,G16+I16,I16)-(O16*Ventas!AE28*1.0000))</x:f>
      </x:c>
      <x:c r="Q16" s="9"/>
      <x:c r="R16" s="25">
        <x:v>0</x:v>
      </x:c>
      <x:c r="S16" s="41">
        <x:f>IF(P16&gt;0,P16+R16,R16)</x:f>
      </x:c>
      <x:c r="T16" s="9"/>
      <x:c r="U16" s="9"/>
      <x:c r="V16" s="9"/>
      <x:c r="W16" s="39">
        <x:v>46331</x:v>
      </x:c>
      <x:c r="X16" s="40">
        <x:v>56</x:v>
      </x:c>
      <x:c r="Y16" s="41">
        <x:f>(IF(P16&gt;0,P16+R16,R16)-(X16*Ventas!AE28*1.0000))</x:f>
      </x:c>
      <x:c r="Z16" s="9"/>
      <x:c r="AA16" s="41">
        <x:f>(100*(Ventas!AE28*1.0000) - IF(Y16&gt;0,Y16,0))</x:f>
      </x:c>
      <x:c r="AB16" s="41">
        <x:f>IF(AA16&gt;0,AA16,0)</x:f>
      </x:c>
      <x:c r="AC16" s="41">
        <x:f>IF(Y16&gt;0,Y16+IF(AB16&gt;0,AB16,0),AB16)</x:f>
      </x:c>
      <x:c r="AD16" s="9"/>
      <x:c r="AE16" s="9"/>
      <x:c r="AF16" s="9"/>
      <x:c r="AG16" s="9"/>
      <x:c r="AH16" s="7" t="s">
        <x:v>34</x:v>
      </x:c>
    </x:row>
    <x:row r="17">
      <x:c r="A17" s="7"/>
      <x:c r="B17" s="7" t="s">
        <x:v>87</x:v>
      </x:c>
      <x:c r="C17" s="38" t="s">
        <x:v>86</x:v>
      </x:c>
      <x:c r="D17" s="25">
        <x:v>12</x:v>
      </x:c>
      <x:c r="E17" s="39">
        <x:v>46230</x:v>
      </x:c>
      <x:c r="F17" s="40">
        <x:v>5</x:v>
      </x:c>
      <x:c r="G17" s="41">
        <x:f>(D17-(0)+0-(F17*Ventas!AE29*0.0000))</x:f>
      </x:c>
      <x:c r="H17" s="9"/>
      <x:c r="I17" s="25">
        <x:v>0</x:v>
      </x:c>
      <x:c r="J17" s="41">
        <x:f>IF(G17&gt;0,G17+I17,I17)</x:f>
      </x:c>
      <x:c r="K17" s="9"/>
      <x:c r="L17" s="9"/>
      <x:c r="M17" s="9"/>
      <x:c r="N17" s="39">
        <x:v>46275</x:v>
      </x:c>
      <x:c r="O17" s="40">
        <x:v>45</x:v>
      </x:c>
      <x:c r="P17" s="41">
        <x:f>(IF(G17&gt;0,G17+I17,I17)-(O17*Ventas!AE29*1.0000))</x:f>
      </x:c>
      <x:c r="Q17" s="9"/>
      <x:c r="R17" s="25">
        <x:v>0</x:v>
      </x:c>
      <x:c r="S17" s="41">
        <x:f>IF(P17&gt;0,P17+R17,R17)</x:f>
      </x:c>
      <x:c r="T17" s="9"/>
      <x:c r="U17" s="9"/>
      <x:c r="V17" s="9"/>
      <x:c r="W17" s="39">
        <x:v>46331</x:v>
      </x:c>
      <x:c r="X17" s="40">
        <x:v>56</x:v>
      </x:c>
      <x:c r="Y17" s="41">
        <x:f>(IF(P17&gt;0,P17+R17,R17)-(X17*Ventas!AE29*1.0000))</x:f>
      </x:c>
      <x:c r="Z17" s="9"/>
      <x:c r="AA17" s="41">
        <x:f>(100*(Ventas!AE29*1.0000) - IF(Y17&gt;0,Y17,0))</x:f>
      </x:c>
      <x:c r="AB17" s="41">
        <x:f>IF(AA17&gt;0,AA17,0)</x:f>
      </x:c>
      <x:c r="AC17" s="41">
        <x:f>IF(Y17&gt;0,Y17+IF(AB17&gt;0,AB17,0),AB17)</x:f>
      </x:c>
      <x:c r="AD17" s="9"/>
      <x:c r="AE17" s="9"/>
      <x:c r="AF17" s="9"/>
      <x:c r="AG17" s="9"/>
      <x:c r="AH17" s="7" t="s">
        <x:v>34</x:v>
      </x:c>
    </x:row>
    <x:row r="18">
      <x:c r="A18" s="7"/>
      <x:c r="B18" s="7" t="s">
        <x:v>91</x:v>
      </x:c>
      <x:c r="C18" s="38" t="s">
        <x:v>90</x:v>
      </x:c>
      <x:c r="D18" s="25">
        <x:v>45</x:v>
      </x:c>
      <x:c r="E18" s="39">
        <x:v>46230</x:v>
      </x:c>
      <x:c r="F18" s="40">
        <x:v>5</x:v>
      </x:c>
      <x:c r="G18" s="41">
        <x:f>(D18-(0)+0-(F18*Ventas!AE31*0.0000))</x:f>
      </x:c>
      <x:c r="H18" s="9"/>
      <x:c r="I18" s="25">
        <x:v>0</x:v>
      </x:c>
      <x:c r="J18" s="41">
        <x:f>IF(G18&gt;0,G18+I18,I18)</x:f>
      </x:c>
      <x:c r="K18" s="9"/>
      <x:c r="L18" s="9"/>
      <x:c r="M18" s="9"/>
      <x:c r="N18" s="39">
        <x:v>46275</x:v>
      </x:c>
      <x:c r="O18" s="40">
        <x:v>45</x:v>
      </x:c>
      <x:c r="P18" s="41">
        <x:f>(IF(G18&gt;0,G18+I18,I18)-(O18*Ventas!AE31*1.0000))</x:f>
      </x:c>
      <x:c r="Q18" s="9"/>
      <x:c r="R18" s="25">
        <x:v>0</x:v>
      </x:c>
      <x:c r="S18" s="41">
        <x:f>IF(P18&gt;0,P18+R18,R18)</x:f>
      </x:c>
      <x:c r="T18" s="9"/>
      <x:c r="U18" s="9"/>
      <x:c r="V18" s="9"/>
      <x:c r="W18" s="39">
        <x:v>46331</x:v>
      </x:c>
      <x:c r="X18" s="40">
        <x:v>56</x:v>
      </x:c>
      <x:c r="Y18" s="41">
        <x:f>(IF(P18&gt;0,P18+R18,R18)-(X18*Ventas!AE31*1.0000))</x:f>
      </x:c>
      <x:c r="Z18" s="9"/>
      <x:c r="AA18" s="41">
        <x:f>(100*(Ventas!AE31*1.0000) - IF(Y18&gt;0,Y18,0))</x:f>
      </x:c>
      <x:c r="AB18" s="41">
        <x:f>IF(AA18&gt;0,AA18,0)</x:f>
      </x:c>
      <x:c r="AC18" s="41">
        <x:f>IF(Y18&gt;0,Y18+IF(AB18&gt;0,AB18,0),AB18)</x:f>
      </x:c>
      <x:c r="AD18" s="9"/>
      <x:c r="AE18" s="25">
        <x:v>3010</x:v>
      </x:c>
      <x:c r="AF18" s="9"/>
      <x:c r="AG18" s="9"/>
      <x:c r="AH18" s="7" t="s">
        <x:v>34</x:v>
      </x:c>
    </x:row>
    <x:row r="19">
      <x:c r="A19" s="7"/>
      <x:c r="B19" s="7" t="s">
        <x:v>99</x:v>
      </x:c>
      <x:c r="C19" s="38" t="s">
        <x:v>98</x:v>
      </x:c>
      <x:c r="D19" s="9"/>
      <x:c r="E19" s="39">
        <x:v>46230</x:v>
      </x:c>
      <x:c r="F19" s="40">
        <x:v>5</x:v>
      </x:c>
      <x:c r="G19" s="41">
        <x:f>(D19-(0)+0-(F19*Ventas!AE35*0.0000))</x:f>
      </x:c>
      <x:c r="H19" s="9"/>
      <x:c r="I19" s="25">
        <x:v>0</x:v>
      </x:c>
      <x:c r="J19" s="41">
        <x:f>IF(G19&gt;0,G19+I19,I19)</x:f>
      </x:c>
      <x:c r="K19" s="9"/>
      <x:c r="L19" s="9"/>
      <x:c r="M19" s="9"/>
      <x:c r="N19" s="39">
        <x:v>46275</x:v>
      </x:c>
      <x:c r="O19" s="40">
        <x:v>45</x:v>
      </x:c>
      <x:c r="P19" s="41">
        <x:f>(IF(G19&gt;0,G19+I19,I19)-(O19*Ventas!AE35*1.0000))</x:f>
      </x:c>
      <x:c r="Q19" s="9"/>
      <x:c r="R19" s="25">
        <x:v>4</x:v>
      </x:c>
      <x:c r="S19" s="41">
        <x:f>IF(P19&gt;0,P19+R19,R19)</x:f>
      </x:c>
      <x:c r="T19" s="9"/>
      <x:c r="U19" s="9"/>
      <x:c r="V19" s="9"/>
      <x:c r="W19" s="39">
        <x:v>46331</x:v>
      </x:c>
      <x:c r="X19" s="40">
        <x:v>56</x:v>
      </x:c>
      <x:c r="Y19" s="41">
        <x:f>(IF(P19&gt;0,P19+R19,R19)-(X19*Ventas!AE35*1.0000))</x:f>
      </x:c>
      <x:c r="Z19" s="9"/>
      <x:c r="AA19" s="41">
        <x:f>(100*(Ventas!AE35*1.0000) - IF(Y19&gt;0,Y19,0))</x:f>
      </x:c>
      <x:c r="AB19" s="41">
        <x:f>IF(AA19&gt;0,AA19,0)</x:f>
      </x:c>
      <x:c r="AC19" s="41">
        <x:f>IF(Y19&gt;0,Y19+IF(AB19&gt;0,AB19,0),AB19)</x:f>
      </x:c>
      <x:c r="AD19" s="9"/>
      <x:c r="AE19" s="9"/>
      <x:c r="AF19" s="9"/>
      <x:c r="AG19" s="9"/>
      <x:c r="AH19" s="7" t="s">
        <x:v>34</x:v>
      </x:c>
    </x:row>
    <x:row r="20">
      <x:c r="A20" s="7"/>
      <x:c r="B20" s="7" t="s">
        <x:v>33</x:v>
      </x:c>
      <x:c r="C20" s="38" t="s">
        <x:v>32</x:v>
      </x:c>
      <x:c r="D20" s="9"/>
      <x:c r="E20" s="39">
        <x:v>46230</x:v>
      </x:c>
      <x:c r="F20" s="40">
        <x:v>5</x:v>
      </x:c>
      <x:c r="G20" s="41">
        <x:f>(D20-(0)+0-(F20*Ventas!AE2*0.0000))</x:f>
      </x:c>
      <x:c r="H20" s="9"/>
      <x:c r="I20" s="25">
        <x:v>0</x:v>
      </x:c>
      <x:c r="J20" s="41">
        <x:f>IF(G20&gt;0,G20+I20,I20)</x:f>
      </x:c>
      <x:c r="K20" s="9"/>
      <x:c r="L20" s="9"/>
      <x:c r="M20" s="9"/>
      <x:c r="N20" s="39">
        <x:v>46275</x:v>
      </x:c>
      <x:c r="O20" s="40">
        <x:v>45</x:v>
      </x:c>
      <x:c r="P20" s="41">
        <x:f>(IF(G20&gt;0,G20+I20,I20)-(O20*Ventas!AE2*1.0000))</x:f>
      </x:c>
      <x:c r="Q20" s="9"/>
      <x:c r="R20" s="25">
        <x:v>0</x:v>
      </x:c>
      <x:c r="S20" s="41">
        <x:f>IF(P20&gt;0,P20+R20,R20)</x:f>
      </x:c>
      <x:c r="T20" s="9"/>
      <x:c r="U20" s="9"/>
      <x:c r="V20" s="9"/>
      <x:c r="W20" s="39">
        <x:v>46331</x:v>
      </x:c>
      <x:c r="X20" s="40">
        <x:v>56</x:v>
      </x:c>
      <x:c r="Y20" s="41">
        <x:f>(IF(P20&gt;0,P20+R20,R20)-(X20*Ventas!AE2*1.0000))</x:f>
      </x:c>
      <x:c r="Z20" s="9"/>
      <x:c r="AA20" s="41">
        <x:f>(100*(Ventas!AE2*1.0000) - IF(Y20&gt;0,Y20,0))</x:f>
      </x:c>
      <x:c r="AB20" s="41">
        <x:f>IF(AA20&gt;0,AA20,0)</x:f>
      </x:c>
      <x:c r="AC20" s="41">
        <x:f>IF(Y20&gt;0,Y20+IF(AB20&gt;0,AB20,0),AB20)</x:f>
      </x:c>
      <x:c r="AD20" s="9"/>
      <x:c r="AE20" s="9"/>
      <x:c r="AF20" s="9"/>
      <x:c r="AG20" s="9"/>
      <x:c r="AH20" s="7" t="s">
        <x:v>34</x:v>
      </x:c>
    </x:row>
    <x:row r="21">
      <x:c r="A21" s="7"/>
      <x:c r="B21" s="7" t="s">
        <x:v>36</x:v>
      </x:c>
      <x:c r="C21" s="38" t="s">
        <x:v>35</x:v>
      </x:c>
      <x:c r="D21" s="9"/>
      <x:c r="E21" s="39">
        <x:v>46230</x:v>
      </x:c>
      <x:c r="F21" s="40">
        <x:v>5</x:v>
      </x:c>
      <x:c r="G21" s="41">
        <x:f>(D21-(0)+0-(F21*Ventas!AE3*0.0000))</x:f>
      </x:c>
      <x:c r="H21" s="9"/>
      <x:c r="I21" s="25">
        <x:v>309</x:v>
      </x:c>
      <x:c r="J21" s="41">
        <x:f>IF(G21&gt;0,G21+I21,I21)</x:f>
      </x:c>
      <x:c r="K21" s="9"/>
      <x:c r="L21" s="9"/>
      <x:c r="M21" s="9"/>
      <x:c r="N21" s="39">
        <x:v>46275</x:v>
      </x:c>
      <x:c r="O21" s="40">
        <x:v>45</x:v>
      </x:c>
      <x:c r="P21" s="41">
        <x:f>(IF(G21&gt;0,G21+I21,I21)-(O21*Ventas!AE3*1.0000))</x:f>
      </x:c>
      <x:c r="Q21" s="9"/>
      <x:c r="R21" s="25">
        <x:v>0</x:v>
      </x:c>
      <x:c r="S21" s="41">
        <x:f>IF(P21&gt;0,P21+R21,R21)</x:f>
      </x:c>
      <x:c r="T21" s="9"/>
      <x:c r="U21" s="9"/>
      <x:c r="V21" s="9"/>
      <x:c r="W21" s="39">
        <x:v>46331</x:v>
      </x:c>
      <x:c r="X21" s="40">
        <x:v>56</x:v>
      </x:c>
      <x:c r="Y21" s="41">
        <x:f>(IF(P21&gt;0,P21+R21,R21)-(X21*Ventas!AE3*1.0000))</x:f>
      </x:c>
      <x:c r="Z21" s="9"/>
      <x:c r="AA21" s="41">
        <x:f>(100*(Ventas!AE3*1.0000) - IF(Y21&gt;0,Y21,0))</x:f>
      </x:c>
      <x:c r="AB21" s="41">
        <x:f>IF(AA21&gt;0,AA21,0)</x:f>
      </x:c>
      <x:c r="AC21" s="41">
        <x:f>IF(Y21&gt;0,Y21+IF(AB21&gt;0,AB21,0),AB21)</x:f>
      </x:c>
      <x:c r="AD21" s="9"/>
      <x:c r="AE21" s="25">
        <x:v>3027</x:v>
      </x:c>
      <x:c r="AF21" s="9"/>
      <x:c r="AG21" s="9"/>
      <x:c r="AH21" s="7" t="s">
        <x:v>34</x:v>
      </x:c>
    </x:row>
    <x:row r="22">
      <x:c r="A22" s="7"/>
      <x:c r="B22" s="7" t="s">
        <x:v>214</x:v>
      </x:c>
      <x:c r="C22" s="38" t="s">
        <x:v>213</x:v>
      </x:c>
      <x:c r="D22" s="9"/>
      <x:c r="E22" s="39">
        <x:v>46230</x:v>
      </x:c>
      <x:c r="F22" s="40">
        <x:v>5</x:v>
      </x:c>
      <x:c r="G22" s="41">
        <x:f>(D22-(0)+0-(F22*Ventas!AE94*0.0000))</x:f>
      </x:c>
      <x:c r="H22" s="43">
        <x:f>(G22/(Ventas!AE94*0.0000)/0)</x:f>
      </x:c>
      <x:c r="I22" s="25">
        <x:v>0</x:v>
      </x:c>
      <x:c r="J22" s="41">
        <x:f>IF(G22&gt;0,G22+I22,I22)</x:f>
      </x:c>
      <x:c r="K22" s="9"/>
      <x:c r="L22" s="41">
        <x:v>112</x:v>
      </x:c>
      <x:c r="M22" s="45">
        <x:v>0.000641</x:v>
      </x:c>
      <x:c r="N22" s="39">
        <x:v>46275</x:v>
      </x:c>
      <x:c r="O22" s="40">
        <x:v>45</x:v>
      </x:c>
      <x:c r="P22" s="41">
        <x:f>(IF(G22&gt;0,G22+I22,I22)-(O22*Ventas!AE94*1.0000))</x:f>
      </x:c>
      <x:c r="Q22" s="43">
        <x:f>(P22/(Ventas!AE94*1.0000)/0)</x:f>
      </x:c>
      <x:c r="R22" s="25">
        <x:v>0</x:v>
      </x:c>
      <x:c r="S22" s="41">
        <x:f>IF(P22&gt;0,P22+R22,R22)</x:f>
      </x:c>
      <x:c r="T22" s="9"/>
      <x:c r="U22" s="41">
        <x:v>112</x:v>
      </x:c>
      <x:c r="V22" s="45">
        <x:v>0.000641</x:v>
      </x:c>
      <x:c r="W22" s="39">
        <x:v>46331</x:v>
      </x:c>
      <x:c r="X22" s="40">
        <x:v>56</x:v>
      </x:c>
      <x:c r="Y22" s="41">
        <x:f>(IF(P22&gt;0,P22+R22,R22)-(X22*Ventas!AE94*1.0000))</x:f>
      </x:c>
      <x:c r="Z22" s="43">
        <x:f>(Y22/(Ventas!AE94*1.0000)/0)</x:f>
      </x:c>
      <x:c r="AA22" s="41">
        <x:f>(100*(Ventas!AE94*1.0000) - IF(Y22&gt;0,Y22,0))</x:f>
      </x:c>
      <x:c r="AB22" s="41">
        <x:f>IF(AA22&gt;0,AA22,0)</x:f>
      </x:c>
      <x:c r="AC22" s="41">
        <x:f>IF(Y22&gt;0,Y22+IF(AB22&gt;0,AB22,0),AB22)</x:f>
      </x:c>
      <x:c r="AD22" s="46">
        <x:v>0.8</x:v>
      </x:c>
      <x:c r="AE22" s="25">
        <x:v>3027</x:v>
      </x:c>
      <x:c r="AF22" s="41">
        <x:f>(AC22-(60*Ventas!AE94*1.0000))</x:f>
      </x:c>
      <x:c r="AG22" s="43">
        <x:f>(AF22/(Ventas!AE94*1.0000)/0)</x:f>
      </x:c>
      <x:c r="AH22" s="7" t="s">
        <x:v>34</x:v>
      </x:c>
    </x:row>
    <x:row r="23">
      <x:c r="A23" s="7"/>
      <x:c r="B23" s="7" t="s">
        <x:v>216</x:v>
      </x:c>
      <x:c r="C23" s="38" t="s">
        <x:v>215</x:v>
      </x:c>
      <x:c r="D23" s="25">
        <x:v>38</x:v>
      </x:c>
      <x:c r="E23" s="39">
        <x:v>46230</x:v>
      </x:c>
      <x:c r="F23" s="40">
        <x:v>5</x:v>
      </x:c>
      <x:c r="G23" s="41">
        <x:f>(D23-(0)+0-(F23*Ventas!AE95*0.0000))</x:f>
      </x:c>
      <x:c r="H23" s="43">
        <x:f>(G23/(Ventas!AE95*0.0000)/0)</x:f>
      </x:c>
      <x:c r="I23" s="25">
        <x:v>0</x:v>
      </x:c>
      <x:c r="J23" s="41">
        <x:f>IF(G23&gt;0,G23+I23,I23)</x:f>
      </x:c>
      <x:c r="K23" s="9"/>
      <x:c r="L23" s="41">
        <x:v>60</x:v>
      </x:c>
      <x:c r="M23" s="45">
        <x:v>0.001249</x:v>
      </x:c>
      <x:c r="N23" s="39">
        <x:v>46275</x:v>
      </x:c>
      <x:c r="O23" s="40">
        <x:v>45</x:v>
      </x:c>
      <x:c r="P23" s="41">
        <x:f>(IF(G23&gt;0,G23+I23,I23)-(O23*Ventas!AE95*1.0000))</x:f>
      </x:c>
      <x:c r="Q23" s="43">
        <x:f>(P23/(Ventas!AE95*1.0000)/0)</x:f>
      </x:c>
      <x:c r="R23" s="25">
        <x:v>0</x:v>
      </x:c>
      <x:c r="S23" s="41">
        <x:f>IF(P23&gt;0,P23+R23,R23)</x:f>
      </x:c>
      <x:c r="T23" s="9"/>
      <x:c r="U23" s="41">
        <x:v>60</x:v>
      </x:c>
      <x:c r="V23" s="45">
        <x:v>0.001249</x:v>
      </x:c>
      <x:c r="W23" s="39">
        <x:v>46331</x:v>
      </x:c>
      <x:c r="X23" s="40">
        <x:v>56</x:v>
      </x:c>
      <x:c r="Y23" s="41">
        <x:f>(IF(P23&gt;0,P23+R23,R23)-(X23*Ventas!AE95*1.0000))</x:f>
      </x:c>
      <x:c r="Z23" s="43">
        <x:f>(Y23/(Ventas!AE95*1.0000)/0)</x:f>
      </x:c>
      <x:c r="AA23" s="41">
        <x:f>(100*(Ventas!AE95*1.0000) - IF(Y23&gt;0,Y23,0))</x:f>
      </x:c>
      <x:c r="AB23" s="41">
        <x:f>IF(AA23&gt;0,AA23,0)</x:f>
      </x:c>
      <x:c r="AC23" s="41">
        <x:f>IF(Y23&gt;0,Y23+IF(AB23&gt;0,AB23,0),AB23)</x:f>
      </x:c>
      <x:c r="AD23" s="46">
        <x:v>1.9</x:v>
      </x:c>
      <x:c r="AE23" s="25">
        <x:v>3027</x:v>
      </x:c>
      <x:c r="AF23" s="41">
        <x:f>(AC23-(60*Ventas!AE95*1.0000))</x:f>
      </x:c>
      <x:c r="AG23" s="43">
        <x:f>(AF23/(Ventas!AE95*1.0000)/0)</x:f>
      </x:c>
      <x:c r="AH23" s="7" t="s">
        <x:v>34</x:v>
      </x:c>
    </x:row>
    <x:row r="24">
      <x:c r="A24" s="7"/>
      <x:c r="B24" s="7" t="s">
        <x:v>283</x:v>
      </x:c>
      <x:c r="C24" s="38" t="s">
        <x:v>282</x:v>
      </x:c>
      <x:c r="D24" s="25">
        <x:v>13</x:v>
      </x:c>
      <x:c r="E24" s="39">
        <x:v>46230</x:v>
      </x:c>
      <x:c r="F24" s="40">
        <x:v>5</x:v>
      </x:c>
      <x:c r="G24" s="41">
        <x:f>(D24-(0)+0-(F24*Ventas!AE128*1.3000))</x:f>
      </x:c>
      <x:c r="H24" s="9"/>
      <x:c r="I24" s="25">
        <x:v>0</x:v>
      </x:c>
      <x:c r="J24" s="41">
        <x:f>IF(G24&gt;0,G24+I24,I24)</x:f>
      </x:c>
      <x:c r="K24" s="9"/>
      <x:c r="L24" s="9"/>
      <x:c r="M24" s="9"/>
      <x:c r="N24" s="39">
        <x:v>46275</x:v>
      </x:c>
      <x:c r="O24" s="40">
        <x:v>45</x:v>
      </x:c>
      <x:c r="P24" s="41">
        <x:f>(IF(G24&gt;0,G24+I24,I24)-(O24*Ventas!AE128*1.1889))</x:f>
      </x:c>
      <x:c r="Q24" s="9"/>
      <x:c r="R24" s="25">
        <x:v>0</x:v>
      </x:c>
      <x:c r="S24" s="41">
        <x:f>IF(P24&gt;0,P24+R24,R24)</x:f>
      </x:c>
      <x:c r="T24" s="9"/>
      <x:c r="U24" s="9"/>
      <x:c r="V24" s="9"/>
      <x:c r="W24" s="39">
        <x:v>46331</x:v>
      </x:c>
      <x:c r="X24" s="40">
        <x:v>56</x:v>
      </x:c>
      <x:c r="Y24" s="41">
        <x:f>(IF(P24&gt;0,P24+R24,R24)-(X24*Ventas!AE128*0.9464))</x:f>
      </x:c>
      <x:c r="Z24" s="9"/>
      <x:c r="AA24" s="41">
        <x:f>(100*(Ventas!AE128*1.3083) - IF(Y24&gt;0,Y24,0))</x:f>
      </x:c>
      <x:c r="AB24" s="41">
        <x:f>IF(AA24&gt;0,AA24,0)</x:f>
      </x:c>
      <x:c r="AC24" s="41">
        <x:f>IF(Y24&gt;0,Y24+IF(AB24&gt;0,AB24,0),AB24)</x:f>
      </x:c>
      <x:c r="AD24" s="9"/>
      <x:c r="AE24" s="25">
        <x:v>3027</x:v>
      </x:c>
      <x:c r="AF24" s="9"/>
      <x:c r="AG24" s="9"/>
      <x:c r="AH24" s="7" t="s">
        <x:v>107</x:v>
      </x:c>
    </x:row>
    <x:row r="25">
      <x:c r="A25" s="7"/>
      <x:c r="B25" s="7" t="s">
        <x:v>212</x:v>
      </x:c>
      <x:c r="C25" s="38" t="s">
        <x:v>211</x:v>
      </x:c>
      <x:c r="D25" s="9"/>
      <x:c r="E25" s="39">
        <x:v>46230</x:v>
      </x:c>
      <x:c r="F25" s="40">
        <x:v>5</x:v>
      </x:c>
      <x:c r="G25" s="41">
        <x:f>(D25-(0)+0-(F25*Ventas!AE93*1.1900))</x:f>
      </x:c>
      <x:c r="H25" s="9"/>
      <x:c r="I25" s="25">
        <x:v>0</x:v>
      </x:c>
      <x:c r="J25" s="41">
        <x:f>IF(G25&gt;0,G25+I25,I25)</x:f>
      </x:c>
      <x:c r="K25" s="9"/>
      <x:c r="L25" s="41">
        <x:v>80</x:v>
      </x:c>
      <x:c r="M25" s="45">
        <x:v>0.000539</x:v>
      </x:c>
      <x:c r="N25" s="39">
        <x:v>46275</x:v>
      </x:c>
      <x:c r="O25" s="40">
        <x:v>45</x:v>
      </x:c>
      <x:c r="P25" s="41">
        <x:f>(IF(G25&gt;0,G25+I25,I25)-(O25*Ventas!AE93*1.0169))</x:f>
      </x:c>
      <x:c r="Q25" s="9"/>
      <x:c r="R25" s="25">
        <x:v>0</x:v>
      </x:c>
      <x:c r="S25" s="41">
        <x:f>IF(P25&gt;0,P25+R25,R25)</x:f>
      </x:c>
      <x:c r="T25" s="9"/>
      <x:c r="U25" s="41">
        <x:v>80</x:v>
      </x:c>
      <x:c r="V25" s="45">
        <x:v>0.000539</x:v>
      </x:c>
      <x:c r="W25" s="39">
        <x:v>46331</x:v>
      </x:c>
      <x:c r="X25" s="40">
        <x:v>56</x:v>
      </x:c>
      <x:c r="Y25" s="41">
        <x:f>(IF(P25&gt;0,P25+R25,R25)-(X25*Ventas!AE93*0.9295))</x:f>
      </x:c>
      <x:c r="Z25" s="9"/>
      <x:c r="AA25" s="41">
        <x:f>(100*(Ventas!AE93*0.8733) - IF(Y25&gt;0,Y25,0))</x:f>
      </x:c>
      <x:c r="AB25" s="41">
        <x:f>IF(AA25&gt;0,AA25,0)</x:f>
      </x:c>
      <x:c r="AC25" s="41">
        <x:f>IF(Y25&gt;0,Y25+IF(AB25&gt;0,AB25,0),AB25)</x:f>
      </x:c>
      <x:c r="AD25" s="46">
        <x:v>2.2</x:v>
      </x:c>
      <x:c r="AE25" s="25">
        <x:v>3017</x:v>
      </x:c>
      <x:c r="AF25" s="9"/>
      <x:c r="AG25" s="9"/>
      <x:c r="AH25" s="7" t="s">
        <x:v>34</x:v>
      </x:c>
    </x:row>
    <x:row r="26">
      <x:c r="A26" s="7"/>
      <x:c r="B26" s="7" t="s">
        <x:v>342</x:v>
      </x:c>
      <x:c r="C26" s="38" t="s">
        <x:v>341</x:v>
      </x:c>
      <x:c r="D26" s="9"/>
      <x:c r="E26" s="39">
        <x:v>46230</x:v>
      </x:c>
      <x:c r="F26" s="40">
        <x:v>5</x:v>
      </x:c>
      <x:c r="G26" s="41">
        <x:f>(D26-(0)+0-(F26*Ventas!AE157*1.1900))</x:f>
      </x:c>
      <x:c r="H26" s="43">
        <x:f>(G26/(Ventas!AE157*1.1900)/60)</x:f>
      </x:c>
      <x:c r="I26" s="25">
        <x:v>0</x:v>
      </x:c>
      <x:c r="J26" s="41">
        <x:f>IF(G26&gt;0,G26+I26,I26)</x:f>
      </x:c>
      <x:c r="K26" s="9"/>
      <x:c r="L26" s="41">
        <x:v>20</x:v>
      </x:c>
      <x:c r="M26" s="45">
        <x:v>0.00345</x:v>
      </x:c>
      <x:c r="N26" s="39">
        <x:v>46275</x:v>
      </x:c>
      <x:c r="O26" s="40">
        <x:v>45</x:v>
      </x:c>
      <x:c r="P26" s="41">
        <x:f>(IF(G26&gt;0,G26+I26,I26)-(O26*Ventas!AE157*1.0169))</x:f>
      </x:c>
      <x:c r="Q26" s="43">
        <x:f>(P26/(Ventas!AE157*1.0169)/60)</x:f>
      </x:c>
      <x:c r="R26" s="25">
        <x:v>20</x:v>
      </x:c>
      <x:c r="S26" s="41">
        <x:f>IF(P26&gt;0,P26+R26,R26)</x:f>
      </x:c>
      <x:c r="T26" s="41">
        <x:v>7.7</x:v>
      </x:c>
      <x:c r="U26" s="41">
        <x:v>20</x:v>
      </x:c>
      <x:c r="V26" s="45">
        <x:v>0.00345</x:v>
      </x:c>
      <x:c r="W26" s="39">
        <x:v>46331</x:v>
      </x:c>
      <x:c r="X26" s="40">
        <x:v>56</x:v>
      </x:c>
      <x:c r="Y26" s="41">
        <x:f>(IF(P26&gt;0,P26+R26,R26)-(X26*Ventas!AE157*0.9295))</x:f>
      </x:c>
      <x:c r="Z26" s="43">
        <x:f>(Y26/(Ventas!AE157*0.9295)/60)</x:f>
      </x:c>
      <x:c r="AA26" s="41">
        <x:f>(100*(Ventas!AE157*0.8733) - IF(Y26&gt;0,Y26,0))</x:f>
      </x:c>
      <x:c r="AB26" s="41">
        <x:f>IF(AA26&gt;0,AA26,0)</x:f>
      </x:c>
      <x:c r="AC26" s="41">
        <x:f>IF(Y26&gt;0,Y26+IF(AB26&gt;0,AB26,0),AB26)</x:f>
      </x:c>
      <x:c r="AD26" s="46">
        <x:v>7.7</x:v>
      </x:c>
      <x:c r="AE26" s="25">
        <x:v>3027</x:v>
      </x:c>
      <x:c r="AF26" s="41">
        <x:f>(AC26-(60*Ventas!AE157*0.8733))</x:f>
      </x:c>
      <x:c r="AG26" s="43">
        <x:f>(AF26/(Ventas!AE157*0.8733)/60)</x:f>
      </x:c>
      <x:c r="AH26" s="7" t="s">
        <x:v>34</x:v>
      </x:c>
    </x:row>
    <x:row r="27">
      <x:c r="A27" s="7"/>
      <x:c r="B27" s="7" t="s">
        <x:v>344</x:v>
      </x:c>
      <x:c r="C27" s="38" t="s">
        <x:v>343</x:v>
      </x:c>
      <x:c r="D27" s="25">
        <x:v>29</x:v>
      </x:c>
      <x:c r="E27" s="39">
        <x:v>46230</x:v>
      </x:c>
      <x:c r="F27" s="40">
        <x:v>5</x:v>
      </x:c>
      <x:c r="G27" s="41">
        <x:f>(D27-(0)+0-(F27*Ventas!AE158*1.1900))</x:f>
      </x:c>
      <x:c r="H27" s="43">
        <x:f>(G27/(Ventas!AE158*1.1900)/60)</x:f>
      </x:c>
      <x:c r="I27" s="25">
        <x:v>0</x:v>
      </x:c>
      <x:c r="J27" s="41">
        <x:f>IF(G27&gt;0,G27+I27,I27)</x:f>
      </x:c>
      <x:c r="K27" s="9"/>
      <x:c r="L27" s="41">
        <x:v>20</x:v>
      </x:c>
      <x:c r="M27" s="45">
        <x:v>0.00345</x:v>
      </x:c>
      <x:c r="N27" s="39">
        <x:v>46275</x:v>
      </x:c>
      <x:c r="O27" s="40">
        <x:v>45</x:v>
      </x:c>
      <x:c r="P27" s="41">
        <x:f>(IF(G27&gt;0,G27+I27,I27)-(O27*Ventas!AE158*1.0169))</x:f>
      </x:c>
      <x:c r="Q27" s="43">
        <x:f>(P27/(Ventas!AE158*1.0169)/60)</x:f>
      </x:c>
      <x:c r="R27" s="25">
        <x:v>0</x:v>
      </x:c>
      <x:c r="S27" s="41">
        <x:f>IF(P27&gt;0,P27+R27,R27)</x:f>
      </x:c>
      <x:c r="T27" s="9"/>
      <x:c r="U27" s="41">
        <x:v>20</x:v>
      </x:c>
      <x:c r="V27" s="45">
        <x:v>0.00345</x:v>
      </x:c>
      <x:c r="W27" s="39">
        <x:v>46331</x:v>
      </x:c>
      <x:c r="X27" s="40">
        <x:v>56</x:v>
      </x:c>
      <x:c r="Y27" s="41">
        <x:f>(IF(P27&gt;0,P27+R27,R27)-(X27*Ventas!AE158*0.9295))</x:f>
      </x:c>
      <x:c r="Z27" s="43">
        <x:f>(Y27/(Ventas!AE158*0.9295)/60)</x:f>
      </x:c>
      <x:c r="AA27" s="41">
        <x:f>(100*(Ventas!AE158*0.8733) - IF(Y27&gt;0,Y27,0))</x:f>
      </x:c>
      <x:c r="AB27" s="41">
        <x:f>IF(AA27&gt;0,AA27,0)</x:f>
      </x:c>
      <x:c r="AC27" s="41">
        <x:f>IF(Y27&gt;0,Y27+IF(AB27&gt;0,AB27,0),AB27)</x:f>
      </x:c>
      <x:c r="AD27" s="46">
        <x:v>7.6</x:v>
      </x:c>
      <x:c r="AE27" s="25">
        <x:v>3010</x:v>
      </x:c>
      <x:c r="AF27" s="41">
        <x:f>(AC27-(60*Ventas!AE158*0.8733))</x:f>
      </x:c>
      <x:c r="AG27" s="43">
        <x:f>(AF27/(Ventas!AE158*0.8733)/60)</x:f>
      </x:c>
      <x:c r="AH27" s="7" t="s">
        <x:v>34</x:v>
      </x:c>
    </x:row>
    <x:row r="28">
      <x:c r="A28" s="7" t="s">
        <x:v>576</x:v>
      </x:c>
      <x:c r="B28" s="7" t="s">
        <x:v>575</x:v>
      </x:c>
      <x:c r="C28" s="38" t="s">
        <x:v>574</x:v>
      </x:c>
      <x:c r="D28" s="25">
        <x:v>10</x:v>
      </x:c>
      <x:c r="E28" s="39">
        <x:v>46230</x:v>
      </x:c>
      <x:c r="F28" s="40">
        <x:v>5</x:v>
      </x:c>
      <x:c r="G28" s="41">
        <x:f>(D28-(0)+0-(F28*Ventas!AE272*1.1000))</x:f>
      </x:c>
      <x:c r="H28" s="43">
        <x:f>(G28/(Ventas!AE272*1.1000)/45)</x:f>
      </x:c>
      <x:c r="I28" s="25">
        <x:v>50</x:v>
      </x:c>
      <x:c r="J28" s="41">
        <x:f>IF(G28&gt;0,G28+I28,I28)</x:f>
      </x:c>
      <x:c r="K28" s="41">
        <x:v>5.408</x:v>
      </x:c>
      <x:c r="L28" s="41">
        <x:v>50</x:v>
      </x:c>
      <x:c r="M28" s="45">
        <x:v>0.00058</x:v>
      </x:c>
      <x:c r="N28" s="39">
        <x:v>46275</x:v>
      </x:c>
      <x:c r="O28" s="40">
        <x:v>45</x:v>
      </x:c>
      <x:c r="P28" s="41">
        <x:f>(IF(G28&gt;0,G28+I28,I28)-(O28*Ventas!AE272*0.9422))</x:f>
      </x:c>
      <x:c r="Q28" s="43">
        <x:f>(P28/(Ventas!AE272*0.9422)/45)</x:f>
      </x:c>
      <x:c r="R28" s="25">
        <x:v>50</x:v>
      </x:c>
      <x:c r="S28" s="41">
        <x:f>IF(P28&gt;0,P28+R28,R28)</x:f>
      </x:c>
      <x:c r="T28" s="41">
        <x:v>5.4</x:v>
      </x:c>
      <x:c r="U28" s="41">
        <x:v>50</x:v>
      </x:c>
      <x:c r="V28" s="45">
        <x:v>0.00058</x:v>
      </x:c>
      <x:c r="W28" s="39">
        <x:v>46331</x:v>
      </x:c>
      <x:c r="X28" s="40">
        <x:v>56</x:v>
      </x:c>
      <x:c r="Y28" s="41">
        <x:f>(IF(P28&gt;0,P28+R28,R28)-(X28*Ventas!AE272*0.8268))</x:f>
      </x:c>
      <x:c r="Z28" s="43">
        <x:f>(Y28/(Ventas!AE272*0.8268)/45)</x:f>
      </x:c>
      <x:c r="AA28" s="41">
        <x:f>(100*(Ventas!AE272*1.9500) - IF(Y28&gt;0,Y28,0))</x:f>
      </x:c>
      <x:c r="AB28" s="41">
        <x:f>IF(AA28&gt;0,AA28,0)</x:f>
      </x:c>
      <x:c r="AC28" s="41">
        <x:f>IF(Y28&gt;0,Y28+IF(AB28&gt;0,AB28,0),AB28)</x:f>
      </x:c>
      <x:c r="AD28" s="46">
        <x:v>5.408</x:v>
      </x:c>
      <x:c r="AE28" s="25">
        <x:v>3027</x:v>
      </x:c>
      <x:c r="AF28" s="41">
        <x:f>(AC28-(60*Ventas!AE272*1.9500))</x:f>
      </x:c>
      <x:c r="AG28" s="43">
        <x:f>(AF28/(Ventas!AE272*1.9500)/45)</x:f>
      </x:c>
      <x:c r="AH28" s="7" t="s">
        <x:v>34</x:v>
      </x:c>
    </x:row>
    <x:row r="29">
      <x:c r="A29" s="7" t="s">
        <x:v>579</x:v>
      </x:c>
      <x:c r="B29" s="7" t="s">
        <x:v>578</x:v>
      </x:c>
      <x:c r="C29" s="38" t="s">
        <x:v>577</x:v>
      </x:c>
      <x:c r="D29" s="25">
        <x:v>8</x:v>
      </x:c>
      <x:c r="E29" s="39">
        <x:v>46230</x:v>
      </x:c>
      <x:c r="F29" s="40">
        <x:v>5</x:v>
      </x:c>
      <x:c r="G29" s="41">
        <x:f>(D29-(0)+0-(F29*Ventas!AE273*1.1000))</x:f>
      </x:c>
      <x:c r="H29" s="43">
        <x:f>(G29/(Ventas!AE273*1.1000)/45)</x:f>
      </x:c>
      <x:c r="I29" s="25">
        <x:v>50</x:v>
      </x:c>
      <x:c r="J29" s="41">
        <x:f>IF(G29&gt;0,G29+I29,I29)</x:f>
      </x:c>
      <x:c r="K29" s="41">
        <x:v>5.408</x:v>
      </x:c>
      <x:c r="L29" s="41">
        <x:v>50</x:v>
      </x:c>
      <x:c r="M29" s="45">
        <x:v>0.00058</x:v>
      </x:c>
      <x:c r="N29" s="39">
        <x:v>46275</x:v>
      </x:c>
      <x:c r="O29" s="40">
        <x:v>45</x:v>
      </x:c>
      <x:c r="P29" s="41">
        <x:f>(IF(G29&gt;0,G29+I29,I29)-(O29*Ventas!AE273*0.9422))</x:f>
      </x:c>
      <x:c r="Q29" s="43">
        <x:f>(P29/(Ventas!AE273*0.9422)/45)</x:f>
      </x:c>
      <x:c r="R29" s="25">
        <x:v>50</x:v>
      </x:c>
      <x:c r="S29" s="41">
        <x:f>IF(P29&gt;0,P29+R29,R29)</x:f>
      </x:c>
      <x:c r="T29" s="41">
        <x:v>5.4</x:v>
      </x:c>
      <x:c r="U29" s="41">
        <x:v>50</x:v>
      </x:c>
      <x:c r="V29" s="45">
        <x:v>0.00058</x:v>
      </x:c>
      <x:c r="W29" s="39">
        <x:v>46331</x:v>
      </x:c>
      <x:c r="X29" s="40">
        <x:v>56</x:v>
      </x:c>
      <x:c r="Y29" s="41">
        <x:f>(IF(P29&gt;0,P29+R29,R29)-(X29*Ventas!AE273*0.8268))</x:f>
      </x:c>
      <x:c r="Z29" s="43">
        <x:f>(Y29/(Ventas!AE273*0.8268)/45)</x:f>
      </x:c>
      <x:c r="AA29" s="41">
        <x:f>(100*(Ventas!AE273*1.9500) - IF(Y29&gt;0,Y29,0))</x:f>
      </x:c>
      <x:c r="AB29" s="41">
        <x:f>IF(AA29&gt;0,AA29,0)</x:f>
      </x:c>
      <x:c r="AC29" s="41">
        <x:f>IF(Y29&gt;0,Y29+IF(AB29&gt;0,AB29,0),AB29)</x:f>
      </x:c>
      <x:c r="AD29" s="46">
        <x:v>5.408</x:v>
      </x:c>
      <x:c r="AE29" s="25">
        <x:v>3027</x:v>
      </x:c>
      <x:c r="AF29" s="41">
        <x:f>(AC29-(60*Ventas!AE273*1.9500))</x:f>
      </x:c>
      <x:c r="AG29" s="43">
        <x:f>(AF29/(Ventas!AE273*1.9500)/45)</x:f>
      </x:c>
      <x:c r="AH29" s="7" t="s">
        <x:v>34</x:v>
      </x:c>
    </x:row>
    <x:row r="30">
      <x:c r="A30" s="7" t="s">
        <x:v>582</x:v>
      </x:c>
      <x:c r="B30" s="7" t="s">
        <x:v>581</x:v>
      </x:c>
      <x:c r="C30" s="38" t="s">
        <x:v>580</x:v>
      </x:c>
      <x:c r="D30" s="25">
        <x:v>21</x:v>
      </x:c>
      <x:c r="E30" s="39">
        <x:v>46230</x:v>
      </x:c>
      <x:c r="F30" s="40">
        <x:v>5</x:v>
      </x:c>
      <x:c r="G30" s="41">
        <x:f>(D30-(0)+0-(F30*Ventas!AE274*1.1000))</x:f>
      </x:c>
      <x:c r="H30" s="43">
        <x:f>(G30/(Ventas!AE274*1.1000)/45)</x:f>
      </x:c>
      <x:c r="I30" s="25">
        <x:v>50</x:v>
      </x:c>
      <x:c r="J30" s="41">
        <x:f>IF(G30&gt;0,G30+I30,I30)</x:f>
      </x:c>
      <x:c r="K30" s="41">
        <x:v>5.408</x:v>
      </x:c>
      <x:c r="L30" s="41">
        <x:v>50</x:v>
      </x:c>
      <x:c r="M30" s="45">
        <x:v>0.00058</x:v>
      </x:c>
      <x:c r="N30" s="39">
        <x:v>46275</x:v>
      </x:c>
      <x:c r="O30" s="40">
        <x:v>45</x:v>
      </x:c>
      <x:c r="P30" s="41">
        <x:f>(IF(G30&gt;0,G30+I30,I30)-(O30*Ventas!AE274*0.9422))</x:f>
      </x:c>
      <x:c r="Q30" s="43">
        <x:f>(P30/(Ventas!AE274*0.9422)/45)</x:f>
      </x:c>
      <x:c r="R30" s="25">
        <x:v>50</x:v>
      </x:c>
      <x:c r="S30" s="41">
        <x:f>IF(P30&gt;0,P30+R30,R30)</x:f>
      </x:c>
      <x:c r="T30" s="41">
        <x:v>5.4</x:v>
      </x:c>
      <x:c r="U30" s="41">
        <x:v>50</x:v>
      </x:c>
      <x:c r="V30" s="45">
        <x:v>0.00058</x:v>
      </x:c>
      <x:c r="W30" s="39">
        <x:v>46331</x:v>
      </x:c>
      <x:c r="X30" s="40">
        <x:v>56</x:v>
      </x:c>
      <x:c r="Y30" s="41">
        <x:f>(IF(P30&gt;0,P30+R30,R30)-(X30*Ventas!AE274*0.8268))</x:f>
      </x:c>
      <x:c r="Z30" s="43">
        <x:f>(Y30/(Ventas!AE274*0.8268)/45)</x:f>
      </x:c>
      <x:c r="AA30" s="41">
        <x:f>(100*(Ventas!AE274*1.9500) - IF(Y30&gt;0,Y30,0))</x:f>
      </x:c>
      <x:c r="AB30" s="41">
        <x:f>IF(AA30&gt;0,AA30,0)</x:f>
      </x:c>
      <x:c r="AC30" s="41">
        <x:f>IF(Y30&gt;0,Y30+IF(AB30&gt;0,AB30,0),AB30)</x:f>
      </x:c>
      <x:c r="AD30" s="46">
        <x:v>5.408</x:v>
      </x:c>
      <x:c r="AE30" s="25">
        <x:v>3027</x:v>
      </x:c>
      <x:c r="AF30" s="41">
        <x:f>(AC30-(60*Ventas!AE274*1.9500))</x:f>
      </x:c>
      <x:c r="AG30" s="43">
        <x:f>(AF30/(Ventas!AE274*1.9500)/45)</x:f>
      </x:c>
      <x:c r="AH30" s="7" t="s">
        <x:v>34</x:v>
      </x:c>
    </x:row>
    <x:row r="31">
      <x:c r="A31" s="7" t="s">
        <x:v>585</x:v>
      </x:c>
      <x:c r="B31" s="7" t="s">
        <x:v>584</x:v>
      </x:c>
      <x:c r="C31" s="38" t="s">
        <x:v>583</x:v>
      </x:c>
      <x:c r="D31" s="25">
        <x:v>11</x:v>
      </x:c>
      <x:c r="E31" s="39">
        <x:v>46230</x:v>
      </x:c>
      <x:c r="F31" s="40">
        <x:v>5</x:v>
      </x:c>
      <x:c r="G31" s="41">
        <x:f>(D31-(0)+0-(F31*Ventas!AE275*1.1000))</x:f>
      </x:c>
      <x:c r="H31" s="43">
        <x:f>(G31/(Ventas!AE275*1.1000)/45)</x:f>
      </x:c>
      <x:c r="I31" s="25">
        <x:v>50</x:v>
      </x:c>
      <x:c r="J31" s="41">
        <x:f>IF(G31&gt;0,G31+I31,I31)</x:f>
      </x:c>
      <x:c r="K31" s="41">
        <x:v>5.408</x:v>
      </x:c>
      <x:c r="L31" s="41">
        <x:v>50</x:v>
      </x:c>
      <x:c r="M31" s="45">
        <x:v>0.00058</x:v>
      </x:c>
      <x:c r="N31" s="39">
        <x:v>46275</x:v>
      </x:c>
      <x:c r="O31" s="40">
        <x:v>45</x:v>
      </x:c>
      <x:c r="P31" s="41">
        <x:f>(IF(G31&gt;0,G31+I31,I31)-(O31*Ventas!AE275*0.9422))</x:f>
      </x:c>
      <x:c r="Q31" s="43">
        <x:f>(P31/(Ventas!AE275*0.9422)/45)</x:f>
      </x:c>
      <x:c r="R31" s="25">
        <x:v>50</x:v>
      </x:c>
      <x:c r="S31" s="41">
        <x:f>IF(P31&gt;0,P31+R31,R31)</x:f>
      </x:c>
      <x:c r="T31" s="41">
        <x:v>5.4</x:v>
      </x:c>
      <x:c r="U31" s="41">
        <x:v>50</x:v>
      </x:c>
      <x:c r="V31" s="45">
        <x:v>0.00058</x:v>
      </x:c>
      <x:c r="W31" s="39">
        <x:v>46331</x:v>
      </x:c>
      <x:c r="X31" s="40">
        <x:v>56</x:v>
      </x:c>
      <x:c r="Y31" s="41">
        <x:f>(IF(P31&gt;0,P31+R31,R31)-(X31*Ventas!AE275*0.8268))</x:f>
      </x:c>
      <x:c r="Z31" s="43">
        <x:f>(Y31/(Ventas!AE275*0.8268)/45)</x:f>
      </x:c>
      <x:c r="AA31" s="41">
        <x:f>(100*(Ventas!AE275*1.9500) - IF(Y31&gt;0,Y31,0))</x:f>
      </x:c>
      <x:c r="AB31" s="41">
        <x:f>IF(AA31&gt;0,AA31,0)</x:f>
      </x:c>
      <x:c r="AC31" s="41">
        <x:f>IF(Y31&gt;0,Y31+IF(AB31&gt;0,AB31,0),AB31)</x:f>
      </x:c>
      <x:c r="AD31" s="46">
        <x:v>5.408</x:v>
      </x:c>
      <x:c r="AE31" s="25">
        <x:v>3027</x:v>
      </x:c>
      <x:c r="AF31" s="41">
        <x:f>(AC31-(60*Ventas!AE275*1.9500))</x:f>
      </x:c>
      <x:c r="AG31" s="43">
        <x:f>(AF31/(Ventas!AE275*1.9500)/45)</x:f>
      </x:c>
      <x:c r="AH31" s="7" t="s">
        <x:v>34</x:v>
      </x:c>
    </x:row>
    <x:row r="32">
      <x:c r="A32" s="7" t="s">
        <x:v>588</x:v>
      </x:c>
      <x:c r="B32" s="7" t="s">
        <x:v>587</x:v>
      </x:c>
      <x:c r="C32" s="38" t="s">
        <x:v>586</x:v>
      </x:c>
      <x:c r="D32" s="25">
        <x:v>30</x:v>
      </x:c>
      <x:c r="E32" s="39">
        <x:v>46230</x:v>
      </x:c>
      <x:c r="F32" s="40">
        <x:v>5</x:v>
      </x:c>
      <x:c r="G32" s="41">
        <x:f>(D32-(0)+0-(F32*Ventas!AE276*1.1000))</x:f>
      </x:c>
      <x:c r="H32" s="43">
        <x:f>(G32/(Ventas!AE276*1.1000)/45)</x:f>
      </x:c>
      <x:c r="I32" s="25">
        <x:v>50</x:v>
      </x:c>
      <x:c r="J32" s="41">
        <x:f>IF(G32&gt;0,G32+I32,I32)</x:f>
      </x:c>
      <x:c r="K32" s="41">
        <x:v>3.536</x:v>
      </x:c>
      <x:c r="L32" s="41">
        <x:v>50</x:v>
      </x:c>
      <x:c r="M32" s="45">
        <x:v>0.00048</x:v>
      </x:c>
      <x:c r="N32" s="39">
        <x:v>46275</x:v>
      </x:c>
      <x:c r="O32" s="40">
        <x:v>45</x:v>
      </x:c>
      <x:c r="P32" s="41">
        <x:f>(IF(G32&gt;0,G32+I32,I32)-(O32*Ventas!AE276*0.9422))</x:f>
      </x:c>
      <x:c r="Q32" s="43">
        <x:f>(P32/(Ventas!AE276*0.9422)/45)</x:f>
      </x:c>
      <x:c r="R32" s="25">
        <x:v>50</x:v>
      </x:c>
      <x:c r="S32" s="41">
        <x:f>IF(P32&gt;0,P32+R32,R32)</x:f>
      </x:c>
      <x:c r="T32" s="41">
        <x:v>3.5</x:v>
      </x:c>
      <x:c r="U32" s="41">
        <x:v>50</x:v>
      </x:c>
      <x:c r="V32" s="45">
        <x:v>0.00048</x:v>
      </x:c>
      <x:c r="W32" s="39">
        <x:v>46331</x:v>
      </x:c>
      <x:c r="X32" s="40">
        <x:v>56</x:v>
      </x:c>
      <x:c r="Y32" s="41">
        <x:f>(IF(P32&gt;0,P32+R32,R32)-(X32*Ventas!AE276*0.8268))</x:f>
      </x:c>
      <x:c r="Z32" s="43">
        <x:f>(Y32/(Ventas!AE276*0.8268)/45)</x:f>
      </x:c>
      <x:c r="AA32" s="41">
        <x:f>(100*(Ventas!AE276*1.9500) - IF(Y32&gt;0,Y32,0))</x:f>
      </x:c>
      <x:c r="AB32" s="41">
        <x:f>IF(AA32&gt;0,AA32,0)</x:f>
      </x:c>
      <x:c r="AC32" s="41">
        <x:f>IF(Y32&gt;0,Y32+IF(AB32&gt;0,AB32,0),AB32)</x:f>
      </x:c>
      <x:c r="AD32" s="46">
        <x:v>3.536</x:v>
      </x:c>
      <x:c r="AE32" s="25">
        <x:v>3027</x:v>
      </x:c>
      <x:c r="AF32" s="41">
        <x:f>(AC32-(60*Ventas!AE276*1.9500))</x:f>
      </x:c>
      <x:c r="AG32" s="43">
        <x:f>(AF32/(Ventas!AE276*1.9500)/45)</x:f>
      </x:c>
      <x:c r="AH32" s="7" t="s">
        <x:v>34</x:v>
      </x:c>
    </x:row>
    <x:row r="33">
      <x:c r="A33" s="7" t="s">
        <x:v>591</x:v>
      </x:c>
      <x:c r="B33" s="7" t="s">
        <x:v>590</x:v>
      </x:c>
      <x:c r="C33" s="38" t="s">
        <x:v>589</x:v>
      </x:c>
      <x:c r="D33" s="25">
        <x:v>22</x:v>
      </x:c>
      <x:c r="E33" s="39">
        <x:v>46230</x:v>
      </x:c>
      <x:c r="F33" s="40">
        <x:v>5</x:v>
      </x:c>
      <x:c r="G33" s="41">
        <x:f>(D33-(0)+0-(F33*Ventas!AE277*1.1000))</x:f>
      </x:c>
      <x:c r="H33" s="43">
        <x:f>(G33/(Ventas!AE277*1.1000)/45)</x:f>
      </x:c>
      <x:c r="I33" s="25">
        <x:v>50</x:v>
      </x:c>
      <x:c r="J33" s="41">
        <x:f>IF(G33&gt;0,G33+I33,I33)</x:f>
      </x:c>
      <x:c r="K33" s="41">
        <x:v>3.536</x:v>
      </x:c>
      <x:c r="L33" s="41">
        <x:v>50</x:v>
      </x:c>
      <x:c r="M33" s="45">
        <x:v>0.00048</x:v>
      </x:c>
      <x:c r="N33" s="39">
        <x:v>46275</x:v>
      </x:c>
      <x:c r="O33" s="40">
        <x:v>45</x:v>
      </x:c>
      <x:c r="P33" s="41">
        <x:f>(IF(G33&gt;0,G33+I33,I33)-(O33*Ventas!AE277*0.9422))</x:f>
      </x:c>
      <x:c r="Q33" s="43">
        <x:f>(P33/(Ventas!AE277*0.9422)/45)</x:f>
      </x:c>
      <x:c r="R33" s="25">
        <x:v>50</x:v>
      </x:c>
      <x:c r="S33" s="41">
        <x:f>IF(P33&gt;0,P33+R33,R33)</x:f>
      </x:c>
      <x:c r="T33" s="41">
        <x:v>3.5</x:v>
      </x:c>
      <x:c r="U33" s="41">
        <x:v>50</x:v>
      </x:c>
      <x:c r="V33" s="45">
        <x:v>0.00048</x:v>
      </x:c>
      <x:c r="W33" s="39">
        <x:v>46331</x:v>
      </x:c>
      <x:c r="X33" s="40">
        <x:v>56</x:v>
      </x:c>
      <x:c r="Y33" s="41">
        <x:f>(IF(P33&gt;0,P33+R33,R33)-(X33*Ventas!AE277*0.8268))</x:f>
      </x:c>
      <x:c r="Z33" s="43">
        <x:f>(Y33/(Ventas!AE277*0.8268)/45)</x:f>
      </x:c>
      <x:c r="AA33" s="41">
        <x:f>(100*(Ventas!AE277*1.9500) - IF(Y33&gt;0,Y33,0))</x:f>
      </x:c>
      <x:c r="AB33" s="41">
        <x:f>IF(AA33&gt;0,AA33,0)</x:f>
      </x:c>
      <x:c r="AC33" s="41">
        <x:f>IF(Y33&gt;0,Y33+IF(AB33&gt;0,AB33,0),AB33)</x:f>
      </x:c>
      <x:c r="AD33" s="46">
        <x:v>3.536</x:v>
      </x:c>
      <x:c r="AE33" s="25">
        <x:v>3027</x:v>
      </x:c>
      <x:c r="AF33" s="41">
        <x:f>(AC33-(60*Ventas!AE277*1.9500))</x:f>
      </x:c>
      <x:c r="AG33" s="43">
        <x:f>(AF33/(Ventas!AE277*1.9500)/45)</x:f>
      </x:c>
      <x:c r="AH33" s="7" t="s">
        <x:v>34</x:v>
      </x:c>
    </x:row>
    <x:row r="34">
      <x:c r="A34" s="7" t="s">
        <x:v>594</x:v>
      </x:c>
      <x:c r="B34" s="7" t="s">
        <x:v>593</x:v>
      </x:c>
      <x:c r="C34" s="38" t="s">
        <x:v>592</x:v>
      </x:c>
      <x:c r="D34" s="25">
        <x:v>77</x:v>
      </x:c>
      <x:c r="E34" s="39">
        <x:v>46230</x:v>
      </x:c>
      <x:c r="F34" s="40">
        <x:v>5</x:v>
      </x:c>
      <x:c r="G34" s="41">
        <x:f>(D34-(0)+0-(F34*Ventas!AE278*1.1000))</x:f>
      </x:c>
      <x:c r="H34" s="43">
        <x:f>(G34/(Ventas!AE278*1.1000)/45)</x:f>
      </x:c>
      <x:c r="I34" s="25">
        <x:v>40</x:v>
      </x:c>
      <x:c r="J34" s="41">
        <x:f>IF(G34&gt;0,G34+I34,I34)</x:f>
      </x:c>
      <x:c r="K34" s="41">
        <x:v>4.056</x:v>
      </x:c>
      <x:c r="L34" s="41">
        <x:v>40</x:v>
      </x:c>
      <x:c r="M34" s="45">
        <x:v>0.001625</x:v>
      </x:c>
      <x:c r="N34" s="39">
        <x:v>46275</x:v>
      </x:c>
      <x:c r="O34" s="40">
        <x:v>45</x:v>
      </x:c>
      <x:c r="P34" s="41">
        <x:f>(IF(G34&gt;0,G34+I34,I34)-(O34*Ventas!AE278*0.9422))</x:f>
      </x:c>
      <x:c r="Q34" s="43">
        <x:f>(P34/(Ventas!AE278*0.9422)/45)</x:f>
      </x:c>
      <x:c r="R34" s="25">
        <x:v>0</x:v>
      </x:c>
      <x:c r="S34" s="41">
        <x:f>IF(P34&gt;0,P34+R34,R34)</x:f>
      </x:c>
      <x:c r="T34" s="9"/>
      <x:c r="U34" s="41">
        <x:v>40</x:v>
      </x:c>
      <x:c r="V34" s="45">
        <x:v>0.001625</x:v>
      </x:c>
      <x:c r="W34" s="39">
        <x:v>46331</x:v>
      </x:c>
      <x:c r="X34" s="40">
        <x:v>56</x:v>
      </x:c>
      <x:c r="Y34" s="41">
        <x:f>(IF(P34&gt;0,P34+R34,R34)-(X34*Ventas!AE278*0.8268))</x:f>
      </x:c>
      <x:c r="Z34" s="43">
        <x:f>(Y34/(Ventas!AE278*0.8268)/45)</x:f>
      </x:c>
      <x:c r="AA34" s="41">
        <x:f>(100*(Ventas!AE278*1.9500) - IF(Y34&gt;0,Y34,0))</x:f>
      </x:c>
      <x:c r="AB34" s="41">
        <x:f>IF(AA34&gt;0,AA34,0)</x:f>
      </x:c>
      <x:c r="AC34" s="41">
        <x:f>IF(Y34&gt;0,Y34+IF(AB34&gt;0,AB34,0),AB34)</x:f>
      </x:c>
      <x:c r="AD34" s="46">
        <x:v>4.056</x:v>
      </x:c>
      <x:c r="AE34" s="25">
        <x:v>3027</x:v>
      </x:c>
      <x:c r="AF34" s="41">
        <x:f>(AC34-(60*Ventas!AE278*1.9500))</x:f>
      </x:c>
      <x:c r="AG34" s="43">
        <x:f>(AF34/(Ventas!AE278*1.9500)/45)</x:f>
      </x:c>
      <x:c r="AH34" s="7" t="s">
        <x:v>34</x:v>
      </x:c>
    </x:row>
    <x:row r="35">
      <x:c r="A35" s="7" t="s">
        <x:v>597</x:v>
      </x:c>
      <x:c r="B35" s="7" t="s">
        <x:v>596</x:v>
      </x:c>
      <x:c r="C35" s="38" t="s">
        <x:v>595</x:v>
      </x:c>
      <x:c r="D35" s="25">
        <x:v>46</x:v>
      </x:c>
      <x:c r="E35" s="39">
        <x:v>46230</x:v>
      </x:c>
      <x:c r="F35" s="40">
        <x:v>5</x:v>
      </x:c>
      <x:c r="G35" s="41">
        <x:f>(D35-(0)+0-(F35*Ventas!AE279*1.1000))</x:f>
      </x:c>
      <x:c r="H35" s="43">
        <x:f>(G35/(Ventas!AE279*1.1000)/45)</x:f>
      </x:c>
      <x:c r="I35" s="25">
        <x:v>40</x:v>
      </x:c>
      <x:c r="J35" s="41">
        <x:f>IF(G35&gt;0,G35+I35,I35)</x:f>
      </x:c>
      <x:c r="K35" s="41">
        <x:v>4.056</x:v>
      </x:c>
      <x:c r="L35" s="41">
        <x:v>40</x:v>
      </x:c>
      <x:c r="M35" s="45">
        <x:v>0.001625</x:v>
      </x:c>
      <x:c r="N35" s="39">
        <x:v>46275</x:v>
      </x:c>
      <x:c r="O35" s="40">
        <x:v>45</x:v>
      </x:c>
      <x:c r="P35" s="41">
        <x:f>(IF(G35&gt;0,G35+I35,I35)-(O35*Ventas!AE279*0.9422))</x:f>
      </x:c>
      <x:c r="Q35" s="43">
        <x:f>(P35/(Ventas!AE279*0.9422)/45)</x:f>
      </x:c>
      <x:c r="R35" s="25">
        <x:v>40</x:v>
      </x:c>
      <x:c r="S35" s="41">
        <x:f>IF(P35&gt;0,P35+R35,R35)</x:f>
      </x:c>
      <x:c r="T35" s="41">
        <x:v>4.1</x:v>
      </x:c>
      <x:c r="U35" s="41">
        <x:v>40</x:v>
      </x:c>
      <x:c r="V35" s="45">
        <x:v>0.001625</x:v>
      </x:c>
      <x:c r="W35" s="39">
        <x:v>46331</x:v>
      </x:c>
      <x:c r="X35" s="40">
        <x:v>56</x:v>
      </x:c>
      <x:c r="Y35" s="41">
        <x:f>(IF(P35&gt;0,P35+R35,R35)-(X35*Ventas!AE279*0.8268))</x:f>
      </x:c>
      <x:c r="Z35" s="43">
        <x:f>(Y35/(Ventas!AE279*0.8268)/45)</x:f>
      </x:c>
      <x:c r="AA35" s="41">
        <x:f>(100*(Ventas!AE279*1.9500) - IF(Y35&gt;0,Y35,0))</x:f>
      </x:c>
      <x:c r="AB35" s="41">
        <x:f>IF(AA35&gt;0,AA35,0)</x:f>
      </x:c>
      <x:c r="AC35" s="41">
        <x:f>IF(Y35&gt;0,Y35+IF(AB35&gt;0,AB35,0),AB35)</x:f>
      </x:c>
      <x:c r="AD35" s="46">
        <x:v>4.056</x:v>
      </x:c>
      <x:c r="AE35" s="25">
        <x:v>3027</x:v>
      </x:c>
      <x:c r="AF35" s="41">
        <x:f>(AC35-(60*Ventas!AE279*1.9500))</x:f>
      </x:c>
      <x:c r="AG35" s="43">
        <x:f>(AF35/(Ventas!AE279*1.9500)/45)</x:f>
      </x:c>
      <x:c r="AH35" s="7" t="s">
        <x:v>34</x:v>
      </x:c>
    </x:row>
    <x:row r="36">
      <x:c r="A36" s="7" t="s">
        <x:v>600</x:v>
      </x:c>
      <x:c r="B36" s="7" t="s">
        <x:v>599</x:v>
      </x:c>
      <x:c r="C36" s="38" t="s">
        <x:v>598</x:v>
      </x:c>
      <x:c r="D36" s="25">
        <x:v>51</x:v>
      </x:c>
      <x:c r="E36" s="39">
        <x:v>46230</x:v>
      </x:c>
      <x:c r="F36" s="40">
        <x:v>5</x:v>
      </x:c>
      <x:c r="G36" s="41">
        <x:f>(D36-(0)+0-(F36*Ventas!AE280*1.1000))</x:f>
      </x:c>
      <x:c r="H36" s="43">
        <x:f>(G36/(Ventas!AE280*1.1000)/45)</x:f>
      </x:c>
      <x:c r="I36" s="25">
        <x:v>0</x:v>
      </x:c>
      <x:c r="J36" s="41">
        <x:f>IF(G36&gt;0,G36+I36,I36)</x:f>
      </x:c>
      <x:c r="K36" s="9"/>
      <x:c r="L36" s="41">
        <x:v>30</x:v>
      </x:c>
      <x:c r="M36" s="45">
        <x:v>0.001833</x:v>
      </x:c>
      <x:c r="N36" s="39">
        <x:v>46275</x:v>
      </x:c>
      <x:c r="O36" s="40">
        <x:v>45</x:v>
      </x:c>
      <x:c r="P36" s="41">
        <x:f>(IF(G36&gt;0,G36+I36,I36)-(O36*Ventas!AE280*0.9422))</x:f>
      </x:c>
      <x:c r="Q36" s="43">
        <x:f>(P36/(Ventas!AE280*0.9422)/45)</x:f>
      </x:c>
      <x:c r="R36" s="25">
        <x:v>0</x:v>
      </x:c>
      <x:c r="S36" s="41">
        <x:f>IF(P36&gt;0,P36+R36,R36)</x:f>
      </x:c>
      <x:c r="T36" s="9"/>
      <x:c r="U36" s="41">
        <x:v>30</x:v>
      </x:c>
      <x:c r="V36" s="45">
        <x:v>0.001833</x:v>
      </x:c>
      <x:c r="W36" s="39">
        <x:v>46331</x:v>
      </x:c>
      <x:c r="X36" s="40">
        <x:v>56</x:v>
      </x:c>
      <x:c r="Y36" s="41">
        <x:f>(IF(P36&gt;0,P36+R36,R36)-(X36*Ventas!AE280*0.8268))</x:f>
      </x:c>
      <x:c r="Z36" s="43">
        <x:f>(Y36/(Ventas!AE280*0.8268)/45)</x:f>
      </x:c>
      <x:c r="AA36" s="41">
        <x:f>(100*(Ventas!AE280*1.9500) - IF(Y36&gt;0,Y36,0))</x:f>
      </x:c>
      <x:c r="AB36" s="41">
        <x:f>IF(AA36&gt;0,AA36,0)</x:f>
      </x:c>
      <x:c r="AC36" s="41">
        <x:f>IF(Y36&gt;0,Y36+IF(AB36&gt;0,AB36,0),AB36)</x:f>
      </x:c>
      <x:c r="AD36" s="46">
        <x:v>6.2852</x:v>
      </x:c>
      <x:c r="AE36" s="25">
        <x:v>3010</x:v>
      </x:c>
      <x:c r="AF36" s="41">
        <x:f>(AC36-(60*Ventas!AE280*1.9500))</x:f>
      </x:c>
      <x:c r="AG36" s="43">
        <x:f>(AF36/(Ventas!AE280*1.9500)/45)</x:f>
      </x:c>
      <x:c r="AH36" s="7" t="s">
        <x:v>34</x:v>
      </x:c>
    </x:row>
    <x:row r="37">
      <x:c r="A37" s="7" t="s">
        <x:v>603</x:v>
      </x:c>
      <x:c r="B37" s="7" t="s">
        <x:v>602</x:v>
      </x:c>
      <x:c r="C37" s="38" t="s">
        <x:v>601</x:v>
      </x:c>
      <x:c r="D37" s="25">
        <x:v>52</x:v>
      </x:c>
      <x:c r="E37" s="39">
        <x:v>46230</x:v>
      </x:c>
      <x:c r="F37" s="40">
        <x:v>5</x:v>
      </x:c>
      <x:c r="G37" s="41">
        <x:f>(D37-(0)+0-(F37*Ventas!AE281*1.1000))</x:f>
      </x:c>
      <x:c r="H37" s="43">
        <x:f>(G37/(Ventas!AE281*1.1000)/45)</x:f>
      </x:c>
      <x:c r="I37" s="25">
        <x:v>0</x:v>
      </x:c>
      <x:c r="J37" s="41">
        <x:f>IF(G37&gt;0,G37+I37,I37)</x:f>
      </x:c>
      <x:c r="K37" s="9"/>
      <x:c r="L37" s="41">
        <x:v>30</x:v>
      </x:c>
      <x:c r="M37" s="45">
        <x:v>0.001833</x:v>
      </x:c>
      <x:c r="N37" s="39">
        <x:v>46275</x:v>
      </x:c>
      <x:c r="O37" s="40">
        <x:v>45</x:v>
      </x:c>
      <x:c r="P37" s="41">
        <x:f>(IF(G37&gt;0,G37+I37,I37)-(O37*Ventas!AE281*0.9422))</x:f>
      </x:c>
      <x:c r="Q37" s="43">
        <x:f>(P37/(Ventas!AE281*0.9422)/45)</x:f>
      </x:c>
      <x:c r="R37" s="25">
        <x:v>0</x:v>
      </x:c>
      <x:c r="S37" s="41">
        <x:f>IF(P37&gt;0,P37+R37,R37)</x:f>
      </x:c>
      <x:c r="T37" s="9"/>
      <x:c r="U37" s="41">
        <x:v>30</x:v>
      </x:c>
      <x:c r="V37" s="45">
        <x:v>0.001833</x:v>
      </x:c>
      <x:c r="W37" s="39">
        <x:v>46331</x:v>
      </x:c>
      <x:c r="X37" s="40">
        <x:v>56</x:v>
      </x:c>
      <x:c r="Y37" s="41">
        <x:f>(IF(P37&gt;0,P37+R37,R37)-(X37*Ventas!AE281*0.8268))</x:f>
      </x:c>
      <x:c r="Z37" s="43">
        <x:f>(Y37/(Ventas!AE281*0.8268)/45)</x:f>
      </x:c>
      <x:c r="AA37" s="41">
        <x:f>(100*(Ventas!AE281*1.9500) - IF(Y37&gt;0,Y37,0))</x:f>
      </x:c>
      <x:c r="AB37" s="41">
        <x:f>IF(AA37&gt;0,AA37,0)</x:f>
      </x:c>
      <x:c r="AC37" s="41">
        <x:f>IF(Y37&gt;0,Y37+IF(AB37&gt;0,AB37,0),AB37)</x:f>
      </x:c>
      <x:c r="AD37" s="46">
        <x:v>6.2852</x:v>
      </x:c>
      <x:c r="AE37" s="25">
        <x:v>3010</x:v>
      </x:c>
      <x:c r="AF37" s="41">
        <x:f>(AC37-(60*Ventas!AE281*1.9500))</x:f>
      </x:c>
      <x:c r="AG37" s="43">
        <x:f>(AF37/(Ventas!AE281*1.9500)/45)</x:f>
      </x:c>
      <x:c r="AH37" s="7" t="s">
        <x:v>34</x:v>
      </x:c>
    </x:row>
    <x:row r="38">
      <x:c r="A38" s="7" t="s">
        <x:v>722</x:v>
      </x:c>
      <x:c r="B38" s="7" t="s">
        <x:v>721</x:v>
      </x:c>
      <x:c r="C38" s="38" t="s">
        <x:v>720</x:v>
      </x:c>
      <x:c r="D38" s="25">
        <x:v>92</x:v>
      </x:c>
      <x:c r="E38" s="39">
        <x:v>46230</x:v>
      </x:c>
      <x:c r="F38" s="40">
        <x:v>5</x:v>
      </x:c>
      <x:c r="G38" s="41">
        <x:f>(D38-(0)+0-(F38*Ventas!AE321*1.1000))</x:f>
      </x:c>
      <x:c r="H38" s="43">
        <x:f>(G38/(Ventas!AE321*1.1000)/45)</x:f>
      </x:c>
      <x:c r="I38" s="25">
        <x:v>0</x:v>
      </x:c>
      <x:c r="J38" s="41">
        <x:f>IF(G38&gt;0,G38+I38,I38)</x:f>
      </x:c>
      <x:c r="K38" s="9"/>
      <x:c r="L38" s="41">
        <x:v>50</x:v>
      </x:c>
      <x:c r="M38" s="45">
        <x:v>0.00058</x:v>
      </x:c>
      <x:c r="N38" s="39">
        <x:v>46275</x:v>
      </x:c>
      <x:c r="O38" s="40">
        <x:v>45</x:v>
      </x:c>
      <x:c r="P38" s="41">
        <x:f>(IF(G38&gt;0,G38+I38,I38)-(O38*Ventas!AE321*0.9422))</x:f>
      </x:c>
      <x:c r="Q38" s="43">
        <x:f>(P38/(Ventas!AE321*0.9422)/45)</x:f>
      </x:c>
      <x:c r="R38" s="25">
        <x:v>0</x:v>
      </x:c>
      <x:c r="S38" s="41">
        <x:f>IF(P38&gt;0,P38+R38,R38)</x:f>
      </x:c>
      <x:c r="T38" s="9"/>
      <x:c r="U38" s="41">
        <x:v>50</x:v>
      </x:c>
      <x:c r="V38" s="45">
        <x:v>0.00058</x:v>
      </x:c>
      <x:c r="W38" s="39">
        <x:v>46331</x:v>
      </x:c>
      <x:c r="X38" s="40">
        <x:v>56</x:v>
      </x:c>
      <x:c r="Y38" s="41">
        <x:f>(IF(P38&gt;0,P38+R38,R38)-(X38*Ventas!AE321*0.8268))</x:f>
      </x:c>
      <x:c r="Z38" s="43">
        <x:f>(Y38/(Ventas!AE321*0.8268)/45)</x:f>
      </x:c>
      <x:c r="AA38" s="41">
        <x:f>(100*(Ventas!AE321*1.9500) - IF(Y38&gt;0,Y38,0))</x:f>
      </x:c>
      <x:c r="AB38" s="41">
        <x:f>IF(AA38&gt;0,AA38,0)</x:f>
      </x:c>
      <x:c r="AC38" s="41">
        <x:f>IF(Y38&gt;0,Y38+IF(AB38&gt;0,AB38,0),AB38)</x:f>
      </x:c>
      <x:c r="AD38" s="46">
        <x:v>5.9</x:v>
      </x:c>
      <x:c r="AE38" s="25">
        <x:v>3027</x:v>
      </x:c>
      <x:c r="AF38" s="41">
        <x:f>(AC38-(60*Ventas!AE321*1.9500))</x:f>
      </x:c>
      <x:c r="AG38" s="43">
        <x:f>(AF38/(Ventas!AE321*1.9500)/45)</x:f>
      </x:c>
      <x:c r="AH38" s="7" t="s">
        <x:v>34</x:v>
      </x:c>
    </x:row>
    <x:row r="39">
      <x:c r="A39" s="7" t="s">
        <x:v>725</x:v>
      </x:c>
      <x:c r="B39" s="7" t="s">
        <x:v>724</x:v>
      </x:c>
      <x:c r="C39" s="38" t="s">
        <x:v>723</x:v>
      </x:c>
      <x:c r="D39" s="25">
        <x:v>42</x:v>
      </x:c>
      <x:c r="E39" s="39">
        <x:v>46230</x:v>
      </x:c>
      <x:c r="F39" s="40">
        <x:v>5</x:v>
      </x:c>
      <x:c r="G39" s="41">
        <x:f>(D39-(0)+0-(F39*Ventas!AE322*1.1000))</x:f>
      </x:c>
      <x:c r="H39" s="43">
        <x:f>(G39/(Ventas!AE322*1.1000)/45)</x:f>
      </x:c>
      <x:c r="I39" s="25">
        <x:v>50</x:v>
      </x:c>
      <x:c r="J39" s="41">
        <x:f>IF(G39&gt;0,G39+I39,I39)</x:f>
      </x:c>
      <x:c r="K39" s="41">
        <x:v>5.9</x:v>
      </x:c>
      <x:c r="L39" s="41">
        <x:v>50</x:v>
      </x:c>
      <x:c r="M39" s="45">
        <x:v>0.00058</x:v>
      </x:c>
      <x:c r="N39" s="39">
        <x:v>46275</x:v>
      </x:c>
      <x:c r="O39" s="40">
        <x:v>45</x:v>
      </x:c>
      <x:c r="P39" s="41">
        <x:f>(IF(G39&gt;0,G39+I39,I39)-(O39*Ventas!AE322*0.9422))</x:f>
      </x:c>
      <x:c r="Q39" s="43">
        <x:f>(P39/(Ventas!AE322*0.9422)/45)</x:f>
      </x:c>
      <x:c r="R39" s="25">
        <x:v>0</x:v>
      </x:c>
      <x:c r="S39" s="41">
        <x:f>IF(P39&gt;0,P39+R39,R39)</x:f>
      </x:c>
      <x:c r="T39" s="9"/>
      <x:c r="U39" s="41">
        <x:v>50</x:v>
      </x:c>
      <x:c r="V39" s="45">
        <x:v>0.00058</x:v>
      </x:c>
      <x:c r="W39" s="39">
        <x:v>46331</x:v>
      </x:c>
      <x:c r="X39" s="40">
        <x:v>56</x:v>
      </x:c>
      <x:c r="Y39" s="41">
        <x:f>(IF(P39&gt;0,P39+R39,R39)-(X39*Ventas!AE322*0.8268))</x:f>
      </x:c>
      <x:c r="Z39" s="43">
        <x:f>(Y39/(Ventas!AE322*0.8268)/45)</x:f>
      </x:c>
      <x:c r="AA39" s="41">
        <x:f>(100*(Ventas!AE322*1.9500) - IF(Y39&gt;0,Y39,0))</x:f>
      </x:c>
      <x:c r="AB39" s="41">
        <x:f>IF(AA39&gt;0,AA39,0)</x:f>
      </x:c>
      <x:c r="AC39" s="41">
        <x:f>IF(Y39&gt;0,Y39+IF(AB39&gt;0,AB39,0),AB39)</x:f>
      </x:c>
      <x:c r="AD39" s="46">
        <x:v>5.9</x:v>
      </x:c>
      <x:c r="AE39" s="25">
        <x:v>3027</x:v>
      </x:c>
      <x:c r="AF39" s="41">
        <x:f>(AC39-(60*Ventas!AE322*1.9500))</x:f>
      </x:c>
      <x:c r="AG39" s="43">
        <x:f>(AF39/(Ventas!AE322*1.9500)/45)</x:f>
      </x:c>
      <x:c r="AH39" s="7" t="s">
        <x:v>34</x:v>
      </x:c>
    </x:row>
    <x:row r="40">
      <x:c r="A40" s="7" t="s">
        <x:v>728</x:v>
      </x:c>
      <x:c r="B40" s="7" t="s">
        <x:v>727</x:v>
      </x:c>
      <x:c r="C40" s="38" t="s">
        <x:v>726</x:v>
      </x:c>
      <x:c r="D40" s="25">
        <x:v>42</x:v>
      </x:c>
      <x:c r="E40" s="39">
        <x:v>46230</x:v>
      </x:c>
      <x:c r="F40" s="40">
        <x:v>5</x:v>
      </x:c>
      <x:c r="G40" s="41">
        <x:f>(D40-(0)+0-(F40*Ventas!AE323*1.1000))</x:f>
      </x:c>
      <x:c r="H40" s="43">
        <x:f>(G40/(Ventas!AE323*1.1000)/45)</x:f>
      </x:c>
      <x:c r="I40" s="25">
        <x:v>50</x:v>
      </x:c>
      <x:c r="J40" s="41">
        <x:f>IF(G40&gt;0,G40+I40,I40)</x:f>
      </x:c>
      <x:c r="K40" s="41">
        <x:v>5.9</x:v>
      </x:c>
      <x:c r="L40" s="41">
        <x:v>50</x:v>
      </x:c>
      <x:c r="M40" s="45">
        <x:v>0.00058</x:v>
      </x:c>
      <x:c r="N40" s="39">
        <x:v>46275</x:v>
      </x:c>
      <x:c r="O40" s="40">
        <x:v>45</x:v>
      </x:c>
      <x:c r="P40" s="41">
        <x:f>(IF(G40&gt;0,G40+I40,I40)-(O40*Ventas!AE323*0.9422))</x:f>
      </x:c>
      <x:c r="Q40" s="43">
        <x:f>(P40/(Ventas!AE323*0.9422)/45)</x:f>
      </x:c>
      <x:c r="R40" s="25">
        <x:v>0</x:v>
      </x:c>
      <x:c r="S40" s="41">
        <x:f>IF(P40&gt;0,P40+R40,R40)</x:f>
      </x:c>
      <x:c r="T40" s="9"/>
      <x:c r="U40" s="41">
        <x:v>50</x:v>
      </x:c>
      <x:c r="V40" s="45">
        <x:v>0.00058</x:v>
      </x:c>
      <x:c r="W40" s="39">
        <x:v>46331</x:v>
      </x:c>
      <x:c r="X40" s="40">
        <x:v>56</x:v>
      </x:c>
      <x:c r="Y40" s="41">
        <x:f>(IF(P40&gt;0,P40+R40,R40)-(X40*Ventas!AE323*0.8268))</x:f>
      </x:c>
      <x:c r="Z40" s="43">
        <x:f>(Y40/(Ventas!AE323*0.8268)/45)</x:f>
      </x:c>
      <x:c r="AA40" s="41">
        <x:f>(100*(Ventas!AE323*1.9500) - IF(Y40&gt;0,Y40,0))</x:f>
      </x:c>
      <x:c r="AB40" s="41">
        <x:f>IF(AA40&gt;0,AA40,0)</x:f>
      </x:c>
      <x:c r="AC40" s="41">
        <x:f>IF(Y40&gt;0,Y40+IF(AB40&gt;0,AB40,0),AB40)</x:f>
      </x:c>
      <x:c r="AD40" s="46">
        <x:v>5.9</x:v>
      </x:c>
      <x:c r="AE40" s="25">
        <x:v>3027</x:v>
      </x:c>
      <x:c r="AF40" s="41">
        <x:f>(AC40-(60*Ventas!AE323*1.9500))</x:f>
      </x:c>
      <x:c r="AG40" s="43">
        <x:f>(AF40/(Ventas!AE323*1.9500)/45)</x:f>
      </x:c>
      <x:c r="AH40" s="7" t="s">
        <x:v>34</x:v>
      </x:c>
    </x:row>
    <x:row r="41">
      <x:c r="A41" s="7" t="s">
        <x:v>731</x:v>
      </x:c>
      <x:c r="B41" s="7" t="s">
        <x:v>730</x:v>
      </x:c>
      <x:c r="C41" s="38" t="s">
        <x:v>729</x:v>
      </x:c>
      <x:c r="D41" s="25">
        <x:v>45</x:v>
      </x:c>
      <x:c r="E41" s="39">
        <x:v>46230</x:v>
      </x:c>
      <x:c r="F41" s="40">
        <x:v>5</x:v>
      </x:c>
      <x:c r="G41" s="41">
        <x:f>(D41-(0)+0-(F41*Ventas!AE324*1.1000))</x:f>
      </x:c>
      <x:c r="H41" s="43">
        <x:f>(G41/(Ventas!AE324*1.1000)/45)</x:f>
      </x:c>
      <x:c r="I41" s="25">
        <x:v>0</x:v>
      </x:c>
      <x:c r="J41" s="41">
        <x:f>IF(G41&gt;0,G41+I41,I41)</x:f>
      </x:c>
      <x:c r="K41" s="9"/>
      <x:c r="L41" s="41">
        <x:v>50</x:v>
      </x:c>
      <x:c r="M41" s="45">
        <x:v>0.00058</x:v>
      </x:c>
      <x:c r="N41" s="39">
        <x:v>46275</x:v>
      </x:c>
      <x:c r="O41" s="40">
        <x:v>45</x:v>
      </x:c>
      <x:c r="P41" s="41">
        <x:f>(IF(G41&gt;0,G41+I41,I41)-(O41*Ventas!AE324*0.9422))</x:f>
      </x:c>
      <x:c r="Q41" s="43">
        <x:f>(P41/(Ventas!AE324*0.9422)/45)</x:f>
      </x:c>
      <x:c r="R41" s="25">
        <x:v>0</x:v>
      </x:c>
      <x:c r="S41" s="41">
        <x:f>IF(P41&gt;0,P41+R41,R41)</x:f>
      </x:c>
      <x:c r="T41" s="9"/>
      <x:c r="U41" s="41">
        <x:v>50</x:v>
      </x:c>
      <x:c r="V41" s="45">
        <x:v>0.00058</x:v>
      </x:c>
      <x:c r="W41" s="39">
        <x:v>46331</x:v>
      </x:c>
      <x:c r="X41" s="40">
        <x:v>56</x:v>
      </x:c>
      <x:c r="Y41" s="41">
        <x:f>(IF(P41&gt;0,P41+R41,R41)-(X41*Ventas!AE324*0.8268))</x:f>
      </x:c>
      <x:c r="Z41" s="43">
        <x:f>(Y41/(Ventas!AE324*0.8268)/45)</x:f>
      </x:c>
      <x:c r="AA41" s="41">
        <x:f>(100*(Ventas!AE324*1.9500) - IF(Y41&gt;0,Y41,0))</x:f>
      </x:c>
      <x:c r="AB41" s="41">
        <x:f>IF(AA41&gt;0,AA41,0)</x:f>
      </x:c>
      <x:c r="AC41" s="41">
        <x:f>IF(Y41&gt;0,Y41+IF(AB41&gt;0,AB41,0),AB41)</x:f>
      </x:c>
      <x:c r="AD41" s="46">
        <x:v>5.9</x:v>
      </x:c>
      <x:c r="AE41" s="25">
        <x:v>3027</x:v>
      </x:c>
      <x:c r="AF41" s="41">
        <x:f>(AC41-(60*Ventas!AE324*1.9500))</x:f>
      </x:c>
      <x:c r="AG41" s="43">
        <x:f>(AF41/(Ventas!AE324*1.9500)/45)</x:f>
      </x:c>
      <x:c r="AH41" s="7" t="s">
        <x:v>34</x:v>
      </x:c>
    </x:row>
    <x:row r="42">
      <x:c r="A42" s="7"/>
      <x:c r="B42" s="7" t="s">
        <x:v>838</x:v>
      </x:c>
      <x:c r="C42" s="38" t="s">
        <x:v>837</x:v>
      </x:c>
      <x:c r="D42" s="9"/>
      <x:c r="E42" s="39">
        <x:v>46230</x:v>
      </x:c>
      <x:c r="F42" s="40">
        <x:v>5</x:v>
      </x:c>
      <x:c r="G42" s="41">
        <x:f>(D42-(0)+0-(F42*Ventas!AE371*1.1000))</x:f>
      </x:c>
      <x:c r="H42" s="9"/>
      <x:c r="I42" s="25">
        <x:v>1</x:v>
      </x:c>
      <x:c r="J42" s="41">
        <x:f>IF(G42&gt;0,G42+I42,I42)</x:f>
      </x:c>
      <x:c r="K42" s="41">
        <x:v>111.2</x:v>
      </x:c>
      <x:c r="L42" s="9"/>
      <x:c r="M42" s="9"/>
      <x:c r="N42" s="39">
        <x:v>46275</x:v>
      </x:c>
      <x:c r="O42" s="40">
        <x:v>45</x:v>
      </x:c>
      <x:c r="P42" s="41">
        <x:f>(IF(G42&gt;0,G42+I42,I42)-(O42*Ventas!AE371*0.9422))</x:f>
      </x:c>
      <x:c r="Q42" s="9"/>
      <x:c r="R42" s="25">
        <x:v>0</x:v>
      </x:c>
      <x:c r="S42" s="41">
        <x:f>IF(P42&gt;0,P42+R42,R42)</x:f>
      </x:c>
      <x:c r="T42" s="9"/>
      <x:c r="U42" s="9"/>
      <x:c r="V42" s="9"/>
      <x:c r="W42" s="39">
        <x:v>46331</x:v>
      </x:c>
      <x:c r="X42" s="40">
        <x:v>56</x:v>
      </x:c>
      <x:c r="Y42" s="41">
        <x:f>(IF(P42&gt;0,P42+R42,R42)-(X42*Ventas!AE371*0.8268))</x:f>
      </x:c>
      <x:c r="Z42" s="9"/>
      <x:c r="AA42" s="41">
        <x:f>(100*(Ventas!AE371*1.9500) - IF(Y42&gt;0,Y42,0))</x:f>
      </x:c>
      <x:c r="AB42" s="41">
        <x:f>IF(AA42&gt;0,AA42,0)</x:f>
      </x:c>
      <x:c r="AC42" s="41">
        <x:f>IF(Y42&gt;0,Y42+IF(AB42&gt;0,AB42,0),AB42)</x:f>
      </x:c>
      <x:c r="AD42" s="46">
        <x:v>111.2</x:v>
      </x:c>
      <x:c r="AE42" s="25">
        <x:v>3027</x:v>
      </x:c>
      <x:c r="AF42" s="9"/>
      <x:c r="AG42" s="9"/>
      <x:c r="AH42" s="7" t="s">
        <x:v>107</x:v>
      </x:c>
    </x:row>
    <x:row r="43">
      <x:c r="A43" s="7"/>
      <x:c r="B43" s="7" t="s">
        <x:v>840</x:v>
      </x:c>
      <x:c r="C43" s="38" t="s">
        <x:v>839</x:v>
      </x:c>
      <x:c r="D43" s="9"/>
      <x:c r="E43" s="39">
        <x:v>46230</x:v>
      </x:c>
      <x:c r="F43" s="40">
        <x:v>5</x:v>
      </x:c>
      <x:c r="G43" s="41">
        <x:f>(D43-(0)+0-(F43*Ventas!AE372*1.1000))</x:f>
      </x:c>
      <x:c r="H43" s="9"/>
      <x:c r="I43" s="25">
        <x:v>1</x:v>
      </x:c>
      <x:c r="J43" s="41">
        <x:f>IF(G43&gt;0,G43+I43,I43)</x:f>
      </x:c>
      <x:c r="K43" s="41">
        <x:v>79.2</x:v>
      </x:c>
      <x:c r="L43" s="9"/>
      <x:c r="M43" s="9"/>
      <x:c r="N43" s="39">
        <x:v>46275</x:v>
      </x:c>
      <x:c r="O43" s="40">
        <x:v>45</x:v>
      </x:c>
      <x:c r="P43" s="41">
        <x:f>(IF(G43&gt;0,G43+I43,I43)-(O43*Ventas!AE372*0.9422))</x:f>
      </x:c>
      <x:c r="Q43" s="9"/>
      <x:c r="R43" s="25">
        <x:v>0</x:v>
      </x:c>
      <x:c r="S43" s="41">
        <x:f>IF(P43&gt;0,P43+R43,R43)</x:f>
      </x:c>
      <x:c r="T43" s="9"/>
      <x:c r="U43" s="9"/>
      <x:c r="V43" s="9"/>
      <x:c r="W43" s="39">
        <x:v>46331</x:v>
      </x:c>
      <x:c r="X43" s="40">
        <x:v>56</x:v>
      </x:c>
      <x:c r="Y43" s="41">
        <x:f>(IF(P43&gt;0,P43+R43,R43)-(X43*Ventas!AE372*0.8268))</x:f>
      </x:c>
      <x:c r="Z43" s="9"/>
      <x:c r="AA43" s="41">
        <x:f>(100*(Ventas!AE372*1.9500) - IF(Y43&gt;0,Y43,0))</x:f>
      </x:c>
      <x:c r="AB43" s="41">
        <x:f>IF(AA43&gt;0,AA43,0)</x:f>
      </x:c>
      <x:c r="AC43" s="41">
        <x:f>IF(Y43&gt;0,Y43+IF(AB43&gt;0,AB43,0),AB43)</x:f>
      </x:c>
      <x:c r="AD43" s="46">
        <x:v>79.2</x:v>
      </x:c>
      <x:c r="AE43" s="25">
        <x:v>3027</x:v>
      </x:c>
      <x:c r="AF43" s="9"/>
      <x:c r="AG43" s="9"/>
      <x:c r="AH43" s="7" t="s">
        <x:v>107</x:v>
      </x:c>
    </x:row>
    <x:row r="44">
      <x:c r="A44" s="7"/>
      <x:c r="B44" s="7" t="s">
        <x:v>40</x:v>
      </x:c>
      <x:c r="C44" s="38" t="s">
        <x:v>39</x:v>
      </x:c>
      <x:c r="D44" s="25">
        <x:v>203</x:v>
      </x:c>
      <x:c r="E44" s="39">
        <x:v>46230</x:v>
      </x:c>
      <x:c r="F44" s="40">
        <x:v>5</x:v>
      </x:c>
      <x:c r="G44" s="41">
        <x:f>(D44-(0)+0-(F44*Ventas!AE5*1.8000))</x:f>
      </x:c>
      <x:c r="H44" s="9"/>
      <x:c r="I44" s="25">
        <x:v>0</x:v>
      </x:c>
      <x:c r="J44" s="41">
        <x:f>IF(G44&gt;0,G44+I44,I44)</x:f>
      </x:c>
      <x:c r="K44" s="9"/>
      <x:c r="L44" s="9"/>
      <x:c r="M44" s="9"/>
      <x:c r="N44" s="39">
        <x:v>46275</x:v>
      </x:c>
      <x:c r="O44" s="40">
        <x:v>45</x:v>
      </x:c>
      <x:c r="P44" s="41">
        <x:f>(IF(G44&gt;0,G44+I44,I44)-(O44*Ventas!AE5*1.0044))</x:f>
      </x:c>
      <x:c r="Q44" s="9"/>
      <x:c r="R44" s="25">
        <x:v>0</x:v>
      </x:c>
      <x:c r="S44" s="41">
        <x:f>IF(P44&gt;0,P44+R44,R44)</x:f>
      </x:c>
      <x:c r="T44" s="9"/>
      <x:c r="U44" s="9"/>
      <x:c r="V44" s="9"/>
      <x:c r="W44" s="39">
        <x:v>46331</x:v>
      </x:c>
      <x:c r="X44" s="40">
        <x:v>56</x:v>
      </x:c>
      <x:c r="Y44" s="41">
        <x:f>(IF(P44&gt;0,P44+R44,R44)-(X44*Ventas!AE5*0.9018))</x:f>
      </x:c>
      <x:c r="Z44" s="9"/>
      <x:c r="AA44" s="41">
        <x:f>(100*(Ventas!AE5*1.2350) - IF(Y44&gt;0,Y44,0))</x:f>
      </x:c>
      <x:c r="AB44" s="41">
        <x:f>IF(AA44&gt;0,AA44,0)</x:f>
      </x:c>
      <x:c r="AC44" s="41">
        <x:f>IF(Y44&gt;0,Y44+IF(AB44&gt;0,AB44,0),AB44)</x:f>
      </x:c>
      <x:c r="AD44" s="9"/>
      <x:c r="AE44" s="25">
        <x:v>3027</x:v>
      </x:c>
      <x:c r="AF44" s="9"/>
      <x:c r="AG44" s="9"/>
      <x:c r="AH44" s="7" t="s">
        <x:v>34</x:v>
      </x:c>
    </x:row>
    <x:row r="45">
      <x:c r="A45" s="7"/>
      <x:c r="B45" s="7" t="s">
        <x:v>42</x:v>
      </x:c>
      <x:c r="C45" s="38" t="s">
        <x:v>41</x:v>
      </x:c>
      <x:c r="D45" s="25">
        <x:v>2</x:v>
      </x:c>
      <x:c r="E45" s="39">
        <x:v>46230</x:v>
      </x:c>
      <x:c r="F45" s="40">
        <x:v>5</x:v>
      </x:c>
      <x:c r="G45" s="41">
        <x:f>(D45-(0)+0-(F45*Ventas!AE6*1.8000))</x:f>
      </x:c>
      <x:c r="H45" s="9"/>
      <x:c r="I45" s="25">
        <x:v>0</x:v>
      </x:c>
      <x:c r="J45" s="41">
        <x:f>IF(G45&gt;0,G45+I45,I45)</x:f>
      </x:c>
      <x:c r="K45" s="9"/>
      <x:c r="L45" s="9"/>
      <x:c r="M45" s="9"/>
      <x:c r="N45" s="39">
        <x:v>46275</x:v>
      </x:c>
      <x:c r="O45" s="40">
        <x:v>45</x:v>
      </x:c>
      <x:c r="P45" s="41">
        <x:f>(IF(G45&gt;0,G45+I45,I45)-(O45*Ventas!AE6*1.0044))</x:f>
      </x:c>
      <x:c r="Q45" s="9"/>
      <x:c r="R45" s="25">
        <x:v>0</x:v>
      </x:c>
      <x:c r="S45" s="41">
        <x:f>IF(P45&gt;0,P45+R45,R45)</x:f>
      </x:c>
      <x:c r="T45" s="9"/>
      <x:c r="U45" s="9"/>
      <x:c r="V45" s="9"/>
      <x:c r="W45" s="39">
        <x:v>46331</x:v>
      </x:c>
      <x:c r="X45" s="40">
        <x:v>56</x:v>
      </x:c>
      <x:c r="Y45" s="41">
        <x:f>(IF(P45&gt;0,P45+R45,R45)-(X45*Ventas!AE6*0.9018))</x:f>
      </x:c>
      <x:c r="Z45" s="9"/>
      <x:c r="AA45" s="41">
        <x:f>(100*(Ventas!AE6*1.2350) - IF(Y45&gt;0,Y45,0))</x:f>
      </x:c>
      <x:c r="AB45" s="41">
        <x:f>IF(AA45&gt;0,AA45,0)</x:f>
      </x:c>
      <x:c r="AC45" s="41">
        <x:f>IF(Y45&gt;0,Y45+IF(AB45&gt;0,AB45,0),AB45)</x:f>
      </x:c>
      <x:c r="AD45" s="9"/>
      <x:c r="AE45" s="25">
        <x:v>3010</x:v>
      </x:c>
      <x:c r="AF45" s="9"/>
      <x:c r="AG45" s="9"/>
      <x:c r="AH45" s="7" t="s">
        <x:v>34</x:v>
      </x:c>
    </x:row>
    <x:row r="46">
      <x:c r="A46" s="7"/>
      <x:c r="B46" s="7" t="s">
        <x:v>44</x:v>
      </x:c>
      <x:c r="C46" s="38" t="s">
        <x:v>43</x:v>
      </x:c>
      <x:c r="D46" s="25">
        <x:v>4</x:v>
      </x:c>
      <x:c r="E46" s="39">
        <x:v>46230</x:v>
      </x:c>
      <x:c r="F46" s="40">
        <x:v>5</x:v>
      </x:c>
      <x:c r="G46" s="41">
        <x:f>(D46-(0)+0-(F46*Ventas!AE7*1.8000))</x:f>
      </x:c>
      <x:c r="H46" s="9"/>
      <x:c r="I46" s="25">
        <x:v>0</x:v>
      </x:c>
      <x:c r="J46" s="41">
        <x:f>IF(G46&gt;0,G46+I46,I46)</x:f>
      </x:c>
      <x:c r="K46" s="9"/>
      <x:c r="L46" s="9"/>
      <x:c r="M46" s="9"/>
      <x:c r="N46" s="39">
        <x:v>46275</x:v>
      </x:c>
      <x:c r="O46" s="40">
        <x:v>45</x:v>
      </x:c>
      <x:c r="P46" s="41">
        <x:f>(IF(G46&gt;0,G46+I46,I46)-(O46*Ventas!AE7*1.0044))</x:f>
      </x:c>
      <x:c r="Q46" s="9"/>
      <x:c r="R46" s="25">
        <x:v>5</x:v>
      </x:c>
      <x:c r="S46" s="41">
        <x:f>IF(P46&gt;0,P46+R46,R46)</x:f>
      </x:c>
      <x:c r="T46" s="9"/>
      <x:c r="U46" s="9"/>
      <x:c r="V46" s="9"/>
      <x:c r="W46" s="39">
        <x:v>46331</x:v>
      </x:c>
      <x:c r="X46" s="40">
        <x:v>56</x:v>
      </x:c>
      <x:c r="Y46" s="41">
        <x:f>(IF(P46&gt;0,P46+R46,R46)-(X46*Ventas!AE7*0.9018))</x:f>
      </x:c>
      <x:c r="Z46" s="9"/>
      <x:c r="AA46" s="41">
        <x:f>(100*(Ventas!AE7*1.2350) - IF(Y46&gt;0,Y46,0))</x:f>
      </x:c>
      <x:c r="AB46" s="41">
        <x:f>IF(AA46&gt;0,AA46,0)</x:f>
      </x:c>
      <x:c r="AC46" s="41">
        <x:f>IF(Y46&gt;0,Y46+IF(AB46&gt;0,AB46,0),AB46)</x:f>
      </x:c>
      <x:c r="AD46" s="9"/>
      <x:c r="AE46" s="25">
        <x:v>3010</x:v>
      </x:c>
      <x:c r="AF46" s="9"/>
      <x:c r="AG46" s="9"/>
      <x:c r="AH46" s="7" t="s">
        <x:v>34</x:v>
      </x:c>
    </x:row>
    <x:row r="47">
      <x:c r="A47" s="7"/>
      <x:c r="B47" s="7" t="s">
        <x:v>46</x:v>
      </x:c>
      <x:c r="C47" s="38" t="s">
        <x:v>45</x:v>
      </x:c>
      <x:c r="D47" s="25">
        <x:v>7</x:v>
      </x:c>
      <x:c r="E47" s="39">
        <x:v>46230</x:v>
      </x:c>
      <x:c r="F47" s="40">
        <x:v>5</x:v>
      </x:c>
      <x:c r="G47" s="41">
        <x:f>(D47-(0)+0-(F47*Ventas!AE8*1.8000))</x:f>
      </x:c>
      <x:c r="H47" s="9"/>
      <x:c r="I47" s="25">
        <x:v>0</x:v>
      </x:c>
      <x:c r="J47" s="41">
        <x:f>IF(G47&gt;0,G47+I47,I47)</x:f>
      </x:c>
      <x:c r="K47" s="9"/>
      <x:c r="L47" s="9"/>
      <x:c r="M47" s="9"/>
      <x:c r="N47" s="39">
        <x:v>46275</x:v>
      </x:c>
      <x:c r="O47" s="40">
        <x:v>45</x:v>
      </x:c>
      <x:c r="P47" s="41">
        <x:f>(IF(G47&gt;0,G47+I47,I47)-(O47*Ventas!AE8*1.0044))</x:f>
      </x:c>
      <x:c r="Q47" s="9"/>
      <x:c r="R47" s="25">
        <x:v>0</x:v>
      </x:c>
      <x:c r="S47" s="41">
        <x:f>IF(P47&gt;0,P47+R47,R47)</x:f>
      </x:c>
      <x:c r="T47" s="9"/>
      <x:c r="U47" s="9"/>
      <x:c r="V47" s="9"/>
      <x:c r="W47" s="39">
        <x:v>46331</x:v>
      </x:c>
      <x:c r="X47" s="40">
        <x:v>56</x:v>
      </x:c>
      <x:c r="Y47" s="41">
        <x:f>(IF(P47&gt;0,P47+R47,R47)-(X47*Ventas!AE8*0.9018))</x:f>
      </x:c>
      <x:c r="Z47" s="9"/>
      <x:c r="AA47" s="41">
        <x:f>(100*(Ventas!AE8*1.2350) - IF(Y47&gt;0,Y47,0))</x:f>
      </x:c>
      <x:c r="AB47" s="41">
        <x:f>IF(AA47&gt;0,AA47,0)</x:f>
      </x:c>
      <x:c r="AC47" s="41">
        <x:f>IF(Y47&gt;0,Y47+IF(AB47&gt;0,AB47,0),AB47)</x:f>
      </x:c>
      <x:c r="AD47" s="9"/>
      <x:c r="AE47" s="25">
        <x:v>3010</x:v>
      </x:c>
      <x:c r="AF47" s="9"/>
      <x:c r="AG47" s="9"/>
      <x:c r="AH47" s="7" t="s">
        <x:v>34</x:v>
      </x:c>
    </x:row>
    <x:row r="48">
      <x:c r="A48" s="7"/>
      <x:c r="B48" s="7" t="s">
        <x:v>48</x:v>
      </x:c>
      <x:c r="C48" s="38" t="s">
        <x:v>47</x:v>
      </x:c>
      <x:c r="D48" s="25">
        <x:v>8</x:v>
      </x:c>
      <x:c r="E48" s="39">
        <x:v>46230</x:v>
      </x:c>
      <x:c r="F48" s="40">
        <x:v>5</x:v>
      </x:c>
      <x:c r="G48" s="41">
        <x:f>(D48-(0)+0-(F48*Ventas!AE9*1.8000))</x:f>
      </x:c>
      <x:c r="H48" s="9"/>
      <x:c r="I48" s="25">
        <x:v>0</x:v>
      </x:c>
      <x:c r="J48" s="41">
        <x:f>IF(G48&gt;0,G48+I48,I48)</x:f>
      </x:c>
      <x:c r="K48" s="9"/>
      <x:c r="L48" s="9"/>
      <x:c r="M48" s="9"/>
      <x:c r="N48" s="39">
        <x:v>46275</x:v>
      </x:c>
      <x:c r="O48" s="40">
        <x:v>45</x:v>
      </x:c>
      <x:c r="P48" s="41">
        <x:f>(IF(G48&gt;0,G48+I48,I48)-(O48*Ventas!AE9*1.0044))</x:f>
      </x:c>
      <x:c r="Q48" s="9"/>
      <x:c r="R48" s="25">
        <x:v>0</x:v>
      </x:c>
      <x:c r="S48" s="41">
        <x:f>IF(P48&gt;0,P48+R48,R48)</x:f>
      </x:c>
      <x:c r="T48" s="9"/>
      <x:c r="U48" s="9"/>
      <x:c r="V48" s="9"/>
      <x:c r="W48" s="39">
        <x:v>46331</x:v>
      </x:c>
      <x:c r="X48" s="40">
        <x:v>56</x:v>
      </x:c>
      <x:c r="Y48" s="41">
        <x:f>(IF(P48&gt;0,P48+R48,R48)-(X48*Ventas!AE9*0.9018))</x:f>
      </x:c>
      <x:c r="Z48" s="9"/>
      <x:c r="AA48" s="41">
        <x:f>(100*(Ventas!AE9*1.2350) - IF(Y48&gt;0,Y48,0))</x:f>
      </x:c>
      <x:c r="AB48" s="41">
        <x:f>IF(AA48&gt;0,AA48,0)</x:f>
      </x:c>
      <x:c r="AC48" s="41">
        <x:f>IF(Y48&gt;0,Y48+IF(AB48&gt;0,AB48,0),AB48)</x:f>
      </x:c>
      <x:c r="AD48" s="9"/>
      <x:c r="AE48" s="25">
        <x:v>3010</x:v>
      </x:c>
      <x:c r="AF48" s="9"/>
      <x:c r="AG48" s="9"/>
      <x:c r="AH48" s="7" t="s">
        <x:v>34</x:v>
      </x:c>
    </x:row>
    <x:row r="49">
      <x:c r="A49" s="7"/>
      <x:c r="B49" s="7" t="s">
        <x:v>50</x:v>
      </x:c>
      <x:c r="C49" s="38" t="s">
        <x:v>49</x:v>
      </x:c>
      <x:c r="D49" s="9"/>
      <x:c r="E49" s="39">
        <x:v>46230</x:v>
      </x:c>
      <x:c r="F49" s="40">
        <x:v>5</x:v>
      </x:c>
      <x:c r="G49" s="41">
        <x:f>(D49-(0)+0-(F49*Ventas!AE10*1.8000))</x:f>
      </x:c>
      <x:c r="H49" s="9"/>
      <x:c r="I49" s="25">
        <x:v>0</x:v>
      </x:c>
      <x:c r="J49" s="41">
        <x:f>IF(G49&gt;0,G49+I49,I49)</x:f>
      </x:c>
      <x:c r="K49" s="9"/>
      <x:c r="L49" s="9"/>
      <x:c r="M49" s="9"/>
      <x:c r="N49" s="39">
        <x:v>46275</x:v>
      </x:c>
      <x:c r="O49" s="40">
        <x:v>45</x:v>
      </x:c>
      <x:c r="P49" s="41">
        <x:f>(IF(G49&gt;0,G49+I49,I49)-(O49*Ventas!AE10*1.0044))</x:f>
      </x:c>
      <x:c r="Q49" s="9"/>
      <x:c r="R49" s="25">
        <x:v>0</x:v>
      </x:c>
      <x:c r="S49" s="41">
        <x:f>IF(P49&gt;0,P49+R49,R49)</x:f>
      </x:c>
      <x:c r="T49" s="9"/>
      <x:c r="U49" s="9"/>
      <x:c r="V49" s="9"/>
      <x:c r="W49" s="39">
        <x:v>46331</x:v>
      </x:c>
      <x:c r="X49" s="40">
        <x:v>56</x:v>
      </x:c>
      <x:c r="Y49" s="41">
        <x:f>(IF(P49&gt;0,P49+R49,R49)-(X49*Ventas!AE10*0.9018))</x:f>
      </x:c>
      <x:c r="Z49" s="9"/>
      <x:c r="AA49" s="41">
        <x:f>(100*(Ventas!AE10*1.2350) - IF(Y49&gt;0,Y49,0))</x:f>
      </x:c>
      <x:c r="AB49" s="41">
        <x:f>IF(AA49&gt;0,AA49,0)</x:f>
      </x:c>
      <x:c r="AC49" s="41">
        <x:f>IF(Y49&gt;0,Y49+IF(AB49&gt;0,AB49,0),AB49)</x:f>
      </x:c>
      <x:c r="AD49" s="9"/>
      <x:c r="AE49" s="9"/>
      <x:c r="AF49" s="9"/>
      <x:c r="AG49" s="9"/>
      <x:c r="AH49" s="7" t="s">
        <x:v>34</x:v>
      </x:c>
    </x:row>
    <x:row r="50">
      <x:c r="A50" s="7"/>
      <x:c r="B50" s="7" t="s">
        <x:v>52</x:v>
      </x:c>
      <x:c r="C50" s="38" t="s">
        <x:v>51</x:v>
      </x:c>
      <x:c r="D50" s="9"/>
      <x:c r="E50" s="39">
        <x:v>46230</x:v>
      </x:c>
      <x:c r="F50" s="40">
        <x:v>5</x:v>
      </x:c>
      <x:c r="G50" s="41">
        <x:f>(D50-(0)+0-(F50*Ventas!AE11*1.8000))</x:f>
      </x:c>
      <x:c r="H50" s="9"/>
      <x:c r="I50" s="25">
        <x:v>0</x:v>
      </x:c>
      <x:c r="J50" s="41">
        <x:f>IF(G50&gt;0,G50+I50,I50)</x:f>
      </x:c>
      <x:c r="K50" s="9"/>
      <x:c r="L50" s="9"/>
      <x:c r="M50" s="9"/>
      <x:c r="N50" s="39">
        <x:v>46275</x:v>
      </x:c>
      <x:c r="O50" s="40">
        <x:v>45</x:v>
      </x:c>
      <x:c r="P50" s="41">
        <x:f>(IF(G50&gt;0,G50+I50,I50)-(O50*Ventas!AE11*1.0044))</x:f>
      </x:c>
      <x:c r="Q50" s="9"/>
      <x:c r="R50" s="25">
        <x:v>0</x:v>
      </x:c>
      <x:c r="S50" s="41">
        <x:f>IF(P50&gt;0,P50+R50,R50)</x:f>
      </x:c>
      <x:c r="T50" s="9"/>
      <x:c r="U50" s="9"/>
      <x:c r="V50" s="9"/>
      <x:c r="W50" s="39">
        <x:v>46331</x:v>
      </x:c>
      <x:c r="X50" s="40">
        <x:v>56</x:v>
      </x:c>
      <x:c r="Y50" s="41">
        <x:f>(IF(P50&gt;0,P50+R50,R50)-(X50*Ventas!AE11*0.9018))</x:f>
      </x:c>
      <x:c r="Z50" s="9"/>
      <x:c r="AA50" s="41">
        <x:f>(100*(Ventas!AE11*1.2350) - IF(Y50&gt;0,Y50,0))</x:f>
      </x:c>
      <x:c r="AB50" s="41">
        <x:f>IF(AA50&gt;0,AA50,0)</x:f>
      </x:c>
      <x:c r="AC50" s="41">
        <x:f>IF(Y50&gt;0,Y50+IF(AB50&gt;0,AB50,0),AB50)</x:f>
      </x:c>
      <x:c r="AD50" s="9"/>
      <x:c r="AE50" s="25">
        <x:v>3010</x:v>
      </x:c>
      <x:c r="AF50" s="9"/>
      <x:c r="AG50" s="9"/>
      <x:c r="AH50" s="7" t="s">
        <x:v>34</x:v>
      </x:c>
    </x:row>
    <x:row r="51">
      <x:c r="A51" s="7"/>
      <x:c r="B51" s="7" t="s">
        <x:v>54</x:v>
      </x:c>
      <x:c r="C51" s="38" t="s">
        <x:v>53</x:v>
      </x:c>
      <x:c r="D51" s="9"/>
      <x:c r="E51" s="39">
        <x:v>46230</x:v>
      </x:c>
      <x:c r="F51" s="40">
        <x:v>5</x:v>
      </x:c>
      <x:c r="G51" s="41">
        <x:f>(D51-(0)+0-(F51*Ventas!AE12*1.8000))</x:f>
      </x:c>
      <x:c r="H51" s="9"/>
      <x:c r="I51" s="25">
        <x:v>0</x:v>
      </x:c>
      <x:c r="J51" s="41">
        <x:f>IF(G51&gt;0,G51+I51,I51)</x:f>
      </x:c>
      <x:c r="K51" s="9"/>
      <x:c r="L51" s="9"/>
      <x:c r="M51" s="9"/>
      <x:c r="N51" s="39">
        <x:v>46275</x:v>
      </x:c>
      <x:c r="O51" s="40">
        <x:v>45</x:v>
      </x:c>
      <x:c r="P51" s="41">
        <x:f>(IF(G51&gt;0,G51+I51,I51)-(O51*Ventas!AE12*1.0044))</x:f>
      </x:c>
      <x:c r="Q51" s="9"/>
      <x:c r="R51" s="25">
        <x:v>0</x:v>
      </x:c>
      <x:c r="S51" s="41">
        <x:f>IF(P51&gt;0,P51+R51,R51)</x:f>
      </x:c>
      <x:c r="T51" s="9"/>
      <x:c r="U51" s="9"/>
      <x:c r="V51" s="9"/>
      <x:c r="W51" s="39">
        <x:v>46331</x:v>
      </x:c>
      <x:c r="X51" s="40">
        <x:v>56</x:v>
      </x:c>
      <x:c r="Y51" s="41">
        <x:f>(IF(P51&gt;0,P51+R51,R51)-(X51*Ventas!AE12*0.9018))</x:f>
      </x:c>
      <x:c r="Z51" s="9"/>
      <x:c r="AA51" s="41">
        <x:f>(100*(Ventas!AE12*1.2350) - IF(Y51&gt;0,Y51,0))</x:f>
      </x:c>
      <x:c r="AB51" s="41">
        <x:f>IF(AA51&gt;0,AA51,0)</x:f>
      </x:c>
      <x:c r="AC51" s="41">
        <x:f>IF(Y51&gt;0,Y51+IF(AB51&gt;0,AB51,0),AB51)</x:f>
      </x:c>
      <x:c r="AD51" s="9"/>
      <x:c r="AE51" s="25">
        <x:v>3010</x:v>
      </x:c>
      <x:c r="AF51" s="9"/>
      <x:c r="AG51" s="9"/>
      <x:c r="AH51" s="7" t="s">
        <x:v>34</x:v>
      </x:c>
    </x:row>
    <x:row r="52">
      <x:c r="A52" s="7"/>
      <x:c r="B52" s="7" t="s">
        <x:v>56</x:v>
      </x:c>
      <x:c r="C52" s="38" t="s">
        <x:v>55</x:v>
      </x:c>
      <x:c r="D52" s="9"/>
      <x:c r="E52" s="39">
        <x:v>46230</x:v>
      </x:c>
      <x:c r="F52" s="40">
        <x:v>5</x:v>
      </x:c>
      <x:c r="G52" s="41">
        <x:f>(D52-(0)+0-(F52*Ventas!AE13*1.8000))</x:f>
      </x:c>
      <x:c r="H52" s="9"/>
      <x:c r="I52" s="25">
        <x:v>0</x:v>
      </x:c>
      <x:c r="J52" s="41">
        <x:f>IF(G52&gt;0,G52+I52,I52)</x:f>
      </x:c>
      <x:c r="K52" s="9"/>
      <x:c r="L52" s="9"/>
      <x:c r="M52" s="9"/>
      <x:c r="N52" s="39">
        <x:v>46275</x:v>
      </x:c>
      <x:c r="O52" s="40">
        <x:v>45</x:v>
      </x:c>
      <x:c r="P52" s="41">
        <x:f>(IF(G52&gt;0,G52+I52,I52)-(O52*Ventas!AE13*1.0044))</x:f>
      </x:c>
      <x:c r="Q52" s="9"/>
      <x:c r="R52" s="25">
        <x:v>0</x:v>
      </x:c>
      <x:c r="S52" s="41">
        <x:f>IF(P52&gt;0,P52+R52,R52)</x:f>
      </x:c>
      <x:c r="T52" s="9"/>
      <x:c r="U52" s="9"/>
      <x:c r="V52" s="9"/>
      <x:c r="W52" s="39">
        <x:v>46331</x:v>
      </x:c>
      <x:c r="X52" s="40">
        <x:v>56</x:v>
      </x:c>
      <x:c r="Y52" s="41">
        <x:f>(IF(P52&gt;0,P52+R52,R52)-(X52*Ventas!AE13*0.9018))</x:f>
      </x:c>
      <x:c r="Z52" s="9"/>
      <x:c r="AA52" s="41">
        <x:f>(100*(Ventas!AE13*1.2350) - IF(Y52&gt;0,Y52,0))</x:f>
      </x:c>
      <x:c r="AB52" s="41">
        <x:f>IF(AA52&gt;0,AA52,0)</x:f>
      </x:c>
      <x:c r="AC52" s="41">
        <x:f>IF(Y52&gt;0,Y52+IF(AB52&gt;0,AB52,0),AB52)</x:f>
      </x:c>
      <x:c r="AD52" s="9"/>
      <x:c r="AE52" s="25">
        <x:v>3010</x:v>
      </x:c>
      <x:c r="AF52" s="9"/>
      <x:c r="AG52" s="9"/>
      <x:c r="AH52" s="7" t="s">
        <x:v>34</x:v>
      </x:c>
    </x:row>
    <x:row r="53">
      <x:c r="A53" s="7"/>
      <x:c r="B53" s="7" t="s">
        <x:v>58</x:v>
      </x:c>
      <x:c r="C53" s="38" t="s">
        <x:v>57</x:v>
      </x:c>
      <x:c r="D53" s="9"/>
      <x:c r="E53" s="39">
        <x:v>46230</x:v>
      </x:c>
      <x:c r="F53" s="40">
        <x:v>5</x:v>
      </x:c>
      <x:c r="G53" s="41">
        <x:f>(D53-(0)+0-(F53*Ventas!AE14*1.8000))</x:f>
      </x:c>
      <x:c r="H53" s="9"/>
      <x:c r="I53" s="25">
        <x:v>0</x:v>
      </x:c>
      <x:c r="J53" s="41">
        <x:f>IF(G53&gt;0,G53+I53,I53)</x:f>
      </x:c>
      <x:c r="K53" s="9"/>
      <x:c r="L53" s="9"/>
      <x:c r="M53" s="9"/>
      <x:c r="N53" s="39">
        <x:v>46275</x:v>
      </x:c>
      <x:c r="O53" s="40">
        <x:v>45</x:v>
      </x:c>
      <x:c r="P53" s="41">
        <x:f>(IF(G53&gt;0,G53+I53,I53)-(O53*Ventas!AE14*1.0044))</x:f>
      </x:c>
      <x:c r="Q53" s="9"/>
      <x:c r="R53" s="25">
        <x:v>0</x:v>
      </x:c>
      <x:c r="S53" s="41">
        <x:f>IF(P53&gt;0,P53+R53,R53)</x:f>
      </x:c>
      <x:c r="T53" s="9"/>
      <x:c r="U53" s="9"/>
      <x:c r="V53" s="9"/>
      <x:c r="W53" s="39">
        <x:v>46331</x:v>
      </x:c>
      <x:c r="X53" s="40">
        <x:v>56</x:v>
      </x:c>
      <x:c r="Y53" s="41">
        <x:f>(IF(P53&gt;0,P53+R53,R53)-(X53*Ventas!AE14*0.9018))</x:f>
      </x:c>
      <x:c r="Z53" s="9"/>
      <x:c r="AA53" s="41">
        <x:f>(100*(Ventas!AE14*1.2350) - IF(Y53&gt;0,Y53,0))</x:f>
      </x:c>
      <x:c r="AB53" s="41">
        <x:f>IF(AA53&gt;0,AA53,0)</x:f>
      </x:c>
      <x:c r="AC53" s="41">
        <x:f>IF(Y53&gt;0,Y53+IF(AB53&gt;0,AB53,0),AB53)</x:f>
      </x:c>
      <x:c r="AD53" s="9"/>
      <x:c r="AE53" s="25">
        <x:v>3010</x:v>
      </x:c>
      <x:c r="AF53" s="9"/>
      <x:c r="AG53" s="9"/>
      <x:c r="AH53" s="7" t="s">
        <x:v>34</x:v>
      </x:c>
    </x:row>
    <x:row r="54">
      <x:c r="A54" s="7"/>
      <x:c r="B54" s="7" t="s">
        <x:v>60</x:v>
      </x:c>
      <x:c r="C54" s="38" t="s">
        <x:v>59</x:v>
      </x:c>
      <x:c r="D54" s="9"/>
      <x:c r="E54" s="39">
        <x:v>46230</x:v>
      </x:c>
      <x:c r="F54" s="40">
        <x:v>5</x:v>
      </x:c>
      <x:c r="G54" s="41">
        <x:f>(D54-(0)+0-(F54*Ventas!AE15*1.8000))</x:f>
      </x:c>
      <x:c r="H54" s="9"/>
      <x:c r="I54" s="25">
        <x:v>0</x:v>
      </x:c>
      <x:c r="J54" s="41">
        <x:f>IF(G54&gt;0,G54+I54,I54)</x:f>
      </x:c>
      <x:c r="K54" s="9"/>
      <x:c r="L54" s="9"/>
      <x:c r="M54" s="9"/>
      <x:c r="N54" s="39">
        <x:v>46275</x:v>
      </x:c>
      <x:c r="O54" s="40">
        <x:v>45</x:v>
      </x:c>
      <x:c r="P54" s="41">
        <x:f>(IF(G54&gt;0,G54+I54,I54)-(O54*Ventas!AE15*1.0044))</x:f>
      </x:c>
      <x:c r="Q54" s="9"/>
      <x:c r="R54" s="25">
        <x:v>0</x:v>
      </x:c>
      <x:c r="S54" s="41">
        <x:f>IF(P54&gt;0,P54+R54,R54)</x:f>
      </x:c>
      <x:c r="T54" s="9"/>
      <x:c r="U54" s="9"/>
      <x:c r="V54" s="9"/>
      <x:c r="W54" s="39">
        <x:v>46331</x:v>
      </x:c>
      <x:c r="X54" s="40">
        <x:v>56</x:v>
      </x:c>
      <x:c r="Y54" s="41">
        <x:f>(IF(P54&gt;0,P54+R54,R54)-(X54*Ventas!AE15*0.9018))</x:f>
      </x:c>
      <x:c r="Z54" s="9"/>
      <x:c r="AA54" s="41">
        <x:f>(100*(Ventas!AE15*1.2350) - IF(Y54&gt;0,Y54,0))</x:f>
      </x:c>
      <x:c r="AB54" s="41">
        <x:f>IF(AA54&gt;0,AA54,0)</x:f>
      </x:c>
      <x:c r="AC54" s="41">
        <x:f>IF(Y54&gt;0,Y54+IF(AB54&gt;0,AB54,0),AB54)</x:f>
      </x:c>
      <x:c r="AD54" s="9"/>
      <x:c r="AE54" s="25">
        <x:v>3010</x:v>
      </x:c>
      <x:c r="AF54" s="9"/>
      <x:c r="AG54" s="9"/>
      <x:c r="AH54" s="7" t="s">
        <x:v>34</x:v>
      </x:c>
    </x:row>
    <x:row r="55">
      <x:c r="A55" s="7"/>
      <x:c r="B55" s="7" t="s">
        <x:v>62</x:v>
      </x:c>
      <x:c r="C55" s="38" t="s">
        <x:v>61</x:v>
      </x:c>
      <x:c r="D55" s="9"/>
      <x:c r="E55" s="39">
        <x:v>46230</x:v>
      </x:c>
      <x:c r="F55" s="40">
        <x:v>5</x:v>
      </x:c>
      <x:c r="G55" s="41">
        <x:f>(D55-(0)+0-(F55*Ventas!AE16*1.8000))</x:f>
      </x:c>
      <x:c r="H55" s="9"/>
      <x:c r="I55" s="25">
        <x:v>0</x:v>
      </x:c>
      <x:c r="J55" s="41">
        <x:f>IF(G55&gt;0,G55+I55,I55)</x:f>
      </x:c>
      <x:c r="K55" s="9"/>
      <x:c r="L55" s="9"/>
      <x:c r="M55" s="9"/>
      <x:c r="N55" s="39">
        <x:v>46275</x:v>
      </x:c>
      <x:c r="O55" s="40">
        <x:v>45</x:v>
      </x:c>
      <x:c r="P55" s="41">
        <x:f>(IF(G55&gt;0,G55+I55,I55)-(O55*Ventas!AE16*1.0044))</x:f>
      </x:c>
      <x:c r="Q55" s="9"/>
      <x:c r="R55" s="25">
        <x:v>0</x:v>
      </x:c>
      <x:c r="S55" s="41">
        <x:f>IF(P55&gt;0,P55+R55,R55)</x:f>
      </x:c>
      <x:c r="T55" s="9"/>
      <x:c r="U55" s="9"/>
      <x:c r="V55" s="9"/>
      <x:c r="W55" s="39">
        <x:v>46331</x:v>
      </x:c>
      <x:c r="X55" s="40">
        <x:v>56</x:v>
      </x:c>
      <x:c r="Y55" s="41">
        <x:f>(IF(P55&gt;0,P55+R55,R55)-(X55*Ventas!AE16*0.9018))</x:f>
      </x:c>
      <x:c r="Z55" s="9"/>
      <x:c r="AA55" s="41">
        <x:f>(100*(Ventas!AE16*1.2350) - IF(Y55&gt;0,Y55,0))</x:f>
      </x:c>
      <x:c r="AB55" s="41">
        <x:f>IF(AA55&gt;0,AA55,0)</x:f>
      </x:c>
      <x:c r="AC55" s="41">
        <x:f>IF(Y55&gt;0,Y55+IF(AB55&gt;0,AB55,0),AB55)</x:f>
      </x:c>
      <x:c r="AD55" s="9"/>
      <x:c r="AE55" s="25">
        <x:v>3010</x:v>
      </x:c>
      <x:c r="AF55" s="9"/>
      <x:c r="AG55" s="9"/>
      <x:c r="AH55" s="7" t="s">
        <x:v>34</x:v>
      </x:c>
    </x:row>
    <x:row r="56">
      <x:c r="A56" s="7"/>
      <x:c r="B56" s="7" t="s">
        <x:v>42</x:v>
      </x:c>
      <x:c r="C56" s="38" t="s">
        <x:v>63</x:v>
      </x:c>
      <x:c r="D56" s="25">
        <x:v>2</x:v>
      </x:c>
      <x:c r="E56" s="39">
        <x:v>46230</x:v>
      </x:c>
      <x:c r="F56" s="40">
        <x:v>5</x:v>
      </x:c>
      <x:c r="G56" s="41">
        <x:f>(D56-(0)+0-(F56*Ventas!AE17*1.8000))</x:f>
      </x:c>
      <x:c r="H56" s="9"/>
      <x:c r="I56" s="25">
        <x:v>0</x:v>
      </x:c>
      <x:c r="J56" s="41">
        <x:f>IF(G56&gt;0,G56+I56,I56)</x:f>
      </x:c>
      <x:c r="K56" s="9"/>
      <x:c r="L56" s="9"/>
      <x:c r="M56" s="9"/>
      <x:c r="N56" s="39">
        <x:v>46275</x:v>
      </x:c>
      <x:c r="O56" s="40">
        <x:v>45</x:v>
      </x:c>
      <x:c r="P56" s="41">
        <x:f>(IF(G56&gt;0,G56+I56,I56)-(O56*Ventas!AE17*1.0044))</x:f>
      </x:c>
      <x:c r="Q56" s="9"/>
      <x:c r="R56" s="25">
        <x:v>0</x:v>
      </x:c>
      <x:c r="S56" s="41">
        <x:f>IF(P56&gt;0,P56+R56,R56)</x:f>
      </x:c>
      <x:c r="T56" s="9"/>
      <x:c r="U56" s="9"/>
      <x:c r="V56" s="9"/>
      <x:c r="W56" s="39">
        <x:v>46331</x:v>
      </x:c>
      <x:c r="X56" s="40">
        <x:v>56</x:v>
      </x:c>
      <x:c r="Y56" s="41">
        <x:f>(IF(P56&gt;0,P56+R56,R56)-(X56*Ventas!AE17*0.9018))</x:f>
      </x:c>
      <x:c r="Z56" s="9"/>
      <x:c r="AA56" s="41">
        <x:f>(100*(Ventas!AE17*1.2350) - IF(Y56&gt;0,Y56,0))</x:f>
      </x:c>
      <x:c r="AB56" s="41">
        <x:f>IF(AA56&gt;0,AA56,0)</x:f>
      </x:c>
      <x:c r="AC56" s="41">
        <x:f>IF(Y56&gt;0,Y56+IF(AB56&gt;0,AB56,0),AB56)</x:f>
      </x:c>
      <x:c r="AD56" s="9"/>
      <x:c r="AE56" s="25">
        <x:v>3010</x:v>
      </x:c>
      <x:c r="AF56" s="9"/>
      <x:c r="AG56" s="9"/>
      <x:c r="AH56" s="7" t="s">
        <x:v>34</x:v>
      </x:c>
    </x:row>
    <x:row r="57">
      <x:c r="A57" s="7"/>
      <x:c r="B57" s="7" t="s">
        <x:v>89</x:v>
      </x:c>
      <x:c r="C57" s="38" t="s">
        <x:v>88</x:v>
      </x:c>
      <x:c r="D57" s="9"/>
      <x:c r="E57" s="39">
        <x:v>46230</x:v>
      </x:c>
      <x:c r="F57" s="40">
        <x:v>5</x:v>
      </x:c>
      <x:c r="G57" s="41">
        <x:f>(D57-(0)+0-(F57*Ventas!AE30*1.8000))</x:f>
      </x:c>
      <x:c r="H57" s="9"/>
      <x:c r="I57" s="25">
        <x:v>0</x:v>
      </x:c>
      <x:c r="J57" s="41">
        <x:f>IF(G57&gt;0,G57+I57,I57)</x:f>
      </x:c>
      <x:c r="K57" s="9"/>
      <x:c r="L57" s="9"/>
      <x:c r="M57" s="9"/>
      <x:c r="N57" s="39">
        <x:v>46275</x:v>
      </x:c>
      <x:c r="O57" s="40">
        <x:v>45</x:v>
      </x:c>
      <x:c r="P57" s="41">
        <x:f>(IF(G57&gt;0,G57+I57,I57)-(O57*Ventas!AE30*1.0044))</x:f>
      </x:c>
      <x:c r="Q57" s="9"/>
      <x:c r="R57" s="25">
        <x:v>0</x:v>
      </x:c>
      <x:c r="S57" s="41">
        <x:f>IF(P57&gt;0,P57+R57,R57)</x:f>
      </x:c>
      <x:c r="T57" s="9"/>
      <x:c r="U57" s="9"/>
      <x:c r="V57" s="9"/>
      <x:c r="W57" s="39">
        <x:v>46331</x:v>
      </x:c>
      <x:c r="X57" s="40">
        <x:v>56</x:v>
      </x:c>
      <x:c r="Y57" s="41">
        <x:f>(IF(P57&gt;0,P57+R57,R57)-(X57*Ventas!AE30*0.9018))</x:f>
      </x:c>
      <x:c r="Z57" s="9"/>
      <x:c r="AA57" s="41">
        <x:f>(100*(Ventas!AE30*1.2350) - IF(Y57&gt;0,Y57,0))</x:f>
      </x:c>
      <x:c r="AB57" s="41">
        <x:f>IF(AA57&gt;0,AA57,0)</x:f>
      </x:c>
      <x:c r="AC57" s="41">
        <x:f>IF(Y57&gt;0,Y57+IF(AB57&gt;0,AB57,0),AB57)</x:f>
      </x:c>
      <x:c r="AD57" s="9"/>
      <x:c r="AE57" s="9"/>
      <x:c r="AF57" s="9"/>
      <x:c r="AG57" s="9"/>
      <x:c r="AH57" s="7" t="s">
        <x:v>34</x:v>
      </x:c>
    </x:row>
    <x:row r="58">
      <x:c r="A58" s="7"/>
      <x:c r="B58" s="7" t="s">
        <x:v>93</x:v>
      </x:c>
      <x:c r="C58" s="38" t="s">
        <x:v>92</x:v>
      </x:c>
      <x:c r="D58" s="9"/>
      <x:c r="E58" s="39">
        <x:v>46230</x:v>
      </x:c>
      <x:c r="F58" s="40">
        <x:v>5</x:v>
      </x:c>
      <x:c r="G58" s="41">
        <x:f>(D58-(0)+0-(F58*Ventas!AE32*1.8000))</x:f>
      </x:c>
      <x:c r="H58" s="9"/>
      <x:c r="I58" s="25">
        <x:v>0</x:v>
      </x:c>
      <x:c r="J58" s="41">
        <x:f>IF(G58&gt;0,G58+I58,I58)</x:f>
      </x:c>
      <x:c r="K58" s="9"/>
      <x:c r="L58" s="9"/>
      <x:c r="M58" s="9"/>
      <x:c r="N58" s="39">
        <x:v>46275</x:v>
      </x:c>
      <x:c r="O58" s="40">
        <x:v>45</x:v>
      </x:c>
      <x:c r="P58" s="41">
        <x:f>(IF(G58&gt;0,G58+I58,I58)-(O58*Ventas!AE32*1.0044))</x:f>
      </x:c>
      <x:c r="Q58" s="9"/>
      <x:c r="R58" s="25">
        <x:v>5</x:v>
      </x:c>
      <x:c r="S58" s="41">
        <x:f>IF(P58&gt;0,P58+R58,R58)</x:f>
      </x:c>
      <x:c r="T58" s="9"/>
      <x:c r="U58" s="9"/>
      <x:c r="V58" s="9"/>
      <x:c r="W58" s="39">
        <x:v>46331</x:v>
      </x:c>
      <x:c r="X58" s="40">
        <x:v>56</x:v>
      </x:c>
      <x:c r="Y58" s="41">
        <x:f>(IF(P58&gt;0,P58+R58,R58)-(X58*Ventas!AE32*0.9018))</x:f>
      </x:c>
      <x:c r="Z58" s="9"/>
      <x:c r="AA58" s="41">
        <x:f>(100*(Ventas!AE32*1.2350) - IF(Y58&gt;0,Y58,0))</x:f>
      </x:c>
      <x:c r="AB58" s="41">
        <x:f>IF(AA58&gt;0,AA58,0)</x:f>
      </x:c>
      <x:c r="AC58" s="41">
        <x:f>IF(Y58&gt;0,Y58+IF(AB58&gt;0,AB58,0),AB58)</x:f>
      </x:c>
      <x:c r="AD58" s="9"/>
      <x:c r="AE58" s="9"/>
      <x:c r="AF58" s="9"/>
      <x:c r="AG58" s="9"/>
      <x:c r="AH58" s="7" t="s">
        <x:v>34</x:v>
      </x:c>
    </x:row>
    <x:row r="59">
      <x:c r="A59" s="7"/>
      <x:c r="B59" s="7" t="s">
        <x:v>95</x:v>
      </x:c>
      <x:c r="C59" s="38" t="s">
        <x:v>94</x:v>
      </x:c>
      <x:c r="D59" s="25">
        <x:v>1</x:v>
      </x:c>
      <x:c r="E59" s="39">
        <x:v>46230</x:v>
      </x:c>
      <x:c r="F59" s="40">
        <x:v>5</x:v>
      </x:c>
      <x:c r="G59" s="41">
        <x:f>(D59-(0)+0-(F59*Ventas!AE33*1.8000))</x:f>
      </x:c>
      <x:c r="H59" s="9"/>
      <x:c r="I59" s="25">
        <x:v>0</x:v>
      </x:c>
      <x:c r="J59" s="41">
        <x:f>IF(G59&gt;0,G59+I59,I59)</x:f>
      </x:c>
      <x:c r="K59" s="9"/>
      <x:c r="L59" s="9"/>
      <x:c r="M59" s="9"/>
      <x:c r="N59" s="39">
        <x:v>46275</x:v>
      </x:c>
      <x:c r="O59" s="40">
        <x:v>45</x:v>
      </x:c>
      <x:c r="P59" s="41">
        <x:f>(IF(G59&gt;0,G59+I59,I59)-(O59*Ventas!AE33*1.0044))</x:f>
      </x:c>
      <x:c r="Q59" s="9"/>
      <x:c r="R59" s="25">
        <x:v>4</x:v>
      </x:c>
      <x:c r="S59" s="41">
        <x:f>IF(P59&gt;0,P59+R59,R59)</x:f>
      </x:c>
      <x:c r="T59" s="9"/>
      <x:c r="U59" s="9"/>
      <x:c r="V59" s="9"/>
      <x:c r="W59" s="39">
        <x:v>46331</x:v>
      </x:c>
      <x:c r="X59" s="40">
        <x:v>56</x:v>
      </x:c>
      <x:c r="Y59" s="41">
        <x:f>(IF(P59&gt;0,P59+R59,R59)-(X59*Ventas!AE33*0.9018))</x:f>
      </x:c>
      <x:c r="Z59" s="9"/>
      <x:c r="AA59" s="41">
        <x:f>(100*(Ventas!AE33*1.2350) - IF(Y59&gt;0,Y59,0))</x:f>
      </x:c>
      <x:c r="AB59" s="41">
        <x:f>IF(AA59&gt;0,AA59,0)</x:f>
      </x:c>
      <x:c r="AC59" s="41">
        <x:f>IF(Y59&gt;0,Y59+IF(AB59&gt;0,AB59,0),AB59)</x:f>
      </x:c>
      <x:c r="AD59" s="9"/>
      <x:c r="AE59" s="25">
        <x:v>3010</x:v>
      </x:c>
      <x:c r="AF59" s="9"/>
      <x:c r="AG59" s="9"/>
      <x:c r="AH59" s="7" t="s">
        <x:v>34</x:v>
      </x:c>
    </x:row>
    <x:row r="60">
      <x:c r="A60" s="7"/>
      <x:c r="B60" s="7" t="s">
        <x:v>97</x:v>
      </x:c>
      <x:c r="C60" s="38" t="s">
        <x:v>96</x:v>
      </x:c>
      <x:c r="D60" s="9"/>
      <x:c r="E60" s="39">
        <x:v>46230</x:v>
      </x:c>
      <x:c r="F60" s="40">
        <x:v>5</x:v>
      </x:c>
      <x:c r="G60" s="41">
        <x:f>(D60-(0)+0-(F60*Ventas!AE34*1.8000))</x:f>
      </x:c>
      <x:c r="H60" s="9"/>
      <x:c r="I60" s="25">
        <x:v>0</x:v>
      </x:c>
      <x:c r="J60" s="41">
        <x:f>IF(G60&gt;0,G60+I60,I60)</x:f>
      </x:c>
      <x:c r="K60" s="9"/>
      <x:c r="L60" s="9"/>
      <x:c r="M60" s="9"/>
      <x:c r="N60" s="39">
        <x:v>46275</x:v>
      </x:c>
      <x:c r="O60" s="40">
        <x:v>45</x:v>
      </x:c>
      <x:c r="P60" s="41">
        <x:f>(IF(G60&gt;0,G60+I60,I60)-(O60*Ventas!AE34*1.0044))</x:f>
      </x:c>
      <x:c r="Q60" s="9"/>
      <x:c r="R60" s="25">
        <x:v>0</x:v>
      </x:c>
      <x:c r="S60" s="41">
        <x:f>IF(P60&gt;0,P60+R60,R60)</x:f>
      </x:c>
      <x:c r="T60" s="9"/>
      <x:c r="U60" s="9"/>
      <x:c r="V60" s="9"/>
      <x:c r="W60" s="39">
        <x:v>46331</x:v>
      </x:c>
      <x:c r="X60" s="40">
        <x:v>56</x:v>
      </x:c>
      <x:c r="Y60" s="41">
        <x:f>(IF(P60&gt;0,P60+R60,R60)-(X60*Ventas!AE34*0.9018))</x:f>
      </x:c>
      <x:c r="Z60" s="9"/>
      <x:c r="AA60" s="41">
        <x:f>(100*(Ventas!AE34*1.2350) - IF(Y60&gt;0,Y60,0))</x:f>
      </x:c>
      <x:c r="AB60" s="41">
        <x:f>IF(AA60&gt;0,AA60,0)</x:f>
      </x:c>
      <x:c r="AC60" s="41">
        <x:f>IF(Y60&gt;0,Y60+IF(AB60&gt;0,AB60,0),AB60)</x:f>
      </x:c>
      <x:c r="AD60" s="9"/>
      <x:c r="AE60" s="9"/>
      <x:c r="AF60" s="9"/>
      <x:c r="AG60" s="9"/>
      <x:c r="AH60" s="7" t="s">
        <x:v>34</x:v>
      </x:c>
    </x:row>
    <x:row r="61">
      <x:c r="A61" s="7"/>
      <x:c r="B61" s="7" t="s">
        <x:v>42</x:v>
      </x:c>
      <x:c r="C61" s="38" t="s">
        <x:v>100</x:v>
      </x:c>
      <x:c r="D61" s="9"/>
      <x:c r="E61" s="39">
        <x:v>46230</x:v>
      </x:c>
      <x:c r="F61" s="40">
        <x:v>5</x:v>
      </x:c>
      <x:c r="G61" s="41">
        <x:f>(D61-(0)+0-(F61*Ventas!AE36*1.8000))</x:f>
      </x:c>
      <x:c r="H61" s="9"/>
      <x:c r="I61" s="25">
        <x:v>0</x:v>
      </x:c>
      <x:c r="J61" s="41">
        <x:f>IF(G61&gt;0,G61+I61,I61)</x:f>
      </x:c>
      <x:c r="K61" s="9"/>
      <x:c r="L61" s="9"/>
      <x:c r="M61" s="9"/>
      <x:c r="N61" s="39">
        <x:v>46275</x:v>
      </x:c>
      <x:c r="O61" s="40">
        <x:v>45</x:v>
      </x:c>
      <x:c r="P61" s="41">
        <x:f>(IF(G61&gt;0,G61+I61,I61)-(O61*Ventas!AE36*1.0044))</x:f>
      </x:c>
      <x:c r="Q61" s="9"/>
      <x:c r="R61" s="25">
        <x:v>0</x:v>
      </x:c>
      <x:c r="S61" s="41">
        <x:f>IF(P61&gt;0,P61+R61,R61)</x:f>
      </x:c>
      <x:c r="T61" s="9"/>
      <x:c r="U61" s="9"/>
      <x:c r="V61" s="9"/>
      <x:c r="W61" s="39">
        <x:v>46331</x:v>
      </x:c>
      <x:c r="X61" s="40">
        <x:v>56</x:v>
      </x:c>
      <x:c r="Y61" s="41">
        <x:f>(IF(P61&gt;0,P61+R61,R61)-(X61*Ventas!AE36*0.9018))</x:f>
      </x:c>
      <x:c r="Z61" s="9"/>
      <x:c r="AA61" s="41">
        <x:f>(100*(Ventas!AE36*1.2350) - IF(Y61&gt;0,Y61,0))</x:f>
      </x:c>
      <x:c r="AB61" s="41">
        <x:f>IF(AA61&gt;0,AA61,0)</x:f>
      </x:c>
      <x:c r="AC61" s="41">
        <x:f>IF(Y61&gt;0,Y61+IF(AB61&gt;0,AB61,0),AB61)</x:f>
      </x:c>
      <x:c r="AD61" s="9"/>
      <x:c r="AE61" s="9"/>
      <x:c r="AF61" s="9"/>
      <x:c r="AG61" s="9"/>
      <x:c r="AH61" s="7" t="s">
        <x:v>34</x:v>
      </x:c>
    </x:row>
    <x:row r="62">
      <x:c r="A62" s="7"/>
      <x:c r="B62" s="7" t="s">
        <x:v>102</x:v>
      </x:c>
      <x:c r="C62" s="38" t="s">
        <x:v>101</x:v>
      </x:c>
      <x:c r="D62" s="9"/>
      <x:c r="E62" s="39">
        <x:v>46230</x:v>
      </x:c>
      <x:c r="F62" s="40">
        <x:v>5</x:v>
      </x:c>
      <x:c r="G62" s="41">
        <x:f>(D62-(0)+0-(F62*Ventas!AE37*1.8000))</x:f>
      </x:c>
      <x:c r="H62" s="9"/>
      <x:c r="I62" s="25">
        <x:v>0</x:v>
      </x:c>
      <x:c r="J62" s="41">
        <x:f>IF(G62&gt;0,G62+I62,I62)</x:f>
      </x:c>
      <x:c r="K62" s="9"/>
      <x:c r="L62" s="9"/>
      <x:c r="M62" s="9"/>
      <x:c r="N62" s="39">
        <x:v>46275</x:v>
      </x:c>
      <x:c r="O62" s="40">
        <x:v>45</x:v>
      </x:c>
      <x:c r="P62" s="41">
        <x:f>(IF(G62&gt;0,G62+I62,I62)-(O62*Ventas!AE37*1.0044))</x:f>
      </x:c>
      <x:c r="Q62" s="9"/>
      <x:c r="R62" s="25">
        <x:v>0</x:v>
      </x:c>
      <x:c r="S62" s="41">
        <x:f>IF(P62&gt;0,P62+R62,R62)</x:f>
      </x:c>
      <x:c r="T62" s="9"/>
      <x:c r="U62" s="9"/>
      <x:c r="V62" s="9"/>
      <x:c r="W62" s="39">
        <x:v>46331</x:v>
      </x:c>
      <x:c r="X62" s="40">
        <x:v>56</x:v>
      </x:c>
      <x:c r="Y62" s="41">
        <x:f>(IF(P62&gt;0,P62+R62,R62)-(X62*Ventas!AE37*0.9018))</x:f>
      </x:c>
      <x:c r="Z62" s="9"/>
      <x:c r="AA62" s="41">
        <x:f>(100*(Ventas!AE37*1.2350) - IF(Y62&gt;0,Y62,0))</x:f>
      </x:c>
      <x:c r="AB62" s="41">
        <x:f>IF(AA62&gt;0,AA62,0)</x:f>
      </x:c>
      <x:c r="AC62" s="41">
        <x:f>IF(Y62&gt;0,Y62+IF(AB62&gt;0,AB62,0),AB62)</x:f>
      </x:c>
      <x:c r="AD62" s="9"/>
      <x:c r="AE62" s="9"/>
      <x:c r="AF62" s="9"/>
      <x:c r="AG62" s="9"/>
      <x:c r="AH62" s="7" t="s">
        <x:v>34</x:v>
      </x:c>
    </x:row>
    <x:row r="63">
      <x:c r="A63" s="7"/>
      <x:c r="B63" s="7" t="s">
        <x:v>104</x:v>
      </x:c>
      <x:c r="C63" s="38" t="s">
        <x:v>103</x:v>
      </x:c>
      <x:c r="D63" s="9"/>
      <x:c r="E63" s="39">
        <x:v>46230</x:v>
      </x:c>
      <x:c r="F63" s="40">
        <x:v>5</x:v>
      </x:c>
      <x:c r="G63" s="41">
        <x:f>(D63-(0)+0-(F63*Ventas!AE38*1.8000))</x:f>
      </x:c>
      <x:c r="H63" s="9"/>
      <x:c r="I63" s="25">
        <x:v>0</x:v>
      </x:c>
      <x:c r="J63" s="41">
        <x:f>IF(G63&gt;0,G63+I63,I63)</x:f>
      </x:c>
      <x:c r="K63" s="9"/>
      <x:c r="L63" s="9"/>
      <x:c r="M63" s="9"/>
      <x:c r="N63" s="39">
        <x:v>46275</x:v>
      </x:c>
      <x:c r="O63" s="40">
        <x:v>45</x:v>
      </x:c>
      <x:c r="P63" s="41">
        <x:f>(IF(G63&gt;0,G63+I63,I63)-(O63*Ventas!AE38*1.0044))</x:f>
      </x:c>
      <x:c r="Q63" s="9"/>
      <x:c r="R63" s="25">
        <x:v>0</x:v>
      </x:c>
      <x:c r="S63" s="41">
        <x:f>IF(P63&gt;0,P63+R63,R63)</x:f>
      </x:c>
      <x:c r="T63" s="9"/>
      <x:c r="U63" s="9"/>
      <x:c r="V63" s="9"/>
      <x:c r="W63" s="39">
        <x:v>46331</x:v>
      </x:c>
      <x:c r="X63" s="40">
        <x:v>56</x:v>
      </x:c>
      <x:c r="Y63" s="41">
        <x:f>(IF(P63&gt;0,P63+R63,R63)-(X63*Ventas!AE38*0.9018))</x:f>
      </x:c>
      <x:c r="Z63" s="9"/>
      <x:c r="AA63" s="41">
        <x:f>(100*(Ventas!AE38*1.2350) - IF(Y63&gt;0,Y63,0))</x:f>
      </x:c>
      <x:c r="AB63" s="41">
        <x:f>IF(AA63&gt;0,AA63,0)</x:f>
      </x:c>
      <x:c r="AC63" s="41">
        <x:f>IF(Y63&gt;0,Y63+IF(AB63&gt;0,AB63,0),AB63)</x:f>
      </x:c>
      <x:c r="AD63" s="9"/>
      <x:c r="AE63" s="9"/>
      <x:c r="AF63" s="9"/>
      <x:c r="AG63" s="9"/>
      <x:c r="AH63" s="7" t="s">
        <x:v>34</x:v>
      </x:c>
    </x:row>
    <x:row r="64">
      <x:c r="A64" s="7"/>
      <x:c r="B64" s="7" t="s">
        <x:v>106</x:v>
      </x:c>
      <x:c r="C64" s="38" t="s">
        <x:v>105</x:v>
      </x:c>
      <x:c r="D64" s="9"/>
      <x:c r="E64" s="39">
        <x:v>46230</x:v>
      </x:c>
      <x:c r="F64" s="40">
        <x:v>5</x:v>
      </x:c>
      <x:c r="G64" s="41">
        <x:f>(D64-(0)+0-(F64*Ventas!AE39*1.8000))</x:f>
      </x:c>
      <x:c r="H64" s="9"/>
      <x:c r="I64" s="25">
        <x:v>0</x:v>
      </x:c>
      <x:c r="J64" s="41">
        <x:f>IF(G64&gt;0,G64+I64,I64)</x:f>
      </x:c>
      <x:c r="K64" s="9"/>
      <x:c r="L64" s="41">
        <x:v>30</x:v>
      </x:c>
      <x:c r="M64" s="45">
        <x:v>0.001841</x:v>
      </x:c>
      <x:c r="N64" s="39">
        <x:v>46275</x:v>
      </x:c>
      <x:c r="O64" s="40">
        <x:v>45</x:v>
      </x:c>
      <x:c r="P64" s="41">
        <x:f>(IF(G64&gt;0,G64+I64,I64)-(O64*Ventas!AE39*1.0044))</x:f>
      </x:c>
      <x:c r="Q64" s="9"/>
      <x:c r="R64" s="25">
        <x:v>0</x:v>
      </x:c>
      <x:c r="S64" s="41">
        <x:f>IF(P64&gt;0,P64+R64,R64)</x:f>
      </x:c>
      <x:c r="T64" s="9"/>
      <x:c r="U64" s="41">
        <x:v>30</x:v>
      </x:c>
      <x:c r="V64" s="45">
        <x:v>0.001841</x:v>
      </x:c>
      <x:c r="W64" s="39">
        <x:v>46331</x:v>
      </x:c>
      <x:c r="X64" s="40">
        <x:v>56</x:v>
      </x:c>
      <x:c r="Y64" s="41">
        <x:f>(IF(P64&gt;0,P64+R64,R64)-(X64*Ventas!AE39*0.9018))</x:f>
      </x:c>
      <x:c r="Z64" s="9"/>
      <x:c r="AA64" s="41">
        <x:f>(100*(Ventas!AE39*1.2350) - IF(Y64&gt;0,Y64,0))</x:f>
      </x:c>
      <x:c r="AB64" s="41">
        <x:f>IF(AA64&gt;0,AA64,0)</x:f>
      </x:c>
      <x:c r="AC64" s="41">
        <x:f>IF(Y64&gt;0,Y64+IF(AB64&gt;0,AB64,0),AB64)</x:f>
      </x:c>
      <x:c r="AD64" s="46">
        <x:v>12.5</x:v>
      </x:c>
      <x:c r="AE64" s="25">
        <x:v>3027</x:v>
      </x:c>
      <x:c r="AF64" s="9"/>
      <x:c r="AG64" s="9"/>
      <x:c r="AH64" s="7" t="s">
        <x:v>107</x:v>
      </x:c>
    </x:row>
    <x:row r="65">
      <x:c r="A65" s="7"/>
      <x:c r="B65" s="7" t="s">
        <x:v>109</x:v>
      </x:c>
      <x:c r="C65" s="38" t="s">
        <x:v>108</x:v>
      </x:c>
      <x:c r="D65" s="9"/>
      <x:c r="E65" s="39">
        <x:v>46230</x:v>
      </x:c>
      <x:c r="F65" s="40">
        <x:v>5</x:v>
      </x:c>
      <x:c r="G65" s="41">
        <x:f>(D65-(0)+0-(F65*Ventas!AE40*1.8000))</x:f>
      </x:c>
      <x:c r="H65" s="9"/>
      <x:c r="I65" s="25">
        <x:v>0</x:v>
      </x:c>
      <x:c r="J65" s="41">
        <x:f>IF(G65&gt;0,G65+I65,I65)</x:f>
      </x:c>
      <x:c r="K65" s="9"/>
      <x:c r="L65" s="9"/>
      <x:c r="M65" s="9"/>
      <x:c r="N65" s="39">
        <x:v>46275</x:v>
      </x:c>
      <x:c r="O65" s="40">
        <x:v>45</x:v>
      </x:c>
      <x:c r="P65" s="41">
        <x:f>(IF(G65&gt;0,G65+I65,I65)-(O65*Ventas!AE40*1.0044))</x:f>
      </x:c>
      <x:c r="Q65" s="9"/>
      <x:c r="R65" s="25">
        <x:v>0</x:v>
      </x:c>
      <x:c r="S65" s="41">
        <x:f>IF(P65&gt;0,P65+R65,R65)</x:f>
      </x:c>
      <x:c r="T65" s="9"/>
      <x:c r="U65" s="9"/>
      <x:c r="V65" s="9"/>
      <x:c r="W65" s="39">
        <x:v>46331</x:v>
      </x:c>
      <x:c r="X65" s="40">
        <x:v>56</x:v>
      </x:c>
      <x:c r="Y65" s="41">
        <x:f>(IF(P65&gt;0,P65+R65,R65)-(X65*Ventas!AE40*0.9018))</x:f>
      </x:c>
      <x:c r="Z65" s="9"/>
      <x:c r="AA65" s="41">
        <x:f>(100*(Ventas!AE40*1.2350) - IF(Y65&gt;0,Y65,0))</x:f>
      </x:c>
      <x:c r="AB65" s="41">
        <x:f>IF(AA65&gt;0,AA65,0)</x:f>
      </x:c>
      <x:c r="AC65" s="41">
        <x:f>IF(Y65&gt;0,Y65+IF(AB65&gt;0,AB65,0),AB65)</x:f>
      </x:c>
      <x:c r="AD65" s="46">
        <x:v>40.57</x:v>
      </x:c>
      <x:c r="AE65" s="25">
        <x:v>3027</x:v>
      </x:c>
      <x:c r="AF65" s="9"/>
      <x:c r="AG65" s="9"/>
      <x:c r="AH65" s="7" t="s">
        <x:v>34</x:v>
      </x:c>
    </x:row>
    <x:row r="66">
      <x:c r="A66" s="7"/>
      <x:c r="B66" s="7" t="s">
        <x:v>111</x:v>
      </x:c>
      <x:c r="C66" s="38" t="s">
        <x:v>110</x:v>
      </x:c>
      <x:c r="D66" s="9"/>
      <x:c r="E66" s="39">
        <x:v>46230</x:v>
      </x:c>
      <x:c r="F66" s="40">
        <x:v>5</x:v>
      </x:c>
      <x:c r="G66" s="41">
        <x:f>(D66-(0)+0-(F66*Ventas!AE41*1.8000))</x:f>
      </x:c>
      <x:c r="H66" s="9"/>
      <x:c r="I66" s="25">
        <x:v>0</x:v>
      </x:c>
      <x:c r="J66" s="41">
        <x:f>IF(G66&gt;0,G66+I66,I66)</x:f>
      </x:c>
      <x:c r="K66" s="9"/>
      <x:c r="L66" s="9"/>
      <x:c r="M66" s="9"/>
      <x:c r="N66" s="39">
        <x:v>46275</x:v>
      </x:c>
      <x:c r="O66" s="40">
        <x:v>45</x:v>
      </x:c>
      <x:c r="P66" s="41">
        <x:f>(IF(G66&gt;0,G66+I66,I66)-(O66*Ventas!AE41*1.0044))</x:f>
      </x:c>
      <x:c r="Q66" s="9"/>
      <x:c r="R66" s="25">
        <x:v>0</x:v>
      </x:c>
      <x:c r="S66" s="41">
        <x:f>IF(P66&gt;0,P66+R66,R66)</x:f>
      </x:c>
      <x:c r="T66" s="9"/>
      <x:c r="U66" s="9"/>
      <x:c r="V66" s="9"/>
      <x:c r="W66" s="39">
        <x:v>46331</x:v>
      </x:c>
      <x:c r="X66" s="40">
        <x:v>56</x:v>
      </x:c>
      <x:c r="Y66" s="41">
        <x:f>(IF(P66&gt;0,P66+R66,R66)-(X66*Ventas!AE41*0.9018))</x:f>
      </x:c>
      <x:c r="Z66" s="9"/>
      <x:c r="AA66" s="41">
        <x:f>(100*(Ventas!AE41*1.2350) - IF(Y66&gt;0,Y66,0))</x:f>
      </x:c>
      <x:c r="AB66" s="41">
        <x:f>IF(AA66&gt;0,AA66,0)</x:f>
      </x:c>
      <x:c r="AC66" s="41">
        <x:f>IF(Y66&gt;0,Y66+IF(AB66&gt;0,AB66,0),AB66)</x:f>
      </x:c>
      <x:c r="AD66" s="46">
        <x:v>63.72</x:v>
      </x:c>
      <x:c r="AE66" s="25">
        <x:v>3027</x:v>
      </x:c>
      <x:c r="AF66" s="9"/>
      <x:c r="AG66" s="9"/>
      <x:c r="AH66" s="7" t="s">
        <x:v>34</x:v>
      </x:c>
    </x:row>
    <x:row r="67">
      <x:c r="A67" s="7"/>
      <x:c r="B67" s="7" t="s">
        <x:v>113</x:v>
      </x:c>
      <x:c r="C67" s="38" t="s">
        <x:v>112</x:v>
      </x:c>
      <x:c r="D67" s="9"/>
      <x:c r="E67" s="39">
        <x:v>46230</x:v>
      </x:c>
      <x:c r="F67" s="40">
        <x:v>5</x:v>
      </x:c>
      <x:c r="G67" s="41">
        <x:f>(D67-(0)+0-(F67*Ventas!AE42*1.8000))</x:f>
      </x:c>
      <x:c r="H67" s="9"/>
      <x:c r="I67" s="25">
        <x:v>0</x:v>
      </x:c>
      <x:c r="J67" s="41">
        <x:f>IF(G67&gt;0,G67+I67,I67)</x:f>
      </x:c>
      <x:c r="K67" s="9"/>
      <x:c r="L67" s="9"/>
      <x:c r="M67" s="9"/>
      <x:c r="N67" s="39">
        <x:v>46275</x:v>
      </x:c>
      <x:c r="O67" s="40">
        <x:v>45</x:v>
      </x:c>
      <x:c r="P67" s="41">
        <x:f>(IF(G67&gt;0,G67+I67,I67)-(O67*Ventas!AE42*1.0044))</x:f>
      </x:c>
      <x:c r="Q67" s="9"/>
      <x:c r="R67" s="25">
        <x:v>0</x:v>
      </x:c>
      <x:c r="S67" s="41">
        <x:f>IF(P67&gt;0,P67+R67,R67)</x:f>
      </x:c>
      <x:c r="T67" s="9"/>
      <x:c r="U67" s="9"/>
      <x:c r="V67" s="9"/>
      <x:c r="W67" s="39">
        <x:v>46331</x:v>
      </x:c>
      <x:c r="X67" s="40">
        <x:v>56</x:v>
      </x:c>
      <x:c r="Y67" s="41">
        <x:f>(IF(P67&gt;0,P67+R67,R67)-(X67*Ventas!AE42*0.9018))</x:f>
      </x:c>
      <x:c r="Z67" s="9"/>
      <x:c r="AA67" s="41">
        <x:f>(100*(Ventas!AE42*1.2350) - IF(Y67&gt;0,Y67,0))</x:f>
      </x:c>
      <x:c r="AB67" s="41">
        <x:f>IF(AA67&gt;0,AA67,0)</x:f>
      </x:c>
      <x:c r="AC67" s="41">
        <x:f>IF(Y67&gt;0,Y67+IF(AB67&gt;0,AB67,0),AB67)</x:f>
      </x:c>
      <x:c r="AD67" s="46">
        <x:v>41.12</x:v>
      </x:c>
      <x:c r="AE67" s="25">
        <x:v>3027</x:v>
      </x:c>
      <x:c r="AF67" s="9"/>
      <x:c r="AG67" s="9"/>
      <x:c r="AH67" s="7" t="s">
        <x:v>34</x:v>
      </x:c>
    </x:row>
    <x:row r="68">
      <x:c r="A68" s="7"/>
      <x:c r="B68" s="7" t="s">
        <x:v>115</x:v>
      </x:c>
      <x:c r="C68" s="38" t="s">
        <x:v>114</x:v>
      </x:c>
      <x:c r="D68" s="9"/>
      <x:c r="E68" s="39">
        <x:v>46230</x:v>
      </x:c>
      <x:c r="F68" s="40">
        <x:v>5</x:v>
      </x:c>
      <x:c r="G68" s="41">
        <x:f>(D68-(0)+0-(F68*Ventas!AE43*1.8000))</x:f>
      </x:c>
      <x:c r="H68" s="9"/>
      <x:c r="I68" s="25">
        <x:v>0</x:v>
      </x:c>
      <x:c r="J68" s="41">
        <x:f>IF(G68&gt;0,G68+I68,I68)</x:f>
      </x:c>
      <x:c r="K68" s="9"/>
      <x:c r="L68" s="9"/>
      <x:c r="M68" s="9"/>
      <x:c r="N68" s="39">
        <x:v>46275</x:v>
      </x:c>
      <x:c r="O68" s="40">
        <x:v>45</x:v>
      </x:c>
      <x:c r="P68" s="41">
        <x:f>(IF(G68&gt;0,G68+I68,I68)-(O68*Ventas!AE43*1.0044))</x:f>
      </x:c>
      <x:c r="Q68" s="9"/>
      <x:c r="R68" s="25">
        <x:v>0</x:v>
      </x:c>
      <x:c r="S68" s="41">
        <x:f>IF(P68&gt;0,P68+R68,R68)</x:f>
      </x:c>
      <x:c r="T68" s="9"/>
      <x:c r="U68" s="9"/>
      <x:c r="V68" s="9"/>
      <x:c r="W68" s="39">
        <x:v>46331</x:v>
      </x:c>
      <x:c r="X68" s="40">
        <x:v>56</x:v>
      </x:c>
      <x:c r="Y68" s="41">
        <x:f>(IF(P68&gt;0,P68+R68,R68)-(X68*Ventas!AE43*0.9018))</x:f>
      </x:c>
      <x:c r="Z68" s="9"/>
      <x:c r="AA68" s="41">
        <x:f>(100*(Ventas!AE43*1.2350) - IF(Y68&gt;0,Y68,0))</x:f>
      </x:c>
      <x:c r="AB68" s="41">
        <x:f>IF(AA68&gt;0,AA68,0)</x:f>
      </x:c>
      <x:c r="AC68" s="41">
        <x:f>IF(Y68&gt;0,Y68+IF(AB68&gt;0,AB68,0),AB68)</x:f>
      </x:c>
      <x:c r="AD68" s="46">
        <x:v>33.32</x:v>
      </x:c>
      <x:c r="AE68" s="25">
        <x:v>3027</x:v>
      </x:c>
      <x:c r="AF68" s="9"/>
      <x:c r="AG68" s="9"/>
      <x:c r="AH68" s="7" t="s">
        <x:v>34</x:v>
      </x:c>
    </x:row>
    <x:row r="69">
      <x:c r="A69" s="7"/>
      <x:c r="B69" s="7" t="s">
        <x:v>117</x:v>
      </x:c>
      <x:c r="C69" s="38" t="s">
        <x:v>116</x:v>
      </x:c>
      <x:c r="D69" s="25">
        <x:v>41</x:v>
      </x:c>
      <x:c r="E69" s="39">
        <x:v>46230</x:v>
      </x:c>
      <x:c r="F69" s="40">
        <x:v>5</x:v>
      </x:c>
      <x:c r="G69" s="41">
        <x:f>(D69-(0)+0-(F69*Ventas!AE44*1.8000))</x:f>
      </x:c>
      <x:c r="H69" s="43">
        <x:f>(G69/(Ventas!AE44*1.8000)/60)</x:f>
      </x:c>
      <x:c r="I69" s="25">
        <x:v>0</x:v>
      </x:c>
      <x:c r="J69" s="41">
        <x:f>IF(G69&gt;0,G69+I69,I69)</x:f>
      </x:c>
      <x:c r="K69" s="9"/>
      <x:c r="L69" s="41">
        <x:v>30</x:v>
      </x:c>
      <x:c r="M69" s="45">
        <x:v>0.0021</x:v>
      </x:c>
      <x:c r="N69" s="39">
        <x:v>46275</x:v>
      </x:c>
      <x:c r="O69" s="40">
        <x:v>45</x:v>
      </x:c>
      <x:c r="P69" s="41">
        <x:f>(IF(G69&gt;0,G69+I69,I69)-(O69*Ventas!AE44*1.0044))</x:f>
      </x:c>
      <x:c r="Q69" s="43">
        <x:f>(P69/(Ventas!AE44*1.0044)/60)</x:f>
      </x:c>
      <x:c r="R69" s="25">
        <x:v>0</x:v>
      </x:c>
      <x:c r="S69" s="41">
        <x:f>IF(P69&gt;0,P69+R69,R69)</x:f>
      </x:c>
      <x:c r="T69" s="9"/>
      <x:c r="U69" s="41">
        <x:v>30</x:v>
      </x:c>
      <x:c r="V69" s="45">
        <x:v>0.0021</x:v>
      </x:c>
      <x:c r="W69" s="39">
        <x:v>46331</x:v>
      </x:c>
      <x:c r="X69" s="40">
        <x:v>56</x:v>
      </x:c>
      <x:c r="Y69" s="41">
        <x:f>(IF(P69&gt;0,P69+R69,R69)-(X69*Ventas!AE44*0.9018))</x:f>
      </x:c>
      <x:c r="Z69" s="43">
        <x:f>(Y69/(Ventas!AE44*0.9018)/60)</x:f>
      </x:c>
      <x:c r="AA69" s="41">
        <x:f>(100*(Ventas!AE44*1.2350) - IF(Y69&gt;0,Y69,0))</x:f>
      </x:c>
      <x:c r="AB69" s="41">
        <x:f>IF(AA69&gt;0,AA69,0)</x:f>
      </x:c>
      <x:c r="AC69" s="41">
        <x:f>IF(Y69&gt;0,Y69+IF(AB69&gt;0,AB69,0),AB69)</x:f>
      </x:c>
      <x:c r="AD69" s="46">
        <x:v>5.586</x:v>
      </x:c>
      <x:c r="AE69" s="25">
        <x:v>3010</x:v>
      </x:c>
      <x:c r="AF69" s="41">
        <x:f>(AC69-(60*Ventas!AE44*1.2350))</x:f>
      </x:c>
      <x:c r="AG69" s="43">
        <x:f>(AF69/(Ventas!AE44*1.2350)/60)</x:f>
      </x:c>
      <x:c r="AH69" s="7" t="s">
        <x:v>34</x:v>
      </x:c>
    </x:row>
    <x:row r="70">
      <x:c r="A70" s="7"/>
      <x:c r="B70" s="7" t="s">
        <x:v>119</x:v>
      </x:c>
      <x:c r="C70" s="38" t="s">
        <x:v>118</x:v>
      </x:c>
      <x:c r="D70" s="9"/>
      <x:c r="E70" s="39">
        <x:v>46230</x:v>
      </x:c>
      <x:c r="F70" s="40">
        <x:v>5</x:v>
      </x:c>
      <x:c r="G70" s="41">
        <x:f>(D70-(0)+0-(F70*Ventas!AE45*1.8000))</x:f>
      </x:c>
      <x:c r="H70" s="9"/>
      <x:c r="I70" s="25">
        <x:v>0</x:v>
      </x:c>
      <x:c r="J70" s="41">
        <x:f>IF(G70&gt;0,G70+I70,I70)</x:f>
      </x:c>
      <x:c r="K70" s="9"/>
      <x:c r="L70" s="41">
        <x:v>30</x:v>
      </x:c>
      <x:c r="M70" s="45">
        <x:v>0.001567</x:v>
      </x:c>
      <x:c r="N70" s="39">
        <x:v>46275</x:v>
      </x:c>
      <x:c r="O70" s="40">
        <x:v>45</x:v>
      </x:c>
      <x:c r="P70" s="41">
        <x:f>(IF(G70&gt;0,G70+I70,I70)-(O70*Ventas!AE45*1.0044))</x:f>
      </x:c>
      <x:c r="Q70" s="9"/>
      <x:c r="R70" s="25">
        <x:v>0</x:v>
      </x:c>
      <x:c r="S70" s="41">
        <x:f>IF(P70&gt;0,P70+R70,R70)</x:f>
      </x:c>
      <x:c r="T70" s="9"/>
      <x:c r="U70" s="41">
        <x:v>30</x:v>
      </x:c>
      <x:c r="V70" s="45">
        <x:v>0.001567</x:v>
      </x:c>
      <x:c r="W70" s="39">
        <x:v>46331</x:v>
      </x:c>
      <x:c r="X70" s="40">
        <x:v>56</x:v>
      </x:c>
      <x:c r="Y70" s="41">
        <x:f>(IF(P70&gt;0,P70+R70,R70)-(X70*Ventas!AE45*0.9018))</x:f>
      </x:c>
      <x:c r="Z70" s="9"/>
      <x:c r="AA70" s="41">
        <x:f>(100*(Ventas!AE45*1.2350) - IF(Y70&gt;0,Y70,0))</x:f>
      </x:c>
      <x:c r="AB70" s="41">
        <x:f>IF(AA70&gt;0,AA70,0)</x:f>
      </x:c>
      <x:c r="AC70" s="41">
        <x:f>IF(Y70&gt;0,Y70+IF(AB70&gt;0,AB70,0),AB70)</x:f>
      </x:c>
      <x:c r="AD70" s="46">
        <x:v>4.2</x:v>
      </x:c>
      <x:c r="AE70" s="25">
        <x:v>3017</x:v>
      </x:c>
      <x:c r="AF70" s="9"/>
      <x:c r="AG70" s="9"/>
      <x:c r="AH70" s="7" t="s">
        <x:v>34</x:v>
      </x:c>
    </x:row>
    <x:row r="71">
      <x:c r="A71" s="7"/>
      <x:c r="B71" s="7" t="s">
        <x:v>121</x:v>
      </x:c>
      <x:c r="C71" s="38" t="s">
        <x:v>120</x:v>
      </x:c>
      <x:c r="D71" s="9"/>
      <x:c r="E71" s="39">
        <x:v>46230</x:v>
      </x:c>
      <x:c r="F71" s="40">
        <x:v>5</x:v>
      </x:c>
      <x:c r="G71" s="41">
        <x:f>(D71-(0)+0-(F71*Ventas!AE46*1.8000))</x:f>
      </x:c>
      <x:c r="H71" s="9"/>
      <x:c r="I71" s="25">
        <x:v>0</x:v>
      </x:c>
      <x:c r="J71" s="41">
        <x:f>IF(G71&gt;0,G71+I71,I71)</x:f>
      </x:c>
      <x:c r="K71" s="9"/>
      <x:c r="L71" s="41">
        <x:v>20</x:v>
      </x:c>
      <x:c r="M71" s="45">
        <x:v>0.004071</x:v>
      </x:c>
      <x:c r="N71" s="39">
        <x:v>46275</x:v>
      </x:c>
      <x:c r="O71" s="40">
        <x:v>45</x:v>
      </x:c>
      <x:c r="P71" s="41">
        <x:f>(IF(G71&gt;0,G71+I71,I71)-(O71*Ventas!AE46*1.0044))</x:f>
      </x:c>
      <x:c r="Q71" s="9"/>
      <x:c r="R71" s="25">
        <x:v>0</x:v>
      </x:c>
      <x:c r="S71" s="41">
        <x:f>IF(P71&gt;0,P71+R71,R71)</x:f>
      </x:c>
      <x:c r="T71" s="9"/>
      <x:c r="U71" s="41">
        <x:v>20</x:v>
      </x:c>
      <x:c r="V71" s="45">
        <x:v>0.004071</x:v>
      </x:c>
      <x:c r="W71" s="39">
        <x:v>46331</x:v>
      </x:c>
      <x:c r="X71" s="40">
        <x:v>56</x:v>
      </x:c>
      <x:c r="Y71" s="41">
        <x:f>(IF(P71&gt;0,P71+R71,R71)-(X71*Ventas!AE46*0.9018))</x:f>
      </x:c>
      <x:c r="Z71" s="9"/>
      <x:c r="AA71" s="41">
        <x:f>(100*(Ventas!AE46*1.2350) - IF(Y71&gt;0,Y71,0))</x:f>
      </x:c>
      <x:c r="AB71" s="41">
        <x:f>IF(AA71&gt;0,AA71,0)</x:f>
      </x:c>
      <x:c r="AC71" s="41">
        <x:f>IF(Y71&gt;0,Y71+IF(AB71&gt;0,AB71,0),AB71)</x:f>
      </x:c>
      <x:c r="AD71" s="46">
        <x:v>12.3</x:v>
      </x:c>
      <x:c r="AE71" s="25">
        <x:v>3010</x:v>
      </x:c>
      <x:c r="AF71" s="9"/>
      <x:c r="AG71" s="9"/>
      <x:c r="AH71" s="7" t="s">
        <x:v>107</x:v>
      </x:c>
    </x:row>
    <x:row r="72">
      <x:c r="A72" s="7"/>
      <x:c r="B72" s="7" t="s">
        <x:v>123</x:v>
      </x:c>
      <x:c r="C72" s="38" t="s">
        <x:v>122</x:v>
      </x:c>
      <x:c r="D72" s="9"/>
      <x:c r="E72" s="39">
        <x:v>46230</x:v>
      </x:c>
      <x:c r="F72" s="40">
        <x:v>5</x:v>
      </x:c>
      <x:c r="G72" s="41">
        <x:f>(D72-(0)+0-(F72*Ventas!AE47*1.8000))</x:f>
      </x:c>
      <x:c r="H72" s="9"/>
      <x:c r="I72" s="25">
        <x:v>0</x:v>
      </x:c>
      <x:c r="J72" s="41">
        <x:f>IF(G72&gt;0,G72+I72,I72)</x:f>
      </x:c>
      <x:c r="K72" s="9"/>
      <x:c r="L72" s="41">
        <x:v>100</x:v>
      </x:c>
      <x:c r="M72" s="45">
        <x:v>0.000604</x:v>
      </x:c>
      <x:c r="N72" s="39">
        <x:v>46275</x:v>
      </x:c>
      <x:c r="O72" s="40">
        <x:v>45</x:v>
      </x:c>
      <x:c r="P72" s="41">
        <x:f>(IF(G72&gt;0,G72+I72,I72)-(O72*Ventas!AE47*1.0044))</x:f>
      </x:c>
      <x:c r="Q72" s="9"/>
      <x:c r="R72" s="25">
        <x:v>0</x:v>
      </x:c>
      <x:c r="S72" s="41">
        <x:f>IF(P72&gt;0,P72+R72,R72)</x:f>
      </x:c>
      <x:c r="T72" s="9"/>
      <x:c r="U72" s="41">
        <x:v>100</x:v>
      </x:c>
      <x:c r="V72" s="45">
        <x:v>0.000604</x:v>
      </x:c>
      <x:c r="W72" s="39">
        <x:v>46331</x:v>
      </x:c>
      <x:c r="X72" s="40">
        <x:v>56</x:v>
      </x:c>
      <x:c r="Y72" s="41">
        <x:f>(IF(P72&gt;0,P72+R72,R72)-(X72*Ventas!AE47*0.9018))</x:f>
      </x:c>
      <x:c r="Z72" s="9"/>
      <x:c r="AA72" s="41">
        <x:f>(100*(Ventas!AE47*1.2350) - IF(Y72&gt;0,Y72,0))</x:f>
      </x:c>
      <x:c r="AB72" s="41">
        <x:f>IF(AA72&gt;0,AA72,0)</x:f>
      </x:c>
      <x:c r="AC72" s="41">
        <x:f>IF(Y72&gt;0,Y72+IF(AB72&gt;0,AB72,0),AB72)</x:f>
      </x:c>
      <x:c r="AD72" s="46">
        <x:v>3.8</x:v>
      </x:c>
      <x:c r="AE72" s="25">
        <x:v>3027</x:v>
      </x:c>
      <x:c r="AF72" s="9"/>
      <x:c r="AG72" s="9"/>
      <x:c r="AH72" s="7" t="s">
        <x:v>107</x:v>
      </x:c>
    </x:row>
    <x:row r="73">
      <x:c r="A73" s="7"/>
      <x:c r="B73" s="7" t="s">
        <x:v>127</x:v>
      </x:c>
      <x:c r="C73" s="38" t="s">
        <x:v>126</x:v>
      </x:c>
      <x:c r="D73" s="9"/>
      <x:c r="E73" s="39">
        <x:v>46230</x:v>
      </x:c>
      <x:c r="F73" s="40">
        <x:v>5</x:v>
      </x:c>
      <x:c r="G73" s="41">
        <x:f>(D73-(0)+0-(F73*Ventas!AE49*1.8000))</x:f>
      </x:c>
      <x:c r="H73" s="9"/>
      <x:c r="I73" s="25">
        <x:v>0</x:v>
      </x:c>
      <x:c r="J73" s="41">
        <x:f>IF(G73&gt;0,G73+I73,I73)</x:f>
      </x:c>
      <x:c r="K73" s="9"/>
      <x:c r="L73" s="9"/>
      <x:c r="M73" s="9"/>
      <x:c r="N73" s="39">
        <x:v>46275</x:v>
      </x:c>
      <x:c r="O73" s="40">
        <x:v>45</x:v>
      </x:c>
      <x:c r="P73" s="41">
        <x:f>(IF(G73&gt;0,G73+I73,I73)-(O73*Ventas!AE49*1.0044))</x:f>
      </x:c>
      <x:c r="Q73" s="9"/>
      <x:c r="R73" s="25">
        <x:v>0</x:v>
      </x:c>
      <x:c r="S73" s="41">
        <x:f>IF(P73&gt;0,P73+R73,R73)</x:f>
      </x:c>
      <x:c r="T73" s="9"/>
      <x:c r="U73" s="9"/>
      <x:c r="V73" s="9"/>
      <x:c r="W73" s="39">
        <x:v>46331</x:v>
      </x:c>
      <x:c r="X73" s="40">
        <x:v>56</x:v>
      </x:c>
      <x:c r="Y73" s="41">
        <x:f>(IF(P73&gt;0,P73+R73,R73)-(X73*Ventas!AE49*0.9018))</x:f>
      </x:c>
      <x:c r="Z73" s="9"/>
      <x:c r="AA73" s="41">
        <x:f>(100*(Ventas!AE49*1.2350) - IF(Y73&gt;0,Y73,0))</x:f>
      </x:c>
      <x:c r="AB73" s="41">
        <x:f>IF(AA73&gt;0,AA73,0)</x:f>
      </x:c>
      <x:c r="AC73" s="41">
        <x:f>IF(Y73&gt;0,Y73+IF(AB73&gt;0,AB73,0),AB73)</x:f>
      </x:c>
      <x:c r="AD73" s="46">
        <x:v>43.92</x:v>
      </x:c>
      <x:c r="AE73" s="25">
        <x:v>3027</x:v>
      </x:c>
      <x:c r="AF73" s="9"/>
      <x:c r="AG73" s="9"/>
      <x:c r="AH73" s="7" t="s">
        <x:v>34</x:v>
      </x:c>
    </x:row>
    <x:row r="74">
      <x:c r="A74" s="7"/>
      <x:c r="B74" s="7" t="s">
        <x:v>129</x:v>
      </x:c>
      <x:c r="C74" s="38" t="s">
        <x:v>128</x:v>
      </x:c>
      <x:c r="D74" s="25">
        <x:v>62</x:v>
      </x:c>
      <x:c r="E74" s="39">
        <x:v>46230</x:v>
      </x:c>
      <x:c r="F74" s="40">
        <x:v>5</x:v>
      </x:c>
      <x:c r="G74" s="41">
        <x:f>(D74-(0)+0-(F74*Ventas!AE50*1.8000))</x:f>
      </x:c>
      <x:c r="H74" s="43">
        <x:f>(G74/(Ventas!AE50*1.8000)/60)</x:f>
      </x:c>
      <x:c r="I74" s="25">
        <x:v>90</x:v>
      </x:c>
      <x:c r="J74" s="41">
        <x:f>IF(G74&gt;0,G74+I74,I74)</x:f>
      </x:c>
      <x:c r="K74" s="41">
        <x:v>3.952</x:v>
      </x:c>
      <x:c r="L74" s="41">
        <x:v>30</x:v>
      </x:c>
      <x:c r="M74" s="45">
        <x:v>0.001567</x:v>
      </x:c>
      <x:c r="N74" s="39">
        <x:v>46275</x:v>
      </x:c>
      <x:c r="O74" s="40">
        <x:v>45</x:v>
      </x:c>
      <x:c r="P74" s="41">
        <x:f>(IF(G74&gt;0,G74+I74,I74)-(O74*Ventas!AE50*1.0044))</x:f>
      </x:c>
      <x:c r="Q74" s="43">
        <x:f>(P74/(Ventas!AE50*1.0044)/60)</x:f>
      </x:c>
      <x:c r="R74" s="25">
        <x:v>90</x:v>
      </x:c>
      <x:c r="S74" s="41">
        <x:f>IF(P74&gt;0,P74+R74,R74)</x:f>
      </x:c>
      <x:c r="T74" s="41">
        <x:v>4</x:v>
      </x:c>
      <x:c r="U74" s="41">
        <x:v>30</x:v>
      </x:c>
      <x:c r="V74" s="45">
        <x:v>0.001567</x:v>
      </x:c>
      <x:c r="W74" s="39">
        <x:v>46331</x:v>
      </x:c>
      <x:c r="X74" s="40">
        <x:v>56</x:v>
      </x:c>
      <x:c r="Y74" s="41">
        <x:f>(IF(P74&gt;0,P74+R74,R74)-(X74*Ventas!AE50*0.9018))</x:f>
      </x:c>
      <x:c r="Z74" s="43">
        <x:f>(Y74/(Ventas!AE50*0.9018)/60)</x:f>
      </x:c>
      <x:c r="AA74" s="41">
        <x:f>(100*(Ventas!AE50*1.2350) - IF(Y74&gt;0,Y74,0))</x:f>
      </x:c>
      <x:c r="AB74" s="41">
        <x:f>IF(AA74&gt;0,AA74,0)</x:f>
      </x:c>
      <x:c r="AC74" s="41">
        <x:f>IF(Y74&gt;0,Y74+IF(AB74&gt;0,AB74,0),AB74)</x:f>
      </x:c>
      <x:c r="AD74" s="46">
        <x:v>3.952</x:v>
      </x:c>
      <x:c r="AE74" s="25">
        <x:v>3027</x:v>
      </x:c>
      <x:c r="AF74" s="41">
        <x:f>(AC74-(60*Ventas!AE50*1.2350))</x:f>
      </x:c>
      <x:c r="AG74" s="43">
        <x:f>(AF74/(Ventas!AE50*1.2350)/60)</x:f>
      </x:c>
      <x:c r="AH74" s="7" t="s">
        <x:v>34</x:v>
      </x:c>
    </x:row>
    <x:row r="75">
      <x:c r="A75" s="7"/>
      <x:c r="B75" s="7" t="s">
        <x:v>131</x:v>
      </x:c>
      <x:c r="C75" s="38" t="s">
        <x:v>130</x:v>
      </x:c>
      <x:c r="D75" s="25">
        <x:v>103</x:v>
      </x:c>
      <x:c r="E75" s="39">
        <x:v>46230</x:v>
      </x:c>
      <x:c r="F75" s="40">
        <x:v>5</x:v>
      </x:c>
      <x:c r="G75" s="41">
        <x:f>(D75-(0)+0-(F75*Ventas!AE51*1.8000))</x:f>
      </x:c>
      <x:c r="H75" s="43">
        <x:f>(G75/(Ventas!AE51*1.8000)/60)</x:f>
      </x:c>
      <x:c r="I75" s="25">
        <x:v>0</x:v>
      </x:c>
      <x:c r="J75" s="41">
        <x:f>IF(G75&gt;0,G75+I75,I75)</x:f>
      </x:c>
      <x:c r="K75" s="9"/>
      <x:c r="L75" s="41">
        <x:v>30</x:v>
      </x:c>
      <x:c r="M75" s="45">
        <x:v>0.001567</x:v>
      </x:c>
      <x:c r="N75" s="39">
        <x:v>46275</x:v>
      </x:c>
      <x:c r="O75" s="40">
        <x:v>45</x:v>
      </x:c>
      <x:c r="P75" s="41">
        <x:f>(IF(G75&gt;0,G75+I75,I75)-(O75*Ventas!AE51*1.0044))</x:f>
      </x:c>
      <x:c r="Q75" s="43">
        <x:f>(P75/(Ventas!AE51*1.0044)/60)</x:f>
      </x:c>
      <x:c r="R75" s="25">
        <x:v>0</x:v>
      </x:c>
      <x:c r="S75" s="41">
        <x:f>IF(P75&gt;0,P75+R75,R75)</x:f>
      </x:c>
      <x:c r="T75" s="9"/>
      <x:c r="U75" s="41">
        <x:v>30</x:v>
      </x:c>
      <x:c r="V75" s="45">
        <x:v>0.001567</x:v>
      </x:c>
      <x:c r="W75" s="39">
        <x:v>46331</x:v>
      </x:c>
      <x:c r="X75" s="40">
        <x:v>56</x:v>
      </x:c>
      <x:c r="Y75" s="41">
        <x:f>(IF(P75&gt;0,P75+R75,R75)-(X75*Ventas!AE51*0.9018))</x:f>
      </x:c>
      <x:c r="Z75" s="43">
        <x:f>(Y75/(Ventas!AE51*0.9018)/60)</x:f>
      </x:c>
      <x:c r="AA75" s="41">
        <x:f>(100*(Ventas!AE51*1.2350) - IF(Y75&gt;0,Y75,0))</x:f>
      </x:c>
      <x:c r="AB75" s="41">
        <x:f>IF(AA75&gt;0,AA75,0)</x:f>
      </x:c>
      <x:c r="AC75" s="41">
        <x:f>IF(Y75&gt;0,Y75+IF(AB75&gt;0,AB75,0),AB75)</x:f>
      </x:c>
      <x:c r="AD75" s="46">
        <x:v>4</x:v>
      </x:c>
      <x:c r="AE75" s="25">
        <x:v>3010</x:v>
      </x:c>
      <x:c r="AF75" s="41">
        <x:f>(AC75-(60*Ventas!AE51*1.2350))</x:f>
      </x:c>
      <x:c r="AG75" s="43">
        <x:f>(AF75/(Ventas!AE51*1.2350)/60)</x:f>
      </x:c>
      <x:c r="AH75" s="7" t="s">
        <x:v>34</x:v>
      </x:c>
    </x:row>
    <x:row r="76">
      <x:c r="A76" s="7"/>
      <x:c r="B76" s="7" t="s">
        <x:v>133</x:v>
      </x:c>
      <x:c r="C76" s="38" t="s">
        <x:v>132</x:v>
      </x:c>
      <x:c r="D76" s="9"/>
      <x:c r="E76" s="39">
        <x:v>46230</x:v>
      </x:c>
      <x:c r="F76" s="40">
        <x:v>5</x:v>
      </x:c>
      <x:c r="G76" s="41">
        <x:f>(D76-(0)+0-(F76*Ventas!AE52*1.8000))</x:f>
      </x:c>
      <x:c r="H76" s="9"/>
      <x:c r="I76" s="25">
        <x:v>0</x:v>
      </x:c>
      <x:c r="J76" s="41">
        <x:f>IF(G76&gt;0,G76+I76,I76)</x:f>
      </x:c>
      <x:c r="K76" s="9"/>
      <x:c r="L76" s="41">
        <x:v>10</x:v>
      </x:c>
      <x:c r="M76" s="45">
        <x:v>0.005</x:v>
      </x:c>
      <x:c r="N76" s="39">
        <x:v>46275</x:v>
      </x:c>
      <x:c r="O76" s="40">
        <x:v>45</x:v>
      </x:c>
      <x:c r="P76" s="41">
        <x:f>(IF(G76&gt;0,G76+I76,I76)-(O76*Ventas!AE52*1.0044))</x:f>
      </x:c>
      <x:c r="Q76" s="9"/>
      <x:c r="R76" s="25">
        <x:v>0</x:v>
      </x:c>
      <x:c r="S76" s="41">
        <x:f>IF(P76&gt;0,P76+R76,R76)</x:f>
      </x:c>
      <x:c r="T76" s="9"/>
      <x:c r="U76" s="41">
        <x:v>10</x:v>
      </x:c>
      <x:c r="V76" s="45">
        <x:v>0.005</x:v>
      </x:c>
      <x:c r="W76" s="39">
        <x:v>46331</x:v>
      </x:c>
      <x:c r="X76" s="40">
        <x:v>56</x:v>
      </x:c>
      <x:c r="Y76" s="41">
        <x:f>(IF(P76&gt;0,P76+R76,R76)-(X76*Ventas!AE52*0.9018))</x:f>
      </x:c>
      <x:c r="Z76" s="9"/>
      <x:c r="AA76" s="41">
        <x:f>(100*(Ventas!AE52*1.2350) - IF(Y76&gt;0,Y76,0))</x:f>
      </x:c>
      <x:c r="AB76" s="41">
        <x:f>IF(AA76&gt;0,AA76,0)</x:f>
      </x:c>
      <x:c r="AC76" s="41">
        <x:f>IF(Y76&gt;0,Y76+IF(AB76&gt;0,AB76,0),AB76)</x:f>
      </x:c>
      <x:c r="AD76" s="46">
        <x:v>20.1</x:v>
      </x:c>
      <x:c r="AE76" s="25">
        <x:v>3010</x:v>
      </x:c>
      <x:c r="AF76" s="9"/>
      <x:c r="AG76" s="9"/>
      <x:c r="AH76" s="7" t="s">
        <x:v>34</x:v>
      </x:c>
    </x:row>
    <x:row r="77">
      <x:c r="A77" s="7"/>
      <x:c r="B77" s="7" t="s">
        <x:v>135</x:v>
      </x:c>
      <x:c r="C77" s="38" t="s">
        <x:v>134</x:v>
      </x:c>
      <x:c r="D77" s="25">
        <x:v>57</x:v>
      </x:c>
      <x:c r="E77" s="39">
        <x:v>46230</x:v>
      </x:c>
      <x:c r="F77" s="40">
        <x:v>5</x:v>
      </x:c>
      <x:c r="G77" s="41">
        <x:f>(D77-(0)+0-(F77*Ventas!AE53*1.8000))</x:f>
      </x:c>
      <x:c r="H77" s="43">
        <x:f>(G77/(Ventas!AE53*1.8000)/60)</x:f>
      </x:c>
      <x:c r="I77" s="25">
        <x:v>0</x:v>
      </x:c>
      <x:c r="J77" s="41">
        <x:f>IF(G77&gt;0,G77+I77,I77)</x:f>
      </x:c>
      <x:c r="K77" s="9"/>
      <x:c r="L77" s="41">
        <x:v>15</x:v>
      </x:c>
      <x:c r="M77" s="45">
        <x:v>0.005786</x:v>
      </x:c>
      <x:c r="N77" s="39">
        <x:v>46275</x:v>
      </x:c>
      <x:c r="O77" s="40">
        <x:v>45</x:v>
      </x:c>
      <x:c r="P77" s="41">
        <x:f>(IF(G77&gt;0,G77+I77,I77)-(O77*Ventas!AE53*1.0044))</x:f>
      </x:c>
      <x:c r="Q77" s="43">
        <x:f>(P77/(Ventas!AE53*1.0044)/60)</x:f>
      </x:c>
      <x:c r="R77" s="25">
        <x:v>0</x:v>
      </x:c>
      <x:c r="S77" s="41">
        <x:f>IF(P77&gt;0,P77+R77,R77)</x:f>
      </x:c>
      <x:c r="T77" s="9"/>
      <x:c r="U77" s="41">
        <x:v>15</x:v>
      </x:c>
      <x:c r="V77" s="45">
        <x:v>0.005786</x:v>
      </x:c>
      <x:c r="W77" s="39">
        <x:v>46331</x:v>
      </x:c>
      <x:c r="X77" s="40">
        <x:v>56</x:v>
      </x:c>
      <x:c r="Y77" s="41">
        <x:f>(IF(P77&gt;0,P77+R77,R77)-(X77*Ventas!AE53*0.9018))</x:f>
      </x:c>
      <x:c r="Z77" s="43">
        <x:f>(Y77/(Ventas!AE53*0.9018)/60)</x:f>
      </x:c>
      <x:c r="AA77" s="41">
        <x:f>(100*(Ventas!AE53*1.2350) - IF(Y77&gt;0,Y77,0))</x:f>
      </x:c>
      <x:c r="AB77" s="41">
        <x:f>IF(AA77&gt;0,AA77,0)</x:f>
      </x:c>
      <x:c r="AC77" s="41">
        <x:f>IF(Y77&gt;0,Y77+IF(AB77&gt;0,AB77,0),AB77)</x:f>
      </x:c>
      <x:c r="AD77" s="46">
        <x:v>9</x:v>
      </x:c>
      <x:c r="AE77" s="25">
        <x:v>3027</x:v>
      </x:c>
      <x:c r="AF77" s="41">
        <x:f>(AC77-(60*Ventas!AE53*1.2350))</x:f>
      </x:c>
      <x:c r="AG77" s="43">
        <x:f>(AF77/(Ventas!AE53*1.2350)/60)</x:f>
      </x:c>
      <x:c r="AH77" s="7" t="s">
        <x:v>34</x:v>
      </x:c>
    </x:row>
    <x:row r="78">
      <x:c r="A78" s="7"/>
      <x:c r="B78" s="7" t="s">
        <x:v>137</x:v>
      </x:c>
      <x:c r="C78" s="38" t="s">
        <x:v>136</x:v>
      </x:c>
      <x:c r="D78" s="25">
        <x:v>154</x:v>
      </x:c>
      <x:c r="E78" s="39">
        <x:v>46230</x:v>
      </x:c>
      <x:c r="F78" s="40">
        <x:v>5</x:v>
      </x:c>
      <x:c r="G78" s="41">
        <x:f>(D78-(0)+0-(F78*Ventas!AE54*1.8000))</x:f>
      </x:c>
      <x:c r="H78" s="43">
        <x:f>(G78/(Ventas!AE54*1.8000)/60)</x:f>
      </x:c>
      <x:c r="I78" s="25">
        <x:v>0</x:v>
      </x:c>
      <x:c r="J78" s="41">
        <x:f>IF(G78&gt;0,G78+I78,I78)</x:f>
      </x:c>
      <x:c r="K78" s="9"/>
      <x:c r="L78" s="41">
        <x:v>40</x:v>
      </x:c>
      <x:c r="M78" s="45">
        <x:v>0.002342</x:v>
      </x:c>
      <x:c r="N78" s="39">
        <x:v>46275</x:v>
      </x:c>
      <x:c r="O78" s="40">
        <x:v>45</x:v>
      </x:c>
      <x:c r="P78" s="41">
        <x:f>(IF(G78&gt;0,G78+I78,I78)-(O78*Ventas!AE54*1.0044))</x:f>
      </x:c>
      <x:c r="Q78" s="43">
        <x:f>(P78/(Ventas!AE54*1.0044)/60)</x:f>
      </x:c>
      <x:c r="R78" s="25">
        <x:v>0</x:v>
      </x:c>
      <x:c r="S78" s="41">
        <x:f>IF(P78&gt;0,P78+R78,R78)</x:f>
      </x:c>
      <x:c r="T78" s="9"/>
      <x:c r="U78" s="41">
        <x:v>40</x:v>
      </x:c>
      <x:c r="V78" s="45">
        <x:v>0.002342</x:v>
      </x:c>
      <x:c r="W78" s="39">
        <x:v>46331</x:v>
      </x:c>
      <x:c r="X78" s="40">
        <x:v>56</x:v>
      </x:c>
      <x:c r="Y78" s="41">
        <x:f>(IF(P78&gt;0,P78+R78,R78)-(X78*Ventas!AE54*0.9018))</x:f>
      </x:c>
      <x:c r="Z78" s="43">
        <x:f>(Y78/(Ventas!AE54*0.9018)/60)</x:f>
      </x:c>
      <x:c r="AA78" s="41">
        <x:f>(100*(Ventas!AE54*1.2350) - IF(Y78&gt;0,Y78,0))</x:f>
      </x:c>
      <x:c r="AB78" s="41">
        <x:f>IF(AA78&gt;0,AA78,0)</x:f>
      </x:c>
      <x:c r="AC78" s="41">
        <x:f>IF(Y78&gt;0,Y78+IF(AB78&gt;0,AB78,0),AB78)</x:f>
      </x:c>
      <x:c r="AD78" s="9"/>
      <x:c r="AE78" s="25">
        <x:v>3027</x:v>
      </x:c>
      <x:c r="AF78" s="41">
        <x:f>(AC78-(60*Ventas!AE54*1.2350))</x:f>
      </x:c>
      <x:c r="AG78" s="43">
        <x:f>(AF78/(Ventas!AE54*1.2350)/60)</x:f>
      </x:c>
      <x:c r="AH78" s="7" t="s">
        <x:v>34</x:v>
      </x:c>
    </x:row>
    <x:row r="79">
      <x:c r="A79" s="7"/>
      <x:c r="B79" s="7" t="s">
        <x:v>139</x:v>
      </x:c>
      <x:c r="C79" s="38" t="s">
        <x:v>138</x:v>
      </x:c>
      <x:c r="D79" s="25">
        <x:v>46</x:v>
      </x:c>
      <x:c r="E79" s="39">
        <x:v>46230</x:v>
      </x:c>
      <x:c r="F79" s="40">
        <x:v>5</x:v>
      </x:c>
      <x:c r="G79" s="41">
        <x:f>(D79-(0)+0-(F79*Ventas!AE55*1.8000))</x:f>
      </x:c>
      <x:c r="H79" s="43">
        <x:f>(G79/(Ventas!AE55*1.8000)/60)</x:f>
      </x:c>
      <x:c r="I79" s="25">
        <x:v>0</x:v>
      </x:c>
      <x:c r="J79" s="41">
        <x:f>IF(G79&gt;0,G79+I79,I79)</x:f>
      </x:c>
      <x:c r="K79" s="9"/>
      <x:c r="L79" s="41">
        <x:v>60</x:v>
      </x:c>
      <x:c r="M79" s="45">
        <x:v>0.001033</x:v>
      </x:c>
      <x:c r="N79" s="39">
        <x:v>46275</x:v>
      </x:c>
      <x:c r="O79" s="40">
        <x:v>45</x:v>
      </x:c>
      <x:c r="P79" s="41">
        <x:f>(IF(G79&gt;0,G79+I79,I79)-(O79*Ventas!AE55*1.0044))</x:f>
      </x:c>
      <x:c r="Q79" s="43">
        <x:f>(P79/(Ventas!AE55*1.0044)/60)</x:f>
      </x:c>
      <x:c r="R79" s="25">
        <x:v>0</x:v>
      </x:c>
      <x:c r="S79" s="41">
        <x:f>IF(P79&gt;0,P79+R79,R79)</x:f>
      </x:c>
      <x:c r="T79" s="9"/>
      <x:c r="U79" s="41">
        <x:v>60</x:v>
      </x:c>
      <x:c r="V79" s="45">
        <x:v>0.001033</x:v>
      </x:c>
      <x:c r="W79" s="39">
        <x:v>46331</x:v>
      </x:c>
      <x:c r="X79" s="40">
        <x:v>56</x:v>
      </x:c>
      <x:c r="Y79" s="41">
        <x:f>(IF(P79&gt;0,P79+R79,R79)-(X79*Ventas!AE55*0.9018))</x:f>
      </x:c>
      <x:c r="Z79" s="43">
        <x:f>(Y79/(Ventas!AE55*0.9018)/60)</x:f>
      </x:c>
      <x:c r="AA79" s="41">
        <x:f>(100*(Ventas!AE55*1.2350) - IF(Y79&gt;0,Y79,0))</x:f>
      </x:c>
      <x:c r="AB79" s="41">
        <x:f>IF(AA79&gt;0,AA79,0)</x:f>
      </x:c>
      <x:c r="AC79" s="41">
        <x:f>IF(Y79&gt;0,Y79+IF(AB79&gt;0,AB79,0),AB79)</x:f>
      </x:c>
      <x:c r="AD79" s="46">
        <x:v>5.2</x:v>
      </x:c>
      <x:c r="AE79" s="25">
        <x:v>3027</x:v>
      </x:c>
      <x:c r="AF79" s="41">
        <x:f>(AC79-(60*Ventas!AE55*1.2350))</x:f>
      </x:c>
      <x:c r="AG79" s="43">
        <x:f>(AF79/(Ventas!AE55*1.2350)/60)</x:f>
      </x:c>
      <x:c r="AH79" s="7" t="s">
        <x:v>34</x:v>
      </x:c>
    </x:row>
    <x:row r="80">
      <x:c r="A80" s="7"/>
      <x:c r="B80" s="7" t="s">
        <x:v>141</x:v>
      </x:c>
      <x:c r="C80" s="38" t="s">
        <x:v>140</x:v>
      </x:c>
      <x:c r="D80" s="25">
        <x:v>194</x:v>
      </x:c>
      <x:c r="E80" s="39">
        <x:v>46230</x:v>
      </x:c>
      <x:c r="F80" s="40">
        <x:v>5</x:v>
      </x:c>
      <x:c r="G80" s="41">
        <x:f>(D80-(0)+0-(F80*Ventas!AE56*1.8000))</x:f>
      </x:c>
      <x:c r="H80" s="43">
        <x:f>(G80/(Ventas!AE56*1.8000)/60)</x:f>
      </x:c>
      <x:c r="I80" s="25">
        <x:v>0</x:v>
      </x:c>
      <x:c r="J80" s="41">
        <x:f>IF(G80&gt;0,G80+I80,I80)</x:f>
      </x:c>
      <x:c r="K80" s="9"/>
      <x:c r="L80" s="41">
        <x:v>20</x:v>
      </x:c>
      <x:c r="M80" s="45">
        <x:v>0.00515</x:v>
      </x:c>
      <x:c r="N80" s="39">
        <x:v>46275</x:v>
      </x:c>
      <x:c r="O80" s="40">
        <x:v>45</x:v>
      </x:c>
      <x:c r="P80" s="41">
        <x:f>(IF(G80&gt;0,G80+I80,I80)-(O80*Ventas!AE56*1.0044))</x:f>
      </x:c>
      <x:c r="Q80" s="43">
        <x:f>(P80/(Ventas!AE56*1.0044)/60)</x:f>
      </x:c>
      <x:c r="R80" s="25">
        <x:v>0</x:v>
      </x:c>
      <x:c r="S80" s="41">
        <x:f>IF(P80&gt;0,P80+R80,R80)</x:f>
      </x:c>
      <x:c r="T80" s="9"/>
      <x:c r="U80" s="41">
        <x:v>20</x:v>
      </x:c>
      <x:c r="V80" s="45">
        <x:v>0.00515</x:v>
      </x:c>
      <x:c r="W80" s="39">
        <x:v>46331</x:v>
      </x:c>
      <x:c r="X80" s="40">
        <x:v>56</x:v>
      </x:c>
      <x:c r="Y80" s="41">
        <x:f>(IF(P80&gt;0,P80+R80,R80)-(X80*Ventas!AE56*0.9018))</x:f>
      </x:c>
      <x:c r="Z80" s="43">
        <x:f>(Y80/(Ventas!AE56*0.9018)/60)</x:f>
      </x:c>
      <x:c r="AA80" s="41">
        <x:f>(100*(Ventas!AE56*1.2350) - IF(Y80&gt;0,Y80,0))</x:f>
      </x:c>
      <x:c r="AB80" s="41">
        <x:f>IF(AA80&gt;0,AA80,0)</x:f>
      </x:c>
      <x:c r="AC80" s="41">
        <x:f>IF(Y80&gt;0,Y80+IF(AB80&gt;0,AB80,0),AB80)</x:f>
      </x:c>
      <x:c r="AD80" s="46">
        <x:v>8</x:v>
      </x:c>
      <x:c r="AE80" s="25">
        <x:v>3010</x:v>
      </x:c>
      <x:c r="AF80" s="41">
        <x:f>(AC80-(60*Ventas!AE56*1.2350))</x:f>
      </x:c>
      <x:c r="AG80" s="43">
        <x:f>(AF80/(Ventas!AE56*1.2350)/60)</x:f>
      </x:c>
      <x:c r="AH80" s="7" t="s">
        <x:v>34</x:v>
      </x:c>
    </x:row>
    <x:row r="81">
      <x:c r="A81" s="7"/>
      <x:c r="B81" s="7" t="s">
        <x:v>143</x:v>
      </x:c>
      <x:c r="C81" s="38" t="s">
        <x:v>142</x:v>
      </x:c>
      <x:c r="D81" s="9"/>
      <x:c r="E81" s="39">
        <x:v>46230</x:v>
      </x:c>
      <x:c r="F81" s="40">
        <x:v>5</x:v>
      </x:c>
      <x:c r="G81" s="41">
        <x:f>(D81-(0)+0-(F81*Ventas!AE57*1.8000))</x:f>
      </x:c>
      <x:c r="H81" s="9"/>
      <x:c r="I81" s="25">
        <x:v>0</x:v>
      </x:c>
      <x:c r="J81" s="41">
        <x:f>IF(G81&gt;0,G81+I81,I81)</x:f>
      </x:c>
      <x:c r="K81" s="9"/>
      <x:c r="L81" s="41">
        <x:v>10</x:v>
      </x:c>
      <x:c r="M81" s="45">
        <x:v>0.003913</x:v>
      </x:c>
      <x:c r="N81" s="39">
        <x:v>46275</x:v>
      </x:c>
      <x:c r="O81" s="40">
        <x:v>45</x:v>
      </x:c>
      <x:c r="P81" s="41">
        <x:f>(IF(G81&gt;0,G81+I81,I81)-(O81*Ventas!AE57*1.0044))</x:f>
      </x:c>
      <x:c r="Q81" s="9"/>
      <x:c r="R81" s="25">
        <x:v>0</x:v>
      </x:c>
      <x:c r="S81" s="41">
        <x:f>IF(P81&gt;0,P81+R81,R81)</x:f>
      </x:c>
      <x:c r="T81" s="9"/>
      <x:c r="U81" s="41">
        <x:v>10</x:v>
      </x:c>
      <x:c r="V81" s="45">
        <x:v>0.003913</x:v>
      </x:c>
      <x:c r="W81" s="39">
        <x:v>46331</x:v>
      </x:c>
      <x:c r="X81" s="40">
        <x:v>56</x:v>
      </x:c>
      <x:c r="Y81" s="41">
        <x:f>(IF(P81&gt;0,P81+R81,R81)-(X81*Ventas!AE57*0.9018))</x:f>
      </x:c>
      <x:c r="Z81" s="9"/>
      <x:c r="AA81" s="41">
        <x:f>(100*(Ventas!AE57*1.2350) - IF(Y81&gt;0,Y81,0))</x:f>
      </x:c>
      <x:c r="AB81" s="41">
        <x:f>IF(AA81&gt;0,AA81,0)</x:f>
      </x:c>
      <x:c r="AC81" s="41">
        <x:f>IF(Y81&gt;0,Y81+IF(AB81&gt;0,AB81,0),AB81)</x:f>
      </x:c>
      <x:c r="AD81" s="46">
        <x:v>9.7</x:v>
      </x:c>
      <x:c r="AE81" s="25">
        <x:v>3017</x:v>
      </x:c>
      <x:c r="AF81" s="9"/>
      <x:c r="AG81" s="9"/>
      <x:c r="AH81" s="7" t="s">
        <x:v>107</x:v>
      </x:c>
    </x:row>
    <x:row r="82">
      <x:c r="A82" s="7"/>
      <x:c r="B82" s="7" t="s">
        <x:v>145</x:v>
      </x:c>
      <x:c r="C82" s="38" t="s">
        <x:v>144</x:v>
      </x:c>
      <x:c r="D82" s="9"/>
      <x:c r="E82" s="39">
        <x:v>46230</x:v>
      </x:c>
      <x:c r="F82" s="40">
        <x:v>5</x:v>
      </x:c>
      <x:c r="G82" s="41">
        <x:f>(D82-(0)+0-(F82*Ventas!AE58*1.8000))</x:f>
      </x:c>
      <x:c r="H82" s="43">
        <x:f>(G82/(Ventas!AE58*1.8000)/60)</x:f>
      </x:c>
      <x:c r="I82" s="25">
        <x:v>0</x:v>
      </x:c>
      <x:c r="J82" s="41">
        <x:f>IF(G82&gt;0,G82+I82,I82)</x:f>
      </x:c>
      <x:c r="K82" s="9"/>
      <x:c r="L82" s="41">
        <x:v>60</x:v>
      </x:c>
      <x:c r="M82" s="45">
        <x:v>0.001249</x:v>
      </x:c>
      <x:c r="N82" s="39">
        <x:v>46275</x:v>
      </x:c>
      <x:c r="O82" s="40">
        <x:v>45</x:v>
      </x:c>
      <x:c r="P82" s="41">
        <x:f>(IF(G82&gt;0,G82+I82,I82)-(O82*Ventas!AE58*1.0044))</x:f>
      </x:c>
      <x:c r="Q82" s="43">
        <x:f>(P82/(Ventas!AE58*1.0044)/60)</x:f>
      </x:c>
      <x:c r="R82" s="25">
        <x:v>0</x:v>
      </x:c>
      <x:c r="S82" s="41">
        <x:f>IF(P82&gt;0,P82+R82,R82)</x:f>
      </x:c>
      <x:c r="T82" s="9"/>
      <x:c r="U82" s="41">
        <x:v>60</x:v>
      </x:c>
      <x:c r="V82" s="45">
        <x:v>0.001249</x:v>
      </x:c>
      <x:c r="W82" s="39">
        <x:v>46331</x:v>
      </x:c>
      <x:c r="X82" s="40">
        <x:v>56</x:v>
      </x:c>
      <x:c r="Y82" s="41">
        <x:f>(IF(P82&gt;0,P82+R82,R82)-(X82*Ventas!AE58*0.9018))</x:f>
      </x:c>
      <x:c r="Z82" s="43">
        <x:f>(Y82/(Ventas!AE58*0.9018)/60)</x:f>
      </x:c>
      <x:c r="AA82" s="41">
        <x:f>(100*(Ventas!AE58*1.2350) - IF(Y82&gt;0,Y82,0))</x:f>
      </x:c>
      <x:c r="AB82" s="41">
        <x:f>IF(AA82&gt;0,AA82,0)</x:f>
      </x:c>
      <x:c r="AC82" s="41">
        <x:f>IF(Y82&gt;0,Y82+IF(AB82&gt;0,AB82,0),AB82)</x:f>
      </x:c>
      <x:c r="AD82" s="46">
        <x:v>2.1</x:v>
      </x:c>
      <x:c r="AE82" s="25">
        <x:v>3017</x:v>
      </x:c>
      <x:c r="AF82" s="41">
        <x:f>(AC82-(60*Ventas!AE58*1.2350))</x:f>
      </x:c>
      <x:c r="AG82" s="43">
        <x:f>(AF82/(Ventas!AE58*1.2350)/60)</x:f>
      </x:c>
      <x:c r="AH82" s="7" t="s">
        <x:v>34</x:v>
      </x:c>
    </x:row>
    <x:row r="83">
      <x:c r="A83" s="7"/>
      <x:c r="B83" s="7" t="s">
        <x:v>147</x:v>
      </x:c>
      <x:c r="C83" s="38" t="s">
        <x:v>146</x:v>
      </x:c>
      <x:c r="D83" s="9"/>
      <x:c r="E83" s="39">
        <x:v>46230</x:v>
      </x:c>
      <x:c r="F83" s="40">
        <x:v>5</x:v>
      </x:c>
      <x:c r="G83" s="41">
        <x:f>(D83-(0)+0-(F83*Ventas!AE59*1.8000))</x:f>
      </x:c>
      <x:c r="H83" s="9"/>
      <x:c r="I83" s="25">
        <x:v>0</x:v>
      </x:c>
      <x:c r="J83" s="41">
        <x:f>IF(G83&gt;0,G83+I83,I83)</x:f>
      </x:c>
      <x:c r="K83" s="9"/>
      <x:c r="L83" s="41">
        <x:v>30</x:v>
      </x:c>
      <x:c r="M83" s="45">
        <x:v>0.0021</x:v>
      </x:c>
      <x:c r="N83" s="39">
        <x:v>46275</x:v>
      </x:c>
      <x:c r="O83" s="40">
        <x:v>45</x:v>
      </x:c>
      <x:c r="P83" s="41">
        <x:f>(IF(G83&gt;0,G83+I83,I83)-(O83*Ventas!AE59*1.0044))</x:f>
      </x:c>
      <x:c r="Q83" s="9"/>
      <x:c r="R83" s="25">
        <x:v>0</x:v>
      </x:c>
      <x:c r="S83" s="41">
        <x:f>IF(P83&gt;0,P83+R83,R83)</x:f>
      </x:c>
      <x:c r="T83" s="9"/>
      <x:c r="U83" s="41">
        <x:v>30</x:v>
      </x:c>
      <x:c r="V83" s="45">
        <x:v>0.0021</x:v>
      </x:c>
      <x:c r="W83" s="39">
        <x:v>46331</x:v>
      </x:c>
      <x:c r="X83" s="40">
        <x:v>56</x:v>
      </x:c>
      <x:c r="Y83" s="41">
        <x:f>(IF(P83&gt;0,P83+R83,R83)-(X83*Ventas!AE59*0.9018))</x:f>
      </x:c>
      <x:c r="Z83" s="9"/>
      <x:c r="AA83" s="41">
        <x:f>(100*(Ventas!AE59*1.2350) - IF(Y83&gt;0,Y83,0))</x:f>
      </x:c>
      <x:c r="AB83" s="41">
        <x:f>IF(AA83&gt;0,AA83,0)</x:f>
      </x:c>
      <x:c r="AC83" s="41">
        <x:f>IF(Y83&gt;0,Y83+IF(AB83&gt;0,AB83,0),AB83)</x:f>
      </x:c>
      <x:c r="AD83" s="46">
        <x:v>5.74</x:v>
      </x:c>
      <x:c r="AE83" s="25">
        <x:v>3010</x:v>
      </x:c>
      <x:c r="AF83" s="9"/>
      <x:c r="AG83" s="9"/>
      <x:c r="AH83" s="7" t="s">
        <x:v>107</x:v>
      </x:c>
    </x:row>
    <x:row r="84">
      <x:c r="A84" s="7"/>
      <x:c r="B84" s="7" t="s">
        <x:v>149</x:v>
      </x:c>
      <x:c r="C84" s="38" t="s">
        <x:v>148</x:v>
      </x:c>
      <x:c r="D84" s="25">
        <x:v>34</x:v>
      </x:c>
      <x:c r="E84" s="39">
        <x:v>46230</x:v>
      </x:c>
      <x:c r="F84" s="40">
        <x:v>5</x:v>
      </x:c>
      <x:c r="G84" s="41">
        <x:f>(D84-(0)+0-(F84*Ventas!AE60*1.8000))</x:f>
      </x:c>
      <x:c r="H84" s="43">
        <x:f>(G84/(Ventas!AE60*1.8000)/60)</x:f>
      </x:c>
      <x:c r="I84" s="25">
        <x:v>0</x:v>
      </x:c>
      <x:c r="J84" s="41">
        <x:f>IF(G84&gt;0,G84+I84,I84)</x:f>
      </x:c>
      <x:c r="K84" s="9"/>
      <x:c r="L84" s="41">
        <x:v>60</x:v>
      </x:c>
      <x:c r="M84" s="45">
        <x:v>0.001033</x:v>
      </x:c>
      <x:c r="N84" s="39">
        <x:v>46275</x:v>
      </x:c>
      <x:c r="O84" s="40">
        <x:v>45</x:v>
      </x:c>
      <x:c r="P84" s="41">
        <x:f>(IF(G84&gt;0,G84+I84,I84)-(O84*Ventas!AE60*1.0044))</x:f>
      </x:c>
      <x:c r="Q84" s="43">
        <x:f>(P84/(Ventas!AE60*1.0044)/60)</x:f>
      </x:c>
      <x:c r="R84" s="25">
        <x:v>0</x:v>
      </x:c>
      <x:c r="S84" s="41">
        <x:f>IF(P84&gt;0,P84+R84,R84)</x:f>
      </x:c>
      <x:c r="T84" s="9"/>
      <x:c r="U84" s="41">
        <x:v>60</x:v>
      </x:c>
      <x:c r="V84" s="45">
        <x:v>0.001033</x:v>
      </x:c>
      <x:c r="W84" s="39">
        <x:v>46331</x:v>
      </x:c>
      <x:c r="X84" s="40">
        <x:v>56</x:v>
      </x:c>
      <x:c r="Y84" s="41">
        <x:f>(IF(P84&gt;0,P84+R84,R84)-(X84*Ventas!AE60*0.9018))</x:f>
      </x:c>
      <x:c r="Z84" s="43">
        <x:f>(Y84/(Ventas!AE60*0.9018)/60)</x:f>
      </x:c>
      <x:c r="AA84" s="41">
        <x:f>(100*(Ventas!AE60*1.2350) - IF(Y84&gt;0,Y84,0))</x:f>
      </x:c>
      <x:c r="AB84" s="41">
        <x:f>IF(AA84&gt;0,AA84,0)</x:f>
      </x:c>
      <x:c r="AC84" s="41">
        <x:f>IF(Y84&gt;0,Y84+IF(AB84&gt;0,AB84,0),AB84)</x:f>
      </x:c>
      <x:c r="AD84" s="46">
        <x:v>5.24</x:v>
      </x:c>
      <x:c r="AE84" s="25">
        <x:v>3010</x:v>
      </x:c>
      <x:c r="AF84" s="41">
        <x:f>(AC84-(60*Ventas!AE60*1.2350))</x:f>
      </x:c>
      <x:c r="AG84" s="43">
        <x:f>(AF84/(Ventas!AE60*1.2350)/60)</x:f>
      </x:c>
      <x:c r="AH84" s="7" t="s">
        <x:v>34</x:v>
      </x:c>
    </x:row>
    <x:row r="85">
      <x:c r="A85" s="7"/>
      <x:c r="B85" s="7" t="s">
        <x:v>151</x:v>
      </x:c>
      <x:c r="C85" s="38" t="s">
        <x:v>150</x:v>
      </x:c>
      <x:c r="D85" s="9"/>
      <x:c r="E85" s="39">
        <x:v>46230</x:v>
      </x:c>
      <x:c r="F85" s="40">
        <x:v>5</x:v>
      </x:c>
      <x:c r="G85" s="41">
        <x:f>(D85-(0)+0-(F85*Ventas!AE61*1.8000))</x:f>
      </x:c>
      <x:c r="H85" s="9"/>
      <x:c r="I85" s="25">
        <x:v>0</x:v>
      </x:c>
      <x:c r="J85" s="41">
        <x:f>IF(G85&gt;0,G85+I85,I85)</x:f>
      </x:c>
      <x:c r="K85" s="9"/>
      <x:c r="L85" s="9"/>
      <x:c r="M85" s="9"/>
      <x:c r="N85" s="39">
        <x:v>46275</x:v>
      </x:c>
      <x:c r="O85" s="40">
        <x:v>45</x:v>
      </x:c>
      <x:c r="P85" s="41">
        <x:f>(IF(G85&gt;0,G85+I85,I85)-(O85*Ventas!AE61*1.0044))</x:f>
      </x:c>
      <x:c r="Q85" s="9"/>
      <x:c r="R85" s="25">
        <x:v>0</x:v>
      </x:c>
      <x:c r="S85" s="41">
        <x:f>IF(P85&gt;0,P85+R85,R85)</x:f>
      </x:c>
      <x:c r="T85" s="9"/>
      <x:c r="U85" s="41">
        <x:v>60</x:v>
      </x:c>
      <x:c r="V85" s="45">
        <x:v>0.001033</x:v>
      </x:c>
      <x:c r="W85" s="39">
        <x:v>46331</x:v>
      </x:c>
      <x:c r="X85" s="40">
        <x:v>56</x:v>
      </x:c>
      <x:c r="Y85" s="41">
        <x:f>(IF(P85&gt;0,P85+R85,R85)-(X85*Ventas!AE61*0.9018))</x:f>
      </x:c>
      <x:c r="Z85" s="9"/>
      <x:c r="AA85" s="41">
        <x:f>(100*(Ventas!AE61*1.2350) - IF(Y85&gt;0,Y85,0))</x:f>
      </x:c>
      <x:c r="AB85" s="41">
        <x:f>IF(AA85&gt;0,AA85,0)</x:f>
      </x:c>
      <x:c r="AC85" s="41">
        <x:f>IF(Y85&gt;0,Y85+IF(AB85&gt;0,AB85,0),AB85)</x:f>
      </x:c>
      <x:c r="AD85" s="46">
        <x:v>5.5</x:v>
      </x:c>
      <x:c r="AE85" s="25">
        <x:v>3010</x:v>
      </x:c>
      <x:c r="AF85" s="9"/>
      <x:c r="AG85" s="9"/>
      <x:c r="AH85" s="7" t="s">
        <x:v>34</x:v>
      </x:c>
    </x:row>
    <x:row r="86">
      <x:c r="A86" s="7"/>
      <x:c r="B86" s="7" t="s">
        <x:v>153</x:v>
      </x:c>
      <x:c r="C86" s="38" t="s">
        <x:v>152</x:v>
      </x:c>
      <x:c r="D86" s="9"/>
      <x:c r="E86" s="39">
        <x:v>46230</x:v>
      </x:c>
      <x:c r="F86" s="40">
        <x:v>5</x:v>
      </x:c>
      <x:c r="G86" s="41">
        <x:f>(D86-(0)+0-(F86*Ventas!AE62*1.8000))</x:f>
      </x:c>
      <x:c r="H86" s="43">
        <x:f>(G86/(Ventas!AE62*1.8000)/60)</x:f>
      </x:c>
      <x:c r="I86" s="25">
        <x:v>0</x:v>
      </x:c>
      <x:c r="J86" s="41">
        <x:f>IF(G86&gt;0,G86+I86,I86)</x:f>
      </x:c>
      <x:c r="K86" s="9"/>
      <x:c r="L86" s="9"/>
      <x:c r="M86" s="9"/>
      <x:c r="N86" s="39">
        <x:v>46275</x:v>
      </x:c>
      <x:c r="O86" s="40">
        <x:v>45</x:v>
      </x:c>
      <x:c r="P86" s="41">
        <x:f>(IF(G86&gt;0,G86+I86,I86)-(O86*Ventas!AE62*1.0044))</x:f>
      </x:c>
      <x:c r="Q86" s="43">
        <x:f>(P86/(Ventas!AE62*1.0044)/60)</x:f>
      </x:c>
      <x:c r="R86" s="25">
        <x:v>0</x:v>
      </x:c>
      <x:c r="S86" s="41">
        <x:f>IF(P86&gt;0,P86+R86,R86)</x:f>
      </x:c>
      <x:c r="T86" s="9"/>
      <x:c r="U86" s="9"/>
      <x:c r="V86" s="9"/>
      <x:c r="W86" s="39">
        <x:v>46331</x:v>
      </x:c>
      <x:c r="X86" s="40">
        <x:v>56</x:v>
      </x:c>
      <x:c r="Y86" s="41">
        <x:f>(IF(P86&gt;0,P86+R86,R86)-(X86*Ventas!AE62*0.9018))</x:f>
      </x:c>
      <x:c r="Z86" s="43">
        <x:f>(Y86/(Ventas!AE62*0.9018)/60)</x:f>
      </x:c>
      <x:c r="AA86" s="41">
        <x:f>(100*(Ventas!AE62*1.2350) - IF(Y86&gt;0,Y86,0))</x:f>
      </x:c>
      <x:c r="AB86" s="41">
        <x:f>IF(AA86&gt;0,AA86,0)</x:f>
      </x:c>
      <x:c r="AC86" s="41">
        <x:f>IF(Y86&gt;0,Y86+IF(AB86&gt;0,AB86,0),AB86)</x:f>
      </x:c>
      <x:c r="AD86" s="46">
        <x:v>12.5</x:v>
      </x:c>
      <x:c r="AE86" s="25">
        <x:v>3027</x:v>
      </x:c>
      <x:c r="AF86" s="41">
        <x:f>(AC86-(60*Ventas!AE62*1.2350))</x:f>
      </x:c>
      <x:c r="AG86" s="43">
        <x:f>(AF86/(Ventas!AE62*1.2350)/60)</x:f>
      </x:c>
      <x:c r="AH86" s="7" t="s">
        <x:v>34</x:v>
      </x:c>
    </x:row>
    <x:row r="87">
      <x:c r="A87" s="7"/>
      <x:c r="B87" s="7" t="s">
        <x:v>155</x:v>
      </x:c>
      <x:c r="C87" s="38" t="s">
        <x:v>154</x:v>
      </x:c>
      <x:c r="D87" s="9"/>
      <x:c r="E87" s="39">
        <x:v>46230</x:v>
      </x:c>
      <x:c r="F87" s="40">
        <x:v>5</x:v>
      </x:c>
      <x:c r="G87" s="41">
        <x:f>(D87-(0)+0-(F87*Ventas!AE63*1.8000))</x:f>
      </x:c>
      <x:c r="H87" s="9"/>
      <x:c r="I87" s="25">
        <x:v>0</x:v>
      </x:c>
      <x:c r="J87" s="41">
        <x:f>IF(G87&gt;0,G87+I87,I87)</x:f>
      </x:c>
      <x:c r="K87" s="9"/>
      <x:c r="L87" s="9"/>
      <x:c r="M87" s="9"/>
      <x:c r="N87" s="39">
        <x:v>46275</x:v>
      </x:c>
      <x:c r="O87" s="40">
        <x:v>45</x:v>
      </x:c>
      <x:c r="P87" s="41">
        <x:f>(IF(G87&gt;0,G87+I87,I87)-(O87*Ventas!AE63*1.0044))</x:f>
      </x:c>
      <x:c r="Q87" s="9"/>
      <x:c r="R87" s="25">
        <x:v>0</x:v>
      </x:c>
      <x:c r="S87" s="41">
        <x:f>IF(P87&gt;0,P87+R87,R87)</x:f>
      </x:c>
      <x:c r="T87" s="9"/>
      <x:c r="U87" s="9"/>
      <x:c r="V87" s="9"/>
      <x:c r="W87" s="39">
        <x:v>46331</x:v>
      </x:c>
      <x:c r="X87" s="40">
        <x:v>56</x:v>
      </x:c>
      <x:c r="Y87" s="41">
        <x:f>(IF(P87&gt;0,P87+R87,R87)-(X87*Ventas!AE63*0.9018))</x:f>
      </x:c>
      <x:c r="Z87" s="9"/>
      <x:c r="AA87" s="41">
        <x:f>(100*(Ventas!AE63*1.2350) - IF(Y87&gt;0,Y87,0))</x:f>
      </x:c>
      <x:c r="AB87" s="41">
        <x:f>IF(AA87&gt;0,AA87,0)</x:f>
      </x:c>
      <x:c r="AC87" s="41">
        <x:f>IF(Y87&gt;0,Y87+IF(AB87&gt;0,AB87,0),AB87)</x:f>
      </x:c>
      <x:c r="AD87" s="46">
        <x:v>20.1</x:v>
      </x:c>
      <x:c r="AE87" s="25">
        <x:v>3027</x:v>
      </x:c>
      <x:c r="AF87" s="9"/>
      <x:c r="AG87" s="9"/>
      <x:c r="AH87" s="7" t="s">
        <x:v>34</x:v>
      </x:c>
    </x:row>
    <x:row r="88">
      <x:c r="A88" s="7"/>
      <x:c r="B88" s="7" t="s">
        <x:v>157</x:v>
      </x:c>
      <x:c r="C88" s="38" t="s">
        <x:v>156</x:v>
      </x:c>
      <x:c r="D88" s="9"/>
      <x:c r="E88" s="39">
        <x:v>46230</x:v>
      </x:c>
      <x:c r="F88" s="40">
        <x:v>5</x:v>
      </x:c>
      <x:c r="G88" s="41">
        <x:f>(D88-(0)+0-(F88*Ventas!AE64*1.8000))</x:f>
      </x:c>
      <x:c r="H88" s="9"/>
      <x:c r="I88" s="25">
        <x:v>0</x:v>
      </x:c>
      <x:c r="J88" s="41">
        <x:f>IF(G88&gt;0,G88+I88,I88)</x:f>
      </x:c>
      <x:c r="K88" s="9"/>
      <x:c r="L88" s="9"/>
      <x:c r="M88" s="9"/>
      <x:c r="N88" s="39">
        <x:v>46275</x:v>
      </x:c>
      <x:c r="O88" s="40">
        <x:v>45</x:v>
      </x:c>
      <x:c r="P88" s="41">
        <x:f>(IF(G88&gt;0,G88+I88,I88)-(O88*Ventas!AE64*1.0044))</x:f>
      </x:c>
      <x:c r="Q88" s="9"/>
      <x:c r="R88" s="25">
        <x:v>0</x:v>
      </x:c>
      <x:c r="S88" s="41">
        <x:f>IF(P88&gt;0,P88+R88,R88)</x:f>
      </x:c>
      <x:c r="T88" s="9"/>
      <x:c r="U88" s="9"/>
      <x:c r="V88" s="9"/>
      <x:c r="W88" s="39">
        <x:v>46331</x:v>
      </x:c>
      <x:c r="X88" s="40">
        <x:v>56</x:v>
      </x:c>
      <x:c r="Y88" s="41">
        <x:f>(IF(P88&gt;0,P88+R88,R88)-(X88*Ventas!AE64*0.9018))</x:f>
      </x:c>
      <x:c r="Z88" s="9"/>
      <x:c r="AA88" s="41">
        <x:f>(100*(Ventas!AE64*1.2350) - IF(Y88&gt;0,Y88,0))</x:f>
      </x:c>
      <x:c r="AB88" s="41">
        <x:f>IF(AA88&gt;0,AA88,0)</x:f>
      </x:c>
      <x:c r="AC88" s="41">
        <x:f>IF(Y88&gt;0,Y88+IF(AB88&gt;0,AB88,0),AB88)</x:f>
      </x:c>
      <x:c r="AD88" s="9"/>
      <x:c r="AE88" s="9"/>
      <x:c r="AF88" s="9"/>
      <x:c r="AG88" s="9"/>
      <x:c r="AH88" s="7" t="s">
        <x:v>34</x:v>
      </x:c>
    </x:row>
    <x:row r="89">
      <x:c r="A89" s="7"/>
      <x:c r="B89" s="7" t="s">
        <x:v>159</x:v>
      </x:c>
      <x:c r="C89" s="38" t="s">
        <x:v>158</x:v>
      </x:c>
      <x:c r="D89" s="9"/>
      <x:c r="E89" s="39">
        <x:v>46230</x:v>
      </x:c>
      <x:c r="F89" s="40">
        <x:v>5</x:v>
      </x:c>
      <x:c r="G89" s="41">
        <x:f>(D89-(0)+0-(F89*Ventas!AE65*1.8000))</x:f>
      </x:c>
      <x:c r="H89" s="43">
        <x:f>(G89/(Ventas!AE65*1.8000)/60)</x:f>
      </x:c>
      <x:c r="I89" s="25">
        <x:v>0</x:v>
      </x:c>
      <x:c r="J89" s="41">
        <x:f>IF(G89&gt;0,G89+I89,I89)</x:f>
      </x:c>
      <x:c r="K89" s="9"/>
      <x:c r="L89" s="41">
        <x:v>15</x:v>
      </x:c>
      <x:c r="M89" s="45">
        <x:v>0.005786</x:v>
      </x:c>
      <x:c r="N89" s="39">
        <x:v>46275</x:v>
      </x:c>
      <x:c r="O89" s="40">
        <x:v>45</x:v>
      </x:c>
      <x:c r="P89" s="41">
        <x:f>(IF(G89&gt;0,G89+I89,I89)-(O89*Ventas!AE65*1.0044))</x:f>
      </x:c>
      <x:c r="Q89" s="43">
        <x:f>(P89/(Ventas!AE65*1.0044)/60)</x:f>
      </x:c>
      <x:c r="R89" s="25">
        <x:v>0</x:v>
      </x:c>
      <x:c r="S89" s="41">
        <x:f>IF(P89&gt;0,P89+R89,R89)</x:f>
      </x:c>
      <x:c r="T89" s="9"/>
      <x:c r="U89" s="41">
        <x:v>15</x:v>
      </x:c>
      <x:c r="V89" s="45">
        <x:v>0.005786</x:v>
      </x:c>
      <x:c r="W89" s="39">
        <x:v>46331</x:v>
      </x:c>
      <x:c r="X89" s="40">
        <x:v>56</x:v>
      </x:c>
      <x:c r="Y89" s="41">
        <x:f>(IF(P89&gt;0,P89+R89,R89)-(X89*Ventas!AE65*0.9018))</x:f>
      </x:c>
      <x:c r="Z89" s="43">
        <x:f>(Y89/(Ventas!AE65*0.9018)/60)</x:f>
      </x:c>
      <x:c r="AA89" s="41">
        <x:f>(100*(Ventas!AE65*1.2350) - IF(Y89&gt;0,Y89,0))</x:f>
      </x:c>
      <x:c r="AB89" s="41">
        <x:f>IF(AA89&gt;0,AA89,0)</x:f>
      </x:c>
      <x:c r="AC89" s="41">
        <x:f>IF(Y89&gt;0,Y89+IF(AB89&gt;0,AB89,0),AB89)</x:f>
      </x:c>
      <x:c r="AD89" s="46">
        <x:v>5.94</x:v>
      </x:c>
      <x:c r="AE89" s="25">
        <x:v>3010</x:v>
      </x:c>
      <x:c r="AF89" s="41">
        <x:f>(AC89-(60*Ventas!AE65*1.2350))</x:f>
      </x:c>
      <x:c r="AG89" s="43">
        <x:f>(AF89/(Ventas!AE65*1.2350)/60)</x:f>
      </x:c>
      <x:c r="AH89" s="7" t="s">
        <x:v>107</x:v>
      </x:c>
    </x:row>
    <x:row r="90">
      <x:c r="A90" s="7"/>
      <x:c r="B90" s="7" t="s">
        <x:v>161</x:v>
      </x:c>
      <x:c r="C90" s="38" t="s">
        <x:v>160</x:v>
      </x:c>
      <x:c r="D90" s="9"/>
      <x:c r="E90" s="39">
        <x:v>46230</x:v>
      </x:c>
      <x:c r="F90" s="40">
        <x:v>5</x:v>
      </x:c>
      <x:c r="G90" s="41">
        <x:f>(D90-(0)+0-(F90*Ventas!AE66*1.8000))</x:f>
      </x:c>
      <x:c r="H90" s="9"/>
      <x:c r="I90" s="25">
        <x:v>0</x:v>
      </x:c>
      <x:c r="J90" s="41">
        <x:f>IF(G90&gt;0,G90+I90,I90)</x:f>
      </x:c>
      <x:c r="K90" s="9"/>
      <x:c r="L90" s="41">
        <x:v>15</x:v>
      </x:c>
      <x:c r="M90" s="45">
        <x:v>0.005786</x:v>
      </x:c>
      <x:c r="N90" s="39">
        <x:v>46275</x:v>
      </x:c>
      <x:c r="O90" s="40">
        <x:v>45</x:v>
      </x:c>
      <x:c r="P90" s="41">
        <x:f>(IF(G90&gt;0,G90+I90,I90)-(O90*Ventas!AE66*1.0044))</x:f>
      </x:c>
      <x:c r="Q90" s="9"/>
      <x:c r="R90" s="25">
        <x:v>0</x:v>
      </x:c>
      <x:c r="S90" s="41">
        <x:f>IF(P90&gt;0,P90+R90,R90)</x:f>
      </x:c>
      <x:c r="T90" s="9"/>
      <x:c r="U90" s="41">
        <x:v>15</x:v>
      </x:c>
      <x:c r="V90" s="45">
        <x:v>0.005786</x:v>
      </x:c>
      <x:c r="W90" s="39">
        <x:v>46331</x:v>
      </x:c>
      <x:c r="X90" s="40">
        <x:v>56</x:v>
      </x:c>
      <x:c r="Y90" s="41">
        <x:f>(IF(P90&gt;0,P90+R90,R90)-(X90*Ventas!AE66*0.9018))</x:f>
      </x:c>
      <x:c r="Z90" s="9"/>
      <x:c r="AA90" s="41">
        <x:f>(100*(Ventas!AE66*1.2350) - IF(Y90&gt;0,Y90,0))</x:f>
      </x:c>
      <x:c r="AB90" s="41">
        <x:f>IF(AA90&gt;0,AA90,0)</x:f>
      </x:c>
      <x:c r="AC90" s="41">
        <x:f>IF(Y90&gt;0,Y90+IF(AB90&gt;0,AB90,0),AB90)</x:f>
      </x:c>
      <x:c r="AD90" s="46">
        <x:v>3.9358</x:v>
      </x:c>
      <x:c r="AE90" s="25">
        <x:v>3027</x:v>
      </x:c>
      <x:c r="AF90" s="9"/>
      <x:c r="AG90" s="9"/>
      <x:c r="AH90" s="7" t="s">
        <x:v>107</x:v>
      </x:c>
    </x:row>
    <x:row r="91">
      <x:c r="A91" s="7"/>
      <x:c r="B91" s="7" t="s">
        <x:v>163</x:v>
      </x:c>
      <x:c r="C91" s="38" t="s">
        <x:v>162</x:v>
      </x:c>
      <x:c r="D91" s="25">
        <x:v>26</x:v>
      </x:c>
      <x:c r="E91" s="39">
        <x:v>46230</x:v>
      </x:c>
      <x:c r="F91" s="40">
        <x:v>5</x:v>
      </x:c>
      <x:c r="G91" s="41">
        <x:f>(D91-(0)+0-(F91*Ventas!AE67*1.8000))</x:f>
      </x:c>
      <x:c r="H91" s="43">
        <x:f>(G91/(Ventas!AE67*1.8000)/60)</x:f>
      </x:c>
      <x:c r="I91" s="25">
        <x:v>0</x:v>
      </x:c>
      <x:c r="J91" s="41">
        <x:f>IF(G91&gt;0,G91+I91,I91)</x:f>
      </x:c>
      <x:c r="K91" s="9"/>
      <x:c r="L91" s="41">
        <x:v>20</x:v>
      </x:c>
      <x:c r="M91" s="45">
        <x:v>0.0068</x:v>
      </x:c>
      <x:c r="N91" s="39">
        <x:v>46275</x:v>
      </x:c>
      <x:c r="O91" s="40">
        <x:v>45</x:v>
      </x:c>
      <x:c r="P91" s="41">
        <x:f>(IF(G91&gt;0,G91+I91,I91)-(O91*Ventas!AE67*1.0044))</x:f>
      </x:c>
      <x:c r="Q91" s="43">
        <x:f>(P91/(Ventas!AE67*1.0044)/60)</x:f>
      </x:c>
      <x:c r="R91" s="25">
        <x:v>0</x:v>
      </x:c>
      <x:c r="S91" s="41">
        <x:f>IF(P91&gt;0,P91+R91,R91)</x:f>
      </x:c>
      <x:c r="T91" s="9"/>
      <x:c r="U91" s="41">
        <x:v>20</x:v>
      </x:c>
      <x:c r="V91" s="45">
        <x:v>0.0068</x:v>
      </x:c>
      <x:c r="W91" s="39">
        <x:v>46331</x:v>
      </x:c>
      <x:c r="X91" s="40">
        <x:v>56</x:v>
      </x:c>
      <x:c r="Y91" s="41">
        <x:f>(IF(P91&gt;0,P91+R91,R91)-(X91*Ventas!AE67*0.9018))</x:f>
      </x:c>
      <x:c r="Z91" s="43">
        <x:f>(Y91/(Ventas!AE67*0.9018)/60)</x:f>
      </x:c>
      <x:c r="AA91" s="41">
        <x:f>(100*(Ventas!AE67*1.2350) - IF(Y91&gt;0,Y91,0))</x:f>
      </x:c>
      <x:c r="AB91" s="41">
        <x:f>IF(AA91&gt;0,AA91,0)</x:f>
      </x:c>
      <x:c r="AC91" s="41">
        <x:f>IF(Y91&gt;0,Y91+IF(AB91&gt;0,AB91,0),AB91)</x:f>
      </x:c>
      <x:c r="AD91" s="46">
        <x:v>17.7</x:v>
      </x:c>
      <x:c r="AE91" s="25">
        <x:v>3027</x:v>
      </x:c>
      <x:c r="AF91" s="41">
        <x:f>(AC91-(60*Ventas!AE67*1.2350))</x:f>
      </x:c>
      <x:c r="AG91" s="43">
        <x:f>(AF91/(Ventas!AE67*1.2350)/60)</x:f>
      </x:c>
      <x:c r="AH91" s="7" t="s">
        <x:v>107</x:v>
      </x:c>
    </x:row>
    <x:row r="92">
      <x:c r="A92" s="7"/>
      <x:c r="B92" s="7" t="s">
        <x:v>165</x:v>
      </x:c>
      <x:c r="C92" s="38" t="s">
        <x:v>164</x:v>
      </x:c>
      <x:c r="D92" s="9"/>
      <x:c r="E92" s="39">
        <x:v>46230</x:v>
      </x:c>
      <x:c r="F92" s="40">
        <x:v>5</x:v>
      </x:c>
      <x:c r="G92" s="41">
        <x:f>(D92-(0)+0-(F92*Ventas!AE68*1.8000))</x:f>
      </x:c>
      <x:c r="H92" s="9"/>
      <x:c r="I92" s="25">
        <x:v>0</x:v>
      </x:c>
      <x:c r="J92" s="41">
        <x:f>IF(G92&gt;0,G92+I92,I92)</x:f>
      </x:c>
      <x:c r="K92" s="9"/>
      <x:c r="L92" s="41">
        <x:v>20</x:v>
      </x:c>
      <x:c r="M92" s="45">
        <x:v>0.0068</x:v>
      </x:c>
      <x:c r="N92" s="39">
        <x:v>46275</x:v>
      </x:c>
      <x:c r="O92" s="40">
        <x:v>45</x:v>
      </x:c>
      <x:c r="P92" s="41">
        <x:f>(IF(G92&gt;0,G92+I92,I92)-(O92*Ventas!AE68*1.0044))</x:f>
      </x:c>
      <x:c r="Q92" s="9"/>
      <x:c r="R92" s="25">
        <x:v>0</x:v>
      </x:c>
      <x:c r="S92" s="41">
        <x:f>IF(P92&gt;0,P92+R92,R92)</x:f>
      </x:c>
      <x:c r="T92" s="9"/>
      <x:c r="U92" s="41">
        <x:v>20</x:v>
      </x:c>
      <x:c r="V92" s="45">
        <x:v>0.0068</x:v>
      </x:c>
      <x:c r="W92" s="39">
        <x:v>46331</x:v>
      </x:c>
      <x:c r="X92" s="40">
        <x:v>56</x:v>
      </x:c>
      <x:c r="Y92" s="41">
        <x:f>(IF(P92&gt;0,P92+R92,R92)-(X92*Ventas!AE68*0.9018))</x:f>
      </x:c>
      <x:c r="Z92" s="9"/>
      <x:c r="AA92" s="41">
        <x:f>(100*(Ventas!AE68*1.2350) - IF(Y92&gt;0,Y92,0))</x:f>
      </x:c>
      <x:c r="AB92" s="41">
        <x:f>IF(AA92&gt;0,AA92,0)</x:f>
      </x:c>
      <x:c r="AC92" s="41">
        <x:f>IF(Y92&gt;0,Y92+IF(AB92&gt;0,AB92,0),AB92)</x:f>
      </x:c>
      <x:c r="AD92" s="46">
        <x:v>17.2</x:v>
      </x:c>
      <x:c r="AE92" s="25">
        <x:v>3027</x:v>
      </x:c>
      <x:c r="AF92" s="9"/>
      <x:c r="AG92" s="9"/>
      <x:c r="AH92" s="7" t="s">
        <x:v>107</x:v>
      </x:c>
    </x:row>
    <x:row r="93">
      <x:c r="A93" s="7"/>
      <x:c r="B93" s="7" t="s">
        <x:v>167</x:v>
      </x:c>
      <x:c r="C93" s="38" t="s">
        <x:v>166</x:v>
      </x:c>
      <x:c r="D93" s="9"/>
      <x:c r="E93" s="39">
        <x:v>46230</x:v>
      </x:c>
      <x:c r="F93" s="40">
        <x:v>5</x:v>
      </x:c>
      <x:c r="G93" s="41">
        <x:f>(D93-(0)+0-(F93*Ventas!AE69*1.8000))</x:f>
      </x:c>
      <x:c r="H93" s="9"/>
      <x:c r="I93" s="25">
        <x:v>0</x:v>
      </x:c>
      <x:c r="J93" s="41">
        <x:f>IF(G93&gt;0,G93+I93,I93)</x:f>
      </x:c>
      <x:c r="K93" s="9"/>
      <x:c r="L93" s="41">
        <x:v>20</x:v>
      </x:c>
      <x:c r="M93" s="45">
        <x:v>0.0065</x:v>
      </x:c>
      <x:c r="N93" s="39">
        <x:v>46275</x:v>
      </x:c>
      <x:c r="O93" s="40">
        <x:v>45</x:v>
      </x:c>
      <x:c r="P93" s="41">
        <x:f>(IF(G93&gt;0,G93+I93,I93)-(O93*Ventas!AE69*1.0044))</x:f>
      </x:c>
      <x:c r="Q93" s="9"/>
      <x:c r="R93" s="25">
        <x:v>0</x:v>
      </x:c>
      <x:c r="S93" s="41">
        <x:f>IF(P93&gt;0,P93+R93,R93)</x:f>
      </x:c>
      <x:c r="T93" s="9"/>
      <x:c r="U93" s="41">
        <x:v>20</x:v>
      </x:c>
      <x:c r="V93" s="45">
        <x:v>0.0065</x:v>
      </x:c>
      <x:c r="W93" s="39">
        <x:v>46331</x:v>
      </x:c>
      <x:c r="X93" s="40">
        <x:v>56</x:v>
      </x:c>
      <x:c r="Y93" s="41">
        <x:f>(IF(P93&gt;0,P93+R93,R93)-(X93*Ventas!AE69*0.9018))</x:f>
      </x:c>
      <x:c r="Z93" s="9"/>
      <x:c r="AA93" s="41">
        <x:f>(100*(Ventas!AE69*1.2350) - IF(Y93&gt;0,Y93,0))</x:f>
      </x:c>
      <x:c r="AB93" s="41">
        <x:f>IF(AA93&gt;0,AA93,0)</x:f>
      </x:c>
      <x:c r="AC93" s="41">
        <x:f>IF(Y93&gt;0,Y93+IF(AB93&gt;0,AB93,0),AB93)</x:f>
      </x:c>
      <x:c r="AD93" s="46">
        <x:v>7.2</x:v>
      </x:c>
      <x:c r="AE93" s="25">
        <x:v>3010</x:v>
      </x:c>
      <x:c r="AF93" s="9"/>
      <x:c r="AG93" s="9"/>
      <x:c r="AH93" s="7" t="s">
        <x:v>107</x:v>
      </x:c>
    </x:row>
    <x:row r="94">
      <x:c r="A94" s="7"/>
      <x:c r="B94" s="7" t="s">
        <x:v>169</x:v>
      </x:c>
      <x:c r="C94" s="38" t="s">
        <x:v>168</x:v>
      </x:c>
      <x:c r="D94" s="9"/>
      <x:c r="E94" s="39">
        <x:v>46230</x:v>
      </x:c>
      <x:c r="F94" s="40">
        <x:v>5</x:v>
      </x:c>
      <x:c r="G94" s="41">
        <x:f>(D94-(0)+0-(F94*Ventas!AE70*1.8000))</x:f>
      </x:c>
      <x:c r="H94" s="9"/>
      <x:c r="I94" s="25">
        <x:v>0</x:v>
      </x:c>
      <x:c r="J94" s="41">
        <x:f>IF(G94&gt;0,G94+I94,I94)</x:f>
      </x:c>
      <x:c r="K94" s="9"/>
      <x:c r="L94" s="41">
        <x:v>40</x:v>
      </x:c>
      <x:c r="M94" s="45">
        <x:v>0.002342</x:v>
      </x:c>
      <x:c r="N94" s="39">
        <x:v>46275</x:v>
      </x:c>
      <x:c r="O94" s="40">
        <x:v>45</x:v>
      </x:c>
      <x:c r="P94" s="41">
        <x:f>(IF(G94&gt;0,G94+I94,I94)-(O94*Ventas!AE70*1.0044))</x:f>
      </x:c>
      <x:c r="Q94" s="9"/>
      <x:c r="R94" s="25">
        <x:v>0</x:v>
      </x:c>
      <x:c r="S94" s="41">
        <x:f>IF(P94&gt;0,P94+R94,R94)</x:f>
      </x:c>
      <x:c r="T94" s="9"/>
      <x:c r="U94" s="41">
        <x:v>40</x:v>
      </x:c>
      <x:c r="V94" s="45">
        <x:v>0.002342</x:v>
      </x:c>
      <x:c r="W94" s="39">
        <x:v>46331</x:v>
      </x:c>
      <x:c r="X94" s="40">
        <x:v>56</x:v>
      </x:c>
      <x:c r="Y94" s="41">
        <x:f>(IF(P94&gt;0,P94+R94,R94)-(X94*Ventas!AE70*0.9018))</x:f>
      </x:c>
      <x:c r="Z94" s="9"/>
      <x:c r="AA94" s="41">
        <x:f>(100*(Ventas!AE70*1.2350) - IF(Y94&gt;0,Y94,0))</x:f>
      </x:c>
      <x:c r="AB94" s="41">
        <x:f>IF(AA94&gt;0,AA94,0)</x:f>
      </x:c>
      <x:c r="AC94" s="41">
        <x:f>IF(Y94&gt;0,Y94+IF(AB94&gt;0,AB94,0),AB94)</x:f>
      </x:c>
      <x:c r="AD94" s="9"/>
      <x:c r="AE94" s="25">
        <x:v>3010</x:v>
      </x:c>
      <x:c r="AF94" s="9"/>
      <x:c r="AG94" s="9"/>
      <x:c r="AH94" s="7" t="s">
        <x:v>107</x:v>
      </x:c>
    </x:row>
    <x:row r="95">
      <x:c r="A95" s="7"/>
      <x:c r="B95" s="7" t="s">
        <x:v>157</x:v>
      </x:c>
      <x:c r="C95" s="38" t="s">
        <x:v>170</x:v>
      </x:c>
      <x:c r="D95" s="9"/>
      <x:c r="E95" s="39">
        <x:v>46230</x:v>
      </x:c>
      <x:c r="F95" s="40">
        <x:v>5</x:v>
      </x:c>
      <x:c r="G95" s="41">
        <x:f>(D95-(0)+0-(F95*Ventas!AE71*1.8000))</x:f>
      </x:c>
      <x:c r="H95" s="9"/>
      <x:c r="I95" s="25">
        <x:v>0</x:v>
      </x:c>
      <x:c r="J95" s="41">
        <x:f>IF(G95&gt;0,G95+I95,I95)</x:f>
      </x:c>
      <x:c r="K95" s="9"/>
      <x:c r="L95" s="9"/>
      <x:c r="M95" s="9"/>
      <x:c r="N95" s="39">
        <x:v>46275</x:v>
      </x:c>
      <x:c r="O95" s="40">
        <x:v>45</x:v>
      </x:c>
      <x:c r="P95" s="41">
        <x:f>(IF(G95&gt;0,G95+I95,I95)-(O95*Ventas!AE71*1.0044))</x:f>
      </x:c>
      <x:c r="Q95" s="9"/>
      <x:c r="R95" s="25">
        <x:v>0</x:v>
      </x:c>
      <x:c r="S95" s="41">
        <x:f>IF(P95&gt;0,P95+R95,R95)</x:f>
      </x:c>
      <x:c r="T95" s="9"/>
      <x:c r="U95" s="9"/>
      <x:c r="V95" s="9"/>
      <x:c r="W95" s="39">
        <x:v>46331</x:v>
      </x:c>
      <x:c r="X95" s="40">
        <x:v>56</x:v>
      </x:c>
      <x:c r="Y95" s="41">
        <x:f>(IF(P95&gt;0,P95+R95,R95)-(X95*Ventas!AE71*0.9018))</x:f>
      </x:c>
      <x:c r="Z95" s="9"/>
      <x:c r="AA95" s="41">
        <x:f>(100*(Ventas!AE71*1.2350) - IF(Y95&gt;0,Y95,0))</x:f>
      </x:c>
      <x:c r="AB95" s="41">
        <x:f>IF(AA95&gt;0,AA95,0)</x:f>
      </x:c>
      <x:c r="AC95" s="41">
        <x:f>IF(Y95&gt;0,Y95+IF(AB95&gt;0,AB95,0),AB95)</x:f>
      </x:c>
      <x:c r="AD95" s="9"/>
      <x:c r="AE95" s="9"/>
      <x:c r="AF95" s="9"/>
      <x:c r="AG95" s="9"/>
      <x:c r="AH95" s="7" t="s">
        <x:v>34</x:v>
      </x:c>
    </x:row>
    <x:row r="96">
      <x:c r="A96" s="7"/>
      <x:c r="B96" s="7" t="s">
        <x:v>172</x:v>
      </x:c>
      <x:c r="C96" s="38" t="s">
        <x:v>171</x:v>
      </x:c>
      <x:c r="D96" s="25">
        <x:v>123</x:v>
      </x:c>
      <x:c r="E96" s="39">
        <x:v>46230</x:v>
      </x:c>
      <x:c r="F96" s="40">
        <x:v>5</x:v>
      </x:c>
      <x:c r="G96" s="41">
        <x:f>(D96-(0)+0-(F96*Ventas!AE72*1.8000))</x:f>
      </x:c>
      <x:c r="H96" s="43">
        <x:f>(G96/(Ventas!AE72*1.8000)/60)</x:f>
      </x:c>
      <x:c r="I96" s="25">
        <x:v>0</x:v>
      </x:c>
      <x:c r="J96" s="41">
        <x:f>IF(G96&gt;0,G96+I96,I96)</x:f>
      </x:c>
      <x:c r="K96" s="9"/>
      <x:c r="L96" s="41">
        <x:v>20</x:v>
      </x:c>
      <x:c r="M96" s="45">
        <x:v>0.0043</x:v>
      </x:c>
      <x:c r="N96" s="39">
        <x:v>46275</x:v>
      </x:c>
      <x:c r="O96" s="40">
        <x:v>45</x:v>
      </x:c>
      <x:c r="P96" s="41">
        <x:f>(IF(G96&gt;0,G96+I96,I96)-(O96*Ventas!AE72*1.0044))</x:f>
      </x:c>
      <x:c r="Q96" s="43">
        <x:f>(P96/(Ventas!AE72*1.0044)/60)</x:f>
      </x:c>
      <x:c r="R96" s="25">
        <x:v>0</x:v>
      </x:c>
      <x:c r="S96" s="41">
        <x:f>IF(P96&gt;0,P96+R96,R96)</x:f>
      </x:c>
      <x:c r="T96" s="9"/>
      <x:c r="U96" s="41">
        <x:v>20</x:v>
      </x:c>
      <x:c r="V96" s="45">
        <x:v>0.0043</x:v>
      </x:c>
      <x:c r="W96" s="39">
        <x:v>46331</x:v>
      </x:c>
      <x:c r="X96" s="40">
        <x:v>56</x:v>
      </x:c>
      <x:c r="Y96" s="41">
        <x:f>(IF(P96&gt;0,P96+R96,R96)-(X96*Ventas!AE72*0.9018))</x:f>
      </x:c>
      <x:c r="Z96" s="43">
        <x:f>(Y96/(Ventas!AE72*0.9018)/60)</x:f>
      </x:c>
      <x:c r="AA96" s="41">
        <x:f>(100*(Ventas!AE72*1.2350) - IF(Y96&gt;0,Y96,0))</x:f>
      </x:c>
      <x:c r="AB96" s="41">
        <x:f>IF(AA96&gt;0,AA96,0)</x:f>
      </x:c>
      <x:c r="AC96" s="41">
        <x:f>IF(Y96&gt;0,Y96+IF(AB96&gt;0,AB96,0),AB96)</x:f>
      </x:c>
      <x:c r="AD96" s="46">
        <x:v>18.6</x:v>
      </x:c>
      <x:c r="AE96" s="25">
        <x:v>3027</x:v>
      </x:c>
      <x:c r="AF96" s="41">
        <x:f>(AC96-(60*Ventas!AE72*1.2350))</x:f>
      </x:c>
      <x:c r="AG96" s="43">
        <x:f>(AF96/(Ventas!AE72*1.2350)/60)</x:f>
      </x:c>
      <x:c r="AH96" s="7" t="s">
        <x:v>34</x:v>
      </x:c>
    </x:row>
    <x:row r="97">
      <x:c r="A97" s="7"/>
      <x:c r="B97" s="7" t="s">
        <x:v>174</x:v>
      </x:c>
      <x:c r="C97" s="38" t="s">
        <x:v>173</x:v>
      </x:c>
      <x:c r="D97" s="9"/>
      <x:c r="E97" s="39">
        <x:v>46230</x:v>
      </x:c>
      <x:c r="F97" s="40">
        <x:v>5</x:v>
      </x:c>
      <x:c r="G97" s="41">
        <x:f>(D97-(0)+0-(F97*Ventas!AE73*1.8000))</x:f>
      </x:c>
      <x:c r="H97" s="9"/>
      <x:c r="I97" s="25">
        <x:v>0</x:v>
      </x:c>
      <x:c r="J97" s="41">
        <x:f>IF(G97&gt;0,G97+I97,I97)</x:f>
      </x:c>
      <x:c r="K97" s="9"/>
      <x:c r="L97" s="41">
        <x:v>60</x:v>
      </x:c>
      <x:c r="M97" s="45">
        <x:v>0.001025</x:v>
      </x:c>
      <x:c r="N97" s="39">
        <x:v>46275</x:v>
      </x:c>
      <x:c r="O97" s="40">
        <x:v>45</x:v>
      </x:c>
      <x:c r="P97" s="41">
        <x:f>(IF(G97&gt;0,G97+I97,I97)-(O97*Ventas!AE73*1.0044))</x:f>
      </x:c>
      <x:c r="Q97" s="9"/>
      <x:c r="R97" s="25">
        <x:v>0</x:v>
      </x:c>
      <x:c r="S97" s="41">
        <x:f>IF(P97&gt;0,P97+R97,R97)</x:f>
      </x:c>
      <x:c r="T97" s="9"/>
      <x:c r="U97" s="41">
        <x:v>60</x:v>
      </x:c>
      <x:c r="V97" s="45">
        <x:v>0.001025</x:v>
      </x:c>
      <x:c r="W97" s="39">
        <x:v>46331</x:v>
      </x:c>
      <x:c r="X97" s="40">
        <x:v>56</x:v>
      </x:c>
      <x:c r="Y97" s="41">
        <x:f>(IF(P97&gt;0,P97+R97,R97)-(X97*Ventas!AE73*0.9018))</x:f>
      </x:c>
      <x:c r="Z97" s="9"/>
      <x:c r="AA97" s="41">
        <x:f>(100*(Ventas!AE73*1.2350) - IF(Y97&gt;0,Y97,0))</x:f>
      </x:c>
      <x:c r="AB97" s="41">
        <x:f>IF(AA97&gt;0,AA97,0)</x:f>
      </x:c>
      <x:c r="AC97" s="41">
        <x:f>IF(Y97&gt;0,Y97+IF(AB97&gt;0,AB97,0),AB97)</x:f>
      </x:c>
      <x:c r="AD97" s="46">
        <x:v>8</x:v>
      </x:c>
      <x:c r="AE97" s="25">
        <x:v>3027</x:v>
      </x:c>
      <x:c r="AF97" s="9"/>
      <x:c r="AG97" s="9"/>
      <x:c r="AH97" s="7" t="s">
        <x:v>107</x:v>
      </x:c>
    </x:row>
    <x:row r="98">
      <x:c r="A98" s="7"/>
      <x:c r="B98" s="7" t="s">
        <x:v>176</x:v>
      </x:c>
      <x:c r="C98" s="38" t="s">
        <x:v>175</x:v>
      </x:c>
      <x:c r="D98" s="25">
        <x:v>159</x:v>
      </x:c>
      <x:c r="E98" s="39">
        <x:v>46230</x:v>
      </x:c>
      <x:c r="F98" s="40">
        <x:v>5</x:v>
      </x:c>
      <x:c r="G98" s="41">
        <x:f>(D98-(0)+0-(F98*Ventas!AE74*1.8000))</x:f>
      </x:c>
      <x:c r="H98" s="43">
        <x:f>(G98/(Ventas!AE74*1.8000)/60)</x:f>
      </x:c>
      <x:c r="I98" s="25">
        <x:v>0</x:v>
      </x:c>
      <x:c r="J98" s="41">
        <x:f>IF(G98&gt;0,G98+I98,I98)</x:f>
      </x:c>
      <x:c r="K98" s="9"/>
      <x:c r="L98" s="41">
        <x:v>10</x:v>
      </x:c>
      <x:c r="M98" s="45">
        <x:v>0.0069</x:v>
      </x:c>
      <x:c r="N98" s="39">
        <x:v>46275</x:v>
      </x:c>
      <x:c r="O98" s="40">
        <x:v>45</x:v>
      </x:c>
      <x:c r="P98" s="41">
        <x:f>(IF(G98&gt;0,G98+I98,I98)-(O98*Ventas!AE74*1.0044))</x:f>
      </x:c>
      <x:c r="Q98" s="43">
        <x:f>(P98/(Ventas!AE74*1.0044)/60)</x:f>
      </x:c>
      <x:c r="R98" s="25">
        <x:v>0</x:v>
      </x:c>
      <x:c r="S98" s="41">
        <x:f>IF(P98&gt;0,P98+R98,R98)</x:f>
      </x:c>
      <x:c r="T98" s="9"/>
      <x:c r="U98" s="41">
        <x:v>10</x:v>
      </x:c>
      <x:c r="V98" s="45">
        <x:v>0.0069</x:v>
      </x:c>
      <x:c r="W98" s="39">
        <x:v>46331</x:v>
      </x:c>
      <x:c r="X98" s="40">
        <x:v>56</x:v>
      </x:c>
      <x:c r="Y98" s="41">
        <x:f>(IF(P98&gt;0,P98+R98,R98)-(X98*Ventas!AE74*0.9018))</x:f>
      </x:c>
      <x:c r="Z98" s="43">
        <x:f>(Y98/(Ventas!AE74*0.9018)/60)</x:f>
      </x:c>
      <x:c r="AA98" s="41">
        <x:f>(100*(Ventas!AE74*1.2350) - IF(Y98&gt;0,Y98,0))</x:f>
      </x:c>
      <x:c r="AB98" s="41">
        <x:f>IF(AA98&gt;0,AA98,0)</x:f>
      </x:c>
      <x:c r="AC98" s="41">
        <x:f>IF(Y98&gt;0,Y98+IF(AB98&gt;0,AB98,0),AB98)</x:f>
      </x:c>
      <x:c r="AD98" s="46">
        <x:v>17.1</x:v>
      </x:c>
      <x:c r="AE98" s="25">
        <x:v>3010</x:v>
      </x:c>
      <x:c r="AF98" s="41">
        <x:f>(AC98-(60*Ventas!AE74*1.2350))</x:f>
      </x:c>
      <x:c r="AG98" s="43">
        <x:f>(AF98/(Ventas!AE74*1.2350)/60)</x:f>
      </x:c>
      <x:c r="AH98" s="7" t="s">
        <x:v>34</x:v>
      </x:c>
    </x:row>
    <x:row r="99">
      <x:c r="A99" s="7"/>
      <x:c r="B99" s="7" t="s">
        <x:v>178</x:v>
      </x:c>
      <x:c r="C99" s="38" t="s">
        <x:v>177</x:v>
      </x:c>
      <x:c r="D99" s="25">
        <x:v>59</x:v>
      </x:c>
      <x:c r="E99" s="39">
        <x:v>46230</x:v>
      </x:c>
      <x:c r="F99" s="40">
        <x:v>5</x:v>
      </x:c>
      <x:c r="G99" s="41">
        <x:f>(D99-(0)+0-(F99*Ventas!AE75*1.8000))</x:f>
      </x:c>
      <x:c r="H99" s="43">
        <x:f>(G99/(Ventas!AE75*1.8000)/60)</x:f>
      </x:c>
      <x:c r="I99" s="25">
        <x:v>0</x:v>
      </x:c>
      <x:c r="J99" s="41">
        <x:f>IF(G99&gt;0,G99+I99,I99)</x:f>
      </x:c>
      <x:c r="K99" s="9"/>
      <x:c r="L99" s="41">
        <x:v>10</x:v>
      </x:c>
      <x:c r="M99" s="45">
        <x:v>0.0069</x:v>
      </x:c>
      <x:c r="N99" s="39">
        <x:v>46275</x:v>
      </x:c>
      <x:c r="O99" s="40">
        <x:v>45</x:v>
      </x:c>
      <x:c r="P99" s="41">
        <x:f>(IF(G99&gt;0,G99+I99,I99)-(O99*Ventas!AE75*1.0044))</x:f>
      </x:c>
      <x:c r="Q99" s="43">
        <x:f>(P99/(Ventas!AE75*1.0044)/60)</x:f>
      </x:c>
      <x:c r="R99" s="25">
        <x:v>0</x:v>
      </x:c>
      <x:c r="S99" s="41">
        <x:f>IF(P99&gt;0,P99+R99,R99)</x:f>
      </x:c>
      <x:c r="T99" s="9"/>
      <x:c r="U99" s="41">
        <x:v>10</x:v>
      </x:c>
      <x:c r="V99" s="45">
        <x:v>0.0069</x:v>
      </x:c>
      <x:c r="W99" s="39">
        <x:v>46331</x:v>
      </x:c>
      <x:c r="X99" s="40">
        <x:v>56</x:v>
      </x:c>
      <x:c r="Y99" s="41">
        <x:f>(IF(P99&gt;0,P99+R99,R99)-(X99*Ventas!AE75*0.9018))</x:f>
      </x:c>
      <x:c r="Z99" s="43">
        <x:f>(Y99/(Ventas!AE75*0.9018)/60)</x:f>
      </x:c>
      <x:c r="AA99" s="41">
        <x:f>(100*(Ventas!AE75*1.2350) - IF(Y99&gt;0,Y99,0))</x:f>
      </x:c>
      <x:c r="AB99" s="41">
        <x:f>IF(AA99&gt;0,AA99,0)</x:f>
      </x:c>
      <x:c r="AC99" s="41">
        <x:f>IF(Y99&gt;0,Y99+IF(AB99&gt;0,AB99,0),AB99)</x:f>
      </x:c>
      <x:c r="AD99" s="46">
        <x:v>17.1</x:v>
      </x:c>
      <x:c r="AE99" s="25">
        <x:v>3010</x:v>
      </x:c>
      <x:c r="AF99" s="41">
        <x:f>(AC99-(60*Ventas!AE75*1.2350))</x:f>
      </x:c>
      <x:c r="AG99" s="43">
        <x:f>(AF99/(Ventas!AE75*1.2350)/60)</x:f>
      </x:c>
      <x:c r="AH99" s="7" t="s">
        <x:v>34</x:v>
      </x:c>
    </x:row>
    <x:row r="100">
      <x:c r="A100" s="7"/>
      <x:c r="B100" s="7" t="s">
        <x:v>180</x:v>
      </x:c>
      <x:c r="C100" s="38" t="s">
        <x:v>179</x:v>
      </x:c>
      <x:c r="D100" s="9"/>
      <x:c r="E100" s="39">
        <x:v>46230</x:v>
      </x:c>
      <x:c r="F100" s="40">
        <x:v>5</x:v>
      </x:c>
      <x:c r="G100" s="41">
        <x:f>(D100-(0)+0-(F100*Ventas!AE76*1.8000))</x:f>
      </x:c>
      <x:c r="H100" s="9"/>
      <x:c r="I100" s="25">
        <x:v>0</x:v>
      </x:c>
      <x:c r="J100" s="41">
        <x:f>IF(G100&gt;0,G100+I100,I100)</x:f>
      </x:c>
      <x:c r="K100" s="9"/>
      <x:c r="L100" s="9"/>
      <x:c r="M100" s="9"/>
      <x:c r="N100" s="39">
        <x:v>46275</x:v>
      </x:c>
      <x:c r="O100" s="40">
        <x:v>45</x:v>
      </x:c>
      <x:c r="P100" s="41">
        <x:f>(IF(G100&gt;0,G100+I100,I100)-(O100*Ventas!AE76*1.0044))</x:f>
      </x:c>
      <x:c r="Q100" s="9"/>
      <x:c r="R100" s="25">
        <x:v>0</x:v>
      </x:c>
      <x:c r="S100" s="41">
        <x:f>IF(P100&gt;0,P100+R100,R100)</x:f>
      </x:c>
      <x:c r="T100" s="9"/>
      <x:c r="U100" s="9"/>
      <x:c r="V100" s="9"/>
      <x:c r="W100" s="39">
        <x:v>46331</x:v>
      </x:c>
      <x:c r="X100" s="40">
        <x:v>56</x:v>
      </x:c>
      <x:c r="Y100" s="41">
        <x:f>(IF(P100&gt;0,P100+R100,R100)-(X100*Ventas!AE76*0.9018))</x:f>
      </x:c>
      <x:c r="Z100" s="9"/>
      <x:c r="AA100" s="41">
        <x:f>(100*(Ventas!AE76*1.2350) - IF(Y100&gt;0,Y100,0))</x:f>
      </x:c>
      <x:c r="AB100" s="41">
        <x:f>IF(AA100&gt;0,AA100,0)</x:f>
      </x:c>
      <x:c r="AC100" s="41">
        <x:f>IF(Y100&gt;0,Y100+IF(AB100&gt;0,AB100,0),AB100)</x:f>
      </x:c>
      <x:c r="AD100" s="46">
        <x:v>6.6</x:v>
      </x:c>
      <x:c r="AE100" s="25">
        <x:v>3027</x:v>
      </x:c>
      <x:c r="AF100" s="9"/>
      <x:c r="AG100" s="9"/>
      <x:c r="AH100" s="7" t="s">
        <x:v>34</x:v>
      </x:c>
    </x:row>
    <x:row r="101">
      <x:c r="A101" s="7"/>
      <x:c r="B101" s="7" t="s">
        <x:v>182</x:v>
      </x:c>
      <x:c r="C101" s="38" t="s">
        <x:v>181</x:v>
      </x:c>
      <x:c r="D101" s="9"/>
      <x:c r="E101" s="39">
        <x:v>46230</x:v>
      </x:c>
      <x:c r="F101" s="40">
        <x:v>5</x:v>
      </x:c>
      <x:c r="G101" s="41">
        <x:f>(D101-(0)+0-(F101*Ventas!AE77*1.8000))</x:f>
      </x:c>
      <x:c r="H101" s="9"/>
      <x:c r="I101" s="25">
        <x:v>0</x:v>
      </x:c>
      <x:c r="J101" s="41">
        <x:f>IF(G101&gt;0,G101+I101,I101)</x:f>
      </x:c>
      <x:c r="K101" s="9"/>
      <x:c r="L101" s="41">
        <x:v>20</x:v>
      </x:c>
      <x:c r="M101" s="45">
        <x:v>0.003177</x:v>
      </x:c>
      <x:c r="N101" s="39">
        <x:v>46275</x:v>
      </x:c>
      <x:c r="O101" s="40">
        <x:v>45</x:v>
      </x:c>
      <x:c r="P101" s="41">
        <x:f>(IF(G101&gt;0,G101+I101,I101)-(O101*Ventas!AE77*1.0044))</x:f>
      </x:c>
      <x:c r="Q101" s="9"/>
      <x:c r="R101" s="25">
        <x:v>0</x:v>
      </x:c>
      <x:c r="S101" s="41">
        <x:f>IF(P101&gt;0,P101+R101,R101)</x:f>
      </x:c>
      <x:c r="T101" s="9"/>
      <x:c r="U101" s="41">
        <x:v>20</x:v>
      </x:c>
      <x:c r="V101" s="45">
        <x:v>0.003177</x:v>
      </x:c>
      <x:c r="W101" s="39">
        <x:v>46331</x:v>
      </x:c>
      <x:c r="X101" s="40">
        <x:v>56</x:v>
      </x:c>
      <x:c r="Y101" s="41">
        <x:f>(IF(P101&gt;0,P101+R101,R101)-(X101*Ventas!AE77*0.9018))</x:f>
      </x:c>
      <x:c r="Z101" s="9"/>
      <x:c r="AA101" s="41">
        <x:f>(100*(Ventas!AE77*1.2350) - IF(Y101&gt;0,Y101,0))</x:f>
      </x:c>
      <x:c r="AB101" s="41">
        <x:f>IF(AA101&gt;0,AA101,0)</x:f>
      </x:c>
      <x:c r="AC101" s="41">
        <x:f>IF(Y101&gt;0,Y101+IF(AB101&gt;0,AB101,0),AB101)</x:f>
      </x:c>
      <x:c r="AD101" s="46">
        <x:v>11.9</x:v>
      </x:c>
      <x:c r="AE101" s="25">
        <x:v>3027</x:v>
      </x:c>
      <x:c r="AF101" s="9"/>
      <x:c r="AG101" s="9"/>
      <x:c r="AH101" s="7" t="s">
        <x:v>34</x:v>
      </x:c>
    </x:row>
    <x:row r="102">
      <x:c r="A102" s="7"/>
      <x:c r="B102" s="7" t="s">
        <x:v>184</x:v>
      </x:c>
      <x:c r="C102" s="38" t="s">
        <x:v>183</x:v>
      </x:c>
      <x:c r="D102" s="25">
        <x:v>5</x:v>
      </x:c>
      <x:c r="E102" s="39">
        <x:v>46230</x:v>
      </x:c>
      <x:c r="F102" s="40">
        <x:v>5</x:v>
      </x:c>
      <x:c r="G102" s="41">
        <x:f>(D102-(0)+0-(F102*Ventas!AE78*1.8000))</x:f>
      </x:c>
      <x:c r="H102" s="9"/>
      <x:c r="I102" s="25">
        <x:v>0</x:v>
      </x:c>
      <x:c r="J102" s="41">
        <x:f>IF(G102&gt;0,G102+I102,I102)</x:f>
      </x:c>
      <x:c r="K102" s="9"/>
      <x:c r="L102" s="9"/>
      <x:c r="M102" s="9"/>
      <x:c r="N102" s="39">
        <x:v>46275</x:v>
      </x:c>
      <x:c r="O102" s="40">
        <x:v>45</x:v>
      </x:c>
      <x:c r="P102" s="41">
        <x:f>(IF(G102&gt;0,G102+I102,I102)-(O102*Ventas!AE78*1.0044))</x:f>
      </x:c>
      <x:c r="Q102" s="9"/>
      <x:c r="R102" s="25">
        <x:v>0</x:v>
      </x:c>
      <x:c r="S102" s="41">
        <x:f>IF(P102&gt;0,P102+R102,R102)</x:f>
      </x:c>
      <x:c r="T102" s="9"/>
      <x:c r="U102" s="9"/>
      <x:c r="V102" s="9"/>
      <x:c r="W102" s="39">
        <x:v>46331</x:v>
      </x:c>
      <x:c r="X102" s="40">
        <x:v>56</x:v>
      </x:c>
      <x:c r="Y102" s="41">
        <x:f>(IF(P102&gt;0,P102+R102,R102)-(X102*Ventas!AE78*0.9018))</x:f>
      </x:c>
      <x:c r="Z102" s="9"/>
      <x:c r="AA102" s="41">
        <x:f>(100*(Ventas!AE78*1.2350) - IF(Y102&gt;0,Y102,0))</x:f>
      </x:c>
      <x:c r="AB102" s="41">
        <x:f>IF(AA102&gt;0,AA102,0)</x:f>
      </x:c>
      <x:c r="AC102" s="41">
        <x:f>IF(Y102&gt;0,Y102+IF(AB102&gt;0,AB102,0),AB102)</x:f>
      </x:c>
      <x:c r="AD102" s="9"/>
      <x:c r="AE102" s="25">
        <x:v>3027</x:v>
      </x:c>
      <x:c r="AF102" s="9"/>
      <x:c r="AG102" s="9"/>
      <x:c r="AH102" s="7" t="s">
        <x:v>107</x:v>
      </x:c>
    </x:row>
    <x:row r="103">
      <x:c r="A103" s="7"/>
      <x:c r="B103" s="7" t="s">
        <x:v>186</x:v>
      </x:c>
      <x:c r="C103" s="38" t="s">
        <x:v>185</x:v>
      </x:c>
      <x:c r="D103" s="9"/>
      <x:c r="E103" s="39">
        <x:v>46230</x:v>
      </x:c>
      <x:c r="F103" s="40">
        <x:v>5</x:v>
      </x:c>
      <x:c r="G103" s="41">
        <x:f>(D103-(0)+0-(F103*Ventas!AE79*1.8000))</x:f>
      </x:c>
      <x:c r="H103" s="9"/>
      <x:c r="I103" s="25">
        <x:v>0</x:v>
      </x:c>
      <x:c r="J103" s="41">
        <x:f>IF(G103&gt;0,G103+I103,I103)</x:f>
      </x:c>
      <x:c r="K103" s="9"/>
      <x:c r="L103" s="9"/>
      <x:c r="M103" s="9"/>
      <x:c r="N103" s="39">
        <x:v>46275</x:v>
      </x:c>
      <x:c r="O103" s="40">
        <x:v>45</x:v>
      </x:c>
      <x:c r="P103" s="41">
        <x:f>(IF(G103&gt;0,G103+I103,I103)-(O103*Ventas!AE79*1.0044))</x:f>
      </x:c>
      <x:c r="Q103" s="9"/>
      <x:c r="R103" s="25">
        <x:v>0</x:v>
      </x:c>
      <x:c r="S103" s="41">
        <x:f>IF(P103&gt;0,P103+R103,R103)</x:f>
      </x:c>
      <x:c r="T103" s="9"/>
      <x:c r="U103" s="9"/>
      <x:c r="V103" s="9"/>
      <x:c r="W103" s="39">
        <x:v>46331</x:v>
      </x:c>
      <x:c r="X103" s="40">
        <x:v>56</x:v>
      </x:c>
      <x:c r="Y103" s="41">
        <x:f>(IF(P103&gt;0,P103+R103,R103)-(X103*Ventas!AE79*0.9018))</x:f>
      </x:c>
      <x:c r="Z103" s="9"/>
      <x:c r="AA103" s="41">
        <x:f>(100*(Ventas!AE79*1.2350) - IF(Y103&gt;0,Y103,0))</x:f>
      </x:c>
      <x:c r="AB103" s="41">
        <x:f>IF(AA103&gt;0,AA103,0)</x:f>
      </x:c>
      <x:c r="AC103" s="41">
        <x:f>IF(Y103&gt;0,Y103+IF(AB103&gt;0,AB103,0),AB103)</x:f>
      </x:c>
      <x:c r="AD103" s="9"/>
      <x:c r="AE103" s="25">
        <x:v>3027</x:v>
      </x:c>
      <x:c r="AF103" s="9"/>
      <x:c r="AG103" s="9"/>
      <x:c r="AH103" s="7" t="s">
        <x:v>107</x:v>
      </x:c>
    </x:row>
    <x:row r="104">
      <x:c r="A104" s="7"/>
      <x:c r="B104" s="7" t="s">
        <x:v>188</x:v>
      </x:c>
      <x:c r="C104" s="38" t="s">
        <x:v>187</x:v>
      </x:c>
      <x:c r="D104" s="9"/>
      <x:c r="E104" s="39">
        <x:v>46230</x:v>
      </x:c>
      <x:c r="F104" s="40">
        <x:v>5</x:v>
      </x:c>
      <x:c r="G104" s="41">
        <x:f>(D104-(0)+0-(F104*Ventas!AE80*1.8000))</x:f>
      </x:c>
      <x:c r="H104" s="9"/>
      <x:c r="I104" s="25">
        <x:v>0</x:v>
      </x:c>
      <x:c r="J104" s="41">
        <x:f>IF(G104&gt;0,G104+I104,I104)</x:f>
      </x:c>
      <x:c r="K104" s="9"/>
      <x:c r="L104" s="9"/>
      <x:c r="M104" s="9"/>
      <x:c r="N104" s="39">
        <x:v>46275</x:v>
      </x:c>
      <x:c r="O104" s="40">
        <x:v>45</x:v>
      </x:c>
      <x:c r="P104" s="41">
        <x:f>(IF(G104&gt;0,G104+I104,I104)-(O104*Ventas!AE80*1.0044))</x:f>
      </x:c>
      <x:c r="Q104" s="9"/>
      <x:c r="R104" s="25">
        <x:v>0</x:v>
      </x:c>
      <x:c r="S104" s="41">
        <x:f>IF(P104&gt;0,P104+R104,R104)</x:f>
      </x:c>
      <x:c r="T104" s="9"/>
      <x:c r="U104" s="9"/>
      <x:c r="V104" s="9"/>
      <x:c r="W104" s="39">
        <x:v>46331</x:v>
      </x:c>
      <x:c r="X104" s="40">
        <x:v>56</x:v>
      </x:c>
      <x:c r="Y104" s="41">
        <x:f>(IF(P104&gt;0,P104+R104,R104)-(X104*Ventas!AE80*0.9018))</x:f>
      </x:c>
      <x:c r="Z104" s="9"/>
      <x:c r="AA104" s="41">
        <x:f>(100*(Ventas!AE80*1.2350) - IF(Y104&gt;0,Y104,0))</x:f>
      </x:c>
      <x:c r="AB104" s="41">
        <x:f>IF(AA104&gt;0,AA104,0)</x:f>
      </x:c>
      <x:c r="AC104" s="41">
        <x:f>IF(Y104&gt;0,Y104+IF(AB104&gt;0,AB104,0),AB104)</x:f>
      </x:c>
      <x:c r="AD104" s="9"/>
      <x:c r="AE104" s="25">
        <x:v>3027</x:v>
      </x:c>
      <x:c r="AF104" s="9"/>
      <x:c r="AG104" s="9"/>
      <x:c r="AH104" s="7" t="s">
        <x:v>107</x:v>
      </x:c>
    </x:row>
    <x:row r="105">
      <x:c r="A105" s="7"/>
      <x:c r="B105" s="7" t="s">
        <x:v>46</x:v>
      </x:c>
      <x:c r="C105" s="38" t="s">
        <x:v>189</x:v>
      </x:c>
      <x:c r="D105" s="9"/>
      <x:c r="E105" s="39">
        <x:v>46230</x:v>
      </x:c>
      <x:c r="F105" s="40">
        <x:v>5</x:v>
      </x:c>
      <x:c r="G105" s="41">
        <x:f>(D105-(0)+0-(F105*Ventas!AE81*1.8000))</x:f>
      </x:c>
      <x:c r="H105" s="9"/>
      <x:c r="I105" s="25">
        <x:v>0</x:v>
      </x:c>
      <x:c r="J105" s="41">
        <x:f>IF(G105&gt;0,G105+I105,I105)</x:f>
      </x:c>
      <x:c r="K105" s="9"/>
      <x:c r="L105" s="9"/>
      <x:c r="M105" s="9"/>
      <x:c r="N105" s="39">
        <x:v>46275</x:v>
      </x:c>
      <x:c r="O105" s="40">
        <x:v>45</x:v>
      </x:c>
      <x:c r="P105" s="41">
        <x:f>(IF(G105&gt;0,G105+I105,I105)-(O105*Ventas!AE81*1.0044))</x:f>
      </x:c>
      <x:c r="Q105" s="9"/>
      <x:c r="R105" s="25">
        <x:v>0</x:v>
      </x:c>
      <x:c r="S105" s="41">
        <x:f>IF(P105&gt;0,P105+R105,R105)</x:f>
      </x:c>
      <x:c r="T105" s="9"/>
      <x:c r="U105" s="9"/>
      <x:c r="V105" s="9"/>
      <x:c r="W105" s="39">
        <x:v>46331</x:v>
      </x:c>
      <x:c r="X105" s="40">
        <x:v>56</x:v>
      </x:c>
      <x:c r="Y105" s="41">
        <x:f>(IF(P105&gt;0,P105+R105,R105)-(X105*Ventas!AE81*0.9018))</x:f>
      </x:c>
      <x:c r="Z105" s="9"/>
      <x:c r="AA105" s="41">
        <x:f>(100*(Ventas!AE81*1.2350) - IF(Y105&gt;0,Y105,0))</x:f>
      </x:c>
      <x:c r="AB105" s="41">
        <x:f>IF(AA105&gt;0,AA105,0)</x:f>
      </x:c>
      <x:c r="AC105" s="41">
        <x:f>IF(Y105&gt;0,Y105+IF(AB105&gt;0,AB105,0),AB105)</x:f>
      </x:c>
      <x:c r="AD105" s="9"/>
      <x:c r="AE105" s="25">
        <x:v>3027</x:v>
      </x:c>
      <x:c r="AF105" s="9"/>
      <x:c r="AG105" s="9"/>
      <x:c r="AH105" s="7" t="s">
        <x:v>107</x:v>
      </x:c>
    </x:row>
    <x:row r="106">
      <x:c r="A106" s="7"/>
      <x:c r="B106" s="7" t="s">
        <x:v>48</x:v>
      </x:c>
      <x:c r="C106" s="38" t="s">
        <x:v>190</x:v>
      </x:c>
      <x:c r="D106" s="9"/>
      <x:c r="E106" s="39">
        <x:v>46230</x:v>
      </x:c>
      <x:c r="F106" s="40">
        <x:v>5</x:v>
      </x:c>
      <x:c r="G106" s="41">
        <x:f>(D106-(0)+0-(F106*Ventas!AE82*1.8000))</x:f>
      </x:c>
      <x:c r="H106" s="9"/>
      <x:c r="I106" s="25">
        <x:v>0</x:v>
      </x:c>
      <x:c r="J106" s="41">
        <x:f>IF(G106&gt;0,G106+I106,I106)</x:f>
      </x:c>
      <x:c r="K106" s="9"/>
      <x:c r="L106" s="9"/>
      <x:c r="M106" s="9"/>
      <x:c r="N106" s="39">
        <x:v>46275</x:v>
      </x:c>
      <x:c r="O106" s="40">
        <x:v>45</x:v>
      </x:c>
      <x:c r="P106" s="41">
        <x:f>(IF(G106&gt;0,G106+I106,I106)-(O106*Ventas!AE82*1.0044))</x:f>
      </x:c>
      <x:c r="Q106" s="9"/>
      <x:c r="R106" s="25">
        <x:v>0</x:v>
      </x:c>
      <x:c r="S106" s="41">
        <x:f>IF(P106&gt;0,P106+R106,R106)</x:f>
      </x:c>
      <x:c r="T106" s="9"/>
      <x:c r="U106" s="9"/>
      <x:c r="V106" s="9"/>
      <x:c r="W106" s="39">
        <x:v>46331</x:v>
      </x:c>
      <x:c r="X106" s="40">
        <x:v>56</x:v>
      </x:c>
      <x:c r="Y106" s="41">
        <x:f>(IF(P106&gt;0,P106+R106,R106)-(X106*Ventas!AE82*0.9018))</x:f>
      </x:c>
      <x:c r="Z106" s="9"/>
      <x:c r="AA106" s="41">
        <x:f>(100*(Ventas!AE82*1.2350) - IF(Y106&gt;0,Y106,0))</x:f>
      </x:c>
      <x:c r="AB106" s="41">
        <x:f>IF(AA106&gt;0,AA106,0)</x:f>
      </x:c>
      <x:c r="AC106" s="41">
        <x:f>IF(Y106&gt;0,Y106+IF(AB106&gt;0,AB106,0),AB106)</x:f>
      </x:c>
      <x:c r="AD106" s="9"/>
      <x:c r="AE106" s="25">
        <x:v>3027</x:v>
      </x:c>
      <x:c r="AF106" s="9"/>
      <x:c r="AG106" s="9"/>
      <x:c r="AH106" s="7" t="s">
        <x:v>107</x:v>
      </x:c>
    </x:row>
    <x:row r="107">
      <x:c r="A107" s="7"/>
      <x:c r="B107" s="7" t="s">
        <x:v>192</x:v>
      </x:c>
      <x:c r="C107" s="38" t="s">
        <x:v>191</x:v>
      </x:c>
      <x:c r="D107" s="9"/>
      <x:c r="E107" s="39">
        <x:v>46230</x:v>
      </x:c>
      <x:c r="F107" s="40">
        <x:v>5</x:v>
      </x:c>
      <x:c r="G107" s="41">
        <x:f>(D107-(0)+0-(F107*Ventas!AE83*1.8000))</x:f>
      </x:c>
      <x:c r="H107" s="9"/>
      <x:c r="I107" s="25">
        <x:v>0</x:v>
      </x:c>
      <x:c r="J107" s="41">
        <x:f>IF(G107&gt;0,G107+I107,I107)</x:f>
      </x:c>
      <x:c r="K107" s="9"/>
      <x:c r="L107" s="9"/>
      <x:c r="M107" s="9"/>
      <x:c r="N107" s="39">
        <x:v>46275</x:v>
      </x:c>
      <x:c r="O107" s="40">
        <x:v>45</x:v>
      </x:c>
      <x:c r="P107" s="41">
        <x:f>(IF(G107&gt;0,G107+I107,I107)-(O107*Ventas!AE83*1.0044))</x:f>
      </x:c>
      <x:c r="Q107" s="9"/>
      <x:c r="R107" s="25">
        <x:v>0</x:v>
      </x:c>
      <x:c r="S107" s="41">
        <x:f>IF(P107&gt;0,P107+R107,R107)</x:f>
      </x:c>
      <x:c r="T107" s="9"/>
      <x:c r="U107" s="9"/>
      <x:c r="V107" s="9"/>
      <x:c r="W107" s="39">
        <x:v>46331</x:v>
      </x:c>
      <x:c r="X107" s="40">
        <x:v>56</x:v>
      </x:c>
      <x:c r="Y107" s="41">
        <x:f>(IF(P107&gt;0,P107+R107,R107)-(X107*Ventas!AE83*0.9018))</x:f>
      </x:c>
      <x:c r="Z107" s="9"/>
      <x:c r="AA107" s="41">
        <x:f>(100*(Ventas!AE83*1.2350) - IF(Y107&gt;0,Y107,0))</x:f>
      </x:c>
      <x:c r="AB107" s="41">
        <x:f>IF(AA107&gt;0,AA107,0)</x:f>
      </x:c>
      <x:c r="AC107" s="41">
        <x:f>IF(Y107&gt;0,Y107+IF(AB107&gt;0,AB107,0),AB107)</x:f>
      </x:c>
      <x:c r="AD107" s="9"/>
      <x:c r="AE107" s="25">
        <x:v>3027</x:v>
      </x:c>
      <x:c r="AF107" s="9"/>
      <x:c r="AG107" s="9"/>
      <x:c r="AH107" s="7" t="s">
        <x:v>107</x:v>
      </x:c>
    </x:row>
    <x:row r="108">
      <x:c r="A108" s="7"/>
      <x:c r="B108" s="7" t="s">
        <x:v>194</x:v>
      </x:c>
      <x:c r="C108" s="38" t="s">
        <x:v>193</x:v>
      </x:c>
      <x:c r="D108" s="9"/>
      <x:c r="E108" s="39">
        <x:v>46230</x:v>
      </x:c>
      <x:c r="F108" s="40">
        <x:v>5</x:v>
      </x:c>
      <x:c r="G108" s="41">
        <x:f>(D108-(0)+0-(F108*Ventas!AE84*1.8000))</x:f>
      </x:c>
      <x:c r="H108" s="9"/>
      <x:c r="I108" s="25">
        <x:v>0</x:v>
      </x:c>
      <x:c r="J108" s="41">
        <x:f>IF(G108&gt;0,G108+I108,I108)</x:f>
      </x:c>
      <x:c r="K108" s="9"/>
      <x:c r="L108" s="9"/>
      <x:c r="M108" s="9"/>
      <x:c r="N108" s="39">
        <x:v>46275</x:v>
      </x:c>
      <x:c r="O108" s="40">
        <x:v>45</x:v>
      </x:c>
      <x:c r="P108" s="41">
        <x:f>(IF(G108&gt;0,G108+I108,I108)-(O108*Ventas!AE84*1.0044))</x:f>
      </x:c>
      <x:c r="Q108" s="9"/>
      <x:c r="R108" s="25">
        <x:v>0</x:v>
      </x:c>
      <x:c r="S108" s="41">
        <x:f>IF(P108&gt;0,P108+R108,R108)</x:f>
      </x:c>
      <x:c r="T108" s="9"/>
      <x:c r="U108" s="9"/>
      <x:c r="V108" s="9"/>
      <x:c r="W108" s="39">
        <x:v>46331</x:v>
      </x:c>
      <x:c r="X108" s="40">
        <x:v>56</x:v>
      </x:c>
      <x:c r="Y108" s="41">
        <x:f>(IF(P108&gt;0,P108+R108,R108)-(X108*Ventas!AE84*0.9018))</x:f>
      </x:c>
      <x:c r="Z108" s="9"/>
      <x:c r="AA108" s="41">
        <x:f>(100*(Ventas!AE84*1.2350) - IF(Y108&gt;0,Y108,0))</x:f>
      </x:c>
      <x:c r="AB108" s="41">
        <x:f>IF(AA108&gt;0,AA108,0)</x:f>
      </x:c>
      <x:c r="AC108" s="41">
        <x:f>IF(Y108&gt;0,Y108+IF(AB108&gt;0,AB108,0),AB108)</x:f>
      </x:c>
      <x:c r="AD108" s="9"/>
      <x:c r="AE108" s="25">
        <x:v>3027</x:v>
      </x:c>
      <x:c r="AF108" s="9"/>
      <x:c r="AG108" s="9"/>
      <x:c r="AH108" s="7" t="s">
        <x:v>107</x:v>
      </x:c>
    </x:row>
    <x:row r="109">
      <x:c r="A109" s="7"/>
      <x:c r="B109" s="7" t="s">
        <x:v>196</x:v>
      </x:c>
      <x:c r="C109" s="38" t="s">
        <x:v>195</x:v>
      </x:c>
      <x:c r="D109" s="25">
        <x:v>3</x:v>
      </x:c>
      <x:c r="E109" s="39">
        <x:v>46230</x:v>
      </x:c>
      <x:c r="F109" s="40">
        <x:v>5</x:v>
      </x:c>
      <x:c r="G109" s="41">
        <x:f>(D109-(0)+0-(F109*Ventas!AE85*1.8000))</x:f>
      </x:c>
      <x:c r="H109" s="43">
        <x:f>(G109/(Ventas!AE85*1.8000)/60)</x:f>
      </x:c>
      <x:c r="I109" s="25">
        <x:v>60</x:v>
      </x:c>
      <x:c r="J109" s="41">
        <x:f>IF(G109&gt;0,G109+I109,I109)</x:f>
      </x:c>
      <x:c r="K109" s="41">
        <x:v>2.08</x:v>
      </x:c>
      <x:c r="L109" s="41">
        <x:v>60</x:v>
      </x:c>
      <x:c r="M109" s="45">
        <x:v>0.00105</x:v>
      </x:c>
      <x:c r="N109" s="39">
        <x:v>46275</x:v>
      </x:c>
      <x:c r="O109" s="40">
        <x:v>45</x:v>
      </x:c>
      <x:c r="P109" s="41">
        <x:f>(IF(G109&gt;0,G109+I109,I109)-(O109*Ventas!AE85*1.0044))</x:f>
      </x:c>
      <x:c r="Q109" s="43">
        <x:f>(P109/(Ventas!AE85*1.0044)/60)</x:f>
      </x:c>
      <x:c r="R109" s="25">
        <x:v>60</x:v>
      </x:c>
      <x:c r="S109" s="41">
        <x:f>IF(P109&gt;0,P109+R109,R109)</x:f>
      </x:c>
      <x:c r="T109" s="41">
        <x:v>2.1</x:v>
      </x:c>
      <x:c r="U109" s="41">
        <x:v>60</x:v>
      </x:c>
      <x:c r="V109" s="45">
        <x:v>0.00105</x:v>
      </x:c>
      <x:c r="W109" s="39">
        <x:v>46331</x:v>
      </x:c>
      <x:c r="X109" s="40">
        <x:v>56</x:v>
      </x:c>
      <x:c r="Y109" s="41">
        <x:f>(IF(P109&gt;0,P109+R109,R109)-(X109*Ventas!AE85*0.9018))</x:f>
      </x:c>
      <x:c r="Z109" s="43">
        <x:f>(Y109/(Ventas!AE85*0.9018)/60)</x:f>
      </x:c>
      <x:c r="AA109" s="41">
        <x:f>(100*(Ventas!AE85*1.2350) - IF(Y109&gt;0,Y109,0))</x:f>
      </x:c>
      <x:c r="AB109" s="41">
        <x:f>IF(AA109&gt;0,AA109,0)</x:f>
      </x:c>
      <x:c r="AC109" s="41">
        <x:f>IF(Y109&gt;0,Y109+IF(AB109&gt;0,AB109,0),AB109)</x:f>
      </x:c>
      <x:c r="AD109" s="46">
        <x:v>2.08</x:v>
      </x:c>
      <x:c r="AE109" s="25">
        <x:v>3027</x:v>
      </x:c>
      <x:c r="AF109" s="41">
        <x:f>(AC109-(60*Ventas!AE85*1.2350))</x:f>
      </x:c>
      <x:c r="AG109" s="43">
        <x:f>(AF109/(Ventas!AE85*1.2350)/60)</x:f>
      </x:c>
      <x:c r="AH109" s="7" t="s">
        <x:v>34</x:v>
      </x:c>
    </x:row>
    <x:row r="110">
      <x:c r="A110" s="7"/>
      <x:c r="B110" s="7" t="s">
        <x:v>198</x:v>
      </x:c>
      <x:c r="C110" s="38" t="s">
        <x:v>197</x:v>
      </x:c>
      <x:c r="D110" s="9"/>
      <x:c r="E110" s="39">
        <x:v>46230</x:v>
      </x:c>
      <x:c r="F110" s="40">
        <x:v>5</x:v>
      </x:c>
      <x:c r="G110" s="41">
        <x:f>(D110-(0)+0-(F110*Ventas!AE86*1.8000))</x:f>
      </x:c>
      <x:c r="H110" s="9"/>
      <x:c r="I110" s="25">
        <x:v>0</x:v>
      </x:c>
      <x:c r="J110" s="41">
        <x:f>IF(G110&gt;0,G110+I110,I110)</x:f>
      </x:c>
      <x:c r="K110" s="9"/>
      <x:c r="L110" s="41">
        <x:v>30</x:v>
      </x:c>
      <x:c r="M110" s="45">
        <x:v>0.002413</x:v>
      </x:c>
      <x:c r="N110" s="39">
        <x:v>46275</x:v>
      </x:c>
      <x:c r="O110" s="40">
        <x:v>45</x:v>
      </x:c>
      <x:c r="P110" s="41">
        <x:f>(IF(G110&gt;0,G110+I110,I110)-(O110*Ventas!AE86*1.0044))</x:f>
      </x:c>
      <x:c r="Q110" s="9"/>
      <x:c r="R110" s="25">
        <x:v>0</x:v>
      </x:c>
      <x:c r="S110" s="41">
        <x:f>IF(P110&gt;0,P110+R110,R110)</x:f>
      </x:c>
      <x:c r="T110" s="9"/>
      <x:c r="U110" s="41">
        <x:v>30</x:v>
      </x:c>
      <x:c r="V110" s="45">
        <x:v>0.002413</x:v>
      </x:c>
      <x:c r="W110" s="39">
        <x:v>46331</x:v>
      </x:c>
      <x:c r="X110" s="40">
        <x:v>56</x:v>
      </x:c>
      <x:c r="Y110" s="41">
        <x:f>(IF(P110&gt;0,P110+R110,R110)-(X110*Ventas!AE86*0.9018))</x:f>
      </x:c>
      <x:c r="Z110" s="9"/>
      <x:c r="AA110" s="41">
        <x:f>(100*(Ventas!AE86*1.2350) - IF(Y110&gt;0,Y110,0))</x:f>
      </x:c>
      <x:c r="AB110" s="41">
        <x:f>IF(AA110&gt;0,AA110,0)</x:f>
      </x:c>
      <x:c r="AC110" s="41">
        <x:f>IF(Y110&gt;0,Y110+IF(AB110&gt;0,AB110,0),AB110)</x:f>
      </x:c>
      <x:c r="AD110" s="46">
        <x:v>12.6</x:v>
      </x:c>
      <x:c r="AE110" s="25">
        <x:v>3027</x:v>
      </x:c>
      <x:c r="AF110" s="9"/>
      <x:c r="AG110" s="9"/>
      <x:c r="AH110" s="7" t="s">
        <x:v>34</x:v>
      </x:c>
    </x:row>
    <x:row r="111">
      <x:c r="A111" s="7"/>
      <x:c r="B111" s="7" t="s">
        <x:v>200</x:v>
      </x:c>
      <x:c r="C111" s="38" t="s">
        <x:v>199</x:v>
      </x:c>
      <x:c r="D111" s="9"/>
      <x:c r="E111" s="39">
        <x:v>46230</x:v>
      </x:c>
      <x:c r="F111" s="40">
        <x:v>5</x:v>
      </x:c>
      <x:c r="G111" s="41">
        <x:f>(D111-(0)+0-(F111*Ventas!AE87*1.8000))</x:f>
      </x:c>
      <x:c r="H111" s="9"/>
      <x:c r="I111" s="25">
        <x:v>0</x:v>
      </x:c>
      <x:c r="J111" s="41">
        <x:f>IF(G111&gt;0,G111+I111,I111)</x:f>
      </x:c>
      <x:c r="K111" s="9"/>
      <x:c r="L111" s="41">
        <x:v>10</x:v>
      </x:c>
      <x:c r="M111" s="45">
        <x:v>0.002911</x:v>
      </x:c>
      <x:c r="N111" s="39">
        <x:v>46275</x:v>
      </x:c>
      <x:c r="O111" s="40">
        <x:v>45</x:v>
      </x:c>
      <x:c r="P111" s="41">
        <x:f>(IF(G111&gt;0,G111+I111,I111)-(O111*Ventas!AE87*1.0044))</x:f>
      </x:c>
      <x:c r="Q111" s="9"/>
      <x:c r="R111" s="25">
        <x:v>0</x:v>
      </x:c>
      <x:c r="S111" s="41">
        <x:f>IF(P111&gt;0,P111+R111,R111)</x:f>
      </x:c>
      <x:c r="T111" s="9"/>
      <x:c r="U111" s="41">
        <x:v>10</x:v>
      </x:c>
      <x:c r="V111" s="45">
        <x:v>0.002911</x:v>
      </x:c>
      <x:c r="W111" s="39">
        <x:v>46331</x:v>
      </x:c>
      <x:c r="X111" s="40">
        <x:v>56</x:v>
      </x:c>
      <x:c r="Y111" s="41">
        <x:f>(IF(P111&gt;0,P111+R111,R111)-(X111*Ventas!AE87*0.9018))</x:f>
      </x:c>
      <x:c r="Z111" s="9"/>
      <x:c r="AA111" s="41">
        <x:f>(100*(Ventas!AE87*1.2350) - IF(Y111&gt;0,Y111,0))</x:f>
      </x:c>
      <x:c r="AB111" s="41">
        <x:f>IF(AA111&gt;0,AA111,0)</x:f>
      </x:c>
      <x:c r="AC111" s="41">
        <x:f>IF(Y111&gt;0,Y111+IF(AB111&gt;0,AB111,0),AB111)</x:f>
      </x:c>
      <x:c r="AD111" s="46">
        <x:v>25.2</x:v>
      </x:c>
      <x:c r="AE111" s="25">
        <x:v>3027</x:v>
      </x:c>
      <x:c r="AF111" s="9"/>
      <x:c r="AG111" s="9"/>
      <x:c r="AH111" s="7" t="s">
        <x:v>34</x:v>
      </x:c>
    </x:row>
    <x:row r="112">
      <x:c r="A112" s="7"/>
      <x:c r="B112" s="7" t="s">
        <x:v>202</x:v>
      </x:c>
      <x:c r="C112" s="38" t="s">
        <x:v>201</x:v>
      </x:c>
      <x:c r="D112" s="9"/>
      <x:c r="E112" s="39">
        <x:v>46230</x:v>
      </x:c>
      <x:c r="F112" s="40">
        <x:v>5</x:v>
      </x:c>
      <x:c r="G112" s="41">
        <x:f>(D112-(0)+0-(F112*Ventas!AE88*1.8000))</x:f>
      </x:c>
      <x:c r="H112" s="9"/>
      <x:c r="I112" s="25">
        <x:v>0</x:v>
      </x:c>
      <x:c r="J112" s="41">
        <x:f>IF(G112&gt;0,G112+I112,I112)</x:f>
      </x:c>
      <x:c r="K112" s="9"/>
      <x:c r="L112" s="41">
        <x:v>10</x:v>
      </x:c>
      <x:c r="M112" s="45">
        <x:v>0.002911</x:v>
      </x:c>
      <x:c r="N112" s="39">
        <x:v>46275</x:v>
      </x:c>
      <x:c r="O112" s="40">
        <x:v>45</x:v>
      </x:c>
      <x:c r="P112" s="41">
        <x:f>(IF(G112&gt;0,G112+I112,I112)-(O112*Ventas!AE88*1.0044))</x:f>
      </x:c>
      <x:c r="Q112" s="9"/>
      <x:c r="R112" s="25">
        <x:v>0</x:v>
      </x:c>
      <x:c r="S112" s="41">
        <x:f>IF(P112&gt;0,P112+R112,R112)</x:f>
      </x:c>
      <x:c r="T112" s="9"/>
      <x:c r="U112" s="41">
        <x:v>10</x:v>
      </x:c>
      <x:c r="V112" s="45">
        <x:v>0.002911</x:v>
      </x:c>
      <x:c r="W112" s="39">
        <x:v>46331</x:v>
      </x:c>
      <x:c r="X112" s="40">
        <x:v>56</x:v>
      </x:c>
      <x:c r="Y112" s="41">
        <x:f>(IF(P112&gt;0,P112+R112,R112)-(X112*Ventas!AE88*0.9018))</x:f>
      </x:c>
      <x:c r="Z112" s="9"/>
      <x:c r="AA112" s="41">
        <x:f>(100*(Ventas!AE88*1.2350) - IF(Y112&gt;0,Y112,0))</x:f>
      </x:c>
      <x:c r="AB112" s="41">
        <x:f>IF(AA112&gt;0,AA112,0)</x:f>
      </x:c>
      <x:c r="AC112" s="41">
        <x:f>IF(Y112&gt;0,Y112+IF(AB112&gt;0,AB112,0),AB112)</x:f>
      </x:c>
      <x:c r="AD112" s="46">
        <x:v>25.2</x:v>
      </x:c>
      <x:c r="AE112" s="25">
        <x:v>3027</x:v>
      </x:c>
      <x:c r="AF112" s="9"/>
      <x:c r="AG112" s="9"/>
      <x:c r="AH112" s="7" t="s">
        <x:v>34</x:v>
      </x:c>
    </x:row>
    <x:row r="113">
      <x:c r="A113" s="7"/>
      <x:c r="B113" s="7" t="s">
        <x:v>204</x:v>
      </x:c>
      <x:c r="C113" s="38" t="s">
        <x:v>203</x:v>
      </x:c>
      <x:c r="D113" s="9"/>
      <x:c r="E113" s="39">
        <x:v>46230</x:v>
      </x:c>
      <x:c r="F113" s="40">
        <x:v>5</x:v>
      </x:c>
      <x:c r="G113" s="41">
        <x:f>(D113-(0)+0-(F113*Ventas!AE89*1.8000))</x:f>
      </x:c>
      <x:c r="H113" s="9"/>
      <x:c r="I113" s="25">
        <x:v>0</x:v>
      </x:c>
      <x:c r="J113" s="41">
        <x:f>IF(G113&gt;0,G113+I113,I113)</x:f>
      </x:c>
      <x:c r="K113" s="9"/>
      <x:c r="L113" s="41">
        <x:v>10</x:v>
      </x:c>
      <x:c r="M113" s="45">
        <x:v>0.002696</x:v>
      </x:c>
      <x:c r="N113" s="39">
        <x:v>46275</x:v>
      </x:c>
      <x:c r="O113" s="40">
        <x:v>45</x:v>
      </x:c>
      <x:c r="P113" s="41">
        <x:f>(IF(G113&gt;0,G113+I113,I113)-(O113*Ventas!AE89*1.0044))</x:f>
      </x:c>
      <x:c r="Q113" s="9"/>
      <x:c r="R113" s="25">
        <x:v>0</x:v>
      </x:c>
      <x:c r="S113" s="41">
        <x:f>IF(P113&gt;0,P113+R113,R113)</x:f>
      </x:c>
      <x:c r="T113" s="9"/>
      <x:c r="U113" s="41">
        <x:v>10</x:v>
      </x:c>
      <x:c r="V113" s="45">
        <x:v>0.002696</x:v>
      </x:c>
      <x:c r="W113" s="39">
        <x:v>46331</x:v>
      </x:c>
      <x:c r="X113" s="40">
        <x:v>56</x:v>
      </x:c>
      <x:c r="Y113" s="41">
        <x:f>(IF(P113&gt;0,P113+R113,R113)-(X113*Ventas!AE89*0.9018))</x:f>
      </x:c>
      <x:c r="Z113" s="9"/>
      <x:c r="AA113" s="41">
        <x:f>(100*(Ventas!AE89*1.2350) - IF(Y113&gt;0,Y113,0))</x:f>
      </x:c>
      <x:c r="AB113" s="41">
        <x:f>IF(AA113&gt;0,AA113,0)</x:f>
      </x:c>
      <x:c r="AC113" s="41">
        <x:f>IF(Y113&gt;0,Y113+IF(AB113&gt;0,AB113,0),AB113)</x:f>
      </x:c>
      <x:c r="AD113" s="46">
        <x:v>23.7763</x:v>
      </x:c>
      <x:c r="AE113" s="25">
        <x:v>3010</x:v>
      </x:c>
      <x:c r="AF113" s="9"/>
      <x:c r="AG113" s="9"/>
      <x:c r="AH113" s="7" t="s">
        <x:v>34</x:v>
      </x:c>
    </x:row>
    <x:row r="114">
      <x:c r="A114" s="7"/>
      <x:c r="B114" s="7" t="s">
        <x:v>206</x:v>
      </x:c>
      <x:c r="C114" s="38" t="s">
        <x:v>205</x:v>
      </x:c>
      <x:c r="D114" s="25">
        <x:v>1</x:v>
      </x:c>
      <x:c r="E114" s="39">
        <x:v>46230</x:v>
      </x:c>
      <x:c r="F114" s="40">
        <x:v>5</x:v>
      </x:c>
      <x:c r="G114" s="41">
        <x:f>(D114-(0)+0-(F114*Ventas!AE90*1.8000))</x:f>
      </x:c>
      <x:c r="H114" s="9"/>
      <x:c r="I114" s="25">
        <x:v>0</x:v>
      </x:c>
      <x:c r="J114" s="41">
        <x:f>IF(G114&gt;0,G114+I114,I114)</x:f>
      </x:c>
      <x:c r="K114" s="9"/>
      <x:c r="L114" s="41">
        <x:v>20</x:v>
      </x:c>
      <x:c r="M114" s="45">
        <x:v>0.003128</x:v>
      </x:c>
      <x:c r="N114" s="39">
        <x:v>46275</x:v>
      </x:c>
      <x:c r="O114" s="40">
        <x:v>45</x:v>
      </x:c>
      <x:c r="P114" s="41">
        <x:f>(IF(G114&gt;0,G114+I114,I114)-(O114*Ventas!AE90*1.0044))</x:f>
      </x:c>
      <x:c r="Q114" s="9"/>
      <x:c r="R114" s="25">
        <x:v>0</x:v>
      </x:c>
      <x:c r="S114" s="41">
        <x:f>IF(P114&gt;0,P114+R114,R114)</x:f>
      </x:c>
      <x:c r="T114" s="9"/>
      <x:c r="U114" s="41">
        <x:v>20</x:v>
      </x:c>
      <x:c r="V114" s="45">
        <x:v>0.003128</x:v>
      </x:c>
      <x:c r="W114" s="39">
        <x:v>46331</x:v>
      </x:c>
      <x:c r="X114" s="40">
        <x:v>56</x:v>
      </x:c>
      <x:c r="Y114" s="41">
        <x:f>(IF(P114&gt;0,P114+R114,R114)-(X114*Ventas!AE90*0.9018))</x:f>
      </x:c>
      <x:c r="Z114" s="9"/>
      <x:c r="AA114" s="41">
        <x:f>(100*(Ventas!AE90*1.2350) - IF(Y114&gt;0,Y114,0))</x:f>
      </x:c>
      <x:c r="AB114" s="41">
        <x:f>IF(AA114&gt;0,AA114,0)</x:f>
      </x:c>
      <x:c r="AC114" s="41">
        <x:f>IF(Y114&gt;0,Y114+IF(AB114&gt;0,AB114,0),AB114)</x:f>
      </x:c>
      <x:c r="AD114" s="46">
        <x:v>9.2</x:v>
      </x:c>
      <x:c r="AE114" s="25">
        <x:v>3010</x:v>
      </x:c>
      <x:c r="AF114" s="9"/>
      <x:c r="AG114" s="9"/>
      <x:c r="AH114" s="7" t="s">
        <x:v>107</x:v>
      </x:c>
    </x:row>
    <x:row r="115">
      <x:c r="A115" s="7"/>
      <x:c r="B115" s="7" t="s">
        <x:v>208</x:v>
      </x:c>
      <x:c r="C115" s="38" t="s">
        <x:v>207</x:v>
      </x:c>
      <x:c r="D115" s="9"/>
      <x:c r="E115" s="39">
        <x:v>46230</x:v>
      </x:c>
      <x:c r="F115" s="40">
        <x:v>5</x:v>
      </x:c>
      <x:c r="G115" s="41">
        <x:f>(D115-(0)+0-(F115*Ventas!AE91*1.8000))</x:f>
      </x:c>
      <x:c r="H115" s="43">
        <x:f>(G115/(Ventas!AE91*1.8000)/60)</x:f>
      </x:c>
      <x:c r="I115" s="25">
        <x:v>0</x:v>
      </x:c>
      <x:c r="J115" s="41">
        <x:f>IF(G115&gt;0,G115+I115,I115)</x:f>
      </x:c>
      <x:c r="K115" s="9"/>
      <x:c r="L115" s="41">
        <x:v>20</x:v>
      </x:c>
      <x:c r="M115" s="45">
        <x:v>0.003128</x:v>
      </x:c>
      <x:c r="N115" s="39">
        <x:v>46275</x:v>
      </x:c>
      <x:c r="O115" s="40">
        <x:v>45</x:v>
      </x:c>
      <x:c r="P115" s="41">
        <x:f>(IF(G115&gt;0,G115+I115,I115)-(O115*Ventas!AE91*1.0044))</x:f>
      </x:c>
      <x:c r="Q115" s="43">
        <x:f>(P115/(Ventas!AE91*1.0044)/60)</x:f>
      </x:c>
      <x:c r="R115" s="25">
        <x:v>0</x:v>
      </x:c>
      <x:c r="S115" s="41">
        <x:f>IF(P115&gt;0,P115+R115,R115)</x:f>
      </x:c>
      <x:c r="T115" s="9"/>
      <x:c r="U115" s="41">
        <x:v>20</x:v>
      </x:c>
      <x:c r="V115" s="45">
        <x:v>0.003128</x:v>
      </x:c>
      <x:c r="W115" s="39">
        <x:v>46331</x:v>
      </x:c>
      <x:c r="X115" s="40">
        <x:v>56</x:v>
      </x:c>
      <x:c r="Y115" s="41">
        <x:f>(IF(P115&gt;0,P115+R115,R115)-(X115*Ventas!AE91*0.9018))</x:f>
      </x:c>
      <x:c r="Z115" s="43">
        <x:f>(Y115/(Ventas!AE91*0.9018)/60)</x:f>
      </x:c>
      <x:c r="AA115" s="41">
        <x:f>(100*(Ventas!AE91*1.2350) - IF(Y115&gt;0,Y115,0))</x:f>
      </x:c>
      <x:c r="AB115" s="41">
        <x:f>IF(AA115&gt;0,AA115,0)</x:f>
      </x:c>
      <x:c r="AC115" s="41">
        <x:f>IF(Y115&gt;0,Y115+IF(AB115&gt;0,AB115,0),AB115)</x:f>
      </x:c>
      <x:c r="AD115" s="46">
        <x:v>10.2</x:v>
      </x:c>
      <x:c r="AE115" s="25">
        <x:v>3027</x:v>
      </x:c>
      <x:c r="AF115" s="41">
        <x:f>(AC115-(60*Ventas!AE91*1.2350))</x:f>
      </x:c>
      <x:c r="AG115" s="43">
        <x:f>(AF115/(Ventas!AE91*1.2350)/60)</x:f>
      </x:c>
      <x:c r="AH115" s="7" t="s">
        <x:v>107</x:v>
      </x:c>
    </x:row>
    <x:row r="116">
      <x:c r="A116" s="7"/>
      <x:c r="B116" s="7" t="s">
        <x:v>210</x:v>
      </x:c>
      <x:c r="C116" s="38" t="s">
        <x:v>209</x:v>
      </x:c>
      <x:c r="D116" s="25">
        <x:v>8</x:v>
      </x:c>
      <x:c r="E116" s="39">
        <x:v>46230</x:v>
      </x:c>
      <x:c r="F116" s="40">
        <x:v>5</x:v>
      </x:c>
      <x:c r="G116" s="41">
        <x:f>(D116-(0)+0-(F116*Ventas!AE92*1.8000))</x:f>
      </x:c>
      <x:c r="H116" s="43">
        <x:f>(G116/(Ventas!AE92*1.8000)/60)</x:f>
      </x:c>
      <x:c r="I116" s="25">
        <x:v>20</x:v>
      </x:c>
      <x:c r="J116" s="41">
        <x:f>IF(G116&gt;0,G116+I116,I116)</x:f>
      </x:c>
      <x:c r="K116" s="41">
        <x:v>7.072</x:v>
      </x:c>
      <x:c r="L116" s="41">
        <x:v>10</x:v>
      </x:c>
      <x:c r="M116" s="45">
        <x:v>0.005</x:v>
      </x:c>
      <x:c r="N116" s="39">
        <x:v>46275</x:v>
      </x:c>
      <x:c r="O116" s="40">
        <x:v>45</x:v>
      </x:c>
      <x:c r="P116" s="41">
        <x:f>(IF(G116&gt;0,G116+I116,I116)-(O116*Ventas!AE92*1.0044))</x:f>
      </x:c>
      <x:c r="Q116" s="43">
        <x:f>(P116/(Ventas!AE92*1.0044)/60)</x:f>
      </x:c>
      <x:c r="R116" s="25">
        <x:v>30</x:v>
      </x:c>
      <x:c r="S116" s="41">
        <x:f>IF(P116&gt;0,P116+R116,R116)</x:f>
      </x:c>
      <x:c r="T116" s="41">
        <x:v>7.1</x:v>
      </x:c>
      <x:c r="U116" s="41">
        <x:v>10</x:v>
      </x:c>
      <x:c r="V116" s="45">
        <x:v>0.005</x:v>
      </x:c>
      <x:c r="W116" s="39">
        <x:v>46331</x:v>
      </x:c>
      <x:c r="X116" s="40">
        <x:v>56</x:v>
      </x:c>
      <x:c r="Y116" s="41">
        <x:f>(IF(P116&gt;0,P116+R116,R116)-(X116*Ventas!AE92*0.9018))</x:f>
      </x:c>
      <x:c r="Z116" s="43">
        <x:f>(Y116/(Ventas!AE92*0.9018)/60)</x:f>
      </x:c>
      <x:c r="AA116" s="41">
        <x:f>(100*(Ventas!AE92*1.2350) - IF(Y116&gt;0,Y116,0))</x:f>
      </x:c>
      <x:c r="AB116" s="41">
        <x:f>IF(AA116&gt;0,AA116,0)</x:f>
      </x:c>
      <x:c r="AC116" s="41">
        <x:f>IF(Y116&gt;0,Y116+IF(AB116&gt;0,AB116,0),AB116)</x:f>
      </x:c>
      <x:c r="AD116" s="46">
        <x:v>7.072</x:v>
      </x:c>
      <x:c r="AE116" s="25">
        <x:v>3027</x:v>
      </x:c>
      <x:c r="AF116" s="41">
        <x:f>(AC116-(60*Ventas!AE92*1.2350))</x:f>
      </x:c>
      <x:c r="AG116" s="43">
        <x:f>(AF116/(Ventas!AE92*1.2350)/60)</x:f>
      </x:c>
      <x:c r="AH116" s="7" t="s">
        <x:v>34</x:v>
      </x:c>
    </x:row>
    <x:row r="117">
      <x:c r="A117" s="7"/>
      <x:c r="B117" s="7" t="s">
        <x:v>218</x:v>
      </x:c>
      <x:c r="C117" s="38" t="s">
        <x:v>217</x:v>
      </x:c>
      <x:c r="D117" s="25">
        <x:v>9</x:v>
      </x:c>
      <x:c r="E117" s="39">
        <x:v>46230</x:v>
      </x:c>
      <x:c r="F117" s="40">
        <x:v>5</x:v>
      </x:c>
      <x:c r="G117" s="41">
        <x:f>(D117-(0)+0-(F117*Ventas!AE96*1.8000))</x:f>
      </x:c>
      <x:c r="H117" s="43">
        <x:f>(G117/(Ventas!AE96*1.8000)/60)</x:f>
      </x:c>
      <x:c r="I117" s="25">
        <x:v>0</x:v>
      </x:c>
      <x:c r="J117" s="41">
        <x:f>IF(G117&gt;0,G117+I117,I117)</x:f>
      </x:c>
      <x:c r="K117" s="9"/>
      <x:c r="L117" s="41">
        <x:v>48</x:v>
      </x:c>
      <x:c r="M117" s="45">
        <x:v>0.001708</x:v>
      </x:c>
      <x:c r="N117" s="39">
        <x:v>46275</x:v>
      </x:c>
      <x:c r="O117" s="40">
        <x:v>45</x:v>
      </x:c>
      <x:c r="P117" s="41">
        <x:f>(IF(G117&gt;0,G117+I117,I117)-(O117*Ventas!AE96*1.0044))</x:f>
      </x:c>
      <x:c r="Q117" s="43">
        <x:f>(P117/(Ventas!AE96*1.0044)/60)</x:f>
      </x:c>
      <x:c r="R117" s="25">
        <x:v>0</x:v>
      </x:c>
      <x:c r="S117" s="41">
        <x:f>IF(P117&gt;0,P117+R117,R117)</x:f>
      </x:c>
      <x:c r="T117" s="9"/>
      <x:c r="U117" s="41">
        <x:v>48</x:v>
      </x:c>
      <x:c r="V117" s="45">
        <x:v>0.001708</x:v>
      </x:c>
      <x:c r="W117" s="39">
        <x:v>46331</x:v>
      </x:c>
      <x:c r="X117" s="40">
        <x:v>56</x:v>
      </x:c>
      <x:c r="Y117" s="41">
        <x:f>(IF(P117&gt;0,P117+R117,R117)-(X117*Ventas!AE96*0.9018))</x:f>
      </x:c>
      <x:c r="Z117" s="43">
        <x:f>(Y117/(Ventas!AE96*0.9018)/60)</x:f>
      </x:c>
      <x:c r="AA117" s="41">
        <x:f>(100*(Ventas!AE96*1.2350) - IF(Y117&gt;0,Y117,0))</x:f>
      </x:c>
      <x:c r="AB117" s="41">
        <x:f>IF(AA117&gt;0,AA117,0)</x:f>
      </x:c>
      <x:c r="AC117" s="41">
        <x:f>IF(Y117&gt;0,Y117+IF(AB117&gt;0,AB117,0),AB117)</x:f>
      </x:c>
      <x:c r="AD117" s="46">
        <x:v>2.3</x:v>
      </x:c>
      <x:c r="AE117" s="25">
        <x:v>3027</x:v>
      </x:c>
      <x:c r="AF117" s="41">
        <x:f>(AC117-(60*Ventas!AE96*1.2350))</x:f>
      </x:c>
      <x:c r="AG117" s="43">
        <x:f>(AF117/(Ventas!AE96*1.2350)/60)</x:f>
      </x:c>
      <x:c r="AH117" s="7" t="s">
        <x:v>34</x:v>
      </x:c>
    </x:row>
    <x:row r="118">
      <x:c r="A118" s="7"/>
      <x:c r="B118" s="7" t="s">
        <x:v>220</x:v>
      </x:c>
      <x:c r="C118" s="38" t="s">
        <x:v>219</x:v>
      </x:c>
      <x:c r="D118" s="25">
        <x:v>217</x:v>
      </x:c>
      <x:c r="E118" s="39">
        <x:v>46230</x:v>
      </x:c>
      <x:c r="F118" s="40">
        <x:v>5</x:v>
      </x:c>
      <x:c r="G118" s="41">
        <x:f>(D118-(0)+0-(F118*Ventas!AE97*1.8000))</x:f>
      </x:c>
      <x:c r="H118" s="43">
        <x:f>(G118/(Ventas!AE97*1.8000)/60)</x:f>
      </x:c>
      <x:c r="I118" s="25">
        <x:v>160</x:v>
      </x:c>
      <x:c r="J118" s="41">
        <x:f>IF(G118&gt;0,G118+I118,I118)</x:f>
      </x:c>
      <x:c r="K118" s="41">
        <x:v>1.04</x:v>
      </x:c>
      <x:c r="L118" s="41">
        <x:v>80</x:v>
      </x:c>
      <x:c r="M118" s="45">
        <x:v>0.000638</x:v>
      </x:c>
      <x:c r="N118" s="39">
        <x:v>46275</x:v>
      </x:c>
      <x:c r="O118" s="40">
        <x:v>45</x:v>
      </x:c>
      <x:c r="P118" s="41">
        <x:f>(IF(G118&gt;0,G118+I118,I118)-(O118*Ventas!AE97*1.0044))</x:f>
      </x:c>
      <x:c r="Q118" s="43">
        <x:f>(P118/(Ventas!AE97*1.0044)/60)</x:f>
      </x:c>
      <x:c r="R118" s="25">
        <x:v>160</x:v>
      </x:c>
      <x:c r="S118" s="41">
        <x:f>IF(P118&gt;0,P118+R118,R118)</x:f>
      </x:c>
      <x:c r="T118" s="41">
        <x:v>1</x:v>
      </x:c>
      <x:c r="U118" s="41">
        <x:v>80</x:v>
      </x:c>
      <x:c r="V118" s="45">
        <x:v>0.000638</x:v>
      </x:c>
      <x:c r="W118" s="39">
        <x:v>46331</x:v>
      </x:c>
      <x:c r="X118" s="40">
        <x:v>56</x:v>
      </x:c>
      <x:c r="Y118" s="41">
        <x:f>(IF(P118&gt;0,P118+R118,R118)-(X118*Ventas!AE97*0.9018))</x:f>
      </x:c>
      <x:c r="Z118" s="43">
        <x:f>(Y118/(Ventas!AE97*0.9018)/60)</x:f>
      </x:c>
      <x:c r="AA118" s="41">
        <x:f>(100*(Ventas!AE97*1.2350) - IF(Y118&gt;0,Y118,0))</x:f>
      </x:c>
      <x:c r="AB118" s="41">
        <x:f>IF(AA118&gt;0,AA118,0)</x:f>
      </x:c>
      <x:c r="AC118" s="41">
        <x:f>IF(Y118&gt;0,Y118+IF(AB118&gt;0,AB118,0),AB118)</x:f>
      </x:c>
      <x:c r="AD118" s="46">
        <x:v>1.04</x:v>
      </x:c>
      <x:c r="AE118" s="25">
        <x:v>3027</x:v>
      </x:c>
      <x:c r="AF118" s="41">
        <x:f>(AC118-(60*Ventas!AE97*1.2350))</x:f>
      </x:c>
      <x:c r="AG118" s="43">
        <x:f>(AF118/(Ventas!AE97*1.2350)/60)</x:f>
      </x:c>
      <x:c r="AH118" s="7" t="s">
        <x:v>34</x:v>
      </x:c>
    </x:row>
    <x:row r="119">
      <x:c r="A119" s="7"/>
      <x:c r="B119" s="7" t="s">
        <x:v>222</x:v>
      </x:c>
      <x:c r="C119" s="38" t="s">
        <x:v>221</x:v>
      </x:c>
      <x:c r="D119" s="25">
        <x:v>60</x:v>
      </x:c>
      <x:c r="E119" s="39">
        <x:v>46230</x:v>
      </x:c>
      <x:c r="F119" s="40">
        <x:v>5</x:v>
      </x:c>
      <x:c r="G119" s="41">
        <x:f>(D119-(0)+0-(F119*Ventas!AE98*1.8000))</x:f>
      </x:c>
      <x:c r="H119" s="43">
        <x:f>(G119/(Ventas!AE98*1.8000)/60)</x:f>
      </x:c>
      <x:c r="I119" s="25">
        <x:v>0</x:v>
      </x:c>
      <x:c r="J119" s="41">
        <x:f>IF(G119&gt;0,G119+I119,I119)</x:f>
      </x:c>
      <x:c r="K119" s="9"/>
      <x:c r="L119" s="41">
        <x:v>40</x:v>
      </x:c>
      <x:c r="M119" s="45">
        <x:v>0.00209</x:v>
      </x:c>
      <x:c r="N119" s="39">
        <x:v>46275</x:v>
      </x:c>
      <x:c r="O119" s="40">
        <x:v>45</x:v>
      </x:c>
      <x:c r="P119" s="41">
        <x:f>(IF(G119&gt;0,G119+I119,I119)-(O119*Ventas!AE98*1.0044))</x:f>
      </x:c>
      <x:c r="Q119" s="43">
        <x:f>(P119/(Ventas!AE98*1.0044)/60)</x:f>
      </x:c>
      <x:c r="R119" s="25">
        <x:v>0</x:v>
      </x:c>
      <x:c r="S119" s="41">
        <x:f>IF(P119&gt;0,P119+R119,R119)</x:f>
      </x:c>
      <x:c r="T119" s="9"/>
      <x:c r="U119" s="41">
        <x:v>30</x:v>
      </x:c>
      <x:c r="V119" s="45">
        <x:v>0.002233</x:v>
      </x:c>
      <x:c r="W119" s="39">
        <x:v>46331</x:v>
      </x:c>
      <x:c r="X119" s="40">
        <x:v>56</x:v>
      </x:c>
      <x:c r="Y119" s="41">
        <x:f>(IF(P119&gt;0,P119+R119,R119)-(X119*Ventas!AE98*0.9018))</x:f>
      </x:c>
      <x:c r="Z119" s="43">
        <x:f>(Y119/(Ventas!AE98*0.9018)/60)</x:f>
      </x:c>
      <x:c r="AA119" s="41">
        <x:f>(100*(Ventas!AE98*1.2350) - IF(Y119&gt;0,Y119,0))</x:f>
      </x:c>
      <x:c r="AB119" s="41">
        <x:f>IF(AA119&gt;0,AA119,0)</x:f>
      </x:c>
      <x:c r="AC119" s="41">
        <x:f>IF(Y119&gt;0,Y119+IF(AB119&gt;0,AB119,0),AB119)</x:f>
      </x:c>
      <x:c r="AD119" s="46">
        <x:v>2.7</x:v>
      </x:c>
      <x:c r="AE119" s="25">
        <x:v>3010</x:v>
      </x:c>
      <x:c r="AF119" s="41">
        <x:f>(AC119-(60*Ventas!AE98*1.2350))</x:f>
      </x:c>
      <x:c r="AG119" s="43">
        <x:f>(AF119/(Ventas!AE98*1.2350)/60)</x:f>
      </x:c>
      <x:c r="AH119" s="7" t="s">
        <x:v>34</x:v>
      </x:c>
    </x:row>
    <x:row r="120">
      <x:c r="A120" s="7"/>
      <x:c r="B120" s="7" t="s">
        <x:v>224</x:v>
      </x:c>
      <x:c r="C120" s="38" t="s">
        <x:v>223</x:v>
      </x:c>
      <x:c r="D120" s="25">
        <x:v>135</x:v>
      </x:c>
      <x:c r="E120" s="39">
        <x:v>46230</x:v>
      </x:c>
      <x:c r="F120" s="40">
        <x:v>5</x:v>
      </x:c>
      <x:c r="G120" s="41">
        <x:f>(D120-(0)+0-(F120*Ventas!AE99*1.8000))</x:f>
      </x:c>
      <x:c r="H120" s="43">
        <x:f>(G120/(Ventas!AE99*1.8000)/60)</x:f>
      </x:c>
      <x:c r="I120" s="25">
        <x:v>0</x:v>
      </x:c>
      <x:c r="J120" s="41">
        <x:f>IF(G120&gt;0,G120+I120,I120)</x:f>
      </x:c>
      <x:c r="K120" s="9"/>
      <x:c r="L120" s="41">
        <x:v>20</x:v>
      </x:c>
      <x:c r="M120" s="45">
        <x:v>0.00515</x:v>
      </x:c>
      <x:c r="N120" s="39">
        <x:v>46275</x:v>
      </x:c>
      <x:c r="O120" s="40">
        <x:v>45</x:v>
      </x:c>
      <x:c r="P120" s="41">
        <x:f>(IF(G120&gt;0,G120+I120,I120)-(O120*Ventas!AE99*1.0044))</x:f>
      </x:c>
      <x:c r="Q120" s="43">
        <x:f>(P120/(Ventas!AE99*1.0044)/60)</x:f>
      </x:c>
      <x:c r="R120" s="25">
        <x:v>60</x:v>
      </x:c>
      <x:c r="S120" s="41">
        <x:f>IF(P120&gt;0,P120+R120,R120)</x:f>
      </x:c>
      <x:c r="T120" s="41">
        <x:v>7.5</x:v>
      </x:c>
      <x:c r="U120" s="41">
        <x:v>20</x:v>
      </x:c>
      <x:c r="V120" s="45">
        <x:v>0.00515</x:v>
      </x:c>
      <x:c r="W120" s="39">
        <x:v>46331</x:v>
      </x:c>
      <x:c r="X120" s="40">
        <x:v>56</x:v>
      </x:c>
      <x:c r="Y120" s="41">
        <x:f>(IF(P120&gt;0,P120+R120,R120)-(X120*Ventas!AE99*0.9018))</x:f>
      </x:c>
      <x:c r="Z120" s="43">
        <x:f>(Y120/(Ventas!AE99*0.9018)/60)</x:f>
      </x:c>
      <x:c r="AA120" s="41">
        <x:f>(100*(Ventas!AE99*1.2350) - IF(Y120&gt;0,Y120,0))</x:f>
      </x:c>
      <x:c r="AB120" s="41">
        <x:f>IF(AA120&gt;0,AA120,0)</x:f>
      </x:c>
      <x:c r="AC120" s="41">
        <x:f>IF(Y120&gt;0,Y120+IF(AB120&gt;0,AB120,0),AB120)</x:f>
      </x:c>
      <x:c r="AD120" s="46">
        <x:v>7.35</x:v>
      </x:c>
      <x:c r="AE120" s="25">
        <x:v>3027</x:v>
      </x:c>
      <x:c r="AF120" s="41">
        <x:f>(AC120-(60*Ventas!AE99*1.2350))</x:f>
      </x:c>
      <x:c r="AG120" s="43">
        <x:f>(AF120/(Ventas!AE99*1.2350)/60)</x:f>
      </x:c>
      <x:c r="AH120" s="7" t="s">
        <x:v>34</x:v>
      </x:c>
    </x:row>
    <x:row r="121">
      <x:c r="A121" s="7"/>
      <x:c r="B121" s="7" t="s">
        <x:v>226</x:v>
      </x:c>
      <x:c r="C121" s="38" t="s">
        <x:v>225</x:v>
      </x:c>
      <x:c r="D121" s="9"/>
      <x:c r="E121" s="39">
        <x:v>46230</x:v>
      </x:c>
      <x:c r="F121" s="40">
        <x:v>5</x:v>
      </x:c>
      <x:c r="G121" s="41">
        <x:f>(D121-(0)+0-(F121*Ventas!AE100*1.8000))</x:f>
      </x:c>
      <x:c r="H121" s="9"/>
      <x:c r="I121" s="25">
        <x:v>0</x:v>
      </x:c>
      <x:c r="J121" s="41">
        <x:f>IF(G121&gt;0,G121+I121,I121)</x:f>
      </x:c>
      <x:c r="K121" s="9"/>
      <x:c r="L121" s="41">
        <x:v>20</x:v>
      </x:c>
      <x:c r="M121" s="45">
        <x:v>0.004584</x:v>
      </x:c>
      <x:c r="N121" s="39">
        <x:v>46275</x:v>
      </x:c>
      <x:c r="O121" s="40">
        <x:v>45</x:v>
      </x:c>
      <x:c r="P121" s="41">
        <x:f>(IF(G121&gt;0,G121+I121,I121)-(O121*Ventas!AE100*1.0044))</x:f>
      </x:c>
      <x:c r="Q121" s="9"/>
      <x:c r="R121" s="25">
        <x:v>0</x:v>
      </x:c>
      <x:c r="S121" s="41">
        <x:f>IF(P121&gt;0,P121+R121,R121)</x:f>
      </x:c>
      <x:c r="T121" s="9"/>
      <x:c r="U121" s="41">
        <x:v>20</x:v>
      </x:c>
      <x:c r="V121" s="45">
        <x:v>0.004584</x:v>
      </x:c>
      <x:c r="W121" s="39">
        <x:v>46331</x:v>
      </x:c>
      <x:c r="X121" s="40">
        <x:v>56</x:v>
      </x:c>
      <x:c r="Y121" s="41">
        <x:f>(IF(P121&gt;0,P121+R121,R121)-(X121*Ventas!AE100*0.9018))</x:f>
      </x:c>
      <x:c r="Z121" s="9"/>
      <x:c r="AA121" s="41">
        <x:f>(100*(Ventas!AE100*1.2350) - IF(Y121&gt;0,Y121,0))</x:f>
      </x:c>
      <x:c r="AB121" s="41">
        <x:f>IF(AA121&gt;0,AA121,0)</x:f>
      </x:c>
      <x:c r="AC121" s="41">
        <x:f>IF(Y121&gt;0,Y121+IF(AB121&gt;0,AB121,0),AB121)</x:f>
      </x:c>
      <x:c r="AD121" s="46">
        <x:v>12.8</x:v>
      </x:c>
      <x:c r="AE121" s="25">
        <x:v>3027</x:v>
      </x:c>
      <x:c r="AF121" s="9"/>
      <x:c r="AG121" s="9"/>
      <x:c r="AH121" s="7" t="s">
        <x:v>34</x:v>
      </x:c>
    </x:row>
    <x:row r="122">
      <x:c r="A122" s="7"/>
      <x:c r="B122" s="7" t="s">
        <x:v>228</x:v>
      </x:c>
      <x:c r="C122" s="38" t="s">
        <x:v>227</x:v>
      </x:c>
      <x:c r="D122" s="9"/>
      <x:c r="E122" s="39">
        <x:v>46230</x:v>
      </x:c>
      <x:c r="F122" s="40">
        <x:v>5</x:v>
      </x:c>
      <x:c r="G122" s="41">
        <x:f>(D122-(0)+0-(F122*Ventas!AE101*1.8000))</x:f>
      </x:c>
      <x:c r="H122" s="9"/>
      <x:c r="I122" s="25">
        <x:v>0</x:v>
      </x:c>
      <x:c r="J122" s="41">
        <x:f>IF(G122&gt;0,G122+I122,I122)</x:f>
      </x:c>
      <x:c r="K122" s="9"/>
      <x:c r="L122" s="41">
        <x:v>20</x:v>
      </x:c>
      <x:c r="M122" s="45">
        <x:v>0.004844</x:v>
      </x:c>
      <x:c r="N122" s="39">
        <x:v>46275</x:v>
      </x:c>
      <x:c r="O122" s="40">
        <x:v>45</x:v>
      </x:c>
      <x:c r="P122" s="41">
        <x:f>(IF(G122&gt;0,G122+I122,I122)-(O122*Ventas!AE101*1.0044))</x:f>
      </x:c>
      <x:c r="Q122" s="9"/>
      <x:c r="R122" s="25">
        <x:v>0</x:v>
      </x:c>
      <x:c r="S122" s="41">
        <x:f>IF(P122&gt;0,P122+R122,R122)</x:f>
      </x:c>
      <x:c r="T122" s="9"/>
      <x:c r="U122" s="41">
        <x:v>20</x:v>
      </x:c>
      <x:c r="V122" s="45">
        <x:v>0.004844</x:v>
      </x:c>
      <x:c r="W122" s="39">
        <x:v>46331</x:v>
      </x:c>
      <x:c r="X122" s="40">
        <x:v>56</x:v>
      </x:c>
      <x:c r="Y122" s="41">
        <x:f>(IF(P122&gt;0,P122+R122,R122)-(X122*Ventas!AE101*0.9018))</x:f>
      </x:c>
      <x:c r="Z122" s="9"/>
      <x:c r="AA122" s="41">
        <x:f>(100*(Ventas!AE101*1.2350) - IF(Y122&gt;0,Y122,0))</x:f>
      </x:c>
      <x:c r="AB122" s="41">
        <x:f>IF(AA122&gt;0,AA122,0)</x:f>
      </x:c>
      <x:c r="AC122" s="41">
        <x:f>IF(Y122&gt;0,Y122+IF(AB122&gt;0,AB122,0),AB122)</x:f>
      </x:c>
      <x:c r="AD122" s="46">
        <x:v>11.3</x:v>
      </x:c>
      <x:c r="AE122" s="25">
        <x:v>3017</x:v>
      </x:c>
      <x:c r="AF122" s="9"/>
      <x:c r="AG122" s="9"/>
      <x:c r="AH122" s="7" t="s">
        <x:v>34</x:v>
      </x:c>
    </x:row>
    <x:row r="123">
      <x:c r="A123" s="7"/>
      <x:c r="B123" s="7" t="s">
        <x:v>230</x:v>
      </x:c>
      <x:c r="C123" s="38" t="s">
        <x:v>229</x:v>
      </x:c>
      <x:c r="D123" s="9"/>
      <x:c r="E123" s="39">
        <x:v>46230</x:v>
      </x:c>
      <x:c r="F123" s="40">
        <x:v>5</x:v>
      </x:c>
      <x:c r="G123" s="41">
        <x:f>(D123-(0)+0-(F123*Ventas!AE102*1.8000))</x:f>
      </x:c>
      <x:c r="H123" s="9"/>
      <x:c r="I123" s="25">
        <x:v>0</x:v>
      </x:c>
      <x:c r="J123" s="41">
        <x:f>IF(G123&gt;0,G123+I123,I123)</x:f>
      </x:c>
      <x:c r="K123" s="9"/>
      <x:c r="L123" s="41">
        <x:v>20</x:v>
      </x:c>
      <x:c r="M123" s="45">
        <x:v>0.004844</x:v>
      </x:c>
      <x:c r="N123" s="39">
        <x:v>46275</x:v>
      </x:c>
      <x:c r="O123" s="40">
        <x:v>45</x:v>
      </x:c>
      <x:c r="P123" s="41">
        <x:f>(IF(G123&gt;0,G123+I123,I123)-(O123*Ventas!AE102*1.0044))</x:f>
      </x:c>
      <x:c r="Q123" s="9"/>
      <x:c r="R123" s="25">
        <x:v>0</x:v>
      </x:c>
      <x:c r="S123" s="41">
        <x:f>IF(P123&gt;0,P123+R123,R123)</x:f>
      </x:c>
      <x:c r="T123" s="9"/>
      <x:c r="U123" s="41">
        <x:v>20</x:v>
      </x:c>
      <x:c r="V123" s="45">
        <x:v>0.004844</x:v>
      </x:c>
      <x:c r="W123" s="39">
        <x:v>46331</x:v>
      </x:c>
      <x:c r="X123" s="40">
        <x:v>56</x:v>
      </x:c>
      <x:c r="Y123" s="41">
        <x:f>(IF(P123&gt;0,P123+R123,R123)-(X123*Ventas!AE102*0.9018))</x:f>
      </x:c>
      <x:c r="Z123" s="9"/>
      <x:c r="AA123" s="41">
        <x:f>(100*(Ventas!AE102*1.2350) - IF(Y123&gt;0,Y123,0))</x:f>
      </x:c>
      <x:c r="AB123" s="41">
        <x:f>IF(AA123&gt;0,AA123,0)</x:f>
      </x:c>
      <x:c r="AC123" s="41">
        <x:f>IF(Y123&gt;0,Y123+IF(AB123&gt;0,AB123,0),AB123)</x:f>
      </x:c>
      <x:c r="AD123" s="46">
        <x:v>12.2</x:v>
      </x:c>
      <x:c r="AE123" s="25">
        <x:v>3027</x:v>
      </x:c>
      <x:c r="AF123" s="9"/>
      <x:c r="AG123" s="9"/>
      <x:c r="AH123" s="7" t="s">
        <x:v>34</x:v>
      </x:c>
    </x:row>
    <x:row r="124">
      <x:c r="A124" s="7"/>
      <x:c r="B124" s="7" t="s">
        <x:v>232</x:v>
      </x:c>
      <x:c r="C124" s="38" t="s">
        <x:v>231</x:v>
      </x:c>
      <x:c r="D124" s="9"/>
      <x:c r="E124" s="39">
        <x:v>46230</x:v>
      </x:c>
      <x:c r="F124" s="40">
        <x:v>5</x:v>
      </x:c>
      <x:c r="G124" s="41">
        <x:f>(D124-(0)+0-(F124*Ventas!AE103*1.8000))</x:f>
      </x:c>
      <x:c r="H124" s="9"/>
      <x:c r="I124" s="25">
        <x:v>0</x:v>
      </x:c>
      <x:c r="J124" s="41">
        <x:f>IF(G124&gt;0,G124+I124,I124)</x:f>
      </x:c>
      <x:c r="K124" s="9"/>
      <x:c r="L124" s="41">
        <x:v>40</x:v>
      </x:c>
      <x:c r="M124" s="45">
        <x:v>0.002342</x:v>
      </x:c>
      <x:c r="N124" s="39">
        <x:v>46275</x:v>
      </x:c>
      <x:c r="O124" s="40">
        <x:v>45</x:v>
      </x:c>
      <x:c r="P124" s="41">
        <x:f>(IF(G124&gt;0,G124+I124,I124)-(O124*Ventas!AE103*1.0044))</x:f>
      </x:c>
      <x:c r="Q124" s="9"/>
      <x:c r="R124" s="25">
        <x:v>0</x:v>
      </x:c>
      <x:c r="S124" s="41">
        <x:f>IF(P124&gt;0,P124+R124,R124)</x:f>
      </x:c>
      <x:c r="T124" s="9"/>
      <x:c r="U124" s="41">
        <x:v>40</x:v>
      </x:c>
      <x:c r="V124" s="45">
        <x:v>0.002342</x:v>
      </x:c>
      <x:c r="W124" s="39">
        <x:v>46331</x:v>
      </x:c>
      <x:c r="X124" s="40">
        <x:v>56</x:v>
      </x:c>
      <x:c r="Y124" s="41">
        <x:f>(IF(P124&gt;0,P124+R124,R124)-(X124*Ventas!AE103*0.9018))</x:f>
      </x:c>
      <x:c r="Z124" s="9"/>
      <x:c r="AA124" s="41">
        <x:f>(100*(Ventas!AE103*1.2350) - IF(Y124&gt;0,Y124,0))</x:f>
      </x:c>
      <x:c r="AB124" s="41">
        <x:f>IF(AA124&gt;0,AA124,0)</x:f>
      </x:c>
      <x:c r="AC124" s="41">
        <x:f>IF(Y124&gt;0,Y124+IF(AB124&gt;0,AB124,0),AB124)</x:f>
      </x:c>
      <x:c r="AD124" s="9"/>
      <x:c r="AE124" s="25">
        <x:v>3027</x:v>
      </x:c>
      <x:c r="AF124" s="9"/>
      <x:c r="AG124" s="9"/>
      <x:c r="AH124" s="7" t="s">
        <x:v>34</x:v>
      </x:c>
    </x:row>
    <x:row r="125">
      <x:c r="A125" s="7"/>
      <x:c r="B125" s="7" t="s">
        <x:v>234</x:v>
      </x:c>
      <x:c r="C125" s="38" t="s">
        <x:v>233</x:v>
      </x:c>
      <x:c r="D125" s="25">
        <x:v>21</x:v>
      </x:c>
      <x:c r="E125" s="39">
        <x:v>46230</x:v>
      </x:c>
      <x:c r="F125" s="40">
        <x:v>5</x:v>
      </x:c>
      <x:c r="G125" s="41">
        <x:f>(D125-(0)+0-(F125*Ventas!AE104*1.8000))</x:f>
      </x:c>
      <x:c r="H125" s="43">
        <x:f>(G125/(Ventas!AE104*1.8000)/60)</x:f>
      </x:c>
      <x:c r="I125" s="25">
        <x:v>0</x:v>
      </x:c>
      <x:c r="J125" s="41">
        <x:f>IF(G125&gt;0,G125+I125,I125)</x:f>
      </x:c>
      <x:c r="K125" s="9"/>
      <x:c r="L125" s="41">
        <x:v>60</x:v>
      </x:c>
      <x:c r="M125" s="45">
        <x:v>0.001033</x:v>
      </x:c>
      <x:c r="N125" s="39">
        <x:v>46275</x:v>
      </x:c>
      <x:c r="O125" s="40">
        <x:v>45</x:v>
      </x:c>
      <x:c r="P125" s="41">
        <x:f>(IF(G125&gt;0,G125+I125,I125)-(O125*Ventas!AE104*1.0044))</x:f>
      </x:c>
      <x:c r="Q125" s="43">
        <x:f>(P125/(Ventas!AE104*1.0044)/60)</x:f>
      </x:c>
      <x:c r="R125" s="25">
        <x:v>0</x:v>
      </x:c>
      <x:c r="S125" s="41">
        <x:f>IF(P125&gt;0,P125+R125,R125)</x:f>
      </x:c>
      <x:c r="T125" s="9"/>
      <x:c r="U125" s="41">
        <x:v>60</x:v>
      </x:c>
      <x:c r="V125" s="45">
        <x:v>0.001033</x:v>
      </x:c>
      <x:c r="W125" s="39">
        <x:v>46331</x:v>
      </x:c>
      <x:c r="X125" s="40">
        <x:v>56</x:v>
      </x:c>
      <x:c r="Y125" s="41">
        <x:f>(IF(P125&gt;0,P125+R125,R125)-(X125*Ventas!AE104*0.9018))</x:f>
      </x:c>
      <x:c r="Z125" s="43">
        <x:f>(Y125/(Ventas!AE104*0.9018)/60)</x:f>
      </x:c>
      <x:c r="AA125" s="41">
        <x:f>(100*(Ventas!AE104*1.2350) - IF(Y125&gt;0,Y125,0))</x:f>
      </x:c>
      <x:c r="AB125" s="41">
        <x:f>IF(AA125&gt;0,AA125,0)</x:f>
      </x:c>
      <x:c r="AC125" s="41">
        <x:f>IF(Y125&gt;0,Y125+IF(AB125&gt;0,AB125,0),AB125)</x:f>
      </x:c>
      <x:c r="AD125" s="46">
        <x:v>4.6</x:v>
      </x:c>
      <x:c r="AE125" s="25">
        <x:v>3010</x:v>
      </x:c>
      <x:c r="AF125" s="41">
        <x:f>(AC125-(60*Ventas!AE104*1.2350))</x:f>
      </x:c>
      <x:c r="AG125" s="43">
        <x:f>(AF125/(Ventas!AE104*1.2350)/60)</x:f>
      </x:c>
      <x:c r="AH125" s="7" t="s">
        <x:v>34</x:v>
      </x:c>
    </x:row>
    <x:row r="126">
      <x:c r="A126" s="7"/>
      <x:c r="B126" s="7" t="s">
        <x:v>236</x:v>
      </x:c>
      <x:c r="C126" s="38" t="s">
        <x:v>235</x:v>
      </x:c>
      <x:c r="D126" s="25">
        <x:v>2</x:v>
      </x:c>
      <x:c r="E126" s="39">
        <x:v>46230</x:v>
      </x:c>
      <x:c r="F126" s="40">
        <x:v>5</x:v>
      </x:c>
      <x:c r="G126" s="41">
        <x:f>(D126-(0)+0-(F126*Ventas!AE105*1.8000))</x:f>
      </x:c>
      <x:c r="H126" s="43">
        <x:f>(G126/(Ventas!AE105*1.8000)/60)</x:f>
      </x:c>
      <x:c r="I126" s="25">
        <x:v>0</x:v>
      </x:c>
      <x:c r="J126" s="41">
        <x:f>IF(G126&gt;0,G126+I126,I126)</x:f>
      </x:c>
      <x:c r="K126" s="9"/>
      <x:c r="L126" s="41">
        <x:v>60</x:v>
      </x:c>
      <x:c r="M126" s="45">
        <x:v>0.00105</x:v>
      </x:c>
      <x:c r="N126" s="39">
        <x:v>46275</x:v>
      </x:c>
      <x:c r="O126" s="40">
        <x:v>45</x:v>
      </x:c>
      <x:c r="P126" s="41">
        <x:f>(IF(G126&gt;0,G126+I126,I126)-(O126*Ventas!AE105*1.0044))</x:f>
      </x:c>
      <x:c r="Q126" s="43">
        <x:f>(P126/(Ventas!AE105*1.0044)/60)</x:f>
      </x:c>
      <x:c r="R126" s="25">
        <x:v>0</x:v>
      </x:c>
      <x:c r="S126" s="41">
        <x:f>IF(P126&gt;0,P126+R126,R126)</x:f>
      </x:c>
      <x:c r="T126" s="9"/>
      <x:c r="U126" s="41">
        <x:v>60</x:v>
      </x:c>
      <x:c r="V126" s="45">
        <x:v>0.00105</x:v>
      </x:c>
      <x:c r="W126" s="39">
        <x:v>46331</x:v>
      </x:c>
      <x:c r="X126" s="40">
        <x:v>56</x:v>
      </x:c>
      <x:c r="Y126" s="41">
        <x:f>(IF(P126&gt;0,P126+R126,R126)-(X126*Ventas!AE105*0.9018))</x:f>
      </x:c>
      <x:c r="Z126" s="43">
        <x:f>(Y126/(Ventas!AE105*0.9018)/60)</x:f>
      </x:c>
      <x:c r="AA126" s="41">
        <x:f>(100*(Ventas!AE105*1.2350) - IF(Y126&gt;0,Y126,0))</x:f>
      </x:c>
      <x:c r="AB126" s="41">
        <x:f>IF(AA126&gt;0,AA126,0)</x:f>
      </x:c>
      <x:c r="AC126" s="41">
        <x:f>IF(Y126&gt;0,Y126+IF(AB126&gt;0,AB126,0),AB126)</x:f>
      </x:c>
      <x:c r="AD126" s="46">
        <x:v>4</x:v>
      </x:c>
      <x:c r="AE126" s="25">
        <x:v>3027</x:v>
      </x:c>
      <x:c r="AF126" s="41">
        <x:f>(AC126-(60*Ventas!AE105*1.2350))</x:f>
      </x:c>
      <x:c r="AG126" s="43">
        <x:f>(AF126/(Ventas!AE105*1.2350)/60)</x:f>
      </x:c>
      <x:c r="AH126" s="7" t="s">
        <x:v>107</x:v>
      </x:c>
    </x:row>
    <x:row r="127">
      <x:c r="A127" s="7"/>
      <x:c r="B127" s="7" t="s">
        <x:v>240</x:v>
      </x:c>
      <x:c r="C127" s="38" t="s">
        <x:v>239</x:v>
      </x:c>
      <x:c r="D127" s="25">
        <x:v>14</x:v>
      </x:c>
      <x:c r="E127" s="39">
        <x:v>46230</x:v>
      </x:c>
      <x:c r="F127" s="40">
        <x:v>5</x:v>
      </x:c>
      <x:c r="G127" s="41">
        <x:f>(D127-(0)+0-(F127*Ventas!AE107*1.8000))</x:f>
      </x:c>
      <x:c r="H127" s="43">
        <x:f>(G127/(Ventas!AE107*1.8000)/60)</x:f>
      </x:c>
      <x:c r="I127" s="25">
        <x:v>0</x:v>
      </x:c>
      <x:c r="J127" s="41">
        <x:f>IF(G127&gt;0,G127+I127,I127)</x:f>
      </x:c>
      <x:c r="K127" s="9"/>
      <x:c r="L127" s="41">
        <x:v>15</x:v>
      </x:c>
      <x:c r="M127" s="45">
        <x:v>0.002427</x:v>
      </x:c>
      <x:c r="N127" s="39">
        <x:v>46275</x:v>
      </x:c>
      <x:c r="O127" s="40">
        <x:v>45</x:v>
      </x:c>
      <x:c r="P127" s="41">
        <x:f>(IF(G127&gt;0,G127+I127,I127)-(O127*Ventas!AE107*1.0044))</x:f>
      </x:c>
      <x:c r="Q127" s="43">
        <x:f>(P127/(Ventas!AE107*1.0044)/60)</x:f>
      </x:c>
      <x:c r="R127" s="25">
        <x:v>0</x:v>
      </x:c>
      <x:c r="S127" s="41">
        <x:f>IF(P127&gt;0,P127+R127,R127)</x:f>
      </x:c>
      <x:c r="T127" s="9"/>
      <x:c r="U127" s="41">
        <x:v>15</x:v>
      </x:c>
      <x:c r="V127" s="45">
        <x:v>0.0024</x:v>
      </x:c>
      <x:c r="W127" s="39">
        <x:v>46331</x:v>
      </x:c>
      <x:c r="X127" s="40">
        <x:v>56</x:v>
      </x:c>
      <x:c r="Y127" s="41">
        <x:f>(IF(P127&gt;0,P127+R127,R127)-(X127*Ventas!AE107*0.9018))</x:f>
      </x:c>
      <x:c r="Z127" s="43">
        <x:f>(Y127/(Ventas!AE107*0.9018)/60)</x:f>
      </x:c>
      <x:c r="AA127" s="41">
        <x:f>(100*(Ventas!AE107*1.2350) - IF(Y127&gt;0,Y127,0))</x:f>
      </x:c>
      <x:c r="AB127" s="41">
        <x:f>IF(AA127&gt;0,AA127,0)</x:f>
      </x:c>
      <x:c r="AC127" s="41">
        <x:f>IF(Y127&gt;0,Y127+IF(AB127&gt;0,AB127,0),AB127)</x:f>
      </x:c>
      <x:c r="AD127" s="9"/>
      <x:c r="AE127" s="25">
        <x:v>3010</x:v>
      </x:c>
      <x:c r="AF127" s="41">
        <x:f>(AC127-(60*Ventas!AE107*1.2350))</x:f>
      </x:c>
      <x:c r="AG127" s="43">
        <x:f>(AF127/(Ventas!AE107*1.2350)/60)</x:f>
      </x:c>
      <x:c r="AH127" s="7" t="s">
        <x:v>34</x:v>
      </x:c>
    </x:row>
    <x:row r="128">
      <x:c r="A128" s="7"/>
      <x:c r="B128" s="7" t="s">
        <x:v>242</x:v>
      </x:c>
      <x:c r="C128" s="38" t="s">
        <x:v>241</x:v>
      </x:c>
      <x:c r="D128" s="25">
        <x:v>40</x:v>
      </x:c>
      <x:c r="E128" s="39">
        <x:v>46230</x:v>
      </x:c>
      <x:c r="F128" s="40">
        <x:v>5</x:v>
      </x:c>
      <x:c r="G128" s="41">
        <x:f>(D128-(0)+0-(F128*Ventas!AE108*1.8000))</x:f>
      </x:c>
      <x:c r="H128" s="9"/>
      <x:c r="I128" s="25">
        <x:v>0</x:v>
      </x:c>
      <x:c r="J128" s="41">
        <x:f>IF(G128&gt;0,G128+I128,I128)</x:f>
      </x:c>
      <x:c r="K128" s="9"/>
      <x:c r="L128" s="41">
        <x:v>15</x:v>
      </x:c>
      <x:c r="M128" s="45">
        <x:v>0.002427</x:v>
      </x:c>
      <x:c r="N128" s="39">
        <x:v>46275</x:v>
      </x:c>
      <x:c r="O128" s="40">
        <x:v>45</x:v>
      </x:c>
      <x:c r="P128" s="41">
        <x:f>(IF(G128&gt;0,G128+I128,I128)-(O128*Ventas!AE108*1.0044))</x:f>
      </x:c>
      <x:c r="Q128" s="9"/>
      <x:c r="R128" s="25">
        <x:v>0</x:v>
      </x:c>
      <x:c r="S128" s="41">
        <x:f>IF(P128&gt;0,P128+R128,R128)</x:f>
      </x:c>
      <x:c r="T128" s="9"/>
      <x:c r="U128" s="41">
        <x:v>15</x:v>
      </x:c>
      <x:c r="V128" s="45">
        <x:v>0.0024</x:v>
      </x:c>
      <x:c r="W128" s="39">
        <x:v>46331</x:v>
      </x:c>
      <x:c r="X128" s="40">
        <x:v>56</x:v>
      </x:c>
      <x:c r="Y128" s="41">
        <x:f>(IF(P128&gt;0,P128+R128,R128)-(X128*Ventas!AE108*0.9018))</x:f>
      </x:c>
      <x:c r="Z128" s="9"/>
      <x:c r="AA128" s="41">
        <x:f>(100*(Ventas!AE108*1.2350) - IF(Y128&gt;0,Y128,0))</x:f>
      </x:c>
      <x:c r="AB128" s="41">
        <x:f>IF(AA128&gt;0,AA128,0)</x:f>
      </x:c>
      <x:c r="AC128" s="41">
        <x:f>IF(Y128&gt;0,Y128+IF(AB128&gt;0,AB128,0),AB128)</x:f>
      </x:c>
      <x:c r="AD128" s="9"/>
      <x:c r="AE128" s="25">
        <x:v>3010</x:v>
      </x:c>
      <x:c r="AF128" s="9"/>
      <x:c r="AG128" s="9"/>
      <x:c r="AH128" s="7" t="s">
        <x:v>34</x:v>
      </x:c>
    </x:row>
    <x:row r="129">
      <x:c r="A129" s="7"/>
      <x:c r="B129" s="7" t="s">
        <x:v>244</x:v>
      </x:c>
      <x:c r="C129" s="38" t="s">
        <x:v>243</x:v>
      </x:c>
      <x:c r="D129" s="25">
        <x:v>41</x:v>
      </x:c>
      <x:c r="E129" s="39">
        <x:v>46230</x:v>
      </x:c>
      <x:c r="F129" s="40">
        <x:v>5</x:v>
      </x:c>
      <x:c r="G129" s="41">
        <x:f>(D129-(0)+0-(F129*Ventas!AE109*1.8000))</x:f>
      </x:c>
      <x:c r="H129" s="9"/>
      <x:c r="I129" s="25">
        <x:v>0</x:v>
      </x:c>
      <x:c r="J129" s="41">
        <x:f>IF(G129&gt;0,G129+I129,I129)</x:f>
      </x:c>
      <x:c r="K129" s="9"/>
      <x:c r="L129" s="41">
        <x:v>15</x:v>
      </x:c>
      <x:c r="M129" s="45">
        <x:v>0.002427</x:v>
      </x:c>
      <x:c r="N129" s="39">
        <x:v>46275</x:v>
      </x:c>
      <x:c r="O129" s="40">
        <x:v>45</x:v>
      </x:c>
      <x:c r="P129" s="41">
        <x:f>(IF(G129&gt;0,G129+I129,I129)-(O129*Ventas!AE109*1.0044))</x:f>
      </x:c>
      <x:c r="Q129" s="9"/>
      <x:c r="R129" s="25">
        <x:v>0</x:v>
      </x:c>
      <x:c r="S129" s="41">
        <x:f>IF(P129&gt;0,P129+R129,R129)</x:f>
      </x:c>
      <x:c r="T129" s="9"/>
      <x:c r="U129" s="41">
        <x:v>15</x:v>
      </x:c>
      <x:c r="V129" s="45">
        <x:v>0.0024</x:v>
      </x:c>
      <x:c r="W129" s="39">
        <x:v>46331</x:v>
      </x:c>
      <x:c r="X129" s="40">
        <x:v>56</x:v>
      </x:c>
      <x:c r="Y129" s="41">
        <x:f>(IF(P129&gt;0,P129+R129,R129)-(X129*Ventas!AE109*0.9018))</x:f>
      </x:c>
      <x:c r="Z129" s="9"/>
      <x:c r="AA129" s="41">
        <x:f>(100*(Ventas!AE109*1.2350) - IF(Y129&gt;0,Y129,0))</x:f>
      </x:c>
      <x:c r="AB129" s="41">
        <x:f>IF(AA129&gt;0,AA129,0)</x:f>
      </x:c>
      <x:c r="AC129" s="41">
        <x:f>IF(Y129&gt;0,Y129+IF(AB129&gt;0,AB129,0),AB129)</x:f>
      </x:c>
      <x:c r="AD129" s="9"/>
      <x:c r="AE129" s="25">
        <x:v>3010</x:v>
      </x:c>
      <x:c r="AF129" s="9"/>
      <x:c r="AG129" s="9"/>
      <x:c r="AH129" s="7" t="s">
        <x:v>34</x:v>
      </x:c>
    </x:row>
    <x:row r="130">
      <x:c r="A130" s="7"/>
      <x:c r="B130" s="7" t="s">
        <x:v>246</x:v>
      </x:c>
      <x:c r="C130" s="38" t="s">
        <x:v>245</x:v>
      </x:c>
      <x:c r="D130" s="25">
        <x:v>123</x:v>
      </x:c>
      <x:c r="E130" s="39">
        <x:v>46230</x:v>
      </x:c>
      <x:c r="F130" s="40">
        <x:v>5</x:v>
      </x:c>
      <x:c r="G130" s="41">
        <x:f>(D130-(0)+0-(F130*Ventas!AE110*1.8000))</x:f>
      </x:c>
      <x:c r="H130" s="43">
        <x:f>(G130/(Ventas!AE110*1.8000)/60)</x:f>
      </x:c>
      <x:c r="I130" s="25">
        <x:v>0</x:v>
      </x:c>
      <x:c r="J130" s="41">
        <x:f>IF(G130&gt;0,G130+I130,I130)</x:f>
      </x:c>
      <x:c r="K130" s="9"/>
      <x:c r="L130" s="41">
        <x:v>30</x:v>
      </x:c>
      <x:c r="M130" s="45">
        <x:v>0.001067</x:v>
      </x:c>
      <x:c r="N130" s="39">
        <x:v>46275</x:v>
      </x:c>
      <x:c r="O130" s="40">
        <x:v>45</x:v>
      </x:c>
      <x:c r="P130" s="41">
        <x:f>(IF(G130&gt;0,G130+I130,I130)-(O130*Ventas!AE110*1.0044))</x:f>
      </x:c>
      <x:c r="Q130" s="43">
        <x:f>(P130/(Ventas!AE110*1.0044)/60)</x:f>
      </x:c>
      <x:c r="R130" s="25">
        <x:v>0</x:v>
      </x:c>
      <x:c r="S130" s="41">
        <x:f>IF(P130&gt;0,P130+R130,R130)</x:f>
      </x:c>
      <x:c r="T130" s="9"/>
      <x:c r="U130" s="41">
        <x:v>30</x:v>
      </x:c>
      <x:c r="V130" s="45">
        <x:v>0.001067</x:v>
      </x:c>
      <x:c r="W130" s="39">
        <x:v>46331</x:v>
      </x:c>
      <x:c r="X130" s="40">
        <x:v>56</x:v>
      </x:c>
      <x:c r="Y130" s="41">
        <x:f>(IF(P130&gt;0,P130+R130,R130)-(X130*Ventas!AE110*0.9018))</x:f>
      </x:c>
      <x:c r="Z130" s="43">
        <x:f>(Y130/(Ventas!AE110*0.9018)/60)</x:f>
      </x:c>
      <x:c r="AA130" s="41">
        <x:f>(100*(Ventas!AE110*1.2350) - IF(Y130&gt;0,Y130,0))</x:f>
      </x:c>
      <x:c r="AB130" s="41">
        <x:f>IF(AA130&gt;0,AA130,0)</x:f>
      </x:c>
      <x:c r="AC130" s="41">
        <x:f>IF(Y130&gt;0,Y130+IF(AB130&gt;0,AB130,0),AB130)</x:f>
      </x:c>
      <x:c r="AD130" s="46">
        <x:v>8.6</x:v>
      </x:c>
      <x:c r="AE130" s="25">
        <x:v>3027</x:v>
      </x:c>
      <x:c r="AF130" s="41">
        <x:f>(AC130-(60*Ventas!AE110*1.2350))</x:f>
      </x:c>
      <x:c r="AG130" s="43">
        <x:f>(AF130/(Ventas!AE110*1.2350)/60)</x:f>
      </x:c>
      <x:c r="AH130" s="7" t="s">
        <x:v>107</x:v>
      </x:c>
    </x:row>
    <x:row r="131">
      <x:c r="A131" s="7"/>
      <x:c r="B131" s="7" t="s">
        <x:v>248</x:v>
      </x:c>
      <x:c r="C131" s="38" t="s">
        <x:v>247</x:v>
      </x:c>
      <x:c r="D131" s="25">
        <x:v>51</x:v>
      </x:c>
      <x:c r="E131" s="39">
        <x:v>46230</x:v>
      </x:c>
      <x:c r="F131" s="40">
        <x:v>5</x:v>
      </x:c>
      <x:c r="G131" s="41">
        <x:f>(D131-(0)+0-(F131*Ventas!AE111*1.8000))</x:f>
      </x:c>
      <x:c r="H131" s="43">
        <x:f>(G131/(Ventas!AE111*1.8000)/60)</x:f>
      </x:c>
      <x:c r="I131" s="25">
        <x:v>0</x:v>
      </x:c>
      <x:c r="J131" s="41">
        <x:f>IF(G131&gt;0,G131+I131,I131)</x:f>
      </x:c>
      <x:c r="K131" s="9"/>
      <x:c r="L131" s="41">
        <x:v>10</x:v>
      </x:c>
      <x:c r="M131" s="45">
        <x:v>0.004685</x:v>
      </x:c>
      <x:c r="N131" s="39">
        <x:v>46275</x:v>
      </x:c>
      <x:c r="O131" s="40">
        <x:v>45</x:v>
      </x:c>
      <x:c r="P131" s="41">
        <x:f>(IF(G131&gt;0,G131+I131,I131)-(O131*Ventas!AE111*1.0044))</x:f>
      </x:c>
      <x:c r="Q131" s="43">
        <x:f>(P131/(Ventas!AE111*1.0044)/60)</x:f>
      </x:c>
      <x:c r="R131" s="25">
        <x:v>0</x:v>
      </x:c>
      <x:c r="S131" s="41">
        <x:f>IF(P131&gt;0,P131+R131,R131)</x:f>
      </x:c>
      <x:c r="T131" s="9"/>
      <x:c r="U131" s="41">
        <x:v>10</x:v>
      </x:c>
      <x:c r="V131" s="45">
        <x:v>0.004685</x:v>
      </x:c>
      <x:c r="W131" s="39">
        <x:v>46331</x:v>
      </x:c>
      <x:c r="X131" s="40">
        <x:v>56</x:v>
      </x:c>
      <x:c r="Y131" s="41">
        <x:f>(IF(P131&gt;0,P131+R131,R131)-(X131*Ventas!AE111*0.9018))</x:f>
      </x:c>
      <x:c r="Z131" s="43">
        <x:f>(Y131/(Ventas!AE111*0.9018)/60)</x:f>
      </x:c>
      <x:c r="AA131" s="41">
        <x:f>(100*(Ventas!AE111*1.2350) - IF(Y131&gt;0,Y131,0))</x:f>
      </x:c>
      <x:c r="AB131" s="41">
        <x:f>IF(AA131&gt;0,AA131,0)</x:f>
      </x:c>
      <x:c r="AC131" s="41">
        <x:f>IF(Y131&gt;0,Y131+IF(AB131&gt;0,AB131,0),AB131)</x:f>
      </x:c>
      <x:c r="AD131" s="46">
        <x:v>24.2</x:v>
      </x:c>
      <x:c r="AE131" s="25">
        <x:v>3027</x:v>
      </x:c>
      <x:c r="AF131" s="41">
        <x:f>(AC131-(60*Ventas!AE111*1.2350))</x:f>
      </x:c>
      <x:c r="AG131" s="43">
        <x:f>(AF131/(Ventas!AE111*1.2350)/60)</x:f>
      </x:c>
      <x:c r="AH131" s="7" t="s">
        <x:v>107</x:v>
      </x:c>
    </x:row>
    <x:row r="132">
      <x:c r="A132" s="7"/>
      <x:c r="B132" s="7" t="s">
        <x:v>250</x:v>
      </x:c>
      <x:c r="C132" s="38" t="s">
        <x:v>249</x:v>
      </x:c>
      <x:c r="D132" s="25">
        <x:v>58</x:v>
      </x:c>
      <x:c r="E132" s="39">
        <x:v>46230</x:v>
      </x:c>
      <x:c r="F132" s="40">
        <x:v>5</x:v>
      </x:c>
      <x:c r="G132" s="41">
        <x:f>(D132-(0)+0-(F132*Ventas!AE112*1.8000))</x:f>
      </x:c>
      <x:c r="H132" s="43">
        <x:f>(G132/(Ventas!AE112*1.8000)/60)</x:f>
      </x:c>
      <x:c r="I132" s="25">
        <x:v>0</x:v>
      </x:c>
      <x:c r="J132" s="41">
        <x:f>IF(G132&gt;0,G132+I132,I132)</x:f>
      </x:c>
      <x:c r="K132" s="9"/>
      <x:c r="L132" s="41">
        <x:v>20</x:v>
      </x:c>
      <x:c r="M132" s="45">
        <x:v>0.00326</x:v>
      </x:c>
      <x:c r="N132" s="39">
        <x:v>46275</x:v>
      </x:c>
      <x:c r="O132" s="40">
        <x:v>45</x:v>
      </x:c>
      <x:c r="P132" s="41">
        <x:f>(IF(G132&gt;0,G132+I132,I132)-(O132*Ventas!AE112*1.0044))</x:f>
      </x:c>
      <x:c r="Q132" s="43">
        <x:f>(P132/(Ventas!AE112*1.0044)/60)</x:f>
      </x:c>
      <x:c r="R132" s="25">
        <x:v>0</x:v>
      </x:c>
      <x:c r="S132" s="41">
        <x:f>IF(P132&gt;0,P132+R132,R132)</x:f>
      </x:c>
      <x:c r="T132" s="9"/>
      <x:c r="U132" s="41">
        <x:v>20</x:v>
      </x:c>
      <x:c r="V132" s="45">
        <x:v>0.00326</x:v>
      </x:c>
      <x:c r="W132" s="39">
        <x:v>46331</x:v>
      </x:c>
      <x:c r="X132" s="40">
        <x:v>56</x:v>
      </x:c>
      <x:c r="Y132" s="41">
        <x:f>(IF(P132&gt;0,P132+R132,R132)-(X132*Ventas!AE112*0.9018))</x:f>
      </x:c>
      <x:c r="Z132" s="43">
        <x:f>(Y132/(Ventas!AE112*0.9018)/60)</x:f>
      </x:c>
      <x:c r="AA132" s="41">
        <x:f>(100*(Ventas!AE112*1.2350) - IF(Y132&gt;0,Y132,0))</x:f>
      </x:c>
      <x:c r="AB132" s="41">
        <x:f>IF(AA132&gt;0,AA132,0)</x:f>
      </x:c>
      <x:c r="AC132" s="41">
        <x:f>IF(Y132&gt;0,Y132+IF(AB132&gt;0,AB132,0),AB132)</x:f>
      </x:c>
      <x:c r="AD132" s="46">
        <x:v>4.6</x:v>
      </x:c>
      <x:c r="AE132" s="25">
        <x:v>3027</x:v>
      </x:c>
      <x:c r="AF132" s="41">
        <x:f>(AC132-(60*Ventas!AE112*1.2350))</x:f>
      </x:c>
      <x:c r="AG132" s="43">
        <x:f>(AF132/(Ventas!AE112*1.2350)/60)</x:f>
      </x:c>
      <x:c r="AH132" s="7" t="s">
        <x:v>107</x:v>
      </x:c>
    </x:row>
    <x:row r="133">
      <x:c r="A133" s="7"/>
      <x:c r="B133" s="7" t="s">
        <x:v>252</x:v>
      </x:c>
      <x:c r="C133" s="38" t="s">
        <x:v>251</x:v>
      </x:c>
      <x:c r="D133" s="25">
        <x:v>155</x:v>
      </x:c>
      <x:c r="E133" s="39">
        <x:v>46230</x:v>
      </x:c>
      <x:c r="F133" s="40">
        <x:v>5</x:v>
      </x:c>
      <x:c r="G133" s="41">
        <x:f>(D133-(0)+0-(F133*Ventas!AE113*1.8000))</x:f>
      </x:c>
      <x:c r="H133" s="43">
        <x:f>(G133/(Ventas!AE113*1.8000)/60)</x:f>
      </x:c>
      <x:c r="I133" s="25">
        <x:v>0</x:v>
      </x:c>
      <x:c r="J133" s="41">
        <x:f>IF(G133&gt;0,G133+I133,I133)</x:f>
      </x:c>
      <x:c r="K133" s="9"/>
      <x:c r="L133" s="41">
        <x:v>20</x:v>
      </x:c>
      <x:c r="M133" s="45">
        <x:v>0.004739</x:v>
      </x:c>
      <x:c r="N133" s="39">
        <x:v>46275</x:v>
      </x:c>
      <x:c r="O133" s="40">
        <x:v>45</x:v>
      </x:c>
      <x:c r="P133" s="41">
        <x:f>(IF(G133&gt;0,G133+I133,I133)-(O133*Ventas!AE113*1.0044))</x:f>
      </x:c>
      <x:c r="Q133" s="43">
        <x:f>(P133/(Ventas!AE113*1.0044)/60)</x:f>
      </x:c>
      <x:c r="R133" s="25">
        <x:v>0</x:v>
      </x:c>
      <x:c r="S133" s="41">
        <x:f>IF(P133&gt;0,P133+R133,R133)</x:f>
      </x:c>
      <x:c r="T133" s="9"/>
      <x:c r="U133" s="41">
        <x:v>20</x:v>
      </x:c>
      <x:c r="V133" s="45">
        <x:v>0.004739</x:v>
      </x:c>
      <x:c r="W133" s="39">
        <x:v>46331</x:v>
      </x:c>
      <x:c r="X133" s="40">
        <x:v>56</x:v>
      </x:c>
      <x:c r="Y133" s="41">
        <x:f>(IF(P133&gt;0,P133+R133,R133)-(X133*Ventas!AE113*0.9018))</x:f>
      </x:c>
      <x:c r="Z133" s="43">
        <x:f>(Y133/(Ventas!AE113*0.9018)/60)</x:f>
      </x:c>
      <x:c r="AA133" s="41">
        <x:f>(100*(Ventas!AE113*1.2350) - IF(Y133&gt;0,Y133,0))</x:f>
      </x:c>
      <x:c r="AB133" s="41">
        <x:f>IF(AA133&gt;0,AA133,0)</x:f>
      </x:c>
      <x:c r="AC133" s="41">
        <x:f>IF(Y133&gt;0,Y133+IF(AB133&gt;0,AB133,0),AB133)</x:f>
      </x:c>
      <x:c r="AD133" s="46">
        <x:v>14.4</x:v>
      </x:c>
      <x:c r="AE133" s="25">
        <x:v>3027</x:v>
      </x:c>
      <x:c r="AF133" s="41">
        <x:f>(AC133-(60*Ventas!AE113*1.2350))</x:f>
      </x:c>
      <x:c r="AG133" s="43">
        <x:f>(AF133/(Ventas!AE113*1.2350)/60)</x:f>
      </x:c>
      <x:c r="AH133" s="7" t="s">
        <x:v>107</x:v>
      </x:c>
    </x:row>
    <x:row r="134">
      <x:c r="A134" s="7"/>
      <x:c r="B134" s="7" t="s">
        <x:v>254</x:v>
      </x:c>
      <x:c r="C134" s="38" t="s">
        <x:v>253</x:v>
      </x:c>
      <x:c r="D134" s="25">
        <x:v>71</x:v>
      </x:c>
      <x:c r="E134" s="39">
        <x:v>46230</x:v>
      </x:c>
      <x:c r="F134" s="40">
        <x:v>5</x:v>
      </x:c>
      <x:c r="G134" s="41">
        <x:f>(D134-(0)+0-(F134*Ventas!AE114*1.8000))</x:f>
      </x:c>
      <x:c r="H134" s="43">
        <x:f>(G134/(Ventas!AE114*1.8000)/60)</x:f>
      </x:c>
      <x:c r="I134" s="25">
        <x:v>0</x:v>
      </x:c>
      <x:c r="J134" s="41">
        <x:f>IF(G134&gt;0,G134+I134,I134)</x:f>
      </x:c>
      <x:c r="K134" s="9"/>
      <x:c r="L134" s="41">
        <x:v>40</x:v>
      </x:c>
      <x:c r="M134" s="45">
        <x:v>0.002922</x:v>
      </x:c>
      <x:c r="N134" s="39">
        <x:v>46275</x:v>
      </x:c>
      <x:c r="O134" s="40">
        <x:v>45</x:v>
      </x:c>
      <x:c r="P134" s="41">
        <x:f>(IF(G134&gt;0,G134+I134,I134)-(O134*Ventas!AE114*1.0044))</x:f>
      </x:c>
      <x:c r="Q134" s="43">
        <x:f>(P134/(Ventas!AE114*1.0044)/60)</x:f>
      </x:c>
      <x:c r="R134" s="25">
        <x:v>0</x:v>
      </x:c>
      <x:c r="S134" s="41">
        <x:f>IF(P134&gt;0,P134+R134,R134)</x:f>
      </x:c>
      <x:c r="T134" s="9"/>
      <x:c r="U134" s="41">
        <x:v>40</x:v>
      </x:c>
      <x:c r="V134" s="45">
        <x:v>0.002922</x:v>
      </x:c>
      <x:c r="W134" s="39">
        <x:v>46331</x:v>
      </x:c>
      <x:c r="X134" s="40">
        <x:v>56</x:v>
      </x:c>
      <x:c r="Y134" s="41">
        <x:f>(IF(P134&gt;0,P134+R134,R134)-(X134*Ventas!AE114*0.9018))</x:f>
      </x:c>
      <x:c r="Z134" s="43">
        <x:f>(Y134/(Ventas!AE114*0.9018)/60)</x:f>
      </x:c>
      <x:c r="AA134" s="41">
        <x:f>(100*(Ventas!AE114*1.2350) - IF(Y134&gt;0,Y134,0))</x:f>
      </x:c>
      <x:c r="AB134" s="41">
        <x:f>IF(AA134&gt;0,AA134,0)</x:f>
      </x:c>
      <x:c r="AC134" s="41">
        <x:f>IF(Y134&gt;0,Y134+IF(AB134&gt;0,AB134,0),AB134)</x:f>
      </x:c>
      <x:c r="AD134" s="46">
        <x:v>3.7</x:v>
      </x:c>
      <x:c r="AE134" s="25">
        <x:v>3027</x:v>
      </x:c>
      <x:c r="AF134" s="41">
        <x:f>(AC134-(60*Ventas!AE114*1.2350))</x:f>
      </x:c>
      <x:c r="AG134" s="43">
        <x:f>(AF134/(Ventas!AE114*1.2350)/60)</x:f>
      </x:c>
      <x:c r="AH134" s="7" t="s">
        <x:v>107</x:v>
      </x:c>
    </x:row>
    <x:row r="135">
      <x:c r="A135" s="7"/>
      <x:c r="B135" s="7" t="s">
        <x:v>256</x:v>
      </x:c>
      <x:c r="C135" s="38" t="s">
        <x:v>255</x:v>
      </x:c>
      <x:c r="D135" s="9"/>
      <x:c r="E135" s="39">
        <x:v>46230</x:v>
      </x:c>
      <x:c r="F135" s="40">
        <x:v>5</x:v>
      </x:c>
      <x:c r="G135" s="41">
        <x:f>(D135-(0)+0-(F135*Ventas!AE115*1.8000))</x:f>
      </x:c>
      <x:c r="H135" s="9"/>
      <x:c r="I135" s="25">
        <x:v>0</x:v>
      </x:c>
      <x:c r="J135" s="41">
        <x:f>IF(G135&gt;0,G135+I135,I135)</x:f>
      </x:c>
      <x:c r="K135" s="9"/>
      <x:c r="L135" s="41">
        <x:v>20</x:v>
      </x:c>
      <x:c r="M135" s="45">
        <x:v>0.004197</x:v>
      </x:c>
      <x:c r="N135" s="39">
        <x:v>46275</x:v>
      </x:c>
      <x:c r="O135" s="40">
        <x:v>45</x:v>
      </x:c>
      <x:c r="P135" s="41">
        <x:f>(IF(G135&gt;0,G135+I135,I135)-(O135*Ventas!AE115*1.0044))</x:f>
      </x:c>
      <x:c r="Q135" s="9"/>
      <x:c r="R135" s="25">
        <x:v>0</x:v>
      </x:c>
      <x:c r="S135" s="41">
        <x:f>IF(P135&gt;0,P135+R135,R135)</x:f>
      </x:c>
      <x:c r="T135" s="9"/>
      <x:c r="U135" s="41">
        <x:v>20</x:v>
      </x:c>
      <x:c r="V135" s="45">
        <x:v>0.004197</x:v>
      </x:c>
      <x:c r="W135" s="39">
        <x:v>46331</x:v>
      </x:c>
      <x:c r="X135" s="40">
        <x:v>56</x:v>
      </x:c>
      <x:c r="Y135" s="41">
        <x:f>(IF(P135&gt;0,P135+R135,R135)-(X135*Ventas!AE115*0.9018))</x:f>
      </x:c>
      <x:c r="Z135" s="9"/>
      <x:c r="AA135" s="41">
        <x:f>(100*(Ventas!AE115*1.2350) - IF(Y135&gt;0,Y135,0))</x:f>
      </x:c>
      <x:c r="AB135" s="41">
        <x:f>IF(AA135&gt;0,AA135,0)</x:f>
      </x:c>
      <x:c r="AC135" s="41">
        <x:f>IF(Y135&gt;0,Y135+IF(AB135&gt;0,AB135,0),AB135)</x:f>
      </x:c>
      <x:c r="AD135" s="46">
        <x:v>18.8</x:v>
      </x:c>
      <x:c r="AE135" s="25">
        <x:v>3010</x:v>
      </x:c>
      <x:c r="AF135" s="9"/>
      <x:c r="AG135" s="9"/>
      <x:c r="AH135" s="7" t="s">
        <x:v>107</x:v>
      </x:c>
    </x:row>
    <x:row r="136">
      <x:c r="A136" s="7" t="s">
        <x:v>259</x:v>
      </x:c>
      <x:c r="B136" s="7" t="s">
        <x:v>258</x:v>
      </x:c>
      <x:c r="C136" s="38" t="s">
        <x:v>257</x:v>
      </x:c>
      <x:c r="D136" s="9"/>
      <x:c r="E136" s="39">
        <x:v>46230</x:v>
      </x:c>
      <x:c r="F136" s="40">
        <x:v>5</x:v>
      </x:c>
      <x:c r="G136" s="41">
        <x:f>(D136-(0)+0-(F136*Ventas!AE116*1.8000))</x:f>
      </x:c>
      <x:c r="H136" s="9"/>
      <x:c r="I136" s="25">
        <x:v>0</x:v>
      </x:c>
      <x:c r="J136" s="41">
        <x:f>IF(G136&gt;0,G136+I136,I136)</x:f>
      </x:c>
      <x:c r="K136" s="9"/>
      <x:c r="L136" s="41">
        <x:v>20</x:v>
      </x:c>
      <x:c r="M136" s="45">
        <x:v>0.00135</x:v>
      </x:c>
      <x:c r="N136" s="39">
        <x:v>46275</x:v>
      </x:c>
      <x:c r="O136" s="40">
        <x:v>45</x:v>
      </x:c>
      <x:c r="P136" s="41">
        <x:f>(IF(G136&gt;0,G136+I136,I136)-(O136*Ventas!AE116*1.0044))</x:f>
      </x:c>
      <x:c r="Q136" s="9"/>
      <x:c r="R136" s="25">
        <x:v>0</x:v>
      </x:c>
      <x:c r="S136" s="41">
        <x:f>IF(P136&gt;0,P136+R136,R136)</x:f>
      </x:c>
      <x:c r="T136" s="9"/>
      <x:c r="U136" s="41">
        <x:v>20</x:v>
      </x:c>
      <x:c r="V136" s="45">
        <x:v>0.00135</x:v>
      </x:c>
      <x:c r="W136" s="39">
        <x:v>46331</x:v>
      </x:c>
      <x:c r="X136" s="40">
        <x:v>56</x:v>
      </x:c>
      <x:c r="Y136" s="41">
        <x:f>(IF(P136&gt;0,P136+R136,R136)-(X136*Ventas!AE116*0.9018))</x:f>
      </x:c>
      <x:c r="Z136" s="9"/>
      <x:c r="AA136" s="41">
        <x:f>(100*(Ventas!AE116*1.2350) - IF(Y136&gt;0,Y136,0))</x:f>
      </x:c>
      <x:c r="AB136" s="41">
        <x:f>IF(AA136&gt;0,AA136,0)</x:f>
      </x:c>
      <x:c r="AC136" s="41">
        <x:f>IF(Y136&gt;0,Y136+IF(AB136&gt;0,AB136,0),AB136)</x:f>
      </x:c>
      <x:c r="AD136" s="9"/>
      <x:c r="AE136" s="9"/>
      <x:c r="AF136" s="9"/>
      <x:c r="AG136" s="9"/>
      <x:c r="AH136" s="7" t="s">
        <x:v>34</x:v>
      </x:c>
    </x:row>
    <x:row r="137">
      <x:c r="A137" s="7"/>
      <x:c r="B137" s="7" t="s">
        <x:v>261</x:v>
      </x:c>
      <x:c r="C137" s="38" t="s">
        <x:v>260</x:v>
      </x:c>
      <x:c r="D137" s="9"/>
      <x:c r="E137" s="39">
        <x:v>46230</x:v>
      </x:c>
      <x:c r="F137" s="40">
        <x:v>5</x:v>
      </x:c>
      <x:c r="G137" s="41">
        <x:f>(D137-(0)+0-(F137*Ventas!AE117*1.8000))</x:f>
      </x:c>
      <x:c r="H137" s="9"/>
      <x:c r="I137" s="25">
        <x:v>0</x:v>
      </x:c>
      <x:c r="J137" s="41">
        <x:f>IF(G137&gt;0,G137+I137,I137)</x:f>
      </x:c>
      <x:c r="K137" s="9"/>
      <x:c r="L137" s="9"/>
      <x:c r="M137" s="9"/>
      <x:c r="N137" s="39">
        <x:v>46275</x:v>
      </x:c>
      <x:c r="O137" s="40">
        <x:v>45</x:v>
      </x:c>
      <x:c r="P137" s="41">
        <x:f>(IF(G137&gt;0,G137+I137,I137)-(O137*Ventas!AE117*1.0044))</x:f>
      </x:c>
      <x:c r="Q137" s="9"/>
      <x:c r="R137" s="25">
        <x:v>0</x:v>
      </x:c>
      <x:c r="S137" s="41">
        <x:f>IF(P137&gt;0,P137+R137,R137)</x:f>
      </x:c>
      <x:c r="T137" s="9"/>
      <x:c r="U137" s="9"/>
      <x:c r="V137" s="9"/>
      <x:c r="W137" s="39">
        <x:v>46331</x:v>
      </x:c>
      <x:c r="X137" s="40">
        <x:v>56</x:v>
      </x:c>
      <x:c r="Y137" s="41">
        <x:f>(IF(P137&gt;0,P137+R137,R137)-(X137*Ventas!AE117*0.9018))</x:f>
      </x:c>
      <x:c r="Z137" s="9"/>
      <x:c r="AA137" s="41">
        <x:f>(100*(Ventas!AE117*1.2350) - IF(Y137&gt;0,Y137,0))</x:f>
      </x:c>
      <x:c r="AB137" s="41">
        <x:f>IF(AA137&gt;0,AA137,0)</x:f>
      </x:c>
      <x:c r="AC137" s="41">
        <x:f>IF(Y137&gt;0,Y137+IF(AB137&gt;0,AB137,0),AB137)</x:f>
      </x:c>
      <x:c r="AD137" s="9"/>
      <x:c r="AE137" s="9"/>
      <x:c r="AF137" s="9"/>
      <x:c r="AG137" s="9"/>
      <x:c r="AH137" s="7" t="s">
        <x:v>34</x:v>
      </x:c>
    </x:row>
    <x:row r="138">
      <x:c r="A138" s="7"/>
      <x:c r="B138" s="7" t="s">
        <x:v>263</x:v>
      </x:c>
      <x:c r="C138" s="38" t="s">
        <x:v>262</x:v>
      </x:c>
      <x:c r="D138" s="9"/>
      <x:c r="E138" s="39">
        <x:v>46230</x:v>
      </x:c>
      <x:c r="F138" s="40">
        <x:v>5</x:v>
      </x:c>
      <x:c r="G138" s="41">
        <x:f>(D138-(0)+0-(F138*Ventas!AE118*1.8000))</x:f>
      </x:c>
      <x:c r="H138" s="9"/>
      <x:c r="I138" s="25">
        <x:v>0</x:v>
      </x:c>
      <x:c r="J138" s="41">
        <x:f>IF(G138&gt;0,G138+I138,I138)</x:f>
      </x:c>
      <x:c r="K138" s="9"/>
      <x:c r="L138" s="41">
        <x:v>10</x:v>
      </x:c>
      <x:c r="M138" s="45">
        <x:v>0.002696</x:v>
      </x:c>
      <x:c r="N138" s="39">
        <x:v>46275</x:v>
      </x:c>
      <x:c r="O138" s="40">
        <x:v>45</x:v>
      </x:c>
      <x:c r="P138" s="41">
        <x:f>(IF(G138&gt;0,G138+I138,I138)-(O138*Ventas!AE118*1.0044))</x:f>
      </x:c>
      <x:c r="Q138" s="9"/>
      <x:c r="R138" s="25">
        <x:v>0</x:v>
      </x:c>
      <x:c r="S138" s="41">
        <x:f>IF(P138&gt;0,P138+R138,R138)</x:f>
      </x:c>
      <x:c r="T138" s="9"/>
      <x:c r="U138" s="41">
        <x:v>10</x:v>
      </x:c>
      <x:c r="V138" s="45">
        <x:v>0.002696</x:v>
      </x:c>
      <x:c r="W138" s="39">
        <x:v>46331</x:v>
      </x:c>
      <x:c r="X138" s="40">
        <x:v>56</x:v>
      </x:c>
      <x:c r="Y138" s="41">
        <x:f>(IF(P138&gt;0,P138+R138,R138)-(X138*Ventas!AE118*0.9018))</x:f>
      </x:c>
      <x:c r="Z138" s="9"/>
      <x:c r="AA138" s="41">
        <x:f>(100*(Ventas!AE118*1.2350) - IF(Y138&gt;0,Y138,0))</x:f>
      </x:c>
      <x:c r="AB138" s="41">
        <x:f>IF(AA138&gt;0,AA138,0)</x:f>
      </x:c>
      <x:c r="AC138" s="41">
        <x:f>IF(Y138&gt;0,Y138+IF(AB138&gt;0,AB138,0),AB138)</x:f>
      </x:c>
      <x:c r="AD138" s="46">
        <x:v>25.3</x:v>
      </x:c>
      <x:c r="AE138" s="25">
        <x:v>3010</x:v>
      </x:c>
      <x:c r="AF138" s="9"/>
      <x:c r="AG138" s="9"/>
      <x:c r="AH138" s="7" t="s">
        <x:v>34</x:v>
      </x:c>
    </x:row>
    <x:row r="139">
      <x:c r="A139" s="7"/>
      <x:c r="B139" s="7" t="s">
        <x:v>265</x:v>
      </x:c>
      <x:c r="C139" s="38" t="s">
        <x:v>264</x:v>
      </x:c>
      <x:c r="D139" s="9"/>
      <x:c r="E139" s="39">
        <x:v>46230</x:v>
      </x:c>
      <x:c r="F139" s="40">
        <x:v>5</x:v>
      </x:c>
      <x:c r="G139" s="41">
        <x:f>(D139-(0)+0-(F139*Ventas!AE119*1.8000))</x:f>
      </x:c>
      <x:c r="H139" s="9"/>
      <x:c r="I139" s="25">
        <x:v>0</x:v>
      </x:c>
      <x:c r="J139" s="41">
        <x:f>IF(G139&gt;0,G139+I139,I139)</x:f>
      </x:c>
      <x:c r="K139" s="9"/>
      <x:c r="L139" s="41">
        <x:v>10</x:v>
      </x:c>
      <x:c r="M139" s="45">
        <x:v>0.00725</x:v>
      </x:c>
      <x:c r="N139" s="39">
        <x:v>46275</x:v>
      </x:c>
      <x:c r="O139" s="40">
        <x:v>45</x:v>
      </x:c>
      <x:c r="P139" s="41">
        <x:f>(IF(G139&gt;0,G139+I139,I139)-(O139*Ventas!AE119*1.0044))</x:f>
      </x:c>
      <x:c r="Q139" s="9"/>
      <x:c r="R139" s="25">
        <x:v>0</x:v>
      </x:c>
      <x:c r="S139" s="41">
        <x:f>IF(P139&gt;0,P139+R139,R139)</x:f>
      </x:c>
      <x:c r="T139" s="9"/>
      <x:c r="U139" s="41">
        <x:v>10</x:v>
      </x:c>
      <x:c r="V139" s="45">
        <x:v>0.00725</x:v>
      </x:c>
      <x:c r="W139" s="39">
        <x:v>46331</x:v>
      </x:c>
      <x:c r="X139" s="40">
        <x:v>56</x:v>
      </x:c>
      <x:c r="Y139" s="41">
        <x:f>(IF(P139&gt;0,P139+R139,R139)-(X139*Ventas!AE119*0.9018))</x:f>
      </x:c>
      <x:c r="Z139" s="9"/>
      <x:c r="AA139" s="41">
        <x:f>(100*(Ventas!AE119*1.2350) - IF(Y139&gt;0,Y139,0))</x:f>
      </x:c>
      <x:c r="AB139" s="41">
        <x:f>IF(AA139&gt;0,AA139,0)</x:f>
      </x:c>
      <x:c r="AC139" s="41">
        <x:f>IF(Y139&gt;0,Y139+IF(AB139&gt;0,AB139,0),AB139)</x:f>
      </x:c>
      <x:c r="AD139" s="46">
        <x:v>12.49</x:v>
      </x:c>
      <x:c r="AE139" s="25">
        <x:v>3010</x:v>
      </x:c>
      <x:c r="AF139" s="9"/>
      <x:c r="AG139" s="9"/>
      <x:c r="AH139" s="7" t="s">
        <x:v>107</x:v>
      </x:c>
    </x:row>
    <x:row r="140">
      <x:c r="A140" s="7"/>
      <x:c r="B140" s="7" t="s">
        <x:v>267</x:v>
      </x:c>
      <x:c r="C140" s="38" t="s">
        <x:v>266</x:v>
      </x:c>
      <x:c r="D140" s="25">
        <x:v>49</x:v>
      </x:c>
      <x:c r="E140" s="39">
        <x:v>46230</x:v>
      </x:c>
      <x:c r="F140" s="40">
        <x:v>5</x:v>
      </x:c>
      <x:c r="G140" s="41">
        <x:f>(D140-(0)+0-(F140*Ventas!AE120*1.8000))</x:f>
      </x:c>
      <x:c r="H140" s="43">
        <x:f>(G140/(Ventas!AE120*1.8000)/60)</x:f>
      </x:c>
      <x:c r="I140" s="25">
        <x:v>0</x:v>
      </x:c>
      <x:c r="J140" s="41">
        <x:f>IF(G140&gt;0,G140+I140,I140)</x:f>
      </x:c>
      <x:c r="K140" s="9"/>
      <x:c r="L140" s="41">
        <x:v>60</x:v>
      </x:c>
      <x:c r="M140" s="45">
        <x:v>0.00105</x:v>
      </x:c>
      <x:c r="N140" s="39">
        <x:v>46275</x:v>
      </x:c>
      <x:c r="O140" s="40">
        <x:v>45</x:v>
      </x:c>
      <x:c r="P140" s="41">
        <x:f>(IF(G140&gt;0,G140+I140,I140)-(O140*Ventas!AE120*1.0044))</x:f>
      </x:c>
      <x:c r="Q140" s="43">
        <x:f>(P140/(Ventas!AE120*1.0044)/60)</x:f>
      </x:c>
      <x:c r="R140" s="25">
        <x:v>0</x:v>
      </x:c>
      <x:c r="S140" s="41">
        <x:f>IF(P140&gt;0,P140+R140,R140)</x:f>
      </x:c>
      <x:c r="T140" s="9"/>
      <x:c r="U140" s="41">
        <x:v>60</x:v>
      </x:c>
      <x:c r="V140" s="45">
        <x:v>0.00105</x:v>
      </x:c>
      <x:c r="W140" s="39">
        <x:v>46331</x:v>
      </x:c>
      <x:c r="X140" s="40">
        <x:v>56</x:v>
      </x:c>
      <x:c r="Y140" s="41">
        <x:f>(IF(P140&gt;0,P140+R140,R140)-(X140*Ventas!AE120*0.9018))</x:f>
      </x:c>
      <x:c r="Z140" s="43">
        <x:f>(Y140/(Ventas!AE120*0.9018)/60)</x:f>
      </x:c>
      <x:c r="AA140" s="41">
        <x:f>(100*(Ventas!AE120*1.2350) - IF(Y140&gt;0,Y140,0))</x:f>
      </x:c>
      <x:c r="AB140" s="41">
        <x:f>IF(AA140&gt;0,AA140,0)</x:f>
      </x:c>
      <x:c r="AC140" s="41">
        <x:f>IF(Y140&gt;0,Y140+IF(AB140&gt;0,AB140,0),AB140)</x:f>
      </x:c>
      <x:c r="AD140" s="46">
        <x:v>3.92</x:v>
      </x:c>
      <x:c r="AE140" s="25">
        <x:v>3027</x:v>
      </x:c>
      <x:c r="AF140" s="41">
        <x:f>(AC140-(60*Ventas!AE120*1.2350))</x:f>
      </x:c>
      <x:c r="AG140" s="43">
        <x:f>(AF140/(Ventas!AE120*1.2350)/60)</x:f>
      </x:c>
      <x:c r="AH140" s="7" t="s">
        <x:v>107</x:v>
      </x:c>
    </x:row>
    <x:row r="141">
      <x:c r="A141" s="7"/>
      <x:c r="B141" s="7" t="s">
        <x:v>269</x:v>
      </x:c>
      <x:c r="C141" s="38" t="s">
        <x:v>268</x:v>
      </x:c>
      <x:c r="D141" s="25">
        <x:v>81</x:v>
      </x:c>
      <x:c r="E141" s="39">
        <x:v>46230</x:v>
      </x:c>
      <x:c r="F141" s="40">
        <x:v>5</x:v>
      </x:c>
      <x:c r="G141" s="41">
        <x:f>(D141-(0)+0-(F141*Ventas!AE121*1.8000))</x:f>
      </x:c>
      <x:c r="H141" s="43">
        <x:f>(G141/(Ventas!AE121*1.8000)/60)</x:f>
      </x:c>
      <x:c r="I141" s="25">
        <x:v>0</x:v>
      </x:c>
      <x:c r="J141" s="41">
        <x:f>IF(G141&gt;0,G141+I141,I141)</x:f>
      </x:c>
      <x:c r="K141" s="9"/>
      <x:c r="L141" s="41">
        <x:v>20</x:v>
      </x:c>
      <x:c r="M141" s="45">
        <x:v>0.00515</x:v>
      </x:c>
      <x:c r="N141" s="39">
        <x:v>46275</x:v>
      </x:c>
      <x:c r="O141" s="40">
        <x:v>45</x:v>
      </x:c>
      <x:c r="P141" s="41">
        <x:f>(IF(G141&gt;0,G141+I141,I141)-(O141*Ventas!AE121*1.0044))</x:f>
      </x:c>
      <x:c r="Q141" s="43">
        <x:f>(P141/(Ventas!AE121*1.0044)/60)</x:f>
      </x:c>
      <x:c r="R141" s="25">
        <x:v>0</x:v>
      </x:c>
      <x:c r="S141" s="41">
        <x:f>IF(P141&gt;0,P141+R141,R141)</x:f>
      </x:c>
      <x:c r="T141" s="9"/>
      <x:c r="U141" s="41">
        <x:v>20</x:v>
      </x:c>
      <x:c r="V141" s="45">
        <x:v>0.00515</x:v>
      </x:c>
      <x:c r="W141" s="39">
        <x:v>46331</x:v>
      </x:c>
      <x:c r="X141" s="40">
        <x:v>56</x:v>
      </x:c>
      <x:c r="Y141" s="41">
        <x:f>(IF(P141&gt;0,P141+R141,R141)-(X141*Ventas!AE121*0.9018))</x:f>
      </x:c>
      <x:c r="Z141" s="43">
        <x:f>(Y141/(Ventas!AE121*0.9018)/60)</x:f>
      </x:c>
      <x:c r="AA141" s="41">
        <x:f>(100*(Ventas!AE121*1.2350) - IF(Y141&gt;0,Y141,0))</x:f>
      </x:c>
      <x:c r="AB141" s="41">
        <x:f>IF(AA141&gt;0,AA141,0)</x:f>
      </x:c>
      <x:c r="AC141" s="41">
        <x:f>IF(Y141&gt;0,Y141+IF(AB141&gt;0,AB141,0),AB141)</x:f>
      </x:c>
      <x:c r="AD141" s="46">
        <x:v>8</x:v>
      </x:c>
      <x:c r="AE141" s="25">
        <x:v>3010</x:v>
      </x:c>
      <x:c r="AF141" s="41">
        <x:f>(AC141-(60*Ventas!AE121*1.2350))</x:f>
      </x:c>
      <x:c r="AG141" s="43">
        <x:f>(AF141/(Ventas!AE121*1.2350)/60)</x:f>
      </x:c>
      <x:c r="AH141" s="7" t="s">
        <x:v>34</x:v>
      </x:c>
    </x:row>
    <x:row r="142">
      <x:c r="A142" s="7"/>
      <x:c r="B142" s="7" t="s">
        <x:v>271</x:v>
      </x:c>
      <x:c r="C142" s="38" t="s">
        <x:v>270</x:v>
      </x:c>
      <x:c r="D142" s="25">
        <x:v>96</x:v>
      </x:c>
      <x:c r="E142" s="39">
        <x:v>46230</x:v>
      </x:c>
      <x:c r="F142" s="40">
        <x:v>5</x:v>
      </x:c>
      <x:c r="G142" s="41">
        <x:f>(D142-(0)+0-(F142*Ventas!AE122*1.8000))</x:f>
      </x:c>
      <x:c r="H142" s="9"/>
      <x:c r="I142" s="25">
        <x:v>0</x:v>
      </x:c>
      <x:c r="J142" s="41">
        <x:f>IF(G142&gt;0,G142+I142,I142)</x:f>
      </x:c>
      <x:c r="K142" s="9"/>
      <x:c r="L142" s="41">
        <x:v>10</x:v>
      </x:c>
      <x:c r="M142" s="45">
        <x:v>0.004685</x:v>
      </x:c>
      <x:c r="N142" s="39">
        <x:v>46275</x:v>
      </x:c>
      <x:c r="O142" s="40">
        <x:v>45</x:v>
      </x:c>
      <x:c r="P142" s="41">
        <x:f>(IF(G142&gt;0,G142+I142,I142)-(O142*Ventas!AE122*1.0044))</x:f>
      </x:c>
      <x:c r="Q142" s="9"/>
      <x:c r="R142" s="25">
        <x:v>0</x:v>
      </x:c>
      <x:c r="S142" s="41">
        <x:f>IF(P142&gt;0,P142+R142,R142)</x:f>
      </x:c>
      <x:c r="T142" s="9"/>
      <x:c r="U142" s="41">
        <x:v>10</x:v>
      </x:c>
      <x:c r="V142" s="45">
        <x:v>0.004685</x:v>
      </x:c>
      <x:c r="W142" s="39">
        <x:v>46331</x:v>
      </x:c>
      <x:c r="X142" s="40">
        <x:v>56</x:v>
      </x:c>
      <x:c r="Y142" s="41">
        <x:f>(IF(P142&gt;0,P142+R142,R142)-(X142*Ventas!AE122*0.9018))</x:f>
      </x:c>
      <x:c r="Z142" s="9"/>
      <x:c r="AA142" s="41">
        <x:f>(100*(Ventas!AE122*1.2350) - IF(Y142&gt;0,Y142,0))</x:f>
      </x:c>
      <x:c r="AB142" s="41">
        <x:f>IF(AA142&gt;0,AA142,0)</x:f>
      </x:c>
      <x:c r="AC142" s="41">
        <x:f>IF(Y142&gt;0,Y142+IF(AB142&gt;0,AB142,0),AB142)</x:f>
      </x:c>
      <x:c r="AD142" s="46">
        <x:v>24.2</x:v>
      </x:c>
      <x:c r="AE142" s="25">
        <x:v>3027</x:v>
      </x:c>
      <x:c r="AF142" s="9"/>
      <x:c r="AG142" s="9"/>
      <x:c r="AH142" s="7" t="s">
        <x:v>107</x:v>
      </x:c>
    </x:row>
    <x:row r="143">
      <x:c r="A143" s="7"/>
      <x:c r="B143" s="7" t="s">
        <x:v>273</x:v>
      </x:c>
      <x:c r="C143" s="38" t="s">
        <x:v>272</x:v>
      </x:c>
      <x:c r="D143" s="25">
        <x:v>15</x:v>
      </x:c>
      <x:c r="E143" s="39">
        <x:v>46230</x:v>
      </x:c>
      <x:c r="F143" s="40">
        <x:v>5</x:v>
      </x:c>
      <x:c r="G143" s="41">
        <x:f>(D143-(0)+0-(F143*Ventas!AE123*1.8000))</x:f>
      </x:c>
      <x:c r="H143" s="43">
        <x:f>(G143/(Ventas!AE123*1.8000)/60)</x:f>
      </x:c>
      <x:c r="I143" s="25">
        <x:v>0</x:v>
      </x:c>
      <x:c r="J143" s="41">
        <x:f>IF(G143&gt;0,G143+I143,I143)</x:f>
      </x:c>
      <x:c r="K143" s="9"/>
      <x:c r="L143" s="41">
        <x:v>30</x:v>
      </x:c>
      <x:c r="M143" s="45">
        <x:v>0.001067</x:v>
      </x:c>
      <x:c r="N143" s="39">
        <x:v>46275</x:v>
      </x:c>
      <x:c r="O143" s="40">
        <x:v>45</x:v>
      </x:c>
      <x:c r="P143" s="41">
        <x:f>(IF(G143&gt;0,G143+I143,I143)-(O143*Ventas!AE123*1.0044))</x:f>
      </x:c>
      <x:c r="Q143" s="43">
        <x:f>(P143/(Ventas!AE123*1.0044)/60)</x:f>
      </x:c>
      <x:c r="R143" s="25">
        <x:v>0</x:v>
      </x:c>
      <x:c r="S143" s="41">
        <x:f>IF(P143&gt;0,P143+R143,R143)</x:f>
      </x:c>
      <x:c r="T143" s="9"/>
      <x:c r="U143" s="41">
        <x:v>30</x:v>
      </x:c>
      <x:c r="V143" s="45">
        <x:v>0.001067</x:v>
      </x:c>
      <x:c r="W143" s="39">
        <x:v>46331</x:v>
      </x:c>
      <x:c r="X143" s="40">
        <x:v>56</x:v>
      </x:c>
      <x:c r="Y143" s="41">
        <x:f>(IF(P143&gt;0,P143+R143,R143)-(X143*Ventas!AE123*0.9018))</x:f>
      </x:c>
      <x:c r="Z143" s="43">
        <x:f>(Y143/(Ventas!AE123*0.9018)/60)</x:f>
      </x:c>
      <x:c r="AA143" s="41">
        <x:f>(100*(Ventas!AE123*1.2350) - IF(Y143&gt;0,Y143,0))</x:f>
      </x:c>
      <x:c r="AB143" s="41">
        <x:f>IF(AA143&gt;0,AA143,0)</x:f>
      </x:c>
      <x:c r="AC143" s="41">
        <x:f>IF(Y143&gt;0,Y143+IF(AB143&gt;0,AB143,0),AB143)</x:f>
      </x:c>
      <x:c r="AD143" s="46">
        <x:v>7.2</x:v>
      </x:c>
      <x:c r="AE143" s="25">
        <x:v>3010</x:v>
      </x:c>
      <x:c r="AF143" s="41">
        <x:f>(AC143-(60*Ventas!AE123*1.2350))</x:f>
      </x:c>
      <x:c r="AG143" s="43">
        <x:f>(AF143/(Ventas!AE123*1.2350)/60)</x:f>
      </x:c>
      <x:c r="AH143" s="7" t="s">
        <x:v>34</x:v>
      </x:c>
    </x:row>
    <x:row r="144">
      <x:c r="A144" s="7"/>
      <x:c r="B144" s="7" t="s">
        <x:v>275</x:v>
      </x:c>
      <x:c r="C144" s="38" t="s">
        <x:v>274</x:v>
      </x:c>
      <x:c r="D144" s="9"/>
      <x:c r="E144" s="39">
        <x:v>46230</x:v>
      </x:c>
      <x:c r="F144" s="40">
        <x:v>5</x:v>
      </x:c>
      <x:c r="G144" s="41">
        <x:f>(D144-(0)+0-(F144*Ventas!AE124*1.8000))</x:f>
      </x:c>
      <x:c r="H144" s="9"/>
      <x:c r="I144" s="25">
        <x:v>0</x:v>
      </x:c>
      <x:c r="J144" s="41">
        <x:f>IF(G144&gt;0,G144+I144,I144)</x:f>
      </x:c>
      <x:c r="K144" s="9"/>
      <x:c r="L144" s="41">
        <x:v>50</x:v>
      </x:c>
      <x:c r="M144" s="45">
        <x:v>0.001223</x:v>
      </x:c>
      <x:c r="N144" s="39">
        <x:v>46275</x:v>
      </x:c>
      <x:c r="O144" s="40">
        <x:v>45</x:v>
      </x:c>
      <x:c r="P144" s="41">
        <x:f>(IF(G144&gt;0,G144+I144,I144)-(O144*Ventas!AE124*1.0044))</x:f>
      </x:c>
      <x:c r="Q144" s="9"/>
      <x:c r="R144" s="25">
        <x:v>0</x:v>
      </x:c>
      <x:c r="S144" s="41">
        <x:f>IF(P144&gt;0,P144+R144,R144)</x:f>
      </x:c>
      <x:c r="T144" s="9"/>
      <x:c r="U144" s="41">
        <x:v>50</x:v>
      </x:c>
      <x:c r="V144" s="45">
        <x:v>0.001223</x:v>
      </x:c>
      <x:c r="W144" s="39">
        <x:v>46331</x:v>
      </x:c>
      <x:c r="X144" s="40">
        <x:v>56</x:v>
      </x:c>
      <x:c r="Y144" s="41">
        <x:f>(IF(P144&gt;0,P144+R144,R144)-(X144*Ventas!AE124*0.9018))</x:f>
      </x:c>
      <x:c r="Z144" s="9"/>
      <x:c r="AA144" s="41">
        <x:f>(100*(Ventas!AE124*1.2350) - IF(Y144&gt;0,Y144,0))</x:f>
      </x:c>
      <x:c r="AB144" s="41">
        <x:f>IF(AA144&gt;0,AA144,0)</x:f>
      </x:c>
      <x:c r="AC144" s="41">
        <x:f>IF(Y144&gt;0,Y144+IF(AB144&gt;0,AB144,0),AB144)</x:f>
      </x:c>
      <x:c r="AD144" s="46">
        <x:v>2.4</x:v>
      </x:c>
      <x:c r="AE144" s="25">
        <x:v>3027</x:v>
      </x:c>
      <x:c r="AF144" s="9"/>
      <x:c r="AG144" s="9"/>
      <x:c r="AH144" s="7" t="s">
        <x:v>34</x:v>
      </x:c>
    </x:row>
    <x:row r="145">
      <x:c r="A145" s="7"/>
      <x:c r="B145" s="7" t="s">
        <x:v>277</x:v>
      </x:c>
      <x:c r="C145" s="38" t="s">
        <x:v>276</x:v>
      </x:c>
      <x:c r="D145" s="9"/>
      <x:c r="E145" s="39">
        <x:v>46230</x:v>
      </x:c>
      <x:c r="F145" s="40">
        <x:v>5</x:v>
      </x:c>
      <x:c r="G145" s="41">
        <x:f>(D145-(0)+0-(F145*Ventas!AE125*1.8000))</x:f>
      </x:c>
      <x:c r="H145" s="9"/>
      <x:c r="I145" s="25">
        <x:v>0</x:v>
      </x:c>
      <x:c r="J145" s="41">
        <x:f>IF(G145&gt;0,G145+I145,I145)</x:f>
      </x:c>
      <x:c r="K145" s="9"/>
      <x:c r="L145" s="41">
        <x:v>20</x:v>
      </x:c>
      <x:c r="M145" s="45">
        <x:v>0.003951</x:v>
      </x:c>
      <x:c r="N145" s="39">
        <x:v>46275</x:v>
      </x:c>
      <x:c r="O145" s="40">
        <x:v>45</x:v>
      </x:c>
      <x:c r="P145" s="41">
        <x:f>(IF(G145&gt;0,G145+I145,I145)-(O145*Ventas!AE125*1.0044))</x:f>
      </x:c>
      <x:c r="Q145" s="9"/>
      <x:c r="R145" s="25">
        <x:v>0</x:v>
      </x:c>
      <x:c r="S145" s="41">
        <x:f>IF(P145&gt;0,P145+R145,R145)</x:f>
      </x:c>
      <x:c r="T145" s="9"/>
      <x:c r="U145" s="41">
        <x:v>20</x:v>
      </x:c>
      <x:c r="V145" s="45">
        <x:v>0.003951</x:v>
      </x:c>
      <x:c r="W145" s="39">
        <x:v>46331</x:v>
      </x:c>
      <x:c r="X145" s="40">
        <x:v>56</x:v>
      </x:c>
      <x:c r="Y145" s="41">
        <x:f>(IF(P145&gt;0,P145+R145,R145)-(X145*Ventas!AE125*0.9018))</x:f>
      </x:c>
      <x:c r="Z145" s="9"/>
      <x:c r="AA145" s="41">
        <x:f>(100*(Ventas!AE125*1.2350) - IF(Y145&gt;0,Y145,0))</x:f>
      </x:c>
      <x:c r="AB145" s="41">
        <x:f>IF(AA145&gt;0,AA145,0)</x:f>
      </x:c>
      <x:c r="AC145" s="41">
        <x:f>IF(Y145&gt;0,Y145+IF(AB145&gt;0,AB145,0),AB145)</x:f>
      </x:c>
      <x:c r="AD145" s="46">
        <x:v>19</x:v>
      </x:c>
      <x:c r="AE145" s="25">
        <x:v>3027</x:v>
      </x:c>
      <x:c r="AF145" s="9"/>
      <x:c r="AG145" s="9"/>
      <x:c r="AH145" s="7" t="s">
        <x:v>34</x:v>
      </x:c>
    </x:row>
    <x:row r="146">
      <x:c r="A146" s="7"/>
      <x:c r="B146" s="7" t="s">
        <x:v>279</x:v>
      </x:c>
      <x:c r="C146" s="38" t="s">
        <x:v>278</x:v>
      </x:c>
      <x:c r="D146" s="9"/>
      <x:c r="E146" s="39">
        <x:v>46230</x:v>
      </x:c>
      <x:c r="F146" s="40">
        <x:v>5</x:v>
      </x:c>
      <x:c r="G146" s="41">
        <x:f>(D146-(0)+0-(F146*Ventas!AE126*1.8000))</x:f>
      </x:c>
      <x:c r="H146" s="9"/>
      <x:c r="I146" s="25">
        <x:v>0</x:v>
      </x:c>
      <x:c r="J146" s="41">
        <x:f>IF(G146&gt;0,G146+I146,I146)</x:f>
      </x:c>
      <x:c r="K146" s="9"/>
      <x:c r="L146" s="41">
        <x:v>20</x:v>
      </x:c>
      <x:c r="M146" s="45">
        <x:v>0.004197</x:v>
      </x:c>
      <x:c r="N146" s="39">
        <x:v>46275</x:v>
      </x:c>
      <x:c r="O146" s="40">
        <x:v>45</x:v>
      </x:c>
      <x:c r="P146" s="41">
        <x:f>(IF(G146&gt;0,G146+I146,I146)-(O146*Ventas!AE126*1.0044))</x:f>
      </x:c>
      <x:c r="Q146" s="9"/>
      <x:c r="R146" s="25">
        <x:v>0</x:v>
      </x:c>
      <x:c r="S146" s="41">
        <x:f>IF(P146&gt;0,P146+R146,R146)</x:f>
      </x:c>
      <x:c r="T146" s="9"/>
      <x:c r="U146" s="41">
        <x:v>20</x:v>
      </x:c>
      <x:c r="V146" s="45">
        <x:v>0.004197</x:v>
      </x:c>
      <x:c r="W146" s="39">
        <x:v>46331</x:v>
      </x:c>
      <x:c r="X146" s="40">
        <x:v>56</x:v>
      </x:c>
      <x:c r="Y146" s="41">
        <x:f>(IF(P146&gt;0,P146+R146,R146)-(X146*Ventas!AE126*0.9018))</x:f>
      </x:c>
      <x:c r="Z146" s="9"/>
      <x:c r="AA146" s="41">
        <x:f>(100*(Ventas!AE126*1.2350) - IF(Y146&gt;0,Y146,0))</x:f>
      </x:c>
      <x:c r="AB146" s="41">
        <x:f>IF(AA146&gt;0,AA146,0)</x:f>
      </x:c>
      <x:c r="AC146" s="41">
        <x:f>IF(Y146&gt;0,Y146+IF(AB146&gt;0,AB146,0),AB146)</x:f>
      </x:c>
      <x:c r="AD146" s="46">
        <x:v>19</x:v>
      </x:c>
      <x:c r="AE146" s="25">
        <x:v>3027</x:v>
      </x:c>
      <x:c r="AF146" s="9"/>
      <x:c r="AG146" s="9"/>
      <x:c r="AH146" s="7" t="s">
        <x:v>34</x:v>
      </x:c>
    </x:row>
    <x:row r="147">
      <x:c r="A147" s="7"/>
      <x:c r="B147" s="7" t="s">
        <x:v>281</x:v>
      </x:c>
      <x:c r="C147" s="38" t="s">
        <x:v>280</x:v>
      </x:c>
      <x:c r="D147" s="9"/>
      <x:c r="E147" s="39">
        <x:v>46230</x:v>
      </x:c>
      <x:c r="F147" s="40">
        <x:v>5</x:v>
      </x:c>
      <x:c r="G147" s="41">
        <x:f>(D147-(0)+0-(F147*Ventas!AE127*1.8000))</x:f>
      </x:c>
      <x:c r="H147" s="9"/>
      <x:c r="I147" s="25">
        <x:v>0</x:v>
      </x:c>
      <x:c r="J147" s="41">
        <x:f>IF(G147&gt;0,G147+I147,I147)</x:f>
      </x:c>
      <x:c r="K147" s="9"/>
      <x:c r="L147" s="41">
        <x:v>15</x:v>
      </x:c>
      <x:c r="M147" s="45">
        <x:v>0.003333</x:v>
      </x:c>
      <x:c r="N147" s="39">
        <x:v>46275</x:v>
      </x:c>
      <x:c r="O147" s="40">
        <x:v>45</x:v>
      </x:c>
      <x:c r="P147" s="41">
        <x:f>(IF(G147&gt;0,G147+I147,I147)-(O147*Ventas!AE127*1.0044))</x:f>
      </x:c>
      <x:c r="Q147" s="9"/>
      <x:c r="R147" s="25">
        <x:v>0</x:v>
      </x:c>
      <x:c r="S147" s="41">
        <x:f>IF(P147&gt;0,P147+R147,R147)</x:f>
      </x:c>
      <x:c r="T147" s="9"/>
      <x:c r="U147" s="41">
        <x:v>15</x:v>
      </x:c>
      <x:c r="V147" s="45">
        <x:v>0.003333</x:v>
      </x:c>
      <x:c r="W147" s="39">
        <x:v>46331</x:v>
      </x:c>
      <x:c r="X147" s="40">
        <x:v>56</x:v>
      </x:c>
      <x:c r="Y147" s="41">
        <x:f>(IF(P147&gt;0,P147+R147,R147)-(X147*Ventas!AE127*0.9018))</x:f>
      </x:c>
      <x:c r="Z147" s="9"/>
      <x:c r="AA147" s="41">
        <x:f>(100*(Ventas!AE127*1.2350) - IF(Y147&gt;0,Y147,0))</x:f>
      </x:c>
      <x:c r="AB147" s="41">
        <x:f>IF(AA147&gt;0,AA147,0)</x:f>
      </x:c>
      <x:c r="AC147" s="41">
        <x:f>IF(Y147&gt;0,Y147+IF(AB147&gt;0,AB147,0),AB147)</x:f>
      </x:c>
      <x:c r="AD147" s="46">
        <x:v>7.5</x:v>
      </x:c>
      <x:c r="AE147" s="25">
        <x:v>3010</x:v>
      </x:c>
      <x:c r="AF147" s="9"/>
      <x:c r="AG147" s="9"/>
      <x:c r="AH147" s="7" t="s">
        <x:v>34</x:v>
      </x:c>
    </x:row>
    <x:row r="148">
      <x:c r="A148" s="7"/>
      <x:c r="B148" s="7" t="s">
        <x:v>287</x:v>
      </x:c>
      <x:c r="C148" s="38" t="s">
        <x:v>286</x:v>
      </x:c>
      <x:c r="D148" s="25">
        <x:v>9</x:v>
      </x:c>
      <x:c r="E148" s="39">
        <x:v>46230</x:v>
      </x:c>
      <x:c r="F148" s="40">
        <x:v>5</x:v>
      </x:c>
      <x:c r="G148" s="41">
        <x:f>(D148-(0)+0-(F148*Ventas!AE130*1.8000))</x:f>
      </x:c>
      <x:c r="H148" s="43">
        <x:f>(G148/(Ventas!AE130*1.8000)/60)</x:f>
      </x:c>
      <x:c r="I148" s="25">
        <x:v>0</x:v>
      </x:c>
      <x:c r="J148" s="41">
        <x:f>IF(G148&gt;0,G148+I148,I148)</x:f>
      </x:c>
      <x:c r="K148" s="9"/>
      <x:c r="L148" s="41">
        <x:v>30</x:v>
      </x:c>
      <x:c r="M148" s="45">
        <x:v>0.001067</x:v>
      </x:c>
      <x:c r="N148" s="39">
        <x:v>46275</x:v>
      </x:c>
      <x:c r="O148" s="40">
        <x:v>45</x:v>
      </x:c>
      <x:c r="P148" s="41">
        <x:f>(IF(G148&gt;0,G148+I148,I148)-(O148*Ventas!AE130*1.0044))</x:f>
      </x:c>
      <x:c r="Q148" s="43">
        <x:f>(P148/(Ventas!AE130*1.0044)/60)</x:f>
      </x:c>
      <x:c r="R148" s="25">
        <x:v>30</x:v>
      </x:c>
      <x:c r="S148" s="41">
        <x:f>IF(P148&gt;0,P148+R148,R148)</x:f>
      </x:c>
      <x:c r="T148" s="41">
        <x:v>7.2</x:v>
      </x:c>
      <x:c r="U148" s="41">
        <x:v>30</x:v>
      </x:c>
      <x:c r="V148" s="45">
        <x:v>0.001067</x:v>
      </x:c>
      <x:c r="W148" s="39">
        <x:v>46331</x:v>
      </x:c>
      <x:c r="X148" s="40">
        <x:v>56</x:v>
      </x:c>
      <x:c r="Y148" s="41">
        <x:f>(IF(P148&gt;0,P148+R148,R148)-(X148*Ventas!AE130*0.9018))</x:f>
      </x:c>
      <x:c r="Z148" s="43">
        <x:f>(Y148/(Ventas!AE130*0.9018)/60)</x:f>
      </x:c>
      <x:c r="AA148" s="41">
        <x:f>(100*(Ventas!AE130*1.2350) - IF(Y148&gt;0,Y148,0))</x:f>
      </x:c>
      <x:c r="AB148" s="41">
        <x:f>IF(AA148&gt;0,AA148,0)</x:f>
      </x:c>
      <x:c r="AC148" s="41">
        <x:f>IF(Y148&gt;0,Y148+IF(AB148&gt;0,AB148,0),AB148)</x:f>
      </x:c>
      <x:c r="AD148" s="46">
        <x:v>7.2</x:v>
      </x:c>
      <x:c r="AE148" s="25">
        <x:v>3027</x:v>
      </x:c>
      <x:c r="AF148" s="41">
        <x:f>(AC148-(60*Ventas!AE130*1.2350))</x:f>
      </x:c>
      <x:c r="AG148" s="43">
        <x:f>(AF148/(Ventas!AE130*1.2350)/60)</x:f>
      </x:c>
      <x:c r="AH148" s="7" t="s">
        <x:v>34</x:v>
      </x:c>
    </x:row>
    <x:row r="149">
      <x:c r="A149" s="7"/>
      <x:c r="B149" s="7" t="s">
        <x:v>289</x:v>
      </x:c>
      <x:c r="C149" s="38" t="s">
        <x:v>288</x:v>
      </x:c>
      <x:c r="D149" s="9"/>
      <x:c r="E149" s="39">
        <x:v>46230</x:v>
      </x:c>
      <x:c r="F149" s="40">
        <x:v>5</x:v>
      </x:c>
      <x:c r="G149" s="41">
        <x:f>(D149-(0)+0-(F149*Ventas!AE131*1.8000))</x:f>
      </x:c>
      <x:c r="H149" s="9"/>
      <x:c r="I149" s="25">
        <x:v>0</x:v>
      </x:c>
      <x:c r="J149" s="41">
        <x:f>IF(G149&gt;0,G149+I149,I149)</x:f>
      </x:c>
      <x:c r="K149" s="9"/>
      <x:c r="L149" s="41">
        <x:v>20</x:v>
      </x:c>
      <x:c r="M149" s="45">
        <x:v>0.062553</x:v>
      </x:c>
      <x:c r="N149" s="39">
        <x:v>46275</x:v>
      </x:c>
      <x:c r="O149" s="40">
        <x:v>45</x:v>
      </x:c>
      <x:c r="P149" s="41">
        <x:f>(IF(G149&gt;0,G149+I149,I149)-(O149*Ventas!AE131*1.0044))</x:f>
      </x:c>
      <x:c r="Q149" s="9"/>
      <x:c r="R149" s="25">
        <x:v>0</x:v>
      </x:c>
      <x:c r="S149" s="41">
        <x:f>IF(P149&gt;0,P149+R149,R149)</x:f>
      </x:c>
      <x:c r="T149" s="9"/>
      <x:c r="U149" s="41">
        <x:v>20</x:v>
      </x:c>
      <x:c r="V149" s="45">
        <x:v>0.062553</x:v>
      </x:c>
      <x:c r="W149" s="39">
        <x:v>46331</x:v>
      </x:c>
      <x:c r="X149" s="40">
        <x:v>56</x:v>
      </x:c>
      <x:c r="Y149" s="41">
        <x:f>(IF(P149&gt;0,P149+R149,R149)-(X149*Ventas!AE131*0.9018))</x:f>
      </x:c>
      <x:c r="Z149" s="9"/>
      <x:c r="AA149" s="41">
        <x:f>(100*(Ventas!AE131*1.2350) - IF(Y149&gt;0,Y149,0))</x:f>
      </x:c>
      <x:c r="AB149" s="41">
        <x:f>IF(AA149&gt;0,AA149,0)</x:f>
      </x:c>
      <x:c r="AC149" s="41">
        <x:f>IF(Y149&gt;0,Y149+IF(AB149&gt;0,AB149,0),AB149)</x:f>
      </x:c>
      <x:c r="AD149" s="9"/>
      <x:c r="AE149" s="9"/>
      <x:c r="AF149" s="9"/>
      <x:c r="AG149" s="9"/>
      <x:c r="AH149" s="7" t="s">
        <x:v>107</x:v>
      </x:c>
    </x:row>
    <x:row r="150">
      <x:c r="A150" s="7" t="s">
        <x:v>292</x:v>
      </x:c>
      <x:c r="B150" s="7" t="s">
        <x:v>291</x:v>
      </x:c>
      <x:c r="C150" s="38" t="s">
        <x:v>290</x:v>
      </x:c>
      <x:c r="D150" s="9"/>
      <x:c r="E150" s="39">
        <x:v>46230</x:v>
      </x:c>
      <x:c r="F150" s="40">
        <x:v>5</x:v>
      </x:c>
      <x:c r="G150" s="41">
        <x:f>(D150-(0)+0-(F150*Ventas!AE132*1.8000))</x:f>
      </x:c>
      <x:c r="H150" s="9"/>
      <x:c r="I150" s="25">
        <x:v>0</x:v>
      </x:c>
      <x:c r="J150" s="41">
        <x:f>IF(G150&gt;0,G150+I150,I150)</x:f>
      </x:c>
      <x:c r="K150" s="9"/>
      <x:c r="L150" s="9"/>
      <x:c r="M150" s="9"/>
      <x:c r="N150" s="39">
        <x:v>46275</x:v>
      </x:c>
      <x:c r="O150" s="40">
        <x:v>45</x:v>
      </x:c>
      <x:c r="P150" s="41">
        <x:f>(IF(G150&gt;0,G150+I150,I150)-(O150*Ventas!AE132*1.0044))</x:f>
      </x:c>
      <x:c r="Q150" s="9"/>
      <x:c r="R150" s="25">
        <x:v>0</x:v>
      </x:c>
      <x:c r="S150" s="41">
        <x:f>IF(P150&gt;0,P150+R150,R150)</x:f>
      </x:c>
      <x:c r="T150" s="9"/>
      <x:c r="U150" s="9"/>
      <x:c r="V150" s="9"/>
      <x:c r="W150" s="39">
        <x:v>46331</x:v>
      </x:c>
      <x:c r="X150" s="40">
        <x:v>56</x:v>
      </x:c>
      <x:c r="Y150" s="41">
        <x:f>(IF(P150&gt;0,P150+R150,R150)-(X150*Ventas!AE132*0.9018))</x:f>
      </x:c>
      <x:c r="Z150" s="9"/>
      <x:c r="AA150" s="41">
        <x:f>(100*(Ventas!AE132*1.2350) - IF(Y150&gt;0,Y150,0))</x:f>
      </x:c>
      <x:c r="AB150" s="41">
        <x:f>IF(AA150&gt;0,AA150,0)</x:f>
      </x:c>
      <x:c r="AC150" s="41">
        <x:f>IF(Y150&gt;0,Y150+IF(AB150&gt;0,AB150,0),AB150)</x:f>
      </x:c>
      <x:c r="AD150" s="9"/>
      <x:c r="AE150" s="9"/>
      <x:c r="AF150" s="9"/>
      <x:c r="AG150" s="9"/>
      <x:c r="AH150" s="7" t="s">
        <x:v>34</x:v>
      </x:c>
    </x:row>
    <x:row r="151">
      <x:c r="A151" s="7"/>
      <x:c r="B151" s="7" t="s">
        <x:v>296</x:v>
      </x:c>
      <x:c r="C151" s="38" t="s">
        <x:v>295</x:v>
      </x:c>
      <x:c r="D151" s="25">
        <x:v>41</x:v>
      </x:c>
      <x:c r="E151" s="39">
        <x:v>46230</x:v>
      </x:c>
      <x:c r="F151" s="40">
        <x:v>5</x:v>
      </x:c>
      <x:c r="G151" s="41">
        <x:f>(D151-(0)+0-(F151*Ventas!AE134*1.8000))</x:f>
      </x:c>
      <x:c r="H151" s="43">
        <x:f>(G151/(Ventas!AE134*1.8000)/60)</x:f>
      </x:c>
      <x:c r="I151" s="25">
        <x:v>100</x:v>
      </x:c>
      <x:c r="J151" s="41">
        <x:f>IF(G151&gt;0,G151+I151,I151)</x:f>
      </x:c>
      <x:c r="K151" s="41">
        <x:v>6.448</x:v>
      </x:c>
      <x:c r="L151" s="41">
        <x:v>20</x:v>
      </x:c>
      <x:c r="M151" s="45">
        <x:v>0.00395</x:v>
      </x:c>
      <x:c r="N151" s="39">
        <x:v>46275</x:v>
      </x:c>
      <x:c r="O151" s="40">
        <x:v>45</x:v>
      </x:c>
      <x:c r="P151" s="41">
        <x:f>(IF(G151&gt;0,G151+I151,I151)-(O151*Ventas!AE134*1.0044))</x:f>
      </x:c>
      <x:c r="Q151" s="43">
        <x:f>(P151/(Ventas!AE134*1.0044)/60)</x:f>
      </x:c>
      <x:c r="R151" s="25">
        <x:v>40</x:v>
      </x:c>
      <x:c r="S151" s="41">
        <x:f>IF(P151&gt;0,P151+R151,R151)</x:f>
      </x:c>
      <x:c r="T151" s="41">
        <x:v>6.4</x:v>
      </x:c>
      <x:c r="U151" s="41">
        <x:v>20</x:v>
      </x:c>
      <x:c r="V151" s="45">
        <x:v>0.00395</x:v>
      </x:c>
      <x:c r="W151" s="39">
        <x:v>46331</x:v>
      </x:c>
      <x:c r="X151" s="40">
        <x:v>56</x:v>
      </x:c>
      <x:c r="Y151" s="41">
        <x:f>(IF(P151&gt;0,P151+R151,R151)-(X151*Ventas!AE134*0.9018))</x:f>
      </x:c>
      <x:c r="Z151" s="43">
        <x:f>(Y151/(Ventas!AE134*0.9018)/60)</x:f>
      </x:c>
      <x:c r="AA151" s="41">
        <x:f>(100*(Ventas!AE134*1.2350) - IF(Y151&gt;0,Y151,0))</x:f>
      </x:c>
      <x:c r="AB151" s="41">
        <x:f>IF(AA151&gt;0,AA151,0)</x:f>
      </x:c>
      <x:c r="AC151" s="41">
        <x:f>IF(Y151&gt;0,Y151+IF(AB151&gt;0,AB151,0),AB151)</x:f>
      </x:c>
      <x:c r="AD151" s="46">
        <x:v>6.448</x:v>
      </x:c>
      <x:c r="AE151" s="25">
        <x:v>3027</x:v>
      </x:c>
      <x:c r="AF151" s="41">
        <x:f>(AC151-(60*Ventas!AE134*1.2350))</x:f>
      </x:c>
      <x:c r="AG151" s="43">
        <x:f>(AF151/(Ventas!AE134*1.2350)/60)</x:f>
      </x:c>
      <x:c r="AH151" s="7" t="s">
        <x:v>34</x:v>
      </x:c>
    </x:row>
    <x:row r="152">
      <x:c r="A152" s="7"/>
      <x:c r="B152" s="7" t="s">
        <x:v>298</x:v>
      </x:c>
      <x:c r="C152" s="38" t="s">
        <x:v>297</x:v>
      </x:c>
      <x:c r="D152" s="25">
        <x:v>32</x:v>
      </x:c>
      <x:c r="E152" s="39">
        <x:v>46230</x:v>
      </x:c>
      <x:c r="F152" s="40">
        <x:v>5</x:v>
      </x:c>
      <x:c r="G152" s="41">
        <x:f>(D152-(0)+0-(F152*Ventas!AE135*1.8000))</x:f>
      </x:c>
      <x:c r="H152" s="43">
        <x:f>(G152/(Ventas!AE135*1.8000)/60)</x:f>
      </x:c>
      <x:c r="I152" s="25">
        <x:v>20</x:v>
      </x:c>
      <x:c r="J152" s="41">
        <x:f>IF(G152&gt;0,G152+I152,I152)</x:f>
      </x:c>
      <x:c r="K152" s="41">
        <x:v>6.448</x:v>
      </x:c>
      <x:c r="L152" s="41">
        <x:v>20</x:v>
      </x:c>
      <x:c r="M152" s="45">
        <x:v>0.00395</x:v>
      </x:c>
      <x:c r="N152" s="39">
        <x:v>46275</x:v>
      </x:c>
      <x:c r="O152" s="40">
        <x:v>45</x:v>
      </x:c>
      <x:c r="P152" s="41">
        <x:f>(IF(G152&gt;0,G152+I152,I152)-(O152*Ventas!AE135*1.0044))</x:f>
      </x:c>
      <x:c r="Q152" s="43">
        <x:f>(P152/(Ventas!AE135*1.0044)/60)</x:f>
      </x:c>
      <x:c r="R152" s="25">
        <x:v>0</x:v>
      </x:c>
      <x:c r="S152" s="41">
        <x:f>IF(P152&gt;0,P152+R152,R152)</x:f>
      </x:c>
      <x:c r="T152" s="9"/>
      <x:c r="U152" s="41">
        <x:v>20</x:v>
      </x:c>
      <x:c r="V152" s="45">
        <x:v>0.00395</x:v>
      </x:c>
      <x:c r="W152" s="39">
        <x:v>46331</x:v>
      </x:c>
      <x:c r="X152" s="40">
        <x:v>56</x:v>
      </x:c>
      <x:c r="Y152" s="41">
        <x:f>(IF(P152&gt;0,P152+R152,R152)-(X152*Ventas!AE135*0.9018))</x:f>
      </x:c>
      <x:c r="Z152" s="43">
        <x:f>(Y152/(Ventas!AE135*0.9018)/60)</x:f>
      </x:c>
      <x:c r="AA152" s="41">
        <x:f>(100*(Ventas!AE135*1.2350) - IF(Y152&gt;0,Y152,0))</x:f>
      </x:c>
      <x:c r="AB152" s="41">
        <x:f>IF(AA152&gt;0,AA152,0)</x:f>
      </x:c>
      <x:c r="AC152" s="41">
        <x:f>IF(Y152&gt;0,Y152+IF(AB152&gt;0,AB152,0),AB152)</x:f>
      </x:c>
      <x:c r="AD152" s="46">
        <x:v>6.448</x:v>
      </x:c>
      <x:c r="AE152" s="25">
        <x:v>3027</x:v>
      </x:c>
      <x:c r="AF152" s="41">
        <x:f>(AC152-(60*Ventas!AE135*1.2350))</x:f>
      </x:c>
      <x:c r="AG152" s="43">
        <x:f>(AF152/(Ventas!AE135*1.2350)/60)</x:f>
      </x:c>
      <x:c r="AH152" s="7" t="s">
        <x:v>34</x:v>
      </x:c>
    </x:row>
    <x:row r="153">
      <x:c r="A153" s="7"/>
      <x:c r="B153" s="7" t="s">
        <x:v>302</x:v>
      </x:c>
      <x:c r="C153" s="38" t="s">
        <x:v>301</x:v>
      </x:c>
      <x:c r="D153" s="9"/>
      <x:c r="E153" s="39">
        <x:v>46230</x:v>
      </x:c>
      <x:c r="F153" s="40">
        <x:v>5</x:v>
      </x:c>
      <x:c r="G153" s="41">
        <x:f>(D153-(0)+0-(F153*Ventas!AE137*1.8000))</x:f>
      </x:c>
      <x:c r="H153" s="9"/>
      <x:c r="I153" s="25">
        <x:v>0</x:v>
      </x:c>
      <x:c r="J153" s="41">
        <x:f>IF(G153&gt;0,G153+I153,I153)</x:f>
      </x:c>
      <x:c r="K153" s="9"/>
      <x:c r="L153" s="41">
        <x:v>10</x:v>
      </x:c>
      <x:c r="M153" s="45">
        <x:v>0.034733</x:v>
      </x:c>
      <x:c r="N153" s="39">
        <x:v>46275</x:v>
      </x:c>
      <x:c r="O153" s="40">
        <x:v>45</x:v>
      </x:c>
      <x:c r="P153" s="41">
        <x:f>(IF(G153&gt;0,G153+I153,I153)-(O153*Ventas!AE137*1.0044))</x:f>
      </x:c>
      <x:c r="Q153" s="9"/>
      <x:c r="R153" s="25">
        <x:v>0</x:v>
      </x:c>
      <x:c r="S153" s="41">
        <x:f>IF(P153&gt;0,P153+R153,R153)</x:f>
      </x:c>
      <x:c r="T153" s="9"/>
      <x:c r="U153" s="41">
        <x:v>10</x:v>
      </x:c>
      <x:c r="V153" s="45">
        <x:v>0.034733</x:v>
      </x:c>
      <x:c r="W153" s="39">
        <x:v>46331</x:v>
      </x:c>
      <x:c r="X153" s="40">
        <x:v>56</x:v>
      </x:c>
      <x:c r="Y153" s="41">
        <x:f>(IF(P153&gt;0,P153+R153,R153)-(X153*Ventas!AE137*0.9018))</x:f>
      </x:c>
      <x:c r="Z153" s="9"/>
      <x:c r="AA153" s="41">
        <x:f>(100*(Ventas!AE137*1.2350) - IF(Y153&gt;0,Y153,0))</x:f>
      </x:c>
      <x:c r="AB153" s="41">
        <x:f>IF(AA153&gt;0,AA153,0)</x:f>
      </x:c>
      <x:c r="AC153" s="41">
        <x:f>IF(Y153&gt;0,Y153+IF(AB153&gt;0,AB153,0),AB153)</x:f>
      </x:c>
      <x:c r="AD153" s="46">
        <x:v>11.3342</x:v>
      </x:c>
      <x:c r="AE153" s="25">
        <x:v>3017</x:v>
      </x:c>
      <x:c r="AF153" s="9"/>
      <x:c r="AG153" s="9"/>
      <x:c r="AH153" s="7" t="s">
        <x:v>34</x:v>
      </x:c>
    </x:row>
    <x:row r="154">
      <x:c r="A154" s="7"/>
      <x:c r="B154" s="7" t="s">
        <x:v>304</x:v>
      </x:c>
      <x:c r="C154" s="38" t="s">
        <x:v>303</x:v>
      </x:c>
      <x:c r="D154" s="25">
        <x:v>34</x:v>
      </x:c>
      <x:c r="E154" s="39">
        <x:v>46230</x:v>
      </x:c>
      <x:c r="F154" s="40">
        <x:v>5</x:v>
      </x:c>
      <x:c r="G154" s="41">
        <x:f>(D154-(0)+0-(F154*Ventas!AE138*1.8000))</x:f>
      </x:c>
      <x:c r="H154" s="43">
        <x:f>(G154/(Ventas!AE138*1.8000)/60)</x:f>
      </x:c>
      <x:c r="I154" s="25">
        <x:v>40</x:v>
      </x:c>
      <x:c r="J154" s="41">
        <x:f>IF(G154&gt;0,G154+I154,I154)</x:f>
      </x:c>
      <x:c r="K154" s="41">
        <x:v>6.656</x:v>
      </x:c>
      <x:c r="L154" s="41">
        <x:v>20</x:v>
      </x:c>
      <x:c r="M154" s="45">
        <x:v>0.0027</x:v>
      </x:c>
      <x:c r="N154" s="39">
        <x:v>46275</x:v>
      </x:c>
      <x:c r="O154" s="40">
        <x:v>45</x:v>
      </x:c>
      <x:c r="P154" s="41">
        <x:f>(IF(G154&gt;0,G154+I154,I154)-(O154*Ventas!AE138*1.0044))</x:f>
      </x:c>
      <x:c r="Q154" s="43">
        <x:f>(P154/(Ventas!AE138*1.0044)/60)</x:f>
      </x:c>
      <x:c r="R154" s="25">
        <x:v>0</x:v>
      </x:c>
      <x:c r="S154" s="41">
        <x:f>IF(P154&gt;0,P154+R154,R154)</x:f>
      </x:c>
      <x:c r="T154" s="9"/>
      <x:c r="U154" s="41">
        <x:v>20</x:v>
      </x:c>
      <x:c r="V154" s="45">
        <x:v>0.0027</x:v>
      </x:c>
      <x:c r="W154" s="39">
        <x:v>46331</x:v>
      </x:c>
      <x:c r="X154" s="40">
        <x:v>56</x:v>
      </x:c>
      <x:c r="Y154" s="41">
        <x:f>(IF(P154&gt;0,P154+R154,R154)-(X154*Ventas!AE138*0.9018))</x:f>
      </x:c>
      <x:c r="Z154" s="43">
        <x:f>(Y154/(Ventas!AE138*0.9018)/60)</x:f>
      </x:c>
      <x:c r="AA154" s="41">
        <x:f>(100*(Ventas!AE138*1.2350) - IF(Y154&gt;0,Y154,0))</x:f>
      </x:c>
      <x:c r="AB154" s="41">
        <x:f>IF(AA154&gt;0,AA154,0)</x:f>
      </x:c>
      <x:c r="AC154" s="41">
        <x:f>IF(Y154&gt;0,Y154+IF(AB154&gt;0,AB154,0),AB154)</x:f>
      </x:c>
      <x:c r="AD154" s="46">
        <x:v>6.656</x:v>
      </x:c>
      <x:c r="AE154" s="25">
        <x:v>3027</x:v>
      </x:c>
      <x:c r="AF154" s="41">
        <x:f>(AC154-(60*Ventas!AE138*1.2350))</x:f>
      </x:c>
      <x:c r="AG154" s="43">
        <x:f>(AF154/(Ventas!AE138*1.2350)/60)</x:f>
      </x:c>
      <x:c r="AH154" s="7" t="s">
        <x:v>34</x:v>
      </x:c>
    </x:row>
    <x:row r="155">
      <x:c r="A155" s="7"/>
      <x:c r="B155" s="7" t="s">
        <x:v>306</x:v>
      </x:c>
      <x:c r="C155" s="38" t="s">
        <x:v>305</x:v>
      </x:c>
      <x:c r="D155" s="9"/>
      <x:c r="E155" s="39">
        <x:v>46230</x:v>
      </x:c>
      <x:c r="F155" s="40">
        <x:v>5</x:v>
      </x:c>
      <x:c r="G155" s="41">
        <x:f>(D155-(0)+0-(F155*Ventas!AE139*1.8000))</x:f>
      </x:c>
      <x:c r="H155" s="9"/>
      <x:c r="I155" s="25">
        <x:v>0</x:v>
      </x:c>
      <x:c r="J155" s="41">
        <x:f>IF(G155&gt;0,G155+I155,I155)</x:f>
      </x:c>
      <x:c r="K155" s="9"/>
      <x:c r="L155" s="41">
        <x:v>20</x:v>
      </x:c>
      <x:c r="M155" s="45">
        <x:v>0.002694</x:v>
      </x:c>
      <x:c r="N155" s="39">
        <x:v>46275</x:v>
      </x:c>
      <x:c r="O155" s="40">
        <x:v>45</x:v>
      </x:c>
      <x:c r="P155" s="41">
        <x:f>(IF(G155&gt;0,G155+I155,I155)-(O155*Ventas!AE139*1.0044))</x:f>
      </x:c>
      <x:c r="Q155" s="9"/>
      <x:c r="R155" s="25">
        <x:v>0</x:v>
      </x:c>
      <x:c r="S155" s="41">
        <x:f>IF(P155&gt;0,P155+R155,R155)</x:f>
      </x:c>
      <x:c r="T155" s="9"/>
      <x:c r="U155" s="41">
        <x:v>20</x:v>
      </x:c>
      <x:c r="V155" s="45">
        <x:v>0.002694</x:v>
      </x:c>
      <x:c r="W155" s="39">
        <x:v>46331</x:v>
      </x:c>
      <x:c r="X155" s="40">
        <x:v>56</x:v>
      </x:c>
      <x:c r="Y155" s="41">
        <x:f>(IF(P155&gt;0,P155+R155,R155)-(X155*Ventas!AE139*0.9018))</x:f>
      </x:c>
      <x:c r="Z155" s="9"/>
      <x:c r="AA155" s="41">
        <x:f>(100*(Ventas!AE139*1.2350) - IF(Y155&gt;0,Y155,0))</x:f>
      </x:c>
      <x:c r="AB155" s="41">
        <x:f>IF(AA155&gt;0,AA155,0)</x:f>
      </x:c>
      <x:c r="AC155" s="41">
        <x:f>IF(Y155&gt;0,Y155+IF(AB155&gt;0,AB155,0),AB155)</x:f>
      </x:c>
      <x:c r="AD155" s="46">
        <x:v>13.312</x:v>
      </x:c>
      <x:c r="AE155" s="25">
        <x:v>3010</x:v>
      </x:c>
      <x:c r="AF155" s="9"/>
      <x:c r="AG155" s="9"/>
      <x:c r="AH155" s="7" t="s">
        <x:v>107</x:v>
      </x:c>
    </x:row>
    <x:row r="156">
      <x:c r="A156" s="7"/>
      <x:c r="B156" s="7" t="s">
        <x:v>308</x:v>
      </x:c>
      <x:c r="C156" s="38" t="s">
        <x:v>307</x:v>
      </x:c>
      <x:c r="D156" s="9"/>
      <x:c r="E156" s="39">
        <x:v>46230</x:v>
      </x:c>
      <x:c r="F156" s="40">
        <x:v>5</x:v>
      </x:c>
      <x:c r="G156" s="41">
        <x:f>(D156-(0)+0-(F156*Ventas!AE140*1.8000))</x:f>
      </x:c>
      <x:c r="H156" s="9"/>
      <x:c r="I156" s="25">
        <x:v>0</x:v>
      </x:c>
      <x:c r="J156" s="41">
        <x:f>IF(G156&gt;0,G156+I156,I156)</x:f>
      </x:c>
      <x:c r="K156" s="9"/>
      <x:c r="L156" s="41">
        <x:v>20</x:v>
      </x:c>
      <x:c r="M156" s="45">
        <x:v>0.053879</x:v>
      </x:c>
      <x:c r="N156" s="39">
        <x:v>46275</x:v>
      </x:c>
      <x:c r="O156" s="40">
        <x:v>45</x:v>
      </x:c>
      <x:c r="P156" s="41">
        <x:f>(IF(G156&gt;0,G156+I156,I156)-(O156*Ventas!AE140*1.0044))</x:f>
      </x:c>
      <x:c r="Q156" s="9"/>
      <x:c r="R156" s="25">
        <x:v>0</x:v>
      </x:c>
      <x:c r="S156" s="41">
        <x:f>IF(P156&gt;0,P156+R156,R156)</x:f>
      </x:c>
      <x:c r="T156" s="9"/>
      <x:c r="U156" s="41">
        <x:v>20</x:v>
      </x:c>
      <x:c r="V156" s="45">
        <x:v>0.053879</x:v>
      </x:c>
      <x:c r="W156" s="39">
        <x:v>46331</x:v>
      </x:c>
      <x:c r="X156" s="40">
        <x:v>56</x:v>
      </x:c>
      <x:c r="Y156" s="41">
        <x:f>(IF(P156&gt;0,P156+R156,R156)-(X156*Ventas!AE140*0.9018))</x:f>
      </x:c>
      <x:c r="Z156" s="9"/>
      <x:c r="AA156" s="41">
        <x:f>(100*(Ventas!AE140*1.2350) - IF(Y156&gt;0,Y156,0))</x:f>
      </x:c>
      <x:c r="AB156" s="41">
        <x:f>IF(AA156&gt;0,AA156,0)</x:f>
      </x:c>
      <x:c r="AC156" s="41">
        <x:f>IF(Y156&gt;0,Y156+IF(AB156&gt;0,AB156,0),AB156)</x:f>
      </x:c>
      <x:c r="AD156" s="46">
        <x:v>13.3</x:v>
      </x:c>
      <x:c r="AE156" s="25">
        <x:v>3027</x:v>
      </x:c>
      <x:c r="AF156" s="9"/>
      <x:c r="AG156" s="9"/>
      <x:c r="AH156" s="7" t="s">
        <x:v>107</x:v>
      </x:c>
    </x:row>
    <x:row r="157">
      <x:c r="A157" s="7"/>
      <x:c r="B157" s="7" t="s">
        <x:v>310</x:v>
      </x:c>
      <x:c r="C157" s="38" t="s">
        <x:v>309</x:v>
      </x:c>
      <x:c r="D157" s="9"/>
      <x:c r="E157" s="39">
        <x:v>46230</x:v>
      </x:c>
      <x:c r="F157" s="40">
        <x:v>5</x:v>
      </x:c>
      <x:c r="G157" s="41">
        <x:f>(D157-(0)+0-(F157*Ventas!AE141*1.8000))</x:f>
      </x:c>
      <x:c r="H157" s="43">
        <x:f>(G157/(Ventas!AE141*1.8000)/60)</x:f>
      </x:c>
      <x:c r="I157" s="25">
        <x:v>0</x:v>
      </x:c>
      <x:c r="J157" s="41">
        <x:f>IF(G157&gt;0,G157+I157,I157)</x:f>
      </x:c>
      <x:c r="K157" s="9"/>
      <x:c r="L157" s="41">
        <x:v>20</x:v>
      </x:c>
      <x:c r="M157" s="45">
        <x:v>0.0033</x:v>
      </x:c>
      <x:c r="N157" s="39">
        <x:v>46275</x:v>
      </x:c>
      <x:c r="O157" s="40">
        <x:v>45</x:v>
      </x:c>
      <x:c r="P157" s="41">
        <x:f>(IF(G157&gt;0,G157+I157,I157)-(O157*Ventas!AE141*1.0044))</x:f>
      </x:c>
      <x:c r="Q157" s="43">
        <x:f>(P157/(Ventas!AE141*1.0044)/60)</x:f>
      </x:c>
      <x:c r="R157" s="25">
        <x:v>40</x:v>
      </x:c>
      <x:c r="S157" s="41">
        <x:f>IF(P157&gt;0,P157+R157,R157)</x:f>
      </x:c>
      <x:c r="T157" s="41">
        <x:v>3.3</x:v>
      </x:c>
      <x:c r="U157" s="41">
        <x:v>20</x:v>
      </x:c>
      <x:c r="V157" s="45">
        <x:v>0.0033</x:v>
      </x:c>
      <x:c r="W157" s="39">
        <x:v>46331</x:v>
      </x:c>
      <x:c r="X157" s="40">
        <x:v>56</x:v>
      </x:c>
      <x:c r="Y157" s="41">
        <x:f>(IF(P157&gt;0,P157+R157,R157)-(X157*Ventas!AE141*0.9018))</x:f>
      </x:c>
      <x:c r="Z157" s="43">
        <x:f>(Y157/(Ventas!AE141*0.9018)/60)</x:f>
      </x:c>
      <x:c r="AA157" s="41">
        <x:f>(100*(Ventas!AE141*1.2350) - IF(Y157&gt;0,Y157,0))</x:f>
      </x:c>
      <x:c r="AB157" s="41">
        <x:f>IF(AA157&gt;0,AA157,0)</x:f>
      </x:c>
      <x:c r="AC157" s="41">
        <x:f>IF(Y157&gt;0,Y157+IF(AB157&gt;0,AB157,0),AB157)</x:f>
      </x:c>
      <x:c r="AD157" s="46">
        <x:v>3.33</x:v>
      </x:c>
      <x:c r="AE157" s="25">
        <x:v>3010</x:v>
      </x:c>
      <x:c r="AF157" s="41">
        <x:f>(AC157-(60*Ventas!AE141*1.2350))</x:f>
      </x:c>
      <x:c r="AG157" s="43">
        <x:f>(AF157/(Ventas!AE141*1.2350)/60)</x:f>
      </x:c>
      <x:c r="AH157" s="7" t="s">
        <x:v>34</x:v>
      </x:c>
    </x:row>
    <x:row r="158">
      <x:c r="A158" s="7"/>
      <x:c r="B158" s="7" t="s">
        <x:v>318</x:v>
      </x:c>
      <x:c r="C158" s="38" t="s">
        <x:v>317</x:v>
      </x:c>
      <x:c r="D158" s="25">
        <x:v>12</x:v>
      </x:c>
      <x:c r="E158" s="39">
        <x:v>46230</x:v>
      </x:c>
      <x:c r="F158" s="40">
        <x:v>5</x:v>
      </x:c>
      <x:c r="G158" s="41">
        <x:f>(D158-(0)+0-(F158*Ventas!AE145*1.8000))</x:f>
      </x:c>
      <x:c r="H158" s="43">
        <x:f>(G158/(Ventas!AE145*1.8000)/60)</x:f>
      </x:c>
      <x:c r="I158" s="25">
        <x:v>0</x:v>
      </x:c>
      <x:c r="J158" s="41">
        <x:f>IF(G158&gt;0,G158+I158,I158)</x:f>
      </x:c>
      <x:c r="K158" s="9"/>
      <x:c r="L158" s="41">
        <x:v>20</x:v>
      </x:c>
      <x:c r="M158" s="45">
        <x:v>0.00345</x:v>
      </x:c>
      <x:c r="N158" s="39">
        <x:v>46275</x:v>
      </x:c>
      <x:c r="O158" s="40">
        <x:v>45</x:v>
      </x:c>
      <x:c r="P158" s="41">
        <x:f>(IF(G158&gt;0,G158+I158,I158)-(O158*Ventas!AE145*1.0044))</x:f>
      </x:c>
      <x:c r="Q158" s="43">
        <x:f>(P158/(Ventas!AE145*1.0044)/60)</x:f>
      </x:c>
      <x:c r="R158" s="25">
        <x:v>0</x:v>
      </x:c>
      <x:c r="S158" s="41">
        <x:f>IF(P158&gt;0,P158+R158,R158)</x:f>
      </x:c>
      <x:c r="T158" s="9"/>
      <x:c r="U158" s="41">
        <x:v>20</x:v>
      </x:c>
      <x:c r="V158" s="45">
        <x:v>0.00345</x:v>
      </x:c>
      <x:c r="W158" s="39">
        <x:v>46331</x:v>
      </x:c>
      <x:c r="X158" s="40">
        <x:v>56</x:v>
      </x:c>
      <x:c r="Y158" s="41">
        <x:f>(IF(P158&gt;0,P158+R158,R158)-(X158*Ventas!AE145*0.9018))</x:f>
      </x:c>
      <x:c r="Z158" s="43">
        <x:f>(Y158/(Ventas!AE145*0.9018)/60)</x:f>
      </x:c>
      <x:c r="AA158" s="41">
        <x:f>(100*(Ventas!AE145*1.2350) - IF(Y158&gt;0,Y158,0))</x:f>
      </x:c>
      <x:c r="AB158" s="41">
        <x:f>IF(AA158&gt;0,AA158,0)</x:f>
      </x:c>
      <x:c r="AC158" s="41">
        <x:f>IF(Y158&gt;0,Y158+IF(AB158&gt;0,AB158,0),AB158)</x:f>
      </x:c>
      <x:c r="AD158" s="46">
        <x:v>7.6</x:v>
      </x:c>
      <x:c r="AE158" s="25">
        <x:v>3010</x:v>
      </x:c>
      <x:c r="AF158" s="41">
        <x:f>(AC158-(60*Ventas!AE145*1.2350))</x:f>
      </x:c>
      <x:c r="AG158" s="43">
        <x:f>(AF158/(Ventas!AE145*1.2350)/60)</x:f>
      </x:c>
      <x:c r="AH158" s="7" t="s">
        <x:v>34</x:v>
      </x:c>
    </x:row>
    <x:row r="159">
      <x:c r="A159" s="7"/>
      <x:c r="B159" s="7" t="s">
        <x:v>320</x:v>
      </x:c>
      <x:c r="C159" s="38" t="s">
        <x:v>319</x:v>
      </x:c>
      <x:c r="D159" s="25">
        <x:v>41</x:v>
      </x:c>
      <x:c r="E159" s="39">
        <x:v>46230</x:v>
      </x:c>
      <x:c r="F159" s="40">
        <x:v>5</x:v>
      </x:c>
      <x:c r="G159" s="41">
        <x:f>(D159-(0)+0-(F159*Ventas!AE146*1.8000))</x:f>
      </x:c>
      <x:c r="H159" s="43">
        <x:f>(G159/(Ventas!AE146*1.8000)/60)</x:f>
      </x:c>
      <x:c r="I159" s="25">
        <x:v>0</x:v>
      </x:c>
      <x:c r="J159" s="41">
        <x:f>IF(G159&gt;0,G159+I159,I159)</x:f>
      </x:c>
      <x:c r="K159" s="9"/>
      <x:c r="L159" s="41">
        <x:v>20</x:v>
      </x:c>
      <x:c r="M159" s="45">
        <x:v>0.00345</x:v>
      </x:c>
      <x:c r="N159" s="39">
        <x:v>46275</x:v>
      </x:c>
      <x:c r="O159" s="40">
        <x:v>45</x:v>
      </x:c>
      <x:c r="P159" s="41">
        <x:f>(IF(G159&gt;0,G159+I159,I159)-(O159*Ventas!AE146*1.0044))</x:f>
      </x:c>
      <x:c r="Q159" s="43">
        <x:f>(P159/(Ventas!AE146*1.0044)/60)</x:f>
      </x:c>
      <x:c r="R159" s="25">
        <x:v>0</x:v>
      </x:c>
      <x:c r="S159" s="41">
        <x:f>IF(P159&gt;0,P159+R159,R159)</x:f>
      </x:c>
      <x:c r="T159" s="9"/>
      <x:c r="U159" s="41">
        <x:v>20</x:v>
      </x:c>
      <x:c r="V159" s="45">
        <x:v>0.00345</x:v>
      </x:c>
      <x:c r="W159" s="39">
        <x:v>46331</x:v>
      </x:c>
      <x:c r="X159" s="40">
        <x:v>56</x:v>
      </x:c>
      <x:c r="Y159" s="41">
        <x:f>(IF(P159&gt;0,P159+R159,R159)-(X159*Ventas!AE146*0.9018))</x:f>
      </x:c>
      <x:c r="Z159" s="43">
        <x:f>(Y159/(Ventas!AE146*0.9018)/60)</x:f>
      </x:c>
      <x:c r="AA159" s="41">
        <x:f>(100*(Ventas!AE146*1.2350) - IF(Y159&gt;0,Y159,0))</x:f>
      </x:c>
      <x:c r="AB159" s="41">
        <x:f>IF(AA159&gt;0,AA159,0)</x:f>
      </x:c>
      <x:c r="AC159" s="41">
        <x:f>IF(Y159&gt;0,Y159+IF(AB159&gt;0,AB159,0),AB159)</x:f>
      </x:c>
      <x:c r="AD159" s="46">
        <x:v>7.6</x:v>
      </x:c>
      <x:c r="AE159" s="25">
        <x:v>3010</x:v>
      </x:c>
      <x:c r="AF159" s="41">
        <x:f>(AC159-(60*Ventas!AE146*1.2350))</x:f>
      </x:c>
      <x:c r="AG159" s="43">
        <x:f>(AF159/(Ventas!AE146*1.2350)/60)</x:f>
      </x:c>
      <x:c r="AH159" s="7" t="s">
        <x:v>34</x:v>
      </x:c>
    </x:row>
    <x:row r="160">
      <x:c r="A160" s="7"/>
      <x:c r="B160" s="7" t="s">
        <x:v>322</x:v>
      </x:c>
      <x:c r="C160" s="38" t="s">
        <x:v>321</x:v>
      </x:c>
      <x:c r="D160" s="9"/>
      <x:c r="E160" s="39">
        <x:v>46230</x:v>
      </x:c>
      <x:c r="F160" s="40">
        <x:v>5</x:v>
      </x:c>
      <x:c r="G160" s="41">
        <x:f>(D160-(0)+0-(F160*Ventas!AE147*1.8000))</x:f>
      </x:c>
      <x:c r="H160" s="9"/>
      <x:c r="I160" s="25">
        <x:v>0</x:v>
      </x:c>
      <x:c r="J160" s="41">
        <x:f>IF(G160&gt;0,G160+I160,I160)</x:f>
      </x:c>
      <x:c r="K160" s="9"/>
      <x:c r="L160" s="41">
        <x:v>10</x:v>
      </x:c>
      <x:c r="M160" s="45">
        <x:v>0.027187</x:v>
      </x:c>
      <x:c r="N160" s="39">
        <x:v>46275</x:v>
      </x:c>
      <x:c r="O160" s="40">
        <x:v>45</x:v>
      </x:c>
      <x:c r="P160" s="41">
        <x:f>(IF(G160&gt;0,G160+I160,I160)-(O160*Ventas!AE147*1.0044))</x:f>
      </x:c>
      <x:c r="Q160" s="9"/>
      <x:c r="R160" s="25">
        <x:v>0</x:v>
      </x:c>
      <x:c r="S160" s="41">
        <x:f>IF(P160&gt;0,P160+R160,R160)</x:f>
      </x:c>
      <x:c r="T160" s="9"/>
      <x:c r="U160" s="41">
        <x:v>10</x:v>
      </x:c>
      <x:c r="V160" s="45">
        <x:v>0.027187</x:v>
      </x:c>
      <x:c r="W160" s="39">
        <x:v>46331</x:v>
      </x:c>
      <x:c r="X160" s="40">
        <x:v>56</x:v>
      </x:c>
      <x:c r="Y160" s="41">
        <x:f>(IF(P160&gt;0,P160+R160,R160)-(X160*Ventas!AE147*0.9018))</x:f>
      </x:c>
      <x:c r="Z160" s="9"/>
      <x:c r="AA160" s="41">
        <x:f>(100*(Ventas!AE147*1.2350) - IF(Y160&gt;0,Y160,0))</x:f>
      </x:c>
      <x:c r="AB160" s="41">
        <x:f>IF(AA160&gt;0,AA160,0)</x:f>
      </x:c>
      <x:c r="AC160" s="41">
        <x:f>IF(Y160&gt;0,Y160+IF(AB160&gt;0,AB160,0),AB160)</x:f>
      </x:c>
      <x:c r="AD160" s="46">
        <x:v>18.9</x:v>
      </x:c>
      <x:c r="AE160" s="25">
        <x:v>3010</x:v>
      </x:c>
      <x:c r="AF160" s="9"/>
      <x:c r="AG160" s="9"/>
      <x:c r="AH160" s="7" t="s">
        <x:v>34</x:v>
      </x:c>
    </x:row>
    <x:row r="161">
      <x:c r="A161" s="7"/>
      <x:c r="B161" s="7" t="s">
        <x:v>324</x:v>
      </x:c>
      <x:c r="C161" s="38" t="s">
        <x:v>323</x:v>
      </x:c>
      <x:c r="D161" s="9"/>
      <x:c r="E161" s="39">
        <x:v>46230</x:v>
      </x:c>
      <x:c r="F161" s="40">
        <x:v>5</x:v>
      </x:c>
      <x:c r="G161" s="41">
        <x:f>(D161-(0)+0-(F161*Ventas!AE148*1.8000))</x:f>
      </x:c>
      <x:c r="H161" s="9"/>
      <x:c r="I161" s="25">
        <x:v>0</x:v>
      </x:c>
      <x:c r="J161" s="41">
        <x:f>IF(G161&gt;0,G161+I161,I161)</x:f>
      </x:c>
      <x:c r="K161" s="9"/>
      <x:c r="L161" s="41">
        <x:v>20</x:v>
      </x:c>
      <x:c r="M161" s="45">
        <x:v>0.08892</x:v>
      </x:c>
      <x:c r="N161" s="39">
        <x:v>46275</x:v>
      </x:c>
      <x:c r="O161" s="40">
        <x:v>45</x:v>
      </x:c>
      <x:c r="P161" s="41">
        <x:f>(IF(G161&gt;0,G161+I161,I161)-(O161*Ventas!AE148*1.0044))</x:f>
      </x:c>
      <x:c r="Q161" s="9"/>
      <x:c r="R161" s="25">
        <x:v>0</x:v>
      </x:c>
      <x:c r="S161" s="41">
        <x:f>IF(P161&gt;0,P161+R161,R161)</x:f>
      </x:c>
      <x:c r="T161" s="9"/>
      <x:c r="U161" s="41">
        <x:v>20</x:v>
      </x:c>
      <x:c r="V161" s="45">
        <x:v>0.08892</x:v>
      </x:c>
      <x:c r="W161" s="39">
        <x:v>46331</x:v>
      </x:c>
      <x:c r="X161" s="40">
        <x:v>56</x:v>
      </x:c>
      <x:c r="Y161" s="41">
        <x:f>(IF(P161&gt;0,P161+R161,R161)-(X161*Ventas!AE148*0.9018))</x:f>
      </x:c>
      <x:c r="Z161" s="9"/>
      <x:c r="AA161" s="41">
        <x:f>(100*(Ventas!AE148*1.2350) - IF(Y161&gt;0,Y161,0))</x:f>
      </x:c>
      <x:c r="AB161" s="41">
        <x:f>IF(AA161&gt;0,AA161,0)</x:f>
      </x:c>
      <x:c r="AC161" s="41">
        <x:f>IF(Y161&gt;0,Y161+IF(AB161&gt;0,AB161,0),AB161)</x:f>
      </x:c>
      <x:c r="AD161" s="46">
        <x:v>18.9</x:v>
      </x:c>
      <x:c r="AE161" s="25">
        <x:v>3010</x:v>
      </x:c>
      <x:c r="AF161" s="9"/>
      <x:c r="AG161" s="9"/>
      <x:c r="AH161" s="7" t="s">
        <x:v>34</x:v>
      </x:c>
    </x:row>
    <x:row r="162">
      <x:c r="A162" s="7"/>
      <x:c r="B162" s="7" t="s">
        <x:v>326</x:v>
      </x:c>
      <x:c r="C162" s="38" t="s">
        <x:v>325</x:v>
      </x:c>
      <x:c r="D162" s="25">
        <x:v>45</x:v>
      </x:c>
      <x:c r="E162" s="39">
        <x:v>46230</x:v>
      </x:c>
      <x:c r="F162" s="40">
        <x:v>5</x:v>
      </x:c>
      <x:c r="G162" s="41">
        <x:f>(D162-(0)+0-(F162*Ventas!AE149*1.8000))</x:f>
      </x:c>
      <x:c r="H162" s="43">
        <x:f>(G162/(Ventas!AE149*1.8000)/60)</x:f>
      </x:c>
      <x:c r="I162" s="25">
        <x:v>0</x:v>
      </x:c>
      <x:c r="J162" s="41">
        <x:f>IF(G162&gt;0,G162+I162,I162)</x:f>
      </x:c>
      <x:c r="K162" s="9"/>
      <x:c r="L162" s="41">
        <x:v>20</x:v>
      </x:c>
      <x:c r="M162" s="45">
        <x:v>0.00325</x:v>
      </x:c>
      <x:c r="N162" s="39">
        <x:v>46275</x:v>
      </x:c>
      <x:c r="O162" s="40">
        <x:v>45</x:v>
      </x:c>
      <x:c r="P162" s="41">
        <x:f>(IF(G162&gt;0,G162+I162,I162)-(O162*Ventas!AE149*1.0044))</x:f>
      </x:c>
      <x:c r="Q162" s="43">
        <x:f>(P162/(Ventas!AE149*1.0044)/60)</x:f>
      </x:c>
      <x:c r="R162" s="25">
        <x:v>0</x:v>
      </x:c>
      <x:c r="S162" s="41">
        <x:f>IF(P162&gt;0,P162+R162,R162)</x:f>
      </x:c>
      <x:c r="T162" s="9"/>
      <x:c r="U162" s="41">
        <x:v>20</x:v>
      </x:c>
      <x:c r="V162" s="45">
        <x:v>0.00325</x:v>
      </x:c>
      <x:c r="W162" s="39">
        <x:v>46331</x:v>
      </x:c>
      <x:c r="X162" s="40">
        <x:v>56</x:v>
      </x:c>
      <x:c r="Y162" s="41">
        <x:f>(IF(P162&gt;0,P162+R162,R162)-(X162*Ventas!AE149*0.9018))</x:f>
      </x:c>
      <x:c r="Z162" s="43">
        <x:f>(Y162/(Ventas!AE149*0.9018)/60)</x:f>
      </x:c>
      <x:c r="AA162" s="41">
        <x:f>(100*(Ventas!AE149*1.2350) - IF(Y162&gt;0,Y162,0))</x:f>
      </x:c>
      <x:c r="AB162" s="41">
        <x:f>IF(AA162&gt;0,AA162,0)</x:f>
      </x:c>
      <x:c r="AC162" s="41">
        <x:f>IF(Y162&gt;0,Y162+IF(AB162&gt;0,AB162,0),AB162)</x:f>
      </x:c>
      <x:c r="AD162" s="46">
        <x:v>5.0086</x:v>
      </x:c>
      <x:c r="AE162" s="25">
        <x:v>3010</x:v>
      </x:c>
      <x:c r="AF162" s="41">
        <x:f>(AC162-(60*Ventas!AE149*1.2350))</x:f>
      </x:c>
      <x:c r="AG162" s="43">
        <x:f>(AF162/(Ventas!AE149*1.2350)/60)</x:f>
      </x:c>
      <x:c r="AH162" s="7" t="s">
        <x:v>34</x:v>
      </x:c>
    </x:row>
    <x:row r="163">
      <x:c r="A163" s="7"/>
      <x:c r="B163" s="7" t="s">
        <x:v>328</x:v>
      </x:c>
      <x:c r="C163" s="38" t="s">
        <x:v>327</x:v>
      </x:c>
      <x:c r="D163" s="25">
        <x:v>1</x:v>
      </x:c>
      <x:c r="E163" s="39">
        <x:v>46230</x:v>
      </x:c>
      <x:c r="F163" s="40">
        <x:v>5</x:v>
      </x:c>
      <x:c r="G163" s="41">
        <x:f>(D163-(0)+0-(F163*Ventas!AE150*1.8000))</x:f>
      </x:c>
      <x:c r="H163" s="43">
        <x:f>(G163/(Ventas!AE150*1.8000)/60)</x:f>
      </x:c>
      <x:c r="I163" s="25">
        <x:v>0</x:v>
      </x:c>
      <x:c r="J163" s="41">
        <x:f>IF(G163&gt;0,G163+I163,I163)</x:f>
      </x:c>
      <x:c r="K163" s="9"/>
      <x:c r="L163" s="41">
        <x:v>10</x:v>
      </x:c>
      <x:c r="M163" s="45">
        <x:v>0.002683</x:v>
      </x:c>
      <x:c r="N163" s="39">
        <x:v>46275</x:v>
      </x:c>
      <x:c r="O163" s="40">
        <x:v>45</x:v>
      </x:c>
      <x:c r="P163" s="41">
        <x:f>(IF(G163&gt;0,G163+I163,I163)-(O163*Ventas!AE150*1.0044))</x:f>
      </x:c>
      <x:c r="Q163" s="43">
        <x:f>(P163/(Ventas!AE150*1.0044)/60)</x:f>
      </x:c>
      <x:c r="R163" s="25">
        <x:v>0</x:v>
      </x:c>
      <x:c r="S163" s="41">
        <x:f>IF(P163&gt;0,P163+R163,R163)</x:f>
      </x:c>
      <x:c r="T163" s="9"/>
      <x:c r="U163" s="41">
        <x:v>10</x:v>
      </x:c>
      <x:c r="V163" s="45">
        <x:v>0.002683</x:v>
      </x:c>
      <x:c r="W163" s="39">
        <x:v>46331</x:v>
      </x:c>
      <x:c r="X163" s="40">
        <x:v>56</x:v>
      </x:c>
      <x:c r="Y163" s="41">
        <x:f>(IF(P163&gt;0,P163+R163,R163)-(X163*Ventas!AE150*0.9018))</x:f>
      </x:c>
      <x:c r="Z163" s="43">
        <x:f>(Y163/(Ventas!AE150*0.9018)/60)</x:f>
      </x:c>
      <x:c r="AA163" s="41">
        <x:f>(100*(Ventas!AE150*1.2350) - IF(Y163&gt;0,Y163,0))</x:f>
      </x:c>
      <x:c r="AB163" s="41">
        <x:f>IF(AA163&gt;0,AA163,0)</x:f>
      </x:c>
      <x:c r="AC163" s="41">
        <x:f>IF(Y163&gt;0,Y163+IF(AB163&gt;0,AB163,0),AB163)</x:f>
      </x:c>
      <x:c r="AD163" s="46">
        <x:v>11.4</x:v>
      </x:c>
      <x:c r="AE163" s="25">
        <x:v>3027</x:v>
      </x:c>
      <x:c r="AF163" s="41">
        <x:f>(AC163-(60*Ventas!AE150*1.2350))</x:f>
      </x:c>
      <x:c r="AG163" s="43">
        <x:f>(AF163/(Ventas!AE150*1.2350)/60)</x:f>
      </x:c>
      <x:c r="AH163" s="7" t="s">
        <x:v>34</x:v>
      </x:c>
    </x:row>
    <x:row r="164">
      <x:c r="A164" s="7"/>
      <x:c r="B164" s="7" t="s">
        <x:v>330</x:v>
      </x:c>
      <x:c r="C164" s="38" t="s">
        <x:v>329</x:v>
      </x:c>
      <x:c r="D164" s="9"/>
      <x:c r="E164" s="39">
        <x:v>46230</x:v>
      </x:c>
      <x:c r="F164" s="40">
        <x:v>5</x:v>
      </x:c>
      <x:c r="G164" s="41">
        <x:f>(D164-(0)+0-(F164*Ventas!AE151*1.8000))</x:f>
      </x:c>
      <x:c r="H164" s="9"/>
      <x:c r="I164" s="25">
        <x:v>0</x:v>
      </x:c>
      <x:c r="J164" s="41">
        <x:f>IF(G164&gt;0,G164+I164,I164)</x:f>
      </x:c>
      <x:c r="K164" s="9"/>
      <x:c r="L164" s="41">
        <x:v>10</x:v>
      </x:c>
      <x:c r="M164" s="45">
        <x:v>0.002911</x:v>
      </x:c>
      <x:c r="N164" s="39">
        <x:v>46275</x:v>
      </x:c>
      <x:c r="O164" s="40">
        <x:v>45</x:v>
      </x:c>
      <x:c r="P164" s="41">
        <x:f>(IF(G164&gt;0,G164+I164,I164)-(O164*Ventas!AE151*1.0044))</x:f>
      </x:c>
      <x:c r="Q164" s="9"/>
      <x:c r="R164" s="25">
        <x:v>0</x:v>
      </x:c>
      <x:c r="S164" s="41">
        <x:f>IF(P164&gt;0,P164+R164,R164)</x:f>
      </x:c>
      <x:c r="T164" s="9"/>
      <x:c r="U164" s="41">
        <x:v>10</x:v>
      </x:c>
      <x:c r="V164" s="45">
        <x:v>0.002911</x:v>
      </x:c>
      <x:c r="W164" s="39">
        <x:v>46331</x:v>
      </x:c>
      <x:c r="X164" s="40">
        <x:v>56</x:v>
      </x:c>
      <x:c r="Y164" s="41">
        <x:f>(IF(P164&gt;0,P164+R164,R164)-(X164*Ventas!AE151*0.9018))</x:f>
      </x:c>
      <x:c r="Z164" s="9"/>
      <x:c r="AA164" s="41">
        <x:f>(100*(Ventas!AE151*1.2350) - IF(Y164&gt;0,Y164,0))</x:f>
      </x:c>
      <x:c r="AB164" s="41">
        <x:f>IF(AA164&gt;0,AA164,0)</x:f>
      </x:c>
      <x:c r="AC164" s="41">
        <x:f>IF(Y164&gt;0,Y164+IF(AB164&gt;0,AB164,0),AB164)</x:f>
      </x:c>
      <x:c r="AD164" s="46">
        <x:v>18.9</x:v>
      </x:c>
      <x:c r="AE164" s="25">
        <x:v>3010</x:v>
      </x:c>
      <x:c r="AF164" s="9"/>
      <x:c r="AG164" s="9"/>
      <x:c r="AH164" s="7" t="s">
        <x:v>34</x:v>
      </x:c>
    </x:row>
    <x:row r="165">
      <x:c r="A165" s="7"/>
      <x:c r="B165" s="7" t="s">
        <x:v>332</x:v>
      </x:c>
      <x:c r="C165" s="38" t="s">
        <x:v>331</x:v>
      </x:c>
      <x:c r="D165" s="25">
        <x:v>79</x:v>
      </x:c>
      <x:c r="E165" s="39">
        <x:v>46230</x:v>
      </x:c>
      <x:c r="F165" s="40">
        <x:v>5</x:v>
      </x:c>
      <x:c r="G165" s="41">
        <x:f>(D165-(0)+0-(F165*Ventas!AE152*1.8000))</x:f>
      </x:c>
      <x:c r="H165" s="43">
        <x:f>(G165/(Ventas!AE152*1.8000)/60)</x:f>
      </x:c>
      <x:c r="I165" s="25">
        <x:v>0</x:v>
      </x:c>
      <x:c r="J165" s="41">
        <x:f>IF(G165&gt;0,G165+I165,I165)</x:f>
      </x:c>
      <x:c r="K165" s="9"/>
      <x:c r="L165" s="41">
        <x:v>10</x:v>
      </x:c>
      <x:c r="M165" s="45">
        <x:v>0.0069</x:v>
      </x:c>
      <x:c r="N165" s="39">
        <x:v>46275</x:v>
      </x:c>
      <x:c r="O165" s="40">
        <x:v>45</x:v>
      </x:c>
      <x:c r="P165" s="41">
        <x:f>(IF(G165&gt;0,G165+I165,I165)-(O165*Ventas!AE152*1.0044))</x:f>
      </x:c>
      <x:c r="Q165" s="43">
        <x:f>(P165/(Ventas!AE152*1.0044)/60)</x:f>
      </x:c>
      <x:c r="R165" s="25">
        <x:v>0</x:v>
      </x:c>
      <x:c r="S165" s="41">
        <x:f>IF(P165&gt;0,P165+R165,R165)</x:f>
      </x:c>
      <x:c r="T165" s="9"/>
      <x:c r="U165" s="41">
        <x:v>10</x:v>
      </x:c>
      <x:c r="V165" s="45">
        <x:v>0.0069</x:v>
      </x:c>
      <x:c r="W165" s="39">
        <x:v>46331</x:v>
      </x:c>
      <x:c r="X165" s="40">
        <x:v>56</x:v>
      </x:c>
      <x:c r="Y165" s="41">
        <x:f>(IF(P165&gt;0,P165+R165,R165)-(X165*Ventas!AE152*0.9018))</x:f>
      </x:c>
      <x:c r="Z165" s="43">
        <x:f>(Y165/(Ventas!AE152*0.9018)/60)</x:f>
      </x:c>
      <x:c r="AA165" s="41">
        <x:f>(100*(Ventas!AE152*1.2350) - IF(Y165&gt;0,Y165,0))</x:f>
      </x:c>
      <x:c r="AB165" s="41">
        <x:f>IF(AA165&gt;0,AA165,0)</x:f>
      </x:c>
      <x:c r="AC165" s="41">
        <x:f>IF(Y165&gt;0,Y165+IF(AB165&gt;0,AB165,0),AB165)</x:f>
      </x:c>
      <x:c r="AD165" s="46">
        <x:v>17.1</x:v>
      </x:c>
      <x:c r="AE165" s="25">
        <x:v>3010</x:v>
      </x:c>
      <x:c r="AF165" s="41">
        <x:f>(AC165-(60*Ventas!AE152*1.2350))</x:f>
      </x:c>
      <x:c r="AG165" s="43">
        <x:f>(AF165/(Ventas!AE152*1.2350)/60)</x:f>
      </x:c>
      <x:c r="AH165" s="7" t="s">
        <x:v>34</x:v>
      </x:c>
    </x:row>
    <x:row r="166">
      <x:c r="A166" s="7"/>
      <x:c r="B166" s="7" t="s">
        <x:v>334</x:v>
      </x:c>
      <x:c r="C166" s="38" t="s">
        <x:v>333</x:v>
      </x:c>
      <x:c r="D166" s="9"/>
      <x:c r="E166" s="39">
        <x:v>46230</x:v>
      </x:c>
      <x:c r="F166" s="40">
        <x:v>5</x:v>
      </x:c>
      <x:c r="G166" s="41">
        <x:f>(D166-(0)+0-(F166*Ventas!AE153*1.8000))</x:f>
      </x:c>
      <x:c r="H166" s="9"/>
      <x:c r="I166" s="25">
        <x:v>0</x:v>
      </x:c>
      <x:c r="J166" s="41">
        <x:f>IF(G166&gt;0,G166+I166,I166)</x:f>
      </x:c>
      <x:c r="K166" s="9"/>
      <x:c r="L166" s="41">
        <x:v>20</x:v>
      </x:c>
      <x:c r="M166" s="45">
        <x:v>0.003951</x:v>
      </x:c>
      <x:c r="N166" s="39">
        <x:v>46275</x:v>
      </x:c>
      <x:c r="O166" s="40">
        <x:v>45</x:v>
      </x:c>
      <x:c r="P166" s="41">
        <x:f>(IF(G166&gt;0,G166+I166,I166)-(O166*Ventas!AE153*1.0044))</x:f>
      </x:c>
      <x:c r="Q166" s="9"/>
      <x:c r="R166" s="25">
        <x:v>0</x:v>
      </x:c>
      <x:c r="S166" s="41">
        <x:f>IF(P166&gt;0,P166+R166,R166)</x:f>
      </x:c>
      <x:c r="T166" s="9"/>
      <x:c r="U166" s="41">
        <x:v>20</x:v>
      </x:c>
      <x:c r="V166" s="45">
        <x:v>0.003951</x:v>
      </x:c>
      <x:c r="W166" s="39">
        <x:v>46331</x:v>
      </x:c>
      <x:c r="X166" s="40">
        <x:v>56</x:v>
      </x:c>
      <x:c r="Y166" s="41">
        <x:f>(IF(P166&gt;0,P166+R166,R166)-(X166*Ventas!AE153*0.9018))</x:f>
      </x:c>
      <x:c r="Z166" s="9"/>
      <x:c r="AA166" s="41">
        <x:f>(100*(Ventas!AE153*1.2350) - IF(Y166&gt;0,Y166,0))</x:f>
      </x:c>
      <x:c r="AB166" s="41">
        <x:f>IF(AA166&gt;0,AA166,0)</x:f>
      </x:c>
      <x:c r="AC166" s="41">
        <x:f>IF(Y166&gt;0,Y166+IF(AB166&gt;0,AB166,0),AB166)</x:f>
      </x:c>
      <x:c r="AD166" s="46">
        <x:v>21</x:v>
      </x:c>
      <x:c r="AE166" s="25">
        <x:v>3010</x:v>
      </x:c>
      <x:c r="AF166" s="9"/>
      <x:c r="AG166" s="9"/>
      <x:c r="AH166" s="7" t="s">
        <x:v>34</x:v>
      </x:c>
    </x:row>
    <x:row r="167">
      <x:c r="A167" s="7"/>
      <x:c r="B167" s="7" t="s">
        <x:v>336</x:v>
      </x:c>
      <x:c r="C167" s="38" t="s">
        <x:v>335</x:v>
      </x:c>
      <x:c r="D167" s="25">
        <x:v>3</x:v>
      </x:c>
      <x:c r="E167" s="39">
        <x:v>46230</x:v>
      </x:c>
      <x:c r="F167" s="40">
        <x:v>5</x:v>
      </x:c>
      <x:c r="G167" s="41">
        <x:f>(D167-(0)+0-(F167*Ventas!AE154*1.8000))</x:f>
      </x:c>
      <x:c r="H167" s="43">
        <x:f>(G167/(Ventas!AE154*1.8000)/60)</x:f>
      </x:c>
      <x:c r="I167" s="25">
        <x:v>60</x:v>
      </x:c>
      <x:c r="J167" s="41">
        <x:f>IF(G167&gt;0,G167+I167,I167)</x:f>
      </x:c>
      <x:c r="K167" s="41">
        <x:v>10.816</x:v>
      </x:c>
      <x:c r="L167" s="41">
        <x:v>20</x:v>
      </x:c>
      <x:c r="M167" s="45">
        <x:v>0.00485</x:v>
      </x:c>
      <x:c r="N167" s="39">
        <x:v>46275</x:v>
      </x:c>
      <x:c r="O167" s="40">
        <x:v>45</x:v>
      </x:c>
      <x:c r="P167" s="41">
        <x:f>(IF(G167&gt;0,G167+I167,I167)-(O167*Ventas!AE154*1.0044))</x:f>
      </x:c>
      <x:c r="Q167" s="43">
        <x:f>(P167/(Ventas!AE154*1.0044)/60)</x:f>
      </x:c>
      <x:c r="R167" s="25">
        <x:v>40</x:v>
      </x:c>
      <x:c r="S167" s="41">
        <x:f>IF(P167&gt;0,P167+R167,R167)</x:f>
      </x:c>
      <x:c r="T167" s="41">
        <x:v>10.8</x:v>
      </x:c>
      <x:c r="U167" s="41">
        <x:v>20</x:v>
      </x:c>
      <x:c r="V167" s="45">
        <x:v>0.00485</x:v>
      </x:c>
      <x:c r="W167" s="39">
        <x:v>46331</x:v>
      </x:c>
      <x:c r="X167" s="40">
        <x:v>56</x:v>
      </x:c>
      <x:c r="Y167" s="41">
        <x:f>(IF(P167&gt;0,P167+R167,R167)-(X167*Ventas!AE154*0.9018))</x:f>
      </x:c>
      <x:c r="Z167" s="43">
        <x:f>(Y167/(Ventas!AE154*0.9018)/60)</x:f>
      </x:c>
      <x:c r="AA167" s="41">
        <x:f>(100*(Ventas!AE154*1.2350) - IF(Y167&gt;0,Y167,0))</x:f>
      </x:c>
      <x:c r="AB167" s="41">
        <x:f>IF(AA167&gt;0,AA167,0)</x:f>
      </x:c>
      <x:c r="AC167" s="41">
        <x:f>IF(Y167&gt;0,Y167+IF(AB167&gt;0,AB167,0),AB167)</x:f>
      </x:c>
      <x:c r="AD167" s="46">
        <x:v>10.816</x:v>
      </x:c>
      <x:c r="AE167" s="25">
        <x:v>3027</x:v>
      </x:c>
      <x:c r="AF167" s="41">
        <x:f>(AC167-(60*Ventas!AE154*1.2350))</x:f>
      </x:c>
      <x:c r="AG167" s="43">
        <x:f>(AF167/(Ventas!AE154*1.2350)/60)</x:f>
      </x:c>
      <x:c r="AH167" s="7" t="s">
        <x:v>34</x:v>
      </x:c>
    </x:row>
    <x:row r="168">
      <x:c r="A168" s="7"/>
      <x:c r="B168" s="7" t="s">
        <x:v>338</x:v>
      </x:c>
      <x:c r="C168" s="38" t="s">
        <x:v>337</x:v>
      </x:c>
      <x:c r="D168" s="25">
        <x:v>6</x:v>
      </x:c>
      <x:c r="E168" s="39">
        <x:v>46230</x:v>
      </x:c>
      <x:c r="F168" s="40">
        <x:v>5</x:v>
      </x:c>
      <x:c r="G168" s="41">
        <x:f>(D168-(0)+0-(F168*Ventas!AE155*1.8000))</x:f>
      </x:c>
      <x:c r="H168" s="43">
        <x:f>(G168/(Ventas!AE155*1.8000)/60)</x:f>
      </x:c>
      <x:c r="I168" s="25">
        <x:v>0</x:v>
      </x:c>
      <x:c r="J168" s="41">
        <x:f>IF(G168&gt;0,G168+I168,I168)</x:f>
      </x:c>
      <x:c r="K168" s="9"/>
      <x:c r="L168" s="41">
        <x:v>15</x:v>
      </x:c>
      <x:c r="M168" s="45">
        <x:v>0.003333</x:v>
      </x:c>
      <x:c r="N168" s="39">
        <x:v>46275</x:v>
      </x:c>
      <x:c r="O168" s="40">
        <x:v>45</x:v>
      </x:c>
      <x:c r="P168" s="41">
        <x:f>(IF(G168&gt;0,G168+I168,I168)-(O168*Ventas!AE155*1.0044))</x:f>
      </x:c>
      <x:c r="Q168" s="43">
        <x:f>(P168/(Ventas!AE155*1.0044)/60)</x:f>
      </x:c>
      <x:c r="R168" s="25">
        <x:v>45</x:v>
      </x:c>
      <x:c r="S168" s="41">
        <x:f>IF(P168&gt;0,P168+R168,R168)</x:f>
      </x:c>
      <x:c r="T168" s="41">
        <x:v>6.1</x:v>
      </x:c>
      <x:c r="U168" s="41">
        <x:v>15</x:v>
      </x:c>
      <x:c r="V168" s="45">
        <x:v>0.003333</x:v>
      </x:c>
      <x:c r="W168" s="39">
        <x:v>46331</x:v>
      </x:c>
      <x:c r="X168" s="40">
        <x:v>56</x:v>
      </x:c>
      <x:c r="Y168" s="41">
        <x:f>(IF(P168&gt;0,P168+R168,R168)-(X168*Ventas!AE155*0.9018))</x:f>
      </x:c>
      <x:c r="Z168" s="43">
        <x:f>(Y168/(Ventas!AE155*0.9018)/60)</x:f>
      </x:c>
      <x:c r="AA168" s="41">
        <x:f>(100*(Ventas!AE155*1.2350) - IF(Y168&gt;0,Y168,0))</x:f>
      </x:c>
      <x:c r="AB168" s="41">
        <x:f>IF(AA168&gt;0,AA168,0)</x:f>
      </x:c>
      <x:c r="AC168" s="41">
        <x:f>IF(Y168&gt;0,Y168+IF(AB168&gt;0,AB168,0),AB168)</x:f>
      </x:c>
      <x:c r="AD168" s="46">
        <x:v>5.9906</x:v>
      </x:c>
      <x:c r="AE168" s="25">
        <x:v>3010</x:v>
      </x:c>
      <x:c r="AF168" s="41">
        <x:f>(AC168-(60*Ventas!AE155*1.2350))</x:f>
      </x:c>
      <x:c r="AG168" s="43">
        <x:f>(AF168/(Ventas!AE155*1.2350)/60)</x:f>
      </x:c>
      <x:c r="AH168" s="7" t="s">
        <x:v>34</x:v>
      </x:c>
    </x:row>
    <x:row r="169">
      <x:c r="A169" s="7"/>
      <x:c r="B169" s="7" t="s">
        <x:v>340</x:v>
      </x:c>
      <x:c r="C169" s="38" t="s">
        <x:v>339</x:v>
      </x:c>
      <x:c r="D169" s="9"/>
      <x:c r="E169" s="39">
        <x:v>46230</x:v>
      </x:c>
      <x:c r="F169" s="40">
        <x:v>5</x:v>
      </x:c>
      <x:c r="G169" s="41">
        <x:f>(D169-(0)+0-(F169*Ventas!AE156*1.8000))</x:f>
      </x:c>
      <x:c r="H169" s="9"/>
      <x:c r="I169" s="25">
        <x:v>0</x:v>
      </x:c>
      <x:c r="J169" s="41">
        <x:f>IF(G169&gt;0,G169+I169,I169)</x:f>
      </x:c>
      <x:c r="K169" s="9"/>
      <x:c r="L169" s="41">
        <x:v>10</x:v>
      </x:c>
      <x:c r="M169" s="45">
        <x:v>0.027187</x:v>
      </x:c>
      <x:c r="N169" s="39">
        <x:v>46275</x:v>
      </x:c>
      <x:c r="O169" s="40">
        <x:v>45</x:v>
      </x:c>
      <x:c r="P169" s="41">
        <x:f>(IF(G169&gt;0,G169+I169,I169)-(O169*Ventas!AE156*1.0044))</x:f>
      </x:c>
      <x:c r="Q169" s="9"/>
      <x:c r="R169" s="25">
        <x:v>0</x:v>
      </x:c>
      <x:c r="S169" s="41">
        <x:f>IF(P169&gt;0,P169+R169,R169)</x:f>
      </x:c>
      <x:c r="T169" s="9"/>
      <x:c r="U169" s="41">
        <x:v>10</x:v>
      </x:c>
      <x:c r="V169" s="45">
        <x:v>0.027187</x:v>
      </x:c>
      <x:c r="W169" s="39">
        <x:v>46331</x:v>
      </x:c>
      <x:c r="X169" s="40">
        <x:v>56</x:v>
      </x:c>
      <x:c r="Y169" s="41">
        <x:f>(IF(P169&gt;0,P169+R169,R169)-(X169*Ventas!AE156*0.9018))</x:f>
      </x:c>
      <x:c r="Z169" s="9"/>
      <x:c r="AA169" s="41">
        <x:f>(100*(Ventas!AE156*1.2350) - IF(Y169&gt;0,Y169,0))</x:f>
      </x:c>
      <x:c r="AB169" s="41">
        <x:f>IF(AA169&gt;0,AA169,0)</x:f>
      </x:c>
      <x:c r="AC169" s="41">
        <x:f>IF(Y169&gt;0,Y169+IF(AB169&gt;0,AB169,0),AB169)</x:f>
      </x:c>
      <x:c r="AD169" s="9"/>
      <x:c r="AE169" s="9"/>
      <x:c r="AF169" s="9"/>
      <x:c r="AG169" s="9"/>
      <x:c r="AH169" s="7" t="s">
        <x:v>34</x:v>
      </x:c>
    </x:row>
    <x:row r="170">
      <x:c r="A170" s="7"/>
      <x:c r="B170" s="7" t="s">
        <x:v>346</x:v>
      </x:c>
      <x:c r="C170" s="38" t="s">
        <x:v>345</x:v>
      </x:c>
      <x:c r="D170" s="9"/>
      <x:c r="E170" s="39">
        <x:v>46230</x:v>
      </x:c>
      <x:c r="F170" s="40">
        <x:v>5</x:v>
      </x:c>
      <x:c r="G170" s="41">
        <x:f>(D170-(0)+0-(F170*Ventas!AE159*1.8000))</x:f>
      </x:c>
      <x:c r="H170" s="9"/>
      <x:c r="I170" s="25">
        <x:v>0</x:v>
      </x:c>
      <x:c r="J170" s="41">
        <x:f>IF(G170&gt;0,G170+I170,I170)</x:f>
      </x:c>
      <x:c r="K170" s="9"/>
      <x:c r="L170" s="41">
        <x:v>10</x:v>
      </x:c>
      <x:c r="M170" s="45">
        <x:v>0.027187</x:v>
      </x:c>
      <x:c r="N170" s="39">
        <x:v>46275</x:v>
      </x:c>
      <x:c r="O170" s="40">
        <x:v>45</x:v>
      </x:c>
      <x:c r="P170" s="41">
        <x:f>(IF(G170&gt;0,G170+I170,I170)-(O170*Ventas!AE159*1.0044))</x:f>
      </x:c>
      <x:c r="Q170" s="9"/>
      <x:c r="R170" s="25">
        <x:v>0</x:v>
      </x:c>
      <x:c r="S170" s="41">
        <x:f>IF(P170&gt;0,P170+R170,R170)</x:f>
      </x:c>
      <x:c r="T170" s="9"/>
      <x:c r="U170" s="41">
        <x:v>10</x:v>
      </x:c>
      <x:c r="V170" s="45">
        <x:v>0.027187</x:v>
      </x:c>
      <x:c r="W170" s="39">
        <x:v>46331</x:v>
      </x:c>
      <x:c r="X170" s="40">
        <x:v>56</x:v>
      </x:c>
      <x:c r="Y170" s="41">
        <x:f>(IF(P170&gt;0,P170+R170,R170)-(X170*Ventas!AE159*0.9018))</x:f>
      </x:c>
      <x:c r="Z170" s="9"/>
      <x:c r="AA170" s="41">
        <x:f>(100*(Ventas!AE159*1.2350) - IF(Y170&gt;0,Y170,0))</x:f>
      </x:c>
      <x:c r="AB170" s="41">
        <x:f>IF(AA170&gt;0,AA170,0)</x:f>
      </x:c>
      <x:c r="AC170" s="41">
        <x:f>IF(Y170&gt;0,Y170+IF(AB170&gt;0,AB170,0),AB170)</x:f>
      </x:c>
      <x:c r="AD170" s="46">
        <x:v>24.1864</x:v>
      </x:c>
      <x:c r="AE170" s="25">
        <x:v>3017</x:v>
      </x:c>
      <x:c r="AF170" s="9"/>
      <x:c r="AG170" s="9"/>
      <x:c r="AH170" s="7" t="s">
        <x:v>34</x:v>
      </x:c>
    </x:row>
    <x:row r="171">
      <x:c r="A171" s="7"/>
      <x:c r="B171" s="7" t="s">
        <x:v>348</x:v>
      </x:c>
      <x:c r="C171" s="38" t="s">
        <x:v>347</x:v>
      </x:c>
      <x:c r="D171" s="9"/>
      <x:c r="E171" s="39">
        <x:v>46230</x:v>
      </x:c>
      <x:c r="F171" s="40">
        <x:v>5</x:v>
      </x:c>
      <x:c r="G171" s="41">
        <x:f>(D171-(0)+0-(F171*Ventas!AE160*1.8000))</x:f>
      </x:c>
      <x:c r="H171" s="9"/>
      <x:c r="I171" s="25">
        <x:v>0</x:v>
      </x:c>
      <x:c r="J171" s="41">
        <x:f>IF(G171&gt;0,G171+I171,I171)</x:f>
      </x:c>
      <x:c r="K171" s="9"/>
      <x:c r="L171" s="41">
        <x:v>10</x:v>
      </x:c>
      <x:c r="M171" s="45">
        <x:v>0.027187</x:v>
      </x:c>
      <x:c r="N171" s="39">
        <x:v>46275</x:v>
      </x:c>
      <x:c r="O171" s="40">
        <x:v>45</x:v>
      </x:c>
      <x:c r="P171" s="41">
        <x:f>(IF(G171&gt;0,G171+I171,I171)-(O171*Ventas!AE160*1.0044))</x:f>
      </x:c>
      <x:c r="Q171" s="9"/>
      <x:c r="R171" s="25">
        <x:v>0</x:v>
      </x:c>
      <x:c r="S171" s="41">
        <x:f>IF(P171&gt;0,P171+R171,R171)</x:f>
      </x:c>
      <x:c r="T171" s="9"/>
      <x:c r="U171" s="41">
        <x:v>10</x:v>
      </x:c>
      <x:c r="V171" s="45">
        <x:v>0.027187</x:v>
      </x:c>
      <x:c r="W171" s="39">
        <x:v>46331</x:v>
      </x:c>
      <x:c r="X171" s="40">
        <x:v>56</x:v>
      </x:c>
      <x:c r="Y171" s="41">
        <x:f>(IF(P171&gt;0,P171+R171,R171)-(X171*Ventas!AE160*0.9018))</x:f>
      </x:c>
      <x:c r="Z171" s="9"/>
      <x:c r="AA171" s="41">
        <x:f>(100*(Ventas!AE160*1.2350) - IF(Y171&gt;0,Y171,0))</x:f>
      </x:c>
      <x:c r="AB171" s="41">
        <x:f>IF(AA171&gt;0,AA171,0)</x:f>
      </x:c>
      <x:c r="AC171" s="41">
        <x:f>IF(Y171&gt;0,Y171+IF(AB171&gt;0,AB171,0),AB171)</x:f>
      </x:c>
      <x:c r="AD171" s="46">
        <x:v>24.1864</x:v>
      </x:c>
      <x:c r="AE171" s="25">
        <x:v>3017</x:v>
      </x:c>
      <x:c r="AF171" s="9"/>
      <x:c r="AG171" s="9"/>
      <x:c r="AH171" s="7" t="s">
        <x:v>34</x:v>
      </x:c>
    </x:row>
    <x:row r="172">
      <x:c r="A172" s="7"/>
      <x:c r="B172" s="7" t="s">
        <x:v>350</x:v>
      </x:c>
      <x:c r="C172" s="38" t="s">
        <x:v>349</x:v>
      </x:c>
      <x:c r="D172" s="9"/>
      <x:c r="E172" s="39">
        <x:v>46230</x:v>
      </x:c>
      <x:c r="F172" s="40">
        <x:v>5</x:v>
      </x:c>
      <x:c r="G172" s="41">
        <x:f>(D172-(0)+0-(F172*Ventas!AE161*1.8000))</x:f>
      </x:c>
      <x:c r="H172" s="9"/>
      <x:c r="I172" s="25">
        <x:v>0</x:v>
      </x:c>
      <x:c r="J172" s="41">
        <x:f>IF(G172&gt;0,G172+I172,I172)</x:f>
      </x:c>
      <x:c r="K172" s="9"/>
      <x:c r="L172" s="41">
        <x:v>10</x:v>
      </x:c>
      <x:c r="M172" s="45">
        <x:v>0.027187</x:v>
      </x:c>
      <x:c r="N172" s="39">
        <x:v>46275</x:v>
      </x:c>
      <x:c r="O172" s="40">
        <x:v>45</x:v>
      </x:c>
      <x:c r="P172" s="41">
        <x:f>(IF(G172&gt;0,G172+I172,I172)-(O172*Ventas!AE161*1.0044))</x:f>
      </x:c>
      <x:c r="Q172" s="9"/>
      <x:c r="R172" s="25">
        <x:v>0</x:v>
      </x:c>
      <x:c r="S172" s="41">
        <x:f>IF(P172&gt;0,P172+R172,R172)</x:f>
      </x:c>
      <x:c r="T172" s="9"/>
      <x:c r="U172" s="41">
        <x:v>10</x:v>
      </x:c>
      <x:c r="V172" s="45">
        <x:v>0.027187</x:v>
      </x:c>
      <x:c r="W172" s="39">
        <x:v>46331</x:v>
      </x:c>
      <x:c r="X172" s="40">
        <x:v>56</x:v>
      </x:c>
      <x:c r="Y172" s="41">
        <x:f>(IF(P172&gt;0,P172+R172,R172)-(X172*Ventas!AE161*0.9018))</x:f>
      </x:c>
      <x:c r="Z172" s="9"/>
      <x:c r="AA172" s="41">
        <x:f>(100*(Ventas!AE161*1.2350) - IF(Y172&gt;0,Y172,0))</x:f>
      </x:c>
      <x:c r="AB172" s="41">
        <x:f>IF(AA172&gt;0,AA172,0)</x:f>
      </x:c>
      <x:c r="AC172" s="41">
        <x:f>IF(Y172&gt;0,Y172+IF(AB172&gt;0,AB172,0),AB172)</x:f>
      </x:c>
      <x:c r="AD172" s="46">
        <x:v>24.1864</x:v>
      </x:c>
      <x:c r="AE172" s="25">
        <x:v>3017</x:v>
      </x:c>
      <x:c r="AF172" s="9"/>
      <x:c r="AG172" s="9"/>
      <x:c r="AH172" s="7" t="s">
        <x:v>34</x:v>
      </x:c>
    </x:row>
    <x:row r="173">
      <x:c r="A173" s="7"/>
      <x:c r="B173" s="7" t="s">
        <x:v>352</x:v>
      </x:c>
      <x:c r="C173" s="38" t="s">
        <x:v>351</x:v>
      </x:c>
      <x:c r="D173" s="25">
        <x:v>226</x:v>
      </x:c>
      <x:c r="E173" s="39">
        <x:v>46230</x:v>
      </x:c>
      <x:c r="F173" s="40">
        <x:v>5</x:v>
      </x:c>
      <x:c r="G173" s="41">
        <x:f>(D173-(0)+0-(F173*Ventas!AE162*1.8000))</x:f>
      </x:c>
      <x:c r="H173" s="43">
        <x:f>(G173/(Ventas!AE162*1.8000)/60)</x:f>
      </x:c>
      <x:c r="I173" s="25">
        <x:v>0</x:v>
      </x:c>
      <x:c r="J173" s="41">
        <x:f>IF(G173&gt;0,G173+I173,I173)</x:f>
      </x:c>
      <x:c r="K173" s="9"/>
      <x:c r="L173" s="41">
        <x:v>30</x:v>
      </x:c>
      <x:c r="M173" s="45">
        <x:v>0.002371</x:v>
      </x:c>
      <x:c r="N173" s="39">
        <x:v>46275</x:v>
      </x:c>
      <x:c r="O173" s="40">
        <x:v>45</x:v>
      </x:c>
      <x:c r="P173" s="41">
        <x:f>(IF(G173&gt;0,G173+I173,I173)-(O173*Ventas!AE162*1.0044))</x:f>
      </x:c>
      <x:c r="Q173" s="43">
        <x:f>(P173/(Ventas!AE162*1.0044)/60)</x:f>
      </x:c>
      <x:c r="R173" s="25">
        <x:v>0</x:v>
      </x:c>
      <x:c r="S173" s="41">
        <x:f>IF(P173&gt;0,P173+R173,R173)</x:f>
      </x:c>
      <x:c r="T173" s="9"/>
      <x:c r="U173" s="41">
        <x:v>30</x:v>
      </x:c>
      <x:c r="V173" s="45">
        <x:v>0.002371</x:v>
      </x:c>
      <x:c r="W173" s="39">
        <x:v>46331</x:v>
      </x:c>
      <x:c r="X173" s="40">
        <x:v>56</x:v>
      </x:c>
      <x:c r="Y173" s="41">
        <x:f>(IF(P173&gt;0,P173+R173,R173)-(X173*Ventas!AE162*0.9018))</x:f>
      </x:c>
      <x:c r="Z173" s="43">
        <x:f>(Y173/(Ventas!AE162*0.9018)/60)</x:f>
      </x:c>
      <x:c r="AA173" s="41">
        <x:f>(100*(Ventas!AE162*1.2350) - IF(Y173&gt;0,Y173,0))</x:f>
      </x:c>
      <x:c r="AB173" s="41">
        <x:f>IF(AA173&gt;0,AA173,0)</x:f>
      </x:c>
      <x:c r="AC173" s="41">
        <x:f>IF(Y173&gt;0,Y173+IF(AB173&gt;0,AB173,0),AB173)</x:f>
      </x:c>
      <x:c r="AD173" s="9"/>
      <x:c r="AE173" s="25">
        <x:v>3027</x:v>
      </x:c>
      <x:c r="AF173" s="41">
        <x:f>(AC173-(60*Ventas!AE162*1.2350))</x:f>
      </x:c>
      <x:c r="AG173" s="43">
        <x:f>(AF173/(Ventas!AE162*1.2350)/60)</x:f>
      </x:c>
      <x:c r="AH173" s="7" t="s">
        <x:v>34</x:v>
      </x:c>
    </x:row>
    <x:row r="174">
      <x:c r="A174" s="7"/>
      <x:c r="B174" s="7" t="s">
        <x:v>354</x:v>
      </x:c>
      <x:c r="C174" s="38" t="s">
        <x:v>353</x:v>
      </x:c>
      <x:c r="D174" s="9"/>
      <x:c r="E174" s="39">
        <x:v>46230</x:v>
      </x:c>
      <x:c r="F174" s="40">
        <x:v>5</x:v>
      </x:c>
      <x:c r="G174" s="41">
        <x:f>(D174-(0)+0-(F174*Ventas!AE163*1.8000))</x:f>
      </x:c>
      <x:c r="H174" s="9"/>
      <x:c r="I174" s="25">
        <x:v>0</x:v>
      </x:c>
      <x:c r="J174" s="41">
        <x:f>IF(G174&gt;0,G174+I174,I174)</x:f>
      </x:c>
      <x:c r="K174" s="9"/>
      <x:c r="L174" s="41">
        <x:v>20</x:v>
      </x:c>
      <x:c r="M174" s="45">
        <x:v>0.0774</x:v>
      </x:c>
      <x:c r="N174" s="39">
        <x:v>46275</x:v>
      </x:c>
      <x:c r="O174" s="40">
        <x:v>45</x:v>
      </x:c>
      <x:c r="P174" s="41">
        <x:f>(IF(G174&gt;0,G174+I174,I174)-(O174*Ventas!AE163*1.0044))</x:f>
      </x:c>
      <x:c r="Q174" s="9"/>
      <x:c r="R174" s="25">
        <x:v>0</x:v>
      </x:c>
      <x:c r="S174" s="41">
        <x:f>IF(P174&gt;0,P174+R174,R174)</x:f>
      </x:c>
      <x:c r="T174" s="9"/>
      <x:c r="U174" s="41">
        <x:v>20</x:v>
      </x:c>
      <x:c r="V174" s="45">
        <x:v>0.0774</x:v>
      </x:c>
      <x:c r="W174" s="39">
        <x:v>46331</x:v>
      </x:c>
      <x:c r="X174" s="40">
        <x:v>56</x:v>
      </x:c>
      <x:c r="Y174" s="41">
        <x:f>(IF(P174&gt;0,P174+R174,R174)-(X174*Ventas!AE163*0.9018))</x:f>
      </x:c>
      <x:c r="Z174" s="9"/>
      <x:c r="AA174" s="41">
        <x:f>(100*(Ventas!AE163*1.2350) - IF(Y174&gt;0,Y174,0))</x:f>
      </x:c>
      <x:c r="AB174" s="41">
        <x:f>IF(AA174&gt;0,AA174,0)</x:f>
      </x:c>
      <x:c r="AC174" s="41">
        <x:f>IF(Y174&gt;0,Y174+IF(AB174&gt;0,AB174,0),AB174)</x:f>
      </x:c>
      <x:c r="AD174" s="46">
        <x:v>21</x:v>
      </x:c>
      <x:c r="AE174" s="25">
        <x:v>3010</x:v>
      </x:c>
      <x:c r="AF174" s="9"/>
      <x:c r="AG174" s="9"/>
      <x:c r="AH174" s="7" t="s">
        <x:v>34</x:v>
      </x:c>
    </x:row>
    <x:row r="175">
      <x:c r="A175" s="7"/>
      <x:c r="B175" s="7" t="s">
        <x:v>356</x:v>
      </x:c>
      <x:c r="C175" s="38" t="s">
        <x:v>355</x:v>
      </x:c>
      <x:c r="D175" s="25">
        <x:v>57</x:v>
      </x:c>
      <x:c r="E175" s="39">
        <x:v>46230</x:v>
      </x:c>
      <x:c r="F175" s="40">
        <x:v>5</x:v>
      </x:c>
      <x:c r="G175" s="41">
        <x:f>(D175-(0)+0-(F175*Ventas!AE164*1.8000))</x:f>
      </x:c>
      <x:c r="H175" s="43">
        <x:f>(G175/(Ventas!AE164*1.8000)/60)</x:f>
      </x:c>
      <x:c r="I175" s="25">
        <x:v>80</x:v>
      </x:c>
      <x:c r="J175" s="41">
        <x:f>IF(G175&gt;0,G175+I175,I175)</x:f>
      </x:c>
      <x:c r="K175" s="41">
        <x:v>17.576</x:v>
      </x:c>
      <x:c r="L175" s="41">
        <x:v>20</x:v>
      </x:c>
      <x:c r="M175" s="45">
        <x:v>0.0022</x:v>
      </x:c>
      <x:c r="N175" s="39">
        <x:v>46275</x:v>
      </x:c>
      <x:c r="O175" s="40">
        <x:v>45</x:v>
      </x:c>
      <x:c r="P175" s="41">
        <x:f>(IF(G175&gt;0,G175+I175,I175)-(O175*Ventas!AE164*1.0044))</x:f>
      </x:c>
      <x:c r="Q175" s="43">
        <x:f>(P175/(Ventas!AE164*1.0044)/60)</x:f>
      </x:c>
      <x:c r="R175" s="25">
        <x:v>0</x:v>
      </x:c>
      <x:c r="S175" s="41">
        <x:f>IF(P175&gt;0,P175+R175,R175)</x:f>
      </x:c>
      <x:c r="T175" s="9"/>
      <x:c r="U175" s="41">
        <x:v>20</x:v>
      </x:c>
      <x:c r="V175" s="45">
        <x:v>0.0022</x:v>
      </x:c>
      <x:c r="W175" s="39">
        <x:v>46331</x:v>
      </x:c>
      <x:c r="X175" s="40">
        <x:v>56</x:v>
      </x:c>
      <x:c r="Y175" s="41">
        <x:f>(IF(P175&gt;0,P175+R175,R175)-(X175*Ventas!AE164*0.9018))</x:f>
      </x:c>
      <x:c r="Z175" s="43">
        <x:f>(Y175/(Ventas!AE164*0.9018)/60)</x:f>
      </x:c>
      <x:c r="AA175" s="41">
        <x:f>(100*(Ventas!AE164*1.2350) - IF(Y175&gt;0,Y175,0))</x:f>
      </x:c>
      <x:c r="AB175" s="41">
        <x:f>IF(AA175&gt;0,AA175,0)</x:f>
      </x:c>
      <x:c r="AC175" s="41">
        <x:f>IF(Y175&gt;0,Y175+IF(AB175&gt;0,AB175,0),AB175)</x:f>
      </x:c>
      <x:c r="AD175" s="46">
        <x:v>17.576</x:v>
      </x:c>
      <x:c r="AE175" s="25">
        <x:v>3027</x:v>
      </x:c>
      <x:c r="AF175" s="41">
        <x:f>(AC175-(60*Ventas!AE164*1.2350))</x:f>
      </x:c>
      <x:c r="AG175" s="43">
        <x:f>(AF175/(Ventas!AE164*1.2350)/60)</x:f>
      </x:c>
      <x:c r="AH175" s="7" t="s">
        <x:v>34</x:v>
      </x:c>
    </x:row>
    <x:row r="176">
      <x:c r="A176" s="7"/>
      <x:c r="B176" s="7" t="s">
        <x:v>358</x:v>
      </x:c>
      <x:c r="C176" s="38" t="s">
        <x:v>357</x:v>
      </x:c>
      <x:c r="D176" s="25">
        <x:v>25</x:v>
      </x:c>
      <x:c r="E176" s="39">
        <x:v>46230</x:v>
      </x:c>
      <x:c r="F176" s="40">
        <x:v>5</x:v>
      </x:c>
      <x:c r="G176" s="41">
        <x:f>(D176-(0)+0-(F176*Ventas!AE165*1.8000))</x:f>
      </x:c>
      <x:c r="H176" s="43">
        <x:f>(G176/(Ventas!AE165*1.8000)/60)</x:f>
      </x:c>
      <x:c r="I176" s="25">
        <x:v>0</x:v>
      </x:c>
      <x:c r="J176" s="41">
        <x:f>IF(G176&gt;0,G176+I176,I176)</x:f>
      </x:c>
      <x:c r="K176" s="9"/>
      <x:c r="L176" s="41">
        <x:v>20</x:v>
      </x:c>
      <x:c r="M176" s="45">
        <x:v>0.0022</x:v>
      </x:c>
      <x:c r="N176" s="39">
        <x:v>46275</x:v>
      </x:c>
      <x:c r="O176" s="40">
        <x:v>45</x:v>
      </x:c>
      <x:c r="P176" s="41">
        <x:f>(IF(G176&gt;0,G176+I176,I176)-(O176*Ventas!AE165*1.0044))</x:f>
      </x:c>
      <x:c r="Q176" s="43">
        <x:f>(P176/(Ventas!AE165*1.0044)/60)</x:f>
      </x:c>
      <x:c r="R176" s="25">
        <x:v>0</x:v>
      </x:c>
      <x:c r="S176" s="41">
        <x:f>IF(P176&gt;0,P176+R176,R176)</x:f>
      </x:c>
      <x:c r="T176" s="9"/>
      <x:c r="U176" s="41">
        <x:v>20</x:v>
      </x:c>
      <x:c r="V176" s="45">
        <x:v>0.0022</x:v>
      </x:c>
      <x:c r="W176" s="39">
        <x:v>46331</x:v>
      </x:c>
      <x:c r="X176" s="40">
        <x:v>56</x:v>
      </x:c>
      <x:c r="Y176" s="41">
        <x:f>(IF(P176&gt;0,P176+R176,R176)-(X176*Ventas!AE165*0.9018))</x:f>
      </x:c>
      <x:c r="Z176" s="43">
        <x:f>(Y176/(Ventas!AE165*0.9018)/60)</x:f>
      </x:c>
      <x:c r="AA176" s="41">
        <x:f>(100*(Ventas!AE165*1.2350) - IF(Y176&gt;0,Y176,0))</x:f>
      </x:c>
      <x:c r="AB176" s="41">
        <x:f>IF(AA176&gt;0,AA176,0)</x:f>
      </x:c>
      <x:c r="AC176" s="41">
        <x:f>IF(Y176&gt;0,Y176+IF(AB176&gt;0,AB176,0),AB176)</x:f>
      </x:c>
      <x:c r="AD176" s="46">
        <x:v>18.791</x:v>
      </x:c>
      <x:c r="AE176" s="25">
        <x:v>3027</x:v>
      </x:c>
      <x:c r="AF176" s="41">
        <x:f>(AC176-(60*Ventas!AE165*1.2350))</x:f>
      </x:c>
      <x:c r="AG176" s="43">
        <x:f>(AF176/(Ventas!AE165*1.2350)/60)</x:f>
      </x:c>
      <x:c r="AH176" s="7" t="s">
        <x:v>34</x:v>
      </x:c>
    </x:row>
    <x:row r="177">
      <x:c r="A177" s="7"/>
      <x:c r="B177" s="7" t="s">
        <x:v>360</x:v>
      </x:c>
      <x:c r="C177" s="38" t="s">
        <x:v>359</x:v>
      </x:c>
      <x:c r="D177" s="9"/>
      <x:c r="E177" s="39">
        <x:v>46230</x:v>
      </x:c>
      <x:c r="F177" s="40">
        <x:v>5</x:v>
      </x:c>
      <x:c r="G177" s="41">
        <x:f>(D177-(0)+0-(F177*Ventas!AE166*1.8000))</x:f>
      </x:c>
      <x:c r="H177" s="43">
        <x:f>(G177/(Ventas!AE166*1.8000)/60)</x:f>
      </x:c>
      <x:c r="I177" s="25">
        <x:v>20</x:v>
      </x:c>
      <x:c r="J177" s="41">
        <x:f>IF(G177&gt;0,G177+I177,I177)</x:f>
      </x:c>
      <x:c r="K177" s="41">
        <x:v>7.696</x:v>
      </x:c>
      <x:c r="L177" s="41">
        <x:v>10</x:v>
      </x:c>
      <x:c r="M177" s="45">
        <x:v>0.008</x:v>
      </x:c>
      <x:c r="N177" s="39">
        <x:v>46275</x:v>
      </x:c>
      <x:c r="O177" s="40">
        <x:v>45</x:v>
      </x:c>
      <x:c r="P177" s="41">
        <x:f>(IF(G177&gt;0,G177+I177,I177)-(O177*Ventas!AE166*1.0044))</x:f>
      </x:c>
      <x:c r="Q177" s="43">
        <x:f>(P177/(Ventas!AE166*1.0044)/60)</x:f>
      </x:c>
      <x:c r="R177" s="25">
        <x:v>10</x:v>
      </x:c>
      <x:c r="S177" s="41">
        <x:f>IF(P177&gt;0,P177+R177,R177)</x:f>
      </x:c>
      <x:c r="T177" s="41">
        <x:v>7.7</x:v>
      </x:c>
      <x:c r="U177" s="41">
        <x:v>10</x:v>
      </x:c>
      <x:c r="V177" s="45">
        <x:v>0.008</x:v>
      </x:c>
      <x:c r="W177" s="39">
        <x:v>46331</x:v>
      </x:c>
      <x:c r="X177" s="40">
        <x:v>56</x:v>
      </x:c>
      <x:c r="Y177" s="41">
        <x:f>(IF(P177&gt;0,P177+R177,R177)-(X177*Ventas!AE166*0.9018))</x:f>
      </x:c>
      <x:c r="Z177" s="43">
        <x:f>(Y177/(Ventas!AE166*0.9018)/60)</x:f>
      </x:c>
      <x:c r="AA177" s="41">
        <x:f>(100*(Ventas!AE166*1.2350) - IF(Y177&gt;0,Y177,0))</x:f>
      </x:c>
      <x:c r="AB177" s="41">
        <x:f>IF(AA177&gt;0,AA177,0)</x:f>
      </x:c>
      <x:c r="AC177" s="41">
        <x:f>IF(Y177&gt;0,Y177+IF(AB177&gt;0,AB177,0),AB177)</x:f>
      </x:c>
      <x:c r="AD177" s="46">
        <x:v>7.696</x:v>
      </x:c>
      <x:c r="AE177" s="25">
        <x:v>3027</x:v>
      </x:c>
      <x:c r="AF177" s="41">
        <x:f>(AC177-(60*Ventas!AE166*1.2350))</x:f>
      </x:c>
      <x:c r="AG177" s="43">
        <x:f>(AF177/(Ventas!AE166*1.2350)/60)</x:f>
      </x:c>
      <x:c r="AH177" s="7" t="s">
        <x:v>34</x:v>
      </x:c>
    </x:row>
    <x:row r="178">
      <x:c r="A178" s="7"/>
      <x:c r="B178" s="7" t="s">
        <x:v>362</x:v>
      </x:c>
      <x:c r="C178" s="38" t="s">
        <x:v>361</x:v>
      </x:c>
      <x:c r="D178" s="9"/>
      <x:c r="E178" s="39">
        <x:v>46230</x:v>
      </x:c>
      <x:c r="F178" s="40">
        <x:v>5</x:v>
      </x:c>
      <x:c r="G178" s="41">
        <x:f>(D178-(0)+0-(F178*Ventas!AE167*1.8000))</x:f>
      </x:c>
      <x:c r="H178" s="43">
        <x:f>(G178/(Ventas!AE167*1.8000)/60)</x:f>
      </x:c>
      <x:c r="I178" s="25">
        <x:v>0</x:v>
      </x:c>
      <x:c r="J178" s="41">
        <x:f>IF(G178&gt;0,G178+I178,I178)</x:f>
      </x:c>
      <x:c r="K178" s="9"/>
      <x:c r="L178" s="41">
        <x:v>20</x:v>
      </x:c>
      <x:c r="M178" s="45">
        <x:v>0.003365</x:v>
      </x:c>
      <x:c r="N178" s="39">
        <x:v>46275</x:v>
      </x:c>
      <x:c r="O178" s="40">
        <x:v>45</x:v>
      </x:c>
      <x:c r="P178" s="41">
        <x:f>(IF(G178&gt;0,G178+I178,I178)-(O178*Ventas!AE167*1.0044))</x:f>
      </x:c>
      <x:c r="Q178" s="43">
        <x:f>(P178/(Ventas!AE167*1.0044)/60)</x:f>
      </x:c>
      <x:c r="R178" s="25">
        <x:v>0</x:v>
      </x:c>
      <x:c r="S178" s="41">
        <x:f>IF(P178&gt;0,P178+R178,R178)</x:f>
      </x:c>
      <x:c r="T178" s="9"/>
      <x:c r="U178" s="41">
        <x:v>20</x:v>
      </x:c>
      <x:c r="V178" s="45">
        <x:v>0.00335</x:v>
      </x:c>
      <x:c r="W178" s="39">
        <x:v>46331</x:v>
      </x:c>
      <x:c r="X178" s="40">
        <x:v>56</x:v>
      </x:c>
      <x:c r="Y178" s="41">
        <x:f>(IF(P178&gt;0,P178+R178,R178)-(X178*Ventas!AE167*0.9018))</x:f>
      </x:c>
      <x:c r="Z178" s="43">
        <x:f>(Y178/(Ventas!AE167*0.9018)/60)</x:f>
      </x:c>
      <x:c r="AA178" s="41">
        <x:f>(100*(Ventas!AE167*1.2350) - IF(Y178&gt;0,Y178,0))</x:f>
      </x:c>
      <x:c r="AB178" s="41">
        <x:f>IF(AA178&gt;0,AA178,0)</x:f>
      </x:c>
      <x:c r="AC178" s="41">
        <x:f>IF(Y178&gt;0,Y178+IF(AB178&gt;0,AB178,0),AB178)</x:f>
      </x:c>
      <x:c r="AD178" s="46">
        <x:v>23.514</x:v>
      </x:c>
      <x:c r="AE178" s="25">
        <x:v>3027</x:v>
      </x:c>
      <x:c r="AF178" s="41">
        <x:f>(AC178-(60*Ventas!AE167*1.2350))</x:f>
      </x:c>
      <x:c r="AG178" s="43">
        <x:f>(AF178/(Ventas!AE167*1.2350)/60)</x:f>
      </x:c>
      <x:c r="AH178" s="7" t="s">
        <x:v>34</x:v>
      </x:c>
    </x:row>
    <x:row r="179">
      <x:c r="A179" s="7"/>
      <x:c r="B179" s="7" t="s">
        <x:v>364</x:v>
      </x:c>
      <x:c r="C179" s="38" t="s">
        <x:v>363</x:v>
      </x:c>
      <x:c r="D179" s="9"/>
      <x:c r="E179" s="39">
        <x:v>46230</x:v>
      </x:c>
      <x:c r="F179" s="40">
        <x:v>5</x:v>
      </x:c>
      <x:c r="G179" s="41">
        <x:f>(D179-(0)+0-(F179*Ventas!AE168*1.8000))</x:f>
      </x:c>
      <x:c r="H179" s="43">
        <x:f>(G179/(Ventas!AE168*1.8000)/60)</x:f>
      </x:c>
      <x:c r="I179" s="25">
        <x:v>0</x:v>
      </x:c>
      <x:c r="J179" s="41">
        <x:f>IF(G179&gt;0,G179+I179,I179)</x:f>
      </x:c>
      <x:c r="K179" s="9"/>
      <x:c r="L179" s="41">
        <x:v>20</x:v>
      </x:c>
      <x:c r="M179" s="45">
        <x:v>0.003365</x:v>
      </x:c>
      <x:c r="N179" s="39">
        <x:v>46275</x:v>
      </x:c>
      <x:c r="O179" s="40">
        <x:v>45</x:v>
      </x:c>
      <x:c r="P179" s="41">
        <x:f>(IF(G179&gt;0,G179+I179,I179)-(O179*Ventas!AE168*1.0044))</x:f>
      </x:c>
      <x:c r="Q179" s="43">
        <x:f>(P179/(Ventas!AE168*1.0044)/60)</x:f>
      </x:c>
      <x:c r="R179" s="25">
        <x:v>45</x:v>
      </x:c>
      <x:c r="S179" s="41">
        <x:f>IF(P179&gt;0,P179+R179,R179)</x:f>
      </x:c>
      <x:c r="T179" s="41">
        <x:v>20.2</x:v>
      </x:c>
      <x:c r="U179" s="41">
        <x:v>20</x:v>
      </x:c>
      <x:c r="V179" s="45">
        <x:v>0.00335</x:v>
      </x:c>
      <x:c r="W179" s="39">
        <x:v>46331</x:v>
      </x:c>
      <x:c r="X179" s="40">
        <x:v>56</x:v>
      </x:c>
      <x:c r="Y179" s="41">
        <x:f>(IF(P179&gt;0,P179+R179,R179)-(X179*Ventas!AE168*0.9018))</x:f>
      </x:c>
      <x:c r="Z179" s="43">
        <x:f>(Y179/(Ventas!AE168*0.9018)/60)</x:f>
      </x:c>
      <x:c r="AA179" s="41">
        <x:f>(100*(Ventas!AE168*1.2350) - IF(Y179&gt;0,Y179,0))</x:f>
      </x:c>
      <x:c r="AB179" s="41">
        <x:f>IF(AA179&gt;0,AA179,0)</x:f>
      </x:c>
      <x:c r="AC179" s="41">
        <x:f>IF(Y179&gt;0,Y179+IF(AB179&gt;0,AB179,0),AB179)</x:f>
      </x:c>
      <x:c r="AD179" s="46">
        <x:v>23.514</x:v>
      </x:c>
      <x:c r="AE179" s="25">
        <x:v>3027</x:v>
      </x:c>
      <x:c r="AF179" s="41">
        <x:f>(AC179-(60*Ventas!AE168*1.2350))</x:f>
      </x:c>
      <x:c r="AG179" s="43">
        <x:f>(AF179/(Ventas!AE168*1.2350)/60)</x:f>
      </x:c>
      <x:c r="AH179" s="7" t="s">
        <x:v>34</x:v>
      </x:c>
    </x:row>
    <x:row r="180">
      <x:c r="A180" s="7"/>
      <x:c r="B180" s="7" t="s">
        <x:v>366</x:v>
      </x:c>
      <x:c r="C180" s="38" t="s">
        <x:v>365</x:v>
      </x:c>
      <x:c r="D180" s="25">
        <x:v>48</x:v>
      </x:c>
      <x:c r="E180" s="39">
        <x:v>46230</x:v>
      </x:c>
      <x:c r="F180" s="40">
        <x:v>5</x:v>
      </x:c>
      <x:c r="G180" s="41">
        <x:f>(D180-(0)+0-(F180*Ventas!AE169*1.8000))</x:f>
      </x:c>
      <x:c r="H180" s="43">
        <x:f>(G180/(Ventas!AE169*1.8000)/60)</x:f>
      </x:c>
      <x:c r="I180" s="25">
        <x:v>0</x:v>
      </x:c>
      <x:c r="J180" s="41">
        <x:f>IF(G180&gt;0,G180+I180,I180)</x:f>
      </x:c>
      <x:c r="K180" s="9"/>
      <x:c r="L180" s="41">
        <x:v>15</x:v>
      </x:c>
      <x:c r="M180" s="45">
        <x:v>0.003333</x:v>
      </x:c>
      <x:c r="N180" s="39">
        <x:v>46275</x:v>
      </x:c>
      <x:c r="O180" s="40">
        <x:v>45</x:v>
      </x:c>
      <x:c r="P180" s="41">
        <x:f>(IF(G180&gt;0,G180+I180,I180)-(O180*Ventas!AE169*1.0044))</x:f>
      </x:c>
      <x:c r="Q180" s="43">
        <x:f>(P180/(Ventas!AE169*1.0044)/60)</x:f>
      </x:c>
      <x:c r="R180" s="25">
        <x:v>0</x:v>
      </x:c>
      <x:c r="S180" s="41">
        <x:f>IF(P180&gt;0,P180+R180,R180)</x:f>
      </x:c>
      <x:c r="T180" s="9"/>
      <x:c r="U180" s="41">
        <x:v>15</x:v>
      </x:c>
      <x:c r="V180" s="45">
        <x:v>0.003333</x:v>
      </x:c>
      <x:c r="W180" s="39">
        <x:v>46331</x:v>
      </x:c>
      <x:c r="X180" s="40">
        <x:v>56</x:v>
      </x:c>
      <x:c r="Y180" s="41">
        <x:f>(IF(P180&gt;0,P180+R180,R180)-(X180*Ventas!AE169*0.9018))</x:f>
      </x:c>
      <x:c r="Z180" s="43">
        <x:f>(Y180/(Ventas!AE169*0.9018)/60)</x:f>
      </x:c>
      <x:c r="AA180" s="41">
        <x:f>(100*(Ventas!AE169*1.2350) - IF(Y180&gt;0,Y180,0))</x:f>
      </x:c>
      <x:c r="AB180" s="41">
        <x:f>IF(AA180&gt;0,AA180,0)</x:f>
      </x:c>
      <x:c r="AC180" s="41">
        <x:f>IF(Y180&gt;0,Y180+IF(AB180&gt;0,AB180,0),AB180)</x:f>
      </x:c>
      <x:c r="AD180" s="46">
        <x:v>6.136</x:v>
      </x:c>
      <x:c r="AE180" s="25">
        <x:v>3010</x:v>
      </x:c>
      <x:c r="AF180" s="41">
        <x:f>(AC180-(60*Ventas!AE169*1.2350))</x:f>
      </x:c>
      <x:c r="AG180" s="43">
        <x:f>(AF180/(Ventas!AE169*1.2350)/60)</x:f>
      </x:c>
      <x:c r="AH180" s="7" t="s">
        <x:v>34</x:v>
      </x:c>
    </x:row>
    <x:row r="181">
      <x:c r="A181" s="7"/>
      <x:c r="B181" s="7" t="s">
        <x:v>368</x:v>
      </x:c>
      <x:c r="C181" s="38" t="s">
        <x:v>367</x:v>
      </x:c>
      <x:c r="D181" s="25">
        <x:v>23</x:v>
      </x:c>
      <x:c r="E181" s="39">
        <x:v>46230</x:v>
      </x:c>
      <x:c r="F181" s="40">
        <x:v>5</x:v>
      </x:c>
      <x:c r="G181" s="41">
        <x:f>(D181-(0)+0-(F181*Ventas!AE170*1.8000))</x:f>
      </x:c>
      <x:c r="H181" s="43">
        <x:f>(G181/(Ventas!AE170*1.8000)/60)</x:f>
      </x:c>
      <x:c r="I181" s="25">
        <x:v>0</x:v>
      </x:c>
      <x:c r="J181" s="41">
        <x:f>IF(G181&gt;0,G181+I181,I181)</x:f>
      </x:c>
      <x:c r="K181" s="9"/>
      <x:c r="L181" s="41">
        <x:v>15</x:v>
      </x:c>
      <x:c r="M181" s="45">
        <x:v>0.003333</x:v>
      </x:c>
      <x:c r="N181" s="39">
        <x:v>46275</x:v>
      </x:c>
      <x:c r="O181" s="40">
        <x:v>45</x:v>
      </x:c>
      <x:c r="P181" s="41">
        <x:f>(IF(G181&gt;0,G181+I181,I181)-(O181*Ventas!AE170*1.0044))</x:f>
      </x:c>
      <x:c r="Q181" s="43">
        <x:f>(P181/(Ventas!AE170*1.0044)/60)</x:f>
      </x:c>
      <x:c r="R181" s="25">
        <x:v>0</x:v>
      </x:c>
      <x:c r="S181" s="41">
        <x:f>IF(P181&gt;0,P181+R181,R181)</x:f>
      </x:c>
      <x:c r="T181" s="9"/>
      <x:c r="U181" s="41">
        <x:v>15</x:v>
      </x:c>
      <x:c r="V181" s="45">
        <x:v>0.003333</x:v>
      </x:c>
      <x:c r="W181" s="39">
        <x:v>46331</x:v>
      </x:c>
      <x:c r="X181" s="40">
        <x:v>56</x:v>
      </x:c>
      <x:c r="Y181" s="41">
        <x:f>(IF(P181&gt;0,P181+R181,R181)-(X181*Ventas!AE170*0.9018))</x:f>
      </x:c>
      <x:c r="Z181" s="43">
        <x:f>(Y181/(Ventas!AE170*0.9018)/60)</x:f>
      </x:c>
      <x:c r="AA181" s="41">
        <x:f>(100*(Ventas!AE170*1.2350) - IF(Y181&gt;0,Y181,0))</x:f>
      </x:c>
      <x:c r="AB181" s="41">
        <x:f>IF(AA181&gt;0,AA181,0)</x:f>
      </x:c>
      <x:c r="AC181" s="41">
        <x:f>IF(Y181&gt;0,Y181+IF(AB181&gt;0,AB181,0),AB181)</x:f>
      </x:c>
      <x:c r="AD181" s="46">
        <x:v>5.978</x:v>
      </x:c>
      <x:c r="AE181" s="25">
        <x:v>3010</x:v>
      </x:c>
      <x:c r="AF181" s="41">
        <x:f>(AC181-(60*Ventas!AE170*1.2350))</x:f>
      </x:c>
      <x:c r="AG181" s="43">
        <x:f>(AF181/(Ventas!AE170*1.2350)/60)</x:f>
      </x:c>
      <x:c r="AH181" s="7" t="s">
        <x:v>34</x:v>
      </x:c>
    </x:row>
    <x:row r="182">
      <x:c r="A182" s="7"/>
      <x:c r="B182" s="7" t="s">
        <x:v>157</x:v>
      </x:c>
      <x:c r="C182" s="38" t="s">
        <x:v>369</x:v>
      </x:c>
      <x:c r="D182" s="9"/>
      <x:c r="E182" s="39">
        <x:v>46230</x:v>
      </x:c>
      <x:c r="F182" s="40">
        <x:v>5</x:v>
      </x:c>
      <x:c r="G182" s="41">
        <x:f>(D182-(0)+0-(F182*Ventas!AE171*1.8000))</x:f>
      </x:c>
      <x:c r="H182" s="9"/>
      <x:c r="I182" s="25">
        <x:v>0</x:v>
      </x:c>
      <x:c r="J182" s="41">
        <x:f>IF(G182&gt;0,G182+I182,I182)</x:f>
      </x:c>
      <x:c r="K182" s="9"/>
      <x:c r="L182" s="41">
        <x:v>15</x:v>
      </x:c>
      <x:c r="M182" s="45">
        <x:v>0.003406</x:v>
      </x:c>
      <x:c r="N182" s="39">
        <x:v>46275</x:v>
      </x:c>
      <x:c r="O182" s="40">
        <x:v>45</x:v>
      </x:c>
      <x:c r="P182" s="41">
        <x:f>(IF(G182&gt;0,G182+I182,I182)-(O182*Ventas!AE171*1.0044))</x:f>
      </x:c>
      <x:c r="Q182" s="9"/>
      <x:c r="R182" s="25">
        <x:v>0</x:v>
      </x:c>
      <x:c r="S182" s="41">
        <x:f>IF(P182&gt;0,P182+R182,R182)</x:f>
      </x:c>
      <x:c r="T182" s="9"/>
      <x:c r="U182" s="41">
        <x:v>15</x:v>
      </x:c>
      <x:c r="V182" s="45">
        <x:v>0.003406</x:v>
      </x:c>
      <x:c r="W182" s="39">
        <x:v>46331</x:v>
      </x:c>
      <x:c r="X182" s="40">
        <x:v>56</x:v>
      </x:c>
      <x:c r="Y182" s="41">
        <x:f>(IF(P182&gt;0,P182+R182,R182)-(X182*Ventas!AE171*0.9018))</x:f>
      </x:c>
      <x:c r="Z182" s="9"/>
      <x:c r="AA182" s="41">
        <x:f>(100*(Ventas!AE171*1.2350) - IF(Y182&gt;0,Y182,0))</x:f>
      </x:c>
      <x:c r="AB182" s="41">
        <x:f>IF(AA182&gt;0,AA182,0)</x:f>
      </x:c>
      <x:c r="AC182" s="41">
        <x:f>IF(Y182&gt;0,Y182+IF(AB182&gt;0,AB182,0),AB182)</x:f>
      </x:c>
      <x:c r="AD182" s="9"/>
      <x:c r="AE182" s="9"/>
      <x:c r="AF182" s="9"/>
      <x:c r="AG182" s="9"/>
      <x:c r="AH182" s="7" t="s">
        <x:v>34</x:v>
      </x:c>
    </x:row>
    <x:row r="183">
      <x:c r="A183" s="7"/>
      <x:c r="B183" s="7" t="s">
        <x:v>371</x:v>
      </x:c>
      <x:c r="C183" s="38" t="s">
        <x:v>370</x:v>
      </x:c>
      <x:c r="D183" s="25">
        <x:v>35</x:v>
      </x:c>
      <x:c r="E183" s="39">
        <x:v>46230</x:v>
      </x:c>
      <x:c r="F183" s="40">
        <x:v>5</x:v>
      </x:c>
      <x:c r="G183" s="41">
        <x:f>(D183-(0)+0-(F183*Ventas!AE172*1.8000))</x:f>
      </x:c>
      <x:c r="H183" s="43">
        <x:f>(G183/(Ventas!AE172*1.8000)/60)</x:f>
      </x:c>
      <x:c r="I183" s="25">
        <x:v>0</x:v>
      </x:c>
      <x:c r="J183" s="41">
        <x:f>IF(G183&gt;0,G183+I183,I183)</x:f>
      </x:c>
      <x:c r="K183" s="9"/>
      <x:c r="L183" s="41">
        <x:v>10</x:v>
      </x:c>
      <x:c r="M183" s="45">
        <x:v>0.0069</x:v>
      </x:c>
      <x:c r="N183" s="39">
        <x:v>46275</x:v>
      </x:c>
      <x:c r="O183" s="40">
        <x:v>45</x:v>
      </x:c>
      <x:c r="P183" s="41">
        <x:f>(IF(G183&gt;0,G183+I183,I183)-(O183*Ventas!AE172*1.0044))</x:f>
      </x:c>
      <x:c r="Q183" s="43">
        <x:f>(P183/(Ventas!AE172*1.0044)/60)</x:f>
      </x:c>
      <x:c r="R183" s="25">
        <x:v>0</x:v>
      </x:c>
      <x:c r="S183" s="41">
        <x:f>IF(P183&gt;0,P183+R183,R183)</x:f>
      </x:c>
      <x:c r="T183" s="9"/>
      <x:c r="U183" s="41">
        <x:v>10</x:v>
      </x:c>
      <x:c r="V183" s="45">
        <x:v>0.0069</x:v>
      </x:c>
      <x:c r="W183" s="39">
        <x:v>46331</x:v>
      </x:c>
      <x:c r="X183" s="40">
        <x:v>56</x:v>
      </x:c>
      <x:c r="Y183" s="41">
        <x:f>(IF(P183&gt;0,P183+R183,R183)-(X183*Ventas!AE172*0.9018))</x:f>
      </x:c>
      <x:c r="Z183" s="43">
        <x:f>(Y183/(Ventas!AE172*0.9018)/60)</x:f>
      </x:c>
      <x:c r="AA183" s="41">
        <x:f>(100*(Ventas!AE172*1.2350) - IF(Y183&gt;0,Y183,0))</x:f>
      </x:c>
      <x:c r="AB183" s="41">
        <x:f>IF(AA183&gt;0,AA183,0)</x:f>
      </x:c>
      <x:c r="AC183" s="41">
        <x:f>IF(Y183&gt;0,Y183+IF(AB183&gt;0,AB183,0),AB183)</x:f>
      </x:c>
      <x:c r="AD183" s="46">
        <x:v>17.1</x:v>
      </x:c>
      <x:c r="AE183" s="25">
        <x:v>3027</x:v>
      </x:c>
      <x:c r="AF183" s="41">
        <x:f>(AC183-(60*Ventas!AE172*1.2350))</x:f>
      </x:c>
      <x:c r="AG183" s="43">
        <x:f>(AF183/(Ventas!AE172*1.2350)/60)</x:f>
      </x:c>
      <x:c r="AH183" s="7" t="s">
        <x:v>34</x:v>
      </x:c>
    </x:row>
    <x:row r="184">
      <x:c r="A184" s="7"/>
      <x:c r="B184" s="7" t="s">
        <x:v>373</x:v>
      </x:c>
      <x:c r="C184" s="38" t="s">
        <x:v>372</x:v>
      </x:c>
      <x:c r="D184" s="9"/>
      <x:c r="E184" s="39">
        <x:v>46230</x:v>
      </x:c>
      <x:c r="F184" s="40">
        <x:v>5</x:v>
      </x:c>
      <x:c r="G184" s="41">
        <x:f>(D184-(0)+0-(F184*Ventas!AE173*1.8000))</x:f>
      </x:c>
      <x:c r="H184" s="9"/>
      <x:c r="I184" s="25">
        <x:v>0</x:v>
      </x:c>
      <x:c r="J184" s="41">
        <x:f>IF(G184&gt;0,G184+I184,I184)</x:f>
      </x:c>
      <x:c r="K184" s="9"/>
      <x:c r="L184" s="41">
        <x:v>20</x:v>
      </x:c>
      <x:c r="M184" s="45">
        <x:v>0.002805</x:v>
      </x:c>
      <x:c r="N184" s="39">
        <x:v>46275</x:v>
      </x:c>
      <x:c r="O184" s="40">
        <x:v>45</x:v>
      </x:c>
      <x:c r="P184" s="41">
        <x:f>(IF(G184&gt;0,G184+I184,I184)-(O184*Ventas!AE173*1.0044))</x:f>
      </x:c>
      <x:c r="Q184" s="9"/>
      <x:c r="R184" s="25">
        <x:v>0</x:v>
      </x:c>
      <x:c r="S184" s="41">
        <x:f>IF(P184&gt;0,P184+R184,R184)</x:f>
      </x:c>
      <x:c r="T184" s="9"/>
      <x:c r="U184" s="41">
        <x:v>20</x:v>
      </x:c>
      <x:c r="V184" s="45">
        <x:v>0.002805</x:v>
      </x:c>
      <x:c r="W184" s="39">
        <x:v>46331</x:v>
      </x:c>
      <x:c r="X184" s="40">
        <x:v>56</x:v>
      </x:c>
      <x:c r="Y184" s="41">
        <x:f>(IF(P184&gt;0,P184+R184,R184)-(X184*Ventas!AE173*0.9018))</x:f>
      </x:c>
      <x:c r="Z184" s="9"/>
      <x:c r="AA184" s="41">
        <x:f>(100*(Ventas!AE173*1.2350) - IF(Y184&gt;0,Y184,0))</x:f>
      </x:c>
      <x:c r="AB184" s="41">
        <x:f>IF(AA184&gt;0,AA184,0)</x:f>
      </x:c>
      <x:c r="AC184" s="41">
        <x:f>IF(Y184&gt;0,Y184+IF(AB184&gt;0,AB184,0),AB184)</x:f>
      </x:c>
      <x:c r="AD184" s="46">
        <x:v>9.12</x:v>
      </x:c>
      <x:c r="AE184" s="25">
        <x:v>3010</x:v>
      </x:c>
      <x:c r="AF184" s="9"/>
      <x:c r="AG184" s="9"/>
      <x:c r="AH184" s="7" t="s">
        <x:v>107</x:v>
      </x:c>
    </x:row>
    <x:row r="185">
      <x:c r="A185" s="7"/>
      <x:c r="B185" s="7" t="s">
        <x:v>375</x:v>
      </x:c>
      <x:c r="C185" s="38" t="s">
        <x:v>374</x:v>
      </x:c>
      <x:c r="D185" s="9"/>
      <x:c r="E185" s="39">
        <x:v>46230</x:v>
      </x:c>
      <x:c r="F185" s="40">
        <x:v>5</x:v>
      </x:c>
      <x:c r="G185" s="41">
        <x:f>(D185-(0)+0-(F185*Ventas!AE174*1.8000))</x:f>
      </x:c>
      <x:c r="H185" s="9"/>
      <x:c r="I185" s="25">
        <x:v>0</x:v>
      </x:c>
      <x:c r="J185" s="41">
        <x:f>IF(G185&gt;0,G185+I185,I185)</x:f>
      </x:c>
      <x:c r="K185" s="9"/>
      <x:c r="L185" s="41">
        <x:v>20</x:v>
      </x:c>
      <x:c r="M185" s="45">
        <x:v>0.002805</x:v>
      </x:c>
      <x:c r="N185" s="39">
        <x:v>46275</x:v>
      </x:c>
      <x:c r="O185" s="40">
        <x:v>45</x:v>
      </x:c>
      <x:c r="P185" s="41">
        <x:f>(IF(G185&gt;0,G185+I185,I185)-(O185*Ventas!AE174*1.0044))</x:f>
      </x:c>
      <x:c r="Q185" s="9"/>
      <x:c r="R185" s="25">
        <x:v>0</x:v>
      </x:c>
      <x:c r="S185" s="41">
        <x:f>IF(P185&gt;0,P185+R185,R185)</x:f>
      </x:c>
      <x:c r="T185" s="9"/>
      <x:c r="U185" s="41">
        <x:v>20</x:v>
      </x:c>
      <x:c r="V185" s="45">
        <x:v>0.002805</x:v>
      </x:c>
      <x:c r="W185" s="39">
        <x:v>46331</x:v>
      </x:c>
      <x:c r="X185" s="40">
        <x:v>56</x:v>
      </x:c>
      <x:c r="Y185" s="41">
        <x:f>(IF(P185&gt;0,P185+R185,R185)-(X185*Ventas!AE174*0.9018))</x:f>
      </x:c>
      <x:c r="Z185" s="9"/>
      <x:c r="AA185" s="41">
        <x:f>(100*(Ventas!AE174*1.2350) - IF(Y185&gt;0,Y185,0))</x:f>
      </x:c>
      <x:c r="AB185" s="41">
        <x:f>IF(AA185&gt;0,AA185,0)</x:f>
      </x:c>
      <x:c r="AC185" s="41">
        <x:f>IF(Y185&gt;0,Y185+IF(AB185&gt;0,AB185,0),AB185)</x:f>
      </x:c>
      <x:c r="AD185" s="46">
        <x:v>9.12</x:v>
      </x:c>
      <x:c r="AE185" s="25">
        <x:v>3010</x:v>
      </x:c>
      <x:c r="AF185" s="9"/>
      <x:c r="AG185" s="9"/>
      <x:c r="AH185" s="7" t="s">
        <x:v>107</x:v>
      </x:c>
    </x:row>
    <x:row r="186">
      <x:c r="A186" s="7"/>
      <x:c r="B186" s="7" t="s">
        <x:v>377</x:v>
      </x:c>
      <x:c r="C186" s="38" t="s">
        <x:v>376</x:v>
      </x:c>
      <x:c r="D186" s="9"/>
      <x:c r="E186" s="39">
        <x:v>46230</x:v>
      </x:c>
      <x:c r="F186" s="40">
        <x:v>5</x:v>
      </x:c>
      <x:c r="G186" s="41">
        <x:f>(D186-(0)+0-(F186*Ventas!AE175*1.8000))</x:f>
      </x:c>
      <x:c r="H186" s="9"/>
      <x:c r="I186" s="25">
        <x:v>0</x:v>
      </x:c>
      <x:c r="J186" s="41">
        <x:f>IF(G186&gt;0,G186+I186,I186)</x:f>
      </x:c>
      <x:c r="K186" s="9"/>
      <x:c r="L186" s="41">
        <x:v>20</x:v>
      </x:c>
      <x:c r="M186" s="45">
        <x:v>0.002805</x:v>
      </x:c>
      <x:c r="N186" s="39">
        <x:v>46275</x:v>
      </x:c>
      <x:c r="O186" s="40">
        <x:v>45</x:v>
      </x:c>
      <x:c r="P186" s="41">
        <x:f>(IF(G186&gt;0,G186+I186,I186)-(O186*Ventas!AE175*1.0044))</x:f>
      </x:c>
      <x:c r="Q186" s="9"/>
      <x:c r="R186" s="25">
        <x:v>0</x:v>
      </x:c>
      <x:c r="S186" s="41">
        <x:f>IF(P186&gt;0,P186+R186,R186)</x:f>
      </x:c>
      <x:c r="T186" s="9"/>
      <x:c r="U186" s="41">
        <x:v>20</x:v>
      </x:c>
      <x:c r="V186" s="45">
        <x:v>0.002805</x:v>
      </x:c>
      <x:c r="W186" s="39">
        <x:v>46331</x:v>
      </x:c>
      <x:c r="X186" s="40">
        <x:v>56</x:v>
      </x:c>
      <x:c r="Y186" s="41">
        <x:f>(IF(P186&gt;0,P186+R186,R186)-(X186*Ventas!AE175*0.9018))</x:f>
      </x:c>
      <x:c r="Z186" s="9"/>
      <x:c r="AA186" s="41">
        <x:f>(100*(Ventas!AE175*1.2350) - IF(Y186&gt;0,Y186,0))</x:f>
      </x:c>
      <x:c r="AB186" s="41">
        <x:f>IF(AA186&gt;0,AA186,0)</x:f>
      </x:c>
      <x:c r="AC186" s="41">
        <x:f>IF(Y186&gt;0,Y186+IF(AB186&gt;0,AB186,0),AB186)</x:f>
      </x:c>
      <x:c r="AD186" s="46">
        <x:v>9.12</x:v>
      </x:c>
      <x:c r="AE186" s="25">
        <x:v>3010</x:v>
      </x:c>
      <x:c r="AF186" s="9"/>
      <x:c r="AG186" s="9"/>
      <x:c r="AH186" s="7" t="s">
        <x:v>107</x:v>
      </x:c>
    </x:row>
    <x:row r="187">
      <x:c r="A187" s="7"/>
      <x:c r="B187" s="7" t="s">
        <x:v>379</x:v>
      </x:c>
      <x:c r="C187" s="38" t="s">
        <x:v>378</x:v>
      </x:c>
      <x:c r="D187" s="9"/>
      <x:c r="E187" s="39">
        <x:v>46230</x:v>
      </x:c>
      <x:c r="F187" s="40">
        <x:v>5</x:v>
      </x:c>
      <x:c r="G187" s="41">
        <x:f>(D187-(0)+0-(F187*Ventas!AE176*1.8000))</x:f>
      </x:c>
      <x:c r="H187" s="9"/>
      <x:c r="I187" s="25">
        <x:v>0</x:v>
      </x:c>
      <x:c r="J187" s="41">
        <x:f>IF(G187&gt;0,G187+I187,I187)</x:f>
      </x:c>
      <x:c r="K187" s="9"/>
      <x:c r="L187" s="41">
        <x:v>20</x:v>
      </x:c>
      <x:c r="M187" s="45">
        <x:v>0.002805</x:v>
      </x:c>
      <x:c r="N187" s="39">
        <x:v>46275</x:v>
      </x:c>
      <x:c r="O187" s="40">
        <x:v>45</x:v>
      </x:c>
      <x:c r="P187" s="41">
        <x:f>(IF(G187&gt;0,G187+I187,I187)-(O187*Ventas!AE176*1.0044))</x:f>
      </x:c>
      <x:c r="Q187" s="9"/>
      <x:c r="R187" s="25">
        <x:v>0</x:v>
      </x:c>
      <x:c r="S187" s="41">
        <x:f>IF(P187&gt;0,P187+R187,R187)</x:f>
      </x:c>
      <x:c r="T187" s="9"/>
      <x:c r="U187" s="41">
        <x:v>20</x:v>
      </x:c>
      <x:c r="V187" s="45">
        <x:v>0.002805</x:v>
      </x:c>
      <x:c r="W187" s="39">
        <x:v>46331</x:v>
      </x:c>
      <x:c r="X187" s="40">
        <x:v>56</x:v>
      </x:c>
      <x:c r="Y187" s="41">
        <x:f>(IF(P187&gt;0,P187+R187,R187)-(X187*Ventas!AE176*0.9018))</x:f>
      </x:c>
      <x:c r="Z187" s="9"/>
      <x:c r="AA187" s="41">
        <x:f>(100*(Ventas!AE176*1.2350) - IF(Y187&gt;0,Y187,0))</x:f>
      </x:c>
      <x:c r="AB187" s="41">
        <x:f>IF(AA187&gt;0,AA187,0)</x:f>
      </x:c>
      <x:c r="AC187" s="41">
        <x:f>IF(Y187&gt;0,Y187+IF(AB187&gt;0,AB187,0),AB187)</x:f>
      </x:c>
      <x:c r="AD187" s="46">
        <x:v>9.12</x:v>
      </x:c>
      <x:c r="AE187" s="25">
        <x:v>3010</x:v>
      </x:c>
      <x:c r="AF187" s="9"/>
      <x:c r="AG187" s="9"/>
      <x:c r="AH187" s="7" t="s">
        <x:v>107</x:v>
      </x:c>
    </x:row>
    <x:row r="188">
      <x:c r="A188" s="7"/>
      <x:c r="B188" s="7" t="s">
        <x:v>381</x:v>
      </x:c>
      <x:c r="C188" s="38" t="s">
        <x:v>380</x:v>
      </x:c>
      <x:c r="D188" s="25">
        <x:v>122</x:v>
      </x:c>
      <x:c r="E188" s="39">
        <x:v>46230</x:v>
      </x:c>
      <x:c r="F188" s="40">
        <x:v>5</x:v>
      </x:c>
      <x:c r="G188" s="41">
        <x:f>(D188-(0)+0-(F188*Ventas!AE177*1.8000))</x:f>
      </x:c>
      <x:c r="H188" s="43">
        <x:f>(G188/(Ventas!AE177*1.8000)/60)</x:f>
      </x:c>
      <x:c r="I188" s="25">
        <x:v>0</x:v>
      </x:c>
      <x:c r="J188" s="41">
        <x:f>IF(G188&gt;0,G188+I188,I188)</x:f>
      </x:c>
      <x:c r="K188" s="9"/>
      <x:c r="L188" s="41">
        <x:v>10</x:v>
      </x:c>
      <x:c r="M188" s="45">
        <x:v>0.00224</x:v>
      </x:c>
      <x:c r="N188" s="39">
        <x:v>46275</x:v>
      </x:c>
      <x:c r="O188" s="40">
        <x:v>45</x:v>
      </x:c>
      <x:c r="P188" s="41">
        <x:f>(IF(G188&gt;0,G188+I188,I188)-(O188*Ventas!AE177*1.0044))</x:f>
      </x:c>
      <x:c r="Q188" s="43">
        <x:f>(P188/(Ventas!AE177*1.0044)/60)</x:f>
      </x:c>
      <x:c r="R188" s="25">
        <x:v>0</x:v>
      </x:c>
      <x:c r="S188" s="41">
        <x:f>IF(P188&gt;0,P188+R188,R188)</x:f>
      </x:c>
      <x:c r="T188" s="9"/>
      <x:c r="U188" s="41">
        <x:v>10</x:v>
      </x:c>
      <x:c r="V188" s="45">
        <x:v>0.0022</x:v>
      </x:c>
      <x:c r="W188" s="39">
        <x:v>46331</x:v>
      </x:c>
      <x:c r="X188" s="40">
        <x:v>56</x:v>
      </x:c>
      <x:c r="Y188" s="41">
        <x:f>(IF(P188&gt;0,P188+R188,R188)-(X188*Ventas!AE177*0.9018))</x:f>
      </x:c>
      <x:c r="Z188" s="43">
        <x:f>(Y188/(Ventas!AE177*0.9018)/60)</x:f>
      </x:c>
      <x:c r="AA188" s="41">
        <x:f>(100*(Ventas!AE177*1.2350) - IF(Y188&gt;0,Y188,0))</x:f>
      </x:c>
      <x:c r="AB188" s="41">
        <x:f>IF(AA188&gt;0,AA188,0)</x:f>
      </x:c>
      <x:c r="AC188" s="41">
        <x:f>IF(Y188&gt;0,Y188+IF(AB188&gt;0,AB188,0),AB188)</x:f>
      </x:c>
      <x:c r="AD188" s="46">
        <x:v>8.8</x:v>
      </x:c>
      <x:c r="AE188" s="25">
        <x:v>3010</x:v>
      </x:c>
      <x:c r="AF188" s="41">
        <x:f>(AC188-(60*Ventas!AE177*1.2350))</x:f>
      </x:c>
      <x:c r="AG188" s="43">
        <x:f>(AF188/(Ventas!AE177*1.2350)/60)</x:f>
      </x:c>
      <x:c r="AH188" s="7" t="s">
        <x:v>34</x:v>
      </x:c>
    </x:row>
    <x:row r="189">
      <x:c r="A189" s="7"/>
      <x:c r="B189" s="7" t="s">
        <x:v>383</x:v>
      </x:c>
      <x:c r="C189" s="38" t="s">
        <x:v>382</x:v>
      </x:c>
      <x:c r="D189" s="25">
        <x:v>75</x:v>
      </x:c>
      <x:c r="E189" s="39">
        <x:v>46230</x:v>
      </x:c>
      <x:c r="F189" s="40">
        <x:v>5</x:v>
      </x:c>
      <x:c r="G189" s="41">
        <x:f>(D189-(0)+0-(F189*Ventas!AE178*1.8000))</x:f>
      </x:c>
      <x:c r="H189" s="43">
        <x:f>(G189/(Ventas!AE178*1.8000)/60)</x:f>
      </x:c>
      <x:c r="I189" s="25">
        <x:v>0</x:v>
      </x:c>
      <x:c r="J189" s="41">
        <x:f>IF(G189&gt;0,G189+I189,I189)</x:f>
      </x:c>
      <x:c r="K189" s="9"/>
      <x:c r="L189" s="41">
        <x:v>10</x:v>
      </x:c>
      <x:c r="M189" s="45">
        <x:v>0.00224</x:v>
      </x:c>
      <x:c r="N189" s="39">
        <x:v>46275</x:v>
      </x:c>
      <x:c r="O189" s="40">
        <x:v>45</x:v>
      </x:c>
      <x:c r="P189" s="41">
        <x:f>(IF(G189&gt;0,G189+I189,I189)-(O189*Ventas!AE178*1.0044))</x:f>
      </x:c>
      <x:c r="Q189" s="43">
        <x:f>(P189/(Ventas!AE178*1.0044)/60)</x:f>
      </x:c>
      <x:c r="R189" s="25">
        <x:v>0</x:v>
      </x:c>
      <x:c r="S189" s="41">
        <x:f>IF(P189&gt;0,P189+R189,R189)</x:f>
      </x:c>
      <x:c r="T189" s="9"/>
      <x:c r="U189" s="41">
        <x:v>10</x:v>
      </x:c>
      <x:c r="V189" s="45">
        <x:v>0.0022</x:v>
      </x:c>
      <x:c r="W189" s="39">
        <x:v>46331</x:v>
      </x:c>
      <x:c r="X189" s="40">
        <x:v>56</x:v>
      </x:c>
      <x:c r="Y189" s="41">
        <x:f>(IF(P189&gt;0,P189+R189,R189)-(X189*Ventas!AE178*0.9018))</x:f>
      </x:c>
      <x:c r="Z189" s="43">
        <x:f>(Y189/(Ventas!AE178*0.9018)/60)</x:f>
      </x:c>
      <x:c r="AA189" s="41">
        <x:f>(100*(Ventas!AE178*1.2350) - IF(Y189&gt;0,Y189,0))</x:f>
      </x:c>
      <x:c r="AB189" s="41">
        <x:f>IF(AA189&gt;0,AA189,0)</x:f>
      </x:c>
      <x:c r="AC189" s="41">
        <x:f>IF(Y189&gt;0,Y189+IF(AB189&gt;0,AB189,0),AB189)</x:f>
      </x:c>
      <x:c r="AD189" s="46">
        <x:v>8.8</x:v>
      </x:c>
      <x:c r="AE189" s="25">
        <x:v>3010</x:v>
      </x:c>
      <x:c r="AF189" s="41">
        <x:f>(AC189-(60*Ventas!AE178*1.2350))</x:f>
      </x:c>
      <x:c r="AG189" s="43">
        <x:f>(AF189/(Ventas!AE178*1.2350)/60)</x:f>
      </x:c>
      <x:c r="AH189" s="7" t="s">
        <x:v>34</x:v>
      </x:c>
    </x:row>
    <x:row r="190">
      <x:c r="A190" s="7"/>
      <x:c r="B190" s="7" t="s">
        <x:v>385</x:v>
      </x:c>
      <x:c r="C190" s="38" t="s">
        <x:v>384</x:v>
      </x:c>
      <x:c r="D190" s="25">
        <x:v>99</x:v>
      </x:c>
      <x:c r="E190" s="39">
        <x:v>46230</x:v>
      </x:c>
      <x:c r="F190" s="40">
        <x:v>5</x:v>
      </x:c>
      <x:c r="G190" s="41">
        <x:f>(D190-(0)+0-(F190*Ventas!AE179*1.8000))</x:f>
      </x:c>
      <x:c r="H190" s="43">
        <x:f>(G190/(Ventas!AE179*1.8000)/60)</x:f>
      </x:c>
      <x:c r="I190" s="25">
        <x:v>0</x:v>
      </x:c>
      <x:c r="J190" s="41">
        <x:f>IF(G190&gt;0,G190+I190,I190)</x:f>
      </x:c>
      <x:c r="K190" s="9"/>
      <x:c r="L190" s="41">
        <x:v>10</x:v>
      </x:c>
      <x:c r="M190" s="45">
        <x:v>0.00224</x:v>
      </x:c>
      <x:c r="N190" s="39">
        <x:v>46275</x:v>
      </x:c>
      <x:c r="O190" s="40">
        <x:v>45</x:v>
      </x:c>
      <x:c r="P190" s="41">
        <x:f>(IF(G190&gt;0,G190+I190,I190)-(O190*Ventas!AE179*1.0044))</x:f>
      </x:c>
      <x:c r="Q190" s="43">
        <x:f>(P190/(Ventas!AE179*1.0044)/60)</x:f>
      </x:c>
      <x:c r="R190" s="25">
        <x:v>0</x:v>
      </x:c>
      <x:c r="S190" s="41">
        <x:f>IF(P190&gt;0,P190+R190,R190)</x:f>
      </x:c>
      <x:c r="T190" s="9"/>
      <x:c r="U190" s="41">
        <x:v>10</x:v>
      </x:c>
      <x:c r="V190" s="45">
        <x:v>0.0022</x:v>
      </x:c>
      <x:c r="W190" s="39">
        <x:v>46331</x:v>
      </x:c>
      <x:c r="X190" s="40">
        <x:v>56</x:v>
      </x:c>
      <x:c r="Y190" s="41">
        <x:f>(IF(P190&gt;0,P190+R190,R190)-(X190*Ventas!AE179*0.9018))</x:f>
      </x:c>
      <x:c r="Z190" s="43">
        <x:f>(Y190/(Ventas!AE179*0.9018)/60)</x:f>
      </x:c>
      <x:c r="AA190" s="41">
        <x:f>(100*(Ventas!AE179*1.2350) - IF(Y190&gt;0,Y190,0))</x:f>
      </x:c>
      <x:c r="AB190" s="41">
        <x:f>IF(AA190&gt;0,AA190,0)</x:f>
      </x:c>
      <x:c r="AC190" s="41">
        <x:f>IF(Y190&gt;0,Y190+IF(AB190&gt;0,AB190,0),AB190)</x:f>
      </x:c>
      <x:c r="AD190" s="46">
        <x:v>8.8</x:v>
      </x:c>
      <x:c r="AE190" s="25">
        <x:v>3010</x:v>
      </x:c>
      <x:c r="AF190" s="41">
        <x:f>(AC190-(60*Ventas!AE179*1.2350))</x:f>
      </x:c>
      <x:c r="AG190" s="43">
        <x:f>(AF190/(Ventas!AE179*1.2350)/60)</x:f>
      </x:c>
      <x:c r="AH190" s="7" t="s">
        <x:v>34</x:v>
      </x:c>
    </x:row>
    <x:row r="191">
      <x:c r="A191" s="7"/>
      <x:c r="B191" s="7" t="s">
        <x:v>387</x:v>
      </x:c>
      <x:c r="C191" s="38" t="s">
        <x:v>386</x:v>
      </x:c>
      <x:c r="D191" s="25">
        <x:v>342</x:v>
      </x:c>
      <x:c r="E191" s="39">
        <x:v>46230</x:v>
      </x:c>
      <x:c r="F191" s="40">
        <x:v>5</x:v>
      </x:c>
      <x:c r="G191" s="41">
        <x:f>(D191-(0)+0-(F191*Ventas!AE180*1.8000))</x:f>
      </x:c>
      <x:c r="H191" s="43">
        <x:f>(G191/(Ventas!AE180*1.8000)/60)</x:f>
      </x:c>
      <x:c r="I191" s="25">
        <x:v>0</x:v>
      </x:c>
      <x:c r="J191" s="41">
        <x:f>IF(G191&gt;0,G191+I191,I191)</x:f>
      </x:c>
      <x:c r="K191" s="9"/>
      <x:c r="L191" s="41">
        <x:v>10</x:v>
      </x:c>
      <x:c r="M191" s="45">
        <x:v>0.00224</x:v>
      </x:c>
      <x:c r="N191" s="39">
        <x:v>46275</x:v>
      </x:c>
      <x:c r="O191" s="40">
        <x:v>45</x:v>
      </x:c>
      <x:c r="P191" s="41">
        <x:f>(IF(G191&gt;0,G191+I191,I191)-(O191*Ventas!AE180*1.0044))</x:f>
      </x:c>
      <x:c r="Q191" s="43">
        <x:f>(P191/(Ventas!AE180*1.0044)/60)</x:f>
      </x:c>
      <x:c r="R191" s="25">
        <x:v>0</x:v>
      </x:c>
      <x:c r="S191" s="41">
        <x:f>IF(P191&gt;0,P191+R191,R191)</x:f>
      </x:c>
      <x:c r="T191" s="9"/>
      <x:c r="U191" s="41">
        <x:v>10</x:v>
      </x:c>
      <x:c r="V191" s="45">
        <x:v>0.0022</x:v>
      </x:c>
      <x:c r="W191" s="39">
        <x:v>46331</x:v>
      </x:c>
      <x:c r="X191" s="40">
        <x:v>56</x:v>
      </x:c>
      <x:c r="Y191" s="41">
        <x:f>(IF(P191&gt;0,P191+R191,R191)-(X191*Ventas!AE180*0.9018))</x:f>
      </x:c>
      <x:c r="Z191" s="43">
        <x:f>(Y191/(Ventas!AE180*0.9018)/60)</x:f>
      </x:c>
      <x:c r="AA191" s="41">
        <x:f>(100*(Ventas!AE180*1.2350) - IF(Y191&gt;0,Y191,0))</x:f>
      </x:c>
      <x:c r="AB191" s="41">
        <x:f>IF(AA191&gt;0,AA191,0)</x:f>
      </x:c>
      <x:c r="AC191" s="41">
        <x:f>IF(Y191&gt;0,Y191+IF(AB191&gt;0,AB191,0),AB191)</x:f>
      </x:c>
      <x:c r="AD191" s="46">
        <x:v>8.8</x:v>
      </x:c>
      <x:c r="AE191" s="25">
        <x:v>3010</x:v>
      </x:c>
      <x:c r="AF191" s="41">
        <x:f>(AC191-(60*Ventas!AE180*1.2350))</x:f>
      </x:c>
      <x:c r="AG191" s="43">
        <x:f>(AF191/(Ventas!AE180*1.2350)/60)</x:f>
      </x:c>
      <x:c r="AH191" s="7" t="s">
        <x:v>34</x:v>
      </x:c>
    </x:row>
    <x:row r="192">
      <x:c r="A192" s="7"/>
      <x:c r="B192" s="7" t="s">
        <x:v>389</x:v>
      </x:c>
      <x:c r="C192" s="38" t="s">
        <x:v>388</x:v>
      </x:c>
      <x:c r="D192" s="9"/>
      <x:c r="E192" s="39">
        <x:v>46230</x:v>
      </x:c>
      <x:c r="F192" s="40">
        <x:v>5</x:v>
      </x:c>
      <x:c r="G192" s="41">
        <x:f>(D192-(0)+0-(F192*Ventas!AE181*1.8000))</x:f>
      </x:c>
      <x:c r="H192" s="43">
        <x:f>(G192/(Ventas!AE181*1.8000)/60)</x:f>
      </x:c>
      <x:c r="I192" s="25">
        <x:v>0</x:v>
      </x:c>
      <x:c r="J192" s="41">
        <x:f>IF(G192&gt;0,G192+I192,I192)</x:f>
      </x:c>
      <x:c r="K192" s="9"/>
      <x:c r="L192" s="41">
        <x:v>10</x:v>
      </x:c>
      <x:c r="M192" s="45">
        <x:v>0.0027</x:v>
      </x:c>
      <x:c r="N192" s="39">
        <x:v>46275</x:v>
      </x:c>
      <x:c r="O192" s="40">
        <x:v>45</x:v>
      </x:c>
      <x:c r="P192" s="41">
        <x:f>(IF(G192&gt;0,G192+I192,I192)-(O192*Ventas!AE181*1.0044))</x:f>
      </x:c>
      <x:c r="Q192" s="43">
        <x:f>(P192/(Ventas!AE181*1.0044)/60)</x:f>
      </x:c>
      <x:c r="R192" s="25">
        <x:v>0</x:v>
      </x:c>
      <x:c r="S192" s="41">
        <x:f>IF(P192&gt;0,P192+R192,R192)</x:f>
      </x:c>
      <x:c r="T192" s="9"/>
      <x:c r="U192" s="41">
        <x:v>10</x:v>
      </x:c>
      <x:c r="V192" s="45">
        <x:v>0.0027</x:v>
      </x:c>
      <x:c r="W192" s="39">
        <x:v>46331</x:v>
      </x:c>
      <x:c r="X192" s="40">
        <x:v>56</x:v>
      </x:c>
      <x:c r="Y192" s="41">
        <x:f>(IF(P192&gt;0,P192+R192,R192)-(X192*Ventas!AE181*0.9018))</x:f>
      </x:c>
      <x:c r="Z192" s="43">
        <x:f>(Y192/(Ventas!AE181*0.9018)/60)</x:f>
      </x:c>
      <x:c r="AA192" s="41">
        <x:f>(100*(Ventas!AE181*1.2350) - IF(Y192&gt;0,Y192,0))</x:f>
      </x:c>
      <x:c r="AB192" s="41">
        <x:f>IF(AA192&gt;0,AA192,0)</x:f>
      </x:c>
      <x:c r="AC192" s="41">
        <x:f>IF(Y192&gt;0,Y192+IF(AB192&gt;0,AB192,0),AB192)</x:f>
      </x:c>
      <x:c r="AD192" s="46">
        <x:v>11.4</x:v>
      </x:c>
      <x:c r="AE192" s="25">
        <x:v>3027</x:v>
      </x:c>
      <x:c r="AF192" s="41">
        <x:f>(AC192-(60*Ventas!AE181*1.2350))</x:f>
      </x:c>
      <x:c r="AG192" s="43">
        <x:f>(AF192/(Ventas!AE181*1.2350)/60)</x:f>
      </x:c>
      <x:c r="AH192" s="7" t="s">
        <x:v>34</x:v>
      </x:c>
    </x:row>
    <x:row r="193">
      <x:c r="A193" s="7"/>
      <x:c r="B193" s="7" t="s">
        <x:v>391</x:v>
      </x:c>
      <x:c r="C193" s="38" t="s">
        <x:v>390</x:v>
      </x:c>
      <x:c r="D193" s="25">
        <x:v>35</x:v>
      </x:c>
      <x:c r="E193" s="39">
        <x:v>46230</x:v>
      </x:c>
      <x:c r="F193" s="40">
        <x:v>5</x:v>
      </x:c>
      <x:c r="G193" s="41">
        <x:f>(D193-(0)+0-(F193*Ventas!AE182*1.8000))</x:f>
      </x:c>
      <x:c r="H193" s="43">
        <x:f>(G193/(Ventas!AE182*1.8000)/60)</x:f>
      </x:c>
      <x:c r="I193" s="25">
        <x:v>0</x:v>
      </x:c>
      <x:c r="J193" s="41">
        <x:f>IF(G193&gt;0,G193+I193,I193)</x:f>
      </x:c>
      <x:c r="K193" s="9"/>
      <x:c r="L193" s="41">
        <x:v>10</x:v>
      </x:c>
      <x:c r="M193" s="45">
        <x:v>0.0026</x:v>
      </x:c>
      <x:c r="N193" s="39">
        <x:v>46275</x:v>
      </x:c>
      <x:c r="O193" s="40">
        <x:v>45</x:v>
      </x:c>
      <x:c r="P193" s="41">
        <x:f>(IF(G193&gt;0,G193+I193,I193)-(O193*Ventas!AE182*1.0044))</x:f>
      </x:c>
      <x:c r="Q193" s="43">
        <x:f>(P193/(Ventas!AE182*1.0044)/60)</x:f>
      </x:c>
      <x:c r="R193" s="25">
        <x:v>0</x:v>
      </x:c>
      <x:c r="S193" s="41">
        <x:f>IF(P193&gt;0,P193+R193,R193)</x:f>
      </x:c>
      <x:c r="T193" s="9"/>
      <x:c r="U193" s="9"/>
      <x:c r="V193" s="9"/>
      <x:c r="W193" s="39">
        <x:v>46331</x:v>
      </x:c>
      <x:c r="X193" s="40">
        <x:v>56</x:v>
      </x:c>
      <x:c r="Y193" s="41">
        <x:f>(IF(P193&gt;0,P193+R193,R193)-(X193*Ventas!AE182*0.9018))</x:f>
      </x:c>
      <x:c r="Z193" s="43">
        <x:f>(Y193/(Ventas!AE182*0.9018)/60)</x:f>
      </x:c>
      <x:c r="AA193" s="41">
        <x:f>(100*(Ventas!AE182*1.2350) - IF(Y193&gt;0,Y193,0))</x:f>
      </x:c>
      <x:c r="AB193" s="41">
        <x:f>IF(AA193&gt;0,AA193,0)</x:f>
      </x:c>
      <x:c r="AC193" s="41">
        <x:f>IF(Y193&gt;0,Y193+IF(AB193&gt;0,AB193,0),AB193)</x:f>
      </x:c>
      <x:c r="AD193" s="46">
        <x:v>19.2754</x:v>
      </x:c>
      <x:c r="AE193" s="25">
        <x:v>3027</x:v>
      </x:c>
      <x:c r="AF193" s="41">
        <x:f>(AC193-(60*Ventas!AE182*1.2350))</x:f>
      </x:c>
      <x:c r="AG193" s="43">
        <x:f>(AF193/(Ventas!AE182*1.2350)/60)</x:f>
      </x:c>
      <x:c r="AH193" s="7" t="s">
        <x:v>34</x:v>
      </x:c>
    </x:row>
    <x:row r="194">
      <x:c r="A194" s="7"/>
      <x:c r="B194" s="7" t="s">
        <x:v>393</x:v>
      </x:c>
      <x:c r="C194" s="38" t="s">
        <x:v>392</x:v>
      </x:c>
      <x:c r="D194" s="25">
        <x:v>50</x:v>
      </x:c>
      <x:c r="E194" s="39">
        <x:v>46230</x:v>
      </x:c>
      <x:c r="F194" s="40">
        <x:v>5</x:v>
      </x:c>
      <x:c r="G194" s="41">
        <x:f>(D194-(0)+0-(F194*Ventas!AE183*1.8000))</x:f>
      </x:c>
      <x:c r="H194" s="43">
        <x:f>(G194/(Ventas!AE183*1.8000)/60)</x:f>
      </x:c>
      <x:c r="I194" s="25">
        <x:v>0</x:v>
      </x:c>
      <x:c r="J194" s="41">
        <x:f>IF(G194&gt;0,G194+I194,I194)</x:f>
      </x:c>
      <x:c r="K194" s="9"/>
      <x:c r="L194" s="41">
        <x:v>10</x:v>
      </x:c>
      <x:c r="M194" s="45">
        <x:v>0.0026</x:v>
      </x:c>
      <x:c r="N194" s="39">
        <x:v>46275</x:v>
      </x:c>
      <x:c r="O194" s="40">
        <x:v>45</x:v>
      </x:c>
      <x:c r="P194" s="41">
        <x:f>(IF(G194&gt;0,G194+I194,I194)-(O194*Ventas!AE183*1.0044))</x:f>
      </x:c>
      <x:c r="Q194" s="43">
        <x:f>(P194/(Ventas!AE183*1.0044)/60)</x:f>
      </x:c>
      <x:c r="R194" s="25">
        <x:v>0</x:v>
      </x:c>
      <x:c r="S194" s="41">
        <x:f>IF(P194&gt;0,P194+R194,R194)</x:f>
      </x:c>
      <x:c r="T194" s="9"/>
      <x:c r="U194" s="9"/>
      <x:c r="V194" s="9"/>
      <x:c r="W194" s="39">
        <x:v>46331</x:v>
      </x:c>
      <x:c r="X194" s="40">
        <x:v>56</x:v>
      </x:c>
      <x:c r="Y194" s="41">
        <x:f>(IF(P194&gt;0,P194+R194,R194)-(X194*Ventas!AE183*0.9018))</x:f>
      </x:c>
      <x:c r="Z194" s="43">
        <x:f>(Y194/(Ventas!AE183*0.9018)/60)</x:f>
      </x:c>
      <x:c r="AA194" s="41">
        <x:f>(100*(Ventas!AE183*1.2350) - IF(Y194&gt;0,Y194,0))</x:f>
      </x:c>
      <x:c r="AB194" s="41">
        <x:f>IF(AA194&gt;0,AA194,0)</x:f>
      </x:c>
      <x:c r="AC194" s="41">
        <x:f>IF(Y194&gt;0,Y194+IF(AB194&gt;0,AB194,0),AB194)</x:f>
      </x:c>
      <x:c r="AD194" s="46">
        <x:v>18.718</x:v>
      </x:c>
      <x:c r="AE194" s="25">
        <x:v>3010</x:v>
      </x:c>
      <x:c r="AF194" s="41">
        <x:f>(AC194-(60*Ventas!AE183*1.2350))</x:f>
      </x:c>
      <x:c r="AG194" s="43">
        <x:f>(AF194/(Ventas!AE183*1.2350)/60)</x:f>
      </x:c>
      <x:c r="AH194" s="7" t="s">
        <x:v>34</x:v>
      </x:c>
    </x:row>
    <x:row r="195">
      <x:c r="A195" s="7"/>
      <x:c r="B195" s="7" t="s">
        <x:v>395</x:v>
      </x:c>
      <x:c r="C195" s="38" t="s">
        <x:v>394</x:v>
      </x:c>
      <x:c r="D195" s="25">
        <x:v>52</x:v>
      </x:c>
      <x:c r="E195" s="39">
        <x:v>46230</x:v>
      </x:c>
      <x:c r="F195" s="40">
        <x:v>5</x:v>
      </x:c>
      <x:c r="G195" s="41">
        <x:f>(D195-(0)+0-(F195*Ventas!AE184*1.8000))</x:f>
      </x:c>
      <x:c r="H195" s="43">
        <x:f>(G195/(Ventas!AE184*1.8000)/60)</x:f>
      </x:c>
      <x:c r="I195" s="25">
        <x:v>0</x:v>
      </x:c>
      <x:c r="J195" s="41">
        <x:f>IF(G195&gt;0,G195+I195,I195)</x:f>
      </x:c>
      <x:c r="K195" s="9"/>
      <x:c r="L195" s="41">
        <x:v>10</x:v>
      </x:c>
      <x:c r="M195" s="45">
        <x:v>0.0026</x:v>
      </x:c>
      <x:c r="N195" s="39">
        <x:v>46275</x:v>
      </x:c>
      <x:c r="O195" s="40">
        <x:v>45</x:v>
      </x:c>
      <x:c r="P195" s="41">
        <x:f>(IF(G195&gt;0,G195+I195,I195)-(O195*Ventas!AE184*1.0044))</x:f>
      </x:c>
      <x:c r="Q195" s="43">
        <x:f>(P195/(Ventas!AE184*1.0044)/60)</x:f>
      </x:c>
      <x:c r="R195" s="25">
        <x:v>0</x:v>
      </x:c>
      <x:c r="S195" s="41">
        <x:f>IF(P195&gt;0,P195+R195,R195)</x:f>
      </x:c>
      <x:c r="T195" s="9"/>
      <x:c r="U195" s="9"/>
      <x:c r="V195" s="9"/>
      <x:c r="W195" s="39">
        <x:v>46331</x:v>
      </x:c>
      <x:c r="X195" s="40">
        <x:v>56</x:v>
      </x:c>
      <x:c r="Y195" s="41">
        <x:f>(IF(P195&gt;0,P195+R195,R195)-(X195*Ventas!AE184*0.9018))</x:f>
      </x:c>
      <x:c r="Z195" s="43">
        <x:f>(Y195/(Ventas!AE184*0.9018)/60)</x:f>
      </x:c>
      <x:c r="AA195" s="41">
        <x:f>(100*(Ventas!AE184*1.2350) - IF(Y195&gt;0,Y195,0))</x:f>
      </x:c>
      <x:c r="AB195" s="41">
        <x:f>IF(AA195&gt;0,AA195,0)</x:f>
      </x:c>
      <x:c r="AC195" s="41">
        <x:f>IF(Y195&gt;0,Y195+IF(AB195&gt;0,AB195,0),AB195)</x:f>
      </x:c>
      <x:c r="AD195" s="46">
        <x:v>19.24</x:v>
      </x:c>
      <x:c r="AE195" s="25">
        <x:v>3010</x:v>
      </x:c>
      <x:c r="AF195" s="41">
        <x:f>(AC195-(60*Ventas!AE184*1.2350))</x:f>
      </x:c>
      <x:c r="AG195" s="43">
        <x:f>(AF195/(Ventas!AE184*1.2350)/60)</x:f>
      </x:c>
      <x:c r="AH195" s="7" t="s">
        <x:v>34</x:v>
      </x:c>
    </x:row>
    <x:row r="196">
      <x:c r="A196" s="7"/>
      <x:c r="B196" s="7" t="s">
        <x:v>397</x:v>
      </x:c>
      <x:c r="C196" s="38" t="s">
        <x:v>396</x:v>
      </x:c>
      <x:c r="D196" s="25">
        <x:v>85</x:v>
      </x:c>
      <x:c r="E196" s="39">
        <x:v>46230</x:v>
      </x:c>
      <x:c r="F196" s="40">
        <x:v>5</x:v>
      </x:c>
      <x:c r="G196" s="41">
        <x:f>(D196-(0)+0-(F196*Ventas!AE185*1.8000))</x:f>
      </x:c>
      <x:c r="H196" s="43">
        <x:f>(G196/(Ventas!AE185*1.8000)/60)</x:f>
      </x:c>
      <x:c r="I196" s="25">
        <x:v>0</x:v>
      </x:c>
      <x:c r="J196" s="41">
        <x:f>IF(G196&gt;0,G196+I196,I196)</x:f>
      </x:c>
      <x:c r="K196" s="9"/>
      <x:c r="L196" s="41">
        <x:v>10</x:v>
      </x:c>
      <x:c r="M196" s="45">
        <x:v>0.0026</x:v>
      </x:c>
      <x:c r="N196" s="39">
        <x:v>46275</x:v>
      </x:c>
      <x:c r="O196" s="40">
        <x:v>45</x:v>
      </x:c>
      <x:c r="P196" s="41">
        <x:f>(IF(G196&gt;0,G196+I196,I196)-(O196*Ventas!AE185*1.0044))</x:f>
      </x:c>
      <x:c r="Q196" s="43">
        <x:f>(P196/(Ventas!AE185*1.0044)/60)</x:f>
      </x:c>
      <x:c r="R196" s="25">
        <x:v>0</x:v>
      </x:c>
      <x:c r="S196" s="41">
        <x:f>IF(P196&gt;0,P196+R196,R196)</x:f>
      </x:c>
      <x:c r="T196" s="9"/>
      <x:c r="U196" s="9"/>
      <x:c r="V196" s="9"/>
      <x:c r="W196" s="39">
        <x:v>46331</x:v>
      </x:c>
      <x:c r="X196" s="40">
        <x:v>56</x:v>
      </x:c>
      <x:c r="Y196" s="41">
        <x:f>(IF(P196&gt;0,P196+R196,R196)-(X196*Ventas!AE185*0.9018))</x:f>
      </x:c>
      <x:c r="Z196" s="43">
        <x:f>(Y196/(Ventas!AE185*0.9018)/60)</x:f>
      </x:c>
      <x:c r="AA196" s="41">
        <x:f>(100*(Ventas!AE185*1.2350) - IF(Y196&gt;0,Y196,0))</x:f>
      </x:c>
      <x:c r="AB196" s="41">
        <x:f>IF(AA196&gt;0,AA196,0)</x:f>
      </x:c>
      <x:c r="AC196" s="41">
        <x:f>IF(Y196&gt;0,Y196+IF(AB196&gt;0,AB196,0),AB196)</x:f>
      </x:c>
      <x:c r="AD196" s="46">
        <x:v>19.22</x:v>
      </x:c>
      <x:c r="AE196" s="25">
        <x:v>3010</x:v>
      </x:c>
      <x:c r="AF196" s="41">
        <x:f>(AC196-(60*Ventas!AE185*1.2350))</x:f>
      </x:c>
      <x:c r="AG196" s="43">
        <x:f>(AF196/(Ventas!AE185*1.2350)/60)</x:f>
      </x:c>
      <x:c r="AH196" s="7" t="s">
        <x:v>34</x:v>
      </x:c>
    </x:row>
    <x:row r="197">
      <x:c r="A197" s="7"/>
      <x:c r="B197" s="7" t="s">
        <x:v>399</x:v>
      </x:c>
      <x:c r="C197" s="38" t="s">
        <x:v>398</x:v>
      </x:c>
      <x:c r="D197" s="25">
        <x:v>19</x:v>
      </x:c>
      <x:c r="E197" s="39">
        <x:v>46230</x:v>
      </x:c>
      <x:c r="F197" s="40">
        <x:v>5</x:v>
      </x:c>
      <x:c r="G197" s="41">
        <x:f>(D197-(0)+0-(F197*Ventas!AE186*1.8000))</x:f>
      </x:c>
      <x:c r="H197" s="43">
        <x:f>(G197/(Ventas!AE186*1.8000)/60)</x:f>
      </x:c>
      <x:c r="I197" s="25">
        <x:v>0</x:v>
      </x:c>
      <x:c r="J197" s="41">
        <x:f>IF(G197&gt;0,G197+I197,I197)</x:f>
      </x:c>
      <x:c r="K197" s="9"/>
      <x:c r="L197" s="41">
        <x:v>20</x:v>
      </x:c>
      <x:c r="M197" s="45">
        <x:v>0.002827</x:v>
      </x:c>
      <x:c r="N197" s="39">
        <x:v>46275</x:v>
      </x:c>
      <x:c r="O197" s="40">
        <x:v>45</x:v>
      </x:c>
      <x:c r="P197" s="41">
        <x:f>(IF(G197&gt;0,G197+I197,I197)-(O197*Ventas!AE186*1.0044))</x:f>
      </x:c>
      <x:c r="Q197" s="43">
        <x:f>(P197/(Ventas!AE186*1.0044)/60)</x:f>
      </x:c>
      <x:c r="R197" s="25">
        <x:v>0</x:v>
      </x:c>
      <x:c r="S197" s="41">
        <x:f>IF(P197&gt;0,P197+R197,R197)</x:f>
      </x:c>
      <x:c r="T197" s="9"/>
      <x:c r="U197" s="41">
        <x:v>20</x:v>
      </x:c>
      <x:c r="V197" s="45">
        <x:v>0.002827</x:v>
      </x:c>
      <x:c r="W197" s="39">
        <x:v>46331</x:v>
      </x:c>
      <x:c r="X197" s="40">
        <x:v>56</x:v>
      </x:c>
      <x:c r="Y197" s="41">
        <x:f>(IF(P197&gt;0,P197+R197,R197)-(X197*Ventas!AE186*0.9018))</x:f>
      </x:c>
      <x:c r="Z197" s="43">
        <x:f>(Y197/(Ventas!AE186*0.9018)/60)</x:f>
      </x:c>
      <x:c r="AA197" s="41">
        <x:f>(100*(Ventas!AE186*1.2350) - IF(Y197&gt;0,Y197,0))</x:f>
      </x:c>
      <x:c r="AB197" s="41">
        <x:f>IF(AA197&gt;0,AA197,0)</x:f>
      </x:c>
      <x:c r="AC197" s="41">
        <x:f>IF(Y197&gt;0,Y197+IF(AB197&gt;0,AB197,0),AB197)</x:f>
      </x:c>
      <x:c r="AD197" s="46">
        <x:v>3.7</x:v>
      </x:c>
      <x:c r="AE197" s="25">
        <x:v>3010</x:v>
      </x:c>
      <x:c r="AF197" s="41">
        <x:f>(AC197-(60*Ventas!AE186*1.2350))</x:f>
      </x:c>
      <x:c r="AG197" s="43">
        <x:f>(AF197/(Ventas!AE186*1.2350)/60)</x:f>
      </x:c>
      <x:c r="AH197" s="7" t="s">
        <x:v>34</x:v>
      </x:c>
    </x:row>
    <x:row r="198">
      <x:c r="A198" s="7"/>
      <x:c r="B198" s="7" t="s">
        <x:v>401</x:v>
      </x:c>
      <x:c r="C198" s="38" t="s">
        <x:v>400</x:v>
      </x:c>
      <x:c r="D198" s="25">
        <x:v>92</x:v>
      </x:c>
      <x:c r="E198" s="39">
        <x:v>46230</x:v>
      </x:c>
      <x:c r="F198" s="40">
        <x:v>5</x:v>
      </x:c>
      <x:c r="G198" s="41">
        <x:f>(D198-(0)+0-(F198*Ventas!AE187*1.8000))</x:f>
      </x:c>
      <x:c r="H198" s="43">
        <x:f>(G198/(Ventas!AE187*1.8000)/60)</x:f>
      </x:c>
      <x:c r="I198" s="25">
        <x:v>126</x:v>
      </x:c>
      <x:c r="J198" s="41">
        <x:f>IF(G198&gt;0,G198+I198,I198)</x:f>
      </x:c>
      <x:c r="K198" s="41">
        <x:v>15.496</x:v>
      </x:c>
      <x:c r="L198" s="41">
        <x:v>6</x:v>
      </x:c>
      <x:c r="M198" s="45">
        <x:v>0.014</x:v>
      </x:c>
      <x:c r="N198" s="39">
        <x:v>46275</x:v>
      </x:c>
      <x:c r="O198" s="40">
        <x:v>45</x:v>
      </x:c>
      <x:c r="P198" s="41">
        <x:f>(IF(G198&gt;0,G198+I198,I198)-(O198*Ventas!AE187*1.0044))</x:f>
      </x:c>
      <x:c r="Q198" s="43">
        <x:f>(P198/(Ventas!AE187*1.0044)/60)</x:f>
      </x:c>
      <x:c r="R198" s="25">
        <x:v>120</x:v>
      </x:c>
      <x:c r="S198" s="41">
        <x:f>IF(P198&gt;0,P198+R198,R198)</x:f>
      </x:c>
      <x:c r="T198" s="41">
        <x:v>15.5</x:v>
      </x:c>
      <x:c r="U198" s="41">
        <x:v>6</x:v>
      </x:c>
      <x:c r="V198" s="45">
        <x:v>0.014</x:v>
      </x:c>
      <x:c r="W198" s="39">
        <x:v>46331</x:v>
      </x:c>
      <x:c r="X198" s="40">
        <x:v>56</x:v>
      </x:c>
      <x:c r="Y198" s="41">
        <x:f>(IF(P198&gt;0,P198+R198,R198)-(X198*Ventas!AE187*0.9018))</x:f>
      </x:c>
      <x:c r="Z198" s="43">
        <x:f>(Y198/(Ventas!AE187*0.9018)/60)</x:f>
      </x:c>
      <x:c r="AA198" s="41">
        <x:f>(100*(Ventas!AE187*1.2350) - IF(Y198&gt;0,Y198,0))</x:f>
      </x:c>
      <x:c r="AB198" s="41">
        <x:f>IF(AA198&gt;0,AA198,0)</x:f>
      </x:c>
      <x:c r="AC198" s="41">
        <x:f>IF(Y198&gt;0,Y198+IF(AB198&gt;0,AB198,0),AB198)</x:f>
      </x:c>
      <x:c r="AD198" s="46">
        <x:v>15.496</x:v>
      </x:c>
      <x:c r="AE198" s="25">
        <x:v>3027</x:v>
      </x:c>
      <x:c r="AF198" s="41">
        <x:f>(AC198-(60*Ventas!AE187*1.2350))</x:f>
      </x:c>
      <x:c r="AG198" s="43">
        <x:f>(AF198/(Ventas!AE187*1.2350)/60)</x:f>
      </x:c>
      <x:c r="AH198" s="7" t="s">
        <x:v>34</x:v>
      </x:c>
    </x:row>
    <x:row r="199">
      <x:c r="A199" s="7"/>
      <x:c r="B199" s="7" t="s">
        <x:v>403</x:v>
      </x:c>
      <x:c r="C199" s="38" t="s">
        <x:v>402</x:v>
      </x:c>
      <x:c r="D199" s="25">
        <x:v>16</x:v>
      </x:c>
      <x:c r="E199" s="39">
        <x:v>46230</x:v>
      </x:c>
      <x:c r="F199" s="40">
        <x:v>5</x:v>
      </x:c>
      <x:c r="G199" s="41">
        <x:f>(D199-(0)+0-(F199*Ventas!AE188*1.8000))</x:f>
      </x:c>
      <x:c r="H199" s="43">
        <x:f>(G199/(Ventas!AE188*1.8000)/60)</x:f>
      </x:c>
      <x:c r="I199" s="25">
        <x:v>0</x:v>
      </x:c>
      <x:c r="J199" s="41">
        <x:f>IF(G199&gt;0,G199+I199,I199)</x:f>
      </x:c>
      <x:c r="K199" s="9"/>
      <x:c r="L199" s="41">
        <x:v>30</x:v>
      </x:c>
      <x:c r="M199" s="45">
        <x:v>0.001967</x:v>
      </x:c>
      <x:c r="N199" s="39">
        <x:v>46275</x:v>
      </x:c>
      <x:c r="O199" s="40">
        <x:v>45</x:v>
      </x:c>
      <x:c r="P199" s="41">
        <x:f>(IF(G199&gt;0,G199+I199,I199)-(O199*Ventas!AE188*1.0044))</x:f>
      </x:c>
      <x:c r="Q199" s="43">
        <x:f>(P199/(Ventas!AE188*1.0044)/60)</x:f>
      </x:c>
      <x:c r="R199" s="25">
        <x:v>0</x:v>
      </x:c>
      <x:c r="S199" s="41">
        <x:f>IF(P199&gt;0,P199+R199,R199)</x:f>
      </x:c>
      <x:c r="T199" s="9"/>
      <x:c r="U199" s="41">
        <x:v>30</x:v>
      </x:c>
      <x:c r="V199" s="45">
        <x:v>0.001967</x:v>
      </x:c>
      <x:c r="W199" s="39">
        <x:v>46331</x:v>
      </x:c>
      <x:c r="X199" s="40">
        <x:v>56</x:v>
      </x:c>
      <x:c r="Y199" s="41">
        <x:f>(IF(P199&gt;0,P199+R199,R199)-(X199*Ventas!AE188*0.9018))</x:f>
      </x:c>
      <x:c r="Z199" s="43">
        <x:f>(Y199/(Ventas!AE188*0.9018)/60)</x:f>
      </x:c>
      <x:c r="AA199" s="41">
        <x:f>(100*(Ventas!AE188*1.2350) - IF(Y199&gt;0,Y199,0))</x:f>
      </x:c>
      <x:c r="AB199" s="41">
        <x:f>IF(AA199&gt;0,AA199,0)</x:f>
      </x:c>
      <x:c r="AC199" s="41">
        <x:f>IF(Y199&gt;0,Y199+IF(AB199&gt;0,AB199,0),AB199)</x:f>
      </x:c>
      <x:c r="AD199" s="46">
        <x:v>3.4</x:v>
      </x:c>
      <x:c r="AE199" s="25">
        <x:v>3010</x:v>
      </x:c>
      <x:c r="AF199" s="41">
        <x:f>(AC199-(60*Ventas!AE188*1.2350))</x:f>
      </x:c>
      <x:c r="AG199" s="43">
        <x:f>(AF199/(Ventas!AE188*1.2350)/60)</x:f>
      </x:c>
      <x:c r="AH199" s="7" t="s">
        <x:v>34</x:v>
      </x:c>
    </x:row>
    <x:row r="200">
      <x:c r="A200" s="7"/>
      <x:c r="B200" s="7" t="s">
        <x:v>405</x:v>
      </x:c>
      <x:c r="C200" s="38" t="s">
        <x:v>404</x:v>
      </x:c>
      <x:c r="D200" s="9"/>
      <x:c r="E200" s="39">
        <x:v>46230</x:v>
      </x:c>
      <x:c r="F200" s="40">
        <x:v>5</x:v>
      </x:c>
      <x:c r="G200" s="41">
        <x:f>(D200-(0)+0-(F200*Ventas!AE189*1.8000))</x:f>
      </x:c>
      <x:c r="H200" s="43">
        <x:f>(G200/(Ventas!AE189*1.8000)/60)</x:f>
      </x:c>
      <x:c r="I200" s="25">
        <x:v>40</x:v>
      </x:c>
      <x:c r="J200" s="41">
        <x:f>IF(G200&gt;0,G200+I200,I200)</x:f>
      </x:c>
      <x:c r="K200" s="41">
        <x:v>5.096</x:v>
      </x:c>
      <x:c r="L200" s="41">
        <x:v>20</x:v>
      </x:c>
      <x:c r="M200" s="45">
        <x:v>0.00325</x:v>
      </x:c>
      <x:c r="N200" s="39">
        <x:v>46275</x:v>
      </x:c>
      <x:c r="O200" s="40">
        <x:v>45</x:v>
      </x:c>
      <x:c r="P200" s="41">
        <x:f>(IF(G200&gt;0,G200+I200,I200)-(O200*Ventas!AE189*1.0044))</x:f>
      </x:c>
      <x:c r="Q200" s="43">
        <x:f>(P200/(Ventas!AE189*1.0044)/60)</x:f>
      </x:c>
      <x:c r="R200" s="25">
        <x:v>40</x:v>
      </x:c>
      <x:c r="S200" s="41">
        <x:f>IF(P200&gt;0,P200+R200,R200)</x:f>
      </x:c>
      <x:c r="T200" s="41">
        <x:v>5.1</x:v>
      </x:c>
      <x:c r="U200" s="41">
        <x:v>20</x:v>
      </x:c>
      <x:c r="V200" s="45">
        <x:v>0.00325</x:v>
      </x:c>
      <x:c r="W200" s="39">
        <x:v>46331</x:v>
      </x:c>
      <x:c r="X200" s="40">
        <x:v>56</x:v>
      </x:c>
      <x:c r="Y200" s="41">
        <x:f>(IF(P200&gt;0,P200+R200,R200)-(X200*Ventas!AE189*0.9018))</x:f>
      </x:c>
      <x:c r="Z200" s="43">
        <x:f>(Y200/(Ventas!AE189*0.9018)/60)</x:f>
      </x:c>
      <x:c r="AA200" s="41">
        <x:f>(100*(Ventas!AE189*1.2350) - IF(Y200&gt;0,Y200,0))</x:f>
      </x:c>
      <x:c r="AB200" s="41">
        <x:f>IF(AA200&gt;0,AA200,0)</x:f>
      </x:c>
      <x:c r="AC200" s="41">
        <x:f>IF(Y200&gt;0,Y200+IF(AB200&gt;0,AB200,0),AB200)</x:f>
      </x:c>
      <x:c r="AD200" s="46">
        <x:v>5.096</x:v>
      </x:c>
      <x:c r="AE200" s="25">
        <x:v>3027</x:v>
      </x:c>
      <x:c r="AF200" s="41">
        <x:f>(AC200-(60*Ventas!AE189*1.2350))</x:f>
      </x:c>
      <x:c r="AG200" s="43">
        <x:f>(AF200/(Ventas!AE189*1.2350)/60)</x:f>
      </x:c>
      <x:c r="AH200" s="7" t="s">
        <x:v>34</x:v>
      </x:c>
    </x:row>
    <x:row r="201">
      <x:c r="A201" s="7"/>
      <x:c r="B201" s="7" t="s">
        <x:v>407</x:v>
      </x:c>
      <x:c r="C201" s="38" t="s">
        <x:v>406</x:v>
      </x:c>
      <x:c r="D201" s="25">
        <x:v>70</x:v>
      </x:c>
      <x:c r="E201" s="39">
        <x:v>46230</x:v>
      </x:c>
      <x:c r="F201" s="40">
        <x:v>5</x:v>
      </x:c>
      <x:c r="G201" s="41">
        <x:f>(D201-(0)+0-(F201*Ventas!AE190*1.8000))</x:f>
      </x:c>
      <x:c r="H201" s="43">
        <x:f>(G201/(Ventas!AE190*1.8000)/60)</x:f>
      </x:c>
      <x:c r="I201" s="25">
        <x:v>0</x:v>
      </x:c>
      <x:c r="J201" s="41">
        <x:f>IF(G201&gt;0,G201+I201,I201)</x:f>
      </x:c>
      <x:c r="K201" s="9"/>
      <x:c r="L201" s="41">
        <x:v>20</x:v>
      </x:c>
      <x:c r="M201" s="45">
        <x:v>0.0022</x:v>
      </x:c>
      <x:c r="N201" s="39">
        <x:v>46275</x:v>
      </x:c>
      <x:c r="O201" s="40">
        <x:v>45</x:v>
      </x:c>
      <x:c r="P201" s="41">
        <x:f>(IF(G201&gt;0,G201+I201,I201)-(O201*Ventas!AE190*1.0044))</x:f>
      </x:c>
      <x:c r="Q201" s="43">
        <x:f>(P201/(Ventas!AE190*1.0044)/60)</x:f>
      </x:c>
      <x:c r="R201" s="25">
        <x:v>0</x:v>
      </x:c>
      <x:c r="S201" s="41">
        <x:f>IF(P201&gt;0,P201+R201,R201)</x:f>
      </x:c>
      <x:c r="T201" s="9"/>
      <x:c r="U201" s="41">
        <x:v>20</x:v>
      </x:c>
      <x:c r="V201" s="45">
        <x:v>0.0022</x:v>
      </x:c>
      <x:c r="W201" s="39">
        <x:v>46331</x:v>
      </x:c>
      <x:c r="X201" s="40">
        <x:v>56</x:v>
      </x:c>
      <x:c r="Y201" s="41">
        <x:f>(IF(P201&gt;0,P201+R201,R201)-(X201*Ventas!AE190*0.9018))</x:f>
      </x:c>
      <x:c r="Z201" s="43">
        <x:f>(Y201/(Ventas!AE190*0.9018)/60)</x:f>
      </x:c>
      <x:c r="AA201" s="41">
        <x:f>(100*(Ventas!AE190*1.2350) - IF(Y201&gt;0,Y201,0))</x:f>
      </x:c>
      <x:c r="AB201" s="41">
        <x:f>IF(AA201&gt;0,AA201,0)</x:f>
      </x:c>
      <x:c r="AC201" s="41">
        <x:f>IF(Y201&gt;0,Y201+IF(AB201&gt;0,AB201,0),AB201)</x:f>
      </x:c>
      <x:c r="AD201" s="46">
        <x:v>17.6</x:v>
      </x:c>
      <x:c r="AE201" s="25">
        <x:v>3027</x:v>
      </x:c>
      <x:c r="AF201" s="41">
        <x:f>(AC201-(60*Ventas!AE190*1.2350))</x:f>
      </x:c>
      <x:c r="AG201" s="43">
        <x:f>(AF201/(Ventas!AE190*1.2350)/60)</x:f>
      </x:c>
      <x:c r="AH201" s="7" t="s">
        <x:v>34</x:v>
      </x:c>
    </x:row>
    <x:row r="202">
      <x:c r="A202" s="7"/>
      <x:c r="B202" s="7" t="s">
        <x:v>409</x:v>
      </x:c>
      <x:c r="C202" s="38" t="s">
        <x:v>408</x:v>
      </x:c>
      <x:c r="D202" s="9"/>
      <x:c r="E202" s="39">
        <x:v>46230</x:v>
      </x:c>
      <x:c r="F202" s="40">
        <x:v>5</x:v>
      </x:c>
      <x:c r="G202" s="41">
        <x:f>(D202-(0)+0-(F202*Ventas!AE191*1.8000))</x:f>
      </x:c>
      <x:c r="H202" s="9"/>
      <x:c r="I202" s="25">
        <x:v>0</x:v>
      </x:c>
      <x:c r="J202" s="41">
        <x:f>IF(G202&gt;0,G202+I202,I202)</x:f>
      </x:c>
      <x:c r="K202" s="9"/>
      <x:c r="L202" s="41">
        <x:v>30</x:v>
      </x:c>
      <x:c r="M202" s="45">
        <x:v>0.001067</x:v>
      </x:c>
      <x:c r="N202" s="39">
        <x:v>46275</x:v>
      </x:c>
      <x:c r="O202" s="40">
        <x:v>45</x:v>
      </x:c>
      <x:c r="P202" s="41">
        <x:f>(IF(G202&gt;0,G202+I202,I202)-(O202*Ventas!AE191*1.0044))</x:f>
      </x:c>
      <x:c r="Q202" s="9"/>
      <x:c r="R202" s="25">
        <x:v>0</x:v>
      </x:c>
      <x:c r="S202" s="41">
        <x:f>IF(P202&gt;0,P202+R202,R202)</x:f>
      </x:c>
      <x:c r="T202" s="9"/>
      <x:c r="U202" s="41">
        <x:v>30</x:v>
      </x:c>
      <x:c r="V202" s="45">
        <x:v>0.001067</x:v>
      </x:c>
      <x:c r="W202" s="39">
        <x:v>46331</x:v>
      </x:c>
      <x:c r="X202" s="40">
        <x:v>56</x:v>
      </x:c>
      <x:c r="Y202" s="41">
        <x:f>(IF(P202&gt;0,P202+R202,R202)-(X202*Ventas!AE191*0.9018))</x:f>
      </x:c>
      <x:c r="Z202" s="9"/>
      <x:c r="AA202" s="41">
        <x:f>(100*(Ventas!AE191*1.2350) - IF(Y202&gt;0,Y202,0))</x:f>
      </x:c>
      <x:c r="AB202" s="41">
        <x:f>IF(AA202&gt;0,AA202,0)</x:f>
      </x:c>
      <x:c r="AC202" s="41">
        <x:f>IF(Y202&gt;0,Y202+IF(AB202&gt;0,AB202,0),AB202)</x:f>
      </x:c>
      <x:c r="AD202" s="9"/>
      <x:c r="AE202" s="9"/>
      <x:c r="AF202" s="9"/>
      <x:c r="AG202" s="9"/>
      <x:c r="AH202" s="7" t="s">
        <x:v>34</x:v>
      </x:c>
    </x:row>
    <x:row r="203">
      <x:c r="A203" s="7"/>
      <x:c r="B203" s="7" t="s">
        <x:v>411</x:v>
      </x:c>
      <x:c r="C203" s="38" t="s">
        <x:v>410</x:v>
      </x:c>
      <x:c r="D203" s="9"/>
      <x:c r="E203" s="39">
        <x:v>46230</x:v>
      </x:c>
      <x:c r="F203" s="40">
        <x:v>5</x:v>
      </x:c>
      <x:c r="G203" s="41">
        <x:f>(D203-(0)+0-(F203*Ventas!AE192*1.8000))</x:f>
      </x:c>
      <x:c r="H203" s="9"/>
      <x:c r="I203" s="25">
        <x:v>0</x:v>
      </x:c>
      <x:c r="J203" s="41">
        <x:f>IF(G203&gt;0,G203+I203,I203)</x:f>
      </x:c>
      <x:c r="K203" s="9"/>
      <x:c r="L203" s="41">
        <x:v>30</x:v>
      </x:c>
      <x:c r="M203" s="45">
        <x:v>0.001067</x:v>
      </x:c>
      <x:c r="N203" s="39">
        <x:v>46275</x:v>
      </x:c>
      <x:c r="O203" s="40">
        <x:v>45</x:v>
      </x:c>
      <x:c r="P203" s="41">
        <x:f>(IF(G203&gt;0,G203+I203,I203)-(O203*Ventas!AE192*1.0044))</x:f>
      </x:c>
      <x:c r="Q203" s="9"/>
      <x:c r="R203" s="25">
        <x:v>0</x:v>
      </x:c>
      <x:c r="S203" s="41">
        <x:f>IF(P203&gt;0,P203+R203,R203)</x:f>
      </x:c>
      <x:c r="T203" s="9"/>
      <x:c r="U203" s="41">
        <x:v>30</x:v>
      </x:c>
      <x:c r="V203" s="45">
        <x:v>0.001067</x:v>
      </x:c>
      <x:c r="W203" s="39">
        <x:v>46331</x:v>
      </x:c>
      <x:c r="X203" s="40">
        <x:v>56</x:v>
      </x:c>
      <x:c r="Y203" s="41">
        <x:f>(IF(P203&gt;0,P203+R203,R203)-(X203*Ventas!AE192*0.9018))</x:f>
      </x:c>
      <x:c r="Z203" s="9"/>
      <x:c r="AA203" s="41">
        <x:f>(100*(Ventas!AE192*1.2350) - IF(Y203&gt;0,Y203,0))</x:f>
      </x:c>
      <x:c r="AB203" s="41">
        <x:f>IF(AA203&gt;0,AA203,0)</x:f>
      </x:c>
      <x:c r="AC203" s="41">
        <x:f>IF(Y203&gt;0,Y203+IF(AB203&gt;0,AB203,0),AB203)</x:f>
      </x:c>
      <x:c r="AD203" s="9"/>
      <x:c r="AE203" s="9"/>
      <x:c r="AF203" s="9"/>
      <x:c r="AG203" s="9"/>
      <x:c r="AH203" s="7" t="s">
        <x:v>34</x:v>
      </x:c>
    </x:row>
    <x:row r="204">
      <x:c r="A204" s="7"/>
      <x:c r="B204" s="7" t="s">
        <x:v>413</x:v>
      </x:c>
      <x:c r="C204" s="38" t="s">
        <x:v>412</x:v>
      </x:c>
      <x:c r="D204" s="9"/>
      <x:c r="E204" s="39">
        <x:v>46230</x:v>
      </x:c>
      <x:c r="F204" s="40">
        <x:v>5</x:v>
      </x:c>
      <x:c r="G204" s="41">
        <x:f>(D204-(0)+0-(F204*Ventas!AE193*1.8000))</x:f>
      </x:c>
      <x:c r="H204" s="9"/>
      <x:c r="I204" s="25">
        <x:v>0</x:v>
      </x:c>
      <x:c r="J204" s="41">
        <x:f>IF(G204&gt;0,G204+I204,I204)</x:f>
      </x:c>
      <x:c r="K204" s="9"/>
      <x:c r="L204" s="41">
        <x:v>30</x:v>
      </x:c>
      <x:c r="M204" s="45">
        <x:v>0.001067</x:v>
      </x:c>
      <x:c r="N204" s="39">
        <x:v>46275</x:v>
      </x:c>
      <x:c r="O204" s="40">
        <x:v>45</x:v>
      </x:c>
      <x:c r="P204" s="41">
        <x:f>(IF(G204&gt;0,G204+I204,I204)-(O204*Ventas!AE193*1.0044))</x:f>
      </x:c>
      <x:c r="Q204" s="9"/>
      <x:c r="R204" s="25">
        <x:v>0</x:v>
      </x:c>
      <x:c r="S204" s="41">
        <x:f>IF(P204&gt;0,P204+R204,R204)</x:f>
      </x:c>
      <x:c r="T204" s="9"/>
      <x:c r="U204" s="41">
        <x:v>30</x:v>
      </x:c>
      <x:c r="V204" s="45">
        <x:v>0.001067</x:v>
      </x:c>
      <x:c r="W204" s="39">
        <x:v>46331</x:v>
      </x:c>
      <x:c r="X204" s="40">
        <x:v>56</x:v>
      </x:c>
      <x:c r="Y204" s="41">
        <x:f>(IF(P204&gt;0,P204+R204,R204)-(X204*Ventas!AE193*0.9018))</x:f>
      </x:c>
      <x:c r="Z204" s="9"/>
      <x:c r="AA204" s="41">
        <x:f>(100*(Ventas!AE193*1.2350) - IF(Y204&gt;0,Y204,0))</x:f>
      </x:c>
      <x:c r="AB204" s="41">
        <x:f>IF(AA204&gt;0,AA204,0)</x:f>
      </x:c>
      <x:c r="AC204" s="41">
        <x:f>IF(Y204&gt;0,Y204+IF(AB204&gt;0,AB204,0),AB204)</x:f>
      </x:c>
      <x:c r="AD204" s="9"/>
      <x:c r="AE204" s="9"/>
      <x:c r="AF204" s="9"/>
      <x:c r="AG204" s="9"/>
      <x:c r="AH204" s="7" t="s">
        <x:v>34</x:v>
      </x:c>
    </x:row>
    <x:row r="205">
      <x:c r="A205" s="7"/>
      <x:c r="B205" s="7" t="s">
        <x:v>415</x:v>
      </x:c>
      <x:c r="C205" s="38" t="s">
        <x:v>414</x:v>
      </x:c>
      <x:c r="D205" s="9"/>
      <x:c r="E205" s="39">
        <x:v>46230</x:v>
      </x:c>
      <x:c r="F205" s="40">
        <x:v>5</x:v>
      </x:c>
      <x:c r="G205" s="41">
        <x:f>(D205-(0)+0-(F205*Ventas!AE194*1.8000))</x:f>
      </x:c>
      <x:c r="H205" s="9"/>
      <x:c r="I205" s="25">
        <x:v>0</x:v>
      </x:c>
      <x:c r="J205" s="41">
        <x:f>IF(G205&gt;0,G205+I205,I205)</x:f>
      </x:c>
      <x:c r="K205" s="9"/>
      <x:c r="L205" s="41">
        <x:v>30</x:v>
      </x:c>
      <x:c r="M205" s="45">
        <x:v>0.001067</x:v>
      </x:c>
      <x:c r="N205" s="39">
        <x:v>46275</x:v>
      </x:c>
      <x:c r="O205" s="40">
        <x:v>45</x:v>
      </x:c>
      <x:c r="P205" s="41">
        <x:f>(IF(G205&gt;0,G205+I205,I205)-(O205*Ventas!AE194*1.0044))</x:f>
      </x:c>
      <x:c r="Q205" s="9"/>
      <x:c r="R205" s="25">
        <x:v>0</x:v>
      </x:c>
      <x:c r="S205" s="41">
        <x:f>IF(P205&gt;0,P205+R205,R205)</x:f>
      </x:c>
      <x:c r="T205" s="9"/>
      <x:c r="U205" s="41">
        <x:v>30</x:v>
      </x:c>
      <x:c r="V205" s="45">
        <x:v>0.001067</x:v>
      </x:c>
      <x:c r="W205" s="39">
        <x:v>46331</x:v>
      </x:c>
      <x:c r="X205" s="40">
        <x:v>56</x:v>
      </x:c>
      <x:c r="Y205" s="41">
        <x:f>(IF(P205&gt;0,P205+R205,R205)-(X205*Ventas!AE194*0.9018))</x:f>
      </x:c>
      <x:c r="Z205" s="9"/>
      <x:c r="AA205" s="41">
        <x:f>(100*(Ventas!AE194*1.2350) - IF(Y205&gt;0,Y205,0))</x:f>
      </x:c>
      <x:c r="AB205" s="41">
        <x:f>IF(AA205&gt;0,AA205,0)</x:f>
      </x:c>
      <x:c r="AC205" s="41">
        <x:f>IF(Y205&gt;0,Y205+IF(AB205&gt;0,AB205,0),AB205)</x:f>
      </x:c>
      <x:c r="AD205" s="9"/>
      <x:c r="AE205" s="9"/>
      <x:c r="AF205" s="9"/>
      <x:c r="AG205" s="9"/>
      <x:c r="AH205" s="7" t="s">
        <x:v>34</x:v>
      </x:c>
    </x:row>
    <x:row r="206">
      <x:c r="A206" s="7"/>
      <x:c r="B206" s="7" t="s">
        <x:v>417</x:v>
      </x:c>
      <x:c r="C206" s="38" t="s">
        <x:v>416</x:v>
      </x:c>
      <x:c r="D206" s="25">
        <x:v>365</x:v>
      </x:c>
      <x:c r="E206" s="39">
        <x:v>46230</x:v>
      </x:c>
      <x:c r="F206" s="40">
        <x:v>5</x:v>
      </x:c>
      <x:c r="G206" s="41">
        <x:f>(D206-(0)+0-(F206*Ventas!AE195*1.8000))</x:f>
      </x:c>
      <x:c r="H206" s="43">
        <x:f>(G206/(Ventas!AE195*1.8000)/60)</x:f>
      </x:c>
      <x:c r="I206" s="25">
        <x:v>0</x:v>
      </x:c>
      <x:c r="J206" s="41">
        <x:f>IF(G206&gt;0,G206+I206,I206)</x:f>
      </x:c>
      <x:c r="K206" s="9"/>
      <x:c r="L206" s="41">
        <x:v>6</x:v>
      </x:c>
      <x:c r="M206" s="45">
        <x:v>0.014</x:v>
      </x:c>
      <x:c r="N206" s="39">
        <x:v>46275</x:v>
      </x:c>
      <x:c r="O206" s="40">
        <x:v>45</x:v>
      </x:c>
      <x:c r="P206" s="41">
        <x:f>(IF(G206&gt;0,G206+I206,I206)-(O206*Ventas!AE195*1.0044))</x:f>
      </x:c>
      <x:c r="Q206" s="43">
        <x:f>(P206/(Ventas!AE195*1.0044)/60)</x:f>
      </x:c>
      <x:c r="R206" s="25">
        <x:v>0</x:v>
      </x:c>
      <x:c r="S206" s="41">
        <x:f>IF(P206&gt;0,P206+R206,R206)</x:f>
      </x:c>
      <x:c r="T206" s="9"/>
      <x:c r="U206" s="41">
        <x:v>6</x:v>
      </x:c>
      <x:c r="V206" s="45">
        <x:v>0.014</x:v>
      </x:c>
      <x:c r="W206" s="39">
        <x:v>46331</x:v>
      </x:c>
      <x:c r="X206" s="40">
        <x:v>56</x:v>
      </x:c>
      <x:c r="Y206" s="41">
        <x:f>(IF(P206&gt;0,P206+R206,R206)-(X206*Ventas!AE195*0.9018))</x:f>
      </x:c>
      <x:c r="Z206" s="43">
        <x:f>(Y206/(Ventas!AE195*0.9018)/60)</x:f>
      </x:c>
      <x:c r="AA206" s="41">
        <x:f>(100*(Ventas!AE195*1.2350) - IF(Y206&gt;0,Y206,0))</x:f>
      </x:c>
      <x:c r="AB206" s="41">
        <x:f>IF(AA206&gt;0,AA206,0)</x:f>
      </x:c>
      <x:c r="AC206" s="41">
        <x:f>IF(Y206&gt;0,Y206+IF(AB206&gt;0,AB206,0),AB206)</x:f>
      </x:c>
      <x:c r="AD206" s="46">
        <x:v>17.1</x:v>
      </x:c>
      <x:c r="AE206" s="25">
        <x:v>3027</x:v>
      </x:c>
      <x:c r="AF206" s="41">
        <x:f>(AC206-(60*Ventas!AE195*1.2350))</x:f>
      </x:c>
      <x:c r="AG206" s="43">
        <x:f>(AF206/(Ventas!AE195*1.2350)/60)</x:f>
      </x:c>
      <x:c r="AH206" s="7" t="s">
        <x:v>34</x:v>
      </x:c>
    </x:row>
    <x:row r="207">
      <x:c r="A207" s="7"/>
      <x:c r="B207" s="7" t="s">
        <x:v>419</x:v>
      </x:c>
      <x:c r="C207" s="38" t="s">
        <x:v>418</x:v>
      </x:c>
      <x:c r="D207" s="25">
        <x:v>86</x:v>
      </x:c>
      <x:c r="E207" s="39">
        <x:v>46230</x:v>
      </x:c>
      <x:c r="F207" s="40">
        <x:v>5</x:v>
      </x:c>
      <x:c r="G207" s="41">
        <x:f>(D207-(0)+0-(F207*Ventas!AE196*1.8000))</x:f>
      </x:c>
      <x:c r="H207" s="43">
        <x:f>(G207/(Ventas!AE196*1.8000)/60)</x:f>
      </x:c>
      <x:c r="I207" s="25">
        <x:v>102</x:v>
      </x:c>
      <x:c r="J207" s="41">
        <x:f>IF(G207&gt;0,G207+I207,I207)</x:f>
      </x:c>
      <x:c r="K207" s="41">
        <x:v>17.056</x:v>
      </x:c>
      <x:c r="L207" s="41">
        <x:v>6</x:v>
      </x:c>
      <x:c r="M207" s="45">
        <x:v>0.014</x:v>
      </x:c>
      <x:c r="N207" s="39">
        <x:v>46275</x:v>
      </x:c>
      <x:c r="O207" s="40">
        <x:v>45</x:v>
      </x:c>
      <x:c r="P207" s="41">
        <x:f>(IF(G207&gt;0,G207+I207,I207)-(O207*Ventas!AE196*1.0044))</x:f>
      </x:c>
      <x:c r="Q207" s="43">
        <x:f>(P207/(Ventas!AE196*1.0044)/60)</x:f>
      </x:c>
      <x:c r="R207" s="25">
        <x:v>144</x:v>
      </x:c>
      <x:c r="S207" s="41">
        <x:f>IF(P207&gt;0,P207+R207,R207)</x:f>
      </x:c>
      <x:c r="T207" s="41">
        <x:v>17.1</x:v>
      </x:c>
      <x:c r="U207" s="41">
        <x:v>6</x:v>
      </x:c>
      <x:c r="V207" s="45">
        <x:v>0.014</x:v>
      </x:c>
      <x:c r="W207" s="39">
        <x:v>46331</x:v>
      </x:c>
      <x:c r="X207" s="40">
        <x:v>56</x:v>
      </x:c>
      <x:c r="Y207" s="41">
        <x:f>(IF(P207&gt;0,P207+R207,R207)-(X207*Ventas!AE196*0.9018))</x:f>
      </x:c>
      <x:c r="Z207" s="43">
        <x:f>(Y207/(Ventas!AE196*0.9018)/60)</x:f>
      </x:c>
      <x:c r="AA207" s="41">
        <x:f>(100*(Ventas!AE196*1.2350) - IF(Y207&gt;0,Y207,0))</x:f>
      </x:c>
      <x:c r="AB207" s="41">
        <x:f>IF(AA207&gt;0,AA207,0)</x:f>
      </x:c>
      <x:c r="AC207" s="41">
        <x:f>IF(Y207&gt;0,Y207+IF(AB207&gt;0,AB207,0),AB207)</x:f>
      </x:c>
      <x:c r="AD207" s="46">
        <x:v>17.056</x:v>
      </x:c>
      <x:c r="AE207" s="25">
        <x:v>3027</x:v>
      </x:c>
      <x:c r="AF207" s="41">
        <x:f>(AC207-(60*Ventas!AE196*1.2350))</x:f>
      </x:c>
      <x:c r="AG207" s="43">
        <x:f>(AF207/(Ventas!AE196*1.2350)/60)</x:f>
      </x:c>
      <x:c r="AH207" s="7" t="s">
        <x:v>34</x:v>
      </x:c>
    </x:row>
    <x:row r="208">
      <x:c r="A208" s="7"/>
      <x:c r="B208" s="7" t="s">
        <x:v>421</x:v>
      </x:c>
      <x:c r="C208" s="38" t="s">
        <x:v>420</x:v>
      </x:c>
      <x:c r="D208" s="25">
        <x:v>21</x:v>
      </x:c>
      <x:c r="E208" s="39">
        <x:v>46230</x:v>
      </x:c>
      <x:c r="F208" s="40">
        <x:v>5</x:v>
      </x:c>
      <x:c r="G208" s="41">
        <x:f>(D208-(0)+0-(F208*Ventas!AE197*1.8000))</x:f>
      </x:c>
      <x:c r="H208" s="43">
        <x:f>(G208/(Ventas!AE197*1.8000)/60)</x:f>
      </x:c>
      <x:c r="I208" s="25">
        <x:v>0</x:v>
      </x:c>
      <x:c r="J208" s="41">
        <x:f>IF(G208&gt;0,G208+I208,I208)</x:f>
      </x:c>
      <x:c r="K208" s="9"/>
      <x:c r="L208" s="41">
        <x:v>20</x:v>
      </x:c>
      <x:c r="M208" s="45">
        <x:v>0.067</x:v>
      </x:c>
      <x:c r="N208" s="39">
        <x:v>46275</x:v>
      </x:c>
      <x:c r="O208" s="40">
        <x:v>45</x:v>
      </x:c>
      <x:c r="P208" s="41">
        <x:f>(IF(G208&gt;0,G208+I208,I208)-(O208*Ventas!AE197*1.0044))</x:f>
      </x:c>
      <x:c r="Q208" s="43">
        <x:f>(P208/(Ventas!AE197*1.0044)/60)</x:f>
      </x:c>
      <x:c r="R208" s="25">
        <x:v>0</x:v>
      </x:c>
      <x:c r="S208" s="41">
        <x:f>IF(P208&gt;0,P208+R208,R208)</x:f>
      </x:c>
      <x:c r="T208" s="9"/>
      <x:c r="U208" s="41">
        <x:v>20</x:v>
      </x:c>
      <x:c r="V208" s="45">
        <x:v>0.00335</x:v>
      </x:c>
      <x:c r="W208" s="39">
        <x:v>46331</x:v>
      </x:c>
      <x:c r="X208" s="40">
        <x:v>56</x:v>
      </x:c>
      <x:c r="Y208" s="41">
        <x:f>(IF(P208&gt;0,P208+R208,R208)-(X208*Ventas!AE197*0.9018))</x:f>
      </x:c>
      <x:c r="Z208" s="43">
        <x:f>(Y208/(Ventas!AE197*0.9018)/60)</x:f>
      </x:c>
      <x:c r="AA208" s="41">
        <x:f>(100*(Ventas!AE197*1.2350) - IF(Y208&gt;0,Y208,0))</x:f>
      </x:c>
      <x:c r="AB208" s="41">
        <x:f>IF(AA208&gt;0,AA208,0)</x:f>
      </x:c>
      <x:c r="AC208" s="41">
        <x:f>IF(Y208&gt;0,Y208+IF(AB208&gt;0,AB208,0),AB208)</x:f>
      </x:c>
      <x:c r="AD208" s="46">
        <x:v>23.3</x:v>
      </x:c>
      <x:c r="AE208" s="25">
        <x:v>3010</x:v>
      </x:c>
      <x:c r="AF208" s="41">
        <x:f>(AC208-(60*Ventas!AE197*1.2350))</x:f>
      </x:c>
      <x:c r="AG208" s="43">
        <x:f>(AF208/(Ventas!AE197*1.2350)/60)</x:f>
      </x:c>
      <x:c r="AH208" s="7" t="s">
        <x:v>34</x:v>
      </x:c>
    </x:row>
    <x:row r="209">
      <x:c r="A209" s="7"/>
      <x:c r="B209" s="7" t="s">
        <x:v>423</x:v>
      </x:c>
      <x:c r="C209" s="38" t="s">
        <x:v>422</x:v>
      </x:c>
      <x:c r="D209" s="25">
        <x:v>85</x:v>
      </x:c>
      <x:c r="E209" s="39">
        <x:v>46230</x:v>
      </x:c>
      <x:c r="F209" s="40">
        <x:v>5</x:v>
      </x:c>
      <x:c r="G209" s="41">
        <x:f>(D209-(0)+0-(F209*Ventas!AE198*1.8000))</x:f>
      </x:c>
      <x:c r="H209" s="43">
        <x:f>(G209/(Ventas!AE198*1.8000)/60)</x:f>
      </x:c>
      <x:c r="I209" s="25">
        <x:v>20</x:v>
      </x:c>
      <x:c r="J209" s="41">
        <x:f>IF(G209&gt;0,G209+I209,I209)</x:f>
      </x:c>
      <x:c r="K209" s="41">
        <x:v>8.736</x:v>
      </x:c>
      <x:c r="L209" s="41">
        <x:v>10</x:v>
      </x:c>
      <x:c r="M209" s="45">
        <x:v>0.0063</x:v>
      </x:c>
      <x:c r="N209" s="39">
        <x:v>46275</x:v>
      </x:c>
      <x:c r="O209" s="40">
        <x:v>45</x:v>
      </x:c>
      <x:c r="P209" s="41">
        <x:f>(IF(G209&gt;0,G209+I209,I209)-(O209*Ventas!AE198*1.0044))</x:f>
      </x:c>
      <x:c r="Q209" s="43">
        <x:f>(P209/(Ventas!AE198*1.0044)/60)</x:f>
      </x:c>
      <x:c r="R209" s="25">
        <x:v>0</x:v>
      </x:c>
      <x:c r="S209" s="41">
        <x:f>IF(P209&gt;0,P209+R209,R209)</x:f>
      </x:c>
      <x:c r="T209" s="9"/>
      <x:c r="U209" s="41">
        <x:v>10</x:v>
      </x:c>
      <x:c r="V209" s="45">
        <x:v>0.0063</x:v>
      </x:c>
      <x:c r="W209" s="39">
        <x:v>46331</x:v>
      </x:c>
      <x:c r="X209" s="40">
        <x:v>56</x:v>
      </x:c>
      <x:c r="Y209" s="41">
        <x:f>(IF(P209&gt;0,P209+R209,R209)-(X209*Ventas!AE198*0.9018))</x:f>
      </x:c>
      <x:c r="Z209" s="43">
        <x:f>(Y209/(Ventas!AE198*0.9018)/60)</x:f>
      </x:c>
      <x:c r="AA209" s="41">
        <x:f>(100*(Ventas!AE198*1.2350) - IF(Y209&gt;0,Y209,0))</x:f>
      </x:c>
      <x:c r="AB209" s="41">
        <x:f>IF(AA209&gt;0,AA209,0)</x:f>
      </x:c>
      <x:c r="AC209" s="41">
        <x:f>IF(Y209&gt;0,Y209+IF(AB209&gt;0,AB209,0),AB209)</x:f>
      </x:c>
      <x:c r="AD209" s="46">
        <x:v>8.736</x:v>
      </x:c>
      <x:c r="AE209" s="25">
        <x:v>3027</x:v>
      </x:c>
      <x:c r="AF209" s="41">
        <x:f>(AC209-(60*Ventas!AE198*1.2350))</x:f>
      </x:c>
      <x:c r="AG209" s="43">
        <x:f>(AF209/(Ventas!AE198*1.2350)/60)</x:f>
      </x:c>
      <x:c r="AH209" s="7" t="s">
        <x:v>34</x:v>
      </x:c>
    </x:row>
    <x:row r="210">
      <x:c r="A210" s="7"/>
      <x:c r="B210" s="7" t="s">
        <x:v>425</x:v>
      </x:c>
      <x:c r="C210" s="38" t="s">
        <x:v>424</x:v>
      </x:c>
      <x:c r="D210" s="25">
        <x:v>70</x:v>
      </x:c>
      <x:c r="E210" s="39">
        <x:v>46230</x:v>
      </x:c>
      <x:c r="F210" s="40">
        <x:v>5</x:v>
      </x:c>
      <x:c r="G210" s="41">
        <x:f>(D210-(0)+0-(F210*Ventas!AE199*1.8000))</x:f>
      </x:c>
      <x:c r="H210" s="43">
        <x:f>(G210/(Ventas!AE199*1.8000)/60)</x:f>
      </x:c>
      <x:c r="I210" s="25">
        <x:v>0</x:v>
      </x:c>
      <x:c r="J210" s="41">
        <x:f>IF(G210&gt;0,G210+I210,I210)</x:f>
      </x:c>
      <x:c r="K210" s="9"/>
      <x:c r="L210" s="41">
        <x:v>10</x:v>
      </x:c>
      <x:c r="M210" s="45">
        <x:v>0.0063</x:v>
      </x:c>
      <x:c r="N210" s="39">
        <x:v>46275</x:v>
      </x:c>
      <x:c r="O210" s="40">
        <x:v>45</x:v>
      </x:c>
      <x:c r="P210" s="41">
        <x:f>(IF(G210&gt;0,G210+I210,I210)-(O210*Ventas!AE199*1.0044))</x:f>
      </x:c>
      <x:c r="Q210" s="43">
        <x:f>(P210/(Ventas!AE199*1.0044)/60)</x:f>
      </x:c>
      <x:c r="R210" s="25">
        <x:v>0</x:v>
      </x:c>
      <x:c r="S210" s="41">
        <x:f>IF(P210&gt;0,P210+R210,R210)</x:f>
      </x:c>
      <x:c r="T210" s="9"/>
      <x:c r="U210" s="41">
        <x:v>10</x:v>
      </x:c>
      <x:c r="V210" s="45">
        <x:v>0.0063</x:v>
      </x:c>
      <x:c r="W210" s="39">
        <x:v>46331</x:v>
      </x:c>
      <x:c r="X210" s="40">
        <x:v>56</x:v>
      </x:c>
      <x:c r="Y210" s="41">
        <x:f>(IF(P210&gt;0,P210+R210,R210)-(X210*Ventas!AE199*0.9018))</x:f>
      </x:c>
      <x:c r="Z210" s="43">
        <x:f>(Y210/(Ventas!AE199*0.9018)/60)</x:f>
      </x:c>
      <x:c r="AA210" s="41">
        <x:f>(100*(Ventas!AE199*1.2350) - IF(Y210&gt;0,Y210,0))</x:f>
      </x:c>
      <x:c r="AB210" s="41">
        <x:f>IF(AA210&gt;0,AA210,0)</x:f>
      </x:c>
      <x:c r="AC210" s="41">
        <x:f>IF(Y210&gt;0,Y210+IF(AB210&gt;0,AB210,0),AB210)</x:f>
      </x:c>
      <x:c r="AD210" s="46">
        <x:v>8.7</x:v>
      </x:c>
      <x:c r="AE210" s="25">
        <x:v>3027</x:v>
      </x:c>
      <x:c r="AF210" s="41">
        <x:f>(AC210-(60*Ventas!AE199*1.2350))</x:f>
      </x:c>
      <x:c r="AG210" s="43">
        <x:f>(AF210/(Ventas!AE199*1.2350)/60)</x:f>
      </x:c>
      <x:c r="AH210" s="7" t="s">
        <x:v>34</x:v>
      </x:c>
    </x:row>
    <x:row r="211">
      <x:c r="A211" s="7"/>
      <x:c r="B211" s="7" t="s">
        <x:v>427</x:v>
      </x:c>
      <x:c r="C211" s="38" t="s">
        <x:v>426</x:v>
      </x:c>
      <x:c r="D211" s="25">
        <x:v>32</x:v>
      </x:c>
      <x:c r="E211" s="39">
        <x:v>46230</x:v>
      </x:c>
      <x:c r="F211" s="40">
        <x:v>5</x:v>
      </x:c>
      <x:c r="G211" s="41">
        <x:f>(D211-(0)+0-(F211*Ventas!AE200*1.8000))</x:f>
      </x:c>
      <x:c r="H211" s="43">
        <x:f>(G211/(Ventas!AE200*1.8000)/60)</x:f>
      </x:c>
      <x:c r="I211" s="25">
        <x:v>0</x:v>
      </x:c>
      <x:c r="J211" s="41">
        <x:f>IF(G211&gt;0,G211+I211,I211)</x:f>
      </x:c>
      <x:c r="K211" s="9"/>
      <x:c r="L211" s="41">
        <x:v>10</x:v>
      </x:c>
      <x:c r="M211" s="45">
        <x:v>0.0045</x:v>
      </x:c>
      <x:c r="N211" s="39">
        <x:v>46275</x:v>
      </x:c>
      <x:c r="O211" s="40">
        <x:v>45</x:v>
      </x:c>
      <x:c r="P211" s="41">
        <x:f>(IF(G211&gt;0,G211+I211,I211)-(O211*Ventas!AE200*1.0044))</x:f>
      </x:c>
      <x:c r="Q211" s="43">
        <x:f>(P211/(Ventas!AE200*1.0044)/60)</x:f>
      </x:c>
      <x:c r="R211" s="25">
        <x:v>0</x:v>
      </x:c>
      <x:c r="S211" s="41">
        <x:f>IF(P211&gt;0,P211+R211,R211)</x:f>
      </x:c>
      <x:c r="T211" s="9"/>
      <x:c r="U211" s="41">
        <x:v>10</x:v>
      </x:c>
      <x:c r="V211" s="45">
        <x:v>0.0045</x:v>
      </x:c>
      <x:c r="W211" s="39">
        <x:v>46331</x:v>
      </x:c>
      <x:c r="X211" s="40">
        <x:v>56</x:v>
      </x:c>
      <x:c r="Y211" s="41">
        <x:f>(IF(P211&gt;0,P211+R211,R211)-(X211*Ventas!AE200*0.9018))</x:f>
      </x:c>
      <x:c r="Z211" s="43">
        <x:f>(Y211/(Ventas!AE200*0.9018)/60)</x:f>
      </x:c>
      <x:c r="AA211" s="41">
        <x:f>(100*(Ventas!AE200*1.2350) - IF(Y211&gt;0,Y211,0))</x:f>
      </x:c>
      <x:c r="AB211" s="41">
        <x:f>IF(AA211&gt;0,AA211,0)</x:f>
      </x:c>
      <x:c r="AC211" s="41">
        <x:f>IF(Y211&gt;0,Y211+IF(AB211&gt;0,AB211,0),AB211)</x:f>
      </x:c>
      <x:c r="AD211" s="46">
        <x:v>17.1</x:v>
      </x:c>
      <x:c r="AE211" s="25">
        <x:v>3010</x:v>
      </x:c>
      <x:c r="AF211" s="41">
        <x:f>(AC211-(60*Ventas!AE200*1.2350))</x:f>
      </x:c>
      <x:c r="AG211" s="43">
        <x:f>(AF211/(Ventas!AE200*1.2350)/60)</x:f>
      </x:c>
      <x:c r="AH211" s="7" t="s">
        <x:v>34</x:v>
      </x:c>
    </x:row>
    <x:row r="212">
      <x:c r="A212" s="7"/>
      <x:c r="B212" s="7" t="s">
        <x:v>429</x:v>
      </x:c>
      <x:c r="C212" s="38" t="s">
        <x:v>428</x:v>
      </x:c>
      <x:c r="D212" s="25">
        <x:v>8</x:v>
      </x:c>
      <x:c r="E212" s="39">
        <x:v>46230</x:v>
      </x:c>
      <x:c r="F212" s="40">
        <x:v>5</x:v>
      </x:c>
      <x:c r="G212" s="41">
        <x:f>(D212-(0)+0-(F212*Ventas!AE201*1.8000))</x:f>
      </x:c>
      <x:c r="H212" s="43">
        <x:f>(G212/(Ventas!AE201*1.8000)/60)</x:f>
      </x:c>
      <x:c r="I212" s="25">
        <x:v>0</x:v>
      </x:c>
      <x:c r="J212" s="41">
        <x:f>IF(G212&gt;0,G212+I212,I212)</x:f>
      </x:c>
      <x:c r="K212" s="9"/>
      <x:c r="L212" s="41">
        <x:v>20</x:v>
      </x:c>
      <x:c r="M212" s="45">
        <x:v>0.00335</x:v>
      </x:c>
      <x:c r="N212" s="39">
        <x:v>46275</x:v>
      </x:c>
      <x:c r="O212" s="40">
        <x:v>45</x:v>
      </x:c>
      <x:c r="P212" s="41">
        <x:f>(IF(G212&gt;0,G212+I212,I212)-(O212*Ventas!AE201*1.0044))</x:f>
      </x:c>
      <x:c r="Q212" s="43">
        <x:f>(P212/(Ventas!AE201*1.0044)/60)</x:f>
      </x:c>
      <x:c r="R212" s="25">
        <x:v>0</x:v>
      </x:c>
      <x:c r="S212" s="41">
        <x:f>IF(P212&gt;0,P212+R212,R212)</x:f>
      </x:c>
      <x:c r="T212" s="9"/>
      <x:c r="U212" s="41">
        <x:v>20</x:v>
      </x:c>
      <x:c r="V212" s="45">
        <x:v>0.00335</x:v>
      </x:c>
      <x:c r="W212" s="39">
        <x:v>46331</x:v>
      </x:c>
      <x:c r="X212" s="40">
        <x:v>56</x:v>
      </x:c>
      <x:c r="Y212" s="41">
        <x:f>(IF(P212&gt;0,P212+R212,R212)-(X212*Ventas!AE201*0.9018))</x:f>
      </x:c>
      <x:c r="Z212" s="43">
        <x:f>(Y212/(Ventas!AE201*0.9018)/60)</x:f>
      </x:c>
      <x:c r="AA212" s="41">
        <x:f>(100*(Ventas!AE201*1.2350) - IF(Y212&gt;0,Y212,0))</x:f>
      </x:c>
      <x:c r="AB212" s="41">
        <x:f>IF(AA212&gt;0,AA212,0)</x:f>
      </x:c>
      <x:c r="AC212" s="41">
        <x:f>IF(Y212&gt;0,Y212+IF(AB212&gt;0,AB212,0),AB212)</x:f>
      </x:c>
      <x:c r="AD212" s="46">
        <x:v>15</x:v>
      </x:c>
      <x:c r="AE212" s="25">
        <x:v>3010</x:v>
      </x:c>
      <x:c r="AF212" s="41">
        <x:f>(AC212-(60*Ventas!AE201*1.2350))</x:f>
      </x:c>
      <x:c r="AG212" s="43">
        <x:f>(AF212/(Ventas!AE201*1.2350)/60)</x:f>
      </x:c>
      <x:c r="AH212" s="7" t="s">
        <x:v>107</x:v>
      </x:c>
    </x:row>
    <x:row r="213">
      <x:c r="A213" s="7"/>
      <x:c r="B213" s="7" t="s">
        <x:v>431</x:v>
      </x:c>
      <x:c r="C213" s="38" t="s">
        <x:v>430</x:v>
      </x:c>
      <x:c r="D213" s="25">
        <x:v>31</x:v>
      </x:c>
      <x:c r="E213" s="39">
        <x:v>46230</x:v>
      </x:c>
      <x:c r="F213" s="40">
        <x:v>5</x:v>
      </x:c>
      <x:c r="G213" s="41">
        <x:f>(D213-(0)+0-(F213*Ventas!AE202*1.8000))</x:f>
      </x:c>
      <x:c r="H213" s="43">
        <x:f>(G213/(Ventas!AE202*1.8000)/60)</x:f>
      </x:c>
      <x:c r="I213" s="25">
        <x:v>0</x:v>
      </x:c>
      <x:c r="J213" s="41">
        <x:f>IF(G213&gt;0,G213+I213,I213)</x:f>
      </x:c>
      <x:c r="K213" s="9"/>
      <x:c r="L213" s="41">
        <x:v>20</x:v>
      </x:c>
      <x:c r="M213" s="45">
        <x:v>0.00335</x:v>
      </x:c>
      <x:c r="N213" s="39">
        <x:v>46275</x:v>
      </x:c>
      <x:c r="O213" s="40">
        <x:v>45</x:v>
      </x:c>
      <x:c r="P213" s="41">
        <x:f>(IF(G213&gt;0,G213+I213,I213)-(O213*Ventas!AE202*1.0044))</x:f>
      </x:c>
      <x:c r="Q213" s="43">
        <x:f>(P213/(Ventas!AE202*1.0044)/60)</x:f>
      </x:c>
      <x:c r="R213" s="25">
        <x:v>0</x:v>
      </x:c>
      <x:c r="S213" s="41">
        <x:f>IF(P213&gt;0,P213+R213,R213)</x:f>
      </x:c>
      <x:c r="T213" s="9"/>
      <x:c r="U213" s="41">
        <x:v>20</x:v>
      </x:c>
      <x:c r="V213" s="45">
        <x:v>0.00335</x:v>
      </x:c>
      <x:c r="W213" s="39">
        <x:v>46331</x:v>
      </x:c>
      <x:c r="X213" s="40">
        <x:v>56</x:v>
      </x:c>
      <x:c r="Y213" s="41">
        <x:f>(IF(P213&gt;0,P213+R213,R213)-(X213*Ventas!AE202*0.9018))</x:f>
      </x:c>
      <x:c r="Z213" s="43">
        <x:f>(Y213/(Ventas!AE202*0.9018)/60)</x:f>
      </x:c>
      <x:c r="AA213" s="41">
        <x:f>(100*(Ventas!AE202*1.2350) - IF(Y213&gt;0,Y213,0))</x:f>
      </x:c>
      <x:c r="AB213" s="41">
        <x:f>IF(AA213&gt;0,AA213,0)</x:f>
      </x:c>
      <x:c r="AC213" s="41">
        <x:f>IF(Y213&gt;0,Y213+IF(AB213&gt;0,AB213,0),AB213)</x:f>
      </x:c>
      <x:c r="AD213" s="46">
        <x:v>15</x:v>
      </x:c>
      <x:c r="AE213" s="25">
        <x:v>3027</x:v>
      </x:c>
      <x:c r="AF213" s="41">
        <x:f>(AC213-(60*Ventas!AE202*1.2350))</x:f>
      </x:c>
      <x:c r="AG213" s="43">
        <x:f>(AF213/(Ventas!AE202*1.2350)/60)</x:f>
      </x:c>
      <x:c r="AH213" s="7" t="s">
        <x:v>107</x:v>
      </x:c>
    </x:row>
    <x:row r="214">
      <x:c r="A214" s="7"/>
      <x:c r="B214" s="7" t="s">
        <x:v>830</x:v>
      </x:c>
      <x:c r="C214" s="38" t="s">
        <x:v>829</x:v>
      </x:c>
      <x:c r="D214" s="9"/>
      <x:c r="E214" s="39">
        <x:v>46230</x:v>
      </x:c>
      <x:c r="F214" s="40">
        <x:v>5</x:v>
      </x:c>
      <x:c r="G214" s="41">
        <x:f>(D214-(0)+0-(F214*Ventas!AE367*1.8000))</x:f>
      </x:c>
      <x:c r="H214" s="9"/>
      <x:c r="I214" s="25">
        <x:v>0</x:v>
      </x:c>
      <x:c r="J214" s="41">
        <x:f>IF(G214&gt;0,G214+I214,I214)</x:f>
      </x:c>
      <x:c r="K214" s="9"/>
      <x:c r="L214" s="9"/>
      <x:c r="M214" s="9"/>
      <x:c r="N214" s="39">
        <x:v>46275</x:v>
      </x:c>
      <x:c r="O214" s="40">
        <x:v>45</x:v>
      </x:c>
      <x:c r="P214" s="41">
        <x:f>(IF(G214&gt;0,G214+I214,I214)-(O214*Ventas!AE367*1.0044))</x:f>
      </x:c>
      <x:c r="Q214" s="9"/>
      <x:c r="R214" s="25">
        <x:v>0</x:v>
      </x:c>
      <x:c r="S214" s="41">
        <x:f>IF(P214&gt;0,P214+R214,R214)</x:f>
      </x:c>
      <x:c r="T214" s="9"/>
      <x:c r="U214" s="9"/>
      <x:c r="V214" s="9"/>
      <x:c r="W214" s="39">
        <x:v>46331</x:v>
      </x:c>
      <x:c r="X214" s="40">
        <x:v>56</x:v>
      </x:c>
      <x:c r="Y214" s="41">
        <x:f>(IF(P214&gt;0,P214+R214,R214)-(X214*Ventas!AE367*0.9018))</x:f>
      </x:c>
      <x:c r="Z214" s="9"/>
      <x:c r="AA214" s="41">
        <x:f>(100*(Ventas!AE367*1.2350) - IF(Y214&gt;0,Y214,0))</x:f>
      </x:c>
      <x:c r="AB214" s="41">
        <x:f>IF(AA214&gt;0,AA214,0)</x:f>
      </x:c>
      <x:c r="AC214" s="41">
        <x:f>IF(Y214&gt;0,Y214+IF(AB214&gt;0,AB214,0),AB214)</x:f>
      </x:c>
      <x:c r="AD214" s="9"/>
      <x:c r="AE214" s="9"/>
      <x:c r="AF214" s="9"/>
      <x:c r="AG214" s="9"/>
      <x:c r="AH214" s="7" t="s">
        <x:v>34</x:v>
      </x:c>
    </x:row>
    <x:row r="215">
      <x:c r="A215" s="7"/>
      <x:c r="B215" s="7" t="s">
        <x:v>832</x:v>
      </x:c>
      <x:c r="C215" s="38" t="s">
        <x:v>831</x:v>
      </x:c>
      <x:c r="D215" s="9"/>
      <x:c r="E215" s="39">
        <x:v>46230</x:v>
      </x:c>
      <x:c r="F215" s="40">
        <x:v>5</x:v>
      </x:c>
      <x:c r="G215" s="41">
        <x:f>(D215-(0)+0-(F215*Ventas!AE368*1.8000))</x:f>
      </x:c>
      <x:c r="H215" s="9"/>
      <x:c r="I215" s="25">
        <x:v>0</x:v>
      </x:c>
      <x:c r="J215" s="41">
        <x:f>IF(G215&gt;0,G215+I215,I215)</x:f>
      </x:c>
      <x:c r="K215" s="9"/>
      <x:c r="L215" s="9"/>
      <x:c r="M215" s="9"/>
      <x:c r="N215" s="39">
        <x:v>46275</x:v>
      </x:c>
      <x:c r="O215" s="40">
        <x:v>45</x:v>
      </x:c>
      <x:c r="P215" s="41">
        <x:f>(IF(G215&gt;0,G215+I215,I215)-(O215*Ventas!AE368*1.0044))</x:f>
      </x:c>
      <x:c r="Q215" s="9"/>
      <x:c r="R215" s="25">
        <x:v>0</x:v>
      </x:c>
      <x:c r="S215" s="41">
        <x:f>IF(P215&gt;0,P215+R215,R215)</x:f>
      </x:c>
      <x:c r="T215" s="9"/>
      <x:c r="U215" s="9"/>
      <x:c r="V215" s="9"/>
      <x:c r="W215" s="39">
        <x:v>46331</x:v>
      </x:c>
      <x:c r="X215" s="40">
        <x:v>56</x:v>
      </x:c>
      <x:c r="Y215" s="41">
        <x:f>(IF(P215&gt;0,P215+R215,R215)-(X215*Ventas!AE368*0.9018))</x:f>
      </x:c>
      <x:c r="Z215" s="9"/>
      <x:c r="AA215" s="41">
        <x:f>(100*(Ventas!AE368*1.2350) - IF(Y215&gt;0,Y215,0))</x:f>
      </x:c>
      <x:c r="AB215" s="41">
        <x:f>IF(AA215&gt;0,AA215,0)</x:f>
      </x:c>
      <x:c r="AC215" s="41">
        <x:f>IF(Y215&gt;0,Y215+IF(AB215&gt;0,AB215,0),AB215)</x:f>
      </x:c>
      <x:c r="AD215" s="9"/>
      <x:c r="AE215" s="9"/>
      <x:c r="AF215" s="9"/>
      <x:c r="AG215" s="9"/>
      <x:c r="AH215" s="7" t="s">
        <x:v>34</x:v>
      </x:c>
    </x:row>
    <x:row r="216">
      <x:c r="A216" s="7"/>
      <x:c r="B216" s="7" t="s">
        <x:v>834</x:v>
      </x:c>
      <x:c r="C216" s="38" t="s">
        <x:v>833</x:v>
      </x:c>
      <x:c r="D216" s="9"/>
      <x:c r="E216" s="39">
        <x:v>46230</x:v>
      </x:c>
      <x:c r="F216" s="40">
        <x:v>5</x:v>
      </x:c>
      <x:c r="G216" s="41">
        <x:f>(D216-(0)+0-(F216*Ventas!AE369*1.8000))</x:f>
      </x:c>
      <x:c r="H216" s="9"/>
      <x:c r="I216" s="25">
        <x:v>0</x:v>
      </x:c>
      <x:c r="J216" s="41">
        <x:f>IF(G216&gt;0,G216+I216,I216)</x:f>
      </x:c>
      <x:c r="K216" s="9"/>
      <x:c r="L216" s="9"/>
      <x:c r="M216" s="9"/>
      <x:c r="N216" s="39">
        <x:v>46275</x:v>
      </x:c>
      <x:c r="O216" s="40">
        <x:v>45</x:v>
      </x:c>
      <x:c r="P216" s="41">
        <x:f>(IF(G216&gt;0,G216+I216,I216)-(O216*Ventas!AE369*1.0044))</x:f>
      </x:c>
      <x:c r="Q216" s="9"/>
      <x:c r="R216" s="25">
        <x:v>0</x:v>
      </x:c>
      <x:c r="S216" s="41">
        <x:f>IF(P216&gt;0,P216+R216,R216)</x:f>
      </x:c>
      <x:c r="T216" s="9"/>
      <x:c r="U216" s="9"/>
      <x:c r="V216" s="9"/>
      <x:c r="W216" s="39">
        <x:v>46331</x:v>
      </x:c>
      <x:c r="X216" s="40">
        <x:v>56</x:v>
      </x:c>
      <x:c r="Y216" s="41">
        <x:f>(IF(P216&gt;0,P216+R216,R216)-(X216*Ventas!AE369*0.9018))</x:f>
      </x:c>
      <x:c r="Z216" s="9"/>
      <x:c r="AA216" s="41">
        <x:f>(100*(Ventas!AE369*1.2350) - IF(Y216&gt;0,Y216,0))</x:f>
      </x:c>
      <x:c r="AB216" s="41">
        <x:f>IF(AA216&gt;0,AA216,0)</x:f>
      </x:c>
      <x:c r="AC216" s="41">
        <x:f>IF(Y216&gt;0,Y216+IF(AB216&gt;0,AB216,0),AB216)</x:f>
      </x:c>
      <x:c r="AD216" s="9"/>
      <x:c r="AE216" s="9"/>
      <x:c r="AF216" s="9"/>
      <x:c r="AG216" s="9"/>
      <x:c r="AH216" s="7" t="s">
        <x:v>34</x:v>
      </x:c>
    </x:row>
    <x:row r="217">
      <x:c r="A217" s="7"/>
      <x:c r="B217" s="7" t="s">
        <x:v>836</x:v>
      </x:c>
      <x:c r="C217" s="38" t="s">
        <x:v>835</x:v>
      </x:c>
      <x:c r="D217" s="9"/>
      <x:c r="E217" s="39">
        <x:v>46230</x:v>
      </x:c>
      <x:c r="F217" s="40">
        <x:v>5</x:v>
      </x:c>
      <x:c r="G217" s="41">
        <x:f>(D217-(0)+0-(F217*Ventas!AE370*1.8000))</x:f>
      </x:c>
      <x:c r="H217" s="9"/>
      <x:c r="I217" s="25">
        <x:v>0</x:v>
      </x:c>
      <x:c r="J217" s="41">
        <x:f>IF(G217&gt;0,G217+I217,I217)</x:f>
      </x:c>
      <x:c r="K217" s="9"/>
      <x:c r="L217" s="9"/>
      <x:c r="M217" s="9"/>
      <x:c r="N217" s="39">
        <x:v>46275</x:v>
      </x:c>
      <x:c r="O217" s="40">
        <x:v>45</x:v>
      </x:c>
      <x:c r="P217" s="41">
        <x:f>(IF(G217&gt;0,G217+I217,I217)-(O217*Ventas!AE370*1.0044))</x:f>
      </x:c>
      <x:c r="Q217" s="9"/>
      <x:c r="R217" s="25">
        <x:v>0</x:v>
      </x:c>
      <x:c r="S217" s="41">
        <x:f>IF(P217&gt;0,P217+R217,R217)</x:f>
      </x:c>
      <x:c r="T217" s="9"/>
      <x:c r="U217" s="9"/>
      <x:c r="V217" s="9"/>
      <x:c r="W217" s="39">
        <x:v>46331</x:v>
      </x:c>
      <x:c r="X217" s="40">
        <x:v>56</x:v>
      </x:c>
      <x:c r="Y217" s="41">
        <x:f>(IF(P217&gt;0,P217+R217,R217)-(X217*Ventas!AE370*0.9018))</x:f>
      </x:c>
      <x:c r="Z217" s="9"/>
      <x:c r="AA217" s="41">
        <x:f>(100*(Ventas!AE370*1.2350) - IF(Y217&gt;0,Y217,0))</x:f>
      </x:c>
      <x:c r="AB217" s="41">
        <x:f>IF(AA217&gt;0,AA217,0)</x:f>
      </x:c>
      <x:c r="AC217" s="41">
        <x:f>IF(Y217&gt;0,Y217+IF(AB217&gt;0,AB217,0),AB217)</x:f>
      </x:c>
      <x:c r="AD217" s="9"/>
      <x:c r="AE217" s="9"/>
      <x:c r="AF217" s="9"/>
      <x:c r="AG217" s="9"/>
      <x:c r="AH217" s="7" t="s">
        <x:v>34</x:v>
      </x:c>
    </x:row>
    <x:row r="218">
      <x:c r="A218" s="7"/>
      <x:c r="B218" s="7" t="s">
        <x:v>433</x:v>
      </x:c>
      <x:c r="C218" s="38" t="s">
        <x:v>432</x:v>
      </x:c>
      <x:c r="D218" s="25">
        <x:v>31</x:v>
      </x:c>
      <x:c r="E218" s="39">
        <x:v>46230</x:v>
      </x:c>
      <x:c r="F218" s="40">
        <x:v>5</x:v>
      </x:c>
      <x:c r="G218" s="41">
        <x:f>(D218-(0)+0-(F218*Ventas!AE203*1.8000))</x:f>
      </x:c>
      <x:c r="H218" s="43">
        <x:f>(G218/(Ventas!AE203*1.8000)/60)</x:f>
      </x:c>
      <x:c r="I218" s="25">
        <x:v>0</x:v>
      </x:c>
      <x:c r="J218" s="41">
        <x:f>IF(G218&gt;0,G218+I218,I218)</x:f>
      </x:c>
      <x:c r="K218" s="9"/>
      <x:c r="L218" s="41">
        <x:v>15</x:v>
      </x:c>
      <x:c r="M218" s="45">
        <x:v>0.003333</x:v>
      </x:c>
      <x:c r="N218" s="39">
        <x:v>46275</x:v>
      </x:c>
      <x:c r="O218" s="40">
        <x:v>45</x:v>
      </x:c>
      <x:c r="P218" s="41">
        <x:f>(IF(G218&gt;0,G218+I218,I218)-(O218*Ventas!AE203*1.0044))</x:f>
      </x:c>
      <x:c r="Q218" s="43">
        <x:f>(P218/(Ventas!AE203*1.0044)/60)</x:f>
      </x:c>
      <x:c r="R218" s="25">
        <x:v>15</x:v>
      </x:c>
      <x:c r="S218" s="41">
        <x:f>IF(P218&gt;0,P218+R218,R218)</x:f>
      </x:c>
      <x:c r="T218" s="41">
        <x:v>6.1</x:v>
      </x:c>
      <x:c r="U218" s="41">
        <x:v>15</x:v>
      </x:c>
      <x:c r="V218" s="45">
        <x:v>0.003333</x:v>
      </x:c>
      <x:c r="W218" s="39">
        <x:v>46331</x:v>
      </x:c>
      <x:c r="X218" s="40">
        <x:v>56</x:v>
      </x:c>
      <x:c r="Y218" s="41">
        <x:f>(IF(P218&gt;0,P218+R218,R218)-(X218*Ventas!AE203*0.9018))</x:f>
      </x:c>
      <x:c r="Z218" s="43">
        <x:f>(Y218/(Ventas!AE203*0.9018)/60)</x:f>
      </x:c>
      <x:c r="AA218" s="41">
        <x:f>(100*(Ventas!AE203*1.2350) - IF(Y218&gt;0,Y218,0))</x:f>
      </x:c>
      <x:c r="AB218" s="41">
        <x:f>IF(AA218&gt;0,AA218,0)</x:f>
      </x:c>
      <x:c r="AC218" s="41">
        <x:f>IF(Y218&gt;0,Y218+IF(AB218&gt;0,AB218,0),AB218)</x:f>
      </x:c>
      <x:c r="AD218" s="46">
        <x:v>6.1</x:v>
      </x:c>
      <x:c r="AE218" s="25">
        <x:v>3010</x:v>
      </x:c>
      <x:c r="AF218" s="41">
        <x:f>(AC218-(60*Ventas!AE203*1.2350))</x:f>
      </x:c>
      <x:c r="AG218" s="43">
        <x:f>(AF218/(Ventas!AE203*1.2350)/60)</x:f>
      </x:c>
      <x:c r="AH218" s="7" t="s">
        <x:v>34</x:v>
      </x:c>
    </x:row>
    <x:row r="219">
      <x:c r="A219" s="7"/>
      <x:c r="B219" s="7" t="s">
        <x:v>435</x:v>
      </x:c>
      <x:c r="C219" s="38" t="s">
        <x:v>434</x:v>
      </x:c>
      <x:c r="D219" s="25">
        <x:v>186</x:v>
      </x:c>
      <x:c r="E219" s="39">
        <x:v>46230</x:v>
      </x:c>
      <x:c r="F219" s="40">
        <x:v>5</x:v>
      </x:c>
      <x:c r="G219" s="41">
        <x:f>(D219-(0)+0-(F219*Ventas!AE204*1.8000))</x:f>
      </x:c>
      <x:c r="H219" s="43">
        <x:f>(G219/(Ventas!AE204*1.8000)/60)</x:f>
      </x:c>
      <x:c r="I219" s="25">
        <x:v>20</x:v>
      </x:c>
      <x:c r="J219" s="41">
        <x:f>IF(G219&gt;0,G219+I219,I219)</x:f>
      </x:c>
      <x:c r="K219" s="41">
        <x:v>11.856</x:v>
      </x:c>
      <x:c r="L219" s="41">
        <x:v>20</x:v>
      </x:c>
      <x:c r="M219" s="45">
        <x:v>0.00195</x:v>
      </x:c>
      <x:c r="N219" s="39">
        <x:v>46275</x:v>
      </x:c>
      <x:c r="O219" s="40">
        <x:v>45</x:v>
      </x:c>
      <x:c r="P219" s="41">
        <x:f>(IF(G219&gt;0,G219+I219,I219)-(O219*Ventas!AE204*1.0044))</x:f>
      </x:c>
      <x:c r="Q219" s="43">
        <x:f>(P219/(Ventas!AE204*1.0044)/60)</x:f>
      </x:c>
      <x:c r="R219" s="25">
        <x:v>40</x:v>
      </x:c>
      <x:c r="S219" s="41">
        <x:f>IF(P219&gt;0,P219+R219,R219)</x:f>
      </x:c>
      <x:c r="T219" s="41">
        <x:v>11.9</x:v>
      </x:c>
      <x:c r="U219" s="41">
        <x:v>20</x:v>
      </x:c>
      <x:c r="V219" s="45">
        <x:v>0.00195</x:v>
      </x:c>
      <x:c r="W219" s="39">
        <x:v>46331</x:v>
      </x:c>
      <x:c r="X219" s="40">
        <x:v>56</x:v>
      </x:c>
      <x:c r="Y219" s="41">
        <x:f>(IF(P219&gt;0,P219+R219,R219)-(X219*Ventas!AE204*0.9018))</x:f>
      </x:c>
      <x:c r="Z219" s="43">
        <x:f>(Y219/(Ventas!AE204*0.9018)/60)</x:f>
      </x:c>
      <x:c r="AA219" s="41">
        <x:f>(100*(Ventas!AE204*1.2350) - IF(Y219&gt;0,Y219,0))</x:f>
      </x:c>
      <x:c r="AB219" s="41">
        <x:f>IF(AA219&gt;0,AA219,0)</x:f>
      </x:c>
      <x:c r="AC219" s="41">
        <x:f>IF(Y219&gt;0,Y219+IF(AB219&gt;0,AB219,0),AB219)</x:f>
      </x:c>
      <x:c r="AD219" s="46">
        <x:v>11.856</x:v>
      </x:c>
      <x:c r="AE219" s="25">
        <x:v>3027</x:v>
      </x:c>
      <x:c r="AF219" s="41">
        <x:f>(AC219-(60*Ventas!AE204*1.2350))</x:f>
      </x:c>
      <x:c r="AG219" s="43">
        <x:f>(AF219/(Ventas!AE204*1.2350)/60)</x:f>
      </x:c>
      <x:c r="AH219" s="7" t="s">
        <x:v>34</x:v>
      </x:c>
    </x:row>
    <x:row r="220">
      <x:c r="A220" s="7"/>
      <x:c r="B220" s="7" t="s">
        <x:v>437</x:v>
      </x:c>
      <x:c r="C220" s="38" t="s">
        <x:v>436</x:v>
      </x:c>
      <x:c r="D220" s="25">
        <x:v>35</x:v>
      </x:c>
      <x:c r="E220" s="39">
        <x:v>46230</x:v>
      </x:c>
      <x:c r="F220" s="40">
        <x:v>5</x:v>
      </x:c>
      <x:c r="G220" s="41">
        <x:f>(D220-(0)+0-(F220*Ventas!AE205*1.8000))</x:f>
      </x:c>
      <x:c r="H220" s="43">
        <x:f>(G220/(Ventas!AE205*1.8000)/60)</x:f>
      </x:c>
      <x:c r="I220" s="25">
        <x:v>20</x:v>
      </x:c>
      <x:c r="J220" s="41">
        <x:f>IF(G220&gt;0,G220+I220,I220)</x:f>
      </x:c>
      <x:c r="K220" s="41">
        <x:v>12.376</x:v>
      </x:c>
      <x:c r="L220" s="41">
        <x:v>20</x:v>
      </x:c>
      <x:c r="M220" s="45">
        <x:v>0.00195</x:v>
      </x:c>
      <x:c r="N220" s="39">
        <x:v>46275</x:v>
      </x:c>
      <x:c r="O220" s="40">
        <x:v>45</x:v>
      </x:c>
      <x:c r="P220" s="41">
        <x:f>(IF(G220&gt;0,G220+I220,I220)-(O220*Ventas!AE205*1.0044))</x:f>
      </x:c>
      <x:c r="Q220" s="43">
        <x:f>(P220/(Ventas!AE205*1.0044)/60)</x:f>
      </x:c>
      <x:c r="R220" s="25">
        <x:v>60</x:v>
      </x:c>
      <x:c r="S220" s="41">
        <x:f>IF(P220&gt;0,P220+R220,R220)</x:f>
      </x:c>
      <x:c r="T220" s="41">
        <x:v>12.4</x:v>
      </x:c>
      <x:c r="U220" s="41">
        <x:v>20</x:v>
      </x:c>
      <x:c r="V220" s="45">
        <x:v>0.00195</x:v>
      </x:c>
      <x:c r="W220" s="39">
        <x:v>46331</x:v>
      </x:c>
      <x:c r="X220" s="40">
        <x:v>56</x:v>
      </x:c>
      <x:c r="Y220" s="41">
        <x:f>(IF(P220&gt;0,P220+R220,R220)-(X220*Ventas!AE205*0.9018))</x:f>
      </x:c>
      <x:c r="Z220" s="43">
        <x:f>(Y220/(Ventas!AE205*0.9018)/60)</x:f>
      </x:c>
      <x:c r="AA220" s="41">
        <x:f>(100*(Ventas!AE205*1.2350) - IF(Y220&gt;0,Y220,0))</x:f>
      </x:c>
      <x:c r="AB220" s="41">
        <x:f>IF(AA220&gt;0,AA220,0)</x:f>
      </x:c>
      <x:c r="AC220" s="41">
        <x:f>IF(Y220&gt;0,Y220+IF(AB220&gt;0,AB220,0),AB220)</x:f>
      </x:c>
      <x:c r="AD220" s="46">
        <x:v>12.376</x:v>
      </x:c>
      <x:c r="AE220" s="25">
        <x:v>3027</x:v>
      </x:c>
      <x:c r="AF220" s="41">
        <x:f>(AC220-(60*Ventas!AE205*1.2350))</x:f>
      </x:c>
      <x:c r="AG220" s="43">
        <x:f>(AF220/(Ventas!AE205*1.2350)/60)</x:f>
      </x:c>
      <x:c r="AH220" s="7" t="s">
        <x:v>34</x:v>
      </x:c>
    </x:row>
    <x:row r="221">
      <x:c r="A221" s="7"/>
      <x:c r="B221" s="7" t="s">
        <x:v>439</x:v>
      </x:c>
      <x:c r="C221" s="38" t="s">
        <x:v>438</x:v>
      </x:c>
      <x:c r="D221" s="25">
        <x:v>100</x:v>
      </x:c>
      <x:c r="E221" s="39">
        <x:v>46230</x:v>
      </x:c>
      <x:c r="F221" s="40">
        <x:v>5</x:v>
      </x:c>
      <x:c r="G221" s="41">
        <x:f>(D221-(0)+0-(F221*Ventas!AE206*1.8000))</x:f>
      </x:c>
      <x:c r="H221" s="43">
        <x:f>(G221/(Ventas!AE206*1.8000)/60)</x:f>
      </x:c>
      <x:c r="I221" s="25">
        <x:v>0</x:v>
      </x:c>
      <x:c r="J221" s="41">
        <x:f>IF(G221&gt;0,G221+I221,I221)</x:f>
      </x:c>
      <x:c r="K221" s="9"/>
      <x:c r="L221" s="41">
        <x:v>20</x:v>
      </x:c>
      <x:c r="M221" s="45">
        <x:v>0.0028</x:v>
      </x:c>
      <x:c r="N221" s="39">
        <x:v>46275</x:v>
      </x:c>
      <x:c r="O221" s="40">
        <x:v>45</x:v>
      </x:c>
      <x:c r="P221" s="41">
        <x:f>(IF(G221&gt;0,G221+I221,I221)-(O221*Ventas!AE206*1.0044))</x:f>
      </x:c>
      <x:c r="Q221" s="43">
        <x:f>(P221/(Ventas!AE206*1.0044)/60)</x:f>
      </x:c>
      <x:c r="R221" s="25">
        <x:v>0</x:v>
      </x:c>
      <x:c r="S221" s="41">
        <x:f>IF(P221&gt;0,P221+R221,R221)</x:f>
      </x:c>
      <x:c r="T221" s="9"/>
      <x:c r="U221" s="41">
        <x:v>20</x:v>
      </x:c>
      <x:c r="V221" s="45">
        <x:v>0.0028</x:v>
      </x:c>
      <x:c r="W221" s="39">
        <x:v>46331</x:v>
      </x:c>
      <x:c r="X221" s="40">
        <x:v>56</x:v>
      </x:c>
      <x:c r="Y221" s="41">
        <x:f>(IF(P221&gt;0,P221+R221,R221)-(X221*Ventas!AE206*0.9018))</x:f>
      </x:c>
      <x:c r="Z221" s="43">
        <x:f>(Y221/(Ventas!AE206*0.9018)/60)</x:f>
      </x:c>
      <x:c r="AA221" s="41">
        <x:f>(100*(Ventas!AE206*1.2350) - IF(Y221&gt;0,Y221,0))</x:f>
      </x:c>
      <x:c r="AB221" s="41">
        <x:f>IF(AA221&gt;0,AA221,0)</x:f>
      </x:c>
      <x:c r="AC221" s="41">
        <x:f>IF(Y221&gt;0,Y221+IF(AB221&gt;0,AB221,0),AB221)</x:f>
      </x:c>
      <x:c r="AD221" s="46">
        <x:v>7.7</x:v>
      </x:c>
      <x:c r="AE221" s="25">
        <x:v>3010</x:v>
      </x:c>
      <x:c r="AF221" s="41">
        <x:f>(AC221-(60*Ventas!AE206*1.2350))</x:f>
      </x:c>
      <x:c r="AG221" s="43">
        <x:f>(AF221/(Ventas!AE206*1.2350)/60)</x:f>
      </x:c>
      <x:c r="AH221" s="7" t="s">
        <x:v>34</x:v>
      </x:c>
    </x:row>
    <x:row r="222">
      <x:c r="A222" s="7"/>
      <x:c r="B222" s="7" t="s">
        <x:v>441</x:v>
      </x:c>
      <x:c r="C222" s="38" t="s">
        <x:v>440</x:v>
      </x:c>
      <x:c r="D222" s="25">
        <x:v>96</x:v>
      </x:c>
      <x:c r="E222" s="39">
        <x:v>46230</x:v>
      </x:c>
      <x:c r="F222" s="40">
        <x:v>5</x:v>
      </x:c>
      <x:c r="G222" s="41">
        <x:f>(D222-(0)+0-(F222*Ventas!AE207*1.8000))</x:f>
      </x:c>
      <x:c r="H222" s="43">
        <x:f>(G222/(Ventas!AE207*1.8000)/60)</x:f>
      </x:c>
      <x:c r="I222" s="25">
        <x:v>0</x:v>
      </x:c>
      <x:c r="J222" s="41">
        <x:f>IF(G222&gt;0,G222+I222,I222)</x:f>
      </x:c>
      <x:c r="K222" s="9"/>
      <x:c r="L222" s="41">
        <x:v>20</x:v>
      </x:c>
      <x:c r="M222" s="45">
        <x:v>0.0028</x:v>
      </x:c>
      <x:c r="N222" s="39">
        <x:v>46275</x:v>
      </x:c>
      <x:c r="O222" s="40">
        <x:v>45</x:v>
      </x:c>
      <x:c r="P222" s="41">
        <x:f>(IF(G222&gt;0,G222+I222,I222)-(O222*Ventas!AE207*1.0044))</x:f>
      </x:c>
      <x:c r="Q222" s="43">
        <x:f>(P222/(Ventas!AE207*1.0044)/60)</x:f>
      </x:c>
      <x:c r="R222" s="25">
        <x:v>0</x:v>
      </x:c>
      <x:c r="S222" s="41">
        <x:f>IF(P222&gt;0,P222+R222,R222)</x:f>
      </x:c>
      <x:c r="T222" s="9"/>
      <x:c r="U222" s="41">
        <x:v>20</x:v>
      </x:c>
      <x:c r="V222" s="45">
        <x:v>0.0028</x:v>
      </x:c>
      <x:c r="W222" s="39">
        <x:v>46331</x:v>
      </x:c>
      <x:c r="X222" s="40">
        <x:v>56</x:v>
      </x:c>
      <x:c r="Y222" s="41">
        <x:f>(IF(P222&gt;0,P222+R222,R222)-(X222*Ventas!AE207*0.9018))</x:f>
      </x:c>
      <x:c r="Z222" s="43">
        <x:f>(Y222/(Ventas!AE207*0.9018)/60)</x:f>
      </x:c>
      <x:c r="AA222" s="41">
        <x:f>(100*(Ventas!AE207*1.2350) - IF(Y222&gt;0,Y222,0))</x:f>
      </x:c>
      <x:c r="AB222" s="41">
        <x:f>IF(AA222&gt;0,AA222,0)</x:f>
      </x:c>
      <x:c r="AC222" s="41">
        <x:f>IF(Y222&gt;0,Y222+IF(AB222&gt;0,AB222,0),AB222)</x:f>
      </x:c>
      <x:c r="AD222" s="46">
        <x:v>7.7</x:v>
      </x:c>
      <x:c r="AE222" s="25">
        <x:v>3010</x:v>
      </x:c>
      <x:c r="AF222" s="41">
        <x:f>(AC222-(60*Ventas!AE207*1.2350))</x:f>
      </x:c>
      <x:c r="AG222" s="43">
        <x:f>(AF222/(Ventas!AE207*1.2350)/60)</x:f>
      </x:c>
      <x:c r="AH222" s="7" t="s">
        <x:v>34</x:v>
      </x:c>
    </x:row>
    <x:row r="223">
      <x:c r="A223" s="7"/>
      <x:c r="B223" s="7" t="s">
        <x:v>443</x:v>
      </x:c>
      <x:c r="C223" s="38" t="s">
        <x:v>442</x:v>
      </x:c>
      <x:c r="D223" s="25">
        <x:v>101</x:v>
      </x:c>
      <x:c r="E223" s="39">
        <x:v>46230</x:v>
      </x:c>
      <x:c r="F223" s="40">
        <x:v>5</x:v>
      </x:c>
      <x:c r="G223" s="41">
        <x:f>(D223-(0)+0-(F223*Ventas!AE208*1.8000))</x:f>
      </x:c>
      <x:c r="H223" s="43">
        <x:f>(G223/(Ventas!AE208*1.8000)/60)</x:f>
      </x:c>
      <x:c r="I223" s="25">
        <x:v>0</x:v>
      </x:c>
      <x:c r="J223" s="41">
        <x:f>IF(G223&gt;0,G223+I223,I223)</x:f>
      </x:c>
      <x:c r="K223" s="9"/>
      <x:c r="L223" s="41">
        <x:v>20</x:v>
      </x:c>
      <x:c r="M223" s="45">
        <x:v>0.0028</x:v>
      </x:c>
      <x:c r="N223" s="39">
        <x:v>46275</x:v>
      </x:c>
      <x:c r="O223" s="40">
        <x:v>45</x:v>
      </x:c>
      <x:c r="P223" s="41">
        <x:f>(IF(G223&gt;0,G223+I223,I223)-(O223*Ventas!AE208*1.0044))</x:f>
      </x:c>
      <x:c r="Q223" s="43">
        <x:f>(P223/(Ventas!AE208*1.0044)/60)</x:f>
      </x:c>
      <x:c r="R223" s="25">
        <x:v>0</x:v>
      </x:c>
      <x:c r="S223" s="41">
        <x:f>IF(P223&gt;0,P223+R223,R223)</x:f>
      </x:c>
      <x:c r="T223" s="9"/>
      <x:c r="U223" s="41">
        <x:v>20</x:v>
      </x:c>
      <x:c r="V223" s="45">
        <x:v>0.0028</x:v>
      </x:c>
      <x:c r="W223" s="39">
        <x:v>46331</x:v>
      </x:c>
      <x:c r="X223" s="40">
        <x:v>56</x:v>
      </x:c>
      <x:c r="Y223" s="41">
        <x:f>(IF(P223&gt;0,P223+R223,R223)-(X223*Ventas!AE208*0.9018))</x:f>
      </x:c>
      <x:c r="Z223" s="43">
        <x:f>(Y223/(Ventas!AE208*0.9018)/60)</x:f>
      </x:c>
      <x:c r="AA223" s="41">
        <x:f>(100*(Ventas!AE208*1.2350) - IF(Y223&gt;0,Y223,0))</x:f>
      </x:c>
      <x:c r="AB223" s="41">
        <x:f>IF(AA223&gt;0,AA223,0)</x:f>
      </x:c>
      <x:c r="AC223" s="41">
        <x:f>IF(Y223&gt;0,Y223+IF(AB223&gt;0,AB223,0),AB223)</x:f>
      </x:c>
      <x:c r="AD223" s="46">
        <x:v>7.7</x:v>
      </x:c>
      <x:c r="AE223" s="25">
        <x:v>3010</x:v>
      </x:c>
      <x:c r="AF223" s="41">
        <x:f>(AC223-(60*Ventas!AE208*1.2350))</x:f>
      </x:c>
      <x:c r="AG223" s="43">
        <x:f>(AF223/(Ventas!AE208*1.2350)/60)</x:f>
      </x:c>
      <x:c r="AH223" s="7" t="s">
        <x:v>34</x:v>
      </x:c>
    </x:row>
    <x:row r="224">
      <x:c r="A224" s="7"/>
      <x:c r="B224" s="7" t="s">
        <x:v>445</x:v>
      </x:c>
      <x:c r="C224" s="38" t="s">
        <x:v>444</x:v>
      </x:c>
      <x:c r="D224" s="25">
        <x:v>78</x:v>
      </x:c>
      <x:c r="E224" s="39">
        <x:v>46230</x:v>
      </x:c>
      <x:c r="F224" s="40">
        <x:v>5</x:v>
      </x:c>
      <x:c r="G224" s="41">
        <x:f>(D224-(0)+0-(F224*Ventas!AE209*1.8000))</x:f>
      </x:c>
      <x:c r="H224" s="43">
        <x:f>(G224/(Ventas!AE209*1.8000)/60)</x:f>
      </x:c>
      <x:c r="I224" s="25">
        <x:v>0</x:v>
      </x:c>
      <x:c r="J224" s="41">
        <x:f>IF(G224&gt;0,G224+I224,I224)</x:f>
      </x:c>
      <x:c r="K224" s="9"/>
      <x:c r="L224" s="41">
        <x:v>20</x:v>
      </x:c>
      <x:c r="M224" s="45">
        <x:v>0.0028</x:v>
      </x:c>
      <x:c r="N224" s="39">
        <x:v>46275</x:v>
      </x:c>
      <x:c r="O224" s="40">
        <x:v>45</x:v>
      </x:c>
      <x:c r="P224" s="41">
        <x:f>(IF(G224&gt;0,G224+I224,I224)-(O224*Ventas!AE209*1.0044))</x:f>
      </x:c>
      <x:c r="Q224" s="43">
        <x:f>(P224/(Ventas!AE209*1.0044)/60)</x:f>
      </x:c>
      <x:c r="R224" s="25">
        <x:v>0</x:v>
      </x:c>
      <x:c r="S224" s="41">
        <x:f>IF(P224&gt;0,P224+R224,R224)</x:f>
      </x:c>
      <x:c r="T224" s="9"/>
      <x:c r="U224" s="41">
        <x:v>20</x:v>
      </x:c>
      <x:c r="V224" s="45">
        <x:v>0.0028</x:v>
      </x:c>
      <x:c r="W224" s="39">
        <x:v>46331</x:v>
      </x:c>
      <x:c r="X224" s="40">
        <x:v>56</x:v>
      </x:c>
      <x:c r="Y224" s="41">
        <x:f>(IF(P224&gt;0,P224+R224,R224)-(X224*Ventas!AE209*0.9018))</x:f>
      </x:c>
      <x:c r="Z224" s="43">
        <x:f>(Y224/(Ventas!AE209*0.9018)/60)</x:f>
      </x:c>
      <x:c r="AA224" s="41">
        <x:f>(100*(Ventas!AE209*1.2350) - IF(Y224&gt;0,Y224,0))</x:f>
      </x:c>
      <x:c r="AB224" s="41">
        <x:f>IF(AA224&gt;0,AA224,0)</x:f>
      </x:c>
      <x:c r="AC224" s="41">
        <x:f>IF(Y224&gt;0,Y224+IF(AB224&gt;0,AB224,0),AB224)</x:f>
      </x:c>
      <x:c r="AD224" s="46">
        <x:v>7.5619</x:v>
      </x:c>
      <x:c r="AE224" s="25">
        <x:v>3010</x:v>
      </x:c>
      <x:c r="AF224" s="41">
        <x:f>(AC224-(60*Ventas!AE209*1.2350))</x:f>
      </x:c>
      <x:c r="AG224" s="43">
        <x:f>(AF224/(Ventas!AE209*1.2350)/60)</x:f>
      </x:c>
      <x:c r="AH224" s="7" t="s">
        <x:v>34</x:v>
      </x:c>
    </x:row>
    <x:row r="225">
      <x:c r="A225" s="7"/>
      <x:c r="B225" s="7" t="s">
        <x:v>447</x:v>
      </x:c>
      <x:c r="C225" s="38" t="s">
        <x:v>446</x:v>
      </x:c>
      <x:c r="D225" s="25">
        <x:v>1</x:v>
      </x:c>
      <x:c r="E225" s="39">
        <x:v>46230</x:v>
      </x:c>
      <x:c r="F225" s="40">
        <x:v>5</x:v>
      </x:c>
      <x:c r="G225" s="41">
        <x:f>(D225-(0)+0-(F225*Ventas!AE210*1.8000))</x:f>
      </x:c>
      <x:c r="H225" s="9"/>
      <x:c r="I225" s="25">
        <x:v>0</x:v>
      </x:c>
      <x:c r="J225" s="41">
        <x:f>IF(G225&gt;0,G225+I225,I225)</x:f>
      </x:c>
      <x:c r="K225" s="9"/>
      <x:c r="L225" s="41">
        <x:v>20</x:v>
      </x:c>
      <x:c r="M225" s="45">
        <x:v>0.00525</x:v>
      </x:c>
      <x:c r="N225" s="39">
        <x:v>46275</x:v>
      </x:c>
      <x:c r="O225" s="40">
        <x:v>45</x:v>
      </x:c>
      <x:c r="P225" s="41">
        <x:f>(IF(G225&gt;0,G225+I225,I225)-(O225*Ventas!AE210*1.0044))</x:f>
      </x:c>
      <x:c r="Q225" s="9"/>
      <x:c r="R225" s="25">
        <x:v>0</x:v>
      </x:c>
      <x:c r="S225" s="41">
        <x:f>IF(P225&gt;0,P225+R225,R225)</x:f>
      </x:c>
      <x:c r="T225" s="9"/>
      <x:c r="U225" s="41">
        <x:v>20</x:v>
      </x:c>
      <x:c r="V225" s="45">
        <x:v>0.00525</x:v>
      </x:c>
      <x:c r="W225" s="39">
        <x:v>46331</x:v>
      </x:c>
      <x:c r="X225" s="40">
        <x:v>56</x:v>
      </x:c>
      <x:c r="Y225" s="41">
        <x:f>(IF(P225&gt;0,P225+R225,R225)-(X225*Ventas!AE210*0.9018))</x:f>
      </x:c>
      <x:c r="Z225" s="9"/>
      <x:c r="AA225" s="41">
        <x:f>(100*(Ventas!AE210*1.2350) - IF(Y225&gt;0,Y225,0))</x:f>
      </x:c>
      <x:c r="AB225" s="41">
        <x:f>IF(AA225&gt;0,AA225,0)</x:f>
      </x:c>
      <x:c r="AC225" s="41">
        <x:f>IF(Y225&gt;0,Y225+IF(AB225&gt;0,AB225,0),AB225)</x:f>
      </x:c>
      <x:c r="AD225" s="46">
        <x:v>5.5</x:v>
      </x:c>
      <x:c r="AE225" s="25">
        <x:v>3010</x:v>
      </x:c>
      <x:c r="AF225" s="9"/>
      <x:c r="AG225" s="9"/>
      <x:c r="AH225" s="7" t="s">
        <x:v>107</x:v>
      </x:c>
    </x:row>
    <x:row r="226">
      <x:c r="A226" s="7"/>
      <x:c r="B226" s="7" t="s">
        <x:v>449</x:v>
      </x:c>
      <x:c r="C226" s="38" t="s">
        <x:v>448</x:v>
      </x:c>
      <x:c r="D226" s="25">
        <x:v>6</x:v>
      </x:c>
      <x:c r="E226" s="39">
        <x:v>46230</x:v>
      </x:c>
      <x:c r="F226" s="40">
        <x:v>5</x:v>
      </x:c>
      <x:c r="G226" s="41">
        <x:f>(D226-(0)+0-(F226*Ventas!AE211*1.8000))</x:f>
      </x:c>
      <x:c r="H226" s="9"/>
      <x:c r="I226" s="25">
        <x:v>0</x:v>
      </x:c>
      <x:c r="J226" s="41">
        <x:f>IF(G226&gt;0,G226+I226,I226)</x:f>
      </x:c>
      <x:c r="K226" s="9"/>
      <x:c r="L226" s="41">
        <x:v>20</x:v>
      </x:c>
      <x:c r="M226" s="45">
        <x:v>0.1034</x:v>
      </x:c>
      <x:c r="N226" s="39">
        <x:v>46275</x:v>
      </x:c>
      <x:c r="O226" s="40">
        <x:v>45</x:v>
      </x:c>
      <x:c r="P226" s="41">
        <x:f>(IF(G226&gt;0,G226+I226,I226)-(O226*Ventas!AE211*1.0044))</x:f>
      </x:c>
      <x:c r="Q226" s="9"/>
      <x:c r="R226" s="25">
        <x:v>0</x:v>
      </x:c>
      <x:c r="S226" s="41">
        <x:f>IF(P226&gt;0,P226+R226,R226)</x:f>
      </x:c>
      <x:c r="T226" s="9"/>
      <x:c r="U226" s="41">
        <x:v>20</x:v>
      </x:c>
      <x:c r="V226" s="45">
        <x:v>0.1034</x:v>
      </x:c>
      <x:c r="W226" s="39">
        <x:v>46331</x:v>
      </x:c>
      <x:c r="X226" s="40">
        <x:v>56</x:v>
      </x:c>
      <x:c r="Y226" s="41">
        <x:f>(IF(P226&gt;0,P226+R226,R226)-(X226*Ventas!AE211*0.9018))</x:f>
      </x:c>
      <x:c r="Z226" s="9"/>
      <x:c r="AA226" s="41">
        <x:f>(100*(Ventas!AE211*1.2350) - IF(Y226&gt;0,Y226,0))</x:f>
      </x:c>
      <x:c r="AB226" s="41">
        <x:f>IF(AA226&gt;0,AA226,0)</x:f>
      </x:c>
      <x:c r="AC226" s="41">
        <x:f>IF(Y226&gt;0,Y226+IF(AB226&gt;0,AB226,0),AB226)</x:f>
      </x:c>
      <x:c r="AD226" s="9"/>
      <x:c r="AE226" s="25">
        <x:v>3010</x:v>
      </x:c>
      <x:c r="AF226" s="9"/>
      <x:c r="AG226" s="9"/>
      <x:c r="AH226" s="7" t="s">
        <x:v>34</x:v>
      </x:c>
    </x:row>
    <x:row r="227">
      <x:c r="A227" s="7"/>
      <x:c r="B227" s="7" t="s">
        <x:v>451</x:v>
      </x:c>
      <x:c r="C227" s="38" t="s">
        <x:v>450</x:v>
      </x:c>
      <x:c r="D227" s="25">
        <x:v>6</x:v>
      </x:c>
      <x:c r="E227" s="39">
        <x:v>46230</x:v>
      </x:c>
      <x:c r="F227" s="40">
        <x:v>5</x:v>
      </x:c>
      <x:c r="G227" s="41">
        <x:f>(D227-(0)+0-(F227*Ventas!AE212*1.8000))</x:f>
      </x:c>
      <x:c r="H227" s="43">
        <x:f>(G227/(Ventas!AE212*1.8000)/60)</x:f>
      </x:c>
      <x:c r="I227" s="25">
        <x:v>0</x:v>
      </x:c>
      <x:c r="J227" s="41">
        <x:f>IF(G227&gt;0,G227+I227,I227)</x:f>
      </x:c>
      <x:c r="K227" s="9"/>
      <x:c r="L227" s="41">
        <x:v>20</x:v>
      </x:c>
      <x:c r="M227" s="45">
        <x:v>0.038</x:v>
      </x:c>
      <x:c r="N227" s="39">
        <x:v>46275</x:v>
      </x:c>
      <x:c r="O227" s="40">
        <x:v>45</x:v>
      </x:c>
      <x:c r="P227" s="41">
        <x:f>(IF(G227&gt;0,G227+I227,I227)-(O227*Ventas!AE212*1.0044))</x:f>
      </x:c>
      <x:c r="Q227" s="43">
        <x:f>(P227/(Ventas!AE212*1.0044)/60)</x:f>
      </x:c>
      <x:c r="R227" s="25">
        <x:v>0</x:v>
      </x:c>
      <x:c r="S227" s="41">
        <x:f>IF(P227&gt;0,P227+R227,R227)</x:f>
      </x:c>
      <x:c r="T227" s="9"/>
      <x:c r="U227" s="41">
        <x:v>20</x:v>
      </x:c>
      <x:c r="V227" s="45">
        <x:v>0.00135</x:v>
      </x:c>
      <x:c r="W227" s="39">
        <x:v>46331</x:v>
      </x:c>
      <x:c r="X227" s="40">
        <x:v>56</x:v>
      </x:c>
      <x:c r="Y227" s="41">
        <x:f>(IF(P227&gt;0,P227+R227,R227)-(X227*Ventas!AE212*0.9018))</x:f>
      </x:c>
      <x:c r="Z227" s="43">
        <x:f>(Y227/(Ventas!AE212*0.9018)/60)</x:f>
      </x:c>
      <x:c r="AA227" s="41">
        <x:f>(100*(Ventas!AE212*1.2350) - IF(Y227&gt;0,Y227,0))</x:f>
      </x:c>
      <x:c r="AB227" s="41">
        <x:f>IF(AA227&gt;0,AA227,0)</x:f>
      </x:c>
      <x:c r="AC227" s="41">
        <x:f>IF(Y227&gt;0,Y227+IF(AB227&gt;0,AB227,0),AB227)</x:f>
      </x:c>
      <x:c r="AD227" s="46">
        <x:v>40.18</x:v>
      </x:c>
      <x:c r="AE227" s="25">
        <x:v>3010</x:v>
      </x:c>
      <x:c r="AF227" s="41">
        <x:f>(AC227-(60*Ventas!AE212*1.2350))</x:f>
      </x:c>
      <x:c r="AG227" s="43">
        <x:f>(AF227/(Ventas!AE212*1.2350)/60)</x:f>
      </x:c>
      <x:c r="AH227" s="7" t="s">
        <x:v>34</x:v>
      </x:c>
    </x:row>
    <x:row r="228">
      <x:c r="A228" s="7"/>
      <x:c r="B228" s="7" t="s">
        <x:v>453</x:v>
      </x:c>
      <x:c r="C228" s="38" t="s">
        <x:v>452</x:v>
      </x:c>
      <x:c r="D228" s="9"/>
      <x:c r="E228" s="39">
        <x:v>46230</x:v>
      </x:c>
      <x:c r="F228" s="40">
        <x:v>5</x:v>
      </x:c>
      <x:c r="G228" s="41">
        <x:f>(D228-(0)+0-(F228*Ventas!AE213*1.8000))</x:f>
      </x:c>
      <x:c r="H228" s="9"/>
      <x:c r="I228" s="25">
        <x:v>0</x:v>
      </x:c>
      <x:c r="J228" s="41">
        <x:f>IF(G228&gt;0,G228+I228,I228)</x:f>
      </x:c>
      <x:c r="K228" s="9"/>
      <x:c r="L228" s="41">
        <x:v>20</x:v>
      </x:c>
      <x:c r="M228" s="45">
        <x:v>0.038</x:v>
      </x:c>
      <x:c r="N228" s="39">
        <x:v>46275</x:v>
      </x:c>
      <x:c r="O228" s="40">
        <x:v>45</x:v>
      </x:c>
      <x:c r="P228" s="41">
        <x:f>(IF(G228&gt;0,G228+I228,I228)-(O228*Ventas!AE213*1.0044))</x:f>
      </x:c>
      <x:c r="Q228" s="9"/>
      <x:c r="R228" s="25">
        <x:v>0</x:v>
      </x:c>
      <x:c r="S228" s="41">
        <x:f>IF(P228&gt;0,P228+R228,R228)</x:f>
      </x:c>
      <x:c r="T228" s="9"/>
      <x:c r="U228" s="41">
        <x:v>20</x:v>
      </x:c>
      <x:c r="V228" s="45">
        <x:v>0.00135</x:v>
      </x:c>
      <x:c r="W228" s="39">
        <x:v>46331</x:v>
      </x:c>
      <x:c r="X228" s="40">
        <x:v>56</x:v>
      </x:c>
      <x:c r="Y228" s="41">
        <x:f>(IF(P228&gt;0,P228+R228,R228)-(X228*Ventas!AE213*0.9018))</x:f>
      </x:c>
      <x:c r="Z228" s="9"/>
      <x:c r="AA228" s="41">
        <x:f>(100*(Ventas!AE213*1.2350) - IF(Y228&gt;0,Y228,0))</x:f>
      </x:c>
      <x:c r="AB228" s="41">
        <x:f>IF(AA228&gt;0,AA228,0)</x:f>
      </x:c>
      <x:c r="AC228" s="41">
        <x:f>IF(Y228&gt;0,Y228+IF(AB228&gt;0,AB228,0),AB228)</x:f>
      </x:c>
      <x:c r="AD228" s="9"/>
      <x:c r="AE228" s="9"/>
      <x:c r="AF228" s="9"/>
      <x:c r="AG228" s="9"/>
      <x:c r="AH228" s="7" t="s">
        <x:v>34</x:v>
      </x:c>
    </x:row>
    <x:row r="229">
      <x:c r="A229" s="7"/>
      <x:c r="B229" s="7" t="s">
        <x:v>455</x:v>
      </x:c>
      <x:c r="C229" s="38" t="s">
        <x:v>454</x:v>
      </x:c>
      <x:c r="D229" s="25">
        <x:v>82</x:v>
      </x:c>
      <x:c r="E229" s="39">
        <x:v>46230</x:v>
      </x:c>
      <x:c r="F229" s="40">
        <x:v>5</x:v>
      </x:c>
      <x:c r="G229" s="41">
        <x:f>(D229-(0)+0-(F229*Ventas!AE214*1.8000))</x:f>
      </x:c>
      <x:c r="H229" s="43">
        <x:f>(G229/(Ventas!AE214*1.8000)/60)</x:f>
      </x:c>
      <x:c r="I229" s="25">
        <x:v>0</x:v>
      </x:c>
      <x:c r="J229" s="41">
        <x:f>IF(G229&gt;0,G229+I229,I229)</x:f>
      </x:c>
      <x:c r="K229" s="9"/>
      <x:c r="L229" s="41">
        <x:v>10</x:v>
      </x:c>
      <x:c r="M229" s="45">
        <x:v>0.0027</x:v>
      </x:c>
      <x:c r="N229" s="39">
        <x:v>46275</x:v>
      </x:c>
      <x:c r="O229" s="40">
        <x:v>45</x:v>
      </x:c>
      <x:c r="P229" s="41">
        <x:f>(IF(G229&gt;0,G229+I229,I229)-(O229*Ventas!AE214*1.0044))</x:f>
      </x:c>
      <x:c r="Q229" s="43">
        <x:f>(P229/(Ventas!AE214*1.0044)/60)</x:f>
      </x:c>
      <x:c r="R229" s="25">
        <x:v>0</x:v>
      </x:c>
      <x:c r="S229" s="41">
        <x:f>IF(P229&gt;0,P229+R229,R229)</x:f>
      </x:c>
      <x:c r="T229" s="9"/>
      <x:c r="U229" s="41">
        <x:v>10</x:v>
      </x:c>
      <x:c r="V229" s="45">
        <x:v>0.0027</x:v>
      </x:c>
      <x:c r="W229" s="39">
        <x:v>46331</x:v>
      </x:c>
      <x:c r="X229" s="40">
        <x:v>56</x:v>
      </x:c>
      <x:c r="Y229" s="41">
        <x:f>(IF(P229&gt;0,P229+R229,R229)-(X229*Ventas!AE214*0.9018))</x:f>
      </x:c>
      <x:c r="Z229" s="43">
        <x:f>(Y229/(Ventas!AE214*0.9018)/60)</x:f>
      </x:c>
      <x:c r="AA229" s="41">
        <x:f>(100*(Ventas!AE214*1.2350) - IF(Y229&gt;0,Y229,0))</x:f>
      </x:c>
      <x:c r="AB229" s="41">
        <x:f>IF(AA229&gt;0,AA229,0)</x:f>
      </x:c>
      <x:c r="AC229" s="41">
        <x:f>IF(Y229&gt;0,Y229+IF(AB229&gt;0,AB229,0),AB229)</x:f>
      </x:c>
      <x:c r="AD229" s="46">
        <x:v>31.6</x:v>
      </x:c>
      <x:c r="AE229" s="25">
        <x:v>3027</x:v>
      </x:c>
      <x:c r="AF229" s="41">
        <x:f>(AC229-(60*Ventas!AE214*1.2350))</x:f>
      </x:c>
      <x:c r="AG229" s="43">
        <x:f>(AF229/(Ventas!AE214*1.2350)/60)</x:f>
      </x:c>
      <x:c r="AH229" s="7" t="s">
        <x:v>34</x:v>
      </x:c>
    </x:row>
    <x:row r="230">
      <x:c r="A230" s="7"/>
      <x:c r="B230" s="7" t="s">
        <x:v>457</x:v>
      </x:c>
      <x:c r="C230" s="38" t="s">
        <x:v>456</x:v>
      </x:c>
      <x:c r="D230" s="25">
        <x:v>86</x:v>
      </x:c>
      <x:c r="E230" s="39">
        <x:v>46230</x:v>
      </x:c>
      <x:c r="F230" s="40">
        <x:v>5</x:v>
      </x:c>
      <x:c r="G230" s="41">
        <x:f>(D230-(0)+0-(F230*Ventas!AE215*1.8000))</x:f>
      </x:c>
      <x:c r="H230" s="43">
        <x:f>(G230/(Ventas!AE215*1.8000)/60)</x:f>
      </x:c>
      <x:c r="I230" s="25">
        <x:v>0</x:v>
      </x:c>
      <x:c r="J230" s="41">
        <x:f>IF(G230&gt;0,G230+I230,I230)</x:f>
      </x:c>
      <x:c r="K230" s="9"/>
      <x:c r="L230" s="41">
        <x:v>10</x:v>
      </x:c>
      <x:c r="M230" s="45">
        <x:v>0.022</x:v>
      </x:c>
      <x:c r="N230" s="39">
        <x:v>46275</x:v>
      </x:c>
      <x:c r="O230" s="40">
        <x:v>45</x:v>
      </x:c>
      <x:c r="P230" s="41">
        <x:f>(IF(G230&gt;0,G230+I230,I230)-(O230*Ventas!AE215*1.0044))</x:f>
      </x:c>
      <x:c r="Q230" s="43">
        <x:f>(P230/(Ventas!AE215*1.0044)/60)</x:f>
      </x:c>
      <x:c r="R230" s="25">
        <x:v>0</x:v>
      </x:c>
      <x:c r="S230" s="41">
        <x:f>IF(P230&gt;0,P230+R230,R230)</x:f>
      </x:c>
      <x:c r="T230" s="9"/>
      <x:c r="U230" s="41">
        <x:v>10</x:v>
      </x:c>
      <x:c r="V230" s="45">
        <x:v>0.0022</x:v>
      </x:c>
      <x:c r="W230" s="39">
        <x:v>46331</x:v>
      </x:c>
      <x:c r="X230" s="40">
        <x:v>56</x:v>
      </x:c>
      <x:c r="Y230" s="41">
        <x:f>(IF(P230&gt;0,P230+R230,R230)-(X230*Ventas!AE215*0.9018))</x:f>
      </x:c>
      <x:c r="Z230" s="43">
        <x:f>(Y230/(Ventas!AE215*0.9018)/60)</x:f>
      </x:c>
      <x:c r="AA230" s="41">
        <x:f>(100*(Ventas!AE215*1.2350) - IF(Y230&gt;0,Y230,0))</x:f>
      </x:c>
      <x:c r="AB230" s="41">
        <x:f>IF(AA230&gt;0,AA230,0)</x:f>
      </x:c>
      <x:c r="AC230" s="41">
        <x:f>IF(Y230&gt;0,Y230+IF(AB230&gt;0,AB230,0),AB230)</x:f>
      </x:c>
      <x:c r="AD230" s="46">
        <x:v>8.8</x:v>
      </x:c>
      <x:c r="AE230" s="25">
        <x:v>3010</x:v>
      </x:c>
      <x:c r="AF230" s="41">
        <x:f>(AC230-(60*Ventas!AE215*1.2350))</x:f>
      </x:c>
      <x:c r="AG230" s="43">
        <x:f>(AF230/(Ventas!AE215*1.2350)/60)</x:f>
      </x:c>
      <x:c r="AH230" s="7" t="s">
        <x:v>34</x:v>
      </x:c>
    </x:row>
    <x:row r="231">
      <x:c r="A231" s="7"/>
      <x:c r="B231" s="7" t="s">
        <x:v>459</x:v>
      </x:c>
      <x:c r="C231" s="38" t="s">
        <x:v>458</x:v>
      </x:c>
      <x:c r="D231" s="25">
        <x:v>95</x:v>
      </x:c>
      <x:c r="E231" s="39">
        <x:v>46230</x:v>
      </x:c>
      <x:c r="F231" s="40">
        <x:v>5</x:v>
      </x:c>
      <x:c r="G231" s="41">
        <x:f>(D231-(0)+0-(F231*Ventas!AE216*1.8000))</x:f>
      </x:c>
      <x:c r="H231" s="43">
        <x:f>(G231/(Ventas!AE216*1.8000)/60)</x:f>
      </x:c>
      <x:c r="I231" s="25">
        <x:v>0</x:v>
      </x:c>
      <x:c r="J231" s="41">
        <x:f>IF(G231&gt;0,G231+I231,I231)</x:f>
      </x:c>
      <x:c r="K231" s="9"/>
      <x:c r="L231" s="41">
        <x:v>10</x:v>
      </x:c>
      <x:c r="M231" s="45">
        <x:v>0.022</x:v>
      </x:c>
      <x:c r="N231" s="39">
        <x:v>46275</x:v>
      </x:c>
      <x:c r="O231" s="40">
        <x:v>45</x:v>
      </x:c>
      <x:c r="P231" s="41">
        <x:f>(IF(G231&gt;0,G231+I231,I231)-(O231*Ventas!AE216*1.0044))</x:f>
      </x:c>
      <x:c r="Q231" s="43">
        <x:f>(P231/(Ventas!AE216*1.0044)/60)</x:f>
      </x:c>
      <x:c r="R231" s="25">
        <x:v>0</x:v>
      </x:c>
      <x:c r="S231" s="41">
        <x:f>IF(P231&gt;0,P231+R231,R231)</x:f>
      </x:c>
      <x:c r="T231" s="9"/>
      <x:c r="U231" s="41">
        <x:v>10</x:v>
      </x:c>
      <x:c r="V231" s="45">
        <x:v>0.0022</x:v>
      </x:c>
      <x:c r="W231" s="39">
        <x:v>46331</x:v>
      </x:c>
      <x:c r="X231" s="40">
        <x:v>56</x:v>
      </x:c>
      <x:c r="Y231" s="41">
        <x:f>(IF(P231&gt;0,P231+R231,R231)-(X231*Ventas!AE216*0.9018))</x:f>
      </x:c>
      <x:c r="Z231" s="43">
        <x:f>(Y231/(Ventas!AE216*0.9018)/60)</x:f>
      </x:c>
      <x:c r="AA231" s="41">
        <x:f>(100*(Ventas!AE216*1.2350) - IF(Y231&gt;0,Y231,0))</x:f>
      </x:c>
      <x:c r="AB231" s="41">
        <x:f>IF(AA231&gt;0,AA231,0)</x:f>
      </x:c>
      <x:c r="AC231" s="41">
        <x:f>IF(Y231&gt;0,Y231+IF(AB231&gt;0,AB231,0),AB231)</x:f>
      </x:c>
      <x:c r="AD231" s="46">
        <x:v>8.8</x:v>
      </x:c>
      <x:c r="AE231" s="25">
        <x:v>3010</x:v>
      </x:c>
      <x:c r="AF231" s="41">
        <x:f>(AC231-(60*Ventas!AE216*1.2350))</x:f>
      </x:c>
      <x:c r="AG231" s="43">
        <x:f>(AF231/(Ventas!AE216*1.2350)/60)</x:f>
      </x:c>
      <x:c r="AH231" s="7" t="s">
        <x:v>34</x:v>
      </x:c>
    </x:row>
    <x:row r="232">
      <x:c r="A232" s="7"/>
      <x:c r="B232" s="7" t="s">
        <x:v>461</x:v>
      </x:c>
      <x:c r="C232" s="38" t="s">
        <x:v>460</x:v>
      </x:c>
      <x:c r="D232" s="25">
        <x:v>59</x:v>
      </x:c>
      <x:c r="E232" s="39">
        <x:v>46230</x:v>
      </x:c>
      <x:c r="F232" s="40">
        <x:v>5</x:v>
      </x:c>
      <x:c r="G232" s="41">
        <x:f>(D232-(0)+0-(F232*Ventas!AE217*1.8000))</x:f>
      </x:c>
      <x:c r="H232" s="43">
        <x:f>(G232/(Ventas!AE217*1.8000)/60)</x:f>
      </x:c>
      <x:c r="I232" s="25">
        <x:v>0</x:v>
      </x:c>
      <x:c r="J232" s="41">
        <x:f>IF(G232&gt;0,G232+I232,I232)</x:f>
      </x:c>
      <x:c r="K232" s="9"/>
      <x:c r="L232" s="41">
        <x:v>10</x:v>
      </x:c>
      <x:c r="M232" s="45">
        <x:v>0.029</x:v>
      </x:c>
      <x:c r="N232" s="39">
        <x:v>46275</x:v>
      </x:c>
      <x:c r="O232" s="40">
        <x:v>45</x:v>
      </x:c>
      <x:c r="P232" s="41">
        <x:f>(IF(G232&gt;0,G232+I232,I232)-(O232*Ventas!AE217*1.0044))</x:f>
      </x:c>
      <x:c r="Q232" s="43">
        <x:f>(P232/(Ventas!AE217*1.0044)/60)</x:f>
      </x:c>
      <x:c r="R232" s="25">
        <x:v>0</x:v>
      </x:c>
      <x:c r="S232" s="41">
        <x:f>IF(P232&gt;0,P232+R232,R232)</x:f>
      </x:c>
      <x:c r="T232" s="9"/>
      <x:c r="U232" s="41">
        <x:v>10</x:v>
      </x:c>
      <x:c r="V232" s="45">
        <x:v>0.0029</x:v>
      </x:c>
      <x:c r="W232" s="39">
        <x:v>46331</x:v>
      </x:c>
      <x:c r="X232" s="40">
        <x:v>56</x:v>
      </x:c>
      <x:c r="Y232" s="41">
        <x:f>(IF(P232&gt;0,P232+R232,R232)-(X232*Ventas!AE217*0.9018))</x:f>
      </x:c>
      <x:c r="Z232" s="43">
        <x:f>(Y232/(Ventas!AE217*0.9018)/60)</x:f>
      </x:c>
      <x:c r="AA232" s="41">
        <x:f>(100*(Ventas!AE217*1.2350) - IF(Y232&gt;0,Y232,0))</x:f>
      </x:c>
      <x:c r="AB232" s="41">
        <x:f>IF(AA232&gt;0,AA232,0)</x:f>
      </x:c>
      <x:c r="AC232" s="41">
        <x:f>IF(Y232&gt;0,Y232+IF(AB232&gt;0,AB232,0),AB232)</x:f>
      </x:c>
      <x:c r="AD232" s="46">
        <x:v>11.4</x:v>
      </x:c>
      <x:c r="AE232" s="25">
        <x:v>3010</x:v>
      </x:c>
      <x:c r="AF232" s="41">
        <x:f>(AC232-(60*Ventas!AE217*1.2350))</x:f>
      </x:c>
      <x:c r="AG232" s="43">
        <x:f>(AF232/(Ventas!AE217*1.2350)/60)</x:f>
      </x:c>
      <x:c r="AH232" s="7" t="s">
        <x:v>34</x:v>
      </x:c>
    </x:row>
    <x:row r="233">
      <x:c r="A233" s="7"/>
      <x:c r="B233" s="7" t="s">
        <x:v>463</x:v>
      </x:c>
      <x:c r="C233" s="38" t="s">
        <x:v>462</x:v>
      </x:c>
      <x:c r="D233" s="25">
        <x:v>84</x:v>
      </x:c>
      <x:c r="E233" s="39">
        <x:v>46230</x:v>
      </x:c>
      <x:c r="F233" s="40">
        <x:v>5</x:v>
      </x:c>
      <x:c r="G233" s="41">
        <x:f>(D233-(0)+0-(F233*Ventas!AE218*1.8000))</x:f>
      </x:c>
      <x:c r="H233" s="43">
        <x:f>(G233/(Ventas!AE218*1.8000)/60)</x:f>
      </x:c>
      <x:c r="I233" s="25">
        <x:v>0</x:v>
      </x:c>
      <x:c r="J233" s="41">
        <x:f>IF(G233&gt;0,G233+I233,I233)</x:f>
      </x:c>
      <x:c r="K233" s="9"/>
      <x:c r="L233" s="41">
        <x:v>10</x:v>
      </x:c>
      <x:c r="M233" s="45">
        <x:v>0.029</x:v>
      </x:c>
      <x:c r="N233" s="39">
        <x:v>46275</x:v>
      </x:c>
      <x:c r="O233" s="40">
        <x:v>45</x:v>
      </x:c>
      <x:c r="P233" s="41">
        <x:f>(IF(G233&gt;0,G233+I233,I233)-(O233*Ventas!AE218*1.0044))</x:f>
      </x:c>
      <x:c r="Q233" s="43">
        <x:f>(P233/(Ventas!AE218*1.0044)/60)</x:f>
      </x:c>
      <x:c r="R233" s="25">
        <x:v>0</x:v>
      </x:c>
      <x:c r="S233" s="41">
        <x:f>IF(P233&gt;0,P233+R233,R233)</x:f>
      </x:c>
      <x:c r="T233" s="9"/>
      <x:c r="U233" s="41">
        <x:v>10</x:v>
      </x:c>
      <x:c r="V233" s="45">
        <x:v>0.0029</x:v>
      </x:c>
      <x:c r="W233" s="39">
        <x:v>46331</x:v>
      </x:c>
      <x:c r="X233" s="40">
        <x:v>56</x:v>
      </x:c>
      <x:c r="Y233" s="41">
        <x:f>(IF(P233&gt;0,P233+R233,R233)-(X233*Ventas!AE218*0.9018))</x:f>
      </x:c>
      <x:c r="Z233" s="43">
        <x:f>(Y233/(Ventas!AE218*0.9018)/60)</x:f>
      </x:c>
      <x:c r="AA233" s="41">
        <x:f>(100*(Ventas!AE218*1.2350) - IF(Y233&gt;0,Y233,0))</x:f>
      </x:c>
      <x:c r="AB233" s="41">
        <x:f>IF(AA233&gt;0,AA233,0)</x:f>
      </x:c>
      <x:c r="AC233" s="41">
        <x:f>IF(Y233&gt;0,Y233+IF(AB233&gt;0,AB233,0),AB233)</x:f>
      </x:c>
      <x:c r="AD233" s="46">
        <x:v>11.1</x:v>
      </x:c>
      <x:c r="AE233" s="25">
        <x:v>3010</x:v>
      </x:c>
      <x:c r="AF233" s="41">
        <x:f>(AC233-(60*Ventas!AE218*1.2350))</x:f>
      </x:c>
      <x:c r="AG233" s="43">
        <x:f>(AF233/(Ventas!AE218*1.2350)/60)</x:f>
      </x:c>
      <x:c r="AH233" s="7" t="s">
        <x:v>34</x:v>
      </x:c>
    </x:row>
    <x:row r="234">
      <x:c r="A234" s="7"/>
      <x:c r="B234" s="7" t="s">
        <x:v>465</x:v>
      </x:c>
      <x:c r="C234" s="38" t="s">
        <x:v>464</x:v>
      </x:c>
      <x:c r="D234" s="9"/>
      <x:c r="E234" s="39">
        <x:v>46230</x:v>
      </x:c>
      <x:c r="F234" s="40">
        <x:v>5</x:v>
      </x:c>
      <x:c r="G234" s="41">
        <x:f>(D234-(0)+0-(F234*Ventas!AE219*1.8000))</x:f>
      </x:c>
      <x:c r="H234" s="43">
        <x:f>(G234/(Ventas!AE219*1.8000)/60)</x:f>
      </x:c>
      <x:c r="I234" s="25">
        <x:v>0</x:v>
      </x:c>
      <x:c r="J234" s="41">
        <x:f>IF(G234&gt;0,G234+I234,I234)</x:f>
      </x:c>
      <x:c r="K234" s="9"/>
      <x:c r="L234" s="41">
        <x:v>10</x:v>
      </x:c>
      <x:c r="M234" s="45">
        <x:v>0.002</x:v>
      </x:c>
      <x:c r="N234" s="39">
        <x:v>46275</x:v>
      </x:c>
      <x:c r="O234" s="40">
        <x:v>45</x:v>
      </x:c>
      <x:c r="P234" s="41">
        <x:f>(IF(G234&gt;0,G234+I234,I234)-(O234*Ventas!AE219*1.0044))</x:f>
      </x:c>
      <x:c r="Q234" s="43">
        <x:f>(P234/(Ventas!AE219*1.0044)/60)</x:f>
      </x:c>
      <x:c r="R234" s="25">
        <x:v>0</x:v>
      </x:c>
      <x:c r="S234" s="41">
        <x:f>IF(P234&gt;0,P234+R234,R234)</x:f>
      </x:c>
      <x:c r="T234" s="9"/>
      <x:c r="U234" s="41">
        <x:v>10</x:v>
      </x:c>
      <x:c r="V234" s="45">
        <x:v>0.002</x:v>
      </x:c>
      <x:c r="W234" s="39">
        <x:v>46331</x:v>
      </x:c>
      <x:c r="X234" s="40">
        <x:v>56</x:v>
      </x:c>
      <x:c r="Y234" s="41">
        <x:f>(IF(P234&gt;0,P234+R234,R234)-(X234*Ventas!AE219*0.9018))</x:f>
      </x:c>
      <x:c r="Z234" s="43">
        <x:f>(Y234/(Ventas!AE219*0.9018)/60)</x:f>
      </x:c>
      <x:c r="AA234" s="41">
        <x:f>(100*(Ventas!AE219*1.2350) - IF(Y234&gt;0,Y234,0))</x:f>
      </x:c>
      <x:c r="AB234" s="41">
        <x:f>IF(AA234&gt;0,AA234,0)</x:f>
      </x:c>
      <x:c r="AC234" s="41">
        <x:f>IF(Y234&gt;0,Y234+IF(AB234&gt;0,AB234,0),AB234)</x:f>
      </x:c>
      <x:c r="AD234" s="46">
        <x:v>9.604</x:v>
      </x:c>
      <x:c r="AE234" s="25">
        <x:v>3010</x:v>
      </x:c>
      <x:c r="AF234" s="41">
        <x:f>(AC234-(60*Ventas!AE219*1.2350))</x:f>
      </x:c>
      <x:c r="AG234" s="43">
        <x:f>(AF234/(Ventas!AE219*1.2350)/60)</x:f>
      </x:c>
      <x:c r="AH234" s="7" t="s">
        <x:v>34</x:v>
      </x:c>
    </x:row>
    <x:row r="235">
      <x:c r="A235" s="7"/>
      <x:c r="B235" s="7" t="s">
        <x:v>467</x:v>
      </x:c>
      <x:c r="C235" s="38" t="s">
        <x:v>466</x:v>
      </x:c>
      <x:c r="D235" s="9"/>
      <x:c r="E235" s="39">
        <x:v>46230</x:v>
      </x:c>
      <x:c r="F235" s="40">
        <x:v>5</x:v>
      </x:c>
      <x:c r="G235" s="41">
        <x:f>(D235-(0)+0-(F235*Ventas!AE220*1.8000))</x:f>
      </x:c>
      <x:c r="H235" s="43">
        <x:f>(G235/(Ventas!AE220*1.8000)/60)</x:f>
      </x:c>
      <x:c r="I235" s="25">
        <x:v>0</x:v>
      </x:c>
      <x:c r="J235" s="41">
        <x:f>IF(G235&gt;0,G235+I235,I235)</x:f>
      </x:c>
      <x:c r="K235" s="9"/>
      <x:c r="L235" s="41">
        <x:v>10</x:v>
      </x:c>
      <x:c r="M235" s="45">
        <x:v>0.002</x:v>
      </x:c>
      <x:c r="N235" s="39">
        <x:v>46275</x:v>
      </x:c>
      <x:c r="O235" s="40">
        <x:v>45</x:v>
      </x:c>
      <x:c r="P235" s="41">
        <x:f>(IF(G235&gt;0,G235+I235,I235)-(O235*Ventas!AE220*1.0044))</x:f>
      </x:c>
      <x:c r="Q235" s="43">
        <x:f>(P235/(Ventas!AE220*1.0044)/60)</x:f>
      </x:c>
      <x:c r="R235" s="25">
        <x:v>0</x:v>
      </x:c>
      <x:c r="S235" s="41">
        <x:f>IF(P235&gt;0,P235+R235,R235)</x:f>
      </x:c>
      <x:c r="T235" s="9"/>
      <x:c r="U235" s="41">
        <x:v>10</x:v>
      </x:c>
      <x:c r="V235" s="45">
        <x:v>0.002</x:v>
      </x:c>
      <x:c r="W235" s="39">
        <x:v>46331</x:v>
      </x:c>
      <x:c r="X235" s="40">
        <x:v>56</x:v>
      </x:c>
      <x:c r="Y235" s="41">
        <x:f>(IF(P235&gt;0,P235+R235,R235)-(X235*Ventas!AE220*0.9018))</x:f>
      </x:c>
      <x:c r="Z235" s="43">
        <x:f>(Y235/(Ventas!AE220*0.9018)/60)</x:f>
      </x:c>
      <x:c r="AA235" s="41">
        <x:f>(100*(Ventas!AE220*1.2350) - IF(Y235&gt;0,Y235,0))</x:f>
      </x:c>
      <x:c r="AB235" s="41">
        <x:f>IF(AA235&gt;0,AA235,0)</x:f>
      </x:c>
      <x:c r="AC235" s="41">
        <x:f>IF(Y235&gt;0,Y235+IF(AB235&gt;0,AB235,0),AB235)</x:f>
      </x:c>
      <x:c r="AD235" s="46">
        <x:v>9.604</x:v>
      </x:c>
      <x:c r="AE235" s="25">
        <x:v>3010</x:v>
      </x:c>
      <x:c r="AF235" s="41">
        <x:f>(AC235-(60*Ventas!AE220*1.2350))</x:f>
      </x:c>
      <x:c r="AG235" s="43">
        <x:f>(AF235/(Ventas!AE220*1.2350)/60)</x:f>
      </x:c>
      <x:c r="AH235" s="7" t="s">
        <x:v>34</x:v>
      </x:c>
    </x:row>
    <x:row r="236">
      <x:c r="A236" s="7"/>
      <x:c r="B236" s="7" t="s">
        <x:v>469</x:v>
      </x:c>
      <x:c r="C236" s="38" t="s">
        <x:v>468</x:v>
      </x:c>
      <x:c r="D236" s="25">
        <x:v>48</x:v>
      </x:c>
      <x:c r="E236" s="39">
        <x:v>46230</x:v>
      </x:c>
      <x:c r="F236" s="40">
        <x:v>5</x:v>
      </x:c>
      <x:c r="G236" s="41">
        <x:f>(D236-(0)+0-(F236*Ventas!AE221*1.8000))</x:f>
      </x:c>
      <x:c r="H236" s="43">
        <x:f>(G236/(Ventas!AE221*1.8000)/60)</x:f>
      </x:c>
      <x:c r="I236" s="25">
        <x:v>0</x:v>
      </x:c>
      <x:c r="J236" s="41">
        <x:f>IF(G236&gt;0,G236+I236,I236)</x:f>
      </x:c>
      <x:c r="K236" s="9"/>
      <x:c r="L236" s="41">
        <x:v>30</x:v>
      </x:c>
      <x:c r="M236" s="45">
        <x:v>0.001667</x:v>
      </x:c>
      <x:c r="N236" s="39">
        <x:v>46275</x:v>
      </x:c>
      <x:c r="O236" s="40">
        <x:v>45</x:v>
      </x:c>
      <x:c r="P236" s="41">
        <x:f>(IF(G236&gt;0,G236+I236,I236)-(O236*Ventas!AE221*1.0044))</x:f>
      </x:c>
      <x:c r="Q236" s="43">
        <x:f>(P236/(Ventas!AE221*1.0044)/60)</x:f>
      </x:c>
      <x:c r="R236" s="25">
        <x:v>0</x:v>
      </x:c>
      <x:c r="S236" s="41">
        <x:f>IF(P236&gt;0,P236+R236,R236)</x:f>
      </x:c>
      <x:c r="T236" s="9"/>
      <x:c r="U236" s="41">
        <x:v>30</x:v>
      </x:c>
      <x:c r="V236" s="45">
        <x:v>0.001667</x:v>
      </x:c>
      <x:c r="W236" s="39">
        <x:v>46331</x:v>
      </x:c>
      <x:c r="X236" s="40">
        <x:v>56</x:v>
      </x:c>
      <x:c r="Y236" s="41">
        <x:f>(IF(P236&gt;0,P236+R236,R236)-(X236*Ventas!AE221*0.9018))</x:f>
      </x:c>
      <x:c r="Z236" s="43">
        <x:f>(Y236/(Ventas!AE221*0.9018)/60)</x:f>
      </x:c>
      <x:c r="AA236" s="41">
        <x:f>(100*(Ventas!AE221*1.2350) - IF(Y236&gt;0,Y236,0))</x:f>
      </x:c>
      <x:c r="AB236" s="41">
        <x:f>IF(AA236&gt;0,AA236,0)</x:f>
      </x:c>
      <x:c r="AC236" s="41">
        <x:f>IF(Y236&gt;0,Y236+IF(AB236&gt;0,AB236,0),AB236)</x:f>
      </x:c>
      <x:c r="AD236" s="46">
        <x:v>2.3</x:v>
      </x:c>
      <x:c r="AE236" s="25">
        <x:v>3027</x:v>
      </x:c>
      <x:c r="AF236" s="41">
        <x:f>(AC236-(60*Ventas!AE221*1.2350))</x:f>
      </x:c>
      <x:c r="AG236" s="43">
        <x:f>(AF236/(Ventas!AE221*1.2350)/60)</x:f>
      </x:c>
      <x:c r="AH236" s="7" t="s">
        <x:v>34</x:v>
      </x:c>
    </x:row>
    <x:row r="237">
      <x:c r="A237" s="7"/>
      <x:c r="B237" s="7" t="s">
        <x:v>471</x:v>
      </x:c>
      <x:c r="C237" s="38" t="s">
        <x:v>470</x:v>
      </x:c>
      <x:c r="D237" s="25">
        <x:v>47</x:v>
      </x:c>
      <x:c r="E237" s="39">
        <x:v>46230</x:v>
      </x:c>
      <x:c r="F237" s="40">
        <x:v>5</x:v>
      </x:c>
      <x:c r="G237" s="41">
        <x:f>(D237-(0)+0-(F237*Ventas!AE222*1.8000))</x:f>
      </x:c>
      <x:c r="H237" s="43">
        <x:f>(G237/(Ventas!AE222*1.8000)/60)</x:f>
      </x:c>
      <x:c r="I237" s="25">
        <x:v>0</x:v>
      </x:c>
      <x:c r="J237" s="41">
        <x:f>IF(G237&gt;0,G237+I237,I237)</x:f>
      </x:c>
      <x:c r="K237" s="9"/>
      <x:c r="L237" s="41">
        <x:v>30</x:v>
      </x:c>
      <x:c r="M237" s="45">
        <x:v>0.001667</x:v>
      </x:c>
      <x:c r="N237" s="39">
        <x:v>46275</x:v>
      </x:c>
      <x:c r="O237" s="40">
        <x:v>45</x:v>
      </x:c>
      <x:c r="P237" s="41">
        <x:f>(IF(G237&gt;0,G237+I237,I237)-(O237*Ventas!AE222*1.0044))</x:f>
      </x:c>
      <x:c r="Q237" s="43">
        <x:f>(P237/(Ventas!AE222*1.0044)/60)</x:f>
      </x:c>
      <x:c r="R237" s="25">
        <x:v>0</x:v>
      </x:c>
      <x:c r="S237" s="41">
        <x:f>IF(P237&gt;0,P237+R237,R237)</x:f>
      </x:c>
      <x:c r="T237" s="9"/>
      <x:c r="U237" s="41">
        <x:v>30</x:v>
      </x:c>
      <x:c r="V237" s="45">
        <x:v>0.001667</x:v>
      </x:c>
      <x:c r="W237" s="39">
        <x:v>46331</x:v>
      </x:c>
      <x:c r="X237" s="40">
        <x:v>56</x:v>
      </x:c>
      <x:c r="Y237" s="41">
        <x:f>(IF(P237&gt;0,P237+R237,R237)-(X237*Ventas!AE222*0.9018))</x:f>
      </x:c>
      <x:c r="Z237" s="43">
        <x:f>(Y237/(Ventas!AE222*0.9018)/60)</x:f>
      </x:c>
      <x:c r="AA237" s="41">
        <x:f>(100*(Ventas!AE222*1.2350) - IF(Y237&gt;0,Y237,0))</x:f>
      </x:c>
      <x:c r="AB237" s="41">
        <x:f>IF(AA237&gt;0,AA237,0)</x:f>
      </x:c>
      <x:c r="AC237" s="41">
        <x:f>IF(Y237&gt;0,Y237+IF(AB237&gt;0,AB237,0),AB237)</x:f>
      </x:c>
      <x:c r="AD237" s="46">
        <x:v>2.3</x:v>
      </x:c>
      <x:c r="AE237" s="25">
        <x:v>3027</x:v>
      </x:c>
      <x:c r="AF237" s="41">
        <x:f>(AC237-(60*Ventas!AE222*1.2350))</x:f>
      </x:c>
      <x:c r="AG237" s="43">
        <x:f>(AF237/(Ventas!AE222*1.2350)/60)</x:f>
      </x:c>
      <x:c r="AH237" s="7" t="s">
        <x:v>34</x:v>
      </x:c>
    </x:row>
    <x:row r="238">
      <x:c r="A238" s="7"/>
      <x:c r="B238" s="7" t="s">
        <x:v>473</x:v>
      </x:c>
      <x:c r="C238" s="38" t="s">
        <x:v>472</x:v>
      </x:c>
      <x:c r="D238" s="25">
        <x:v>74</x:v>
      </x:c>
      <x:c r="E238" s="39">
        <x:v>46230</x:v>
      </x:c>
      <x:c r="F238" s="40">
        <x:v>5</x:v>
      </x:c>
      <x:c r="G238" s="41">
        <x:f>(D238-(0)+0-(F238*Ventas!AE223*1.8000))</x:f>
      </x:c>
      <x:c r="H238" s="43">
        <x:f>(G238/(Ventas!AE223*1.8000)/60)</x:f>
      </x:c>
      <x:c r="I238" s="25">
        <x:v>0</x:v>
      </x:c>
      <x:c r="J238" s="41">
        <x:f>IF(G238&gt;0,G238+I238,I238)</x:f>
      </x:c>
      <x:c r="K238" s="9"/>
      <x:c r="L238" s="41">
        <x:v>30</x:v>
      </x:c>
      <x:c r="M238" s="45">
        <x:v>0.001667</x:v>
      </x:c>
      <x:c r="N238" s="39">
        <x:v>46275</x:v>
      </x:c>
      <x:c r="O238" s="40">
        <x:v>45</x:v>
      </x:c>
      <x:c r="P238" s="41">
        <x:f>(IF(G238&gt;0,G238+I238,I238)-(O238*Ventas!AE223*1.0044))</x:f>
      </x:c>
      <x:c r="Q238" s="43">
        <x:f>(P238/(Ventas!AE223*1.0044)/60)</x:f>
      </x:c>
      <x:c r="R238" s="25">
        <x:v>0</x:v>
      </x:c>
      <x:c r="S238" s="41">
        <x:f>IF(P238&gt;0,P238+R238,R238)</x:f>
      </x:c>
      <x:c r="T238" s="9"/>
      <x:c r="U238" s="41">
        <x:v>30</x:v>
      </x:c>
      <x:c r="V238" s="45">
        <x:v>0.001667</x:v>
      </x:c>
      <x:c r="W238" s="39">
        <x:v>46331</x:v>
      </x:c>
      <x:c r="X238" s="40">
        <x:v>56</x:v>
      </x:c>
      <x:c r="Y238" s="41">
        <x:f>(IF(P238&gt;0,P238+R238,R238)-(X238*Ventas!AE223*0.9018))</x:f>
      </x:c>
      <x:c r="Z238" s="43">
        <x:f>(Y238/(Ventas!AE223*0.9018)/60)</x:f>
      </x:c>
      <x:c r="AA238" s="41">
        <x:f>(100*(Ventas!AE223*1.2350) - IF(Y238&gt;0,Y238,0))</x:f>
      </x:c>
      <x:c r="AB238" s="41">
        <x:f>IF(AA238&gt;0,AA238,0)</x:f>
      </x:c>
      <x:c r="AC238" s="41">
        <x:f>IF(Y238&gt;0,Y238+IF(AB238&gt;0,AB238,0),AB238)</x:f>
      </x:c>
      <x:c r="AD238" s="46">
        <x:v>2.3</x:v>
      </x:c>
      <x:c r="AE238" s="25">
        <x:v>3027</x:v>
      </x:c>
      <x:c r="AF238" s="41">
        <x:f>(AC238-(60*Ventas!AE223*1.2350))</x:f>
      </x:c>
      <x:c r="AG238" s="43">
        <x:f>(AF238/(Ventas!AE223*1.2350)/60)</x:f>
      </x:c>
      <x:c r="AH238" s="7" t="s">
        <x:v>34</x:v>
      </x:c>
    </x:row>
    <x:row r="239">
      <x:c r="A239" s="7"/>
      <x:c r="B239" s="7" t="s">
        <x:v>475</x:v>
      </x:c>
      <x:c r="C239" s="38" t="s">
        <x:v>474</x:v>
      </x:c>
      <x:c r="D239" s="25">
        <x:v>133</x:v>
      </x:c>
      <x:c r="E239" s="39">
        <x:v>46230</x:v>
      </x:c>
      <x:c r="F239" s="40">
        <x:v>5</x:v>
      </x:c>
      <x:c r="G239" s="41">
        <x:f>(D239-(0)+0-(F239*Ventas!AE224*1.8000))</x:f>
      </x:c>
      <x:c r="H239" s="43">
        <x:f>(G239/(Ventas!AE224*1.8000)/60)</x:f>
      </x:c>
      <x:c r="I239" s="25">
        <x:v>0</x:v>
      </x:c>
      <x:c r="J239" s="41">
        <x:f>IF(G239&gt;0,G239+I239,I239)</x:f>
      </x:c>
      <x:c r="K239" s="9"/>
      <x:c r="L239" s="41">
        <x:v>30</x:v>
      </x:c>
      <x:c r="M239" s="45">
        <x:v>0.001667</x:v>
      </x:c>
      <x:c r="N239" s="39">
        <x:v>46275</x:v>
      </x:c>
      <x:c r="O239" s="40">
        <x:v>45</x:v>
      </x:c>
      <x:c r="P239" s="41">
        <x:f>(IF(G239&gt;0,G239+I239,I239)-(O239*Ventas!AE224*1.0044))</x:f>
      </x:c>
      <x:c r="Q239" s="43">
        <x:f>(P239/(Ventas!AE224*1.0044)/60)</x:f>
      </x:c>
      <x:c r="R239" s="25">
        <x:v>0</x:v>
      </x:c>
      <x:c r="S239" s="41">
        <x:f>IF(P239&gt;0,P239+R239,R239)</x:f>
      </x:c>
      <x:c r="T239" s="9"/>
      <x:c r="U239" s="41">
        <x:v>30</x:v>
      </x:c>
      <x:c r="V239" s="45">
        <x:v>0.001667</x:v>
      </x:c>
      <x:c r="W239" s="39">
        <x:v>46331</x:v>
      </x:c>
      <x:c r="X239" s="40">
        <x:v>56</x:v>
      </x:c>
      <x:c r="Y239" s="41">
        <x:f>(IF(P239&gt;0,P239+R239,R239)-(X239*Ventas!AE224*0.9018))</x:f>
      </x:c>
      <x:c r="Z239" s="43">
        <x:f>(Y239/(Ventas!AE224*0.9018)/60)</x:f>
      </x:c>
      <x:c r="AA239" s="41">
        <x:f>(100*(Ventas!AE224*1.2350) - IF(Y239&gt;0,Y239,0))</x:f>
      </x:c>
      <x:c r="AB239" s="41">
        <x:f>IF(AA239&gt;0,AA239,0)</x:f>
      </x:c>
      <x:c r="AC239" s="41">
        <x:f>IF(Y239&gt;0,Y239+IF(AB239&gt;0,AB239,0),AB239)</x:f>
      </x:c>
      <x:c r="AD239" s="46">
        <x:v>2.254</x:v>
      </x:c>
      <x:c r="AE239" s="25">
        <x:v>3027</x:v>
      </x:c>
      <x:c r="AF239" s="41">
        <x:f>(AC239-(60*Ventas!AE224*1.2350))</x:f>
      </x:c>
      <x:c r="AG239" s="43">
        <x:f>(AF239/(Ventas!AE224*1.2350)/60)</x:f>
      </x:c>
      <x:c r="AH239" s="7" t="s">
        <x:v>34</x:v>
      </x:c>
    </x:row>
    <x:row r="240">
      <x:c r="A240" s="7"/>
      <x:c r="B240" s="7" t="s">
        <x:v>477</x:v>
      </x:c>
      <x:c r="C240" s="38" t="s">
        <x:v>476</x:v>
      </x:c>
      <x:c r="D240" s="25">
        <x:v>146</x:v>
      </x:c>
      <x:c r="E240" s="39">
        <x:v>46230</x:v>
      </x:c>
      <x:c r="F240" s="40">
        <x:v>5</x:v>
      </x:c>
      <x:c r="G240" s="41">
        <x:f>(D240-(0)+0-(F240*Ventas!AE225*1.8000))</x:f>
      </x:c>
      <x:c r="H240" s="43">
        <x:f>(G240/(Ventas!AE225*1.8000)/60)</x:f>
      </x:c>
      <x:c r="I240" s="25">
        <x:v>80</x:v>
      </x:c>
      <x:c r="J240" s="41">
        <x:f>IF(G240&gt;0,G240+I240,I240)</x:f>
      </x:c>
      <x:c r="K240" s="41">
        <x:v>11.856</x:v>
      </x:c>
      <x:c r="L240" s="41">
        <x:v>20</x:v>
      </x:c>
      <x:c r="M240" s="45">
        <x:v>0.00405</x:v>
      </x:c>
      <x:c r="N240" s="39">
        <x:v>46275</x:v>
      </x:c>
      <x:c r="O240" s="40">
        <x:v>45</x:v>
      </x:c>
      <x:c r="P240" s="41">
        <x:f>(IF(G240&gt;0,G240+I240,I240)-(O240*Ventas!AE225*1.0044))</x:f>
      </x:c>
      <x:c r="Q240" s="43">
        <x:f>(P240/(Ventas!AE225*1.0044)/60)</x:f>
      </x:c>
      <x:c r="R240" s="25">
        <x:v>40</x:v>
      </x:c>
      <x:c r="S240" s="41">
        <x:f>IF(P240&gt;0,P240+R240,R240)</x:f>
      </x:c>
      <x:c r="T240" s="41">
        <x:v>11.9</x:v>
      </x:c>
      <x:c r="U240" s="41">
        <x:v>20</x:v>
      </x:c>
      <x:c r="V240" s="45">
        <x:v>0.00405</x:v>
      </x:c>
      <x:c r="W240" s="39">
        <x:v>46331</x:v>
      </x:c>
      <x:c r="X240" s="40">
        <x:v>56</x:v>
      </x:c>
      <x:c r="Y240" s="41">
        <x:f>(IF(P240&gt;0,P240+R240,R240)-(X240*Ventas!AE225*0.9018))</x:f>
      </x:c>
      <x:c r="Z240" s="43">
        <x:f>(Y240/(Ventas!AE225*0.9018)/60)</x:f>
      </x:c>
      <x:c r="AA240" s="41">
        <x:f>(100*(Ventas!AE225*1.2350) - IF(Y240&gt;0,Y240,0))</x:f>
      </x:c>
      <x:c r="AB240" s="41">
        <x:f>IF(AA240&gt;0,AA240,0)</x:f>
      </x:c>
      <x:c r="AC240" s="41">
        <x:f>IF(Y240&gt;0,Y240+IF(AB240&gt;0,AB240,0),AB240)</x:f>
      </x:c>
      <x:c r="AD240" s="46">
        <x:v>11.856</x:v>
      </x:c>
      <x:c r="AE240" s="25">
        <x:v>3027</x:v>
      </x:c>
      <x:c r="AF240" s="41">
        <x:f>(AC240-(60*Ventas!AE225*1.2350))</x:f>
      </x:c>
      <x:c r="AG240" s="43">
        <x:f>(AF240/(Ventas!AE225*1.2350)/60)</x:f>
      </x:c>
      <x:c r="AH240" s="7" t="s">
        <x:v>34</x:v>
      </x:c>
    </x:row>
    <x:row r="241">
      <x:c r="A241" s="7"/>
      <x:c r="B241" s="7" t="s">
        <x:v>479</x:v>
      </x:c>
      <x:c r="C241" s="38" t="s">
        <x:v>478</x:v>
      </x:c>
      <x:c r="D241" s="25">
        <x:v>143</x:v>
      </x:c>
      <x:c r="E241" s="39">
        <x:v>46230</x:v>
      </x:c>
      <x:c r="F241" s="40">
        <x:v>5</x:v>
      </x:c>
      <x:c r="G241" s="41">
        <x:f>(D241-(0)+0-(F241*Ventas!AE226*1.8000))</x:f>
      </x:c>
      <x:c r="H241" s="43">
        <x:f>(G241/(Ventas!AE226*1.8000)/60)</x:f>
      </x:c>
      <x:c r="I241" s="25">
        <x:v>60</x:v>
      </x:c>
      <x:c r="J241" s="41">
        <x:f>IF(G241&gt;0,G241+I241,I241)</x:f>
      </x:c>
      <x:c r="K241" s="41">
        <x:v>11.856</x:v>
      </x:c>
      <x:c r="L241" s="41">
        <x:v>20</x:v>
      </x:c>
      <x:c r="M241" s="45">
        <x:v>0.00405</x:v>
      </x:c>
      <x:c r="N241" s="39">
        <x:v>46275</x:v>
      </x:c>
      <x:c r="O241" s="40">
        <x:v>45</x:v>
      </x:c>
      <x:c r="P241" s="41">
        <x:f>(IF(G241&gt;0,G241+I241,I241)-(O241*Ventas!AE226*1.0044))</x:f>
      </x:c>
      <x:c r="Q241" s="43">
        <x:f>(P241/(Ventas!AE226*1.0044)/60)</x:f>
      </x:c>
      <x:c r="R241" s="25">
        <x:v>0</x:v>
      </x:c>
      <x:c r="S241" s="41">
        <x:f>IF(P241&gt;0,P241+R241,R241)</x:f>
      </x:c>
      <x:c r="T241" s="9"/>
      <x:c r="U241" s="41">
        <x:v>20</x:v>
      </x:c>
      <x:c r="V241" s="45">
        <x:v>0.00405</x:v>
      </x:c>
      <x:c r="W241" s="39">
        <x:v>46331</x:v>
      </x:c>
      <x:c r="X241" s="40">
        <x:v>56</x:v>
      </x:c>
      <x:c r="Y241" s="41">
        <x:f>(IF(P241&gt;0,P241+R241,R241)-(X241*Ventas!AE226*0.9018))</x:f>
      </x:c>
      <x:c r="Z241" s="43">
        <x:f>(Y241/(Ventas!AE226*0.9018)/60)</x:f>
      </x:c>
      <x:c r="AA241" s="41">
        <x:f>(100*(Ventas!AE226*1.2350) - IF(Y241&gt;0,Y241,0))</x:f>
      </x:c>
      <x:c r="AB241" s="41">
        <x:f>IF(AA241&gt;0,AA241,0)</x:f>
      </x:c>
      <x:c r="AC241" s="41">
        <x:f>IF(Y241&gt;0,Y241+IF(AB241&gt;0,AB241,0),AB241)</x:f>
      </x:c>
      <x:c r="AD241" s="46">
        <x:v>11.856</x:v>
      </x:c>
      <x:c r="AE241" s="25">
        <x:v>3027</x:v>
      </x:c>
      <x:c r="AF241" s="41">
        <x:f>(AC241-(60*Ventas!AE226*1.2350))</x:f>
      </x:c>
      <x:c r="AG241" s="43">
        <x:f>(AF241/(Ventas!AE226*1.2350)/60)</x:f>
      </x:c>
      <x:c r="AH241" s="7" t="s">
        <x:v>34</x:v>
      </x:c>
    </x:row>
    <x:row r="242">
      <x:c r="A242" s="7"/>
      <x:c r="B242" s="7" t="s">
        <x:v>481</x:v>
      </x:c>
      <x:c r="C242" s="38" t="s">
        <x:v>480</x:v>
      </x:c>
      <x:c r="D242" s="9"/>
      <x:c r="E242" s="39">
        <x:v>46230</x:v>
      </x:c>
      <x:c r="F242" s="40">
        <x:v>5</x:v>
      </x:c>
      <x:c r="G242" s="41">
        <x:f>(D242-(0)+0-(F242*Ventas!AE227*1.8000))</x:f>
      </x:c>
      <x:c r="H242" s="43">
        <x:f>(G242/(Ventas!AE227*1.8000)/60)</x:f>
      </x:c>
      <x:c r="I242" s="25">
        <x:v>0</x:v>
      </x:c>
      <x:c r="J242" s="41">
        <x:f>IF(G242&gt;0,G242+I242,I242)</x:f>
      </x:c>
      <x:c r="K242" s="9"/>
      <x:c r="L242" s="41">
        <x:v>20</x:v>
      </x:c>
      <x:c r="M242" s="45">
        <x:v>0.00345</x:v>
      </x:c>
      <x:c r="N242" s="39">
        <x:v>46275</x:v>
      </x:c>
      <x:c r="O242" s="40">
        <x:v>45</x:v>
      </x:c>
      <x:c r="P242" s="41">
        <x:f>(IF(G242&gt;0,G242+I242,I242)-(O242*Ventas!AE227*1.0044))</x:f>
      </x:c>
      <x:c r="Q242" s="43">
        <x:f>(P242/(Ventas!AE227*1.0044)/60)</x:f>
      </x:c>
      <x:c r="R242" s="25">
        <x:v>0</x:v>
      </x:c>
      <x:c r="S242" s="41">
        <x:f>IF(P242&gt;0,P242+R242,R242)</x:f>
      </x:c>
      <x:c r="T242" s="9"/>
      <x:c r="U242" s="41">
        <x:v>20</x:v>
      </x:c>
      <x:c r="V242" s="45">
        <x:v>0.00345</x:v>
      </x:c>
      <x:c r="W242" s="39">
        <x:v>46331</x:v>
      </x:c>
      <x:c r="X242" s="40">
        <x:v>56</x:v>
      </x:c>
      <x:c r="Y242" s="41">
        <x:f>(IF(P242&gt;0,P242+R242,R242)-(X242*Ventas!AE227*0.9018))</x:f>
      </x:c>
      <x:c r="Z242" s="43">
        <x:f>(Y242/(Ventas!AE227*0.9018)/60)</x:f>
      </x:c>
      <x:c r="AA242" s="41">
        <x:f>(100*(Ventas!AE227*1.2350) - IF(Y242&gt;0,Y242,0))</x:f>
      </x:c>
      <x:c r="AB242" s="41">
        <x:f>IF(AA242&gt;0,AA242,0)</x:f>
      </x:c>
      <x:c r="AC242" s="41">
        <x:f>IF(Y242&gt;0,Y242+IF(AB242&gt;0,AB242,0),AB242)</x:f>
      </x:c>
      <x:c r="AD242" s="46">
        <x:v>3.038</x:v>
      </x:c>
      <x:c r="AE242" s="25">
        <x:v>3010</x:v>
      </x:c>
      <x:c r="AF242" s="41">
        <x:f>(AC242-(60*Ventas!AE227*1.2350))</x:f>
      </x:c>
      <x:c r="AG242" s="43">
        <x:f>(AF242/(Ventas!AE227*1.2350)/60)</x:f>
      </x:c>
      <x:c r="AH242" s="7" t="s">
        <x:v>34</x:v>
      </x:c>
    </x:row>
    <x:row r="243">
      <x:c r="A243" s="7"/>
      <x:c r="B243" s="7" t="s">
        <x:v>157</x:v>
      </x:c>
      <x:c r="C243" s="38" t="s">
        <x:v>482</x:v>
      </x:c>
      <x:c r="D243" s="9"/>
      <x:c r="E243" s="39">
        <x:v>46230</x:v>
      </x:c>
      <x:c r="F243" s="40">
        <x:v>5</x:v>
      </x:c>
      <x:c r="G243" s="41">
        <x:f>(D243-(0)+0-(F243*Ventas!AE228*1.8000))</x:f>
      </x:c>
      <x:c r="H243" s="9"/>
      <x:c r="I243" s="25">
        <x:v>0</x:v>
      </x:c>
      <x:c r="J243" s="41">
        <x:f>IF(G243&gt;0,G243+I243,I243)</x:f>
      </x:c>
      <x:c r="K243" s="9"/>
      <x:c r="L243" s="41">
        <x:v>20</x:v>
      </x:c>
      <x:c r="M243" s="45">
        <x:v>0.039</x:v>
      </x:c>
      <x:c r="N243" s="39">
        <x:v>46275</x:v>
      </x:c>
      <x:c r="O243" s="40">
        <x:v>45</x:v>
      </x:c>
      <x:c r="P243" s="41">
        <x:f>(IF(G243&gt;0,G243+I243,I243)-(O243*Ventas!AE228*1.0044))</x:f>
      </x:c>
      <x:c r="Q243" s="9"/>
      <x:c r="R243" s="25">
        <x:v>0</x:v>
      </x:c>
      <x:c r="S243" s="41">
        <x:f>IF(P243&gt;0,P243+R243,R243)</x:f>
      </x:c>
      <x:c r="T243" s="9"/>
      <x:c r="U243" s="41">
        <x:v>20</x:v>
      </x:c>
      <x:c r="V243" s="45">
        <x:v>0.039</x:v>
      </x:c>
      <x:c r="W243" s="39">
        <x:v>46331</x:v>
      </x:c>
      <x:c r="X243" s="40">
        <x:v>56</x:v>
      </x:c>
      <x:c r="Y243" s="41">
        <x:f>(IF(P243&gt;0,P243+R243,R243)-(X243*Ventas!AE228*0.9018))</x:f>
      </x:c>
      <x:c r="Z243" s="9"/>
      <x:c r="AA243" s="41">
        <x:f>(100*(Ventas!AE228*1.2350) - IF(Y243&gt;0,Y243,0))</x:f>
      </x:c>
      <x:c r="AB243" s="41">
        <x:f>IF(AA243&gt;0,AA243,0)</x:f>
      </x:c>
      <x:c r="AC243" s="41">
        <x:f>IF(Y243&gt;0,Y243+IF(AB243&gt;0,AB243,0),AB243)</x:f>
      </x:c>
      <x:c r="AD243" s="9"/>
      <x:c r="AE243" s="9"/>
      <x:c r="AF243" s="9"/>
      <x:c r="AG243" s="9"/>
      <x:c r="AH243" s="7" t="s">
        <x:v>34</x:v>
      </x:c>
    </x:row>
    <x:row r="244">
      <x:c r="A244" s="7"/>
      <x:c r="B244" s="7" t="s">
        <x:v>484</x:v>
      </x:c>
      <x:c r="C244" s="38" t="s">
        <x:v>483</x:v>
      </x:c>
      <x:c r="D244" s="25">
        <x:v>138</x:v>
      </x:c>
      <x:c r="E244" s="39">
        <x:v>46230</x:v>
      </x:c>
      <x:c r="F244" s="40">
        <x:v>5</x:v>
      </x:c>
      <x:c r="G244" s="41">
        <x:f>(D244-(0)+0-(F244*Ventas!AE229*1.8000))</x:f>
      </x:c>
      <x:c r="H244" s="43">
        <x:f>(G244/(Ventas!AE229*1.8000)/60)</x:f>
      </x:c>
      <x:c r="I244" s="25">
        <x:v>0</x:v>
      </x:c>
      <x:c r="J244" s="41">
        <x:f>IF(G244&gt;0,G244+I244,I244)</x:f>
      </x:c>
      <x:c r="K244" s="9"/>
      <x:c r="L244" s="41">
        <x:v>20</x:v>
      </x:c>
      <x:c r="M244" s="45">
        <x:v>0.00135</x:v>
      </x:c>
      <x:c r="N244" s="39">
        <x:v>46275</x:v>
      </x:c>
      <x:c r="O244" s="40">
        <x:v>45</x:v>
      </x:c>
      <x:c r="P244" s="41">
        <x:f>(IF(G244&gt;0,G244+I244,I244)-(O244*Ventas!AE229*1.0044))</x:f>
      </x:c>
      <x:c r="Q244" s="43">
        <x:f>(P244/(Ventas!AE229*1.0044)/60)</x:f>
      </x:c>
      <x:c r="R244" s="25">
        <x:v>0</x:v>
      </x:c>
      <x:c r="S244" s="41">
        <x:f>IF(P244&gt;0,P244+R244,R244)</x:f>
      </x:c>
      <x:c r="T244" s="9"/>
      <x:c r="U244" s="41">
        <x:v>20</x:v>
      </x:c>
      <x:c r="V244" s="45">
        <x:v>0.00135</x:v>
      </x:c>
      <x:c r="W244" s="39">
        <x:v>46331</x:v>
      </x:c>
      <x:c r="X244" s="40">
        <x:v>56</x:v>
      </x:c>
      <x:c r="Y244" s="41">
        <x:f>(IF(P244&gt;0,P244+R244,R244)-(X244*Ventas!AE229*0.9018))</x:f>
      </x:c>
      <x:c r="Z244" s="43">
        <x:f>(Y244/(Ventas!AE229*0.9018)/60)</x:f>
      </x:c>
      <x:c r="AA244" s="41">
        <x:f>(100*(Ventas!AE229*1.2350) - IF(Y244&gt;0,Y244,0))</x:f>
      </x:c>
      <x:c r="AB244" s="41">
        <x:f>IF(AA244&gt;0,AA244,0)</x:f>
      </x:c>
      <x:c r="AC244" s="41">
        <x:f>IF(Y244&gt;0,Y244+IF(AB244&gt;0,AB244,0),AB244)</x:f>
      </x:c>
      <x:c r="AD244" s="46">
        <x:v>11.074</x:v>
      </x:c>
      <x:c r="AE244" s="25">
        <x:v>3027</x:v>
      </x:c>
      <x:c r="AF244" s="41">
        <x:f>(AC244-(60*Ventas!AE229*1.2350))</x:f>
      </x:c>
      <x:c r="AG244" s="43">
        <x:f>(AF244/(Ventas!AE229*1.2350)/60)</x:f>
      </x:c>
      <x:c r="AH244" s="7" t="s">
        <x:v>34</x:v>
      </x:c>
    </x:row>
    <x:row r="245">
      <x:c r="A245" s="7"/>
      <x:c r="B245" s="7" t="s">
        <x:v>486</x:v>
      </x:c>
      <x:c r="C245" s="38" t="s">
        <x:v>485</x:v>
      </x:c>
      <x:c r="D245" s="25">
        <x:v>129</x:v>
      </x:c>
      <x:c r="E245" s="39">
        <x:v>46230</x:v>
      </x:c>
      <x:c r="F245" s="40">
        <x:v>5</x:v>
      </x:c>
      <x:c r="G245" s="41">
        <x:f>(D245-(0)+0-(F245*Ventas!AE230*1.8000))</x:f>
      </x:c>
      <x:c r="H245" s="43">
        <x:f>(G245/(Ventas!AE230*1.8000)/60)</x:f>
      </x:c>
      <x:c r="I245" s="25">
        <x:v>0</x:v>
      </x:c>
      <x:c r="J245" s="41">
        <x:f>IF(G245&gt;0,G245+I245,I245)</x:f>
      </x:c>
      <x:c r="K245" s="9"/>
      <x:c r="L245" s="41">
        <x:v>15</x:v>
      </x:c>
      <x:c r="M245" s="45">
        <x:v>0.003333</x:v>
      </x:c>
      <x:c r="N245" s="39">
        <x:v>46275</x:v>
      </x:c>
      <x:c r="O245" s="40">
        <x:v>45</x:v>
      </x:c>
      <x:c r="P245" s="41">
        <x:f>(IF(G245&gt;0,G245+I245,I245)-(O245*Ventas!AE230*1.0044))</x:f>
      </x:c>
      <x:c r="Q245" s="43">
        <x:f>(P245/(Ventas!AE230*1.0044)/60)</x:f>
      </x:c>
      <x:c r="R245" s="25">
        <x:v>15</x:v>
      </x:c>
      <x:c r="S245" s="41">
        <x:f>IF(P245&gt;0,P245+R245,R245)</x:f>
      </x:c>
      <x:c r="T245" s="41">
        <x:v>6.1</x:v>
      </x:c>
      <x:c r="U245" s="41">
        <x:v>15</x:v>
      </x:c>
      <x:c r="V245" s="45">
        <x:v>0.003333</x:v>
      </x:c>
      <x:c r="W245" s="39">
        <x:v>46331</x:v>
      </x:c>
      <x:c r="X245" s="40">
        <x:v>56</x:v>
      </x:c>
      <x:c r="Y245" s="41">
        <x:f>(IF(P245&gt;0,P245+R245,R245)-(X245*Ventas!AE230*0.9018))</x:f>
      </x:c>
      <x:c r="Z245" s="43">
        <x:f>(Y245/(Ventas!AE230*0.9018)/60)</x:f>
      </x:c>
      <x:c r="AA245" s="41">
        <x:f>(100*(Ventas!AE230*1.2350) - IF(Y245&gt;0,Y245,0))</x:f>
      </x:c>
      <x:c r="AB245" s="41">
        <x:f>IF(AA245&gt;0,AA245,0)</x:f>
      </x:c>
      <x:c r="AC245" s="41">
        <x:f>IF(Y245&gt;0,Y245+IF(AB245&gt;0,AB245,0),AB245)</x:f>
      </x:c>
      <x:c r="AD245" s="46">
        <x:v>5.978</x:v>
      </x:c>
      <x:c r="AE245" s="25">
        <x:v>3027</x:v>
      </x:c>
      <x:c r="AF245" s="41">
        <x:f>(AC245-(60*Ventas!AE230*1.2350))</x:f>
      </x:c>
      <x:c r="AG245" s="43">
        <x:f>(AF245/(Ventas!AE230*1.2350)/60)</x:f>
      </x:c>
      <x:c r="AH245" s="7" t="s">
        <x:v>34</x:v>
      </x:c>
    </x:row>
    <x:row r="246">
      <x:c r="A246" s="7"/>
      <x:c r="B246" s="7" t="s">
        <x:v>488</x:v>
      </x:c>
      <x:c r="C246" s="38" t="s">
        <x:v>487</x:v>
      </x:c>
      <x:c r="D246" s="25">
        <x:v>41</x:v>
      </x:c>
      <x:c r="E246" s="39">
        <x:v>46230</x:v>
      </x:c>
      <x:c r="F246" s="40">
        <x:v>5</x:v>
      </x:c>
      <x:c r="G246" s="41">
        <x:f>(D246-(0)+0-(F246*Ventas!AE231*1.8000))</x:f>
      </x:c>
      <x:c r="H246" s="43">
        <x:f>(G246/(Ventas!AE231*1.8000)/60)</x:f>
      </x:c>
      <x:c r="I246" s="25">
        <x:v>80</x:v>
      </x:c>
      <x:c r="J246" s="41">
        <x:f>IF(G246&gt;0,G246+I246,I246)</x:f>
      </x:c>
      <x:c r="K246" s="41">
        <x:v>17.576</x:v>
      </x:c>
      <x:c r="L246" s="41">
        <x:v>20</x:v>
      </x:c>
      <x:c r="M246" s="45">
        <x:v>0.0022</x:v>
      </x:c>
      <x:c r="N246" s="39">
        <x:v>46275</x:v>
      </x:c>
      <x:c r="O246" s="40">
        <x:v>45</x:v>
      </x:c>
      <x:c r="P246" s="41">
        <x:f>(IF(G246&gt;0,G246+I246,I246)-(O246*Ventas!AE231*1.0044))</x:f>
      </x:c>
      <x:c r="Q246" s="43">
        <x:f>(P246/(Ventas!AE231*1.0044)/60)</x:f>
      </x:c>
      <x:c r="R246" s="25">
        <x:v>0</x:v>
      </x:c>
      <x:c r="S246" s="41">
        <x:f>IF(P246&gt;0,P246+R246,R246)</x:f>
      </x:c>
      <x:c r="T246" s="9"/>
      <x:c r="U246" s="41">
        <x:v>20</x:v>
      </x:c>
      <x:c r="V246" s="45">
        <x:v>0.0022</x:v>
      </x:c>
      <x:c r="W246" s="39">
        <x:v>46331</x:v>
      </x:c>
      <x:c r="X246" s="40">
        <x:v>56</x:v>
      </x:c>
      <x:c r="Y246" s="41">
        <x:f>(IF(P246&gt;0,P246+R246,R246)-(X246*Ventas!AE231*0.9018))</x:f>
      </x:c>
      <x:c r="Z246" s="43">
        <x:f>(Y246/(Ventas!AE231*0.9018)/60)</x:f>
      </x:c>
      <x:c r="AA246" s="41">
        <x:f>(100*(Ventas!AE231*1.2350) - IF(Y246&gt;0,Y246,0))</x:f>
      </x:c>
      <x:c r="AB246" s="41">
        <x:f>IF(AA246&gt;0,AA246,0)</x:f>
      </x:c>
      <x:c r="AC246" s="41">
        <x:f>IF(Y246&gt;0,Y246+IF(AB246&gt;0,AB246,0),AB246)</x:f>
      </x:c>
      <x:c r="AD246" s="46">
        <x:v>17.576</x:v>
      </x:c>
      <x:c r="AE246" s="25">
        <x:v>3027</x:v>
      </x:c>
      <x:c r="AF246" s="41">
        <x:f>(AC246-(60*Ventas!AE231*1.2350))</x:f>
      </x:c>
      <x:c r="AG246" s="43">
        <x:f>(AF246/(Ventas!AE231*1.2350)/60)</x:f>
      </x:c>
      <x:c r="AH246" s="7" t="s">
        <x:v>34</x:v>
      </x:c>
    </x:row>
    <x:row r="247">
      <x:c r="A247" s="7"/>
      <x:c r="B247" s="7" t="s">
        <x:v>490</x:v>
      </x:c>
      <x:c r="C247" s="38" t="s">
        <x:v>489</x:v>
      </x:c>
      <x:c r="D247" s="9"/>
      <x:c r="E247" s="39">
        <x:v>46230</x:v>
      </x:c>
      <x:c r="F247" s="40">
        <x:v>5</x:v>
      </x:c>
      <x:c r="G247" s="41">
        <x:f>(D247-(0)+0-(F247*Ventas!AE232*1.8000))</x:f>
      </x:c>
      <x:c r="H247" s="9"/>
      <x:c r="I247" s="25">
        <x:v>0</x:v>
      </x:c>
      <x:c r="J247" s="41">
        <x:f>IF(G247&gt;0,G247+I247,I247)</x:f>
      </x:c>
      <x:c r="K247" s="9"/>
      <x:c r="L247" s="41">
        <x:v>10</x:v>
      </x:c>
      <x:c r="M247" s="45">
        <x:v>0.0037</x:v>
      </x:c>
      <x:c r="N247" s="39">
        <x:v>46275</x:v>
      </x:c>
      <x:c r="O247" s="40">
        <x:v>45</x:v>
      </x:c>
      <x:c r="P247" s="41">
        <x:f>(IF(G247&gt;0,G247+I247,I247)-(O247*Ventas!AE232*1.0044))</x:f>
      </x:c>
      <x:c r="Q247" s="9"/>
      <x:c r="R247" s="25">
        <x:v>0</x:v>
      </x:c>
      <x:c r="S247" s="41">
        <x:f>IF(P247&gt;0,P247+R247,R247)</x:f>
      </x:c>
      <x:c r="T247" s="9"/>
      <x:c r="U247" s="41">
        <x:v>10</x:v>
      </x:c>
      <x:c r="V247" s="45">
        <x:v>0.0037</x:v>
      </x:c>
      <x:c r="W247" s="39">
        <x:v>46331</x:v>
      </x:c>
      <x:c r="X247" s="40">
        <x:v>56</x:v>
      </x:c>
      <x:c r="Y247" s="41">
        <x:f>(IF(P247&gt;0,P247+R247,R247)-(X247*Ventas!AE232*0.9018))</x:f>
      </x:c>
      <x:c r="Z247" s="9"/>
      <x:c r="AA247" s="41">
        <x:f>(100*(Ventas!AE232*1.2350) - IF(Y247&gt;0,Y247,0))</x:f>
      </x:c>
      <x:c r="AB247" s="41">
        <x:f>IF(AA247&gt;0,AA247,0)</x:f>
      </x:c>
      <x:c r="AC247" s="41">
        <x:f>IF(Y247&gt;0,Y247+IF(AB247&gt;0,AB247,0),AB247)</x:f>
      </x:c>
      <x:c r="AD247" s="46">
        <x:v>20.7</x:v>
      </x:c>
      <x:c r="AE247" s="25">
        <x:v>3027</x:v>
      </x:c>
      <x:c r="AF247" s="9"/>
      <x:c r="AG247" s="9"/>
      <x:c r="AH247" s="7" t="s">
        <x:v>34</x:v>
      </x:c>
    </x:row>
    <x:row r="248">
      <x:c r="A248" s="7"/>
      <x:c r="B248" s="7" t="s">
        <x:v>492</x:v>
      </x:c>
      <x:c r="C248" s="38" t="s">
        <x:v>491</x:v>
      </x:c>
      <x:c r="D248" s="9"/>
      <x:c r="E248" s="39">
        <x:v>46230</x:v>
      </x:c>
      <x:c r="F248" s="40">
        <x:v>5</x:v>
      </x:c>
      <x:c r="G248" s="41">
        <x:f>(D248-(0)+0-(F248*Ventas!AE233*1.8000))</x:f>
      </x:c>
      <x:c r="H248" s="9"/>
      <x:c r="I248" s="25">
        <x:v>0</x:v>
      </x:c>
      <x:c r="J248" s="41">
        <x:f>IF(G248&gt;0,G248+I248,I248)</x:f>
      </x:c>
      <x:c r="K248" s="9"/>
      <x:c r="L248" s="41">
        <x:v>10</x:v>
      </x:c>
      <x:c r="M248" s="45">
        <x:v>0.0037</x:v>
      </x:c>
      <x:c r="N248" s="39">
        <x:v>46275</x:v>
      </x:c>
      <x:c r="O248" s="40">
        <x:v>45</x:v>
      </x:c>
      <x:c r="P248" s="41">
        <x:f>(IF(G248&gt;0,G248+I248,I248)-(O248*Ventas!AE233*1.0044))</x:f>
      </x:c>
      <x:c r="Q248" s="9"/>
      <x:c r="R248" s="25">
        <x:v>0</x:v>
      </x:c>
      <x:c r="S248" s="41">
        <x:f>IF(P248&gt;0,P248+R248,R248)</x:f>
      </x:c>
      <x:c r="T248" s="9"/>
      <x:c r="U248" s="41">
        <x:v>10</x:v>
      </x:c>
      <x:c r="V248" s="45">
        <x:v>0.0037</x:v>
      </x:c>
      <x:c r="W248" s="39">
        <x:v>46331</x:v>
      </x:c>
      <x:c r="X248" s="40">
        <x:v>56</x:v>
      </x:c>
      <x:c r="Y248" s="41">
        <x:f>(IF(P248&gt;0,P248+R248,R248)-(X248*Ventas!AE233*0.9018))</x:f>
      </x:c>
      <x:c r="Z248" s="9"/>
      <x:c r="AA248" s="41">
        <x:f>(100*(Ventas!AE233*1.2350) - IF(Y248&gt;0,Y248,0))</x:f>
      </x:c>
      <x:c r="AB248" s="41">
        <x:f>IF(AA248&gt;0,AA248,0)</x:f>
      </x:c>
      <x:c r="AC248" s="41">
        <x:f>IF(Y248&gt;0,Y248+IF(AB248&gt;0,AB248,0),AB248)</x:f>
      </x:c>
      <x:c r="AD248" s="46">
        <x:v>20.7</x:v>
      </x:c>
      <x:c r="AE248" s="25">
        <x:v>3027</x:v>
      </x:c>
      <x:c r="AF248" s="9"/>
      <x:c r="AG248" s="9"/>
      <x:c r="AH248" s="7" t="s">
        <x:v>34</x:v>
      </x:c>
    </x:row>
    <x:row r="249">
      <x:c r="A249" s="7"/>
      <x:c r="B249" s="7" t="s">
        <x:v>494</x:v>
      </x:c>
      <x:c r="C249" s="38" t="s">
        <x:v>493</x:v>
      </x:c>
      <x:c r="D249" s="9"/>
      <x:c r="E249" s="39">
        <x:v>46230</x:v>
      </x:c>
      <x:c r="F249" s="40">
        <x:v>5</x:v>
      </x:c>
      <x:c r="G249" s="41">
        <x:f>(D249-(0)+0-(F249*Ventas!AE234*1.8000))</x:f>
      </x:c>
      <x:c r="H249" s="9"/>
      <x:c r="I249" s="25">
        <x:v>0</x:v>
      </x:c>
      <x:c r="J249" s="41">
        <x:f>IF(G249&gt;0,G249+I249,I249)</x:f>
      </x:c>
      <x:c r="K249" s="9"/>
      <x:c r="L249" s="41">
        <x:v>15</x:v>
      </x:c>
      <x:c r="M249" s="45">
        <x:v>0.003333</x:v>
      </x:c>
      <x:c r="N249" s="39">
        <x:v>46275</x:v>
      </x:c>
      <x:c r="O249" s="40">
        <x:v>45</x:v>
      </x:c>
      <x:c r="P249" s="41">
        <x:f>(IF(G249&gt;0,G249+I249,I249)-(O249*Ventas!AE234*1.0044))</x:f>
      </x:c>
      <x:c r="Q249" s="9"/>
      <x:c r="R249" s="25">
        <x:v>0</x:v>
      </x:c>
      <x:c r="S249" s="41">
        <x:f>IF(P249&gt;0,P249+R249,R249)</x:f>
      </x:c>
      <x:c r="T249" s="9"/>
      <x:c r="U249" s="41">
        <x:v>15</x:v>
      </x:c>
      <x:c r="V249" s="45">
        <x:v>0.003333</x:v>
      </x:c>
      <x:c r="W249" s="39">
        <x:v>46331</x:v>
      </x:c>
      <x:c r="X249" s="40">
        <x:v>56</x:v>
      </x:c>
      <x:c r="Y249" s="41">
        <x:f>(IF(P249&gt;0,P249+R249,R249)-(X249*Ventas!AE234*0.9018))</x:f>
      </x:c>
      <x:c r="Z249" s="9"/>
      <x:c r="AA249" s="41">
        <x:f>(100*(Ventas!AE234*1.2350) - IF(Y249&gt;0,Y249,0))</x:f>
      </x:c>
      <x:c r="AB249" s="41">
        <x:f>IF(AA249&gt;0,AA249,0)</x:f>
      </x:c>
      <x:c r="AC249" s="41">
        <x:f>IF(Y249&gt;0,Y249+IF(AB249&gt;0,AB249,0),AB249)</x:f>
      </x:c>
      <x:c r="AD249" s="46">
        <x:v>6.1</x:v>
      </x:c>
      <x:c r="AE249" s="25">
        <x:v>3027</x:v>
      </x:c>
      <x:c r="AF249" s="9"/>
      <x:c r="AG249" s="9"/>
      <x:c r="AH249" s="7" t="s">
        <x:v>34</x:v>
      </x:c>
    </x:row>
    <x:row r="250">
      <x:c r="A250" s="7"/>
      <x:c r="B250" s="7" t="s">
        <x:v>496</x:v>
      </x:c>
      <x:c r="C250" s="38" t="s">
        <x:v>495</x:v>
      </x:c>
      <x:c r="D250" s="9"/>
      <x:c r="E250" s="39">
        <x:v>46230</x:v>
      </x:c>
      <x:c r="F250" s="40">
        <x:v>5</x:v>
      </x:c>
      <x:c r="G250" s="41">
        <x:f>(D250-(0)+0-(F250*Ventas!AE235*1.8000))</x:f>
      </x:c>
      <x:c r="H250" s="9"/>
      <x:c r="I250" s="25">
        <x:v>0</x:v>
      </x:c>
      <x:c r="J250" s="41">
        <x:f>IF(G250&gt;0,G250+I250,I250)</x:f>
      </x:c>
      <x:c r="K250" s="9"/>
      <x:c r="L250" s="41">
        <x:v>15</x:v>
      </x:c>
      <x:c r="M250" s="45">
        <x:v>0.003333</x:v>
      </x:c>
      <x:c r="N250" s="39">
        <x:v>46275</x:v>
      </x:c>
      <x:c r="O250" s="40">
        <x:v>45</x:v>
      </x:c>
      <x:c r="P250" s="41">
        <x:f>(IF(G250&gt;0,G250+I250,I250)-(O250*Ventas!AE235*1.0044))</x:f>
      </x:c>
      <x:c r="Q250" s="9"/>
      <x:c r="R250" s="25">
        <x:v>0</x:v>
      </x:c>
      <x:c r="S250" s="41">
        <x:f>IF(P250&gt;0,P250+R250,R250)</x:f>
      </x:c>
      <x:c r="T250" s="9"/>
      <x:c r="U250" s="41">
        <x:v>15</x:v>
      </x:c>
      <x:c r="V250" s="45">
        <x:v>0.003333</x:v>
      </x:c>
      <x:c r="W250" s="39">
        <x:v>46331</x:v>
      </x:c>
      <x:c r="X250" s="40">
        <x:v>56</x:v>
      </x:c>
      <x:c r="Y250" s="41">
        <x:f>(IF(P250&gt;0,P250+R250,R250)-(X250*Ventas!AE235*0.9018))</x:f>
      </x:c>
      <x:c r="Z250" s="9"/>
      <x:c r="AA250" s="41">
        <x:f>(100*(Ventas!AE235*1.2350) - IF(Y250&gt;0,Y250,0))</x:f>
      </x:c>
      <x:c r="AB250" s="41">
        <x:f>IF(AA250&gt;0,AA250,0)</x:f>
      </x:c>
      <x:c r="AC250" s="41">
        <x:f>IF(Y250&gt;0,Y250+IF(AB250&gt;0,AB250,0),AB250)</x:f>
      </x:c>
      <x:c r="AD250" s="46">
        <x:v>6.1</x:v>
      </x:c>
      <x:c r="AE250" s="25">
        <x:v>3027</x:v>
      </x:c>
      <x:c r="AF250" s="9"/>
      <x:c r="AG250" s="9"/>
      <x:c r="AH250" s="7" t="s">
        <x:v>34</x:v>
      </x:c>
    </x:row>
    <x:row r="251">
      <x:c r="A251" s="7"/>
      <x:c r="B251" s="7" t="s">
        <x:v>498</x:v>
      </x:c>
      <x:c r="C251" s="38" t="s">
        <x:v>497</x:v>
      </x:c>
      <x:c r="D251" s="9"/>
      <x:c r="E251" s="39">
        <x:v>46230</x:v>
      </x:c>
      <x:c r="F251" s="40">
        <x:v>5</x:v>
      </x:c>
      <x:c r="G251" s="41">
        <x:f>(D251-(0)+0-(F251*Ventas!AE236*1.8000))</x:f>
      </x:c>
      <x:c r="H251" s="9"/>
      <x:c r="I251" s="25">
        <x:v>0</x:v>
      </x:c>
      <x:c r="J251" s="41">
        <x:f>IF(G251&gt;0,G251+I251,I251)</x:f>
      </x:c>
      <x:c r="K251" s="9"/>
      <x:c r="L251" s="41">
        <x:v>15</x:v>
      </x:c>
      <x:c r="M251" s="45">
        <x:v>0.003333</x:v>
      </x:c>
      <x:c r="N251" s="39">
        <x:v>46275</x:v>
      </x:c>
      <x:c r="O251" s="40">
        <x:v>45</x:v>
      </x:c>
      <x:c r="P251" s="41">
        <x:f>(IF(G251&gt;0,G251+I251,I251)-(O251*Ventas!AE236*1.0044))</x:f>
      </x:c>
      <x:c r="Q251" s="9"/>
      <x:c r="R251" s="25">
        <x:v>0</x:v>
      </x:c>
      <x:c r="S251" s="41">
        <x:f>IF(P251&gt;0,P251+R251,R251)</x:f>
      </x:c>
      <x:c r="T251" s="9"/>
      <x:c r="U251" s="41">
        <x:v>15</x:v>
      </x:c>
      <x:c r="V251" s="45">
        <x:v>0.003333</x:v>
      </x:c>
      <x:c r="W251" s="39">
        <x:v>46331</x:v>
      </x:c>
      <x:c r="X251" s="40">
        <x:v>56</x:v>
      </x:c>
      <x:c r="Y251" s="41">
        <x:f>(IF(P251&gt;0,P251+R251,R251)-(X251*Ventas!AE236*0.9018))</x:f>
      </x:c>
      <x:c r="Z251" s="9"/>
      <x:c r="AA251" s="41">
        <x:f>(100*(Ventas!AE236*1.2350) - IF(Y251&gt;0,Y251,0))</x:f>
      </x:c>
      <x:c r="AB251" s="41">
        <x:f>IF(AA251&gt;0,AA251,0)</x:f>
      </x:c>
      <x:c r="AC251" s="41">
        <x:f>IF(Y251&gt;0,Y251+IF(AB251&gt;0,AB251,0),AB251)</x:f>
      </x:c>
      <x:c r="AD251" s="46">
        <x:v>6.1</x:v>
      </x:c>
      <x:c r="AE251" s="25">
        <x:v>3027</x:v>
      </x:c>
      <x:c r="AF251" s="9"/>
      <x:c r="AG251" s="9"/>
      <x:c r="AH251" s="7" t="s">
        <x:v>34</x:v>
      </x:c>
    </x:row>
    <x:row r="252">
      <x:c r="A252" s="7"/>
      <x:c r="B252" s="7" t="s">
        <x:v>500</x:v>
      </x:c>
      <x:c r="C252" s="38" t="s">
        <x:v>499</x:v>
      </x:c>
      <x:c r="D252" s="9"/>
      <x:c r="E252" s="39">
        <x:v>46230</x:v>
      </x:c>
      <x:c r="F252" s="40">
        <x:v>5</x:v>
      </x:c>
      <x:c r="G252" s="41">
        <x:f>(D252-(0)+0-(F252*Ventas!AE237*1.8000))</x:f>
      </x:c>
      <x:c r="H252" s="9"/>
      <x:c r="I252" s="25">
        <x:v>15</x:v>
      </x:c>
      <x:c r="J252" s="41">
        <x:f>IF(G252&gt;0,G252+I252,I252)</x:f>
      </x:c>
      <x:c r="K252" s="41">
        <x:v>6.136</x:v>
      </x:c>
      <x:c r="L252" s="41">
        <x:v>15</x:v>
      </x:c>
      <x:c r="M252" s="45">
        <x:v>0.003333</x:v>
      </x:c>
      <x:c r="N252" s="39">
        <x:v>46275</x:v>
      </x:c>
      <x:c r="O252" s="40">
        <x:v>45</x:v>
      </x:c>
      <x:c r="P252" s="41">
        <x:f>(IF(G252&gt;0,G252+I252,I252)-(O252*Ventas!AE237*1.0044))</x:f>
      </x:c>
      <x:c r="Q252" s="9"/>
      <x:c r="R252" s="25">
        <x:v>0</x:v>
      </x:c>
      <x:c r="S252" s="41">
        <x:f>IF(P252&gt;0,P252+R252,R252)</x:f>
      </x:c>
      <x:c r="T252" s="9"/>
      <x:c r="U252" s="41">
        <x:v>15</x:v>
      </x:c>
      <x:c r="V252" s="45">
        <x:v>0.003333</x:v>
      </x:c>
      <x:c r="W252" s="39">
        <x:v>46331</x:v>
      </x:c>
      <x:c r="X252" s="40">
        <x:v>56</x:v>
      </x:c>
      <x:c r="Y252" s="41">
        <x:f>(IF(P252&gt;0,P252+R252,R252)-(X252*Ventas!AE237*0.9018))</x:f>
      </x:c>
      <x:c r="Z252" s="9"/>
      <x:c r="AA252" s="41">
        <x:f>(100*(Ventas!AE237*1.2350) - IF(Y252&gt;0,Y252,0))</x:f>
      </x:c>
      <x:c r="AB252" s="41">
        <x:f>IF(AA252&gt;0,AA252,0)</x:f>
      </x:c>
      <x:c r="AC252" s="41">
        <x:f>IF(Y252&gt;0,Y252+IF(AB252&gt;0,AB252,0),AB252)</x:f>
      </x:c>
      <x:c r="AD252" s="46">
        <x:v>6.136</x:v>
      </x:c>
      <x:c r="AE252" s="25">
        <x:v>3027</x:v>
      </x:c>
      <x:c r="AF252" s="9"/>
      <x:c r="AG252" s="9"/>
      <x:c r="AH252" s="7" t="s">
        <x:v>34</x:v>
      </x:c>
    </x:row>
    <x:row r="253">
      <x:c r="A253" s="7"/>
      <x:c r="B253" s="7" t="s">
        <x:v>502</x:v>
      </x:c>
      <x:c r="C253" s="38" t="s">
        <x:v>501</x:v>
      </x:c>
      <x:c r="D253" s="9"/>
      <x:c r="E253" s="39">
        <x:v>46230</x:v>
      </x:c>
      <x:c r="F253" s="40">
        <x:v>5</x:v>
      </x:c>
      <x:c r="G253" s="41">
        <x:f>(D253-(0)+0-(F253*Ventas!AE238*1.8000))</x:f>
      </x:c>
      <x:c r="H253" s="9"/>
      <x:c r="I253" s="25">
        <x:v>60</x:v>
      </x:c>
      <x:c r="J253" s="41">
        <x:f>IF(G253&gt;0,G253+I253,I253)</x:f>
      </x:c>
      <x:c r="K253" s="41">
        <x:v>4.6</x:v>
      </x:c>
      <x:c r="L253" s="41">
        <x:v>30</x:v>
      </x:c>
      <x:c r="M253" s="45">
        <x:v>0.0022</x:v>
      </x:c>
      <x:c r="N253" s="39">
        <x:v>46275</x:v>
      </x:c>
      <x:c r="O253" s="40">
        <x:v>45</x:v>
      </x:c>
      <x:c r="P253" s="41">
        <x:f>(IF(G253&gt;0,G253+I253,I253)-(O253*Ventas!AE238*1.0044))</x:f>
      </x:c>
      <x:c r="Q253" s="9"/>
      <x:c r="R253" s="25">
        <x:v>0</x:v>
      </x:c>
      <x:c r="S253" s="41">
        <x:f>IF(P253&gt;0,P253+R253,R253)</x:f>
      </x:c>
      <x:c r="T253" s="9"/>
      <x:c r="U253" s="41">
        <x:v>30</x:v>
      </x:c>
      <x:c r="V253" s="45">
        <x:v>0.0022</x:v>
      </x:c>
      <x:c r="W253" s="39">
        <x:v>46331</x:v>
      </x:c>
      <x:c r="X253" s="40">
        <x:v>56</x:v>
      </x:c>
      <x:c r="Y253" s="41">
        <x:f>(IF(P253&gt;0,P253+R253,R253)-(X253*Ventas!AE238*0.9018))</x:f>
      </x:c>
      <x:c r="Z253" s="9"/>
      <x:c r="AA253" s="41">
        <x:f>(100*(Ventas!AE238*1.2350) - IF(Y253&gt;0,Y253,0))</x:f>
      </x:c>
      <x:c r="AB253" s="41">
        <x:f>IF(AA253&gt;0,AA253,0)</x:f>
      </x:c>
      <x:c r="AC253" s="41">
        <x:f>IF(Y253&gt;0,Y253+IF(AB253&gt;0,AB253,0),AB253)</x:f>
      </x:c>
      <x:c r="AD253" s="46">
        <x:v>4.6</x:v>
      </x:c>
      <x:c r="AE253" s="25">
        <x:v>3027</x:v>
      </x:c>
      <x:c r="AF253" s="9"/>
      <x:c r="AG253" s="9"/>
      <x:c r="AH253" s="7" t="s">
        <x:v>34</x:v>
      </x:c>
    </x:row>
    <x:row r="254">
      <x:c r="A254" s="7"/>
      <x:c r="B254" s="7" t="s">
        <x:v>504</x:v>
      </x:c>
      <x:c r="C254" s="38" t="s">
        <x:v>503</x:v>
      </x:c>
      <x:c r="D254" s="9"/>
      <x:c r="E254" s="39">
        <x:v>46230</x:v>
      </x:c>
      <x:c r="F254" s="40">
        <x:v>5</x:v>
      </x:c>
      <x:c r="G254" s="41">
        <x:f>(D254-(0)+0-(F254*Ventas!AE239*1.8000))</x:f>
      </x:c>
      <x:c r="H254" s="9"/>
      <x:c r="I254" s="25">
        <x:v>0</x:v>
      </x:c>
      <x:c r="J254" s="41">
        <x:f>IF(G254&gt;0,G254+I254,I254)</x:f>
      </x:c>
      <x:c r="K254" s="9"/>
      <x:c r="L254" s="41">
        <x:v>20</x:v>
      </x:c>
      <x:c r="M254" s="45">
        <x:v>0.0038</x:v>
      </x:c>
      <x:c r="N254" s="39">
        <x:v>46275</x:v>
      </x:c>
      <x:c r="O254" s="40">
        <x:v>45</x:v>
      </x:c>
      <x:c r="P254" s="41">
        <x:f>(IF(G254&gt;0,G254+I254,I254)-(O254*Ventas!AE239*1.0044))</x:f>
      </x:c>
      <x:c r="Q254" s="9"/>
      <x:c r="R254" s="25">
        <x:v>0</x:v>
      </x:c>
      <x:c r="S254" s="41">
        <x:f>IF(P254&gt;0,P254+R254,R254)</x:f>
      </x:c>
      <x:c r="T254" s="9"/>
      <x:c r="U254" s="41">
        <x:v>20</x:v>
      </x:c>
      <x:c r="V254" s="45">
        <x:v>0.0038</x:v>
      </x:c>
      <x:c r="W254" s="39">
        <x:v>46331</x:v>
      </x:c>
      <x:c r="X254" s="40">
        <x:v>56</x:v>
      </x:c>
      <x:c r="Y254" s="41">
        <x:f>(IF(P254&gt;0,P254+R254,R254)-(X254*Ventas!AE239*0.9018))</x:f>
      </x:c>
      <x:c r="Z254" s="9"/>
      <x:c r="AA254" s="41">
        <x:f>(100*(Ventas!AE239*1.2350) - IF(Y254&gt;0,Y254,0))</x:f>
      </x:c>
      <x:c r="AB254" s="41">
        <x:f>IF(AA254&gt;0,AA254,0)</x:f>
      </x:c>
      <x:c r="AC254" s="41">
        <x:f>IF(Y254&gt;0,Y254+IF(AB254&gt;0,AB254,0),AB254)</x:f>
      </x:c>
      <x:c r="AD254" s="46">
        <x:v>6.7</x:v>
      </x:c>
      <x:c r="AE254" s="25">
        <x:v>3027</x:v>
      </x:c>
      <x:c r="AF254" s="9"/>
      <x:c r="AG254" s="9"/>
      <x:c r="AH254" s="7" t="s">
        <x:v>34</x:v>
      </x:c>
    </x:row>
    <x:row r="255">
      <x:c r="A255" s="7"/>
      <x:c r="B255" s="7" t="s">
        <x:v>506</x:v>
      </x:c>
      <x:c r="C255" s="38" t="s">
        <x:v>505</x:v>
      </x:c>
      <x:c r="D255" s="9"/>
      <x:c r="E255" s="39">
        <x:v>46230</x:v>
      </x:c>
      <x:c r="F255" s="40">
        <x:v>5</x:v>
      </x:c>
      <x:c r="G255" s="41">
        <x:f>(D255-(0)+0-(F255*Ventas!AE240*1.8000))</x:f>
      </x:c>
      <x:c r="H255" s="9"/>
      <x:c r="I255" s="25">
        <x:v>40</x:v>
      </x:c>
      <x:c r="J255" s="41">
        <x:f>IF(G255&gt;0,G255+I255,I255)</x:f>
      </x:c>
      <x:c r="K255" s="41">
        <x:v>6.656</x:v>
      </x:c>
      <x:c r="L255" s="41">
        <x:v>20</x:v>
      </x:c>
      <x:c r="M255" s="45">
        <x:v>0.0027</x:v>
      </x:c>
      <x:c r="N255" s="39">
        <x:v>46275</x:v>
      </x:c>
      <x:c r="O255" s="40">
        <x:v>45</x:v>
      </x:c>
      <x:c r="P255" s="41">
        <x:f>(IF(G255&gt;0,G255+I255,I255)-(O255*Ventas!AE240*1.0044))</x:f>
      </x:c>
      <x:c r="Q255" s="9"/>
      <x:c r="R255" s="25">
        <x:v>0</x:v>
      </x:c>
      <x:c r="S255" s="41">
        <x:f>IF(P255&gt;0,P255+R255,R255)</x:f>
      </x:c>
      <x:c r="T255" s="9"/>
      <x:c r="U255" s="41">
        <x:v>20</x:v>
      </x:c>
      <x:c r="V255" s="45">
        <x:v>0.0027</x:v>
      </x:c>
      <x:c r="W255" s="39">
        <x:v>46331</x:v>
      </x:c>
      <x:c r="X255" s="40">
        <x:v>56</x:v>
      </x:c>
      <x:c r="Y255" s="41">
        <x:f>(IF(P255&gt;0,P255+R255,R255)-(X255*Ventas!AE240*0.9018))</x:f>
      </x:c>
      <x:c r="Z255" s="9"/>
      <x:c r="AA255" s="41">
        <x:f>(100*(Ventas!AE240*1.2350) - IF(Y255&gt;0,Y255,0))</x:f>
      </x:c>
      <x:c r="AB255" s="41">
        <x:f>IF(AA255&gt;0,AA255,0)</x:f>
      </x:c>
      <x:c r="AC255" s="41">
        <x:f>IF(Y255&gt;0,Y255+IF(AB255&gt;0,AB255,0),AB255)</x:f>
      </x:c>
      <x:c r="AD255" s="46">
        <x:v>6.656</x:v>
      </x:c>
      <x:c r="AE255" s="25">
        <x:v>3027</x:v>
      </x:c>
      <x:c r="AF255" s="9"/>
      <x:c r="AG255" s="9"/>
      <x:c r="AH255" s="7" t="s">
        <x:v>34</x:v>
      </x:c>
    </x:row>
    <x:row r="256">
      <x:c r="A256" s="7"/>
      <x:c r="B256" s="7" t="s">
        <x:v>508</x:v>
      </x:c>
      <x:c r="C256" s="38" t="s">
        <x:v>507</x:v>
      </x:c>
      <x:c r="D256" s="9"/>
      <x:c r="E256" s="39">
        <x:v>46230</x:v>
      </x:c>
      <x:c r="F256" s="40">
        <x:v>5</x:v>
      </x:c>
      <x:c r="G256" s="41">
        <x:f>(D256-(0)+0-(F256*Ventas!AE241*1.8000))</x:f>
      </x:c>
      <x:c r="H256" s="9"/>
      <x:c r="I256" s="25">
        <x:v>0</x:v>
      </x:c>
      <x:c r="J256" s="41">
        <x:f>IF(G256&gt;0,G256+I256,I256)</x:f>
      </x:c>
      <x:c r="K256" s="9"/>
      <x:c r="L256" s="41">
        <x:v>20</x:v>
      </x:c>
      <x:c r="M256" s="45">
        <x:v>0.00195</x:v>
      </x:c>
      <x:c r="N256" s="39">
        <x:v>46275</x:v>
      </x:c>
      <x:c r="O256" s="40">
        <x:v>45</x:v>
      </x:c>
      <x:c r="P256" s="41">
        <x:f>(IF(G256&gt;0,G256+I256,I256)-(O256*Ventas!AE241*1.0044))</x:f>
      </x:c>
      <x:c r="Q256" s="9"/>
      <x:c r="R256" s="25">
        <x:v>0</x:v>
      </x:c>
      <x:c r="S256" s="41">
        <x:f>IF(P256&gt;0,P256+R256,R256)</x:f>
      </x:c>
      <x:c r="T256" s="9"/>
      <x:c r="U256" s="41">
        <x:v>20</x:v>
      </x:c>
      <x:c r="V256" s="45">
        <x:v>0.00195</x:v>
      </x:c>
      <x:c r="W256" s="39">
        <x:v>46331</x:v>
      </x:c>
      <x:c r="X256" s="40">
        <x:v>56</x:v>
      </x:c>
      <x:c r="Y256" s="41">
        <x:f>(IF(P256&gt;0,P256+R256,R256)-(X256*Ventas!AE241*0.9018))</x:f>
      </x:c>
      <x:c r="Z256" s="9"/>
      <x:c r="AA256" s="41">
        <x:f>(100*(Ventas!AE241*1.2350) - IF(Y256&gt;0,Y256,0))</x:f>
      </x:c>
      <x:c r="AB256" s="41">
        <x:f>IF(AA256&gt;0,AA256,0)</x:f>
      </x:c>
      <x:c r="AC256" s="41">
        <x:f>IF(Y256&gt;0,Y256+IF(AB256&gt;0,AB256,0),AB256)</x:f>
      </x:c>
      <x:c r="AD256" s="46">
        <x:v>13.3</x:v>
      </x:c>
      <x:c r="AE256" s="25">
        <x:v>3027</x:v>
      </x:c>
      <x:c r="AF256" s="9"/>
      <x:c r="AG256" s="9"/>
      <x:c r="AH256" s="7" t="s">
        <x:v>34</x:v>
      </x:c>
    </x:row>
    <x:row r="257">
      <x:c r="A257" s="7"/>
      <x:c r="B257" s="7" t="s">
        <x:v>510</x:v>
      </x:c>
      <x:c r="C257" s="38" t="s">
        <x:v>509</x:v>
      </x:c>
      <x:c r="D257" s="9"/>
      <x:c r="E257" s="39">
        <x:v>46230</x:v>
      </x:c>
      <x:c r="F257" s="40">
        <x:v>5</x:v>
      </x:c>
      <x:c r="G257" s="41">
        <x:f>(D257-(0)+0-(F257*Ventas!AE242*1.8000))</x:f>
      </x:c>
      <x:c r="H257" s="9"/>
      <x:c r="I257" s="25">
        <x:v>0</x:v>
      </x:c>
      <x:c r="J257" s="41">
        <x:f>IF(G257&gt;0,G257+I257,I257)</x:f>
      </x:c>
      <x:c r="K257" s="9"/>
      <x:c r="L257" s="41">
        <x:v>10</x:v>
      </x:c>
      <x:c r="M257" s="45">
        <x:v>0.0029</x:v>
      </x:c>
      <x:c r="N257" s="39">
        <x:v>46275</x:v>
      </x:c>
      <x:c r="O257" s="40">
        <x:v>45</x:v>
      </x:c>
      <x:c r="P257" s="41">
        <x:f>(IF(G257&gt;0,G257+I257,I257)-(O257*Ventas!AE242*1.0044))</x:f>
      </x:c>
      <x:c r="Q257" s="9"/>
      <x:c r="R257" s="25">
        <x:v>0</x:v>
      </x:c>
      <x:c r="S257" s="41">
        <x:f>IF(P257&gt;0,P257+R257,R257)</x:f>
      </x:c>
      <x:c r="T257" s="9"/>
      <x:c r="U257" s="41">
        <x:v>10</x:v>
      </x:c>
      <x:c r="V257" s="45">
        <x:v>0.0029</x:v>
      </x:c>
      <x:c r="W257" s="39">
        <x:v>46331</x:v>
      </x:c>
      <x:c r="X257" s="40">
        <x:v>56</x:v>
      </x:c>
      <x:c r="Y257" s="41">
        <x:f>(IF(P257&gt;0,P257+R257,R257)-(X257*Ventas!AE242*0.9018))</x:f>
      </x:c>
      <x:c r="Z257" s="9"/>
      <x:c r="AA257" s="41">
        <x:f>(100*(Ventas!AE242*1.2350) - IF(Y257&gt;0,Y257,0))</x:f>
      </x:c>
      <x:c r="AB257" s="41">
        <x:f>IF(AA257&gt;0,AA257,0)</x:f>
      </x:c>
      <x:c r="AC257" s="41">
        <x:f>IF(Y257&gt;0,Y257+IF(AB257&gt;0,AB257,0),AB257)</x:f>
      </x:c>
      <x:c r="AD257" s="46">
        <x:v>11.4</x:v>
      </x:c>
      <x:c r="AE257" s="25">
        <x:v>3027</x:v>
      </x:c>
      <x:c r="AF257" s="9"/>
      <x:c r="AG257" s="9"/>
      <x:c r="AH257" s="7" t="s">
        <x:v>34</x:v>
      </x:c>
    </x:row>
    <x:row r="258">
      <x:c r="A258" s="7"/>
      <x:c r="B258" s="7" t="s">
        <x:v>512</x:v>
      </x:c>
      <x:c r="C258" s="38" t="s">
        <x:v>511</x:v>
      </x:c>
      <x:c r="D258" s="9"/>
      <x:c r="E258" s="39">
        <x:v>46230</x:v>
      </x:c>
      <x:c r="F258" s="40">
        <x:v>5</x:v>
      </x:c>
      <x:c r="G258" s="41">
        <x:f>(D258-(0)+0-(F258*Ventas!AE243*1.8000))</x:f>
      </x:c>
      <x:c r="H258" s="9"/>
      <x:c r="I258" s="25">
        <x:v>0</x:v>
      </x:c>
      <x:c r="J258" s="41">
        <x:f>IF(G258&gt;0,G258+I258,I258)</x:f>
      </x:c>
      <x:c r="K258" s="9"/>
      <x:c r="L258" s="41">
        <x:v>20</x:v>
      </x:c>
      <x:c r="M258" s="45">
        <x:v>0.00195</x:v>
      </x:c>
      <x:c r="N258" s="39">
        <x:v>46275</x:v>
      </x:c>
      <x:c r="O258" s="40">
        <x:v>45</x:v>
      </x:c>
      <x:c r="P258" s="41">
        <x:f>(IF(G258&gt;0,G258+I258,I258)-(O258*Ventas!AE243*1.0044))</x:f>
      </x:c>
      <x:c r="Q258" s="9"/>
      <x:c r="R258" s="25">
        <x:v>0</x:v>
      </x:c>
      <x:c r="S258" s="41">
        <x:f>IF(P258&gt;0,P258+R258,R258)</x:f>
      </x:c>
      <x:c r="T258" s="9"/>
      <x:c r="U258" s="41">
        <x:v>20</x:v>
      </x:c>
      <x:c r="V258" s="45">
        <x:v>0.00195</x:v>
      </x:c>
      <x:c r="W258" s="39">
        <x:v>46331</x:v>
      </x:c>
      <x:c r="X258" s="40">
        <x:v>56</x:v>
      </x:c>
      <x:c r="Y258" s="41">
        <x:f>(IF(P258&gt;0,P258+R258,R258)-(X258*Ventas!AE243*0.9018))</x:f>
      </x:c>
      <x:c r="Z258" s="9"/>
      <x:c r="AA258" s="41">
        <x:f>(100*(Ventas!AE243*1.2350) - IF(Y258&gt;0,Y258,0))</x:f>
      </x:c>
      <x:c r="AB258" s="41">
        <x:f>IF(AA258&gt;0,AA258,0)</x:f>
      </x:c>
      <x:c r="AC258" s="41">
        <x:f>IF(Y258&gt;0,Y258+IF(AB258&gt;0,AB258,0),AB258)</x:f>
      </x:c>
      <x:c r="AD258" s="46">
        <x:v>19.1</x:v>
      </x:c>
      <x:c r="AE258" s="25">
        <x:v>3027</x:v>
      </x:c>
      <x:c r="AF258" s="9"/>
      <x:c r="AG258" s="9"/>
      <x:c r="AH258" s="7" t="s">
        <x:v>34</x:v>
      </x:c>
    </x:row>
    <x:row r="259">
      <x:c r="A259" s="7"/>
      <x:c r="B259" s="7" t="s">
        <x:v>514</x:v>
      </x:c>
      <x:c r="C259" s="38" t="s">
        <x:v>513</x:v>
      </x:c>
      <x:c r="D259" s="9"/>
      <x:c r="E259" s="39">
        <x:v>46230</x:v>
      </x:c>
      <x:c r="F259" s="40">
        <x:v>5</x:v>
      </x:c>
      <x:c r="G259" s="41">
        <x:f>(D259-(0)+0-(F259*Ventas!AE244*1.8000))</x:f>
      </x:c>
      <x:c r="H259" s="9"/>
      <x:c r="I259" s="25">
        <x:v>20</x:v>
      </x:c>
      <x:c r="J259" s="41">
        <x:f>IF(G259&gt;0,G259+I259,I259)</x:f>
      </x:c>
      <x:c r="K259" s="41">
        <x:v>8.216</x:v>
      </x:c>
      <x:c r="L259" s="41">
        <x:v>20</x:v>
      </x:c>
      <x:c r="M259" s="45">
        <x:v>0.0035</x:v>
      </x:c>
      <x:c r="N259" s="39">
        <x:v>46275</x:v>
      </x:c>
      <x:c r="O259" s="40">
        <x:v>45</x:v>
      </x:c>
      <x:c r="P259" s="41">
        <x:f>(IF(G259&gt;0,G259+I259,I259)-(O259*Ventas!AE244*1.0044))</x:f>
      </x:c>
      <x:c r="Q259" s="9"/>
      <x:c r="R259" s="25">
        <x:v>0</x:v>
      </x:c>
      <x:c r="S259" s="41">
        <x:f>IF(P259&gt;0,P259+R259,R259)</x:f>
      </x:c>
      <x:c r="T259" s="9"/>
      <x:c r="U259" s="41">
        <x:v>20</x:v>
      </x:c>
      <x:c r="V259" s="45">
        <x:v>0.0035</x:v>
      </x:c>
      <x:c r="W259" s="39">
        <x:v>46331</x:v>
      </x:c>
      <x:c r="X259" s="40">
        <x:v>56</x:v>
      </x:c>
      <x:c r="Y259" s="41">
        <x:f>(IF(P259&gt;0,P259+R259,R259)-(X259*Ventas!AE244*0.9018))</x:f>
      </x:c>
      <x:c r="Z259" s="9"/>
      <x:c r="AA259" s="41">
        <x:f>(100*(Ventas!AE244*1.2350) - IF(Y259&gt;0,Y259,0))</x:f>
      </x:c>
      <x:c r="AB259" s="41">
        <x:f>IF(AA259&gt;0,AA259,0)</x:f>
      </x:c>
      <x:c r="AC259" s="41">
        <x:f>IF(Y259&gt;0,Y259+IF(AB259&gt;0,AB259,0),AB259)</x:f>
      </x:c>
      <x:c r="AD259" s="46">
        <x:v>8.216</x:v>
      </x:c>
      <x:c r="AE259" s="25">
        <x:v>3027</x:v>
      </x:c>
      <x:c r="AF259" s="9"/>
      <x:c r="AG259" s="9"/>
      <x:c r="AH259" s="7" t="s">
        <x:v>34</x:v>
      </x:c>
    </x:row>
    <x:row r="260">
      <x:c r="A260" s="7"/>
      <x:c r="B260" s="7" t="s">
        <x:v>516</x:v>
      </x:c>
      <x:c r="C260" s="38" t="s">
        <x:v>515</x:v>
      </x:c>
      <x:c r="D260" s="9"/>
      <x:c r="E260" s="39">
        <x:v>46230</x:v>
      </x:c>
      <x:c r="F260" s="40">
        <x:v>5</x:v>
      </x:c>
      <x:c r="G260" s="41">
        <x:f>(D260-(0)+0-(F260*Ventas!AE245*1.8000))</x:f>
      </x:c>
      <x:c r="H260" s="9"/>
      <x:c r="I260" s="25">
        <x:v>40</x:v>
      </x:c>
      <x:c r="J260" s="41">
        <x:f>IF(G260&gt;0,G260+I260,I260)</x:f>
      </x:c>
      <x:c r="K260" s="41">
        <x:v>8.216</x:v>
      </x:c>
      <x:c r="L260" s="41">
        <x:v>20</x:v>
      </x:c>
      <x:c r="M260" s="45">
        <x:v>0.0035</x:v>
      </x:c>
      <x:c r="N260" s="39">
        <x:v>46275</x:v>
      </x:c>
      <x:c r="O260" s="40">
        <x:v>45</x:v>
      </x:c>
      <x:c r="P260" s="41">
        <x:f>(IF(G260&gt;0,G260+I260,I260)-(O260*Ventas!AE245*1.0044))</x:f>
      </x:c>
      <x:c r="Q260" s="9"/>
      <x:c r="R260" s="25">
        <x:v>0</x:v>
      </x:c>
      <x:c r="S260" s="41">
        <x:f>IF(P260&gt;0,P260+R260,R260)</x:f>
      </x:c>
      <x:c r="T260" s="9"/>
      <x:c r="U260" s="41">
        <x:v>20</x:v>
      </x:c>
      <x:c r="V260" s="45">
        <x:v>0.0035</x:v>
      </x:c>
      <x:c r="W260" s="39">
        <x:v>46331</x:v>
      </x:c>
      <x:c r="X260" s="40">
        <x:v>56</x:v>
      </x:c>
      <x:c r="Y260" s="41">
        <x:f>(IF(P260&gt;0,P260+R260,R260)-(X260*Ventas!AE245*0.9018))</x:f>
      </x:c>
      <x:c r="Z260" s="9"/>
      <x:c r="AA260" s="41">
        <x:f>(100*(Ventas!AE245*1.2350) - IF(Y260&gt;0,Y260,0))</x:f>
      </x:c>
      <x:c r="AB260" s="41">
        <x:f>IF(AA260&gt;0,AA260,0)</x:f>
      </x:c>
      <x:c r="AC260" s="41">
        <x:f>IF(Y260&gt;0,Y260+IF(AB260&gt;0,AB260,0),AB260)</x:f>
      </x:c>
      <x:c r="AD260" s="46">
        <x:v>8.216</x:v>
      </x:c>
      <x:c r="AE260" s="25">
        <x:v>3027</x:v>
      </x:c>
      <x:c r="AF260" s="9"/>
      <x:c r="AG260" s="9"/>
      <x:c r="AH260" s="7" t="s">
        <x:v>34</x:v>
      </x:c>
    </x:row>
    <x:row r="261">
      <x:c r="A261" s="7"/>
      <x:c r="B261" s="7" t="s">
        <x:v>518</x:v>
      </x:c>
      <x:c r="C261" s="38" t="s">
        <x:v>517</x:v>
      </x:c>
      <x:c r="D261" s="9"/>
      <x:c r="E261" s="39">
        <x:v>46230</x:v>
      </x:c>
      <x:c r="F261" s="40">
        <x:v>5</x:v>
      </x:c>
      <x:c r="G261" s="41">
        <x:f>(D261-(0)+0-(F261*Ventas!AE246*1.8000))</x:f>
      </x:c>
      <x:c r="H261" s="9"/>
      <x:c r="I261" s="25">
        <x:v>0</x:v>
      </x:c>
      <x:c r="J261" s="41">
        <x:f>IF(G261&gt;0,G261+I261,I261)</x:f>
      </x:c>
      <x:c r="K261" s="9"/>
      <x:c r="L261" s="41">
        <x:v>20</x:v>
      </x:c>
      <x:c r="M261" s="45">
        <x:v>0.0035</x:v>
      </x:c>
      <x:c r="N261" s="39">
        <x:v>46275</x:v>
      </x:c>
      <x:c r="O261" s="40">
        <x:v>45</x:v>
      </x:c>
      <x:c r="P261" s="41">
        <x:f>(IF(G261&gt;0,G261+I261,I261)-(O261*Ventas!AE246*1.0044))</x:f>
      </x:c>
      <x:c r="Q261" s="9"/>
      <x:c r="R261" s="25">
        <x:v>0</x:v>
      </x:c>
      <x:c r="S261" s="41">
        <x:f>IF(P261&gt;0,P261+R261,R261)</x:f>
      </x:c>
      <x:c r="T261" s="9"/>
      <x:c r="U261" s="41">
        <x:v>20</x:v>
      </x:c>
      <x:c r="V261" s="45">
        <x:v>0.0035</x:v>
      </x:c>
      <x:c r="W261" s="39">
        <x:v>46331</x:v>
      </x:c>
      <x:c r="X261" s="40">
        <x:v>56</x:v>
      </x:c>
      <x:c r="Y261" s="41">
        <x:f>(IF(P261&gt;0,P261+R261,R261)-(X261*Ventas!AE246*0.9018))</x:f>
      </x:c>
      <x:c r="Z261" s="9"/>
      <x:c r="AA261" s="41">
        <x:f>(100*(Ventas!AE246*1.2350) - IF(Y261&gt;0,Y261,0))</x:f>
      </x:c>
      <x:c r="AB261" s="41">
        <x:f>IF(AA261&gt;0,AA261,0)</x:f>
      </x:c>
      <x:c r="AC261" s="41">
        <x:f>IF(Y261&gt;0,Y261+IF(AB261&gt;0,AB261,0),AB261)</x:f>
      </x:c>
      <x:c r="AD261" s="46">
        <x:v>8.2</x:v>
      </x:c>
      <x:c r="AE261" s="25">
        <x:v>3027</x:v>
      </x:c>
      <x:c r="AF261" s="9"/>
      <x:c r="AG261" s="9"/>
      <x:c r="AH261" s="7" t="s">
        <x:v>34</x:v>
      </x:c>
    </x:row>
    <x:row r="262">
      <x:c r="A262" s="7"/>
      <x:c r="B262" s="7" t="s">
        <x:v>520</x:v>
      </x:c>
      <x:c r="C262" s="38" t="s">
        <x:v>519</x:v>
      </x:c>
      <x:c r="D262" s="9"/>
      <x:c r="E262" s="39">
        <x:v>46230</x:v>
      </x:c>
      <x:c r="F262" s="40">
        <x:v>5</x:v>
      </x:c>
      <x:c r="G262" s="41">
        <x:f>(D262-(0)+0-(F262*Ventas!AE247*1.8000))</x:f>
      </x:c>
      <x:c r="H262" s="9"/>
      <x:c r="I262" s="25">
        <x:v>0</x:v>
      </x:c>
      <x:c r="J262" s="41">
        <x:f>IF(G262&gt;0,G262+I262,I262)</x:f>
      </x:c>
      <x:c r="K262" s="9"/>
      <x:c r="L262" s="41">
        <x:v>20</x:v>
      </x:c>
      <x:c r="M262" s="45">
        <x:v>0.0035</x:v>
      </x:c>
      <x:c r="N262" s="39">
        <x:v>46275</x:v>
      </x:c>
      <x:c r="O262" s="40">
        <x:v>45</x:v>
      </x:c>
      <x:c r="P262" s="41">
        <x:f>(IF(G262&gt;0,G262+I262,I262)-(O262*Ventas!AE247*1.0044))</x:f>
      </x:c>
      <x:c r="Q262" s="9"/>
      <x:c r="R262" s="25">
        <x:v>0</x:v>
      </x:c>
      <x:c r="S262" s="41">
        <x:f>IF(P262&gt;0,P262+R262,R262)</x:f>
      </x:c>
      <x:c r="T262" s="9"/>
      <x:c r="U262" s="41">
        <x:v>20</x:v>
      </x:c>
      <x:c r="V262" s="45">
        <x:v>0.0035</x:v>
      </x:c>
      <x:c r="W262" s="39">
        <x:v>46331</x:v>
      </x:c>
      <x:c r="X262" s="40">
        <x:v>56</x:v>
      </x:c>
      <x:c r="Y262" s="41">
        <x:f>(IF(P262&gt;0,P262+R262,R262)-(X262*Ventas!AE247*0.9018))</x:f>
      </x:c>
      <x:c r="Z262" s="9"/>
      <x:c r="AA262" s="41">
        <x:f>(100*(Ventas!AE247*1.2350) - IF(Y262&gt;0,Y262,0))</x:f>
      </x:c>
      <x:c r="AB262" s="41">
        <x:f>IF(AA262&gt;0,AA262,0)</x:f>
      </x:c>
      <x:c r="AC262" s="41">
        <x:f>IF(Y262&gt;0,Y262+IF(AB262&gt;0,AB262,0),AB262)</x:f>
      </x:c>
      <x:c r="AD262" s="46">
        <x:v>8.2</x:v>
      </x:c>
      <x:c r="AE262" s="25">
        <x:v>3027</x:v>
      </x:c>
      <x:c r="AF262" s="9"/>
      <x:c r="AG262" s="9"/>
      <x:c r="AH262" s="7" t="s">
        <x:v>34</x:v>
      </x:c>
    </x:row>
    <x:row r="263">
      <x:c r="A263" s="7"/>
      <x:c r="B263" s="7" t="s">
        <x:v>522</x:v>
      </x:c>
      <x:c r="C263" s="38" t="s">
        <x:v>521</x:v>
      </x:c>
      <x:c r="D263" s="9"/>
      <x:c r="E263" s="39">
        <x:v>46230</x:v>
      </x:c>
      <x:c r="F263" s="40">
        <x:v>5</x:v>
      </x:c>
      <x:c r="G263" s="41">
        <x:f>(D263-(0)+0-(F263*Ventas!AE248*1.8000))</x:f>
      </x:c>
      <x:c r="H263" s="9"/>
      <x:c r="I263" s="25">
        <x:v>0</x:v>
      </x:c>
      <x:c r="J263" s="41">
        <x:f>IF(G263&gt;0,G263+I263,I263)</x:f>
      </x:c>
      <x:c r="K263" s="9"/>
      <x:c r="L263" s="9"/>
      <x:c r="M263" s="9"/>
      <x:c r="N263" s="39">
        <x:v>46275</x:v>
      </x:c>
      <x:c r="O263" s="40">
        <x:v>45</x:v>
      </x:c>
      <x:c r="P263" s="41">
        <x:f>(IF(G263&gt;0,G263+I263,I263)-(O263*Ventas!AE248*1.0044))</x:f>
      </x:c>
      <x:c r="Q263" s="9"/>
      <x:c r="R263" s="25">
        <x:v>0</x:v>
      </x:c>
      <x:c r="S263" s="41">
        <x:f>IF(P263&gt;0,P263+R263,R263)</x:f>
      </x:c>
      <x:c r="T263" s="9"/>
      <x:c r="U263" s="9"/>
      <x:c r="V263" s="9"/>
      <x:c r="W263" s="39">
        <x:v>46331</x:v>
      </x:c>
      <x:c r="X263" s="40">
        <x:v>56</x:v>
      </x:c>
      <x:c r="Y263" s="41">
        <x:f>(IF(P263&gt;0,P263+R263,R263)-(X263*Ventas!AE248*0.9018))</x:f>
      </x:c>
      <x:c r="Z263" s="9"/>
      <x:c r="AA263" s="41">
        <x:f>(100*(Ventas!AE248*1.2350) - IF(Y263&gt;0,Y263,0))</x:f>
      </x:c>
      <x:c r="AB263" s="41">
        <x:f>IF(AA263&gt;0,AA263,0)</x:f>
      </x:c>
      <x:c r="AC263" s="41">
        <x:f>IF(Y263&gt;0,Y263+IF(AB263&gt;0,AB263,0),AB263)</x:f>
      </x:c>
      <x:c r="AD263" s="46">
        <x:v>7.2</x:v>
      </x:c>
      <x:c r="AE263" s="25">
        <x:v>3027</x:v>
      </x:c>
      <x:c r="AF263" s="9"/>
      <x:c r="AG263" s="9"/>
      <x:c r="AH263" s="7" t="s">
        <x:v>34</x:v>
      </x:c>
    </x:row>
    <x:row r="264">
      <x:c r="A264" s="7"/>
      <x:c r="B264" s="7" t="s">
        <x:v>524</x:v>
      </x:c>
      <x:c r="C264" s="38" t="s">
        <x:v>523</x:v>
      </x:c>
      <x:c r="D264" s="9"/>
      <x:c r="E264" s="39">
        <x:v>46230</x:v>
      </x:c>
      <x:c r="F264" s="40">
        <x:v>5</x:v>
      </x:c>
      <x:c r="G264" s="41">
        <x:f>(D264-(0)+0-(F264*Ventas!AE249*1.8000))</x:f>
      </x:c>
      <x:c r="H264" s="9"/>
      <x:c r="I264" s="25">
        <x:v>0</x:v>
      </x:c>
      <x:c r="J264" s="41">
        <x:f>IF(G264&gt;0,G264+I264,I264)</x:f>
      </x:c>
      <x:c r="K264" s="9"/>
      <x:c r="L264" s="9"/>
      <x:c r="M264" s="9"/>
      <x:c r="N264" s="39">
        <x:v>46275</x:v>
      </x:c>
      <x:c r="O264" s="40">
        <x:v>45</x:v>
      </x:c>
      <x:c r="P264" s="41">
        <x:f>(IF(G264&gt;0,G264+I264,I264)-(O264*Ventas!AE249*1.0044))</x:f>
      </x:c>
      <x:c r="Q264" s="9"/>
      <x:c r="R264" s="25">
        <x:v>0</x:v>
      </x:c>
      <x:c r="S264" s="41">
        <x:f>IF(P264&gt;0,P264+R264,R264)</x:f>
      </x:c>
      <x:c r="T264" s="9"/>
      <x:c r="U264" s="9"/>
      <x:c r="V264" s="9"/>
      <x:c r="W264" s="39">
        <x:v>46331</x:v>
      </x:c>
      <x:c r="X264" s="40">
        <x:v>56</x:v>
      </x:c>
      <x:c r="Y264" s="41">
        <x:f>(IF(P264&gt;0,P264+R264,R264)-(X264*Ventas!AE249*0.9018))</x:f>
      </x:c>
      <x:c r="Z264" s="9"/>
      <x:c r="AA264" s="41">
        <x:f>(100*(Ventas!AE249*1.2350) - IF(Y264&gt;0,Y264,0))</x:f>
      </x:c>
      <x:c r="AB264" s="41">
        <x:f>IF(AA264&gt;0,AA264,0)</x:f>
      </x:c>
      <x:c r="AC264" s="41">
        <x:f>IF(Y264&gt;0,Y264+IF(AB264&gt;0,AB264,0),AB264)</x:f>
      </x:c>
      <x:c r="AD264" s="46">
        <x:v>7.2</x:v>
      </x:c>
      <x:c r="AE264" s="25">
        <x:v>3027</x:v>
      </x:c>
      <x:c r="AF264" s="9"/>
      <x:c r="AG264" s="9"/>
      <x:c r="AH264" s="7" t="s">
        <x:v>34</x:v>
      </x:c>
    </x:row>
    <x:row r="265">
      <x:c r="A265" s="7"/>
      <x:c r="B265" s="7" t="s">
        <x:v>526</x:v>
      </x:c>
      <x:c r="C265" s="38" t="s">
        <x:v>525</x:v>
      </x:c>
      <x:c r="D265" s="25">
        <x:v>50</x:v>
      </x:c>
      <x:c r="E265" s="39">
        <x:v>46230</x:v>
      </x:c>
      <x:c r="F265" s="40">
        <x:v>5</x:v>
      </x:c>
      <x:c r="G265" s="41">
        <x:f>(D265-(0)+0-(F265*Ventas!AE250*1.8000))</x:f>
      </x:c>
      <x:c r="H265" s="9"/>
      <x:c r="I265" s="25">
        <x:v>0</x:v>
      </x:c>
      <x:c r="J265" s="41">
        <x:f>IF(G265&gt;0,G265+I265,I265)</x:f>
      </x:c>
      <x:c r="K265" s="9"/>
      <x:c r="L265" s="41">
        <x:v>10</x:v>
      </x:c>
      <x:c r="M265" s="45">
        <x:v>0.0022</x:v>
      </x:c>
      <x:c r="N265" s="39">
        <x:v>46275</x:v>
      </x:c>
      <x:c r="O265" s="40">
        <x:v>45</x:v>
      </x:c>
      <x:c r="P265" s="41">
        <x:f>(IF(G265&gt;0,G265+I265,I265)-(O265*Ventas!AE250*1.0044))</x:f>
      </x:c>
      <x:c r="Q265" s="9"/>
      <x:c r="R265" s="25">
        <x:v>0</x:v>
      </x:c>
      <x:c r="S265" s="41">
        <x:f>IF(P265&gt;0,P265+R265,R265)</x:f>
      </x:c>
      <x:c r="T265" s="9"/>
      <x:c r="U265" s="41">
        <x:v>10</x:v>
      </x:c>
      <x:c r="V265" s="45">
        <x:v>0.0022</x:v>
      </x:c>
      <x:c r="W265" s="39">
        <x:v>46331</x:v>
      </x:c>
      <x:c r="X265" s="40">
        <x:v>56</x:v>
      </x:c>
      <x:c r="Y265" s="41">
        <x:f>(IF(P265&gt;0,P265+R265,R265)-(X265*Ventas!AE250*0.9018))</x:f>
      </x:c>
      <x:c r="Z265" s="9"/>
      <x:c r="AA265" s="41">
        <x:f>(100*(Ventas!AE250*1.2350) - IF(Y265&gt;0,Y265,0))</x:f>
      </x:c>
      <x:c r="AB265" s="41">
        <x:f>IF(AA265&gt;0,AA265,0)</x:f>
      </x:c>
      <x:c r="AC265" s="41">
        <x:f>IF(Y265&gt;0,Y265+IF(AB265&gt;0,AB265,0),AB265)</x:f>
      </x:c>
      <x:c r="AD265" s="46">
        <x:v>8.8</x:v>
      </x:c>
      <x:c r="AE265" s="25">
        <x:v>3027</x:v>
      </x:c>
      <x:c r="AF265" s="9"/>
      <x:c r="AG265" s="9"/>
      <x:c r="AH265" s="7" t="s">
        <x:v>34</x:v>
      </x:c>
    </x:row>
    <x:row r="266">
      <x:c r="A266" s="7"/>
      <x:c r="B266" s="7" t="s">
        <x:v>528</x:v>
      </x:c>
      <x:c r="C266" s="38" t="s">
        <x:v>527</x:v>
      </x:c>
      <x:c r="D266" s="25">
        <x:v>81</x:v>
      </x:c>
      <x:c r="E266" s="39">
        <x:v>46230</x:v>
      </x:c>
      <x:c r="F266" s="40">
        <x:v>5</x:v>
      </x:c>
      <x:c r="G266" s="41">
        <x:f>(D266-(0)+0-(F266*Ventas!AE251*1.8000))</x:f>
      </x:c>
      <x:c r="H266" s="43">
        <x:f>(G266/(Ventas!AE251*1.8000)/60)</x:f>
      </x:c>
      <x:c r="I266" s="25">
        <x:v>160</x:v>
      </x:c>
      <x:c r="J266" s="41">
        <x:f>IF(G266&gt;0,G266+I266,I266)</x:f>
      </x:c>
      <x:c r="K266" s="41">
        <x:v>3.744</x:v>
      </x:c>
      <x:c r="L266" s="41">
        <x:v>20</x:v>
      </x:c>
      <x:c r="M266" s="45">
        <x:v>0.00285</x:v>
      </x:c>
      <x:c r="N266" s="39">
        <x:v>46275</x:v>
      </x:c>
      <x:c r="O266" s="40">
        <x:v>45</x:v>
      </x:c>
      <x:c r="P266" s="41">
        <x:f>(IF(G266&gt;0,G266+I266,I266)-(O266*Ventas!AE251*1.0044))</x:f>
      </x:c>
      <x:c r="Q266" s="43">
        <x:f>(P266/(Ventas!AE251*1.0044)/60)</x:f>
      </x:c>
      <x:c r="R266" s="25">
        <x:v>80</x:v>
      </x:c>
      <x:c r="S266" s="41">
        <x:f>IF(P266&gt;0,P266+R266,R266)</x:f>
      </x:c>
      <x:c r="T266" s="41">
        <x:v>3.7</x:v>
      </x:c>
      <x:c r="U266" s="41">
        <x:v>20</x:v>
      </x:c>
      <x:c r="V266" s="45">
        <x:v>0.00285</x:v>
      </x:c>
      <x:c r="W266" s="39">
        <x:v>46331</x:v>
      </x:c>
      <x:c r="X266" s="40">
        <x:v>56</x:v>
      </x:c>
      <x:c r="Y266" s="41">
        <x:f>(IF(P266&gt;0,P266+R266,R266)-(X266*Ventas!AE251*0.9018))</x:f>
      </x:c>
      <x:c r="Z266" s="43">
        <x:f>(Y266/(Ventas!AE251*0.9018)/60)</x:f>
      </x:c>
      <x:c r="AA266" s="41">
        <x:f>(100*(Ventas!AE251*1.2350) - IF(Y266&gt;0,Y266,0))</x:f>
      </x:c>
      <x:c r="AB266" s="41">
        <x:f>IF(AA266&gt;0,AA266,0)</x:f>
      </x:c>
      <x:c r="AC266" s="41">
        <x:f>IF(Y266&gt;0,Y266+IF(AB266&gt;0,AB266,0),AB266)</x:f>
      </x:c>
      <x:c r="AD266" s="46">
        <x:v>3.744</x:v>
      </x:c>
      <x:c r="AE266" s="25">
        <x:v>3027</x:v>
      </x:c>
      <x:c r="AF266" s="41">
        <x:f>(AC266-(60*Ventas!AE251*1.2350))</x:f>
      </x:c>
      <x:c r="AG266" s="43">
        <x:f>(AF266/(Ventas!AE251*1.2350)/60)</x:f>
      </x:c>
      <x:c r="AH266" s="7" t="s">
        <x:v>34</x:v>
      </x:c>
    </x:row>
    <x:row r="267">
      <x:c r="A267" s="7"/>
      <x:c r="B267" s="7" t="s">
        <x:v>530</x:v>
      </x:c>
      <x:c r="C267" s="38" t="s">
        <x:v>529</x:v>
      </x:c>
      <x:c r="D267" s="25">
        <x:v>14</x:v>
      </x:c>
      <x:c r="E267" s="39">
        <x:v>46230</x:v>
      </x:c>
      <x:c r="F267" s="40">
        <x:v>5</x:v>
      </x:c>
      <x:c r="G267" s="41">
        <x:f>(D267-(0)+0-(F267*Ventas!AE252*1.8000))</x:f>
      </x:c>
      <x:c r="H267" s="43">
        <x:f>(G267/(Ventas!AE252*1.8000)/60)</x:f>
      </x:c>
      <x:c r="I267" s="25">
        <x:v>0</x:v>
      </x:c>
      <x:c r="J267" s="41">
        <x:f>IF(G267&gt;0,G267+I267,I267)</x:f>
      </x:c>
      <x:c r="K267" s="9"/>
      <x:c r="L267" s="41">
        <x:v>20</x:v>
      </x:c>
      <x:c r="M267" s="45">
        <x:v>0.00345</x:v>
      </x:c>
      <x:c r="N267" s="39">
        <x:v>46275</x:v>
      </x:c>
      <x:c r="O267" s="40">
        <x:v>45</x:v>
      </x:c>
      <x:c r="P267" s="41">
        <x:f>(IF(G267&gt;0,G267+I267,I267)-(O267*Ventas!AE252*1.0044))</x:f>
      </x:c>
      <x:c r="Q267" s="43">
        <x:f>(P267/(Ventas!AE252*1.0044)/60)</x:f>
      </x:c>
      <x:c r="R267" s="25">
        <x:v>0</x:v>
      </x:c>
      <x:c r="S267" s="41">
        <x:f>IF(P267&gt;0,P267+R267,R267)</x:f>
      </x:c>
      <x:c r="T267" s="9"/>
      <x:c r="U267" s="41">
        <x:v>20</x:v>
      </x:c>
      <x:c r="V267" s="45">
        <x:v>0.00345</x:v>
      </x:c>
      <x:c r="W267" s="39">
        <x:v>46331</x:v>
      </x:c>
      <x:c r="X267" s="40">
        <x:v>56</x:v>
      </x:c>
      <x:c r="Y267" s="41">
        <x:f>(IF(P267&gt;0,P267+R267,R267)-(X267*Ventas!AE252*0.9018))</x:f>
      </x:c>
      <x:c r="Z267" s="43">
        <x:f>(Y267/(Ventas!AE252*0.9018)/60)</x:f>
      </x:c>
      <x:c r="AA267" s="41">
        <x:f>(100*(Ventas!AE252*1.2350) - IF(Y267&gt;0,Y267,0))</x:f>
      </x:c>
      <x:c r="AB267" s="41">
        <x:f>IF(AA267&gt;0,AA267,0)</x:f>
      </x:c>
      <x:c r="AC267" s="41">
        <x:f>IF(Y267&gt;0,Y267+IF(AB267&gt;0,AB267,0),AB267)</x:f>
      </x:c>
      <x:c r="AD267" s="46">
        <x:v>6.1</x:v>
      </x:c>
      <x:c r="AE267" s="25">
        <x:v>3010</x:v>
      </x:c>
      <x:c r="AF267" s="41">
        <x:f>(AC267-(60*Ventas!AE252*1.2350))</x:f>
      </x:c>
      <x:c r="AG267" s="43">
        <x:f>(AF267/(Ventas!AE252*1.2350)/60)</x:f>
      </x:c>
      <x:c r="AH267" s="7" t="s">
        <x:v>34</x:v>
      </x:c>
    </x:row>
    <x:row r="268">
      <x:c r="A268" s="7"/>
      <x:c r="B268" s="7" t="s">
        <x:v>532</x:v>
      </x:c>
      <x:c r="C268" s="38" t="s">
        <x:v>531</x:v>
      </x:c>
      <x:c r="D268" s="25">
        <x:v>75</x:v>
      </x:c>
      <x:c r="E268" s="39">
        <x:v>46230</x:v>
      </x:c>
      <x:c r="F268" s="40">
        <x:v>5</x:v>
      </x:c>
      <x:c r="G268" s="41">
        <x:f>(D268-(0)+0-(F268*Ventas!AE253*1.8000))</x:f>
      </x:c>
      <x:c r="H268" s="43">
        <x:f>(G268/(Ventas!AE253*1.8000)/60)</x:f>
      </x:c>
      <x:c r="I268" s="25">
        <x:v>0</x:v>
      </x:c>
      <x:c r="J268" s="41">
        <x:f>IF(G268&gt;0,G268+I268,I268)</x:f>
      </x:c>
      <x:c r="K268" s="9"/>
      <x:c r="L268" s="41">
        <x:v>10</x:v>
      </x:c>
      <x:c r="M268" s="45">
        <x:v>0.0027</x:v>
      </x:c>
      <x:c r="N268" s="39">
        <x:v>46275</x:v>
      </x:c>
      <x:c r="O268" s="40">
        <x:v>45</x:v>
      </x:c>
      <x:c r="P268" s="41">
        <x:f>(IF(G268&gt;0,G268+I268,I268)-(O268*Ventas!AE253*1.0044))</x:f>
      </x:c>
      <x:c r="Q268" s="43">
        <x:f>(P268/(Ventas!AE253*1.0044)/60)</x:f>
      </x:c>
      <x:c r="R268" s="25">
        <x:v>0</x:v>
      </x:c>
      <x:c r="S268" s="41">
        <x:f>IF(P268&gt;0,P268+R268,R268)</x:f>
      </x:c>
      <x:c r="T268" s="9"/>
      <x:c r="U268" s="41">
        <x:v>10</x:v>
      </x:c>
      <x:c r="V268" s="45">
        <x:v>0.0027</x:v>
      </x:c>
      <x:c r="W268" s="39">
        <x:v>46331</x:v>
      </x:c>
      <x:c r="X268" s="40">
        <x:v>56</x:v>
      </x:c>
      <x:c r="Y268" s="41">
        <x:f>(IF(P268&gt;0,P268+R268,R268)-(X268*Ventas!AE253*0.9018))</x:f>
      </x:c>
      <x:c r="Z268" s="43">
        <x:f>(Y268/(Ventas!AE253*0.9018)/60)</x:f>
      </x:c>
      <x:c r="AA268" s="41">
        <x:f>(100*(Ventas!AE253*1.2350) - IF(Y268&gt;0,Y268,0))</x:f>
      </x:c>
      <x:c r="AB268" s="41">
        <x:f>IF(AA268&gt;0,AA268,0)</x:f>
      </x:c>
      <x:c r="AC268" s="41">
        <x:f>IF(Y268&gt;0,Y268+IF(AB268&gt;0,AB268,0),AB268)</x:f>
      </x:c>
      <x:c r="AD268" s="46">
        <x:v>11.6866</x:v>
      </x:c>
      <x:c r="AE268" s="25">
        <x:v>3010</x:v>
      </x:c>
      <x:c r="AF268" s="41">
        <x:f>(AC268-(60*Ventas!AE253*1.2350))</x:f>
      </x:c>
      <x:c r="AG268" s="43">
        <x:f>(AF268/(Ventas!AE253*1.2350)/60)</x:f>
      </x:c>
      <x:c r="AH268" s="7" t="s">
        <x:v>34</x:v>
      </x:c>
    </x:row>
    <x:row r="269">
      <x:c r="A269" s="7"/>
      <x:c r="B269" s="7" t="s">
        <x:v>534</x:v>
      </x:c>
      <x:c r="C269" s="38" t="s">
        <x:v>533</x:v>
      </x:c>
      <x:c r="D269" s="25">
        <x:v>69</x:v>
      </x:c>
      <x:c r="E269" s="39">
        <x:v>46230</x:v>
      </x:c>
      <x:c r="F269" s="40">
        <x:v>5</x:v>
      </x:c>
      <x:c r="G269" s="41">
        <x:f>(D269-(0)+0-(F269*Ventas!AE254*1.8000))</x:f>
      </x:c>
      <x:c r="H269" s="43">
        <x:f>(G269/(Ventas!AE254*1.8000)/60)</x:f>
      </x:c>
      <x:c r="I269" s="25">
        <x:v>0</x:v>
      </x:c>
      <x:c r="J269" s="41">
        <x:f>IF(G269&gt;0,G269+I269,I269)</x:f>
      </x:c>
      <x:c r="K269" s="9"/>
      <x:c r="L269" s="41">
        <x:v>10</x:v>
      </x:c>
      <x:c r="M269" s="45">
        <x:v>0.0027</x:v>
      </x:c>
      <x:c r="N269" s="39">
        <x:v>46275</x:v>
      </x:c>
      <x:c r="O269" s="40">
        <x:v>45</x:v>
      </x:c>
      <x:c r="P269" s="41">
        <x:f>(IF(G269&gt;0,G269+I269,I269)-(O269*Ventas!AE254*1.0044))</x:f>
      </x:c>
      <x:c r="Q269" s="43">
        <x:f>(P269/(Ventas!AE254*1.0044)/60)</x:f>
      </x:c>
      <x:c r="R269" s="25">
        <x:v>0</x:v>
      </x:c>
      <x:c r="S269" s="41">
        <x:f>IF(P269&gt;0,P269+R269,R269)</x:f>
      </x:c>
      <x:c r="T269" s="9"/>
      <x:c r="U269" s="41">
        <x:v>10</x:v>
      </x:c>
      <x:c r="V269" s="45">
        <x:v>0.0027</x:v>
      </x:c>
      <x:c r="W269" s="39">
        <x:v>46331</x:v>
      </x:c>
      <x:c r="X269" s="40">
        <x:v>56</x:v>
      </x:c>
      <x:c r="Y269" s="41">
        <x:f>(IF(P269&gt;0,P269+R269,R269)-(X269*Ventas!AE254*0.9018))</x:f>
      </x:c>
      <x:c r="Z269" s="43">
        <x:f>(Y269/(Ventas!AE254*0.9018)/60)</x:f>
      </x:c>
      <x:c r="AA269" s="41">
        <x:f>(100*(Ventas!AE254*1.2350) - IF(Y269&gt;0,Y269,0))</x:f>
      </x:c>
      <x:c r="AB269" s="41">
        <x:f>IF(AA269&gt;0,AA269,0)</x:f>
      </x:c>
      <x:c r="AC269" s="41">
        <x:f>IF(Y269&gt;0,Y269+IF(AB269&gt;0,AB269,0),AB269)</x:f>
      </x:c>
      <x:c r="AD269" s="46">
        <x:v>11.6866</x:v>
      </x:c>
      <x:c r="AE269" s="25">
        <x:v>3010</x:v>
      </x:c>
      <x:c r="AF269" s="41">
        <x:f>(AC269-(60*Ventas!AE254*1.2350))</x:f>
      </x:c>
      <x:c r="AG269" s="43">
        <x:f>(AF269/(Ventas!AE254*1.2350)/60)</x:f>
      </x:c>
      <x:c r="AH269" s="7" t="s">
        <x:v>34</x:v>
      </x:c>
    </x:row>
    <x:row r="270">
      <x:c r="A270" s="7"/>
      <x:c r="B270" s="7" t="s">
        <x:v>536</x:v>
      </x:c>
      <x:c r="C270" s="38" t="s">
        <x:v>535</x:v>
      </x:c>
      <x:c r="D270" s="25">
        <x:v>59</x:v>
      </x:c>
      <x:c r="E270" s="39">
        <x:v>46230</x:v>
      </x:c>
      <x:c r="F270" s="40">
        <x:v>5</x:v>
      </x:c>
      <x:c r="G270" s="41">
        <x:f>(D270-(0)+0-(F270*Ventas!AE255*1.8000))</x:f>
      </x:c>
      <x:c r="H270" s="43">
        <x:f>(G270/(Ventas!AE255*1.8000)/60)</x:f>
      </x:c>
      <x:c r="I270" s="25">
        <x:v>0</x:v>
      </x:c>
      <x:c r="J270" s="41">
        <x:f>IF(G270&gt;0,G270+I270,I270)</x:f>
      </x:c>
      <x:c r="K270" s="9"/>
      <x:c r="L270" s="41">
        <x:v>20</x:v>
      </x:c>
      <x:c r="M270" s="45">
        <x:v>0.00195</x:v>
      </x:c>
      <x:c r="N270" s="39">
        <x:v>46275</x:v>
      </x:c>
      <x:c r="O270" s="40">
        <x:v>45</x:v>
      </x:c>
      <x:c r="P270" s="41">
        <x:f>(IF(G270&gt;0,G270+I270,I270)-(O270*Ventas!AE255*1.0044))</x:f>
      </x:c>
      <x:c r="Q270" s="43">
        <x:f>(P270/(Ventas!AE255*1.0044)/60)</x:f>
      </x:c>
      <x:c r="R270" s="25">
        <x:v>60</x:v>
      </x:c>
      <x:c r="S270" s="41">
        <x:f>IF(P270&gt;0,P270+R270,R270)</x:f>
      </x:c>
      <x:c r="T270" s="41">
        <x:v>11.9</x:v>
      </x:c>
      <x:c r="U270" s="41">
        <x:v>20</x:v>
      </x:c>
      <x:c r="V270" s="45">
        <x:v>0.00195</x:v>
      </x:c>
      <x:c r="W270" s="39">
        <x:v>46331</x:v>
      </x:c>
      <x:c r="X270" s="40">
        <x:v>56</x:v>
      </x:c>
      <x:c r="Y270" s="41">
        <x:f>(IF(P270&gt;0,P270+R270,R270)-(X270*Ventas!AE255*0.9018))</x:f>
      </x:c>
      <x:c r="Z270" s="43">
        <x:f>(Y270/(Ventas!AE255*0.9018)/60)</x:f>
      </x:c>
      <x:c r="AA270" s="41">
        <x:f>(100*(Ventas!AE255*1.2350) - IF(Y270&gt;0,Y270,0))</x:f>
      </x:c>
      <x:c r="AB270" s="41">
        <x:f>IF(AA270&gt;0,AA270,0)</x:f>
      </x:c>
      <x:c r="AC270" s="41">
        <x:f>IF(Y270&gt;0,Y270+IF(AB270&gt;0,AB270,0),AB270)</x:f>
      </x:c>
      <x:c r="AD270" s="46">
        <x:v>11.662</x:v>
      </x:c>
      <x:c r="AE270" s="25">
        <x:v>3027</x:v>
      </x:c>
      <x:c r="AF270" s="41">
        <x:f>(AC270-(60*Ventas!AE255*1.2350))</x:f>
      </x:c>
      <x:c r="AG270" s="43">
        <x:f>(AF270/(Ventas!AE255*1.2350)/60)</x:f>
      </x:c>
      <x:c r="AH270" s="7" t="s">
        <x:v>34</x:v>
      </x:c>
    </x:row>
    <x:row r="271">
      <x:c r="A271" s="7"/>
      <x:c r="B271" s="7" t="s">
        <x:v>538</x:v>
      </x:c>
      <x:c r="C271" s="38" t="s">
        <x:v>537</x:v>
      </x:c>
      <x:c r="D271" s="25">
        <x:v>72</x:v>
      </x:c>
      <x:c r="E271" s="39">
        <x:v>46230</x:v>
      </x:c>
      <x:c r="F271" s="40">
        <x:v>5</x:v>
      </x:c>
      <x:c r="G271" s="41">
        <x:f>(D271-(0)+0-(F271*Ventas!AE256*1.8000))</x:f>
      </x:c>
      <x:c r="H271" s="43">
        <x:f>(G271/(Ventas!AE256*1.8000)/60)</x:f>
      </x:c>
      <x:c r="I271" s="25">
        <x:v>0</x:v>
      </x:c>
      <x:c r="J271" s="41">
        <x:f>IF(G271&gt;0,G271+I271,I271)</x:f>
      </x:c>
      <x:c r="K271" s="9"/>
      <x:c r="L271" s="41">
        <x:v>20</x:v>
      </x:c>
      <x:c r="M271" s="45">
        <x:v>0.00195</x:v>
      </x:c>
      <x:c r="N271" s="39">
        <x:v>46275</x:v>
      </x:c>
      <x:c r="O271" s="40">
        <x:v>45</x:v>
      </x:c>
      <x:c r="P271" s="41">
        <x:f>(IF(G271&gt;0,G271+I271,I271)-(O271*Ventas!AE256*1.0044))</x:f>
      </x:c>
      <x:c r="Q271" s="43">
        <x:f>(P271/(Ventas!AE256*1.0044)/60)</x:f>
      </x:c>
      <x:c r="R271" s="25">
        <x:v>20</x:v>
      </x:c>
      <x:c r="S271" s="41">
        <x:f>IF(P271&gt;0,P271+R271,R271)</x:f>
      </x:c>
      <x:c r="T271" s="41">
        <x:v>11.9</x:v>
      </x:c>
      <x:c r="U271" s="41">
        <x:v>20</x:v>
      </x:c>
      <x:c r="V271" s="45">
        <x:v>0.00195</x:v>
      </x:c>
      <x:c r="W271" s="39">
        <x:v>46331</x:v>
      </x:c>
      <x:c r="X271" s="40">
        <x:v>56</x:v>
      </x:c>
      <x:c r="Y271" s="41">
        <x:f>(IF(P271&gt;0,P271+R271,R271)-(X271*Ventas!AE256*0.9018))</x:f>
      </x:c>
      <x:c r="Z271" s="43">
        <x:f>(Y271/(Ventas!AE256*0.9018)/60)</x:f>
      </x:c>
      <x:c r="AA271" s="41">
        <x:f>(100*(Ventas!AE256*1.2350) - IF(Y271&gt;0,Y271,0))</x:f>
      </x:c>
      <x:c r="AB271" s="41">
        <x:f>IF(AA271&gt;0,AA271,0)</x:f>
      </x:c>
      <x:c r="AC271" s="41">
        <x:f>IF(Y271&gt;0,Y271+IF(AB271&gt;0,AB271,0),AB271)</x:f>
      </x:c>
      <x:c r="AD271" s="46">
        <x:v>11.7</x:v>
      </x:c>
      <x:c r="AE271" s="25">
        <x:v>3027</x:v>
      </x:c>
      <x:c r="AF271" s="41">
        <x:f>(AC271-(60*Ventas!AE256*1.2350))</x:f>
      </x:c>
      <x:c r="AG271" s="43">
        <x:f>(AF271/(Ventas!AE256*1.2350)/60)</x:f>
      </x:c>
      <x:c r="AH271" s="7" t="s">
        <x:v>34</x:v>
      </x:c>
    </x:row>
    <x:row r="272">
      <x:c r="A272" s="7"/>
      <x:c r="B272" s="7" t="s">
        <x:v>540</x:v>
      </x:c>
      <x:c r="C272" s="38" t="s">
        <x:v>539</x:v>
      </x:c>
      <x:c r="D272" s="25">
        <x:v>30</x:v>
      </x:c>
      <x:c r="E272" s="39">
        <x:v>46230</x:v>
      </x:c>
      <x:c r="F272" s="40">
        <x:v>5</x:v>
      </x:c>
      <x:c r="G272" s="41">
        <x:f>(D272-(0)+0-(F272*Ventas!AE257*1.8000))</x:f>
      </x:c>
      <x:c r="H272" s="43">
        <x:f>(G272/(Ventas!AE257*1.8000)/60)</x:f>
      </x:c>
      <x:c r="I272" s="25">
        <x:v>0</x:v>
      </x:c>
      <x:c r="J272" s="41">
        <x:f>IF(G272&gt;0,G272+I272,I272)</x:f>
      </x:c>
      <x:c r="K272" s="9"/>
      <x:c r="L272" s="41">
        <x:v>10</x:v>
      </x:c>
      <x:c r="M272" s="45">
        <x:v>0.0034</x:v>
      </x:c>
      <x:c r="N272" s="39">
        <x:v>46275</x:v>
      </x:c>
      <x:c r="O272" s="40">
        <x:v>45</x:v>
      </x:c>
      <x:c r="P272" s="41">
        <x:f>(IF(G272&gt;0,G272+I272,I272)-(O272*Ventas!AE257*1.0044))</x:f>
      </x:c>
      <x:c r="Q272" s="43">
        <x:f>(P272/(Ventas!AE257*1.0044)/60)</x:f>
      </x:c>
      <x:c r="R272" s="25">
        <x:v>0</x:v>
      </x:c>
      <x:c r="S272" s="41">
        <x:f>IF(P272&gt;0,P272+R272,R272)</x:f>
      </x:c>
      <x:c r="T272" s="9"/>
      <x:c r="U272" s="41">
        <x:v>10</x:v>
      </x:c>
      <x:c r="V272" s="45">
        <x:v>0.0034</x:v>
      </x:c>
      <x:c r="W272" s="39">
        <x:v>46331</x:v>
      </x:c>
      <x:c r="X272" s="40">
        <x:v>56</x:v>
      </x:c>
      <x:c r="Y272" s="41">
        <x:f>(IF(P272&gt;0,P272+R272,R272)-(X272*Ventas!AE257*0.9018))</x:f>
      </x:c>
      <x:c r="Z272" s="43">
        <x:f>(Y272/(Ventas!AE257*0.9018)/60)</x:f>
      </x:c>
      <x:c r="AA272" s="41">
        <x:f>(100*(Ventas!AE257*1.2350) - IF(Y272&gt;0,Y272,0))</x:f>
      </x:c>
      <x:c r="AB272" s="41">
        <x:f>IF(AA272&gt;0,AA272,0)</x:f>
      </x:c>
      <x:c r="AC272" s="41">
        <x:f>IF(Y272&gt;0,Y272+IF(AB272&gt;0,AB272,0),AB272)</x:f>
      </x:c>
      <x:c r="AD272" s="46">
        <x:v>27.0069</x:v>
      </x:c>
      <x:c r="AE272" s="25">
        <x:v>3010</x:v>
      </x:c>
      <x:c r="AF272" s="41">
        <x:f>(AC272-(60*Ventas!AE257*1.2350))</x:f>
      </x:c>
      <x:c r="AG272" s="43">
        <x:f>(AF272/(Ventas!AE257*1.2350)/60)</x:f>
      </x:c>
      <x:c r="AH272" s="7" t="s">
        <x:v>34</x:v>
      </x:c>
    </x:row>
    <x:row r="273">
      <x:c r="A273" s="7"/>
      <x:c r="B273" s="7" t="s">
        <x:v>542</x:v>
      </x:c>
      <x:c r="C273" s="38" t="s">
        <x:v>541</x:v>
      </x:c>
      <x:c r="D273" s="25">
        <x:v>18</x:v>
      </x:c>
      <x:c r="E273" s="39">
        <x:v>46230</x:v>
      </x:c>
      <x:c r="F273" s="40">
        <x:v>5</x:v>
      </x:c>
      <x:c r="G273" s="41">
        <x:f>(D273-(0)+0-(F273*Ventas!AE258*1.8000))</x:f>
      </x:c>
      <x:c r="H273" s="43">
        <x:f>(G273/(Ventas!AE258*1.8000)/60)</x:f>
      </x:c>
      <x:c r="I273" s="25">
        <x:v>10</x:v>
      </x:c>
      <x:c r="J273" s="41">
        <x:f>IF(G273&gt;0,G273+I273,I273)</x:f>
      </x:c>
      <x:c r="K273" s="41">
        <x:v>27.456</x:v>
      </x:c>
      <x:c r="L273" s="41">
        <x:v>10</x:v>
      </x:c>
      <x:c r="M273" s="45">
        <x:v>0.0034</x:v>
      </x:c>
      <x:c r="N273" s="39">
        <x:v>46275</x:v>
      </x:c>
      <x:c r="O273" s="40">
        <x:v>45</x:v>
      </x:c>
      <x:c r="P273" s="41">
        <x:f>(IF(G273&gt;0,G273+I273,I273)-(O273*Ventas!AE258*1.0044))</x:f>
      </x:c>
      <x:c r="Q273" s="43">
        <x:f>(P273/(Ventas!AE258*1.0044)/60)</x:f>
      </x:c>
      <x:c r="R273" s="25">
        <x:v>20</x:v>
      </x:c>
      <x:c r="S273" s="41">
        <x:f>IF(P273&gt;0,P273+R273,R273)</x:f>
      </x:c>
      <x:c r="T273" s="41">
        <x:v>27.5</x:v>
      </x:c>
      <x:c r="U273" s="41">
        <x:v>10</x:v>
      </x:c>
      <x:c r="V273" s="45">
        <x:v>0.0034</x:v>
      </x:c>
      <x:c r="W273" s="39">
        <x:v>46331</x:v>
      </x:c>
      <x:c r="X273" s="40">
        <x:v>56</x:v>
      </x:c>
      <x:c r="Y273" s="41">
        <x:f>(IF(P273&gt;0,P273+R273,R273)-(X273*Ventas!AE258*0.9018))</x:f>
      </x:c>
      <x:c r="Z273" s="43">
        <x:f>(Y273/(Ventas!AE258*0.9018)/60)</x:f>
      </x:c>
      <x:c r="AA273" s="41">
        <x:f>(100*(Ventas!AE258*1.2350) - IF(Y273&gt;0,Y273,0))</x:f>
      </x:c>
      <x:c r="AB273" s="41">
        <x:f>IF(AA273&gt;0,AA273,0)</x:f>
      </x:c>
      <x:c r="AC273" s="41">
        <x:f>IF(Y273&gt;0,Y273+IF(AB273&gt;0,AB273,0),AB273)</x:f>
      </x:c>
      <x:c r="AD273" s="46">
        <x:v>27.456</x:v>
      </x:c>
      <x:c r="AE273" s="25">
        <x:v>3027</x:v>
      </x:c>
      <x:c r="AF273" s="41">
        <x:f>(AC273-(60*Ventas!AE258*1.2350))</x:f>
      </x:c>
      <x:c r="AG273" s="43">
        <x:f>(AF273/(Ventas!AE258*1.2350)/60)</x:f>
      </x:c>
      <x:c r="AH273" s="7" t="s">
        <x:v>34</x:v>
      </x:c>
    </x:row>
    <x:row r="274">
      <x:c r="A274" s="7" t="s">
        <x:v>545</x:v>
      </x:c>
      <x:c r="B274" s="7" t="s">
        <x:v>544</x:v>
      </x:c>
      <x:c r="C274" s="38" t="s">
        <x:v>543</x:v>
      </x:c>
      <x:c r="D274" s="9"/>
      <x:c r="E274" s="39">
        <x:v>46230</x:v>
      </x:c>
      <x:c r="F274" s="40">
        <x:v>5</x:v>
      </x:c>
      <x:c r="G274" s="41">
        <x:f>(D274-(0)+0-(F274*Ventas!AE259*1.8000))</x:f>
      </x:c>
      <x:c r="H274" s="43">
        <x:f>(G274/(Ventas!AE259*1.8000)/60)</x:f>
      </x:c>
      <x:c r="I274" s="25">
        <x:v>30</x:v>
      </x:c>
      <x:c r="J274" s="41">
        <x:f>IF(G274&gt;0,G274+I274,I274)</x:f>
      </x:c>
      <x:c r="K274" s="41">
        <x:v>11.44</x:v>
      </x:c>
      <x:c r="L274" s="41">
        <x:v>10</x:v>
      </x:c>
      <x:c r="M274" s="45">
        <x:v>0.0029</x:v>
      </x:c>
      <x:c r="N274" s="39">
        <x:v>46275</x:v>
      </x:c>
      <x:c r="O274" s="40">
        <x:v>45</x:v>
      </x:c>
      <x:c r="P274" s="41">
        <x:f>(IF(G274&gt;0,G274+I274,I274)-(O274*Ventas!AE259*1.0044))</x:f>
      </x:c>
      <x:c r="Q274" s="43">
        <x:f>(P274/(Ventas!AE259*1.0044)/60)</x:f>
      </x:c>
      <x:c r="R274" s="25">
        <x:v>20</x:v>
      </x:c>
      <x:c r="S274" s="41">
        <x:f>IF(P274&gt;0,P274+R274,R274)</x:f>
      </x:c>
      <x:c r="T274" s="41">
        <x:v>10.9</x:v>
      </x:c>
      <x:c r="U274" s="41">
        <x:v>10</x:v>
      </x:c>
      <x:c r="V274" s="45">
        <x:v>0.0029</x:v>
      </x:c>
      <x:c r="W274" s="39">
        <x:v>46331</x:v>
      </x:c>
      <x:c r="X274" s="40">
        <x:v>56</x:v>
      </x:c>
      <x:c r="Y274" s="41">
        <x:f>(IF(P274&gt;0,P274+R274,R274)-(X274*Ventas!AE259*0.9018))</x:f>
      </x:c>
      <x:c r="Z274" s="43">
        <x:f>(Y274/(Ventas!AE259*0.9018)/60)</x:f>
      </x:c>
      <x:c r="AA274" s="41">
        <x:f>(100*(Ventas!AE259*1.2350) - IF(Y274&gt;0,Y274,0))</x:f>
      </x:c>
      <x:c r="AB274" s="41">
        <x:f>IF(AA274&gt;0,AA274,0)</x:f>
      </x:c>
      <x:c r="AC274" s="41">
        <x:f>IF(Y274&gt;0,Y274+IF(AB274&gt;0,AB274,0),AB274)</x:f>
      </x:c>
      <x:c r="AD274" s="46">
        <x:v>11.44</x:v>
      </x:c>
      <x:c r="AE274" s="25">
        <x:v>3027</x:v>
      </x:c>
      <x:c r="AF274" s="41">
        <x:f>(AC274-(60*Ventas!AE259*1.2350))</x:f>
      </x:c>
      <x:c r="AG274" s="43">
        <x:f>(AF274/(Ventas!AE259*1.2350)/60)</x:f>
      </x:c>
      <x:c r="AH274" s="7" t="s">
        <x:v>34</x:v>
      </x:c>
    </x:row>
    <x:row r="275">
      <x:c r="A275" s="7"/>
      <x:c r="B275" s="7" t="s">
        <x:v>547</x:v>
      </x:c>
      <x:c r="C275" s="38" t="s">
        <x:v>546</x:v>
      </x:c>
      <x:c r="D275" s="25">
        <x:v>42</x:v>
      </x:c>
      <x:c r="E275" s="39">
        <x:v>46230</x:v>
      </x:c>
      <x:c r="F275" s="40">
        <x:v>5</x:v>
      </x:c>
      <x:c r="G275" s="41">
        <x:f>(D275-(0)+0-(F275*Ventas!AE260*1.8000))</x:f>
      </x:c>
      <x:c r="H275" s="43">
        <x:f>(G275/(Ventas!AE260*1.8000)/60)</x:f>
      </x:c>
      <x:c r="I275" s="25">
        <x:v>0</x:v>
      </x:c>
      <x:c r="J275" s="41">
        <x:f>IF(G275&gt;0,G275+I275,I275)</x:f>
      </x:c>
      <x:c r="K275" s="9"/>
      <x:c r="L275" s="9"/>
      <x:c r="M275" s="9"/>
      <x:c r="N275" s="39">
        <x:v>46275</x:v>
      </x:c>
      <x:c r="O275" s="40">
        <x:v>45</x:v>
      </x:c>
      <x:c r="P275" s="41">
        <x:f>(IF(G275&gt;0,G275+I275,I275)-(O275*Ventas!AE260*1.0044))</x:f>
      </x:c>
      <x:c r="Q275" s="43">
        <x:f>(P275/(Ventas!AE260*1.0044)/60)</x:f>
      </x:c>
      <x:c r="R275" s="25">
        <x:v>0</x:v>
      </x:c>
      <x:c r="S275" s="41">
        <x:f>IF(P275&gt;0,P275+R275,R275)</x:f>
      </x:c>
      <x:c r="T275" s="9"/>
      <x:c r="U275" s="9"/>
      <x:c r="V275" s="9"/>
      <x:c r="W275" s="39">
        <x:v>46331</x:v>
      </x:c>
      <x:c r="X275" s="40">
        <x:v>56</x:v>
      </x:c>
      <x:c r="Y275" s="41">
        <x:f>(IF(P275&gt;0,P275+R275,R275)-(X275*Ventas!AE260*0.9018))</x:f>
      </x:c>
      <x:c r="Z275" s="43">
        <x:f>(Y275/(Ventas!AE260*0.9018)/60)</x:f>
      </x:c>
      <x:c r="AA275" s="41">
        <x:f>(100*(Ventas!AE260*1.2350) - IF(Y275&gt;0,Y275,0))</x:f>
      </x:c>
      <x:c r="AB275" s="41">
        <x:f>IF(AA275&gt;0,AA275,0)</x:f>
      </x:c>
      <x:c r="AC275" s="41">
        <x:f>IF(Y275&gt;0,Y275+IF(AB275&gt;0,AB275,0),AB275)</x:f>
      </x:c>
      <x:c r="AD275" s="46">
        <x:v>2.357</x:v>
      </x:c>
      <x:c r="AE275" s="25">
        <x:v>3010</x:v>
      </x:c>
      <x:c r="AF275" s="41">
        <x:f>(AC275-(60*Ventas!AE260*1.2350))</x:f>
      </x:c>
      <x:c r="AG275" s="43">
        <x:f>(AF275/(Ventas!AE260*1.2350)/60)</x:f>
      </x:c>
      <x:c r="AH275" s="7" t="s">
        <x:v>34</x:v>
      </x:c>
    </x:row>
    <x:row r="276">
      <x:c r="A276" s="7"/>
      <x:c r="B276" s="7" t="s">
        <x:v>549</x:v>
      </x:c>
      <x:c r="C276" s="38" t="s">
        <x:v>548</x:v>
      </x:c>
      <x:c r="D276" s="25">
        <x:v>23</x:v>
      </x:c>
      <x:c r="E276" s="39">
        <x:v>46230</x:v>
      </x:c>
      <x:c r="F276" s="40">
        <x:v>5</x:v>
      </x:c>
      <x:c r="G276" s="41">
        <x:f>(D276-(0)+0-(F276*Ventas!AE261*1.8000))</x:f>
      </x:c>
      <x:c r="H276" s="43">
        <x:f>(G276/(Ventas!AE261*1.8000)/60)</x:f>
      </x:c>
      <x:c r="I276" s="25">
        <x:v>50</x:v>
      </x:c>
      <x:c r="J276" s="41">
        <x:f>IF(G276&gt;0,G276+I276,I276)</x:f>
      </x:c>
      <x:c r="K276" s="41">
        <x:v>5.4</x:v>
      </x:c>
      <x:c r="L276" s="9"/>
      <x:c r="M276" s="9"/>
      <x:c r="N276" s="39">
        <x:v>46275</x:v>
      </x:c>
      <x:c r="O276" s="40">
        <x:v>45</x:v>
      </x:c>
      <x:c r="P276" s="41">
        <x:f>(IF(G276&gt;0,G276+I276,I276)-(O276*Ventas!AE261*1.0044))</x:f>
      </x:c>
      <x:c r="Q276" s="43">
        <x:f>(P276/(Ventas!AE261*1.0044)/60)</x:f>
      </x:c>
      <x:c r="R276" s="25">
        <x:v>0</x:v>
      </x:c>
      <x:c r="S276" s="41">
        <x:f>IF(P276&gt;0,P276+R276,R276)</x:f>
      </x:c>
      <x:c r="T276" s="9"/>
      <x:c r="U276" s="41">
        <x:v>50</x:v>
      </x:c>
      <x:c r="V276" s="45">
        <x:v>0.00054</x:v>
      </x:c>
      <x:c r="W276" s="39">
        <x:v>46331</x:v>
      </x:c>
      <x:c r="X276" s="40">
        <x:v>56</x:v>
      </x:c>
      <x:c r="Y276" s="41">
        <x:f>(IF(P276&gt;0,P276+R276,R276)-(X276*Ventas!AE261*0.9018))</x:f>
      </x:c>
      <x:c r="Z276" s="43">
        <x:f>(Y276/(Ventas!AE261*0.9018)/60)</x:f>
      </x:c>
      <x:c r="AA276" s="41">
        <x:f>(100*(Ventas!AE261*1.2350) - IF(Y276&gt;0,Y276,0))</x:f>
      </x:c>
      <x:c r="AB276" s="41">
        <x:f>IF(AA276&gt;0,AA276,0)</x:f>
      </x:c>
      <x:c r="AC276" s="41">
        <x:f>IF(Y276&gt;0,Y276+IF(AB276&gt;0,AB276,0),AB276)</x:f>
      </x:c>
      <x:c r="AD276" s="46">
        <x:v>5.4</x:v>
      </x:c>
      <x:c r="AE276" s="25">
        <x:v>3027</x:v>
      </x:c>
      <x:c r="AF276" s="41">
        <x:f>(AC276-(60*Ventas!AE261*1.2350))</x:f>
      </x:c>
      <x:c r="AG276" s="43">
        <x:f>(AF276/(Ventas!AE261*1.2350)/60)</x:f>
      </x:c>
      <x:c r="AH276" s="7" t="s">
        <x:v>34</x:v>
      </x:c>
    </x:row>
    <x:row r="277">
      <x:c r="A277" s="7"/>
      <x:c r="B277" s="7" t="s">
        <x:v>551</x:v>
      </x:c>
      <x:c r="C277" s="38" t="s">
        <x:v>550</x:v>
      </x:c>
      <x:c r="D277" s="9"/>
      <x:c r="E277" s="39">
        <x:v>46230</x:v>
      </x:c>
      <x:c r="F277" s="40">
        <x:v>5</x:v>
      </x:c>
      <x:c r="G277" s="41">
        <x:f>(D277-(0)+0-(F277*Ventas!AE262*1.8000))</x:f>
      </x:c>
      <x:c r="H277" s="43">
        <x:f>(G277/(Ventas!AE262*1.8000)/60)</x:f>
      </x:c>
      <x:c r="I277" s="25">
        <x:v>0</x:v>
      </x:c>
      <x:c r="J277" s="41">
        <x:f>IF(G277&gt;0,G277+I277,I277)</x:f>
      </x:c>
      <x:c r="K277" s="9"/>
      <x:c r="L277" s="9"/>
      <x:c r="M277" s="9"/>
      <x:c r="N277" s="39">
        <x:v>46275</x:v>
      </x:c>
      <x:c r="O277" s="40">
        <x:v>45</x:v>
      </x:c>
      <x:c r="P277" s="41">
        <x:f>(IF(G277&gt;0,G277+I277,I277)-(O277*Ventas!AE262*1.0044))</x:f>
      </x:c>
      <x:c r="Q277" s="43">
        <x:f>(P277/(Ventas!AE262*1.0044)/60)</x:f>
      </x:c>
      <x:c r="R277" s="25">
        <x:v>0</x:v>
      </x:c>
      <x:c r="S277" s="41">
        <x:f>IF(P277&gt;0,P277+R277,R277)</x:f>
      </x:c>
      <x:c r="T277" s="9"/>
      <x:c r="U277" s="9"/>
      <x:c r="V277" s="9"/>
      <x:c r="W277" s="39">
        <x:v>46331</x:v>
      </x:c>
      <x:c r="X277" s="40">
        <x:v>56</x:v>
      </x:c>
      <x:c r="Y277" s="41">
        <x:f>(IF(P277&gt;0,P277+R277,R277)-(X277*Ventas!AE262*0.9018))</x:f>
      </x:c>
      <x:c r="Z277" s="43">
        <x:f>(Y277/(Ventas!AE262*0.9018)/60)</x:f>
      </x:c>
      <x:c r="AA277" s="41">
        <x:f>(100*(Ventas!AE262*1.2350) - IF(Y277&gt;0,Y277,0))</x:f>
      </x:c>
      <x:c r="AB277" s="41">
        <x:f>IF(AA277&gt;0,AA277,0)</x:f>
      </x:c>
      <x:c r="AC277" s="41">
        <x:f>IF(Y277&gt;0,Y277+IF(AB277&gt;0,AB277,0),AB277)</x:f>
      </x:c>
      <x:c r="AD277" s="46">
        <x:v>3.339</x:v>
      </x:c>
      <x:c r="AE277" s="25">
        <x:v>3010</x:v>
      </x:c>
      <x:c r="AF277" s="41">
        <x:f>(AC277-(60*Ventas!AE262*1.2350))</x:f>
      </x:c>
      <x:c r="AG277" s="43">
        <x:f>(AF277/(Ventas!AE262*1.2350)/60)</x:f>
      </x:c>
      <x:c r="AH277" s="7" t="s">
        <x:v>34</x:v>
      </x:c>
    </x:row>
    <x:row r="278">
      <x:c r="A278" s="7" t="s">
        <x:v>933</x:v>
      </x:c>
      <x:c r="B278" s="7" t="s">
        <x:v>932</x:v>
      </x:c>
      <x:c r="C278" s="38" t="s">
        <x:v>931</x:v>
      </x:c>
      <x:c r="D278" s="9"/>
      <x:c r="E278" s="39">
        <x:v>46230</x:v>
      </x:c>
      <x:c r="F278" s="40">
        <x:v>5</x:v>
      </x:c>
      <x:c r="G278" s="41">
        <x:f>(D278-(0)+0-(F278*Ventas!AE416*1.8000))</x:f>
      </x:c>
      <x:c r="H278" s="43">
        <x:f>(G278/(Ventas!AE416*1.8000)/60)</x:f>
      </x:c>
      <x:c r="I278" s="25">
        <x:v>0</x:v>
      </x:c>
      <x:c r="J278" s="41">
        <x:f>IF(G278&gt;0,G278+I278,I278)</x:f>
      </x:c>
      <x:c r="K278" s="9"/>
      <x:c r="L278" s="41">
        <x:v>50</x:v>
      </x:c>
      <x:c r="M278" s="45">
        <x:v>0.00044</x:v>
      </x:c>
      <x:c r="N278" s="39">
        <x:v>46275</x:v>
      </x:c>
      <x:c r="O278" s="40">
        <x:v>45</x:v>
      </x:c>
      <x:c r="P278" s="41">
        <x:f>(IF(G278&gt;0,G278+I278,I278)-(O278*Ventas!AE416*1.0044))</x:f>
      </x:c>
      <x:c r="Q278" s="43">
        <x:f>(P278/(Ventas!AE416*1.0044)/60)</x:f>
      </x:c>
      <x:c r="R278" s="25">
        <x:v>0</x:v>
      </x:c>
      <x:c r="S278" s="41">
        <x:f>IF(P278&gt;0,P278+R278,R278)</x:f>
      </x:c>
      <x:c r="T278" s="9"/>
      <x:c r="U278" s="41">
        <x:v>50</x:v>
      </x:c>
      <x:c r="V278" s="45">
        <x:v>0.00044</x:v>
      </x:c>
      <x:c r="W278" s="39">
        <x:v>46331</x:v>
      </x:c>
      <x:c r="X278" s="40">
        <x:v>56</x:v>
      </x:c>
      <x:c r="Y278" s="41">
        <x:f>(IF(P278&gt;0,P278+R278,R278)-(X278*Ventas!AE416*0.9018))</x:f>
      </x:c>
      <x:c r="Z278" s="43">
        <x:f>(Y278/(Ventas!AE416*0.9018)/60)</x:f>
      </x:c>
      <x:c r="AA278" s="41">
        <x:f>(100*(Ventas!AE416*1.2350) - IF(Y278&gt;0,Y278,0))</x:f>
      </x:c>
      <x:c r="AB278" s="41">
        <x:f>IF(AA278&gt;0,AA278,0)</x:f>
      </x:c>
      <x:c r="AC278" s="41">
        <x:f>IF(Y278&gt;0,Y278+IF(AB278&gt;0,AB278,0),AB278)</x:f>
      </x:c>
      <x:c r="AD278" s="46">
        <x:v>8.7404</x:v>
      </x:c>
      <x:c r="AE278" s="25">
        <x:v>3010</x:v>
      </x:c>
      <x:c r="AF278" s="41">
        <x:f>(AC278-(60*Ventas!AE416*1.2350))</x:f>
      </x:c>
      <x:c r="AG278" s="43">
        <x:f>(AF278/(Ventas!AE416*1.2350)/60)</x:f>
      </x:c>
      <x:c r="AH278" s="7" t="s">
        <x:v>34</x:v>
      </x:c>
    </x:row>
    <x:row r="279">
      <x:c r="A279" s="7" t="s">
        <x:v>936</x:v>
      </x:c>
      <x:c r="B279" s="7" t="s">
        <x:v>935</x:v>
      </x:c>
      <x:c r="C279" s="38" t="s">
        <x:v>934</x:v>
      </x:c>
      <x:c r="D279" s="25">
        <x:v>11</x:v>
      </x:c>
      <x:c r="E279" s="39">
        <x:v>46230</x:v>
      </x:c>
      <x:c r="F279" s="40">
        <x:v>5</x:v>
      </x:c>
      <x:c r="G279" s="41">
        <x:f>(D279-(0)+0-(F279*Ventas!AE417*1.8000))</x:f>
      </x:c>
      <x:c r="H279" s="43">
        <x:f>(G279/(Ventas!AE417*1.8000)/60)</x:f>
      </x:c>
      <x:c r="I279" s="25">
        <x:v>0</x:v>
      </x:c>
      <x:c r="J279" s="41">
        <x:f>IF(G279&gt;0,G279+I279,I279)</x:f>
      </x:c>
      <x:c r="K279" s="9"/>
      <x:c r="L279" s="41">
        <x:v>50</x:v>
      </x:c>
      <x:c r="M279" s="45">
        <x:v>0.00044</x:v>
      </x:c>
      <x:c r="N279" s="39">
        <x:v>46275</x:v>
      </x:c>
      <x:c r="O279" s="40">
        <x:v>45</x:v>
      </x:c>
      <x:c r="P279" s="41">
        <x:f>(IF(G279&gt;0,G279+I279,I279)-(O279*Ventas!AE417*1.0044))</x:f>
      </x:c>
      <x:c r="Q279" s="43">
        <x:f>(P279/(Ventas!AE417*1.0044)/60)</x:f>
      </x:c>
      <x:c r="R279" s="25">
        <x:v>50</x:v>
      </x:c>
      <x:c r="S279" s="41">
        <x:f>IF(P279&gt;0,P279+R279,R279)</x:f>
      </x:c>
      <x:c r="T279" s="41">
        <x:v>11.9</x:v>
      </x:c>
      <x:c r="U279" s="41">
        <x:v>50</x:v>
      </x:c>
      <x:c r="V279" s="45">
        <x:v>0.00044</x:v>
      </x:c>
      <x:c r="W279" s="39">
        <x:v>46331</x:v>
      </x:c>
      <x:c r="X279" s="40">
        <x:v>56</x:v>
      </x:c>
      <x:c r="Y279" s="41">
        <x:f>(IF(P279&gt;0,P279+R279,R279)-(X279*Ventas!AE417*0.9018))</x:f>
      </x:c>
      <x:c r="Z279" s="43">
        <x:f>(Y279/(Ventas!AE417*0.9018)/60)</x:f>
      </x:c>
      <x:c r="AA279" s="41">
        <x:f>(100*(Ventas!AE417*1.2350) - IF(Y279&gt;0,Y279,0))</x:f>
      </x:c>
      <x:c r="AB279" s="41">
        <x:f>IF(AA279&gt;0,AA279,0)</x:f>
      </x:c>
      <x:c r="AC279" s="41">
        <x:f>IF(Y279&gt;0,Y279+IF(AB279&gt;0,AB279,0),AB279)</x:f>
      </x:c>
      <x:c r="AD279" s="46">
        <x:v>11.6866</x:v>
      </x:c>
      <x:c r="AE279" s="25">
        <x:v>3010</x:v>
      </x:c>
      <x:c r="AF279" s="41">
        <x:f>(AC279-(60*Ventas!AE417*1.2350))</x:f>
      </x:c>
      <x:c r="AG279" s="43">
        <x:f>(AF279/(Ventas!AE417*1.2350)/60)</x:f>
      </x:c>
      <x:c r="AH279" s="7" t="s">
        <x:v>34</x:v>
      </x:c>
    </x:row>
    <x:row r="280">
      <x:c r="A280" s="7" t="s">
        <x:v>560</x:v>
      </x:c>
      <x:c r="B280" s="7" t="s">
        <x:v>559</x:v>
      </x:c>
      <x:c r="C280" s="38" t="s">
        <x:v>558</x:v>
      </x:c>
      <x:c r="D280" s="25">
        <x:v>344</x:v>
      </x:c>
      <x:c r="E280" s="39">
        <x:v>46230</x:v>
      </x:c>
      <x:c r="F280" s="40">
        <x:v>5</x:v>
      </x:c>
      <x:c r="G280" s="41">
        <x:f>(D280-(0)+0-(F280*Ventas!AE266*1.8000))</x:f>
      </x:c>
      <x:c r="H280" s="43">
        <x:f>(G280/(Ventas!AE266*1.8000)/60)</x:f>
      </x:c>
      <x:c r="I280" s="25">
        <x:v>0</x:v>
      </x:c>
      <x:c r="J280" s="41">
        <x:f>IF(G280&gt;0,G280+I280,I280)</x:f>
      </x:c>
      <x:c r="K280" s="9"/>
      <x:c r="L280" s="41">
        <x:v>20</x:v>
      </x:c>
      <x:c r="M280" s="45">
        <x:v>0.002</x:v>
      </x:c>
      <x:c r="N280" s="39">
        <x:v>46275</x:v>
      </x:c>
      <x:c r="O280" s="40">
        <x:v>45</x:v>
      </x:c>
      <x:c r="P280" s="41">
        <x:f>(IF(G280&gt;0,G280+I280,I280)-(O280*Ventas!AE266*1.0044))</x:f>
      </x:c>
      <x:c r="Q280" s="43">
        <x:f>(P280/(Ventas!AE266*1.0044)/60)</x:f>
      </x:c>
      <x:c r="R280" s="25">
        <x:v>0</x:v>
      </x:c>
      <x:c r="S280" s="41">
        <x:f>IF(P280&gt;0,P280+R280,R280)</x:f>
      </x:c>
      <x:c r="T280" s="9"/>
      <x:c r="U280" s="41">
        <x:v>20</x:v>
      </x:c>
      <x:c r="V280" s="45">
        <x:v>0.002</x:v>
      </x:c>
      <x:c r="W280" s="39">
        <x:v>46331</x:v>
      </x:c>
      <x:c r="X280" s="40">
        <x:v>56</x:v>
      </x:c>
      <x:c r="Y280" s="41">
        <x:f>(IF(P280&gt;0,P280+R280,R280)-(X280*Ventas!AE266*0.9018))</x:f>
      </x:c>
      <x:c r="Z280" s="43">
        <x:f>(Y280/(Ventas!AE266*0.9018)/60)</x:f>
      </x:c>
      <x:c r="AA280" s="41">
        <x:f>(100*(Ventas!AE266*1.2350) - IF(Y280&gt;0,Y280,0))</x:f>
      </x:c>
      <x:c r="AB280" s="41">
        <x:f>IF(AA280&gt;0,AA280,0)</x:f>
      </x:c>
      <x:c r="AC280" s="41">
        <x:f>IF(Y280&gt;0,Y280+IF(AB280&gt;0,AB280,0),AB280)</x:f>
      </x:c>
      <x:c r="AD280" s="46">
        <x:v>6.7</x:v>
      </x:c>
      <x:c r="AE280" s="25">
        <x:v>3027</x:v>
      </x:c>
      <x:c r="AF280" s="41">
        <x:f>(AC280-(60*Ventas!AE266*1.2350))</x:f>
      </x:c>
      <x:c r="AG280" s="43">
        <x:f>(AF280/(Ventas!AE266*1.2350)/60)</x:f>
      </x:c>
      <x:c r="AH280" s="7" t="s">
        <x:v>34</x:v>
      </x:c>
    </x:row>
    <x:row r="281">
      <x:c r="A281" s="7"/>
      <x:c r="B281" s="7" t="s">
        <x:v>562</x:v>
      </x:c>
      <x:c r="C281" s="38" t="s">
        <x:v>561</x:v>
      </x:c>
      <x:c r="D281" s="25">
        <x:v>98</x:v>
      </x:c>
      <x:c r="E281" s="39">
        <x:v>46230</x:v>
      </x:c>
      <x:c r="F281" s="40">
        <x:v>5</x:v>
      </x:c>
      <x:c r="G281" s="41">
        <x:f>(D281-(0)+0-(F281*Ventas!AE267*1.8000))</x:f>
      </x:c>
      <x:c r="H281" s="43">
        <x:f>(G281/(Ventas!AE267*1.8000)/60)</x:f>
      </x:c>
      <x:c r="I281" s="25">
        <x:v>0</x:v>
      </x:c>
      <x:c r="J281" s="41">
        <x:f>IF(G281&gt;0,G281+I281,I281)</x:f>
      </x:c>
      <x:c r="K281" s="9"/>
      <x:c r="L281" s="9"/>
      <x:c r="M281" s="9"/>
      <x:c r="N281" s="39">
        <x:v>46275</x:v>
      </x:c>
      <x:c r="O281" s="40">
        <x:v>45</x:v>
      </x:c>
      <x:c r="P281" s="41">
        <x:f>(IF(G281&gt;0,G281+I281,I281)-(O281*Ventas!AE267*1.0044))</x:f>
      </x:c>
      <x:c r="Q281" s="43">
        <x:f>(P281/(Ventas!AE267*1.0044)/60)</x:f>
      </x:c>
      <x:c r="R281" s="25">
        <x:v>0</x:v>
      </x:c>
      <x:c r="S281" s="41">
        <x:f>IF(P281&gt;0,P281+R281,R281)</x:f>
      </x:c>
      <x:c r="T281" s="9"/>
      <x:c r="U281" s="9"/>
      <x:c r="V281" s="9"/>
      <x:c r="W281" s="39">
        <x:v>46331</x:v>
      </x:c>
      <x:c r="X281" s="40">
        <x:v>56</x:v>
      </x:c>
      <x:c r="Y281" s="41">
        <x:f>(IF(P281&gt;0,P281+R281,R281)-(X281*Ventas!AE267*0.9018))</x:f>
      </x:c>
      <x:c r="Z281" s="43">
        <x:f>(Y281/(Ventas!AE267*0.9018)/60)</x:f>
      </x:c>
      <x:c r="AA281" s="41">
        <x:f>(100*(Ventas!AE267*1.2350) - IF(Y281&gt;0,Y281,0))</x:f>
      </x:c>
      <x:c r="AB281" s="41">
        <x:f>IF(AA281&gt;0,AA281,0)</x:f>
      </x:c>
      <x:c r="AC281" s="41">
        <x:f>IF(Y281&gt;0,Y281+IF(AB281&gt;0,AB281,0),AB281)</x:f>
      </x:c>
      <x:c r="AD281" s="46">
        <x:v>12.9</x:v>
      </x:c>
      <x:c r="AE281" s="25">
        <x:v>3027</x:v>
      </x:c>
      <x:c r="AF281" s="41">
        <x:f>(AC281-(60*Ventas!AE267*1.2350))</x:f>
      </x:c>
      <x:c r="AG281" s="43">
        <x:f>(AF281/(Ventas!AE267*1.2350)/60)</x:f>
      </x:c>
      <x:c r="AH281" s="7" t="s">
        <x:v>107</x:v>
      </x:c>
    </x:row>
    <x:row r="282">
      <x:c r="A282" s="7" t="s">
        <x:v>565</x:v>
      </x:c>
      <x:c r="B282" s="7" t="s">
        <x:v>564</x:v>
      </x:c>
      <x:c r="C282" s="38" t="s">
        <x:v>563</x:v>
      </x:c>
      <x:c r="D282" s="25">
        <x:v>57</x:v>
      </x:c>
      <x:c r="E282" s="39">
        <x:v>46230</x:v>
      </x:c>
      <x:c r="F282" s="40">
        <x:v>5</x:v>
      </x:c>
      <x:c r="G282" s="41">
        <x:f>(D282-(0)+0-(F282*Ventas!AE268*1.8000))</x:f>
      </x:c>
      <x:c r="H282" s="43">
        <x:f>(G282/(Ventas!AE268*1.8000)/60)</x:f>
      </x:c>
      <x:c r="I282" s="25">
        <x:v>0</x:v>
      </x:c>
      <x:c r="J282" s="41">
        <x:f>IF(G282&gt;0,G282+I282,I282)</x:f>
      </x:c>
      <x:c r="K282" s="9"/>
      <x:c r="L282" s="41">
        <x:v>20</x:v>
      </x:c>
      <x:c r="M282" s="45">
        <x:v>0.0043</x:v>
      </x:c>
      <x:c r="N282" s="39">
        <x:v>46275</x:v>
      </x:c>
      <x:c r="O282" s="40">
        <x:v>45</x:v>
      </x:c>
      <x:c r="P282" s="41">
        <x:f>(IF(G282&gt;0,G282+I282,I282)-(O282*Ventas!AE268*1.0044))</x:f>
      </x:c>
      <x:c r="Q282" s="43">
        <x:f>(P282/(Ventas!AE268*1.0044)/60)</x:f>
      </x:c>
      <x:c r="R282" s="25">
        <x:v>0</x:v>
      </x:c>
      <x:c r="S282" s="41">
        <x:f>IF(P282&gt;0,P282+R282,R282)</x:f>
      </x:c>
      <x:c r="T282" s="9"/>
      <x:c r="U282" s="41">
        <x:v>20</x:v>
      </x:c>
      <x:c r="V282" s="45">
        <x:v>0.0043</x:v>
      </x:c>
      <x:c r="W282" s="39">
        <x:v>46331</x:v>
      </x:c>
      <x:c r="X282" s="40">
        <x:v>56</x:v>
      </x:c>
      <x:c r="Y282" s="41">
        <x:f>(IF(P282&gt;0,P282+R282,R282)-(X282*Ventas!AE268*0.9018))</x:f>
      </x:c>
      <x:c r="Z282" s="43">
        <x:f>(Y282/(Ventas!AE268*0.9018)/60)</x:f>
      </x:c>
      <x:c r="AA282" s="41">
        <x:f>(100*(Ventas!AE268*1.2350) - IF(Y282&gt;0,Y282,0))</x:f>
      </x:c>
      <x:c r="AB282" s="41">
        <x:f>IF(AA282&gt;0,AA282,0)</x:f>
      </x:c>
      <x:c r="AC282" s="41">
        <x:f>IF(Y282&gt;0,Y282+IF(AB282&gt;0,AB282,0),AB282)</x:f>
      </x:c>
      <x:c r="AD282" s="46">
        <x:v>16.7934</x:v>
      </x:c>
      <x:c r="AE282" s="25">
        <x:v>3010</x:v>
      </x:c>
      <x:c r="AF282" s="41">
        <x:f>(AC282-(60*Ventas!AE268*1.2350))</x:f>
      </x:c>
      <x:c r="AG282" s="43">
        <x:f>(AF282/(Ventas!AE268*1.2350)/60)</x:f>
      </x:c>
      <x:c r="AH282" s="7" t="s">
        <x:v>34</x:v>
      </x:c>
    </x:row>
    <x:row r="283">
      <x:c r="A283" s="7" t="s">
        <x:v>606</x:v>
      </x:c>
      <x:c r="B283" s="7" t="s">
        <x:v>605</x:v>
      </x:c>
      <x:c r="C283" s="38" t="s">
        <x:v>604</x:v>
      </x:c>
      <x:c r="D283" s="25">
        <x:v>11</x:v>
      </x:c>
      <x:c r="E283" s="39">
        <x:v>46230</x:v>
      </x:c>
      <x:c r="F283" s="40">
        <x:v>5</x:v>
      </x:c>
      <x:c r="G283" s="41">
        <x:f>(D283-(0)+0-(F283*Ventas!AE282*1.8000))</x:f>
      </x:c>
      <x:c r="H283" s="43">
        <x:f>(G283/(Ventas!AE282*1.8000)/60)</x:f>
      </x:c>
      <x:c r="I283" s="25">
        <x:v>70</x:v>
      </x:c>
      <x:c r="J283" s="41">
        <x:f>IF(G283&gt;0,G283+I283,I283)</x:f>
      </x:c>
      <x:c r="K283" s="41">
        <x:v>16.016</x:v>
      </x:c>
      <x:c r="L283" s="41">
        <x:v>10</x:v>
      </x:c>
      <x:c r="M283" s="45">
        <x:v>0.0054</x:v>
      </x:c>
      <x:c r="N283" s="39">
        <x:v>46275</x:v>
      </x:c>
      <x:c r="O283" s="40">
        <x:v>45</x:v>
      </x:c>
      <x:c r="P283" s="41">
        <x:f>(IF(G283&gt;0,G283+I283,I283)-(O283*Ventas!AE282*1.0044))</x:f>
      </x:c>
      <x:c r="Q283" s="43">
        <x:f>(P283/(Ventas!AE282*1.0044)/60)</x:f>
      </x:c>
      <x:c r="R283" s="25">
        <x:v>30</x:v>
      </x:c>
      <x:c r="S283" s="41">
        <x:f>IF(P283&gt;0,P283+R283,R283)</x:f>
      </x:c>
      <x:c r="T283" s="41">
        <x:v>16</x:v>
      </x:c>
      <x:c r="U283" s="41">
        <x:v>10</x:v>
      </x:c>
      <x:c r="V283" s="45">
        <x:v>0.0054</x:v>
      </x:c>
      <x:c r="W283" s="39">
        <x:v>46331</x:v>
      </x:c>
      <x:c r="X283" s="40">
        <x:v>56</x:v>
      </x:c>
      <x:c r="Y283" s="41">
        <x:f>(IF(P283&gt;0,P283+R283,R283)-(X283*Ventas!AE282*0.9018))</x:f>
      </x:c>
      <x:c r="Z283" s="43">
        <x:f>(Y283/(Ventas!AE282*0.9018)/60)</x:f>
      </x:c>
      <x:c r="AA283" s="41">
        <x:f>(100*(Ventas!AE282*1.2350) - IF(Y283&gt;0,Y283,0))</x:f>
      </x:c>
      <x:c r="AB283" s="41">
        <x:f>IF(AA283&gt;0,AA283,0)</x:f>
      </x:c>
      <x:c r="AC283" s="41">
        <x:f>IF(Y283&gt;0,Y283+IF(AB283&gt;0,AB283,0),AB283)</x:f>
      </x:c>
      <x:c r="AD283" s="46">
        <x:v>16.016</x:v>
      </x:c>
      <x:c r="AE283" s="25">
        <x:v>3027</x:v>
      </x:c>
      <x:c r="AF283" s="41">
        <x:f>(AC283-(60*Ventas!AE282*1.2350))</x:f>
      </x:c>
      <x:c r="AG283" s="43">
        <x:f>(AF283/(Ventas!AE282*1.2350)/60)</x:f>
      </x:c>
      <x:c r="AH283" s="7" t="s">
        <x:v>34</x:v>
      </x:c>
    </x:row>
    <x:row r="284">
      <x:c r="A284" s="7" t="s">
        <x:v>609</x:v>
      </x:c>
      <x:c r="B284" s="7" t="s">
        <x:v>608</x:v>
      </x:c>
      <x:c r="C284" s="38" t="s">
        <x:v>607</x:v>
      </x:c>
      <x:c r="D284" s="25">
        <x:v>122</x:v>
      </x:c>
      <x:c r="E284" s="39">
        <x:v>46230</x:v>
      </x:c>
      <x:c r="F284" s="40">
        <x:v>5</x:v>
      </x:c>
      <x:c r="G284" s="41">
        <x:f>(D284-(0)+0-(F284*Ventas!AE283*1.8000))</x:f>
      </x:c>
      <x:c r="H284" s="43">
        <x:f>(G284/(Ventas!AE283*1.8000)/60)</x:f>
      </x:c>
      <x:c r="I284" s="25">
        <x:v>0</x:v>
      </x:c>
      <x:c r="J284" s="41">
        <x:f>IF(G284&gt;0,G284+I284,I284)</x:f>
      </x:c>
      <x:c r="K284" s="9"/>
      <x:c r="L284" s="41">
        <x:v>20</x:v>
      </x:c>
      <x:c r="M284" s="45">
        <x:v>0.00195</x:v>
      </x:c>
      <x:c r="N284" s="39">
        <x:v>46275</x:v>
      </x:c>
      <x:c r="O284" s="40">
        <x:v>45</x:v>
      </x:c>
      <x:c r="P284" s="41">
        <x:f>(IF(G284&gt;0,G284+I284,I284)-(O284*Ventas!AE283*1.0044))</x:f>
      </x:c>
      <x:c r="Q284" s="43">
        <x:f>(P284/(Ventas!AE283*1.0044)/60)</x:f>
      </x:c>
      <x:c r="R284" s="25">
        <x:v>0</x:v>
      </x:c>
      <x:c r="S284" s="41">
        <x:f>IF(P284&gt;0,P284+R284,R284)</x:f>
      </x:c>
      <x:c r="T284" s="9"/>
      <x:c r="U284" s="41">
        <x:v>20</x:v>
      </x:c>
      <x:c r="V284" s="45">
        <x:v>0.00195</x:v>
      </x:c>
      <x:c r="W284" s="39">
        <x:v>46331</x:v>
      </x:c>
      <x:c r="X284" s="40">
        <x:v>56</x:v>
      </x:c>
      <x:c r="Y284" s="41">
        <x:f>(IF(P284&gt;0,P284+R284,R284)-(X284*Ventas!AE283*0.9018))</x:f>
      </x:c>
      <x:c r="Z284" s="43">
        <x:f>(Y284/(Ventas!AE283*0.9018)/60)</x:f>
      </x:c>
      <x:c r="AA284" s="41">
        <x:f>(100*(Ventas!AE283*1.2350) - IF(Y284&gt;0,Y284,0))</x:f>
      </x:c>
      <x:c r="AB284" s="41">
        <x:f>IF(AA284&gt;0,AA284,0)</x:f>
      </x:c>
      <x:c r="AC284" s="41">
        <x:f>IF(Y284&gt;0,Y284+IF(AB284&gt;0,AB284,0),AB284)</x:f>
      </x:c>
      <x:c r="AD284" s="46">
        <x:v>20.9</x:v>
      </x:c>
      <x:c r="AE284" s="25">
        <x:v>3027</x:v>
      </x:c>
      <x:c r="AF284" s="41">
        <x:f>(AC284-(60*Ventas!AE283*1.2350))</x:f>
      </x:c>
      <x:c r="AG284" s="43">
        <x:f>(AF284/(Ventas!AE283*1.2350)/60)</x:f>
      </x:c>
      <x:c r="AH284" s="7" t="s">
        <x:v>34</x:v>
      </x:c>
    </x:row>
    <x:row r="285">
      <x:c r="A285" s="7" t="s">
        <x:v>612</x:v>
      </x:c>
      <x:c r="B285" s="7" t="s">
        <x:v>611</x:v>
      </x:c>
      <x:c r="C285" s="38" t="s">
        <x:v>610</x:v>
      </x:c>
      <x:c r="D285" s="25">
        <x:v>118</x:v>
      </x:c>
      <x:c r="E285" s="39">
        <x:v>46230</x:v>
      </x:c>
      <x:c r="F285" s="40">
        <x:v>5</x:v>
      </x:c>
      <x:c r="G285" s="41">
        <x:f>(D285-(0)+0-(F285*Ventas!AE284*1.8000))</x:f>
      </x:c>
      <x:c r="H285" s="43">
        <x:f>(G285/(Ventas!AE284*1.8000)/60)</x:f>
      </x:c>
      <x:c r="I285" s="25">
        <x:v>0</x:v>
      </x:c>
      <x:c r="J285" s="41">
        <x:f>IF(G285&gt;0,G285+I285,I285)</x:f>
      </x:c>
      <x:c r="K285" s="9"/>
      <x:c r="L285" s="41">
        <x:v>20</x:v>
      </x:c>
      <x:c r="M285" s="45">
        <x:v>0.00195</x:v>
      </x:c>
      <x:c r="N285" s="39">
        <x:v>46275</x:v>
      </x:c>
      <x:c r="O285" s="40">
        <x:v>45</x:v>
      </x:c>
      <x:c r="P285" s="41">
        <x:f>(IF(G285&gt;0,G285+I285,I285)-(O285*Ventas!AE284*1.0044))</x:f>
      </x:c>
      <x:c r="Q285" s="43">
        <x:f>(P285/(Ventas!AE284*1.0044)/60)</x:f>
      </x:c>
      <x:c r="R285" s="25">
        <x:v>0</x:v>
      </x:c>
      <x:c r="S285" s="41">
        <x:f>IF(P285&gt;0,P285+R285,R285)</x:f>
      </x:c>
      <x:c r="T285" s="9"/>
      <x:c r="U285" s="41">
        <x:v>20</x:v>
      </x:c>
      <x:c r="V285" s="45">
        <x:v>0.00195</x:v>
      </x:c>
      <x:c r="W285" s="39">
        <x:v>46331</x:v>
      </x:c>
      <x:c r="X285" s="40">
        <x:v>56</x:v>
      </x:c>
      <x:c r="Y285" s="41">
        <x:f>(IF(P285&gt;0,P285+R285,R285)-(X285*Ventas!AE284*0.9018))</x:f>
      </x:c>
      <x:c r="Z285" s="43">
        <x:f>(Y285/(Ventas!AE284*0.9018)/60)</x:f>
      </x:c>
      <x:c r="AA285" s="41">
        <x:f>(100*(Ventas!AE284*1.2350) - IF(Y285&gt;0,Y285,0))</x:f>
      </x:c>
      <x:c r="AB285" s="41">
        <x:f>IF(AA285&gt;0,AA285,0)</x:f>
      </x:c>
      <x:c r="AC285" s="41">
        <x:f>IF(Y285&gt;0,Y285+IF(AB285&gt;0,AB285,0),AB285)</x:f>
      </x:c>
      <x:c r="AD285" s="46">
        <x:v>20.9</x:v>
      </x:c>
      <x:c r="AE285" s="25">
        <x:v>3027</x:v>
      </x:c>
      <x:c r="AF285" s="41">
        <x:f>(AC285-(60*Ventas!AE284*1.2350))</x:f>
      </x:c>
      <x:c r="AG285" s="43">
        <x:f>(AF285/(Ventas!AE284*1.2350)/60)</x:f>
      </x:c>
      <x:c r="AH285" s="7" t="s">
        <x:v>34</x:v>
      </x:c>
    </x:row>
    <x:row r="286">
      <x:c r="A286" s="7" t="s">
        <x:v>615</x:v>
      </x:c>
      <x:c r="B286" s="7" t="s">
        <x:v>614</x:v>
      </x:c>
      <x:c r="C286" s="38" t="s">
        <x:v>613</x:v>
      </x:c>
      <x:c r="D286" s="25">
        <x:v>57</x:v>
      </x:c>
      <x:c r="E286" s="39">
        <x:v>46230</x:v>
      </x:c>
      <x:c r="F286" s="40">
        <x:v>5</x:v>
      </x:c>
      <x:c r="G286" s="41">
        <x:f>(D286-(0)+0-(F286*Ventas!AE285*1.8000))</x:f>
      </x:c>
      <x:c r="H286" s="43">
        <x:f>(G286/(Ventas!AE285*1.8000)/60)</x:f>
      </x:c>
      <x:c r="I286" s="25">
        <x:v>0</x:v>
      </x:c>
      <x:c r="J286" s="41">
        <x:f>IF(G286&gt;0,G286+I286,I286)</x:f>
      </x:c>
      <x:c r="K286" s="9"/>
      <x:c r="L286" s="41">
        <x:v>20</x:v>
      </x:c>
      <x:c r="M286" s="45">
        <x:v>0.00195</x:v>
      </x:c>
      <x:c r="N286" s="39">
        <x:v>46275</x:v>
      </x:c>
      <x:c r="O286" s="40">
        <x:v>45</x:v>
      </x:c>
      <x:c r="P286" s="41">
        <x:f>(IF(G286&gt;0,G286+I286,I286)-(O286*Ventas!AE285*1.0044))</x:f>
      </x:c>
      <x:c r="Q286" s="43">
        <x:f>(P286/(Ventas!AE285*1.0044)/60)</x:f>
      </x:c>
      <x:c r="R286" s="25">
        <x:v>0</x:v>
      </x:c>
      <x:c r="S286" s="41">
        <x:f>IF(P286&gt;0,P286+R286,R286)</x:f>
      </x:c>
      <x:c r="T286" s="9"/>
      <x:c r="U286" s="41">
        <x:v>20</x:v>
      </x:c>
      <x:c r="V286" s="45">
        <x:v>0.00195</x:v>
      </x:c>
      <x:c r="W286" s="39">
        <x:v>46331</x:v>
      </x:c>
      <x:c r="X286" s="40">
        <x:v>56</x:v>
      </x:c>
      <x:c r="Y286" s="41">
        <x:f>(IF(P286&gt;0,P286+R286,R286)-(X286*Ventas!AE285*0.9018))</x:f>
      </x:c>
      <x:c r="Z286" s="43">
        <x:f>(Y286/(Ventas!AE285*0.9018)/60)</x:f>
      </x:c>
      <x:c r="AA286" s="41">
        <x:f>(100*(Ventas!AE285*1.2350) - IF(Y286&gt;0,Y286,0))</x:f>
      </x:c>
      <x:c r="AB286" s="41">
        <x:f>IF(AA286&gt;0,AA286,0)</x:f>
      </x:c>
      <x:c r="AC286" s="41">
        <x:f>IF(Y286&gt;0,Y286+IF(AB286&gt;0,AB286,0),AB286)</x:f>
      </x:c>
      <x:c r="AD286" s="46">
        <x:v>14.24</x:v>
      </x:c>
      <x:c r="AE286" s="25">
        <x:v>3010</x:v>
      </x:c>
      <x:c r="AF286" s="41">
        <x:f>(AC286-(60*Ventas!AE285*1.2350))</x:f>
      </x:c>
      <x:c r="AG286" s="43">
        <x:f>(AF286/(Ventas!AE285*1.2350)/60)</x:f>
      </x:c>
      <x:c r="AH286" s="7" t="s">
        <x:v>34</x:v>
      </x:c>
    </x:row>
    <x:row r="287">
      <x:c r="A287" s="7" t="s">
        <x:v>618</x:v>
      </x:c>
      <x:c r="B287" s="7" t="s">
        <x:v>617</x:v>
      </x:c>
      <x:c r="C287" s="38" t="s">
        <x:v>616</x:v>
      </x:c>
      <x:c r="D287" s="25">
        <x:v>15</x:v>
      </x:c>
      <x:c r="E287" s="39">
        <x:v>46230</x:v>
      </x:c>
      <x:c r="F287" s="40">
        <x:v>5</x:v>
      </x:c>
      <x:c r="G287" s="41">
        <x:f>(D287-(0)+0-(F287*Ventas!AE286*1.8000))</x:f>
      </x:c>
      <x:c r="H287" s="43">
        <x:f>(G287/(Ventas!AE286*1.8000)/60)</x:f>
      </x:c>
      <x:c r="I287" s="25">
        <x:v>0</x:v>
      </x:c>
      <x:c r="J287" s="41">
        <x:f>IF(G287&gt;0,G287+I287,I287)</x:f>
      </x:c>
      <x:c r="K287" s="9"/>
      <x:c r="L287" s="41">
        <x:v>20</x:v>
      </x:c>
      <x:c r="M287" s="45">
        <x:v>0.00195</x:v>
      </x:c>
      <x:c r="N287" s="39">
        <x:v>46275</x:v>
      </x:c>
      <x:c r="O287" s="40">
        <x:v>45</x:v>
      </x:c>
      <x:c r="P287" s="41">
        <x:f>(IF(G287&gt;0,G287+I287,I287)-(O287*Ventas!AE286*1.0044))</x:f>
      </x:c>
      <x:c r="Q287" s="43">
        <x:f>(P287/(Ventas!AE286*1.0044)/60)</x:f>
      </x:c>
      <x:c r="R287" s="25">
        <x:v>0</x:v>
      </x:c>
      <x:c r="S287" s="41">
        <x:f>IF(P287&gt;0,P287+R287,R287)</x:f>
      </x:c>
      <x:c r="T287" s="9"/>
      <x:c r="U287" s="41">
        <x:v>20</x:v>
      </x:c>
      <x:c r="V287" s="45">
        <x:v>0.00195</x:v>
      </x:c>
      <x:c r="W287" s="39">
        <x:v>46331</x:v>
      </x:c>
      <x:c r="X287" s="40">
        <x:v>56</x:v>
      </x:c>
      <x:c r="Y287" s="41">
        <x:f>(IF(P287&gt;0,P287+R287,R287)-(X287*Ventas!AE286*0.9018))</x:f>
      </x:c>
      <x:c r="Z287" s="43">
        <x:f>(Y287/(Ventas!AE286*0.9018)/60)</x:f>
      </x:c>
      <x:c r="AA287" s="41">
        <x:f>(100*(Ventas!AE286*1.2350) - IF(Y287&gt;0,Y287,0))</x:f>
      </x:c>
      <x:c r="AB287" s="41">
        <x:f>IF(AA287&gt;0,AA287,0)</x:f>
      </x:c>
      <x:c r="AC287" s="41">
        <x:f>IF(Y287&gt;0,Y287+IF(AB287&gt;0,AB287,0),AB287)</x:f>
      </x:c>
      <x:c r="AD287" s="46">
        <x:v>14.24</x:v>
      </x:c>
      <x:c r="AE287" s="25">
        <x:v>3010</x:v>
      </x:c>
      <x:c r="AF287" s="41">
        <x:f>(AC287-(60*Ventas!AE286*1.2350))</x:f>
      </x:c>
      <x:c r="AG287" s="43">
        <x:f>(AF287/(Ventas!AE286*1.2350)/60)</x:f>
      </x:c>
      <x:c r="AH287" s="7" t="s">
        <x:v>34</x:v>
      </x:c>
    </x:row>
    <x:row r="288">
      <x:c r="A288" s="7" t="s">
        <x:v>621</x:v>
      </x:c>
      <x:c r="B288" s="7" t="s">
        <x:v>620</x:v>
      </x:c>
      <x:c r="C288" s="38" t="s">
        <x:v>619</x:v>
      </x:c>
      <x:c r="D288" s="25">
        <x:v>20</x:v>
      </x:c>
      <x:c r="E288" s="39">
        <x:v>46230</x:v>
      </x:c>
      <x:c r="F288" s="40">
        <x:v>5</x:v>
      </x:c>
      <x:c r="G288" s="41">
        <x:f>(D288-(0)+0-(F288*Ventas!AE287*1.8000))</x:f>
      </x:c>
      <x:c r="H288" s="43">
        <x:f>(G288/(Ventas!AE287*1.8000)/60)</x:f>
      </x:c>
      <x:c r="I288" s="25">
        <x:v>0</x:v>
      </x:c>
      <x:c r="J288" s="41">
        <x:f>IF(G288&gt;0,G288+I288,I288)</x:f>
      </x:c>
      <x:c r="K288" s="9"/>
      <x:c r="L288" s="41">
        <x:v>20</x:v>
      </x:c>
      <x:c r="M288" s="45">
        <x:v>0.00195</x:v>
      </x:c>
      <x:c r="N288" s="39">
        <x:v>46275</x:v>
      </x:c>
      <x:c r="O288" s="40">
        <x:v>45</x:v>
      </x:c>
      <x:c r="P288" s="41">
        <x:f>(IF(G288&gt;0,G288+I288,I288)-(O288*Ventas!AE287*1.0044))</x:f>
      </x:c>
      <x:c r="Q288" s="43">
        <x:f>(P288/(Ventas!AE287*1.0044)/60)</x:f>
      </x:c>
      <x:c r="R288" s="25">
        <x:v>0</x:v>
      </x:c>
      <x:c r="S288" s="41">
        <x:f>IF(P288&gt;0,P288+R288,R288)</x:f>
      </x:c>
      <x:c r="T288" s="9"/>
      <x:c r="U288" s="41">
        <x:v>20</x:v>
      </x:c>
      <x:c r="V288" s="45">
        <x:v>0.00195</x:v>
      </x:c>
      <x:c r="W288" s="39">
        <x:v>46331</x:v>
      </x:c>
      <x:c r="X288" s="40">
        <x:v>56</x:v>
      </x:c>
      <x:c r="Y288" s="41">
        <x:f>(IF(P288&gt;0,P288+R288,R288)-(X288*Ventas!AE287*0.9018))</x:f>
      </x:c>
      <x:c r="Z288" s="43">
        <x:f>(Y288/(Ventas!AE287*0.9018)/60)</x:f>
      </x:c>
      <x:c r="AA288" s="41">
        <x:f>(100*(Ventas!AE287*1.2350) - IF(Y288&gt;0,Y288,0))</x:f>
      </x:c>
      <x:c r="AB288" s="41">
        <x:f>IF(AA288&gt;0,AA288,0)</x:f>
      </x:c>
      <x:c r="AC288" s="41">
        <x:f>IF(Y288&gt;0,Y288+IF(AB288&gt;0,AB288,0),AB288)</x:f>
      </x:c>
      <x:c r="AD288" s="46">
        <x:v>14.24</x:v>
      </x:c>
      <x:c r="AE288" s="25">
        <x:v>3010</x:v>
      </x:c>
      <x:c r="AF288" s="41">
        <x:f>(AC288-(60*Ventas!AE287*1.2350))</x:f>
      </x:c>
      <x:c r="AG288" s="43">
        <x:f>(AF288/(Ventas!AE287*1.2350)/60)</x:f>
      </x:c>
      <x:c r="AH288" s="7" t="s">
        <x:v>34</x:v>
      </x:c>
    </x:row>
    <x:row r="289">
      <x:c r="A289" s="7" t="s">
        <x:v>624</x:v>
      </x:c>
      <x:c r="B289" s="7" t="s">
        <x:v>623</x:v>
      </x:c>
      <x:c r="C289" s="38" t="s">
        <x:v>622</x:v>
      </x:c>
      <x:c r="D289" s="25">
        <x:v>62</x:v>
      </x:c>
      <x:c r="E289" s="39">
        <x:v>46230</x:v>
      </x:c>
      <x:c r="F289" s="40">
        <x:v>5</x:v>
      </x:c>
      <x:c r="G289" s="41">
        <x:f>(D289-(0)+0-(F289*Ventas!AE288*1.8000))</x:f>
      </x:c>
      <x:c r="H289" s="43">
        <x:f>(G289/(Ventas!AE288*1.8000)/60)</x:f>
      </x:c>
      <x:c r="I289" s="25">
        <x:v>50</x:v>
      </x:c>
      <x:c r="J289" s="41">
        <x:f>IF(G289&gt;0,G289+I289,I289)</x:f>
      </x:c>
      <x:c r="K289" s="41">
        <x:v>4.576</x:v>
      </x:c>
      <x:c r="L289" s="41">
        <x:v>50</x:v>
      </x:c>
      <x:c r="M289" s="45">
        <x:v>0.00062</x:v>
      </x:c>
      <x:c r="N289" s="39">
        <x:v>46275</x:v>
      </x:c>
      <x:c r="O289" s="40">
        <x:v>45</x:v>
      </x:c>
      <x:c r="P289" s="41">
        <x:f>(IF(G289&gt;0,G289+I289,I289)-(O289*Ventas!AE288*1.0044))</x:f>
      </x:c>
      <x:c r="Q289" s="43">
        <x:f>(P289/(Ventas!AE288*1.0044)/60)</x:f>
      </x:c>
      <x:c r="R289" s="25">
        <x:v>50</x:v>
      </x:c>
      <x:c r="S289" s="41">
        <x:f>IF(P289&gt;0,P289+R289,R289)</x:f>
      </x:c>
      <x:c r="T289" s="41">
        <x:v>4.6</x:v>
      </x:c>
      <x:c r="U289" s="41">
        <x:v>50</x:v>
      </x:c>
      <x:c r="V289" s="45">
        <x:v>0.00062</x:v>
      </x:c>
      <x:c r="W289" s="39">
        <x:v>46331</x:v>
      </x:c>
      <x:c r="X289" s="40">
        <x:v>56</x:v>
      </x:c>
      <x:c r="Y289" s="41">
        <x:f>(IF(P289&gt;0,P289+R289,R289)-(X289*Ventas!AE288*0.9018))</x:f>
      </x:c>
      <x:c r="Z289" s="43">
        <x:f>(Y289/(Ventas!AE288*0.9018)/60)</x:f>
      </x:c>
      <x:c r="AA289" s="41">
        <x:f>(100*(Ventas!AE288*1.2350) - IF(Y289&gt;0,Y289,0))</x:f>
      </x:c>
      <x:c r="AB289" s="41">
        <x:f>IF(AA289&gt;0,AA289,0)</x:f>
      </x:c>
      <x:c r="AC289" s="41">
        <x:f>IF(Y289&gt;0,Y289+IF(AB289&gt;0,AB289,0),AB289)</x:f>
      </x:c>
      <x:c r="AD289" s="46">
        <x:v>4.576</x:v>
      </x:c>
      <x:c r="AE289" s="25">
        <x:v>3027</x:v>
      </x:c>
      <x:c r="AF289" s="41">
        <x:f>(AC289-(60*Ventas!AE288*1.2350))</x:f>
      </x:c>
      <x:c r="AG289" s="43">
        <x:f>(AF289/(Ventas!AE288*1.2350)/60)</x:f>
      </x:c>
      <x:c r="AH289" s="7" t="s">
        <x:v>34</x:v>
      </x:c>
    </x:row>
    <x:row r="290">
      <x:c r="A290" s="7" t="s">
        <x:v>627</x:v>
      </x:c>
      <x:c r="B290" s="7" t="s">
        <x:v>626</x:v>
      </x:c>
      <x:c r="C290" s="38" t="s">
        <x:v>625</x:v>
      </x:c>
      <x:c r="D290" s="25">
        <x:v>74</x:v>
      </x:c>
      <x:c r="E290" s="39">
        <x:v>46230</x:v>
      </x:c>
      <x:c r="F290" s="40">
        <x:v>5</x:v>
      </x:c>
      <x:c r="G290" s="41">
        <x:f>(D290-(0)+0-(F290*Ventas!AE289*1.8000))</x:f>
      </x:c>
      <x:c r="H290" s="43">
        <x:f>(G290/(Ventas!AE289*1.8000)/60)</x:f>
      </x:c>
      <x:c r="I290" s="25">
        <x:v>0</x:v>
      </x:c>
      <x:c r="J290" s="41">
        <x:f>IF(G290&gt;0,G290+I290,I290)</x:f>
      </x:c>
      <x:c r="K290" s="9"/>
      <x:c r="L290" s="41">
        <x:v>50</x:v>
      </x:c>
      <x:c r="M290" s="45">
        <x:v>0.00062</x:v>
      </x:c>
      <x:c r="N290" s="39">
        <x:v>46275</x:v>
      </x:c>
      <x:c r="O290" s="40">
        <x:v>45</x:v>
      </x:c>
      <x:c r="P290" s="41">
        <x:f>(IF(G290&gt;0,G290+I290,I290)-(O290*Ventas!AE289*1.0044))</x:f>
      </x:c>
      <x:c r="Q290" s="43">
        <x:f>(P290/(Ventas!AE289*1.0044)/60)</x:f>
      </x:c>
      <x:c r="R290" s="25">
        <x:v>50</x:v>
      </x:c>
      <x:c r="S290" s="41">
        <x:f>IF(P290&gt;0,P290+R290,R290)</x:f>
      </x:c>
      <x:c r="T290" s="41">
        <x:v>4.6</x:v>
      </x:c>
      <x:c r="U290" s="41">
        <x:v>50</x:v>
      </x:c>
      <x:c r="V290" s="45">
        <x:v>0.00062</x:v>
      </x:c>
      <x:c r="W290" s="39">
        <x:v>46331</x:v>
      </x:c>
      <x:c r="X290" s="40">
        <x:v>56</x:v>
      </x:c>
      <x:c r="Y290" s="41">
        <x:f>(IF(P290&gt;0,P290+R290,R290)-(X290*Ventas!AE289*0.9018))</x:f>
      </x:c>
      <x:c r="Z290" s="43">
        <x:f>(Y290/(Ventas!AE289*0.9018)/60)</x:f>
      </x:c>
      <x:c r="AA290" s="41">
        <x:f>(100*(Ventas!AE289*1.2350) - IF(Y290&gt;0,Y290,0))</x:f>
      </x:c>
      <x:c r="AB290" s="41">
        <x:f>IF(AA290&gt;0,AA290,0)</x:f>
      </x:c>
      <x:c r="AC290" s="41">
        <x:f>IF(Y290&gt;0,Y290+IF(AB290&gt;0,AB290,0),AB290)</x:f>
      </x:c>
      <x:c r="AD290" s="46">
        <x:v>4.508</x:v>
      </x:c>
      <x:c r="AE290" s="25">
        <x:v>3027</x:v>
      </x:c>
      <x:c r="AF290" s="41">
        <x:f>(AC290-(60*Ventas!AE289*1.2350))</x:f>
      </x:c>
      <x:c r="AG290" s="43">
        <x:f>(AF290/(Ventas!AE289*1.2350)/60)</x:f>
      </x:c>
      <x:c r="AH290" s="7" t="s">
        <x:v>34</x:v>
      </x:c>
    </x:row>
    <x:row r="291">
      <x:c r="A291" s="7" t="s">
        <x:v>630</x:v>
      </x:c>
      <x:c r="B291" s="7" t="s">
        <x:v>629</x:v>
      </x:c>
      <x:c r="C291" s="38" t="s">
        <x:v>628</x:v>
      </x:c>
      <x:c r="D291" s="9"/>
      <x:c r="E291" s="39">
        <x:v>46230</x:v>
      </x:c>
      <x:c r="F291" s="40">
        <x:v>5</x:v>
      </x:c>
      <x:c r="G291" s="41">
        <x:f>(D291-(0)+0-(F291*Ventas!AE290*1.8000))</x:f>
      </x:c>
      <x:c r="H291" s="9"/>
      <x:c r="I291" s="25">
        <x:v>0</x:v>
      </x:c>
      <x:c r="J291" s="41">
        <x:f>IF(G291&gt;0,G291+I291,I291)</x:f>
      </x:c>
      <x:c r="K291" s="9"/>
      <x:c r="L291" s="41">
        <x:v>10</x:v>
      </x:c>
      <x:c r="M291" s="45">
        <x:v>0.0022</x:v>
      </x:c>
      <x:c r="N291" s="39">
        <x:v>46275</x:v>
      </x:c>
      <x:c r="O291" s="40">
        <x:v>45</x:v>
      </x:c>
      <x:c r="P291" s="41">
        <x:f>(IF(G291&gt;0,G291+I291,I291)-(O291*Ventas!AE290*1.0044))</x:f>
      </x:c>
      <x:c r="Q291" s="9"/>
      <x:c r="R291" s="25">
        <x:v>0</x:v>
      </x:c>
      <x:c r="S291" s="41">
        <x:f>IF(P291&gt;0,P291+R291,R291)</x:f>
      </x:c>
      <x:c r="T291" s="9"/>
      <x:c r="U291" s="41">
        <x:v>10</x:v>
      </x:c>
      <x:c r="V291" s="45">
        <x:v>0.0022</x:v>
      </x:c>
      <x:c r="W291" s="39">
        <x:v>46331</x:v>
      </x:c>
      <x:c r="X291" s="40">
        <x:v>56</x:v>
      </x:c>
      <x:c r="Y291" s="41">
        <x:f>(IF(P291&gt;0,P291+R291,R291)-(X291*Ventas!AE290*0.9018))</x:f>
      </x:c>
      <x:c r="Z291" s="9"/>
      <x:c r="AA291" s="41">
        <x:f>(100*(Ventas!AE290*1.2350) - IF(Y291&gt;0,Y291,0))</x:f>
      </x:c>
      <x:c r="AB291" s="41">
        <x:f>IF(AA291&gt;0,AA291,0)</x:f>
      </x:c>
      <x:c r="AC291" s="41">
        <x:f>IF(Y291&gt;0,Y291+IF(AB291&gt;0,AB291,0),AB291)</x:f>
      </x:c>
      <x:c r="AD291" s="9"/>
      <x:c r="AE291" s="9"/>
      <x:c r="AF291" s="9"/>
      <x:c r="AG291" s="9"/>
      <x:c r="AH291" s="7" t="s">
        <x:v>34</x:v>
      </x:c>
    </x:row>
    <x:row r="292">
      <x:c r="A292" s="7" t="s">
        <x:v>633</x:v>
      </x:c>
      <x:c r="B292" s="7" t="s">
        <x:v>632</x:v>
      </x:c>
      <x:c r="C292" s="38" t="s">
        <x:v>631</x:v>
      </x:c>
      <x:c r="D292" s="9"/>
      <x:c r="E292" s="39">
        <x:v>46230</x:v>
      </x:c>
      <x:c r="F292" s="40">
        <x:v>5</x:v>
      </x:c>
      <x:c r="G292" s="41">
        <x:f>(D292-(0)+0-(F292*Ventas!AE291*1.8000))</x:f>
      </x:c>
      <x:c r="H292" s="9"/>
      <x:c r="I292" s="25">
        <x:v>0</x:v>
      </x:c>
      <x:c r="J292" s="41">
        <x:f>IF(G292&gt;0,G292+I292,I292)</x:f>
      </x:c>
      <x:c r="K292" s="9"/>
      <x:c r="L292" s="41">
        <x:v>10</x:v>
      </x:c>
      <x:c r="M292" s="45">
        <x:v>0.0022</x:v>
      </x:c>
      <x:c r="N292" s="39">
        <x:v>46275</x:v>
      </x:c>
      <x:c r="O292" s="40">
        <x:v>45</x:v>
      </x:c>
      <x:c r="P292" s="41">
        <x:f>(IF(G292&gt;0,G292+I292,I292)-(O292*Ventas!AE291*1.0044))</x:f>
      </x:c>
      <x:c r="Q292" s="9"/>
      <x:c r="R292" s="25">
        <x:v>0</x:v>
      </x:c>
      <x:c r="S292" s="41">
        <x:f>IF(P292&gt;0,P292+R292,R292)</x:f>
      </x:c>
      <x:c r="T292" s="9"/>
      <x:c r="U292" s="41">
        <x:v>10</x:v>
      </x:c>
      <x:c r="V292" s="45">
        <x:v>0.0022</x:v>
      </x:c>
      <x:c r="W292" s="39">
        <x:v>46331</x:v>
      </x:c>
      <x:c r="X292" s="40">
        <x:v>56</x:v>
      </x:c>
      <x:c r="Y292" s="41">
        <x:f>(IF(P292&gt;0,P292+R292,R292)-(X292*Ventas!AE291*0.9018))</x:f>
      </x:c>
      <x:c r="Z292" s="9"/>
      <x:c r="AA292" s="41">
        <x:f>(100*(Ventas!AE291*1.2350) - IF(Y292&gt;0,Y292,0))</x:f>
      </x:c>
      <x:c r="AB292" s="41">
        <x:f>IF(AA292&gt;0,AA292,0)</x:f>
      </x:c>
      <x:c r="AC292" s="41">
        <x:f>IF(Y292&gt;0,Y292+IF(AB292&gt;0,AB292,0),AB292)</x:f>
      </x:c>
      <x:c r="AD292" s="9"/>
      <x:c r="AE292" s="9"/>
      <x:c r="AF292" s="9"/>
      <x:c r="AG292" s="9"/>
      <x:c r="AH292" s="7" t="s">
        <x:v>34</x:v>
      </x:c>
    </x:row>
    <x:row r="293">
      <x:c r="A293" s="7" t="s">
        <x:v>636</x:v>
      </x:c>
      <x:c r="B293" s="7" t="s">
        <x:v>635</x:v>
      </x:c>
      <x:c r="C293" s="38" t="s">
        <x:v>634</x:v>
      </x:c>
      <x:c r="D293" s="9"/>
      <x:c r="E293" s="39">
        <x:v>46230</x:v>
      </x:c>
      <x:c r="F293" s="40">
        <x:v>5</x:v>
      </x:c>
      <x:c r="G293" s="41">
        <x:f>(D293-(0)+0-(F293*Ventas!AE292*1.8000))</x:f>
      </x:c>
      <x:c r="H293" s="9"/>
      <x:c r="I293" s="25">
        <x:v>0</x:v>
      </x:c>
      <x:c r="J293" s="41">
        <x:f>IF(G293&gt;0,G293+I293,I293)</x:f>
      </x:c>
      <x:c r="K293" s="9"/>
      <x:c r="L293" s="41">
        <x:v>10</x:v>
      </x:c>
      <x:c r="M293" s="45">
        <x:v>0.0022</x:v>
      </x:c>
      <x:c r="N293" s="39">
        <x:v>46275</x:v>
      </x:c>
      <x:c r="O293" s="40">
        <x:v>45</x:v>
      </x:c>
      <x:c r="P293" s="41">
        <x:f>(IF(G293&gt;0,G293+I293,I293)-(O293*Ventas!AE292*1.0044))</x:f>
      </x:c>
      <x:c r="Q293" s="9"/>
      <x:c r="R293" s="25">
        <x:v>0</x:v>
      </x:c>
      <x:c r="S293" s="41">
        <x:f>IF(P293&gt;0,P293+R293,R293)</x:f>
      </x:c>
      <x:c r="T293" s="9"/>
      <x:c r="U293" s="41">
        <x:v>10</x:v>
      </x:c>
      <x:c r="V293" s="45">
        <x:v>0.0022</x:v>
      </x:c>
      <x:c r="W293" s="39">
        <x:v>46331</x:v>
      </x:c>
      <x:c r="X293" s="40">
        <x:v>56</x:v>
      </x:c>
      <x:c r="Y293" s="41">
        <x:f>(IF(P293&gt;0,P293+R293,R293)-(X293*Ventas!AE292*0.9018))</x:f>
      </x:c>
      <x:c r="Z293" s="9"/>
      <x:c r="AA293" s="41">
        <x:f>(100*(Ventas!AE292*1.2350) - IF(Y293&gt;0,Y293,0))</x:f>
      </x:c>
      <x:c r="AB293" s="41">
        <x:f>IF(AA293&gt;0,AA293,0)</x:f>
      </x:c>
      <x:c r="AC293" s="41">
        <x:f>IF(Y293&gt;0,Y293+IF(AB293&gt;0,AB293,0),AB293)</x:f>
      </x:c>
      <x:c r="AD293" s="9"/>
      <x:c r="AE293" s="9"/>
      <x:c r="AF293" s="9"/>
      <x:c r="AG293" s="9"/>
      <x:c r="AH293" s="7" t="s">
        <x:v>34</x:v>
      </x:c>
    </x:row>
    <x:row r="294">
      <x:c r="A294" s="7" t="s">
        <x:v>639</x:v>
      </x:c>
      <x:c r="B294" s="7" t="s">
        <x:v>638</x:v>
      </x:c>
      <x:c r="C294" s="38" t="s">
        <x:v>637</x:v>
      </x:c>
      <x:c r="D294" s="9"/>
      <x:c r="E294" s="39">
        <x:v>46230</x:v>
      </x:c>
      <x:c r="F294" s="40">
        <x:v>5</x:v>
      </x:c>
      <x:c r="G294" s="41">
        <x:f>(D294-(0)+0-(F294*Ventas!AE293*1.8000))</x:f>
      </x:c>
      <x:c r="H294" s="9"/>
      <x:c r="I294" s="25">
        <x:v>0</x:v>
      </x:c>
      <x:c r="J294" s="41">
        <x:f>IF(G294&gt;0,G294+I294,I294)</x:f>
      </x:c>
      <x:c r="K294" s="9"/>
      <x:c r="L294" s="41">
        <x:v>10</x:v>
      </x:c>
      <x:c r="M294" s="45">
        <x:v>0.0022</x:v>
      </x:c>
      <x:c r="N294" s="39">
        <x:v>46275</x:v>
      </x:c>
      <x:c r="O294" s="40">
        <x:v>45</x:v>
      </x:c>
      <x:c r="P294" s="41">
        <x:f>(IF(G294&gt;0,G294+I294,I294)-(O294*Ventas!AE293*1.0044))</x:f>
      </x:c>
      <x:c r="Q294" s="9"/>
      <x:c r="R294" s="25">
        <x:v>0</x:v>
      </x:c>
      <x:c r="S294" s="41">
        <x:f>IF(P294&gt;0,P294+R294,R294)</x:f>
      </x:c>
      <x:c r="T294" s="9"/>
      <x:c r="U294" s="41">
        <x:v>10</x:v>
      </x:c>
      <x:c r="V294" s="45">
        <x:v>0.0022</x:v>
      </x:c>
      <x:c r="W294" s="39">
        <x:v>46331</x:v>
      </x:c>
      <x:c r="X294" s="40">
        <x:v>56</x:v>
      </x:c>
      <x:c r="Y294" s="41">
        <x:f>(IF(P294&gt;0,P294+R294,R294)-(X294*Ventas!AE293*0.9018))</x:f>
      </x:c>
      <x:c r="Z294" s="9"/>
      <x:c r="AA294" s="41">
        <x:f>(100*(Ventas!AE293*1.2350) - IF(Y294&gt;0,Y294,0))</x:f>
      </x:c>
      <x:c r="AB294" s="41">
        <x:f>IF(AA294&gt;0,AA294,0)</x:f>
      </x:c>
      <x:c r="AC294" s="41">
        <x:f>IF(Y294&gt;0,Y294+IF(AB294&gt;0,AB294,0),AB294)</x:f>
      </x:c>
      <x:c r="AD294" s="9"/>
      <x:c r="AE294" s="9"/>
      <x:c r="AF294" s="9"/>
      <x:c r="AG294" s="9"/>
      <x:c r="AH294" s="7" t="s">
        <x:v>34</x:v>
      </x:c>
    </x:row>
    <x:row r="295">
      <x:c r="A295" s="7" t="s">
        <x:v>642</x:v>
      </x:c>
      <x:c r="B295" s="7" t="s">
        <x:v>641</x:v>
      </x:c>
      <x:c r="C295" s="38" t="s">
        <x:v>640</x:v>
      </x:c>
      <x:c r="D295" s="9"/>
      <x:c r="E295" s="39">
        <x:v>46230</x:v>
      </x:c>
      <x:c r="F295" s="40">
        <x:v>5</x:v>
      </x:c>
      <x:c r="G295" s="41">
        <x:f>(D295-(0)+0-(F295*Ventas!AE294*1.8000))</x:f>
      </x:c>
      <x:c r="H295" s="9"/>
      <x:c r="I295" s="25">
        <x:v>40</x:v>
      </x:c>
      <x:c r="J295" s="41">
        <x:f>IF(G295&gt;0,G295+I295,I295)</x:f>
      </x:c>
      <x:c r="K295" s="41">
        <x:v>8.84</x:v>
      </x:c>
      <x:c r="L295" s="41">
        <x:v>10</x:v>
      </x:c>
      <x:c r="M295" s="45">
        <x:v>0.0022</x:v>
      </x:c>
      <x:c r="N295" s="39">
        <x:v>46275</x:v>
      </x:c>
      <x:c r="O295" s="40">
        <x:v>45</x:v>
      </x:c>
      <x:c r="P295" s="41">
        <x:f>(IF(G295&gt;0,G295+I295,I295)-(O295*Ventas!AE294*1.0044))</x:f>
      </x:c>
      <x:c r="Q295" s="9"/>
      <x:c r="R295" s="25">
        <x:v>0</x:v>
      </x:c>
      <x:c r="S295" s="41">
        <x:f>IF(P295&gt;0,P295+R295,R295)</x:f>
      </x:c>
      <x:c r="T295" s="9"/>
      <x:c r="U295" s="41">
        <x:v>10</x:v>
      </x:c>
      <x:c r="V295" s="45">
        <x:v>0.0022</x:v>
      </x:c>
      <x:c r="W295" s="39">
        <x:v>46331</x:v>
      </x:c>
      <x:c r="X295" s="40">
        <x:v>56</x:v>
      </x:c>
      <x:c r="Y295" s="41">
        <x:f>(IF(P295&gt;0,P295+R295,R295)-(X295*Ventas!AE294*0.9018))</x:f>
      </x:c>
      <x:c r="Z295" s="9"/>
      <x:c r="AA295" s="41">
        <x:f>(100*(Ventas!AE294*1.2350) - IF(Y295&gt;0,Y295,0))</x:f>
      </x:c>
      <x:c r="AB295" s="41">
        <x:f>IF(AA295&gt;0,AA295,0)</x:f>
      </x:c>
      <x:c r="AC295" s="41">
        <x:f>IF(Y295&gt;0,Y295+IF(AB295&gt;0,AB295,0),AB295)</x:f>
      </x:c>
      <x:c r="AD295" s="46">
        <x:v>8.84</x:v>
      </x:c>
      <x:c r="AE295" s="25">
        <x:v>3027</x:v>
      </x:c>
      <x:c r="AF295" s="9"/>
      <x:c r="AG295" s="9"/>
      <x:c r="AH295" s="7" t="s">
        <x:v>34</x:v>
      </x:c>
    </x:row>
    <x:row r="296">
      <x:c r="A296" s="7" t="s">
        <x:v>645</x:v>
      </x:c>
      <x:c r="B296" s="7" t="s">
        <x:v>644</x:v>
      </x:c>
      <x:c r="C296" s="38" t="s">
        <x:v>643</x:v>
      </x:c>
      <x:c r="D296" s="9"/>
      <x:c r="E296" s="39">
        <x:v>46230</x:v>
      </x:c>
      <x:c r="F296" s="40">
        <x:v>5</x:v>
      </x:c>
      <x:c r="G296" s="41">
        <x:f>(D296-(0)+0-(F296*Ventas!AE295*1.8000))</x:f>
      </x:c>
      <x:c r="H296" s="9"/>
      <x:c r="I296" s="25">
        <x:v>0</x:v>
      </x:c>
      <x:c r="J296" s="41">
        <x:f>IF(G296&gt;0,G296+I296,I296)</x:f>
      </x:c>
      <x:c r="K296" s="9"/>
      <x:c r="L296" s="41">
        <x:v>10</x:v>
      </x:c>
      <x:c r="M296" s="45">
        <x:v>0.0022</x:v>
      </x:c>
      <x:c r="N296" s="39">
        <x:v>46275</x:v>
      </x:c>
      <x:c r="O296" s="40">
        <x:v>45</x:v>
      </x:c>
      <x:c r="P296" s="41">
        <x:f>(IF(G296&gt;0,G296+I296,I296)-(O296*Ventas!AE295*1.0044))</x:f>
      </x:c>
      <x:c r="Q296" s="9"/>
      <x:c r="R296" s="25">
        <x:v>0</x:v>
      </x:c>
      <x:c r="S296" s="41">
        <x:f>IF(P296&gt;0,P296+R296,R296)</x:f>
      </x:c>
      <x:c r="T296" s="9"/>
      <x:c r="U296" s="41">
        <x:v>10</x:v>
      </x:c>
      <x:c r="V296" s="45">
        <x:v>0.0022</x:v>
      </x:c>
      <x:c r="W296" s="39">
        <x:v>46331</x:v>
      </x:c>
      <x:c r="X296" s="40">
        <x:v>56</x:v>
      </x:c>
      <x:c r="Y296" s="41">
        <x:f>(IF(P296&gt;0,P296+R296,R296)-(X296*Ventas!AE295*0.9018))</x:f>
      </x:c>
      <x:c r="Z296" s="9"/>
      <x:c r="AA296" s="41">
        <x:f>(100*(Ventas!AE295*1.2350) - IF(Y296&gt;0,Y296,0))</x:f>
      </x:c>
      <x:c r="AB296" s="41">
        <x:f>IF(AA296&gt;0,AA296,0)</x:f>
      </x:c>
      <x:c r="AC296" s="41">
        <x:f>IF(Y296&gt;0,Y296+IF(AB296&gt;0,AB296,0),AB296)</x:f>
      </x:c>
      <x:c r="AD296" s="9"/>
      <x:c r="AE296" s="9"/>
      <x:c r="AF296" s="9"/>
      <x:c r="AG296" s="9"/>
      <x:c r="AH296" s="7" t="s">
        <x:v>34</x:v>
      </x:c>
    </x:row>
    <x:row r="297">
      <x:c r="A297" s="7" t="s">
        <x:v>648</x:v>
      </x:c>
      <x:c r="B297" s="7" t="s">
        <x:v>647</x:v>
      </x:c>
      <x:c r="C297" s="38" t="s">
        <x:v>646</x:v>
      </x:c>
      <x:c r="D297" s="9"/>
      <x:c r="E297" s="39">
        <x:v>46230</x:v>
      </x:c>
      <x:c r="F297" s="40">
        <x:v>5</x:v>
      </x:c>
      <x:c r="G297" s="41">
        <x:f>(D297-(0)+0-(F297*Ventas!AE296*1.8000))</x:f>
      </x:c>
      <x:c r="H297" s="9"/>
      <x:c r="I297" s="25">
        <x:v>40</x:v>
      </x:c>
      <x:c r="J297" s="41">
        <x:f>IF(G297&gt;0,G297+I297,I297)</x:f>
      </x:c>
      <x:c r="K297" s="41">
        <x:v>11.44</x:v>
      </x:c>
      <x:c r="L297" s="41">
        <x:v>10</x:v>
      </x:c>
      <x:c r="M297" s="45">
        <x:v>0.0029</x:v>
      </x:c>
      <x:c r="N297" s="39">
        <x:v>46275</x:v>
      </x:c>
      <x:c r="O297" s="40">
        <x:v>45</x:v>
      </x:c>
      <x:c r="P297" s="41">
        <x:f>(IF(G297&gt;0,G297+I297,I297)-(O297*Ventas!AE296*1.0044))</x:f>
      </x:c>
      <x:c r="Q297" s="9"/>
      <x:c r="R297" s="25">
        <x:v>0</x:v>
      </x:c>
      <x:c r="S297" s="41">
        <x:f>IF(P297&gt;0,P297+R297,R297)</x:f>
      </x:c>
      <x:c r="T297" s="9"/>
      <x:c r="U297" s="41">
        <x:v>10</x:v>
      </x:c>
      <x:c r="V297" s="45">
        <x:v>0.0029</x:v>
      </x:c>
      <x:c r="W297" s="39">
        <x:v>46331</x:v>
      </x:c>
      <x:c r="X297" s="40">
        <x:v>56</x:v>
      </x:c>
      <x:c r="Y297" s="41">
        <x:f>(IF(P297&gt;0,P297+R297,R297)-(X297*Ventas!AE296*0.9018))</x:f>
      </x:c>
      <x:c r="Z297" s="9"/>
      <x:c r="AA297" s="41">
        <x:f>(100*(Ventas!AE296*1.2350) - IF(Y297&gt;0,Y297,0))</x:f>
      </x:c>
      <x:c r="AB297" s="41">
        <x:f>IF(AA297&gt;0,AA297,0)</x:f>
      </x:c>
      <x:c r="AC297" s="41">
        <x:f>IF(Y297&gt;0,Y297+IF(AB297&gt;0,AB297,0),AB297)</x:f>
      </x:c>
      <x:c r="AD297" s="46">
        <x:v>11.44</x:v>
      </x:c>
      <x:c r="AE297" s="25">
        <x:v>3027</x:v>
      </x:c>
      <x:c r="AF297" s="9"/>
      <x:c r="AG297" s="9"/>
      <x:c r="AH297" s="7" t="s">
        <x:v>34</x:v>
      </x:c>
    </x:row>
    <x:row r="298">
      <x:c r="A298" s="7" t="s">
        <x:v>651</x:v>
      </x:c>
      <x:c r="B298" s="7" t="s">
        <x:v>650</x:v>
      </x:c>
      <x:c r="C298" s="38" t="s">
        <x:v>649</x:v>
      </x:c>
      <x:c r="D298" s="9"/>
      <x:c r="E298" s="39">
        <x:v>46230</x:v>
      </x:c>
      <x:c r="F298" s="40">
        <x:v>5</x:v>
      </x:c>
      <x:c r="G298" s="41">
        <x:f>(D298-(0)+0-(F298*Ventas!AE297*1.8000))</x:f>
      </x:c>
      <x:c r="H298" s="9"/>
      <x:c r="I298" s="25">
        <x:v>0</x:v>
      </x:c>
      <x:c r="J298" s="41">
        <x:f>IF(G298&gt;0,G298+I298,I298)</x:f>
      </x:c>
      <x:c r="K298" s="9"/>
      <x:c r="L298" s="41">
        <x:v>10</x:v>
      </x:c>
      <x:c r="M298" s="45">
        <x:v>0.0029</x:v>
      </x:c>
      <x:c r="N298" s="39">
        <x:v>46275</x:v>
      </x:c>
      <x:c r="O298" s="40">
        <x:v>45</x:v>
      </x:c>
      <x:c r="P298" s="41">
        <x:f>(IF(G298&gt;0,G298+I298,I298)-(O298*Ventas!AE297*1.0044))</x:f>
      </x:c>
      <x:c r="Q298" s="9"/>
      <x:c r="R298" s="25">
        <x:v>0</x:v>
      </x:c>
      <x:c r="S298" s="41">
        <x:f>IF(P298&gt;0,P298+R298,R298)</x:f>
      </x:c>
      <x:c r="T298" s="9"/>
      <x:c r="U298" s="41">
        <x:v>10</x:v>
      </x:c>
      <x:c r="V298" s="45">
        <x:v>0.0029</x:v>
      </x:c>
      <x:c r="W298" s="39">
        <x:v>46331</x:v>
      </x:c>
      <x:c r="X298" s="40">
        <x:v>56</x:v>
      </x:c>
      <x:c r="Y298" s="41">
        <x:f>(IF(P298&gt;0,P298+R298,R298)-(X298*Ventas!AE297*0.9018))</x:f>
      </x:c>
      <x:c r="Z298" s="9"/>
      <x:c r="AA298" s="41">
        <x:f>(100*(Ventas!AE297*1.2350) - IF(Y298&gt;0,Y298,0))</x:f>
      </x:c>
      <x:c r="AB298" s="41">
        <x:f>IF(AA298&gt;0,AA298,0)</x:f>
      </x:c>
      <x:c r="AC298" s="41">
        <x:f>IF(Y298&gt;0,Y298+IF(AB298&gt;0,AB298,0),AB298)</x:f>
      </x:c>
      <x:c r="AD298" s="9"/>
      <x:c r="AE298" s="9"/>
      <x:c r="AF298" s="9"/>
      <x:c r="AG298" s="9"/>
      <x:c r="AH298" s="7" t="s">
        <x:v>34</x:v>
      </x:c>
    </x:row>
    <x:row r="299">
      <x:c r="A299" s="7" t="s">
        <x:v>654</x:v>
      </x:c>
      <x:c r="B299" s="7" t="s">
        <x:v>653</x:v>
      </x:c>
      <x:c r="C299" s="38" t="s">
        <x:v>652</x:v>
      </x:c>
      <x:c r="D299" s="9"/>
      <x:c r="E299" s="39">
        <x:v>46230</x:v>
      </x:c>
      <x:c r="F299" s="40">
        <x:v>5</x:v>
      </x:c>
      <x:c r="G299" s="41">
        <x:f>(D299-(0)+0-(F299*Ventas!AE298*1.8000))</x:f>
      </x:c>
      <x:c r="H299" s="9"/>
      <x:c r="I299" s="25">
        <x:v>0</x:v>
      </x:c>
      <x:c r="J299" s="41">
        <x:f>IF(G299&gt;0,G299+I299,I299)</x:f>
      </x:c>
      <x:c r="K299" s="9"/>
      <x:c r="L299" s="41">
        <x:v>10</x:v>
      </x:c>
      <x:c r="M299" s="45">
        <x:v>0.0029</x:v>
      </x:c>
      <x:c r="N299" s="39">
        <x:v>46275</x:v>
      </x:c>
      <x:c r="O299" s="40">
        <x:v>45</x:v>
      </x:c>
      <x:c r="P299" s="41">
        <x:f>(IF(G299&gt;0,G299+I299,I299)-(O299*Ventas!AE298*1.0044))</x:f>
      </x:c>
      <x:c r="Q299" s="9"/>
      <x:c r="R299" s="25">
        <x:v>0</x:v>
      </x:c>
      <x:c r="S299" s="41">
        <x:f>IF(P299&gt;0,P299+R299,R299)</x:f>
      </x:c>
      <x:c r="T299" s="9"/>
      <x:c r="U299" s="41">
        <x:v>10</x:v>
      </x:c>
      <x:c r="V299" s="45">
        <x:v>0.0029</x:v>
      </x:c>
      <x:c r="W299" s="39">
        <x:v>46331</x:v>
      </x:c>
      <x:c r="X299" s="40">
        <x:v>56</x:v>
      </x:c>
      <x:c r="Y299" s="41">
        <x:f>(IF(P299&gt;0,P299+R299,R299)-(X299*Ventas!AE298*0.9018))</x:f>
      </x:c>
      <x:c r="Z299" s="9"/>
      <x:c r="AA299" s="41">
        <x:f>(100*(Ventas!AE298*1.2350) - IF(Y299&gt;0,Y299,0))</x:f>
      </x:c>
      <x:c r="AB299" s="41">
        <x:f>IF(AA299&gt;0,AA299,0)</x:f>
      </x:c>
      <x:c r="AC299" s="41">
        <x:f>IF(Y299&gt;0,Y299+IF(AB299&gt;0,AB299,0),AB299)</x:f>
      </x:c>
      <x:c r="AD299" s="9"/>
      <x:c r="AE299" s="9"/>
      <x:c r="AF299" s="9"/>
      <x:c r="AG299" s="9"/>
      <x:c r="AH299" s="7" t="s">
        <x:v>34</x:v>
      </x:c>
    </x:row>
    <x:row r="300">
      <x:c r="A300" s="7" t="s">
        <x:v>657</x:v>
      </x:c>
      <x:c r="B300" s="7" t="s">
        <x:v>656</x:v>
      </x:c>
      <x:c r="C300" s="38" t="s">
        <x:v>655</x:v>
      </x:c>
      <x:c r="D300" s="9"/>
      <x:c r="E300" s="39">
        <x:v>46230</x:v>
      </x:c>
      <x:c r="F300" s="40">
        <x:v>5</x:v>
      </x:c>
      <x:c r="G300" s="41">
        <x:f>(D300-(0)+0-(F300*Ventas!AE299*1.8000))</x:f>
      </x:c>
      <x:c r="H300" s="9"/>
      <x:c r="I300" s="25">
        <x:v>0</x:v>
      </x:c>
      <x:c r="J300" s="41">
        <x:f>IF(G300&gt;0,G300+I300,I300)</x:f>
      </x:c>
      <x:c r="K300" s="9"/>
      <x:c r="L300" s="41">
        <x:v>10</x:v>
      </x:c>
      <x:c r="M300" s="45">
        <x:v>0.0029</x:v>
      </x:c>
      <x:c r="N300" s="39">
        <x:v>46275</x:v>
      </x:c>
      <x:c r="O300" s="40">
        <x:v>45</x:v>
      </x:c>
      <x:c r="P300" s="41">
        <x:f>(IF(G300&gt;0,G300+I300,I300)-(O300*Ventas!AE299*1.0044))</x:f>
      </x:c>
      <x:c r="Q300" s="9"/>
      <x:c r="R300" s="25">
        <x:v>0</x:v>
      </x:c>
      <x:c r="S300" s="41">
        <x:f>IF(P300&gt;0,P300+R300,R300)</x:f>
      </x:c>
      <x:c r="T300" s="9"/>
      <x:c r="U300" s="41">
        <x:v>10</x:v>
      </x:c>
      <x:c r="V300" s="45">
        <x:v>0.0029</x:v>
      </x:c>
      <x:c r="W300" s="39">
        <x:v>46331</x:v>
      </x:c>
      <x:c r="X300" s="40">
        <x:v>56</x:v>
      </x:c>
      <x:c r="Y300" s="41">
        <x:f>(IF(P300&gt;0,P300+R300,R300)-(X300*Ventas!AE299*0.9018))</x:f>
      </x:c>
      <x:c r="Z300" s="9"/>
      <x:c r="AA300" s="41">
        <x:f>(100*(Ventas!AE299*1.2350) - IF(Y300&gt;0,Y300,0))</x:f>
      </x:c>
      <x:c r="AB300" s="41">
        <x:f>IF(AA300&gt;0,AA300,0)</x:f>
      </x:c>
      <x:c r="AC300" s="41">
        <x:f>IF(Y300&gt;0,Y300+IF(AB300&gt;0,AB300,0),AB300)</x:f>
      </x:c>
      <x:c r="AD300" s="9"/>
      <x:c r="AE300" s="9"/>
      <x:c r="AF300" s="9"/>
      <x:c r="AG300" s="9"/>
      <x:c r="AH300" s="7" t="s">
        <x:v>34</x:v>
      </x:c>
    </x:row>
    <x:row r="301">
      <x:c r="A301" s="7" t="s">
        <x:v>660</x:v>
      </x:c>
      <x:c r="B301" s="7" t="s">
        <x:v>659</x:v>
      </x:c>
      <x:c r="C301" s="38" t="s">
        <x:v>658</x:v>
      </x:c>
      <x:c r="D301" s="9"/>
      <x:c r="E301" s="39">
        <x:v>46230</x:v>
      </x:c>
      <x:c r="F301" s="40">
        <x:v>5</x:v>
      </x:c>
      <x:c r="G301" s="41">
        <x:f>(D301-(0)+0-(F301*Ventas!AE300*1.8000))</x:f>
      </x:c>
      <x:c r="H301" s="43">
        <x:f>(G301/(Ventas!AE300*1.8000)/60)</x:f>
      </x:c>
      <x:c r="I301" s="25">
        <x:v>0</x:v>
      </x:c>
      <x:c r="J301" s="41">
        <x:f>IF(G301&gt;0,G301+I301,I301)</x:f>
      </x:c>
      <x:c r="K301" s="9"/>
      <x:c r="L301" s="41">
        <x:v>10</x:v>
      </x:c>
      <x:c r="M301" s="45">
        <x:v>0.0035</x:v>
      </x:c>
      <x:c r="N301" s="39">
        <x:v>46275</x:v>
      </x:c>
      <x:c r="O301" s="40">
        <x:v>45</x:v>
      </x:c>
      <x:c r="P301" s="41">
        <x:f>(IF(G301&gt;0,G301+I301,I301)-(O301*Ventas!AE300*1.0044))</x:f>
      </x:c>
      <x:c r="Q301" s="43">
        <x:f>(P301/(Ventas!AE300*1.0044)/60)</x:f>
      </x:c>
      <x:c r="R301" s="25">
        <x:v>50</x:v>
      </x:c>
      <x:c r="S301" s="41">
        <x:f>IF(P301&gt;0,P301+R301,R301)</x:f>
      </x:c>
      <x:c r="T301" s="41">
        <x:v>16</x:v>
      </x:c>
      <x:c r="U301" s="41">
        <x:v>10</x:v>
      </x:c>
      <x:c r="V301" s="45">
        <x:v>0.0035</x:v>
      </x:c>
      <x:c r="W301" s="39">
        <x:v>46331</x:v>
      </x:c>
      <x:c r="X301" s="40">
        <x:v>56</x:v>
      </x:c>
      <x:c r="Y301" s="41">
        <x:f>(IF(P301&gt;0,P301+R301,R301)-(X301*Ventas!AE300*0.9018))</x:f>
      </x:c>
      <x:c r="Z301" s="43">
        <x:f>(Y301/(Ventas!AE300*0.9018)/60)</x:f>
      </x:c>
      <x:c r="AA301" s="41">
        <x:f>(100*(Ventas!AE300*1.2350) - IF(Y301&gt;0,Y301,0))</x:f>
      </x:c>
      <x:c r="AB301" s="41">
        <x:f>IF(AA301&gt;0,AA301,0)</x:f>
      </x:c>
      <x:c r="AC301" s="41">
        <x:f>IF(Y301&gt;0,Y301+IF(AB301&gt;0,AB301,0),AB301)</x:f>
      </x:c>
      <x:c r="AD301" s="46">
        <x:v>16</x:v>
      </x:c>
      <x:c r="AE301" s="25">
        <x:v>3027</x:v>
      </x:c>
      <x:c r="AF301" s="41">
        <x:f>(AC301-(60*Ventas!AE300*1.2350))</x:f>
      </x:c>
      <x:c r="AG301" s="43">
        <x:f>(AF301/(Ventas!AE300*1.2350)/60)</x:f>
      </x:c>
      <x:c r="AH301" s="7" t="s">
        <x:v>34</x:v>
      </x:c>
    </x:row>
    <x:row r="302">
      <x:c r="A302" s="7" t="s">
        <x:v>663</x:v>
      </x:c>
      <x:c r="B302" s="7" t="s">
        <x:v>662</x:v>
      </x:c>
      <x:c r="C302" s="38" t="s">
        <x:v>661</x:v>
      </x:c>
      <x:c r="D302" s="25">
        <x:v>11</x:v>
      </x:c>
      <x:c r="E302" s="39">
        <x:v>46230</x:v>
      </x:c>
      <x:c r="F302" s="40">
        <x:v>5</x:v>
      </x:c>
      <x:c r="G302" s="41">
        <x:f>(D302-(0)+0-(F302*Ventas!AE301*1.8000))</x:f>
      </x:c>
      <x:c r="H302" s="43">
        <x:f>(G302/(Ventas!AE301*1.8000)/60)</x:f>
      </x:c>
      <x:c r="I302" s="25">
        <x:v>0</x:v>
      </x:c>
      <x:c r="J302" s="41">
        <x:f>IF(G302&gt;0,G302+I302,I302)</x:f>
      </x:c>
      <x:c r="K302" s="9"/>
      <x:c r="L302" s="41">
        <x:v>10</x:v>
      </x:c>
      <x:c r="M302" s="45">
        <x:v>0.0035</x:v>
      </x:c>
      <x:c r="N302" s="39">
        <x:v>46275</x:v>
      </x:c>
      <x:c r="O302" s="40">
        <x:v>45</x:v>
      </x:c>
      <x:c r="P302" s="41">
        <x:f>(IF(G302&gt;0,G302+I302,I302)-(O302*Ventas!AE301*1.0044))</x:f>
      </x:c>
      <x:c r="Q302" s="43">
        <x:f>(P302/(Ventas!AE301*1.0044)/60)</x:f>
      </x:c>
      <x:c r="R302" s="25">
        <x:v>70</x:v>
      </x:c>
      <x:c r="S302" s="41">
        <x:f>IF(P302&gt;0,P302+R302,R302)</x:f>
      </x:c>
      <x:c r="T302" s="41">
        <x:v>16</x:v>
      </x:c>
      <x:c r="U302" s="41">
        <x:v>10</x:v>
      </x:c>
      <x:c r="V302" s="45">
        <x:v>0.0035</x:v>
      </x:c>
      <x:c r="W302" s="39">
        <x:v>46331</x:v>
      </x:c>
      <x:c r="X302" s="40">
        <x:v>56</x:v>
      </x:c>
      <x:c r="Y302" s="41">
        <x:f>(IF(P302&gt;0,P302+R302,R302)-(X302*Ventas!AE301*0.9018))</x:f>
      </x:c>
      <x:c r="Z302" s="43">
        <x:f>(Y302/(Ventas!AE301*0.9018)/60)</x:f>
      </x:c>
      <x:c r="AA302" s="41">
        <x:f>(100*(Ventas!AE301*1.2350) - IF(Y302&gt;0,Y302,0))</x:f>
      </x:c>
      <x:c r="AB302" s="41">
        <x:f>IF(AA302&gt;0,AA302,0)</x:f>
      </x:c>
      <x:c r="AC302" s="41">
        <x:f>IF(Y302&gt;0,Y302+IF(AB302&gt;0,AB302,0),AB302)</x:f>
      </x:c>
      <x:c r="AD302" s="46">
        <x:v>16</x:v>
      </x:c>
      <x:c r="AE302" s="25">
        <x:v>3027</x:v>
      </x:c>
      <x:c r="AF302" s="41">
        <x:f>(AC302-(60*Ventas!AE301*1.2350))</x:f>
      </x:c>
      <x:c r="AG302" s="43">
        <x:f>(AF302/(Ventas!AE301*1.2350)/60)</x:f>
      </x:c>
      <x:c r="AH302" s="7" t="s">
        <x:v>34</x:v>
      </x:c>
    </x:row>
    <x:row r="303">
      <x:c r="A303" s="7" t="s">
        <x:v>666</x:v>
      </x:c>
      <x:c r="B303" s="7" t="s">
        <x:v>665</x:v>
      </x:c>
      <x:c r="C303" s="38" t="s">
        <x:v>664</x:v>
      </x:c>
      <x:c r="D303" s="9"/>
      <x:c r="E303" s="39">
        <x:v>46230</x:v>
      </x:c>
      <x:c r="F303" s="40">
        <x:v>5</x:v>
      </x:c>
      <x:c r="G303" s="41">
        <x:f>(D303-(0)+0-(F303*Ventas!AE302*1.8000))</x:f>
      </x:c>
      <x:c r="H303" s="43">
        <x:f>(G303/(Ventas!AE302*1.8000)/60)</x:f>
      </x:c>
      <x:c r="I303" s="25">
        <x:v>0</x:v>
      </x:c>
      <x:c r="J303" s="41">
        <x:f>IF(G303&gt;0,G303+I303,I303)</x:f>
      </x:c>
      <x:c r="K303" s="9"/>
      <x:c r="L303" s="41">
        <x:v>10</x:v>
      </x:c>
      <x:c r="M303" s="45">
        <x:v>0.0035</x:v>
      </x:c>
      <x:c r="N303" s="39">
        <x:v>46275</x:v>
      </x:c>
      <x:c r="O303" s="40">
        <x:v>45</x:v>
      </x:c>
      <x:c r="P303" s="41">
        <x:f>(IF(G303&gt;0,G303+I303,I303)-(O303*Ventas!AE302*1.0044))</x:f>
      </x:c>
      <x:c r="Q303" s="43">
        <x:f>(P303/(Ventas!AE302*1.0044)/60)</x:f>
      </x:c>
      <x:c r="R303" s="25">
        <x:v>20</x:v>
      </x:c>
      <x:c r="S303" s="41">
        <x:f>IF(P303&gt;0,P303+R303,R303)</x:f>
      </x:c>
      <x:c r="T303" s="41">
        <x:v>22.8</x:v>
      </x:c>
      <x:c r="U303" s="41">
        <x:v>10</x:v>
      </x:c>
      <x:c r="V303" s="45">
        <x:v>0.0035</x:v>
      </x:c>
      <x:c r="W303" s="39">
        <x:v>46331</x:v>
      </x:c>
      <x:c r="X303" s="40">
        <x:v>56</x:v>
      </x:c>
      <x:c r="Y303" s="41">
        <x:f>(IF(P303&gt;0,P303+R303,R303)-(X303*Ventas!AE302*0.9018))</x:f>
      </x:c>
      <x:c r="Z303" s="43">
        <x:f>(Y303/(Ventas!AE302*0.9018)/60)</x:f>
      </x:c>
      <x:c r="AA303" s="41">
        <x:f>(100*(Ventas!AE302*1.2350) - IF(Y303&gt;0,Y303,0))</x:f>
      </x:c>
      <x:c r="AB303" s="41">
        <x:f>IF(AA303&gt;0,AA303,0)</x:f>
      </x:c>
      <x:c r="AC303" s="41">
        <x:f>IF(Y303&gt;0,Y303+IF(AB303&gt;0,AB303,0),AB303)</x:f>
      </x:c>
      <x:c r="AD303" s="46">
        <x:v>22.8</x:v>
      </x:c>
      <x:c r="AE303" s="25">
        <x:v>3027</x:v>
      </x:c>
      <x:c r="AF303" s="41">
        <x:f>(AC303-(60*Ventas!AE302*1.2350))</x:f>
      </x:c>
      <x:c r="AG303" s="43">
        <x:f>(AF303/(Ventas!AE302*1.2350)/60)</x:f>
      </x:c>
      <x:c r="AH303" s="7" t="s">
        <x:v>34</x:v>
      </x:c>
    </x:row>
    <x:row r="304">
      <x:c r="A304" s="7" t="s">
        <x:v>669</x:v>
      </x:c>
      <x:c r="B304" s="7" t="s">
        <x:v>668</x:v>
      </x:c>
      <x:c r="C304" s="38" t="s">
        <x:v>667</x:v>
      </x:c>
      <x:c r="D304" s="9"/>
      <x:c r="E304" s="39">
        <x:v>46230</x:v>
      </x:c>
      <x:c r="F304" s="40">
        <x:v>5</x:v>
      </x:c>
      <x:c r="G304" s="41">
        <x:f>(D304-(0)+0-(F304*Ventas!AE303*1.8000))</x:f>
      </x:c>
      <x:c r="H304" s="43">
        <x:f>(G304/(Ventas!AE303*1.8000)/60)</x:f>
      </x:c>
      <x:c r="I304" s="25">
        <x:v>0</x:v>
      </x:c>
      <x:c r="J304" s="41">
        <x:f>IF(G304&gt;0,G304+I304,I304)</x:f>
      </x:c>
      <x:c r="K304" s="9"/>
      <x:c r="L304" s="41">
        <x:v>10</x:v>
      </x:c>
      <x:c r="M304" s="45">
        <x:v>0.0035</x:v>
      </x:c>
      <x:c r="N304" s="39">
        <x:v>46275</x:v>
      </x:c>
      <x:c r="O304" s="40">
        <x:v>45</x:v>
      </x:c>
      <x:c r="P304" s="41">
        <x:f>(IF(G304&gt;0,G304+I304,I304)-(O304*Ventas!AE303*1.0044))</x:f>
      </x:c>
      <x:c r="Q304" s="43">
        <x:f>(P304/(Ventas!AE303*1.0044)/60)</x:f>
      </x:c>
      <x:c r="R304" s="25">
        <x:v>0</x:v>
      </x:c>
      <x:c r="S304" s="41">
        <x:f>IF(P304&gt;0,P304+R304,R304)</x:f>
      </x:c>
      <x:c r="T304" s="9"/>
      <x:c r="U304" s="41">
        <x:v>10</x:v>
      </x:c>
      <x:c r="V304" s="45">
        <x:v>0.0035</x:v>
      </x:c>
      <x:c r="W304" s="39">
        <x:v>46331</x:v>
      </x:c>
      <x:c r="X304" s="40">
        <x:v>56</x:v>
      </x:c>
      <x:c r="Y304" s="41">
        <x:f>(IF(P304&gt;0,P304+R304,R304)-(X304*Ventas!AE303*0.9018))</x:f>
      </x:c>
      <x:c r="Z304" s="43">
        <x:f>(Y304/(Ventas!AE303*0.9018)/60)</x:f>
      </x:c>
      <x:c r="AA304" s="41">
        <x:f>(100*(Ventas!AE303*1.2350) - IF(Y304&gt;0,Y304,0))</x:f>
      </x:c>
      <x:c r="AB304" s="41">
        <x:f>IF(AA304&gt;0,AA304,0)</x:f>
      </x:c>
      <x:c r="AC304" s="41">
        <x:f>IF(Y304&gt;0,Y304+IF(AB304&gt;0,AB304,0),AB304)</x:f>
      </x:c>
      <x:c r="AD304" s="46">
        <x:v>22.8</x:v>
      </x:c>
      <x:c r="AE304" s="25">
        <x:v>3027</x:v>
      </x:c>
      <x:c r="AF304" s="41">
        <x:f>(AC304-(60*Ventas!AE303*1.2350))</x:f>
      </x:c>
      <x:c r="AG304" s="43">
        <x:f>(AF304/(Ventas!AE303*1.2350)/60)</x:f>
      </x:c>
      <x:c r="AH304" s="7" t="s">
        <x:v>34</x:v>
      </x:c>
    </x:row>
    <x:row r="305">
      <x:c r="A305" s="7" t="s">
        <x:v>672</x:v>
      </x:c>
      <x:c r="B305" s="7" t="s">
        <x:v>671</x:v>
      </x:c>
      <x:c r="C305" s="38" t="s">
        <x:v>670</x:v>
      </x:c>
      <x:c r="D305" s="25">
        <x:v>7</x:v>
      </x:c>
      <x:c r="E305" s="39">
        <x:v>46230</x:v>
      </x:c>
      <x:c r="F305" s="40">
        <x:v>5</x:v>
      </x:c>
      <x:c r="G305" s="41">
        <x:f>(D305-(0)+0-(F305*Ventas!AE304*1.8000))</x:f>
      </x:c>
      <x:c r="H305" s="43">
        <x:f>(G305/(Ventas!AE304*1.8000)/60)</x:f>
      </x:c>
      <x:c r="I305" s="25">
        <x:v>0</x:v>
      </x:c>
      <x:c r="J305" s="41">
        <x:f>IF(G305&gt;0,G305+I305,I305)</x:f>
      </x:c>
      <x:c r="K305" s="9"/>
      <x:c r="L305" s="41">
        <x:v>10</x:v>
      </x:c>
      <x:c r="M305" s="45">
        <x:v>0.0035</x:v>
      </x:c>
      <x:c r="N305" s="39">
        <x:v>46275</x:v>
      </x:c>
      <x:c r="O305" s="40">
        <x:v>45</x:v>
      </x:c>
      <x:c r="P305" s="41">
        <x:f>(IF(G305&gt;0,G305+I305,I305)-(O305*Ventas!AE304*1.0044))</x:f>
      </x:c>
      <x:c r="Q305" s="43">
        <x:f>(P305/(Ventas!AE304*1.0044)/60)</x:f>
      </x:c>
      <x:c r="R305" s="25">
        <x:v>0</x:v>
      </x:c>
      <x:c r="S305" s="41">
        <x:f>IF(P305&gt;0,P305+R305,R305)</x:f>
      </x:c>
      <x:c r="T305" s="9"/>
      <x:c r="U305" s="41">
        <x:v>10</x:v>
      </x:c>
      <x:c r="V305" s="45">
        <x:v>0.0035</x:v>
      </x:c>
      <x:c r="W305" s="39">
        <x:v>46331</x:v>
      </x:c>
      <x:c r="X305" s="40">
        <x:v>56</x:v>
      </x:c>
      <x:c r="Y305" s="41">
        <x:f>(IF(P305&gt;0,P305+R305,R305)-(X305*Ventas!AE304*0.9018))</x:f>
      </x:c>
      <x:c r="Z305" s="43">
        <x:f>(Y305/(Ventas!AE304*0.9018)/60)</x:f>
      </x:c>
      <x:c r="AA305" s="41">
        <x:f>(100*(Ventas!AE304*1.2350) - IF(Y305&gt;0,Y305,0))</x:f>
      </x:c>
      <x:c r="AB305" s="41">
        <x:f>IF(AA305&gt;0,AA305,0)</x:f>
      </x:c>
      <x:c r="AC305" s="41">
        <x:f>IF(Y305&gt;0,Y305+IF(AB305&gt;0,AB305,0),AB305)</x:f>
      </x:c>
      <x:c r="AD305" s="46">
        <x:v>22.8</x:v>
      </x:c>
      <x:c r="AE305" s="25">
        <x:v>3027</x:v>
      </x:c>
      <x:c r="AF305" s="41">
        <x:f>(AC305-(60*Ventas!AE304*1.2350))</x:f>
      </x:c>
      <x:c r="AG305" s="43">
        <x:f>(AF305/(Ventas!AE304*1.2350)/60)</x:f>
      </x:c>
      <x:c r="AH305" s="7" t="s">
        <x:v>34</x:v>
      </x:c>
    </x:row>
    <x:row r="306">
      <x:c r="A306" s="7" t="s">
        <x:v>675</x:v>
      </x:c>
      <x:c r="B306" s="7" t="s">
        <x:v>674</x:v>
      </x:c>
      <x:c r="C306" s="38" t="s">
        <x:v>673</x:v>
      </x:c>
      <x:c r="D306" s="9"/>
      <x:c r="E306" s="39">
        <x:v>46230</x:v>
      </x:c>
      <x:c r="F306" s="40">
        <x:v>5</x:v>
      </x:c>
      <x:c r="G306" s="41">
        <x:f>(D306-(0)+0-(F306*Ventas!AE305*1.8000))</x:f>
      </x:c>
      <x:c r="H306" s="9"/>
      <x:c r="I306" s="25">
        <x:v>120</x:v>
      </x:c>
      <x:c r="J306" s="41">
        <x:f>IF(G306&gt;0,G306+I306,I306)</x:f>
      </x:c>
      <x:c r="K306" s="41">
        <x:v>15.4</x:v>
      </x:c>
      <x:c r="L306" s="41">
        <x:v>20</x:v>
      </x:c>
      <x:c r="M306" s="45">
        <x:v>0.00155</x:v>
      </x:c>
      <x:c r="N306" s="39">
        <x:v>46275</x:v>
      </x:c>
      <x:c r="O306" s="40">
        <x:v>45</x:v>
      </x:c>
      <x:c r="P306" s="41">
        <x:f>(IF(G306&gt;0,G306+I306,I306)-(O306*Ventas!AE305*1.0044))</x:f>
      </x:c>
      <x:c r="Q306" s="9"/>
      <x:c r="R306" s="25">
        <x:v>0</x:v>
      </x:c>
      <x:c r="S306" s="41">
        <x:f>IF(P306&gt;0,P306+R306,R306)</x:f>
      </x:c>
      <x:c r="T306" s="9"/>
      <x:c r="U306" s="41">
        <x:v>20</x:v>
      </x:c>
      <x:c r="V306" s="45">
        <x:v>0.00155</x:v>
      </x:c>
      <x:c r="W306" s="39">
        <x:v>46331</x:v>
      </x:c>
      <x:c r="X306" s="40">
        <x:v>56</x:v>
      </x:c>
      <x:c r="Y306" s="41">
        <x:f>(IF(P306&gt;0,P306+R306,R306)-(X306*Ventas!AE305*0.9018))</x:f>
      </x:c>
      <x:c r="Z306" s="9"/>
      <x:c r="AA306" s="41">
        <x:f>(100*(Ventas!AE305*1.2350) - IF(Y306&gt;0,Y306,0))</x:f>
      </x:c>
      <x:c r="AB306" s="41">
        <x:f>IF(AA306&gt;0,AA306,0)</x:f>
      </x:c>
      <x:c r="AC306" s="41">
        <x:f>IF(Y306&gt;0,Y306+IF(AB306&gt;0,AB306,0),AB306)</x:f>
      </x:c>
      <x:c r="AD306" s="46">
        <x:v>15.4</x:v>
      </x:c>
      <x:c r="AE306" s="25">
        <x:v>3027</x:v>
      </x:c>
      <x:c r="AF306" s="9"/>
      <x:c r="AG306" s="9"/>
      <x:c r="AH306" s="7" t="s">
        <x:v>34</x:v>
      </x:c>
    </x:row>
    <x:row r="307">
      <x:c r="A307" s="7" t="s">
        <x:v>678</x:v>
      </x:c>
      <x:c r="B307" s="7" t="s">
        <x:v>677</x:v>
      </x:c>
      <x:c r="C307" s="38" t="s">
        <x:v>676</x:v>
      </x:c>
      <x:c r="D307" s="9"/>
      <x:c r="E307" s="39">
        <x:v>46230</x:v>
      </x:c>
      <x:c r="F307" s="40">
        <x:v>5</x:v>
      </x:c>
      <x:c r="G307" s="41">
        <x:f>(D307-(0)+0-(F307*Ventas!AE306*1.8000))</x:f>
      </x:c>
      <x:c r="H307" s="9"/>
      <x:c r="I307" s="25">
        <x:v>120</x:v>
      </x:c>
      <x:c r="J307" s="41">
        <x:f>IF(G307&gt;0,G307+I307,I307)</x:f>
      </x:c>
      <x:c r="K307" s="41">
        <x:v>15.4</x:v>
      </x:c>
      <x:c r="L307" s="41">
        <x:v>20</x:v>
      </x:c>
      <x:c r="M307" s="45">
        <x:v>0.00155</x:v>
      </x:c>
      <x:c r="N307" s="39">
        <x:v>46275</x:v>
      </x:c>
      <x:c r="O307" s="40">
        <x:v>45</x:v>
      </x:c>
      <x:c r="P307" s="41">
        <x:f>(IF(G307&gt;0,G307+I307,I307)-(O307*Ventas!AE306*1.0044))</x:f>
      </x:c>
      <x:c r="Q307" s="9"/>
      <x:c r="R307" s="25">
        <x:v>0</x:v>
      </x:c>
      <x:c r="S307" s="41">
        <x:f>IF(P307&gt;0,P307+R307,R307)</x:f>
      </x:c>
      <x:c r="T307" s="9"/>
      <x:c r="U307" s="41">
        <x:v>20</x:v>
      </x:c>
      <x:c r="V307" s="45">
        <x:v>0.00155</x:v>
      </x:c>
      <x:c r="W307" s="39">
        <x:v>46331</x:v>
      </x:c>
      <x:c r="X307" s="40">
        <x:v>56</x:v>
      </x:c>
      <x:c r="Y307" s="41">
        <x:f>(IF(P307&gt;0,P307+R307,R307)-(X307*Ventas!AE306*0.9018))</x:f>
      </x:c>
      <x:c r="Z307" s="9"/>
      <x:c r="AA307" s="41">
        <x:f>(100*(Ventas!AE306*1.2350) - IF(Y307&gt;0,Y307,0))</x:f>
      </x:c>
      <x:c r="AB307" s="41">
        <x:f>IF(AA307&gt;0,AA307,0)</x:f>
      </x:c>
      <x:c r="AC307" s="41">
        <x:f>IF(Y307&gt;0,Y307+IF(AB307&gt;0,AB307,0),AB307)</x:f>
      </x:c>
      <x:c r="AD307" s="46">
        <x:v>15.4</x:v>
      </x:c>
      <x:c r="AE307" s="25">
        <x:v>3027</x:v>
      </x:c>
      <x:c r="AF307" s="9"/>
      <x:c r="AG307" s="9"/>
      <x:c r="AH307" s="7" t="s">
        <x:v>34</x:v>
      </x:c>
    </x:row>
    <x:row r="308">
      <x:c r="A308" s="7" t="s">
        <x:v>681</x:v>
      </x:c>
      <x:c r="B308" s="7" t="s">
        <x:v>680</x:v>
      </x:c>
      <x:c r="C308" s="38" t="s">
        <x:v>679</x:v>
      </x:c>
      <x:c r="D308" s="9"/>
      <x:c r="E308" s="39">
        <x:v>46230</x:v>
      </x:c>
      <x:c r="F308" s="40">
        <x:v>5</x:v>
      </x:c>
      <x:c r="G308" s="41">
        <x:f>(D308-(0)+0-(F308*Ventas!AE307*1.8000))</x:f>
      </x:c>
      <x:c r="H308" s="9"/>
      <x:c r="I308" s="25">
        <x:v>100</x:v>
      </x:c>
      <x:c r="J308" s="41">
        <x:f>IF(G308&gt;0,G308+I308,I308)</x:f>
      </x:c>
      <x:c r="K308" s="41">
        <x:v>15.4</x:v>
      </x:c>
      <x:c r="L308" s="41">
        <x:v>20</x:v>
      </x:c>
      <x:c r="M308" s="45">
        <x:v>0.00155</x:v>
      </x:c>
      <x:c r="N308" s="39">
        <x:v>46275</x:v>
      </x:c>
      <x:c r="O308" s="40">
        <x:v>45</x:v>
      </x:c>
      <x:c r="P308" s="41">
        <x:f>(IF(G308&gt;0,G308+I308,I308)-(O308*Ventas!AE307*1.0044))</x:f>
      </x:c>
      <x:c r="Q308" s="9"/>
      <x:c r="R308" s="25">
        <x:v>0</x:v>
      </x:c>
      <x:c r="S308" s="41">
        <x:f>IF(P308&gt;0,P308+R308,R308)</x:f>
      </x:c>
      <x:c r="T308" s="9"/>
      <x:c r="U308" s="41">
        <x:v>20</x:v>
      </x:c>
      <x:c r="V308" s="45">
        <x:v>0.00155</x:v>
      </x:c>
      <x:c r="W308" s="39">
        <x:v>46331</x:v>
      </x:c>
      <x:c r="X308" s="40">
        <x:v>56</x:v>
      </x:c>
      <x:c r="Y308" s="41">
        <x:f>(IF(P308&gt;0,P308+R308,R308)-(X308*Ventas!AE307*0.9018))</x:f>
      </x:c>
      <x:c r="Z308" s="9"/>
      <x:c r="AA308" s="41">
        <x:f>(100*(Ventas!AE307*1.2350) - IF(Y308&gt;0,Y308,0))</x:f>
      </x:c>
      <x:c r="AB308" s="41">
        <x:f>IF(AA308&gt;0,AA308,0)</x:f>
      </x:c>
      <x:c r="AC308" s="41">
        <x:f>IF(Y308&gt;0,Y308+IF(AB308&gt;0,AB308,0),AB308)</x:f>
      </x:c>
      <x:c r="AD308" s="46">
        <x:v>15.4</x:v>
      </x:c>
      <x:c r="AE308" s="25">
        <x:v>3027</x:v>
      </x:c>
      <x:c r="AF308" s="9"/>
      <x:c r="AG308" s="9"/>
      <x:c r="AH308" s="7" t="s">
        <x:v>34</x:v>
      </x:c>
    </x:row>
    <x:row r="309">
      <x:c r="A309" s="7" t="s">
        <x:v>684</x:v>
      </x:c>
      <x:c r="B309" s="7" t="s">
        <x:v>683</x:v>
      </x:c>
      <x:c r="C309" s="38" t="s">
        <x:v>682</x:v>
      </x:c>
      <x:c r="D309" s="25">
        <x:v>31</x:v>
      </x:c>
      <x:c r="E309" s="39">
        <x:v>46230</x:v>
      </x:c>
      <x:c r="F309" s="40">
        <x:v>5</x:v>
      </x:c>
      <x:c r="G309" s="41">
        <x:f>(D309-(0)+0-(F309*Ventas!AE308*1.8000))</x:f>
      </x:c>
      <x:c r="H309" s="43">
        <x:f>(G309/(Ventas!AE308*1.8000)/60)</x:f>
      </x:c>
      <x:c r="I309" s="25">
        <x:v>0</x:v>
      </x:c>
      <x:c r="J309" s="41">
        <x:f>IF(G309&gt;0,G309+I309,I309)</x:f>
      </x:c>
      <x:c r="K309" s="9"/>
      <x:c r="L309" s="41">
        <x:v>20</x:v>
      </x:c>
      <x:c r="M309" s="45">
        <x:v>0.00155</x:v>
      </x:c>
      <x:c r="N309" s="39">
        <x:v>46275</x:v>
      </x:c>
      <x:c r="O309" s="40">
        <x:v>45</x:v>
      </x:c>
      <x:c r="P309" s="41">
        <x:f>(IF(G309&gt;0,G309+I309,I309)-(O309*Ventas!AE308*1.0044))</x:f>
      </x:c>
      <x:c r="Q309" s="43">
        <x:f>(P309/(Ventas!AE308*1.0044)/60)</x:f>
      </x:c>
      <x:c r="R309" s="25">
        <x:v>0</x:v>
      </x:c>
      <x:c r="S309" s="41">
        <x:f>IF(P309&gt;0,P309+R309,R309)</x:f>
      </x:c>
      <x:c r="T309" s="9"/>
      <x:c r="U309" s="41">
        <x:v>20</x:v>
      </x:c>
      <x:c r="V309" s="45">
        <x:v>0.00155</x:v>
      </x:c>
      <x:c r="W309" s="39">
        <x:v>46331</x:v>
      </x:c>
      <x:c r="X309" s="40">
        <x:v>56</x:v>
      </x:c>
      <x:c r="Y309" s="41">
        <x:f>(IF(P309&gt;0,P309+R309,R309)-(X309*Ventas!AE308*0.9018))</x:f>
      </x:c>
      <x:c r="Z309" s="43">
        <x:f>(Y309/(Ventas!AE308*0.9018)/60)</x:f>
      </x:c>
      <x:c r="AA309" s="41">
        <x:f>(100*(Ventas!AE308*1.2350) - IF(Y309&gt;0,Y309,0))</x:f>
      </x:c>
      <x:c r="AB309" s="41">
        <x:f>IF(AA309&gt;0,AA309,0)</x:f>
      </x:c>
      <x:c r="AC309" s="41">
        <x:f>IF(Y309&gt;0,Y309+IF(AB309&gt;0,AB309,0),AB309)</x:f>
      </x:c>
      <x:c r="AD309" s="46">
        <x:v>15.4</x:v>
      </x:c>
      <x:c r="AE309" s="25">
        <x:v>3027</x:v>
      </x:c>
      <x:c r="AF309" s="41">
        <x:f>(AC309-(60*Ventas!AE308*1.2350))</x:f>
      </x:c>
      <x:c r="AG309" s="43">
        <x:f>(AF309/(Ventas!AE308*1.2350)/60)</x:f>
      </x:c>
      <x:c r="AH309" s="7" t="s">
        <x:v>34</x:v>
      </x:c>
    </x:row>
    <x:row r="310">
      <x:c r="A310" s="7" t="s">
        <x:v>687</x:v>
      </x:c>
      <x:c r="B310" s="7" t="s">
        <x:v>686</x:v>
      </x:c>
      <x:c r="C310" s="38" t="s">
        <x:v>685</x:v>
      </x:c>
      <x:c r="D310" s="25">
        <x:v>112</x:v>
      </x:c>
      <x:c r="E310" s="39">
        <x:v>46230</x:v>
      </x:c>
      <x:c r="F310" s="40">
        <x:v>5</x:v>
      </x:c>
      <x:c r="G310" s="41">
        <x:f>(D310-(0)+0-(F310*Ventas!AE309*1.8000))</x:f>
      </x:c>
      <x:c r="H310" s="43">
        <x:f>(G310/(Ventas!AE309*1.8000)/60)</x:f>
      </x:c>
      <x:c r="I310" s="25">
        <x:v>90</x:v>
      </x:c>
      <x:c r="J310" s="41">
        <x:f>IF(G310&gt;0,G310+I310,I310)</x:f>
      </x:c>
      <x:c r="K310" s="41">
        <x:v>6.4</x:v>
      </x:c>
      <x:c r="L310" s="41">
        <x:v>15</x:v>
      </x:c>
      <x:c r="M310" s="45">
        <x:v>0.003333</x:v>
      </x:c>
      <x:c r="N310" s="39">
        <x:v>46275</x:v>
      </x:c>
      <x:c r="O310" s="40">
        <x:v>45</x:v>
      </x:c>
      <x:c r="P310" s="41">
        <x:f>(IF(G310&gt;0,G310+I310,I310)-(O310*Ventas!AE309*1.0044))</x:f>
      </x:c>
      <x:c r="Q310" s="43">
        <x:f>(P310/(Ventas!AE309*1.0044)/60)</x:f>
      </x:c>
      <x:c r="R310" s="25">
        <x:v>0</x:v>
      </x:c>
      <x:c r="S310" s="41">
        <x:f>IF(P310&gt;0,P310+R310,R310)</x:f>
      </x:c>
      <x:c r="T310" s="9"/>
      <x:c r="U310" s="41">
        <x:v>15</x:v>
      </x:c>
      <x:c r="V310" s="45">
        <x:v>0.003333</x:v>
      </x:c>
      <x:c r="W310" s="39">
        <x:v>46331</x:v>
      </x:c>
      <x:c r="X310" s="40">
        <x:v>56</x:v>
      </x:c>
      <x:c r="Y310" s="41">
        <x:f>(IF(P310&gt;0,P310+R310,R310)-(X310*Ventas!AE309*0.9018))</x:f>
      </x:c>
      <x:c r="Z310" s="43">
        <x:f>(Y310/(Ventas!AE309*0.9018)/60)</x:f>
      </x:c>
      <x:c r="AA310" s="41">
        <x:f>(100*(Ventas!AE309*1.2350) - IF(Y310&gt;0,Y310,0))</x:f>
      </x:c>
      <x:c r="AB310" s="41">
        <x:f>IF(AA310&gt;0,AA310,0)</x:f>
      </x:c>
      <x:c r="AC310" s="41">
        <x:f>IF(Y310&gt;0,Y310+IF(AB310&gt;0,AB310,0),AB310)</x:f>
      </x:c>
      <x:c r="AD310" s="46">
        <x:v>6.4</x:v>
      </x:c>
      <x:c r="AE310" s="25">
        <x:v>3027</x:v>
      </x:c>
      <x:c r="AF310" s="41">
        <x:f>(AC310-(60*Ventas!AE309*1.2350))</x:f>
      </x:c>
      <x:c r="AG310" s="43">
        <x:f>(AF310/(Ventas!AE309*1.2350)/60)</x:f>
      </x:c>
      <x:c r="AH310" s="7" t="s">
        <x:v>34</x:v>
      </x:c>
    </x:row>
    <x:row r="311">
      <x:c r="A311" s="7" t="s">
        <x:v>690</x:v>
      </x:c>
      <x:c r="B311" s="7" t="s">
        <x:v>689</x:v>
      </x:c>
      <x:c r="C311" s="38" t="s">
        <x:v>688</x:v>
      </x:c>
      <x:c r="D311" s="25">
        <x:v>103</x:v>
      </x:c>
      <x:c r="E311" s="39">
        <x:v>46230</x:v>
      </x:c>
      <x:c r="F311" s="40">
        <x:v>5</x:v>
      </x:c>
      <x:c r="G311" s="41">
        <x:f>(D311-(0)+0-(F311*Ventas!AE310*1.8000))</x:f>
      </x:c>
      <x:c r="H311" s="43">
        <x:f>(G311/(Ventas!AE310*1.8000)/60)</x:f>
      </x:c>
      <x:c r="I311" s="25">
        <x:v>90</x:v>
      </x:c>
      <x:c r="J311" s="41">
        <x:f>IF(G311&gt;0,G311+I311,I311)</x:f>
      </x:c>
      <x:c r="K311" s="41">
        <x:v>6.4</x:v>
      </x:c>
      <x:c r="L311" s="41">
        <x:v>15</x:v>
      </x:c>
      <x:c r="M311" s="45">
        <x:v>0.003333</x:v>
      </x:c>
      <x:c r="N311" s="39">
        <x:v>46275</x:v>
      </x:c>
      <x:c r="O311" s="40">
        <x:v>45</x:v>
      </x:c>
      <x:c r="P311" s="41">
        <x:f>(IF(G311&gt;0,G311+I311,I311)-(O311*Ventas!AE310*1.0044))</x:f>
      </x:c>
      <x:c r="Q311" s="43">
        <x:f>(P311/(Ventas!AE310*1.0044)/60)</x:f>
      </x:c>
      <x:c r="R311" s="25">
        <x:v>0</x:v>
      </x:c>
      <x:c r="S311" s="41">
        <x:f>IF(P311&gt;0,P311+R311,R311)</x:f>
      </x:c>
      <x:c r="T311" s="9"/>
      <x:c r="U311" s="41">
        <x:v>15</x:v>
      </x:c>
      <x:c r="V311" s="45">
        <x:v>0.003333</x:v>
      </x:c>
      <x:c r="W311" s="39">
        <x:v>46331</x:v>
      </x:c>
      <x:c r="X311" s="40">
        <x:v>56</x:v>
      </x:c>
      <x:c r="Y311" s="41">
        <x:f>(IF(P311&gt;0,P311+R311,R311)-(X311*Ventas!AE310*0.9018))</x:f>
      </x:c>
      <x:c r="Z311" s="43">
        <x:f>(Y311/(Ventas!AE310*0.9018)/60)</x:f>
      </x:c>
      <x:c r="AA311" s="41">
        <x:f>(100*(Ventas!AE310*1.2350) - IF(Y311&gt;0,Y311,0))</x:f>
      </x:c>
      <x:c r="AB311" s="41">
        <x:f>IF(AA311&gt;0,AA311,0)</x:f>
      </x:c>
      <x:c r="AC311" s="41">
        <x:f>IF(Y311&gt;0,Y311+IF(AB311&gt;0,AB311,0),AB311)</x:f>
      </x:c>
      <x:c r="AD311" s="46">
        <x:v>6.4</x:v>
      </x:c>
      <x:c r="AE311" s="25">
        <x:v>3027</x:v>
      </x:c>
      <x:c r="AF311" s="41">
        <x:f>(AC311-(60*Ventas!AE310*1.2350))</x:f>
      </x:c>
      <x:c r="AG311" s="43">
        <x:f>(AF311/(Ventas!AE310*1.2350)/60)</x:f>
      </x:c>
      <x:c r="AH311" s="7" t="s">
        <x:v>34</x:v>
      </x:c>
    </x:row>
    <x:row r="312">
      <x:c r="A312" s="7" t="s">
        <x:v>693</x:v>
      </x:c>
      <x:c r="B312" s="7" t="s">
        <x:v>692</x:v>
      </x:c>
      <x:c r="C312" s="38" t="s">
        <x:v>691</x:v>
      </x:c>
      <x:c r="D312" s="25">
        <x:v>120</x:v>
      </x:c>
      <x:c r="E312" s="39">
        <x:v>46230</x:v>
      </x:c>
      <x:c r="F312" s="40">
        <x:v>5</x:v>
      </x:c>
      <x:c r="G312" s="41">
        <x:f>(D312-(0)+0-(F312*Ventas!AE311*1.8000))</x:f>
      </x:c>
      <x:c r="H312" s="43">
        <x:f>(G312/(Ventas!AE311*1.8000)/60)</x:f>
      </x:c>
      <x:c r="I312" s="25">
        <x:v>30</x:v>
      </x:c>
      <x:c r="J312" s="41">
        <x:f>IF(G312&gt;0,G312+I312,I312)</x:f>
      </x:c>
      <x:c r="K312" s="41">
        <x:v>6.4</x:v>
      </x:c>
      <x:c r="L312" s="41">
        <x:v>15</x:v>
      </x:c>
      <x:c r="M312" s="45">
        <x:v>0.003333</x:v>
      </x:c>
      <x:c r="N312" s="39">
        <x:v>46275</x:v>
      </x:c>
      <x:c r="O312" s="40">
        <x:v>45</x:v>
      </x:c>
      <x:c r="P312" s="41">
        <x:f>(IF(G312&gt;0,G312+I312,I312)-(O312*Ventas!AE311*1.0044))</x:f>
      </x:c>
      <x:c r="Q312" s="43">
        <x:f>(P312/(Ventas!AE311*1.0044)/60)</x:f>
      </x:c>
      <x:c r="R312" s="25">
        <x:v>0</x:v>
      </x:c>
      <x:c r="S312" s="41">
        <x:f>IF(P312&gt;0,P312+R312,R312)</x:f>
      </x:c>
      <x:c r="T312" s="9"/>
      <x:c r="U312" s="41">
        <x:v>15</x:v>
      </x:c>
      <x:c r="V312" s="45">
        <x:v>0.003333</x:v>
      </x:c>
      <x:c r="W312" s="39">
        <x:v>46331</x:v>
      </x:c>
      <x:c r="X312" s="40">
        <x:v>56</x:v>
      </x:c>
      <x:c r="Y312" s="41">
        <x:f>(IF(P312&gt;0,P312+R312,R312)-(X312*Ventas!AE311*0.9018))</x:f>
      </x:c>
      <x:c r="Z312" s="43">
        <x:f>(Y312/(Ventas!AE311*0.9018)/60)</x:f>
      </x:c>
      <x:c r="AA312" s="41">
        <x:f>(100*(Ventas!AE311*1.2350) - IF(Y312&gt;0,Y312,0))</x:f>
      </x:c>
      <x:c r="AB312" s="41">
        <x:f>IF(AA312&gt;0,AA312,0)</x:f>
      </x:c>
      <x:c r="AC312" s="41">
        <x:f>IF(Y312&gt;0,Y312+IF(AB312&gt;0,AB312,0),AB312)</x:f>
      </x:c>
      <x:c r="AD312" s="46">
        <x:v>6.4</x:v>
      </x:c>
      <x:c r="AE312" s="25">
        <x:v>3027</x:v>
      </x:c>
      <x:c r="AF312" s="41">
        <x:f>(AC312-(60*Ventas!AE311*1.2350))</x:f>
      </x:c>
      <x:c r="AG312" s="43">
        <x:f>(AF312/(Ventas!AE311*1.2350)/60)</x:f>
      </x:c>
      <x:c r="AH312" s="7" t="s">
        <x:v>34</x:v>
      </x:c>
    </x:row>
    <x:row r="313">
      <x:c r="A313" s="7" t="s">
        <x:v>696</x:v>
      </x:c>
      <x:c r="B313" s="7" t="s">
        <x:v>695</x:v>
      </x:c>
      <x:c r="C313" s="38" t="s">
        <x:v>694</x:v>
      </x:c>
      <x:c r="D313" s="25">
        <x:v>80</x:v>
      </x:c>
      <x:c r="E313" s="39">
        <x:v>46230</x:v>
      </x:c>
      <x:c r="F313" s="40">
        <x:v>5</x:v>
      </x:c>
      <x:c r="G313" s="41">
        <x:f>(D313-(0)+0-(F313*Ventas!AE312*1.8000))</x:f>
      </x:c>
      <x:c r="H313" s="43">
        <x:f>(G313/(Ventas!AE312*1.8000)/60)</x:f>
      </x:c>
      <x:c r="I313" s="25">
        <x:v>0</x:v>
      </x:c>
      <x:c r="J313" s="41">
        <x:f>IF(G313&gt;0,G313+I313,I313)</x:f>
      </x:c>
      <x:c r="K313" s="9"/>
      <x:c r="L313" s="41">
        <x:v>15</x:v>
      </x:c>
      <x:c r="M313" s="45">
        <x:v>0.003333</x:v>
      </x:c>
      <x:c r="N313" s="39">
        <x:v>46275</x:v>
      </x:c>
      <x:c r="O313" s="40">
        <x:v>45</x:v>
      </x:c>
      <x:c r="P313" s="41">
        <x:f>(IF(G313&gt;0,G313+I313,I313)-(O313*Ventas!AE312*1.0044))</x:f>
      </x:c>
      <x:c r="Q313" s="43">
        <x:f>(P313/(Ventas!AE312*1.0044)/60)</x:f>
      </x:c>
      <x:c r="R313" s="25">
        <x:v>0</x:v>
      </x:c>
      <x:c r="S313" s="41">
        <x:f>IF(P313&gt;0,P313+R313,R313)</x:f>
      </x:c>
      <x:c r="T313" s="9"/>
      <x:c r="U313" s="41">
        <x:v>15</x:v>
      </x:c>
      <x:c r="V313" s="45">
        <x:v>0.003333</x:v>
      </x:c>
      <x:c r="W313" s="39">
        <x:v>46331</x:v>
      </x:c>
      <x:c r="X313" s="40">
        <x:v>56</x:v>
      </x:c>
      <x:c r="Y313" s="41">
        <x:f>(IF(P313&gt;0,P313+R313,R313)-(X313*Ventas!AE312*0.9018))</x:f>
      </x:c>
      <x:c r="Z313" s="43">
        <x:f>(Y313/(Ventas!AE312*0.9018)/60)</x:f>
      </x:c>
      <x:c r="AA313" s="41">
        <x:f>(100*(Ventas!AE312*1.2350) - IF(Y313&gt;0,Y313,0))</x:f>
      </x:c>
      <x:c r="AB313" s="41">
        <x:f>IF(AA313&gt;0,AA313,0)</x:f>
      </x:c>
      <x:c r="AC313" s="41">
        <x:f>IF(Y313&gt;0,Y313+IF(AB313&gt;0,AB313,0),AB313)</x:f>
      </x:c>
      <x:c r="AD313" s="46">
        <x:v>6.4</x:v>
      </x:c>
      <x:c r="AE313" s="25">
        <x:v>3027</x:v>
      </x:c>
      <x:c r="AF313" s="41">
        <x:f>(AC313-(60*Ventas!AE312*1.2350))</x:f>
      </x:c>
      <x:c r="AG313" s="43">
        <x:f>(AF313/(Ventas!AE312*1.2350)/60)</x:f>
      </x:c>
      <x:c r="AH313" s="7" t="s">
        <x:v>34</x:v>
      </x:c>
    </x:row>
    <x:row r="314">
      <x:c r="A314" s="7" t="s">
        <x:v>699</x:v>
      </x:c>
      <x:c r="B314" s="7" t="s">
        <x:v>698</x:v>
      </x:c>
      <x:c r="C314" s="38" t="s">
        <x:v>697</x:v>
      </x:c>
      <x:c r="D314" s="25">
        <x:v>74</x:v>
      </x:c>
      <x:c r="E314" s="39">
        <x:v>46230</x:v>
      </x:c>
      <x:c r="F314" s="40">
        <x:v>5</x:v>
      </x:c>
      <x:c r="G314" s="41">
        <x:f>(D314-(0)+0-(F314*Ventas!AE313*1.8000))</x:f>
      </x:c>
      <x:c r="H314" s="43">
        <x:f>(G314/(Ventas!AE313*1.8000)/60)</x:f>
      </x:c>
      <x:c r="I314" s="25">
        <x:v>0</x:v>
      </x:c>
      <x:c r="J314" s="41">
        <x:f>IF(G314&gt;0,G314+I314,I314)</x:f>
      </x:c>
      <x:c r="K314" s="9"/>
      <x:c r="L314" s="41">
        <x:v>15</x:v>
      </x:c>
      <x:c r="M314" s="45">
        <x:v>0.003333</x:v>
      </x:c>
      <x:c r="N314" s="39">
        <x:v>46275</x:v>
      </x:c>
      <x:c r="O314" s="40">
        <x:v>45</x:v>
      </x:c>
      <x:c r="P314" s="41">
        <x:f>(IF(G314&gt;0,G314+I314,I314)-(O314*Ventas!AE313*1.0044))</x:f>
      </x:c>
      <x:c r="Q314" s="43">
        <x:f>(P314/(Ventas!AE313*1.0044)/60)</x:f>
      </x:c>
      <x:c r="R314" s="25">
        <x:v>0</x:v>
      </x:c>
      <x:c r="S314" s="41">
        <x:f>IF(P314&gt;0,P314+R314,R314)</x:f>
      </x:c>
      <x:c r="T314" s="9"/>
      <x:c r="U314" s="41">
        <x:v>15</x:v>
      </x:c>
      <x:c r="V314" s="45">
        <x:v>0.003333</x:v>
      </x:c>
      <x:c r="W314" s="39">
        <x:v>46331</x:v>
      </x:c>
      <x:c r="X314" s="40">
        <x:v>56</x:v>
      </x:c>
      <x:c r="Y314" s="41">
        <x:f>(IF(P314&gt;0,P314+R314,R314)-(X314*Ventas!AE313*0.9018))</x:f>
      </x:c>
      <x:c r="Z314" s="43">
        <x:f>(Y314/(Ventas!AE313*0.9018)/60)</x:f>
      </x:c>
      <x:c r="AA314" s="41">
        <x:f>(100*(Ventas!AE313*1.2350) - IF(Y314&gt;0,Y314,0))</x:f>
      </x:c>
      <x:c r="AB314" s="41">
        <x:f>IF(AA314&gt;0,AA314,0)</x:f>
      </x:c>
      <x:c r="AC314" s="41">
        <x:f>IF(Y314&gt;0,Y314+IF(AB314&gt;0,AB314,0),AB314)</x:f>
      </x:c>
      <x:c r="AD314" s="46">
        <x:v>6.4</x:v>
      </x:c>
      <x:c r="AE314" s="25">
        <x:v>3027</x:v>
      </x:c>
      <x:c r="AF314" s="41">
        <x:f>(AC314-(60*Ventas!AE313*1.2350))</x:f>
      </x:c>
      <x:c r="AG314" s="43">
        <x:f>(AF314/(Ventas!AE313*1.2350)/60)</x:f>
      </x:c>
      <x:c r="AH314" s="7" t="s">
        <x:v>34</x:v>
      </x:c>
    </x:row>
    <x:row r="315">
      <x:c r="A315" s="7" t="s">
        <x:v>702</x:v>
      </x:c>
      <x:c r="B315" s="7" t="s">
        <x:v>701</x:v>
      </x:c>
      <x:c r="C315" s="38" t="s">
        <x:v>700</x:v>
      </x:c>
      <x:c r="D315" s="25">
        <x:v>76</x:v>
      </x:c>
      <x:c r="E315" s="39">
        <x:v>46230</x:v>
      </x:c>
      <x:c r="F315" s="40">
        <x:v>5</x:v>
      </x:c>
      <x:c r="G315" s="41">
        <x:f>(D315-(0)+0-(F315*Ventas!AE314*1.8000))</x:f>
      </x:c>
      <x:c r="H315" s="43">
        <x:f>(G315/(Ventas!AE314*1.8000)/60)</x:f>
      </x:c>
      <x:c r="I315" s="25">
        <x:v>0</x:v>
      </x:c>
      <x:c r="J315" s="41">
        <x:f>IF(G315&gt;0,G315+I315,I315)</x:f>
      </x:c>
      <x:c r="K315" s="9"/>
      <x:c r="L315" s="41">
        <x:v>15</x:v>
      </x:c>
      <x:c r="M315" s="45">
        <x:v>0.003333</x:v>
      </x:c>
      <x:c r="N315" s="39">
        <x:v>46275</x:v>
      </x:c>
      <x:c r="O315" s="40">
        <x:v>45</x:v>
      </x:c>
      <x:c r="P315" s="41">
        <x:f>(IF(G315&gt;0,G315+I315,I315)-(O315*Ventas!AE314*1.0044))</x:f>
      </x:c>
      <x:c r="Q315" s="43">
        <x:f>(P315/(Ventas!AE314*1.0044)/60)</x:f>
      </x:c>
      <x:c r="R315" s="25">
        <x:v>0</x:v>
      </x:c>
      <x:c r="S315" s="41">
        <x:f>IF(P315&gt;0,P315+R315,R315)</x:f>
      </x:c>
      <x:c r="T315" s="9"/>
      <x:c r="U315" s="41">
        <x:v>15</x:v>
      </x:c>
      <x:c r="V315" s="45">
        <x:v>0.003333</x:v>
      </x:c>
      <x:c r="W315" s="39">
        <x:v>46331</x:v>
      </x:c>
      <x:c r="X315" s="40">
        <x:v>56</x:v>
      </x:c>
      <x:c r="Y315" s="41">
        <x:f>(IF(P315&gt;0,P315+R315,R315)-(X315*Ventas!AE314*0.9018))</x:f>
      </x:c>
      <x:c r="Z315" s="43">
        <x:f>(Y315/(Ventas!AE314*0.9018)/60)</x:f>
      </x:c>
      <x:c r="AA315" s="41">
        <x:f>(100*(Ventas!AE314*1.2350) - IF(Y315&gt;0,Y315,0))</x:f>
      </x:c>
      <x:c r="AB315" s="41">
        <x:f>IF(AA315&gt;0,AA315,0)</x:f>
      </x:c>
      <x:c r="AC315" s="41">
        <x:f>IF(Y315&gt;0,Y315+IF(AB315&gt;0,AB315,0),AB315)</x:f>
      </x:c>
      <x:c r="AD315" s="46">
        <x:v>6.4</x:v>
      </x:c>
      <x:c r="AE315" s="25">
        <x:v>3027</x:v>
      </x:c>
      <x:c r="AF315" s="41">
        <x:f>(AC315-(60*Ventas!AE314*1.2350))</x:f>
      </x:c>
      <x:c r="AG315" s="43">
        <x:f>(AF315/(Ventas!AE314*1.2350)/60)</x:f>
      </x:c>
      <x:c r="AH315" s="7" t="s">
        <x:v>34</x:v>
      </x:c>
    </x:row>
    <x:row r="316">
      <x:c r="A316" s="7" t="s">
        <x:v>705</x:v>
      </x:c>
      <x:c r="B316" s="7" t="s">
        <x:v>704</x:v>
      </x:c>
      <x:c r="C316" s="38" t="s">
        <x:v>703</x:v>
      </x:c>
      <x:c r="D316" s="25">
        <x:v>44</x:v>
      </x:c>
      <x:c r="E316" s="39">
        <x:v>46230</x:v>
      </x:c>
      <x:c r="F316" s="40">
        <x:v>5</x:v>
      </x:c>
      <x:c r="G316" s="41">
        <x:f>(D316-(0)+0-(F316*Ventas!AE315*1.8000))</x:f>
      </x:c>
      <x:c r="H316" s="43">
        <x:f>(G316/(Ventas!AE315*1.8000)/60)</x:f>
      </x:c>
      <x:c r="I316" s="25">
        <x:v>0</x:v>
      </x:c>
      <x:c r="J316" s="41">
        <x:f>IF(G316&gt;0,G316+I316,I316)</x:f>
      </x:c>
      <x:c r="K316" s="9"/>
      <x:c r="L316" s="41">
        <x:v>15</x:v>
      </x:c>
      <x:c r="M316" s="45">
        <x:v>0.003333</x:v>
      </x:c>
      <x:c r="N316" s="39">
        <x:v>46275</x:v>
      </x:c>
      <x:c r="O316" s="40">
        <x:v>45</x:v>
      </x:c>
      <x:c r="P316" s="41">
        <x:f>(IF(G316&gt;0,G316+I316,I316)-(O316*Ventas!AE315*1.0044))</x:f>
      </x:c>
      <x:c r="Q316" s="43">
        <x:f>(P316/(Ventas!AE315*1.0044)/60)</x:f>
      </x:c>
      <x:c r="R316" s="25">
        <x:v>0</x:v>
      </x:c>
      <x:c r="S316" s="41">
        <x:f>IF(P316&gt;0,P316+R316,R316)</x:f>
      </x:c>
      <x:c r="T316" s="9"/>
      <x:c r="U316" s="41">
        <x:v>15</x:v>
      </x:c>
      <x:c r="V316" s="45">
        <x:v>0.003333</x:v>
      </x:c>
      <x:c r="W316" s="39">
        <x:v>46331</x:v>
      </x:c>
      <x:c r="X316" s="40">
        <x:v>56</x:v>
      </x:c>
      <x:c r="Y316" s="41">
        <x:f>(IF(P316&gt;0,P316+R316,R316)-(X316*Ventas!AE315*0.9018))</x:f>
      </x:c>
      <x:c r="Z316" s="43">
        <x:f>(Y316/(Ventas!AE315*0.9018)/60)</x:f>
      </x:c>
      <x:c r="AA316" s="41">
        <x:f>(100*(Ventas!AE315*1.2350) - IF(Y316&gt;0,Y316,0))</x:f>
      </x:c>
      <x:c r="AB316" s="41">
        <x:f>IF(AA316&gt;0,AA316,0)</x:f>
      </x:c>
      <x:c r="AC316" s="41">
        <x:f>IF(Y316&gt;0,Y316+IF(AB316&gt;0,AB316,0),AB316)</x:f>
      </x:c>
      <x:c r="AD316" s="46">
        <x:v>6.4</x:v>
      </x:c>
      <x:c r="AE316" s="25">
        <x:v>3027</x:v>
      </x:c>
      <x:c r="AF316" s="41">
        <x:f>(AC316-(60*Ventas!AE315*1.2350))</x:f>
      </x:c>
      <x:c r="AG316" s="43">
        <x:f>(AF316/(Ventas!AE315*1.2350)/60)</x:f>
      </x:c>
      <x:c r="AH316" s="7" t="s">
        <x:v>34</x:v>
      </x:c>
    </x:row>
    <x:row r="317">
      <x:c r="A317" s="7" t="s">
        <x:v>708</x:v>
      </x:c>
      <x:c r="B317" s="7" t="s">
        <x:v>707</x:v>
      </x:c>
      <x:c r="C317" s="38" t="s">
        <x:v>706</x:v>
      </x:c>
      <x:c r="D317" s="25">
        <x:v>86</x:v>
      </x:c>
      <x:c r="E317" s="39">
        <x:v>46230</x:v>
      </x:c>
      <x:c r="F317" s="40">
        <x:v>5</x:v>
      </x:c>
      <x:c r="G317" s="41">
        <x:f>(D317-(0)+0-(F317*Ventas!AE316*1.8000))</x:f>
      </x:c>
      <x:c r="H317" s="43">
        <x:f>(G317/(Ventas!AE316*1.8000)/60)</x:f>
      </x:c>
      <x:c r="I317" s="25">
        <x:v>0</x:v>
      </x:c>
      <x:c r="J317" s="41">
        <x:f>IF(G317&gt;0,G317+I317,I317)</x:f>
      </x:c>
      <x:c r="K317" s="9"/>
      <x:c r="L317" s="41">
        <x:v>15</x:v>
      </x:c>
      <x:c r="M317" s="45">
        <x:v>0.003333</x:v>
      </x:c>
      <x:c r="N317" s="39">
        <x:v>46275</x:v>
      </x:c>
      <x:c r="O317" s="40">
        <x:v>45</x:v>
      </x:c>
      <x:c r="P317" s="41">
        <x:f>(IF(G317&gt;0,G317+I317,I317)-(O317*Ventas!AE316*1.0044))</x:f>
      </x:c>
      <x:c r="Q317" s="43">
        <x:f>(P317/(Ventas!AE316*1.0044)/60)</x:f>
      </x:c>
      <x:c r="R317" s="25">
        <x:v>0</x:v>
      </x:c>
      <x:c r="S317" s="41">
        <x:f>IF(P317&gt;0,P317+R317,R317)</x:f>
      </x:c>
      <x:c r="T317" s="9"/>
      <x:c r="U317" s="41">
        <x:v>15</x:v>
      </x:c>
      <x:c r="V317" s="45">
        <x:v>0.003333</x:v>
      </x:c>
      <x:c r="W317" s="39">
        <x:v>46331</x:v>
      </x:c>
      <x:c r="X317" s="40">
        <x:v>56</x:v>
      </x:c>
      <x:c r="Y317" s="41">
        <x:f>(IF(P317&gt;0,P317+R317,R317)-(X317*Ventas!AE316*0.9018))</x:f>
      </x:c>
      <x:c r="Z317" s="43">
        <x:f>(Y317/(Ventas!AE316*0.9018)/60)</x:f>
      </x:c>
      <x:c r="AA317" s="41">
        <x:f>(100*(Ventas!AE316*1.2350) - IF(Y317&gt;0,Y317,0))</x:f>
      </x:c>
      <x:c r="AB317" s="41">
        <x:f>IF(AA317&gt;0,AA317,0)</x:f>
      </x:c>
      <x:c r="AC317" s="41">
        <x:f>IF(Y317&gt;0,Y317+IF(AB317&gt;0,AB317,0),AB317)</x:f>
      </x:c>
      <x:c r="AD317" s="46">
        <x:v>6.4</x:v>
      </x:c>
      <x:c r="AE317" s="25">
        <x:v>3027</x:v>
      </x:c>
      <x:c r="AF317" s="41">
        <x:f>(AC317-(60*Ventas!AE316*1.2350))</x:f>
      </x:c>
      <x:c r="AG317" s="43">
        <x:f>(AF317/(Ventas!AE316*1.2350)/60)</x:f>
      </x:c>
      <x:c r="AH317" s="7" t="s">
        <x:v>34</x:v>
      </x:c>
    </x:row>
    <x:row r="318">
      <x:c r="A318" s="7" t="s">
        <x:v>711</x:v>
      </x:c>
      <x:c r="B318" s="7" t="s">
        <x:v>710</x:v>
      </x:c>
      <x:c r="C318" s="38" t="s">
        <x:v>709</x:v>
      </x:c>
      <x:c r="D318" s="9"/>
      <x:c r="E318" s="39">
        <x:v>46230</x:v>
      </x:c>
      <x:c r="F318" s="40">
        <x:v>5</x:v>
      </x:c>
      <x:c r="G318" s="41">
        <x:f>(D318-(0)+0-(F318*Ventas!AE317*1.8000))</x:f>
      </x:c>
      <x:c r="H318" s="9"/>
      <x:c r="I318" s="25">
        <x:v>100</x:v>
      </x:c>
      <x:c r="J318" s="41">
        <x:f>IF(G318&gt;0,G318+I318,I318)</x:f>
      </x:c>
      <x:c r="K318" s="41">
        <x:v>36.4</x:v>
      </x:c>
      <x:c r="L318" s="41">
        <x:v>10</x:v>
      </x:c>
      <x:c r="M318" s="45">
        <x:v>0.004</x:v>
      </x:c>
      <x:c r="N318" s="39">
        <x:v>46275</x:v>
      </x:c>
      <x:c r="O318" s="40">
        <x:v>45</x:v>
      </x:c>
      <x:c r="P318" s="41">
        <x:f>(IF(G318&gt;0,G318+I318,I318)-(O318*Ventas!AE317*1.0044))</x:f>
      </x:c>
      <x:c r="Q318" s="9"/>
      <x:c r="R318" s="25">
        <x:v>0</x:v>
      </x:c>
      <x:c r="S318" s="41">
        <x:f>IF(P318&gt;0,P318+R318,R318)</x:f>
      </x:c>
      <x:c r="T318" s="9"/>
      <x:c r="U318" s="41">
        <x:v>10</x:v>
      </x:c>
      <x:c r="V318" s="45">
        <x:v>0.004</x:v>
      </x:c>
      <x:c r="W318" s="39">
        <x:v>46331</x:v>
      </x:c>
      <x:c r="X318" s="40">
        <x:v>56</x:v>
      </x:c>
      <x:c r="Y318" s="41">
        <x:f>(IF(P318&gt;0,P318+R318,R318)-(X318*Ventas!AE317*0.9018))</x:f>
      </x:c>
      <x:c r="Z318" s="9"/>
      <x:c r="AA318" s="41">
        <x:f>(100*(Ventas!AE317*1.2350) - IF(Y318&gt;0,Y318,0))</x:f>
      </x:c>
      <x:c r="AB318" s="41">
        <x:f>IF(AA318&gt;0,AA318,0)</x:f>
      </x:c>
      <x:c r="AC318" s="41">
        <x:f>IF(Y318&gt;0,Y318+IF(AB318&gt;0,AB318,0),AB318)</x:f>
      </x:c>
      <x:c r="AD318" s="46">
        <x:v>36.4</x:v>
      </x:c>
      <x:c r="AE318" s="25">
        <x:v>3027</x:v>
      </x:c>
      <x:c r="AF318" s="9"/>
      <x:c r="AG318" s="9"/>
      <x:c r="AH318" s="7" t="s">
        <x:v>34</x:v>
      </x:c>
    </x:row>
    <x:row r="319">
      <x:c r="A319" s="7" t="s">
        <x:v>711</x:v>
      </x:c>
      <x:c r="B319" s="7" t="s">
        <x:v>713</x:v>
      </x:c>
      <x:c r="C319" s="38" t="s">
        <x:v>712</x:v>
      </x:c>
      <x:c r="D319" s="9"/>
      <x:c r="E319" s="39">
        <x:v>46230</x:v>
      </x:c>
      <x:c r="F319" s="40">
        <x:v>5</x:v>
      </x:c>
      <x:c r="G319" s="41">
        <x:f>(D319-(0)+0-(F319*Ventas!AE318*1.8000))</x:f>
      </x:c>
      <x:c r="H319" s="9"/>
      <x:c r="I319" s="25">
        <x:v>100</x:v>
      </x:c>
      <x:c r="J319" s="41">
        <x:f>IF(G319&gt;0,G319+I319,I319)</x:f>
      </x:c>
      <x:c r="K319" s="41">
        <x:v>36.4</x:v>
      </x:c>
      <x:c r="L319" s="41">
        <x:v>10</x:v>
      </x:c>
      <x:c r="M319" s="45">
        <x:v>0.004</x:v>
      </x:c>
      <x:c r="N319" s="39">
        <x:v>46275</x:v>
      </x:c>
      <x:c r="O319" s="40">
        <x:v>45</x:v>
      </x:c>
      <x:c r="P319" s="41">
        <x:f>(IF(G319&gt;0,G319+I319,I319)-(O319*Ventas!AE318*1.0044))</x:f>
      </x:c>
      <x:c r="Q319" s="9"/>
      <x:c r="R319" s="25">
        <x:v>0</x:v>
      </x:c>
      <x:c r="S319" s="41">
        <x:f>IF(P319&gt;0,P319+R319,R319)</x:f>
      </x:c>
      <x:c r="T319" s="9"/>
      <x:c r="U319" s="41">
        <x:v>10</x:v>
      </x:c>
      <x:c r="V319" s="45">
        <x:v>0.004</x:v>
      </x:c>
      <x:c r="W319" s="39">
        <x:v>46331</x:v>
      </x:c>
      <x:c r="X319" s="40">
        <x:v>56</x:v>
      </x:c>
      <x:c r="Y319" s="41">
        <x:f>(IF(P319&gt;0,P319+R319,R319)-(X319*Ventas!AE318*0.9018))</x:f>
      </x:c>
      <x:c r="Z319" s="9"/>
      <x:c r="AA319" s="41">
        <x:f>(100*(Ventas!AE318*1.2350) - IF(Y319&gt;0,Y319,0))</x:f>
      </x:c>
      <x:c r="AB319" s="41">
        <x:f>IF(AA319&gt;0,AA319,0)</x:f>
      </x:c>
      <x:c r="AC319" s="41">
        <x:f>IF(Y319&gt;0,Y319+IF(AB319&gt;0,AB319,0),AB319)</x:f>
      </x:c>
      <x:c r="AD319" s="46">
        <x:v>36.4</x:v>
      </x:c>
      <x:c r="AE319" s="25">
        <x:v>3027</x:v>
      </x:c>
      <x:c r="AF319" s="9"/>
      <x:c r="AG319" s="9"/>
      <x:c r="AH319" s="7" t="s">
        <x:v>34</x:v>
      </x:c>
    </x:row>
    <x:row r="320">
      <x:c r="A320" s="7" t="s">
        <x:v>716</x:v>
      </x:c>
      <x:c r="B320" s="7" t="s">
        <x:v>715</x:v>
      </x:c>
      <x:c r="C320" s="38" t="s">
        <x:v>714</x:v>
      </x:c>
      <x:c r="D320" s="9"/>
      <x:c r="E320" s="39">
        <x:v>46230</x:v>
      </x:c>
      <x:c r="F320" s="40">
        <x:v>5</x:v>
      </x:c>
      <x:c r="G320" s="41">
        <x:f>(D320-(0)+0-(F320*Ventas!AE319*1.8000))</x:f>
      </x:c>
      <x:c r="H320" s="9"/>
      <x:c r="I320" s="25">
        <x:v>100</x:v>
      </x:c>
      <x:c r="J320" s="41">
        <x:f>IF(G320&gt;0,G320+I320,I320)</x:f>
      </x:c>
      <x:c r="K320" s="41">
        <x:v>36.4</x:v>
      </x:c>
      <x:c r="L320" s="41">
        <x:v>10</x:v>
      </x:c>
      <x:c r="M320" s="45">
        <x:v>0.004</x:v>
      </x:c>
      <x:c r="N320" s="39">
        <x:v>46275</x:v>
      </x:c>
      <x:c r="O320" s="40">
        <x:v>45</x:v>
      </x:c>
      <x:c r="P320" s="41">
        <x:f>(IF(G320&gt;0,G320+I320,I320)-(O320*Ventas!AE319*1.0044))</x:f>
      </x:c>
      <x:c r="Q320" s="9"/>
      <x:c r="R320" s="25">
        <x:v>0</x:v>
      </x:c>
      <x:c r="S320" s="41">
        <x:f>IF(P320&gt;0,P320+R320,R320)</x:f>
      </x:c>
      <x:c r="T320" s="9"/>
      <x:c r="U320" s="41">
        <x:v>10</x:v>
      </x:c>
      <x:c r="V320" s="45">
        <x:v>0.004</x:v>
      </x:c>
      <x:c r="W320" s="39">
        <x:v>46331</x:v>
      </x:c>
      <x:c r="X320" s="40">
        <x:v>56</x:v>
      </x:c>
      <x:c r="Y320" s="41">
        <x:f>(IF(P320&gt;0,P320+R320,R320)-(X320*Ventas!AE319*0.9018))</x:f>
      </x:c>
      <x:c r="Z320" s="9"/>
      <x:c r="AA320" s="41">
        <x:f>(100*(Ventas!AE319*1.2350) - IF(Y320&gt;0,Y320,0))</x:f>
      </x:c>
      <x:c r="AB320" s="41">
        <x:f>IF(AA320&gt;0,AA320,0)</x:f>
      </x:c>
      <x:c r="AC320" s="41">
        <x:f>IF(Y320&gt;0,Y320+IF(AB320&gt;0,AB320,0),AB320)</x:f>
      </x:c>
      <x:c r="AD320" s="46">
        <x:v>36.4</x:v>
      </x:c>
      <x:c r="AE320" s="25">
        <x:v>3027</x:v>
      </x:c>
      <x:c r="AF320" s="9"/>
      <x:c r="AG320" s="9"/>
      <x:c r="AH320" s="7" t="s">
        <x:v>34</x:v>
      </x:c>
    </x:row>
    <x:row r="321">
      <x:c r="A321" s="7" t="s">
        <x:v>719</x:v>
      </x:c>
      <x:c r="B321" s="7" t="s">
        <x:v>718</x:v>
      </x:c>
      <x:c r="C321" s="38" t="s">
        <x:v>717</x:v>
      </x:c>
      <x:c r="D321" s="9"/>
      <x:c r="E321" s="39">
        <x:v>46230</x:v>
      </x:c>
      <x:c r="F321" s="40">
        <x:v>5</x:v>
      </x:c>
      <x:c r="G321" s="41">
        <x:f>(D321-(0)+0-(F321*Ventas!AE320*1.8000))</x:f>
      </x:c>
      <x:c r="H321" s="9"/>
      <x:c r="I321" s="25">
        <x:v>0</x:v>
      </x:c>
      <x:c r="J321" s="41">
        <x:f>IF(G321&gt;0,G321+I321,I321)</x:f>
      </x:c>
      <x:c r="K321" s="9"/>
      <x:c r="L321" s="41">
        <x:v>10</x:v>
      </x:c>
      <x:c r="M321" s="45">
        <x:v>0.004</x:v>
      </x:c>
      <x:c r="N321" s="39">
        <x:v>46275</x:v>
      </x:c>
      <x:c r="O321" s="40">
        <x:v>45</x:v>
      </x:c>
      <x:c r="P321" s="41">
        <x:f>(IF(G321&gt;0,G321+I321,I321)-(O321*Ventas!AE320*1.0044))</x:f>
      </x:c>
      <x:c r="Q321" s="9"/>
      <x:c r="R321" s="25">
        <x:v>0</x:v>
      </x:c>
      <x:c r="S321" s="41">
        <x:f>IF(P321&gt;0,P321+R321,R321)</x:f>
      </x:c>
      <x:c r="T321" s="9"/>
      <x:c r="U321" s="41">
        <x:v>10</x:v>
      </x:c>
      <x:c r="V321" s="45">
        <x:v>0.004</x:v>
      </x:c>
      <x:c r="W321" s="39">
        <x:v>46331</x:v>
      </x:c>
      <x:c r="X321" s="40">
        <x:v>56</x:v>
      </x:c>
      <x:c r="Y321" s="41">
        <x:f>(IF(P321&gt;0,P321+R321,R321)-(X321*Ventas!AE320*0.9018))</x:f>
      </x:c>
      <x:c r="Z321" s="9"/>
      <x:c r="AA321" s="41">
        <x:f>(100*(Ventas!AE320*1.2350) - IF(Y321&gt;0,Y321,0))</x:f>
      </x:c>
      <x:c r="AB321" s="41">
        <x:f>IF(AA321&gt;0,AA321,0)</x:f>
      </x:c>
      <x:c r="AC321" s="41">
        <x:f>IF(Y321&gt;0,Y321+IF(AB321&gt;0,AB321,0),AB321)</x:f>
      </x:c>
      <x:c r="AD321" s="46">
        <x:v>36.4</x:v>
      </x:c>
      <x:c r="AE321" s="25">
        <x:v>3027</x:v>
      </x:c>
      <x:c r="AF321" s="9"/>
      <x:c r="AG321" s="9"/>
      <x:c r="AH321" s="7" t="s">
        <x:v>34</x:v>
      </x:c>
    </x:row>
    <x:row r="322">
      <x:c r="A322" s="7" t="s">
        <x:v>734</x:v>
      </x:c>
      <x:c r="B322" s="7" t="s">
        <x:v>733</x:v>
      </x:c>
      <x:c r="C322" s="38" t="s">
        <x:v>732</x:v>
      </x:c>
      <x:c r="D322" s="25">
        <x:v>35</x:v>
      </x:c>
      <x:c r="E322" s="39">
        <x:v>46230</x:v>
      </x:c>
      <x:c r="F322" s="40">
        <x:v>5</x:v>
      </x:c>
      <x:c r="G322" s="41">
        <x:f>(D322-(0)+0-(F322*Ventas!AE325*1.8000))</x:f>
      </x:c>
      <x:c r="H322" s="43">
        <x:f>(G322/(Ventas!AE325*1.8000)/60)</x:f>
      </x:c>
      <x:c r="I322" s="25">
        <x:v>160</x:v>
      </x:c>
      <x:c r="J322" s="41">
        <x:f>IF(G322&gt;0,G322+I322,I322)</x:f>
      </x:c>
      <x:c r="K322" s="41">
        <x:v>19.9</x:v>
      </x:c>
      <x:c r="L322" s="41">
        <x:v>20</x:v>
      </x:c>
      <x:c r="M322" s="45">
        <x:v>0.0022</x:v>
      </x:c>
      <x:c r="N322" s="39">
        <x:v>46275</x:v>
      </x:c>
      <x:c r="O322" s="40">
        <x:v>45</x:v>
      </x:c>
      <x:c r="P322" s="41">
        <x:f>(IF(G322&gt;0,G322+I322,I322)-(O322*Ventas!AE325*1.0044))</x:f>
      </x:c>
      <x:c r="Q322" s="43">
        <x:f>(P322/(Ventas!AE325*1.0044)/60)</x:f>
      </x:c>
      <x:c r="R322" s="25">
        <x:v>0</x:v>
      </x:c>
      <x:c r="S322" s="41">
        <x:f>IF(P322&gt;0,P322+R322,R322)</x:f>
      </x:c>
      <x:c r="T322" s="9"/>
      <x:c r="U322" s="41">
        <x:v>20</x:v>
      </x:c>
      <x:c r="V322" s="45">
        <x:v>0.0022</x:v>
      </x:c>
      <x:c r="W322" s="39">
        <x:v>46331</x:v>
      </x:c>
      <x:c r="X322" s="40">
        <x:v>56</x:v>
      </x:c>
      <x:c r="Y322" s="41">
        <x:f>(IF(P322&gt;0,P322+R322,R322)-(X322*Ventas!AE325*0.9018))</x:f>
      </x:c>
      <x:c r="Z322" s="43">
        <x:f>(Y322/(Ventas!AE325*0.9018)/60)</x:f>
      </x:c>
      <x:c r="AA322" s="41">
        <x:f>(100*(Ventas!AE325*1.2350) - IF(Y322&gt;0,Y322,0))</x:f>
      </x:c>
      <x:c r="AB322" s="41">
        <x:f>IF(AA322&gt;0,AA322,0)</x:f>
      </x:c>
      <x:c r="AC322" s="41">
        <x:f>IF(Y322&gt;0,Y322+IF(AB322&gt;0,AB322,0),AB322)</x:f>
      </x:c>
      <x:c r="AD322" s="46">
        <x:v>19.9</x:v>
      </x:c>
      <x:c r="AE322" s="25">
        <x:v>3027</x:v>
      </x:c>
      <x:c r="AF322" s="41">
        <x:f>(AC322-(60*Ventas!AE325*1.2350))</x:f>
      </x:c>
      <x:c r="AG322" s="43">
        <x:f>(AF322/(Ventas!AE325*1.2350)/60)</x:f>
      </x:c>
      <x:c r="AH322" s="7" t="s">
        <x:v>34</x:v>
      </x:c>
    </x:row>
    <x:row r="323">
      <x:c r="A323" s="7" t="s">
        <x:v>737</x:v>
      </x:c>
      <x:c r="B323" s="7" t="s">
        <x:v>736</x:v>
      </x:c>
      <x:c r="C323" s="38" t="s">
        <x:v>735</x:v>
      </x:c>
      <x:c r="D323" s="25">
        <x:v>39</x:v>
      </x:c>
      <x:c r="E323" s="39">
        <x:v>46230</x:v>
      </x:c>
      <x:c r="F323" s="40">
        <x:v>5</x:v>
      </x:c>
      <x:c r="G323" s="41">
        <x:f>(D323-(0)+0-(F323*Ventas!AE326*1.8000))</x:f>
      </x:c>
      <x:c r="H323" s="43">
        <x:f>(G323/(Ventas!AE326*1.8000)/60)</x:f>
      </x:c>
      <x:c r="I323" s="25">
        <x:v>200</x:v>
      </x:c>
      <x:c r="J323" s="41">
        <x:f>IF(G323&gt;0,G323+I323,I323)</x:f>
      </x:c>
      <x:c r="K323" s="41">
        <x:v>19.9</x:v>
      </x:c>
      <x:c r="L323" s="41">
        <x:v>20</x:v>
      </x:c>
      <x:c r="M323" s="45">
        <x:v>0.0022</x:v>
      </x:c>
      <x:c r="N323" s="39">
        <x:v>46275</x:v>
      </x:c>
      <x:c r="O323" s="40">
        <x:v>45</x:v>
      </x:c>
      <x:c r="P323" s="41">
        <x:f>(IF(G323&gt;0,G323+I323,I323)-(O323*Ventas!AE326*1.0044))</x:f>
      </x:c>
      <x:c r="Q323" s="43">
        <x:f>(P323/(Ventas!AE326*1.0044)/60)</x:f>
      </x:c>
      <x:c r="R323" s="25">
        <x:v>0</x:v>
      </x:c>
      <x:c r="S323" s="41">
        <x:f>IF(P323&gt;0,P323+R323,R323)</x:f>
      </x:c>
      <x:c r="T323" s="9"/>
      <x:c r="U323" s="41">
        <x:v>20</x:v>
      </x:c>
      <x:c r="V323" s="45">
        <x:v>0.0022</x:v>
      </x:c>
      <x:c r="W323" s="39">
        <x:v>46331</x:v>
      </x:c>
      <x:c r="X323" s="40">
        <x:v>56</x:v>
      </x:c>
      <x:c r="Y323" s="41">
        <x:f>(IF(P323&gt;0,P323+R323,R323)-(X323*Ventas!AE326*0.9018))</x:f>
      </x:c>
      <x:c r="Z323" s="43">
        <x:f>(Y323/(Ventas!AE326*0.9018)/60)</x:f>
      </x:c>
      <x:c r="AA323" s="41">
        <x:f>(100*(Ventas!AE326*1.2350) - IF(Y323&gt;0,Y323,0))</x:f>
      </x:c>
      <x:c r="AB323" s="41">
        <x:f>IF(AA323&gt;0,AA323,0)</x:f>
      </x:c>
      <x:c r="AC323" s="41">
        <x:f>IF(Y323&gt;0,Y323+IF(AB323&gt;0,AB323,0),AB323)</x:f>
      </x:c>
      <x:c r="AD323" s="46">
        <x:v>19.9</x:v>
      </x:c>
      <x:c r="AE323" s="25">
        <x:v>3027</x:v>
      </x:c>
      <x:c r="AF323" s="41">
        <x:f>(AC323-(60*Ventas!AE326*1.2350))</x:f>
      </x:c>
      <x:c r="AG323" s="43">
        <x:f>(AF323/(Ventas!AE326*1.2350)/60)</x:f>
      </x:c>
      <x:c r="AH323" s="7" t="s">
        <x:v>34</x:v>
      </x:c>
    </x:row>
    <x:row r="324">
      <x:c r="A324" s="7" t="s">
        <x:v>740</x:v>
      </x:c>
      <x:c r="B324" s="7" t="s">
        <x:v>739</x:v>
      </x:c>
      <x:c r="C324" s="38" t="s">
        <x:v>738</x:v>
      </x:c>
      <x:c r="D324" s="25">
        <x:v>37</x:v>
      </x:c>
      <x:c r="E324" s="39">
        <x:v>46230</x:v>
      </x:c>
      <x:c r="F324" s="40">
        <x:v>5</x:v>
      </x:c>
      <x:c r="G324" s="41">
        <x:f>(D324-(0)+0-(F324*Ventas!AE327*1.8000))</x:f>
      </x:c>
      <x:c r="H324" s="43">
        <x:f>(G324/(Ventas!AE327*1.8000)/60)</x:f>
      </x:c>
      <x:c r="I324" s="25">
        <x:v>0</x:v>
      </x:c>
      <x:c r="J324" s="41">
        <x:f>IF(G324&gt;0,G324+I324,I324)</x:f>
      </x:c>
      <x:c r="K324" s="9"/>
      <x:c r="L324" s="41">
        <x:v>20</x:v>
      </x:c>
      <x:c r="M324" s="45">
        <x:v>0.0022</x:v>
      </x:c>
      <x:c r="N324" s="39">
        <x:v>46275</x:v>
      </x:c>
      <x:c r="O324" s="40">
        <x:v>45</x:v>
      </x:c>
      <x:c r="P324" s="41">
        <x:f>(IF(G324&gt;0,G324+I324,I324)-(O324*Ventas!AE327*1.0044))</x:f>
      </x:c>
      <x:c r="Q324" s="43">
        <x:f>(P324/(Ventas!AE327*1.0044)/60)</x:f>
      </x:c>
      <x:c r="R324" s="25">
        <x:v>0</x:v>
      </x:c>
      <x:c r="S324" s="41">
        <x:f>IF(P324&gt;0,P324+R324,R324)</x:f>
      </x:c>
      <x:c r="T324" s="9"/>
      <x:c r="U324" s="41">
        <x:v>20</x:v>
      </x:c>
      <x:c r="V324" s="45">
        <x:v>0.0022</x:v>
      </x:c>
      <x:c r="W324" s="39">
        <x:v>46331</x:v>
      </x:c>
      <x:c r="X324" s="40">
        <x:v>56</x:v>
      </x:c>
      <x:c r="Y324" s="41">
        <x:f>(IF(P324&gt;0,P324+R324,R324)-(X324*Ventas!AE327*0.9018))</x:f>
      </x:c>
      <x:c r="Z324" s="43">
        <x:f>(Y324/(Ventas!AE327*0.9018)/60)</x:f>
      </x:c>
      <x:c r="AA324" s="41">
        <x:f>(100*(Ventas!AE327*1.2350) - IF(Y324&gt;0,Y324,0))</x:f>
      </x:c>
      <x:c r="AB324" s="41">
        <x:f>IF(AA324&gt;0,AA324,0)</x:f>
      </x:c>
      <x:c r="AC324" s="41">
        <x:f>IF(Y324&gt;0,Y324+IF(AB324&gt;0,AB324,0),AB324)</x:f>
      </x:c>
      <x:c r="AD324" s="46">
        <x:v>20</x:v>
      </x:c>
      <x:c r="AE324" s="25">
        <x:v>3027</x:v>
      </x:c>
      <x:c r="AF324" s="41">
        <x:f>(AC324-(60*Ventas!AE327*1.2350))</x:f>
      </x:c>
      <x:c r="AG324" s="43">
        <x:f>(AF324/(Ventas!AE327*1.2350)/60)</x:f>
      </x:c>
      <x:c r="AH324" s="7" t="s">
        <x:v>34</x:v>
      </x:c>
    </x:row>
    <x:row r="325">
      <x:c r="A325" s="7" t="s">
        <x:v>743</x:v>
      </x:c>
      <x:c r="B325" s="7" t="s">
        <x:v>742</x:v>
      </x:c>
      <x:c r="C325" s="38" t="s">
        <x:v>741</x:v>
      </x:c>
      <x:c r="D325" s="9"/>
      <x:c r="E325" s="39">
        <x:v>46230</x:v>
      </x:c>
      <x:c r="F325" s="40">
        <x:v>5</x:v>
      </x:c>
      <x:c r="G325" s="41">
        <x:f>(D325-(0)+0-(F325*Ventas!AE328*1.8000))</x:f>
      </x:c>
      <x:c r="H325" s="9"/>
      <x:c r="I325" s="25">
        <x:v>0</x:v>
      </x:c>
      <x:c r="J325" s="41">
        <x:f>IF(G325&gt;0,G325+I325,I325)</x:f>
      </x:c>
      <x:c r="K325" s="9"/>
      <x:c r="L325" s="41">
        <x:v>20</x:v>
      </x:c>
      <x:c r="M325" s="45">
        <x:v>0.0022</x:v>
      </x:c>
      <x:c r="N325" s="39">
        <x:v>46275</x:v>
      </x:c>
      <x:c r="O325" s="40">
        <x:v>45</x:v>
      </x:c>
      <x:c r="P325" s="41">
        <x:f>(IF(G325&gt;0,G325+I325,I325)-(O325*Ventas!AE328*1.0044))</x:f>
      </x:c>
      <x:c r="Q325" s="9"/>
      <x:c r="R325" s="25">
        <x:v>0</x:v>
      </x:c>
      <x:c r="S325" s="41">
        <x:f>IF(P325&gt;0,P325+R325,R325)</x:f>
      </x:c>
      <x:c r="T325" s="9"/>
      <x:c r="U325" s="41">
        <x:v>20</x:v>
      </x:c>
      <x:c r="V325" s="45">
        <x:v>0.0022</x:v>
      </x:c>
      <x:c r="W325" s="39">
        <x:v>46331</x:v>
      </x:c>
      <x:c r="X325" s="40">
        <x:v>56</x:v>
      </x:c>
      <x:c r="Y325" s="41">
        <x:f>(IF(P325&gt;0,P325+R325,R325)-(X325*Ventas!AE328*0.9018))</x:f>
      </x:c>
      <x:c r="Z325" s="9"/>
      <x:c r="AA325" s="41">
        <x:f>(100*(Ventas!AE328*1.2350) - IF(Y325&gt;0,Y325,0))</x:f>
      </x:c>
      <x:c r="AB325" s="41">
        <x:f>IF(AA325&gt;0,AA325,0)</x:f>
      </x:c>
      <x:c r="AC325" s="41">
        <x:f>IF(Y325&gt;0,Y325+IF(AB325&gt;0,AB325,0),AB325)</x:f>
      </x:c>
      <x:c r="AD325" s="9"/>
      <x:c r="AE325" s="9"/>
      <x:c r="AF325" s="9"/>
      <x:c r="AG325" s="9"/>
      <x:c r="AH325" s="7" t="s">
        <x:v>34</x:v>
      </x:c>
    </x:row>
    <x:row r="326">
      <x:c r="A326" s="7" t="s">
        <x:v>746</x:v>
      </x:c>
      <x:c r="B326" s="7" t="s">
        <x:v>745</x:v>
      </x:c>
      <x:c r="C326" s="38" t="s">
        <x:v>744</x:v>
      </x:c>
      <x:c r="D326" s="25">
        <x:v>45</x:v>
      </x:c>
      <x:c r="E326" s="39">
        <x:v>46230</x:v>
      </x:c>
      <x:c r="F326" s="40">
        <x:v>5</x:v>
      </x:c>
      <x:c r="G326" s="41">
        <x:f>(D326-(0)+0-(F326*Ventas!AE329*1.8000))</x:f>
      </x:c>
      <x:c r="H326" s="43">
        <x:f>(G326/(Ventas!AE329*1.8000)/60)</x:f>
      </x:c>
      <x:c r="I326" s="25">
        <x:v>80</x:v>
      </x:c>
      <x:c r="J326" s="41">
        <x:f>IF(G326&gt;0,G326+I326,I326)</x:f>
      </x:c>
      <x:c r="K326" s="41">
        <x:v>14.976</x:v>
      </x:c>
      <x:c r="L326" s="41">
        <x:v>20</x:v>
      </x:c>
      <x:c r="M326" s="45">
        <x:v>0.0048</x:v>
      </x:c>
      <x:c r="N326" s="39">
        <x:v>46275</x:v>
      </x:c>
      <x:c r="O326" s="40">
        <x:v>45</x:v>
      </x:c>
      <x:c r="P326" s="41">
        <x:f>(IF(G326&gt;0,G326+I326,I326)-(O326*Ventas!AE329*1.0044))</x:f>
      </x:c>
      <x:c r="Q326" s="43">
        <x:f>(P326/(Ventas!AE329*1.0044)/60)</x:f>
      </x:c>
      <x:c r="R326" s="25">
        <x:v>0</x:v>
      </x:c>
      <x:c r="S326" s="41">
        <x:f>IF(P326&gt;0,P326+R326,R326)</x:f>
      </x:c>
      <x:c r="T326" s="9"/>
      <x:c r="U326" s="41">
        <x:v>20</x:v>
      </x:c>
      <x:c r="V326" s="45">
        <x:v>0.0048</x:v>
      </x:c>
      <x:c r="W326" s="39">
        <x:v>46331</x:v>
      </x:c>
      <x:c r="X326" s="40">
        <x:v>56</x:v>
      </x:c>
      <x:c r="Y326" s="41">
        <x:f>(IF(P326&gt;0,P326+R326,R326)-(X326*Ventas!AE329*0.9018))</x:f>
      </x:c>
      <x:c r="Z326" s="43">
        <x:f>(Y326/(Ventas!AE329*0.9018)/60)</x:f>
      </x:c>
      <x:c r="AA326" s="41">
        <x:f>(100*(Ventas!AE329*1.2350) - IF(Y326&gt;0,Y326,0))</x:f>
      </x:c>
      <x:c r="AB326" s="41">
        <x:f>IF(AA326&gt;0,AA326,0)</x:f>
      </x:c>
      <x:c r="AC326" s="41">
        <x:f>IF(Y326&gt;0,Y326+IF(AB326&gt;0,AB326,0),AB326)</x:f>
      </x:c>
      <x:c r="AD326" s="46">
        <x:v>14.976</x:v>
      </x:c>
      <x:c r="AE326" s="25">
        <x:v>3027</x:v>
      </x:c>
      <x:c r="AF326" s="41">
        <x:f>(AC326-(60*Ventas!AE329*1.2350))</x:f>
      </x:c>
      <x:c r="AG326" s="43">
        <x:f>(AF326/(Ventas!AE329*1.2350)/60)</x:f>
      </x:c>
      <x:c r="AH326" s="7" t="s">
        <x:v>34</x:v>
      </x:c>
    </x:row>
    <x:row r="327">
      <x:c r="A327" s="7" t="s">
        <x:v>749</x:v>
      </x:c>
      <x:c r="B327" s="7" t="s">
        <x:v>748</x:v>
      </x:c>
      <x:c r="C327" s="38" t="s">
        <x:v>747</x:v>
      </x:c>
      <x:c r="D327" s="25">
        <x:v>40</x:v>
      </x:c>
      <x:c r="E327" s="39">
        <x:v>46230</x:v>
      </x:c>
      <x:c r="F327" s="40">
        <x:v>5</x:v>
      </x:c>
      <x:c r="G327" s="41">
        <x:f>(D327-(0)+0-(F327*Ventas!AE330*1.8000))</x:f>
      </x:c>
      <x:c r="H327" s="43">
        <x:f>(G327/(Ventas!AE330*1.8000)/60)</x:f>
      </x:c>
      <x:c r="I327" s="25">
        <x:v>40</x:v>
      </x:c>
      <x:c r="J327" s="41">
        <x:f>IF(G327&gt;0,G327+I327,I327)</x:f>
      </x:c>
      <x:c r="K327" s="41">
        <x:v>14.976</x:v>
      </x:c>
      <x:c r="L327" s="41">
        <x:v>20</x:v>
      </x:c>
      <x:c r="M327" s="45">
        <x:v>0.0048</x:v>
      </x:c>
      <x:c r="N327" s="39">
        <x:v>46275</x:v>
      </x:c>
      <x:c r="O327" s="40">
        <x:v>45</x:v>
      </x:c>
      <x:c r="P327" s="41">
        <x:f>(IF(G327&gt;0,G327+I327,I327)-(O327*Ventas!AE330*1.0044))</x:f>
      </x:c>
      <x:c r="Q327" s="43">
        <x:f>(P327/(Ventas!AE330*1.0044)/60)</x:f>
      </x:c>
      <x:c r="R327" s="25">
        <x:v>0</x:v>
      </x:c>
      <x:c r="S327" s="41">
        <x:f>IF(P327&gt;0,P327+R327,R327)</x:f>
      </x:c>
      <x:c r="T327" s="9"/>
      <x:c r="U327" s="41">
        <x:v>20</x:v>
      </x:c>
      <x:c r="V327" s="45">
        <x:v>0.0048</x:v>
      </x:c>
      <x:c r="W327" s="39">
        <x:v>46331</x:v>
      </x:c>
      <x:c r="X327" s="40">
        <x:v>56</x:v>
      </x:c>
      <x:c r="Y327" s="41">
        <x:f>(IF(P327&gt;0,P327+R327,R327)-(X327*Ventas!AE330*0.9018))</x:f>
      </x:c>
      <x:c r="Z327" s="43">
        <x:f>(Y327/(Ventas!AE330*0.9018)/60)</x:f>
      </x:c>
      <x:c r="AA327" s="41">
        <x:f>(100*(Ventas!AE330*1.2350) - IF(Y327&gt;0,Y327,0))</x:f>
      </x:c>
      <x:c r="AB327" s="41">
        <x:f>IF(AA327&gt;0,AA327,0)</x:f>
      </x:c>
      <x:c r="AC327" s="41">
        <x:f>IF(Y327&gt;0,Y327+IF(AB327&gt;0,AB327,0),AB327)</x:f>
      </x:c>
      <x:c r="AD327" s="46">
        <x:v>14.976</x:v>
      </x:c>
      <x:c r="AE327" s="25">
        <x:v>3027</x:v>
      </x:c>
      <x:c r="AF327" s="41">
        <x:f>(AC327-(60*Ventas!AE330*1.2350))</x:f>
      </x:c>
      <x:c r="AG327" s="43">
        <x:f>(AF327/(Ventas!AE330*1.2350)/60)</x:f>
      </x:c>
      <x:c r="AH327" s="7" t="s">
        <x:v>34</x:v>
      </x:c>
    </x:row>
    <x:row r="328">
      <x:c r="A328" s="7" t="s">
        <x:v>752</x:v>
      </x:c>
      <x:c r="B328" s="7" t="s">
        <x:v>751</x:v>
      </x:c>
      <x:c r="C328" s="38" t="s">
        <x:v>750</x:v>
      </x:c>
      <x:c r="D328" s="25">
        <x:v>52</x:v>
      </x:c>
      <x:c r="E328" s="39">
        <x:v>46230</x:v>
      </x:c>
      <x:c r="F328" s="40">
        <x:v>5</x:v>
      </x:c>
      <x:c r="G328" s="41">
        <x:f>(D328-(0)+0-(F328*Ventas!AE331*1.8000))</x:f>
      </x:c>
      <x:c r="H328" s="43">
        <x:f>(G328/(Ventas!AE331*1.8000)/60)</x:f>
      </x:c>
      <x:c r="I328" s="25">
        <x:v>0</x:v>
      </x:c>
      <x:c r="J328" s="41">
        <x:f>IF(G328&gt;0,G328+I328,I328)</x:f>
      </x:c>
      <x:c r="K328" s="9"/>
      <x:c r="L328" s="41">
        <x:v>20</x:v>
      </x:c>
      <x:c r="M328" s="45">
        <x:v>0.00155</x:v>
      </x:c>
      <x:c r="N328" s="39">
        <x:v>46275</x:v>
      </x:c>
      <x:c r="O328" s="40">
        <x:v>45</x:v>
      </x:c>
      <x:c r="P328" s="41">
        <x:f>(IF(G328&gt;0,G328+I328,I328)-(O328*Ventas!AE331*1.0044))</x:f>
      </x:c>
      <x:c r="Q328" s="43">
        <x:f>(P328/(Ventas!AE331*1.0044)/60)</x:f>
      </x:c>
      <x:c r="R328" s="25">
        <x:v>0</x:v>
      </x:c>
      <x:c r="S328" s="41">
        <x:f>IF(P328&gt;0,P328+R328,R328)</x:f>
      </x:c>
      <x:c r="T328" s="9"/>
      <x:c r="U328" s="41">
        <x:v>20</x:v>
      </x:c>
      <x:c r="V328" s="45">
        <x:v>0.00155</x:v>
      </x:c>
      <x:c r="W328" s="39">
        <x:v>46331</x:v>
      </x:c>
      <x:c r="X328" s="40">
        <x:v>56</x:v>
      </x:c>
      <x:c r="Y328" s="41">
        <x:f>(IF(P328&gt;0,P328+R328,R328)-(X328*Ventas!AE331*0.9018))</x:f>
      </x:c>
      <x:c r="Z328" s="43">
        <x:f>(Y328/(Ventas!AE331*0.9018)/60)</x:f>
      </x:c>
      <x:c r="AA328" s="41">
        <x:f>(100*(Ventas!AE331*1.2350) - IF(Y328&gt;0,Y328,0))</x:f>
      </x:c>
      <x:c r="AB328" s="41">
        <x:f>IF(AA328&gt;0,AA328,0)</x:f>
      </x:c>
      <x:c r="AC328" s="41">
        <x:f>IF(Y328&gt;0,Y328+IF(AB328&gt;0,AB328,0),AB328)</x:f>
      </x:c>
      <x:c r="AD328" s="46">
        <x:v>9.604</x:v>
      </x:c>
      <x:c r="AE328" s="25">
        <x:v>3027</x:v>
      </x:c>
      <x:c r="AF328" s="41">
        <x:f>(AC328-(60*Ventas!AE331*1.2350))</x:f>
      </x:c>
      <x:c r="AG328" s="43">
        <x:f>(AF328/(Ventas!AE331*1.2350)/60)</x:f>
      </x:c>
      <x:c r="AH328" s="7" t="s">
        <x:v>34</x:v>
      </x:c>
    </x:row>
    <x:row r="329">
      <x:c r="A329" s="7" t="s">
        <x:v>755</x:v>
      </x:c>
      <x:c r="B329" s="7" t="s">
        <x:v>754</x:v>
      </x:c>
      <x:c r="C329" s="38" t="s">
        <x:v>753</x:v>
      </x:c>
      <x:c r="D329" s="25">
        <x:v>42</x:v>
      </x:c>
      <x:c r="E329" s="39">
        <x:v>46230</x:v>
      </x:c>
      <x:c r="F329" s="40">
        <x:v>5</x:v>
      </x:c>
      <x:c r="G329" s="41">
        <x:f>(D329-(0)+0-(F329*Ventas!AE332*1.8000))</x:f>
      </x:c>
      <x:c r="H329" s="43">
        <x:f>(G329/(Ventas!AE332*1.8000)/60)</x:f>
      </x:c>
      <x:c r="I329" s="25">
        <x:v>0</x:v>
      </x:c>
      <x:c r="J329" s="41">
        <x:f>IF(G329&gt;0,G329+I329,I329)</x:f>
      </x:c>
      <x:c r="K329" s="9"/>
      <x:c r="L329" s="41">
        <x:v>10</x:v>
      </x:c>
      <x:c r="M329" s="45">
        <x:v>0.004</x:v>
      </x:c>
      <x:c r="N329" s="39">
        <x:v>46275</x:v>
      </x:c>
      <x:c r="O329" s="40">
        <x:v>45</x:v>
      </x:c>
      <x:c r="P329" s="41">
        <x:f>(IF(G329&gt;0,G329+I329,I329)-(O329*Ventas!AE332*1.0044))</x:f>
      </x:c>
      <x:c r="Q329" s="43">
        <x:f>(P329/(Ventas!AE332*1.0044)/60)</x:f>
      </x:c>
      <x:c r="R329" s="25">
        <x:v>0</x:v>
      </x:c>
      <x:c r="S329" s="41">
        <x:f>IF(P329&gt;0,P329+R329,R329)</x:f>
      </x:c>
      <x:c r="T329" s="9"/>
      <x:c r="U329" s="41">
        <x:v>10</x:v>
      </x:c>
      <x:c r="V329" s="45">
        <x:v>0.004</x:v>
      </x:c>
      <x:c r="W329" s="39">
        <x:v>46331</x:v>
      </x:c>
      <x:c r="X329" s="40">
        <x:v>56</x:v>
      </x:c>
      <x:c r="Y329" s="41">
        <x:f>(IF(P329&gt;0,P329+R329,R329)-(X329*Ventas!AE332*0.9018))</x:f>
      </x:c>
      <x:c r="Z329" s="43">
        <x:f>(Y329/(Ventas!AE332*0.9018)/60)</x:f>
      </x:c>
      <x:c r="AA329" s="41">
        <x:f>(100*(Ventas!AE332*1.2350) - IF(Y329&gt;0,Y329,0))</x:f>
      </x:c>
      <x:c r="AB329" s="41">
        <x:f>IF(AA329&gt;0,AA329,0)</x:f>
      </x:c>
      <x:c r="AC329" s="41">
        <x:f>IF(Y329&gt;0,Y329+IF(AB329&gt;0,AB329,0),AB329)</x:f>
      </x:c>
      <x:c r="AD329" s="46">
        <x:v>28</x:v>
      </x:c>
      <x:c r="AE329" s="25">
        <x:v>3027</x:v>
      </x:c>
      <x:c r="AF329" s="41">
        <x:f>(AC329-(60*Ventas!AE332*1.2350))</x:f>
      </x:c>
      <x:c r="AG329" s="43">
        <x:f>(AF329/(Ventas!AE332*1.2350)/60)</x:f>
      </x:c>
      <x:c r="AH329" s="7" t="s">
        <x:v>34</x:v>
      </x:c>
    </x:row>
    <x:row r="330">
      <x:c r="A330" s="7" t="s">
        <x:v>758</x:v>
      </x:c>
      <x:c r="B330" s="7" t="s">
        <x:v>757</x:v>
      </x:c>
      <x:c r="C330" s="38" t="s">
        <x:v>756</x:v>
      </x:c>
      <x:c r="D330" s="25">
        <x:v>42</x:v>
      </x:c>
      <x:c r="E330" s="39">
        <x:v>46230</x:v>
      </x:c>
      <x:c r="F330" s="40">
        <x:v>5</x:v>
      </x:c>
      <x:c r="G330" s="41">
        <x:f>(D330-(0)+0-(F330*Ventas!AE333*1.8000))</x:f>
      </x:c>
      <x:c r="H330" s="43">
        <x:f>(G330/(Ventas!AE333*1.8000)/60)</x:f>
      </x:c>
      <x:c r="I330" s="25">
        <x:v>0</x:v>
      </x:c>
      <x:c r="J330" s="41">
        <x:f>IF(G330&gt;0,G330+I330,I330)</x:f>
      </x:c>
      <x:c r="K330" s="9"/>
      <x:c r="L330" s="41">
        <x:v>10</x:v>
      </x:c>
      <x:c r="M330" s="45">
        <x:v>0.0081</x:v>
      </x:c>
      <x:c r="N330" s="39">
        <x:v>46275</x:v>
      </x:c>
      <x:c r="O330" s="40">
        <x:v>45</x:v>
      </x:c>
      <x:c r="P330" s="41">
        <x:f>(IF(G330&gt;0,G330+I330,I330)-(O330*Ventas!AE333*1.0044))</x:f>
      </x:c>
      <x:c r="Q330" s="43">
        <x:f>(P330/(Ventas!AE333*1.0044)/60)</x:f>
      </x:c>
      <x:c r="R330" s="25">
        <x:v>0</x:v>
      </x:c>
      <x:c r="S330" s="41">
        <x:f>IF(P330&gt;0,P330+R330,R330)</x:f>
      </x:c>
      <x:c r="T330" s="9"/>
      <x:c r="U330" s="41">
        <x:v>10</x:v>
      </x:c>
      <x:c r="V330" s="45">
        <x:v>0.0081</x:v>
      </x:c>
      <x:c r="W330" s="39">
        <x:v>46331</x:v>
      </x:c>
      <x:c r="X330" s="40">
        <x:v>56</x:v>
      </x:c>
      <x:c r="Y330" s="41">
        <x:f>(IF(P330&gt;0,P330+R330,R330)-(X330*Ventas!AE333*0.9018))</x:f>
      </x:c>
      <x:c r="Z330" s="43">
        <x:f>(Y330/(Ventas!AE333*0.9018)/60)</x:f>
      </x:c>
      <x:c r="AA330" s="41">
        <x:f>(100*(Ventas!AE333*1.2350) - IF(Y330&gt;0,Y330,0))</x:f>
      </x:c>
      <x:c r="AB330" s="41">
        <x:f>IF(AA330&gt;0,AA330,0)</x:f>
      </x:c>
      <x:c r="AC330" s="41">
        <x:f>IF(Y330&gt;0,Y330+IF(AB330&gt;0,AB330,0),AB330)</x:f>
      </x:c>
      <x:c r="AD330" s="46">
        <x:v>29.498</x:v>
      </x:c>
      <x:c r="AE330" s="25">
        <x:v>3027</x:v>
      </x:c>
      <x:c r="AF330" s="41">
        <x:f>(AC330-(60*Ventas!AE333*1.2350))</x:f>
      </x:c>
      <x:c r="AG330" s="43">
        <x:f>(AF330/(Ventas!AE333*1.2350)/60)</x:f>
      </x:c>
      <x:c r="AH330" s="7" t="s">
        <x:v>34</x:v>
      </x:c>
    </x:row>
    <x:row r="331">
      <x:c r="A331" s="7"/>
      <x:c r="B331" s="7" t="s">
        <x:v>760</x:v>
      </x:c>
      <x:c r="C331" s="38" t="s">
        <x:v>759</x:v>
      </x:c>
      <x:c r="D331" s="25">
        <x:v>39</x:v>
      </x:c>
      <x:c r="E331" s="39">
        <x:v>46230</x:v>
      </x:c>
      <x:c r="F331" s="40">
        <x:v>5</x:v>
      </x:c>
      <x:c r="G331" s="41">
        <x:f>(D331-(0)+0-(F331*Ventas!AE334*1.8000))</x:f>
      </x:c>
      <x:c r="H331" s="43">
        <x:f>(G331/(Ventas!AE334*1.8000)/60)</x:f>
      </x:c>
      <x:c r="I331" s="25">
        <x:v>0</x:v>
      </x:c>
      <x:c r="J331" s="41">
        <x:f>IF(G331&gt;0,G331+I331,I331)</x:f>
      </x:c>
      <x:c r="K331" s="9"/>
      <x:c r="L331" s="41">
        <x:v>15</x:v>
      </x:c>
      <x:c r="M331" s="45">
        <x:v>0.005467</x:v>
      </x:c>
      <x:c r="N331" s="39">
        <x:v>46275</x:v>
      </x:c>
      <x:c r="O331" s="40">
        <x:v>45</x:v>
      </x:c>
      <x:c r="P331" s="41">
        <x:f>(IF(G331&gt;0,G331+I331,I331)-(O331*Ventas!AE334*1.0044))</x:f>
      </x:c>
      <x:c r="Q331" s="43">
        <x:f>(P331/(Ventas!AE334*1.0044)/60)</x:f>
      </x:c>
      <x:c r="R331" s="25">
        <x:v>0</x:v>
      </x:c>
      <x:c r="S331" s="41">
        <x:f>IF(P331&gt;0,P331+R331,R331)</x:f>
      </x:c>
      <x:c r="T331" s="9"/>
      <x:c r="U331" s="41">
        <x:v>15</x:v>
      </x:c>
      <x:c r="V331" s="45">
        <x:v>0.005467</x:v>
      </x:c>
      <x:c r="W331" s="39">
        <x:v>46331</x:v>
      </x:c>
      <x:c r="X331" s="40">
        <x:v>56</x:v>
      </x:c>
      <x:c r="Y331" s="41">
        <x:f>(IF(P331&gt;0,P331+R331,R331)-(X331*Ventas!AE334*0.9018))</x:f>
      </x:c>
      <x:c r="Z331" s="43">
        <x:f>(Y331/(Ventas!AE334*0.9018)/60)</x:f>
      </x:c>
      <x:c r="AA331" s="41">
        <x:f>(100*(Ventas!AE334*1.2350) - IF(Y331&gt;0,Y331,0))</x:f>
      </x:c>
      <x:c r="AB331" s="41">
        <x:f>IF(AA331&gt;0,AA331,0)</x:f>
      </x:c>
      <x:c r="AC331" s="41">
        <x:f>IF(Y331&gt;0,Y331+IF(AB331&gt;0,AB331,0),AB331)</x:f>
      </x:c>
      <x:c r="AD331" s="46">
        <x:v>26.95</x:v>
      </x:c>
      <x:c r="AE331" s="25">
        <x:v>3027</x:v>
      </x:c>
      <x:c r="AF331" s="41">
        <x:f>(AC331-(60*Ventas!AE334*1.2350))</x:f>
      </x:c>
      <x:c r="AG331" s="43">
        <x:f>(AF331/(Ventas!AE334*1.2350)/60)</x:f>
      </x:c>
      <x:c r="AH331" s="7" t="s">
        <x:v>34</x:v>
      </x:c>
    </x:row>
    <x:row r="332">
      <x:c r="A332" s="7" t="s">
        <x:v>763</x:v>
      </x:c>
      <x:c r="B332" s="7" t="s">
        <x:v>762</x:v>
      </x:c>
      <x:c r="C332" s="38" t="s">
        <x:v>761</x:v>
      </x:c>
      <x:c r="D332" s="25">
        <x:v>78</x:v>
      </x:c>
      <x:c r="E332" s="39">
        <x:v>46230</x:v>
      </x:c>
      <x:c r="F332" s="40">
        <x:v>5</x:v>
      </x:c>
      <x:c r="G332" s="41">
        <x:f>(D332-(0)+0-(F332*Ventas!AE335*1.8000))</x:f>
      </x:c>
      <x:c r="H332" s="43">
        <x:f>(G332/(Ventas!AE335*1.8000)/60)</x:f>
      </x:c>
      <x:c r="I332" s="25">
        <x:v>0</x:v>
      </x:c>
      <x:c r="J332" s="41">
        <x:f>IF(G332&gt;0,G332+I332,I332)</x:f>
      </x:c>
      <x:c r="K332" s="9"/>
      <x:c r="L332" s="41">
        <x:v>20</x:v>
      </x:c>
      <x:c r="M332" s="45">
        <x:v>0.00275</x:v>
      </x:c>
      <x:c r="N332" s="39">
        <x:v>46275</x:v>
      </x:c>
      <x:c r="O332" s="40">
        <x:v>45</x:v>
      </x:c>
      <x:c r="P332" s="41">
        <x:f>(IF(G332&gt;0,G332+I332,I332)-(O332*Ventas!AE335*1.0044))</x:f>
      </x:c>
      <x:c r="Q332" s="43">
        <x:f>(P332/(Ventas!AE335*1.0044)/60)</x:f>
      </x:c>
      <x:c r="R332" s="25">
        <x:v>100</x:v>
      </x:c>
      <x:c r="S332" s="41">
        <x:f>IF(P332&gt;0,P332+R332,R332)</x:f>
      </x:c>
      <x:c r="T332" s="41">
        <x:v>29</x:v>
      </x:c>
      <x:c r="U332" s="41">
        <x:v>20</x:v>
      </x:c>
      <x:c r="V332" s="45">
        <x:v>0.00275</x:v>
      </x:c>
      <x:c r="W332" s="39">
        <x:v>46331</x:v>
      </x:c>
      <x:c r="X332" s="40">
        <x:v>56</x:v>
      </x:c>
      <x:c r="Y332" s="41">
        <x:f>(IF(P332&gt;0,P332+R332,R332)-(X332*Ventas!AE335*0.9018))</x:f>
      </x:c>
      <x:c r="Z332" s="43">
        <x:f>(Y332/(Ventas!AE335*0.9018)/60)</x:f>
      </x:c>
      <x:c r="AA332" s="41">
        <x:f>(100*(Ventas!AE335*1.2350) - IF(Y332&gt;0,Y332,0))</x:f>
      </x:c>
      <x:c r="AB332" s="41">
        <x:f>IF(AA332&gt;0,AA332,0)</x:f>
      </x:c>
      <x:c r="AC332" s="41">
        <x:f>IF(Y332&gt;0,Y332+IF(AB332&gt;0,AB332,0),AB332)</x:f>
      </x:c>
      <x:c r="AD332" s="46">
        <x:v>28.42</x:v>
      </x:c>
      <x:c r="AE332" s="25">
        <x:v>3027</x:v>
      </x:c>
      <x:c r="AF332" s="41">
        <x:f>(AC332-(60*Ventas!AE335*1.2350))</x:f>
      </x:c>
      <x:c r="AG332" s="43">
        <x:f>(AF332/(Ventas!AE335*1.2350)/60)</x:f>
      </x:c>
      <x:c r="AH332" s="7" t="s">
        <x:v>34</x:v>
      </x:c>
    </x:row>
    <x:row r="333">
      <x:c r="A333" s="7" t="s">
        <x:v>766</x:v>
      </x:c>
      <x:c r="B333" s="7" t="s">
        <x:v>765</x:v>
      </x:c>
      <x:c r="C333" s="38" t="s">
        <x:v>764</x:v>
      </x:c>
      <x:c r="D333" s="25">
        <x:v>10</x:v>
      </x:c>
      <x:c r="E333" s="39">
        <x:v>46230</x:v>
      </x:c>
      <x:c r="F333" s="40">
        <x:v>5</x:v>
      </x:c>
      <x:c r="G333" s="41">
        <x:f>(D333-(0)+0-(F333*Ventas!AE336*1.8000))</x:f>
      </x:c>
      <x:c r="H333" s="43">
        <x:f>(G333/(Ventas!AE336*1.8000)/60)</x:f>
      </x:c>
      <x:c r="I333" s="25">
        <x:v>0</x:v>
      </x:c>
      <x:c r="J333" s="41">
        <x:f>IF(G333&gt;0,G333+I333,I333)</x:f>
      </x:c>
      <x:c r="K333" s="9"/>
      <x:c r="L333" s="41">
        <x:v>20</x:v>
      </x:c>
      <x:c r="M333" s="45">
        <x:v>0.00275</x:v>
      </x:c>
      <x:c r="N333" s="39">
        <x:v>46275</x:v>
      </x:c>
      <x:c r="O333" s="40">
        <x:v>45</x:v>
      </x:c>
      <x:c r="P333" s="41">
        <x:f>(IF(G333&gt;0,G333+I333,I333)-(O333*Ventas!AE336*1.0044))</x:f>
      </x:c>
      <x:c r="Q333" s="43">
        <x:f>(P333/(Ventas!AE336*1.0044)/60)</x:f>
      </x:c>
      <x:c r="R333" s="25">
        <x:v>100</x:v>
      </x:c>
      <x:c r="S333" s="41">
        <x:f>IF(P333&gt;0,P333+R333,R333)</x:f>
      </x:c>
      <x:c r="T333" s="41">
        <x:v>29</x:v>
      </x:c>
      <x:c r="U333" s="41">
        <x:v>20</x:v>
      </x:c>
      <x:c r="V333" s="45">
        <x:v>0.00275</x:v>
      </x:c>
      <x:c r="W333" s="39">
        <x:v>46331</x:v>
      </x:c>
      <x:c r="X333" s="40">
        <x:v>56</x:v>
      </x:c>
      <x:c r="Y333" s="41">
        <x:f>(IF(P333&gt;0,P333+R333,R333)-(X333*Ventas!AE336*0.9018))</x:f>
      </x:c>
      <x:c r="Z333" s="43">
        <x:f>(Y333/(Ventas!AE336*0.9018)/60)</x:f>
      </x:c>
      <x:c r="AA333" s="41">
        <x:f>(100*(Ventas!AE336*1.2350) - IF(Y333&gt;0,Y333,0))</x:f>
      </x:c>
      <x:c r="AB333" s="41">
        <x:f>IF(AA333&gt;0,AA333,0)</x:f>
      </x:c>
      <x:c r="AC333" s="41">
        <x:f>IF(Y333&gt;0,Y333+IF(AB333&gt;0,AB333,0),AB333)</x:f>
      </x:c>
      <x:c r="AD333" s="46">
        <x:v>28.42</x:v>
      </x:c>
      <x:c r="AE333" s="25">
        <x:v>3027</x:v>
      </x:c>
      <x:c r="AF333" s="41">
        <x:f>(AC333-(60*Ventas!AE336*1.2350))</x:f>
      </x:c>
      <x:c r="AG333" s="43">
        <x:f>(AF333/(Ventas!AE336*1.2350)/60)</x:f>
      </x:c>
      <x:c r="AH333" s="7" t="s">
        <x:v>34</x:v>
      </x:c>
    </x:row>
    <x:row r="334">
      <x:c r="A334" s="7"/>
      <x:c r="B334" s="7" t="s">
        <x:v>768</x:v>
      </x:c>
      <x:c r="C334" s="38" t="s">
        <x:v>767</x:v>
      </x:c>
      <x:c r="D334" s="25">
        <x:v>47</x:v>
      </x:c>
      <x:c r="E334" s="39">
        <x:v>46230</x:v>
      </x:c>
      <x:c r="F334" s="40">
        <x:v>5</x:v>
      </x:c>
      <x:c r="G334" s="41">
        <x:f>(D334-(0)+0-(F334*Ventas!AE337*1.8000))</x:f>
      </x:c>
      <x:c r="H334" s="43">
        <x:f>(G334/(Ventas!AE337*1.8000)/60)</x:f>
      </x:c>
      <x:c r="I334" s="25">
        <x:v>0</x:v>
      </x:c>
      <x:c r="J334" s="41">
        <x:f>IF(G334&gt;0,G334+I334,I334)</x:f>
      </x:c>
      <x:c r="K334" s="9"/>
      <x:c r="L334" s="41">
        <x:v>50</x:v>
      </x:c>
      <x:c r="M334" s="45">
        <x:v>0.00062</x:v>
      </x:c>
      <x:c r="N334" s="39">
        <x:v>46275</x:v>
      </x:c>
      <x:c r="O334" s="40">
        <x:v>45</x:v>
      </x:c>
      <x:c r="P334" s="41">
        <x:f>(IF(G334&gt;0,G334+I334,I334)-(O334*Ventas!AE337*1.0044))</x:f>
      </x:c>
      <x:c r="Q334" s="43">
        <x:f>(P334/(Ventas!AE337*1.0044)/60)</x:f>
      </x:c>
      <x:c r="R334" s="25">
        <x:v>0</x:v>
      </x:c>
      <x:c r="S334" s="41">
        <x:f>IF(P334&gt;0,P334+R334,R334)</x:f>
      </x:c>
      <x:c r="T334" s="9"/>
      <x:c r="U334" s="41">
        <x:v>50</x:v>
      </x:c>
      <x:c r="V334" s="45">
        <x:v>0.00062</x:v>
      </x:c>
      <x:c r="W334" s="39">
        <x:v>46331</x:v>
      </x:c>
      <x:c r="X334" s="40">
        <x:v>56</x:v>
      </x:c>
      <x:c r="Y334" s="41">
        <x:f>(IF(P334&gt;0,P334+R334,R334)-(X334*Ventas!AE337*0.9018))</x:f>
      </x:c>
      <x:c r="Z334" s="43">
        <x:f>(Y334/(Ventas!AE337*0.9018)/60)</x:f>
      </x:c>
      <x:c r="AA334" s="41">
        <x:f>(100*(Ventas!AE337*1.2350) - IF(Y334&gt;0,Y334,0))</x:f>
      </x:c>
      <x:c r="AB334" s="41">
        <x:f>IF(AA334&gt;0,AA334,0)</x:f>
      </x:c>
      <x:c r="AC334" s="41">
        <x:f>IF(Y334&gt;0,Y334+IF(AB334&gt;0,AB334,0),AB334)</x:f>
      </x:c>
      <x:c r="AD334" s="46">
        <x:v>4.508</x:v>
      </x:c>
      <x:c r="AE334" s="25">
        <x:v>3027</x:v>
      </x:c>
      <x:c r="AF334" s="41">
        <x:f>(AC334-(60*Ventas!AE337*1.2350))</x:f>
      </x:c>
      <x:c r="AG334" s="43">
        <x:f>(AF334/(Ventas!AE337*1.2350)/60)</x:f>
      </x:c>
      <x:c r="AH334" s="7" t="s">
        <x:v>34</x:v>
      </x:c>
    </x:row>
    <x:row r="335">
      <x:c r="A335" s="7"/>
      <x:c r="B335" s="7" t="s">
        <x:v>770</x:v>
      </x:c>
      <x:c r="C335" s="38" t="s">
        <x:v>769</x:v>
      </x:c>
      <x:c r="D335" s="9"/>
      <x:c r="E335" s="39">
        <x:v>46230</x:v>
      </x:c>
      <x:c r="F335" s="40">
        <x:v>5</x:v>
      </x:c>
      <x:c r="G335" s="41">
        <x:f>(D335-(0)+0-(F335*Ventas!AE338*1.8000))</x:f>
      </x:c>
      <x:c r="H335" s="9"/>
      <x:c r="I335" s="25">
        <x:v>0</x:v>
      </x:c>
      <x:c r="J335" s="41">
        <x:f>IF(G335&gt;0,G335+I335,I335)</x:f>
      </x:c>
      <x:c r="K335" s="9"/>
      <x:c r="L335" s="41">
        <x:v>10</x:v>
      </x:c>
      <x:c r="M335" s="45">
        <x:v>0.004</x:v>
      </x:c>
      <x:c r="N335" s="39">
        <x:v>46275</x:v>
      </x:c>
      <x:c r="O335" s="40">
        <x:v>45</x:v>
      </x:c>
      <x:c r="P335" s="41">
        <x:f>(IF(G335&gt;0,G335+I335,I335)-(O335*Ventas!AE338*1.0044))</x:f>
      </x:c>
      <x:c r="Q335" s="9"/>
      <x:c r="R335" s="25">
        <x:v>0</x:v>
      </x:c>
      <x:c r="S335" s="41">
        <x:f>IF(P335&gt;0,P335+R335,R335)</x:f>
      </x:c>
      <x:c r="T335" s="9"/>
      <x:c r="U335" s="41">
        <x:v>10</x:v>
      </x:c>
      <x:c r="V335" s="45">
        <x:v>0.004</x:v>
      </x:c>
      <x:c r="W335" s="39">
        <x:v>46331</x:v>
      </x:c>
      <x:c r="X335" s="40">
        <x:v>56</x:v>
      </x:c>
      <x:c r="Y335" s="41">
        <x:f>(IF(P335&gt;0,P335+R335,R335)-(X335*Ventas!AE338*0.9018))</x:f>
      </x:c>
      <x:c r="Z335" s="9"/>
      <x:c r="AA335" s="41">
        <x:f>(100*(Ventas!AE338*1.2350) - IF(Y335&gt;0,Y335,0))</x:f>
      </x:c>
      <x:c r="AB335" s="41">
        <x:f>IF(AA335&gt;0,AA335,0)</x:f>
      </x:c>
      <x:c r="AC335" s="41">
        <x:f>IF(Y335&gt;0,Y335+IF(AB335&gt;0,AB335,0),AB335)</x:f>
      </x:c>
      <x:c r="AD335" s="46">
        <x:v>36.4</x:v>
      </x:c>
      <x:c r="AE335" s="25">
        <x:v>3027</x:v>
      </x:c>
      <x:c r="AF335" s="9"/>
      <x:c r="AG335" s="9"/>
      <x:c r="AH335" s="7" t="s">
        <x:v>34</x:v>
      </x:c>
    </x:row>
    <x:row r="336">
      <x:c r="A336" s="7"/>
      <x:c r="B336" s="7" t="s">
        <x:v>772</x:v>
      </x:c>
      <x:c r="C336" s="38" t="s">
        <x:v>771</x:v>
      </x:c>
      <x:c r="D336" s="9"/>
      <x:c r="E336" s="39">
        <x:v>46230</x:v>
      </x:c>
      <x:c r="F336" s="40">
        <x:v>5</x:v>
      </x:c>
      <x:c r="G336" s="41">
        <x:f>(D336-(0)+0-(F336*Ventas!AE339*1.8000))</x:f>
      </x:c>
      <x:c r="H336" s="43">
        <x:f>(G336/(Ventas!AE339*1.8000)/60)</x:f>
      </x:c>
      <x:c r="I336" s="25">
        <x:v>0</x:v>
      </x:c>
      <x:c r="J336" s="41">
        <x:f>IF(G336&gt;0,G336+I336,I336)</x:f>
      </x:c>
      <x:c r="K336" s="9"/>
      <x:c r="L336" s="41">
        <x:v>10</x:v>
      </x:c>
      <x:c r="M336" s="45">
        <x:v>0.004</x:v>
      </x:c>
      <x:c r="N336" s="39">
        <x:v>46275</x:v>
      </x:c>
      <x:c r="O336" s="40">
        <x:v>45</x:v>
      </x:c>
      <x:c r="P336" s="41">
        <x:f>(IF(G336&gt;0,G336+I336,I336)-(O336*Ventas!AE339*1.0044))</x:f>
      </x:c>
      <x:c r="Q336" s="43">
        <x:f>(P336/(Ventas!AE339*1.0044)/60)</x:f>
      </x:c>
      <x:c r="R336" s="25">
        <x:v>0</x:v>
      </x:c>
      <x:c r="S336" s="41">
        <x:f>IF(P336&gt;0,P336+R336,R336)</x:f>
      </x:c>
      <x:c r="T336" s="9"/>
      <x:c r="U336" s="41">
        <x:v>10</x:v>
      </x:c>
      <x:c r="V336" s="45">
        <x:v>0.004</x:v>
      </x:c>
      <x:c r="W336" s="39">
        <x:v>46331</x:v>
      </x:c>
      <x:c r="X336" s="40">
        <x:v>56</x:v>
      </x:c>
      <x:c r="Y336" s="41">
        <x:f>(IF(P336&gt;0,P336+R336,R336)-(X336*Ventas!AE339*0.9018))</x:f>
      </x:c>
      <x:c r="Z336" s="43">
        <x:f>(Y336/(Ventas!AE339*0.9018)/60)</x:f>
      </x:c>
      <x:c r="AA336" s="41">
        <x:f>(100*(Ventas!AE339*1.2350) - IF(Y336&gt;0,Y336,0))</x:f>
      </x:c>
      <x:c r="AB336" s="41">
        <x:f>IF(AA336&gt;0,AA336,0)</x:f>
      </x:c>
      <x:c r="AC336" s="41">
        <x:f>IF(Y336&gt;0,Y336+IF(AB336&gt;0,AB336,0),AB336)</x:f>
      </x:c>
      <x:c r="AD336" s="46">
        <x:v>36.4</x:v>
      </x:c>
      <x:c r="AE336" s="25">
        <x:v>3027</x:v>
      </x:c>
      <x:c r="AF336" s="41">
        <x:f>(AC336-(60*Ventas!AE339*1.2350))</x:f>
      </x:c>
      <x:c r="AG336" s="43">
        <x:f>(AF336/(Ventas!AE339*1.2350)/60)</x:f>
      </x:c>
      <x:c r="AH336" s="7" t="s">
        <x:v>34</x:v>
      </x:c>
    </x:row>
    <x:row r="337">
      <x:c r="A337" s="7"/>
      <x:c r="B337" s="7" t="s">
        <x:v>774</x:v>
      </x:c>
      <x:c r="C337" s="38" t="s">
        <x:v>773</x:v>
      </x:c>
      <x:c r="D337" s="9"/>
      <x:c r="E337" s="39">
        <x:v>46230</x:v>
      </x:c>
      <x:c r="F337" s="40">
        <x:v>5</x:v>
      </x:c>
      <x:c r="G337" s="41">
        <x:f>(D337-(0)+0-(F337*Ventas!AE340*1.8000))</x:f>
      </x:c>
      <x:c r="H337" s="9"/>
      <x:c r="I337" s="25">
        <x:v>0</x:v>
      </x:c>
      <x:c r="J337" s="41">
        <x:f>IF(G337&gt;0,G337+I337,I337)</x:f>
      </x:c>
      <x:c r="K337" s="9"/>
      <x:c r="L337" s="41">
        <x:v>10</x:v>
      </x:c>
      <x:c r="M337" s="45">
        <x:v>0.004</x:v>
      </x:c>
      <x:c r="N337" s="39">
        <x:v>46275</x:v>
      </x:c>
      <x:c r="O337" s="40">
        <x:v>45</x:v>
      </x:c>
      <x:c r="P337" s="41">
        <x:f>(IF(G337&gt;0,G337+I337,I337)-(O337*Ventas!AE340*1.0044))</x:f>
      </x:c>
      <x:c r="Q337" s="9"/>
      <x:c r="R337" s="25">
        <x:v>0</x:v>
      </x:c>
      <x:c r="S337" s="41">
        <x:f>IF(P337&gt;0,P337+R337,R337)</x:f>
      </x:c>
      <x:c r="T337" s="9"/>
      <x:c r="U337" s="41">
        <x:v>10</x:v>
      </x:c>
      <x:c r="V337" s="45">
        <x:v>0.004</x:v>
      </x:c>
      <x:c r="W337" s="39">
        <x:v>46331</x:v>
      </x:c>
      <x:c r="X337" s="40">
        <x:v>56</x:v>
      </x:c>
      <x:c r="Y337" s="41">
        <x:f>(IF(P337&gt;0,P337+R337,R337)-(X337*Ventas!AE340*0.9018))</x:f>
      </x:c>
      <x:c r="Z337" s="9"/>
      <x:c r="AA337" s="41">
        <x:f>(100*(Ventas!AE340*1.2350) - IF(Y337&gt;0,Y337,0))</x:f>
      </x:c>
      <x:c r="AB337" s="41">
        <x:f>IF(AA337&gt;0,AA337,0)</x:f>
      </x:c>
      <x:c r="AC337" s="41">
        <x:f>IF(Y337&gt;0,Y337+IF(AB337&gt;0,AB337,0),AB337)</x:f>
      </x:c>
      <x:c r="AD337" s="46">
        <x:v>36.4</x:v>
      </x:c>
      <x:c r="AE337" s="25">
        <x:v>3027</x:v>
      </x:c>
      <x:c r="AF337" s="9"/>
      <x:c r="AG337" s="9"/>
      <x:c r="AH337" s="7" t="s">
        <x:v>34</x:v>
      </x:c>
    </x:row>
    <x:row r="338">
      <x:c r="A338" s="7"/>
      <x:c r="B338" s="7" t="s">
        <x:v>776</x:v>
      </x:c>
      <x:c r="C338" s="38" t="s">
        <x:v>775</x:v>
      </x:c>
      <x:c r="D338" s="9"/>
      <x:c r="E338" s="39">
        <x:v>46230</x:v>
      </x:c>
      <x:c r="F338" s="40">
        <x:v>5</x:v>
      </x:c>
      <x:c r="G338" s="41">
        <x:f>(D338-(0)+0-(F338*Ventas!AE341*1.8000))</x:f>
      </x:c>
      <x:c r="H338" s="9"/>
      <x:c r="I338" s="25">
        <x:v>120</x:v>
      </x:c>
      <x:c r="J338" s="41">
        <x:f>IF(G338&gt;0,G338+I338,I338)</x:f>
      </x:c>
      <x:c r="K338" s="41">
        <x:v>4.368</x:v>
      </x:c>
      <x:c r="L338" s="41">
        <x:v>60</x:v>
      </x:c>
      <x:c r="M338" s="45">
        <x:v>0.00105</x:v>
      </x:c>
      <x:c r="N338" s="39">
        <x:v>46275</x:v>
      </x:c>
      <x:c r="O338" s="40">
        <x:v>45</x:v>
      </x:c>
      <x:c r="P338" s="41">
        <x:f>(IF(G338&gt;0,G338+I338,I338)-(O338*Ventas!AE341*1.0044))</x:f>
      </x:c>
      <x:c r="Q338" s="9"/>
      <x:c r="R338" s="25">
        <x:v>60</x:v>
      </x:c>
      <x:c r="S338" s="41">
        <x:f>IF(P338&gt;0,P338+R338,R338)</x:f>
      </x:c>
      <x:c r="T338" s="41">
        <x:v>4.4</x:v>
      </x:c>
      <x:c r="U338" s="41">
        <x:v>60</x:v>
      </x:c>
      <x:c r="V338" s="45">
        <x:v>0.00105</x:v>
      </x:c>
      <x:c r="W338" s="39">
        <x:v>46331</x:v>
      </x:c>
      <x:c r="X338" s="40">
        <x:v>56</x:v>
      </x:c>
      <x:c r="Y338" s="41">
        <x:f>(IF(P338&gt;0,P338+R338,R338)-(X338*Ventas!AE341*0.9018))</x:f>
      </x:c>
      <x:c r="Z338" s="9"/>
      <x:c r="AA338" s="41">
        <x:f>(100*(Ventas!AE341*1.2350) - IF(Y338&gt;0,Y338,0))</x:f>
      </x:c>
      <x:c r="AB338" s="41">
        <x:f>IF(AA338&gt;0,AA338,0)</x:f>
      </x:c>
      <x:c r="AC338" s="41">
        <x:f>IF(Y338&gt;0,Y338+IF(AB338&gt;0,AB338,0),AB338)</x:f>
      </x:c>
      <x:c r="AD338" s="46">
        <x:v>4.368</x:v>
      </x:c>
      <x:c r="AE338" s="25">
        <x:v>3027</x:v>
      </x:c>
      <x:c r="AF338" s="9"/>
      <x:c r="AG338" s="9"/>
      <x:c r="AH338" s="7" t="s">
        <x:v>34</x:v>
      </x:c>
    </x:row>
    <x:row r="339">
      <x:c r="A339" s="7"/>
      <x:c r="B339" s="7" t="s">
        <x:v>778</x:v>
      </x:c>
      <x:c r="C339" s="38" t="s">
        <x:v>777</x:v>
      </x:c>
      <x:c r="D339" s="9"/>
      <x:c r="E339" s="39">
        <x:v>46230</x:v>
      </x:c>
      <x:c r="F339" s="40">
        <x:v>5</x:v>
      </x:c>
      <x:c r="G339" s="41">
        <x:f>(D339-(0)+0-(F339*Ventas!AE342*1.8000))</x:f>
      </x:c>
      <x:c r="H339" s="9"/>
      <x:c r="I339" s="25">
        <x:v>60</x:v>
      </x:c>
      <x:c r="J339" s="41">
        <x:f>IF(G339&gt;0,G339+I339,I339)</x:f>
      </x:c>
      <x:c r="K339" s="41">
        <x:v>4.368</x:v>
      </x:c>
      <x:c r="L339" s="41">
        <x:v>60</x:v>
      </x:c>
      <x:c r="M339" s="45">
        <x:v>0.00105</x:v>
      </x:c>
      <x:c r="N339" s="39">
        <x:v>46275</x:v>
      </x:c>
      <x:c r="O339" s="40">
        <x:v>45</x:v>
      </x:c>
      <x:c r="P339" s="41">
        <x:f>(IF(G339&gt;0,G339+I339,I339)-(O339*Ventas!AE342*1.0044))</x:f>
      </x:c>
      <x:c r="Q339" s="9"/>
      <x:c r="R339" s="25">
        <x:v>0</x:v>
      </x:c>
      <x:c r="S339" s="41">
        <x:f>IF(P339&gt;0,P339+R339,R339)</x:f>
      </x:c>
      <x:c r="T339" s="9"/>
      <x:c r="U339" s="41">
        <x:v>60</x:v>
      </x:c>
      <x:c r="V339" s="45">
        <x:v>0.00105</x:v>
      </x:c>
      <x:c r="W339" s="39">
        <x:v>46331</x:v>
      </x:c>
      <x:c r="X339" s="40">
        <x:v>56</x:v>
      </x:c>
      <x:c r="Y339" s="41">
        <x:f>(IF(P339&gt;0,P339+R339,R339)-(X339*Ventas!AE342*0.9018))</x:f>
      </x:c>
      <x:c r="Z339" s="9"/>
      <x:c r="AA339" s="41">
        <x:f>(100*(Ventas!AE342*1.2350) - IF(Y339&gt;0,Y339,0))</x:f>
      </x:c>
      <x:c r="AB339" s="41">
        <x:f>IF(AA339&gt;0,AA339,0)</x:f>
      </x:c>
      <x:c r="AC339" s="41">
        <x:f>IF(Y339&gt;0,Y339+IF(AB339&gt;0,AB339,0),AB339)</x:f>
      </x:c>
      <x:c r="AD339" s="46">
        <x:v>4.368</x:v>
      </x:c>
      <x:c r="AE339" s="25">
        <x:v>3027</x:v>
      </x:c>
      <x:c r="AF339" s="9"/>
      <x:c r="AG339" s="9"/>
      <x:c r="AH339" s="7" t="s">
        <x:v>34</x:v>
      </x:c>
    </x:row>
    <x:row r="340">
      <x:c r="A340" s="7"/>
      <x:c r="B340" s="7" t="s">
        <x:v>780</x:v>
      </x:c>
      <x:c r="C340" s="38" t="s">
        <x:v>779</x:v>
      </x:c>
      <x:c r="D340" s="9"/>
      <x:c r="E340" s="39">
        <x:v>46230</x:v>
      </x:c>
      <x:c r="F340" s="40">
        <x:v>5</x:v>
      </x:c>
      <x:c r="G340" s="41">
        <x:f>(D340-(0)+0-(F340*Ventas!AE343*1.8000))</x:f>
      </x:c>
      <x:c r="H340" s="9"/>
      <x:c r="I340" s="25">
        <x:v>40</x:v>
      </x:c>
      <x:c r="J340" s="41">
        <x:f>IF(G340&gt;0,G340+I340,I340)</x:f>
      </x:c>
      <x:c r="K340" s="41">
        <x:v>11.856</x:v>
      </x:c>
      <x:c r="L340" s="41">
        <x:v>20</x:v>
      </x:c>
      <x:c r="M340" s="45">
        <x:v>0.00195</x:v>
      </x:c>
      <x:c r="N340" s="39">
        <x:v>46275</x:v>
      </x:c>
      <x:c r="O340" s="40">
        <x:v>45</x:v>
      </x:c>
      <x:c r="P340" s="41">
        <x:f>(IF(G340&gt;0,G340+I340,I340)-(O340*Ventas!AE343*1.0044))</x:f>
      </x:c>
      <x:c r="Q340" s="9"/>
      <x:c r="R340" s="25">
        <x:v>0</x:v>
      </x:c>
      <x:c r="S340" s="41">
        <x:f>IF(P340&gt;0,P340+R340,R340)</x:f>
      </x:c>
      <x:c r="T340" s="9"/>
      <x:c r="U340" s="41">
        <x:v>20</x:v>
      </x:c>
      <x:c r="V340" s="45">
        <x:v>0.00195</x:v>
      </x:c>
      <x:c r="W340" s="39">
        <x:v>46331</x:v>
      </x:c>
      <x:c r="X340" s="40">
        <x:v>56</x:v>
      </x:c>
      <x:c r="Y340" s="41">
        <x:f>(IF(P340&gt;0,P340+R340,R340)-(X340*Ventas!AE343*0.9018))</x:f>
      </x:c>
      <x:c r="Z340" s="9"/>
      <x:c r="AA340" s="41">
        <x:f>(100*(Ventas!AE343*1.2350) - IF(Y340&gt;0,Y340,0))</x:f>
      </x:c>
      <x:c r="AB340" s="41">
        <x:f>IF(AA340&gt;0,AA340,0)</x:f>
      </x:c>
      <x:c r="AC340" s="41">
        <x:f>IF(Y340&gt;0,Y340+IF(AB340&gt;0,AB340,0),AB340)</x:f>
      </x:c>
      <x:c r="AD340" s="46">
        <x:v>11.856</x:v>
      </x:c>
      <x:c r="AE340" s="25">
        <x:v>3027</x:v>
      </x:c>
      <x:c r="AF340" s="9"/>
      <x:c r="AG340" s="9"/>
      <x:c r="AH340" s="7" t="s">
        <x:v>34</x:v>
      </x:c>
    </x:row>
    <x:row r="341">
      <x:c r="A341" s="7"/>
      <x:c r="B341" s="7" t="s">
        <x:v>782</x:v>
      </x:c>
      <x:c r="C341" s="38" t="s">
        <x:v>781</x:v>
      </x:c>
      <x:c r="D341" s="9"/>
      <x:c r="E341" s="39">
        <x:v>46230</x:v>
      </x:c>
      <x:c r="F341" s="40">
        <x:v>5</x:v>
      </x:c>
      <x:c r="G341" s="41">
        <x:f>(D341-(0)+0-(F341*Ventas!AE344*1.8000))</x:f>
      </x:c>
      <x:c r="H341" s="9"/>
      <x:c r="I341" s="25">
        <x:v>40</x:v>
      </x:c>
      <x:c r="J341" s="41">
        <x:f>IF(G341&gt;0,G341+I341,I341)</x:f>
      </x:c>
      <x:c r="K341" s="41">
        <x:v>11.856</x:v>
      </x:c>
      <x:c r="L341" s="41">
        <x:v>20</x:v>
      </x:c>
      <x:c r="M341" s="45">
        <x:v>0.00195</x:v>
      </x:c>
      <x:c r="N341" s="39">
        <x:v>46275</x:v>
      </x:c>
      <x:c r="O341" s="40">
        <x:v>45</x:v>
      </x:c>
      <x:c r="P341" s="41">
        <x:f>(IF(G341&gt;0,G341+I341,I341)-(O341*Ventas!AE344*1.0044))</x:f>
      </x:c>
      <x:c r="Q341" s="9"/>
      <x:c r="R341" s="25">
        <x:v>0</x:v>
      </x:c>
      <x:c r="S341" s="41">
        <x:f>IF(P341&gt;0,P341+R341,R341)</x:f>
      </x:c>
      <x:c r="T341" s="9"/>
      <x:c r="U341" s="41">
        <x:v>20</x:v>
      </x:c>
      <x:c r="V341" s="45">
        <x:v>0.00195</x:v>
      </x:c>
      <x:c r="W341" s="39">
        <x:v>46331</x:v>
      </x:c>
      <x:c r="X341" s="40">
        <x:v>56</x:v>
      </x:c>
      <x:c r="Y341" s="41">
        <x:f>(IF(P341&gt;0,P341+R341,R341)-(X341*Ventas!AE344*0.9018))</x:f>
      </x:c>
      <x:c r="Z341" s="9"/>
      <x:c r="AA341" s="41">
        <x:f>(100*(Ventas!AE344*1.2350) - IF(Y341&gt;0,Y341,0))</x:f>
      </x:c>
      <x:c r="AB341" s="41">
        <x:f>IF(AA341&gt;0,AA341,0)</x:f>
      </x:c>
      <x:c r="AC341" s="41">
        <x:f>IF(Y341&gt;0,Y341+IF(AB341&gt;0,AB341,0),AB341)</x:f>
      </x:c>
      <x:c r="AD341" s="46">
        <x:v>11.856</x:v>
      </x:c>
      <x:c r="AE341" s="25">
        <x:v>3027</x:v>
      </x:c>
      <x:c r="AF341" s="9"/>
      <x:c r="AG341" s="9"/>
      <x:c r="AH341" s="7" t="s">
        <x:v>34</x:v>
      </x:c>
    </x:row>
    <x:row r="342">
      <x:c r="A342" s="7"/>
      <x:c r="B342" s="7" t="s">
        <x:v>784</x:v>
      </x:c>
      <x:c r="C342" s="38" t="s">
        <x:v>783</x:v>
      </x:c>
      <x:c r="D342" s="9"/>
      <x:c r="E342" s="39">
        <x:v>46230</x:v>
      </x:c>
      <x:c r="F342" s="40">
        <x:v>5</x:v>
      </x:c>
      <x:c r="G342" s="41">
        <x:f>(D342-(0)+0-(F342*Ventas!AE345*1.8000))</x:f>
      </x:c>
      <x:c r="H342" s="9"/>
      <x:c r="I342" s="25">
        <x:v>100</x:v>
      </x:c>
      <x:c r="J342" s="41">
        <x:f>IF(G342&gt;0,G342+I342,I342)</x:f>
      </x:c>
      <x:c r="K342" s="41">
        <x:v>13.936</x:v>
      </x:c>
      <x:c r="L342" s="41">
        <x:v>20</x:v>
      </x:c>
      <x:c r="M342" s="45">
        <x:v>0.00485</x:v>
      </x:c>
      <x:c r="N342" s="39">
        <x:v>46275</x:v>
      </x:c>
      <x:c r="O342" s="40">
        <x:v>45</x:v>
      </x:c>
      <x:c r="P342" s="41">
        <x:f>(IF(G342&gt;0,G342+I342,I342)-(O342*Ventas!AE345*1.0044))</x:f>
      </x:c>
      <x:c r="Q342" s="9"/>
      <x:c r="R342" s="25">
        <x:v>0</x:v>
      </x:c>
      <x:c r="S342" s="41">
        <x:f>IF(P342&gt;0,P342+R342,R342)</x:f>
      </x:c>
      <x:c r="T342" s="9"/>
      <x:c r="U342" s="41">
        <x:v>20</x:v>
      </x:c>
      <x:c r="V342" s="45">
        <x:v>0.00485</x:v>
      </x:c>
      <x:c r="W342" s="39">
        <x:v>46331</x:v>
      </x:c>
      <x:c r="X342" s="40">
        <x:v>56</x:v>
      </x:c>
      <x:c r="Y342" s="41">
        <x:f>(IF(P342&gt;0,P342+R342,R342)-(X342*Ventas!AE345*0.9018))</x:f>
      </x:c>
      <x:c r="Z342" s="9"/>
      <x:c r="AA342" s="41">
        <x:f>(100*(Ventas!AE345*1.2350) - IF(Y342&gt;0,Y342,0))</x:f>
      </x:c>
      <x:c r="AB342" s="41">
        <x:f>IF(AA342&gt;0,AA342,0)</x:f>
      </x:c>
      <x:c r="AC342" s="41">
        <x:f>IF(Y342&gt;0,Y342+IF(AB342&gt;0,AB342,0),AB342)</x:f>
      </x:c>
      <x:c r="AD342" s="46">
        <x:v>13.936</x:v>
      </x:c>
      <x:c r="AE342" s="25">
        <x:v>3027</x:v>
      </x:c>
      <x:c r="AF342" s="9"/>
      <x:c r="AG342" s="9"/>
      <x:c r="AH342" s="7" t="s">
        <x:v>34</x:v>
      </x:c>
    </x:row>
    <x:row r="343">
      <x:c r="A343" s="7"/>
      <x:c r="B343" s="7" t="s">
        <x:v>786</x:v>
      </x:c>
      <x:c r="C343" s="38" t="s">
        <x:v>785</x:v>
      </x:c>
      <x:c r="D343" s="9"/>
      <x:c r="E343" s="39">
        <x:v>46230</x:v>
      </x:c>
      <x:c r="F343" s="40">
        <x:v>5</x:v>
      </x:c>
      <x:c r="G343" s="41">
        <x:f>(D343-(0)+0-(F343*Ventas!AE346*1.8000))</x:f>
      </x:c>
      <x:c r="H343" s="9"/>
      <x:c r="I343" s="25">
        <x:v>40</x:v>
      </x:c>
      <x:c r="J343" s="41">
        <x:f>IF(G343&gt;0,G343+I343,I343)</x:f>
      </x:c>
      <x:c r="K343" s="41">
        <x:v>17.576</x:v>
      </x:c>
      <x:c r="L343" s="9"/>
      <x:c r="M343" s="9"/>
      <x:c r="N343" s="39">
        <x:v>46275</x:v>
      </x:c>
      <x:c r="O343" s="40">
        <x:v>45</x:v>
      </x:c>
      <x:c r="P343" s="41">
        <x:f>(IF(G343&gt;0,G343+I343,I343)-(O343*Ventas!AE346*1.0044))</x:f>
      </x:c>
      <x:c r="Q343" s="9"/>
      <x:c r="R343" s="25">
        <x:v>0</x:v>
      </x:c>
      <x:c r="S343" s="41">
        <x:f>IF(P343&gt;0,P343+R343,R343)</x:f>
      </x:c>
      <x:c r="T343" s="9"/>
      <x:c r="U343" s="41">
        <x:v>20</x:v>
      </x:c>
      <x:c r="V343" s="45">
        <x:v>0.00495</x:v>
      </x:c>
      <x:c r="W343" s="39">
        <x:v>46331</x:v>
      </x:c>
      <x:c r="X343" s="40">
        <x:v>56</x:v>
      </x:c>
      <x:c r="Y343" s="41">
        <x:f>(IF(P343&gt;0,P343+R343,R343)-(X343*Ventas!AE346*0.9018))</x:f>
      </x:c>
      <x:c r="Z343" s="9"/>
      <x:c r="AA343" s="41">
        <x:f>(100*(Ventas!AE346*1.2350) - IF(Y343&gt;0,Y343,0))</x:f>
      </x:c>
      <x:c r="AB343" s="41">
        <x:f>IF(AA343&gt;0,AA343,0)</x:f>
      </x:c>
      <x:c r="AC343" s="41">
        <x:f>IF(Y343&gt;0,Y343+IF(AB343&gt;0,AB343,0),AB343)</x:f>
      </x:c>
      <x:c r="AD343" s="46">
        <x:v>17.576</x:v>
      </x:c>
      <x:c r="AE343" s="25">
        <x:v>3027</x:v>
      </x:c>
      <x:c r="AF343" s="9"/>
      <x:c r="AG343" s="9"/>
      <x:c r="AH343" s="7" t="s">
        <x:v>34</x:v>
      </x:c>
    </x:row>
    <x:row r="344">
      <x:c r="A344" s="7"/>
      <x:c r="B344" s="7" t="s">
        <x:v>788</x:v>
      </x:c>
      <x:c r="C344" s="38" t="s">
        <x:v>787</x:v>
      </x:c>
      <x:c r="D344" s="9"/>
      <x:c r="E344" s="39">
        <x:v>46230</x:v>
      </x:c>
      <x:c r="F344" s="40">
        <x:v>5</x:v>
      </x:c>
      <x:c r="G344" s="41">
        <x:f>(D344-(0)+0-(F344*Ventas!AE347*1.8000))</x:f>
      </x:c>
      <x:c r="H344" s="9"/>
      <x:c r="I344" s="25">
        <x:v>40</x:v>
      </x:c>
      <x:c r="J344" s="41">
        <x:f>IF(G344&gt;0,G344+I344,I344)</x:f>
      </x:c>
      <x:c r="K344" s="41">
        <x:v>17.576</x:v>
      </x:c>
      <x:c r="L344" s="9"/>
      <x:c r="M344" s="9"/>
      <x:c r="N344" s="39">
        <x:v>46275</x:v>
      </x:c>
      <x:c r="O344" s="40">
        <x:v>45</x:v>
      </x:c>
      <x:c r="P344" s="41">
        <x:f>(IF(G344&gt;0,G344+I344,I344)-(O344*Ventas!AE347*1.0044))</x:f>
      </x:c>
      <x:c r="Q344" s="9"/>
      <x:c r="R344" s="25">
        <x:v>0</x:v>
      </x:c>
      <x:c r="S344" s="41">
        <x:f>IF(P344&gt;0,P344+R344,R344)</x:f>
      </x:c>
      <x:c r="T344" s="9"/>
      <x:c r="U344" s="41">
        <x:v>20</x:v>
      </x:c>
      <x:c r="V344" s="45">
        <x:v>0.00495</x:v>
      </x:c>
      <x:c r="W344" s="39">
        <x:v>46331</x:v>
      </x:c>
      <x:c r="X344" s="40">
        <x:v>56</x:v>
      </x:c>
      <x:c r="Y344" s="41">
        <x:f>(IF(P344&gt;0,P344+R344,R344)-(X344*Ventas!AE347*0.9018))</x:f>
      </x:c>
      <x:c r="Z344" s="9"/>
      <x:c r="AA344" s="41">
        <x:f>(100*(Ventas!AE347*1.2350) - IF(Y344&gt;0,Y344,0))</x:f>
      </x:c>
      <x:c r="AB344" s="41">
        <x:f>IF(AA344&gt;0,AA344,0)</x:f>
      </x:c>
      <x:c r="AC344" s="41">
        <x:f>IF(Y344&gt;0,Y344+IF(AB344&gt;0,AB344,0),AB344)</x:f>
      </x:c>
      <x:c r="AD344" s="46">
        <x:v>17.576</x:v>
      </x:c>
      <x:c r="AE344" s="25">
        <x:v>3027</x:v>
      </x:c>
      <x:c r="AF344" s="9"/>
      <x:c r="AG344" s="9"/>
      <x:c r="AH344" s="7" t="s">
        <x:v>34</x:v>
      </x:c>
    </x:row>
    <x:row r="345">
      <x:c r="A345" s="7"/>
      <x:c r="B345" s="7" t="s">
        <x:v>793</x:v>
      </x:c>
      <x:c r="C345" s="38" t="s">
        <x:v>792</x:v>
      </x:c>
      <x:c r="D345" s="9"/>
      <x:c r="E345" s="39">
        <x:v>46230</x:v>
      </x:c>
      <x:c r="F345" s="40">
        <x:v>5</x:v>
      </x:c>
      <x:c r="G345" s="41">
        <x:f>(D345-(0)+0-(F345*Ventas!AE349*1.8000))</x:f>
      </x:c>
      <x:c r="H345" s="9"/>
      <x:c r="I345" s="25">
        <x:v>80</x:v>
      </x:c>
      <x:c r="J345" s="41">
        <x:f>IF(G345&gt;0,G345+I345,I345)</x:f>
      </x:c>
      <x:c r="K345" s="41">
        <x:v>8.216</x:v>
      </x:c>
      <x:c r="L345" s="41">
        <x:v>20</x:v>
      </x:c>
      <x:c r="M345" s="45">
        <x:v>0.0017</x:v>
      </x:c>
      <x:c r="N345" s="39">
        <x:v>46275</x:v>
      </x:c>
      <x:c r="O345" s="40">
        <x:v>45</x:v>
      </x:c>
      <x:c r="P345" s="41">
        <x:f>(IF(G345&gt;0,G345+I345,I345)-(O345*Ventas!AE349*1.0044))</x:f>
      </x:c>
      <x:c r="Q345" s="9"/>
      <x:c r="R345" s="25">
        <x:v>0</x:v>
      </x:c>
      <x:c r="S345" s="41">
        <x:f>IF(P345&gt;0,P345+R345,R345)</x:f>
      </x:c>
      <x:c r="T345" s="9"/>
      <x:c r="U345" s="41">
        <x:v>20</x:v>
      </x:c>
      <x:c r="V345" s="45">
        <x:v>0.0017</x:v>
      </x:c>
      <x:c r="W345" s="39">
        <x:v>46331</x:v>
      </x:c>
      <x:c r="X345" s="40">
        <x:v>56</x:v>
      </x:c>
      <x:c r="Y345" s="41">
        <x:f>(IF(P345&gt;0,P345+R345,R345)-(X345*Ventas!AE349*0.9018))</x:f>
      </x:c>
      <x:c r="Z345" s="9"/>
      <x:c r="AA345" s="41">
        <x:f>(100*(Ventas!AE349*1.2350) - IF(Y345&gt;0,Y345,0))</x:f>
      </x:c>
      <x:c r="AB345" s="41">
        <x:f>IF(AA345&gt;0,AA345,0)</x:f>
      </x:c>
      <x:c r="AC345" s="41">
        <x:f>IF(Y345&gt;0,Y345+IF(AB345&gt;0,AB345,0),AB345)</x:f>
      </x:c>
      <x:c r="AD345" s="46">
        <x:v>8.216</x:v>
      </x:c>
      <x:c r="AE345" s="25">
        <x:v>3027</x:v>
      </x:c>
      <x:c r="AF345" s="9"/>
      <x:c r="AG345" s="9"/>
      <x:c r="AH345" s="7" t="s">
        <x:v>34</x:v>
      </x:c>
    </x:row>
    <x:row r="346">
      <x:c r="A346" s="7"/>
      <x:c r="B346" s="7" t="s">
        <x:v>795</x:v>
      </x:c>
      <x:c r="C346" s="38" t="s">
        <x:v>794</x:v>
      </x:c>
      <x:c r="D346" s="9"/>
      <x:c r="E346" s="39">
        <x:v>46230</x:v>
      </x:c>
      <x:c r="F346" s="40">
        <x:v>5</x:v>
      </x:c>
      <x:c r="G346" s="41">
        <x:f>(D346-(0)+0-(F346*Ventas!AE350*1.8000))</x:f>
      </x:c>
      <x:c r="H346" s="9"/>
      <x:c r="I346" s="25">
        <x:v>60</x:v>
      </x:c>
      <x:c r="J346" s="41">
        <x:f>IF(G346&gt;0,G346+I346,I346)</x:f>
      </x:c>
      <x:c r="K346" s="41">
        <x:v>4.68</x:v>
      </x:c>
      <x:c r="L346" s="41">
        <x:v>60</x:v>
      </x:c>
      <x:c r="M346" s="45">
        <x:v>0.001033</x:v>
      </x:c>
      <x:c r="N346" s="39">
        <x:v>46275</x:v>
      </x:c>
      <x:c r="O346" s="40">
        <x:v>45</x:v>
      </x:c>
      <x:c r="P346" s="41">
        <x:f>(IF(G346&gt;0,G346+I346,I346)-(O346*Ventas!AE350*1.0044))</x:f>
      </x:c>
      <x:c r="Q346" s="9"/>
      <x:c r="R346" s="25">
        <x:v>0</x:v>
      </x:c>
      <x:c r="S346" s="41">
        <x:f>IF(P346&gt;0,P346+R346,R346)</x:f>
      </x:c>
      <x:c r="T346" s="9"/>
      <x:c r="U346" s="41">
        <x:v>60</x:v>
      </x:c>
      <x:c r="V346" s="45">
        <x:v>0.001033</x:v>
      </x:c>
      <x:c r="W346" s="39">
        <x:v>46331</x:v>
      </x:c>
      <x:c r="X346" s="40">
        <x:v>56</x:v>
      </x:c>
      <x:c r="Y346" s="41">
        <x:f>(IF(P346&gt;0,P346+R346,R346)-(X346*Ventas!AE350*0.9018))</x:f>
      </x:c>
      <x:c r="Z346" s="9"/>
      <x:c r="AA346" s="41">
        <x:f>(100*(Ventas!AE350*1.2350) - IF(Y346&gt;0,Y346,0))</x:f>
      </x:c>
      <x:c r="AB346" s="41">
        <x:f>IF(AA346&gt;0,AA346,0)</x:f>
      </x:c>
      <x:c r="AC346" s="41">
        <x:f>IF(Y346&gt;0,Y346+IF(AB346&gt;0,AB346,0),AB346)</x:f>
      </x:c>
      <x:c r="AD346" s="46">
        <x:v>4.68</x:v>
      </x:c>
      <x:c r="AE346" s="25">
        <x:v>3027</x:v>
      </x:c>
      <x:c r="AF346" s="9"/>
      <x:c r="AG346" s="9"/>
      <x:c r="AH346" s="7" t="s">
        <x:v>34</x:v>
      </x:c>
    </x:row>
    <x:row r="347">
      <x:c r="A347" s="7"/>
      <x:c r="B347" s="7" t="s">
        <x:v>797</x:v>
      </x:c>
      <x:c r="C347" s="38" t="s">
        <x:v>796</x:v>
      </x:c>
      <x:c r="D347" s="9"/>
      <x:c r="E347" s="39">
        <x:v>46230</x:v>
      </x:c>
      <x:c r="F347" s="40">
        <x:v>5</x:v>
      </x:c>
      <x:c r="G347" s="41">
        <x:f>(D347-(0)+0-(F347*Ventas!AE351*1.8000))</x:f>
      </x:c>
      <x:c r="H347" s="9"/>
      <x:c r="I347" s="25">
        <x:v>60</x:v>
      </x:c>
      <x:c r="J347" s="41">
        <x:f>IF(G347&gt;0,G347+I347,I347)</x:f>
      </x:c>
      <x:c r="K347" s="41">
        <x:v>4.68</x:v>
      </x:c>
      <x:c r="L347" s="41">
        <x:v>60</x:v>
      </x:c>
      <x:c r="M347" s="45">
        <x:v>0.001033</x:v>
      </x:c>
      <x:c r="N347" s="39">
        <x:v>46275</x:v>
      </x:c>
      <x:c r="O347" s="40">
        <x:v>45</x:v>
      </x:c>
      <x:c r="P347" s="41">
        <x:f>(IF(G347&gt;0,G347+I347,I347)-(O347*Ventas!AE351*1.0044))</x:f>
      </x:c>
      <x:c r="Q347" s="9"/>
      <x:c r="R347" s="25">
        <x:v>0</x:v>
      </x:c>
      <x:c r="S347" s="41">
        <x:f>IF(P347&gt;0,P347+R347,R347)</x:f>
      </x:c>
      <x:c r="T347" s="9"/>
      <x:c r="U347" s="41">
        <x:v>60</x:v>
      </x:c>
      <x:c r="V347" s="45">
        <x:v>0.001033</x:v>
      </x:c>
      <x:c r="W347" s="39">
        <x:v>46331</x:v>
      </x:c>
      <x:c r="X347" s="40">
        <x:v>56</x:v>
      </x:c>
      <x:c r="Y347" s="41">
        <x:f>(IF(P347&gt;0,P347+R347,R347)-(X347*Ventas!AE351*0.9018))</x:f>
      </x:c>
      <x:c r="Z347" s="9"/>
      <x:c r="AA347" s="41">
        <x:f>(100*(Ventas!AE351*1.2350) - IF(Y347&gt;0,Y347,0))</x:f>
      </x:c>
      <x:c r="AB347" s="41">
        <x:f>IF(AA347&gt;0,AA347,0)</x:f>
      </x:c>
      <x:c r="AC347" s="41">
        <x:f>IF(Y347&gt;0,Y347+IF(AB347&gt;0,AB347,0),AB347)</x:f>
      </x:c>
      <x:c r="AD347" s="46">
        <x:v>4.68</x:v>
      </x:c>
      <x:c r="AE347" s="25">
        <x:v>3027</x:v>
      </x:c>
      <x:c r="AF347" s="9"/>
      <x:c r="AG347" s="9"/>
      <x:c r="AH347" s="7" t="s">
        <x:v>34</x:v>
      </x:c>
    </x:row>
    <x:row r="348">
      <x:c r="A348" s="7"/>
      <x:c r="B348" s="7" t="s">
        <x:v>799</x:v>
      </x:c>
      <x:c r="C348" s="38" t="s">
        <x:v>798</x:v>
      </x:c>
      <x:c r="D348" s="9"/>
      <x:c r="E348" s="39">
        <x:v>46230</x:v>
      </x:c>
      <x:c r="F348" s="40">
        <x:v>5</x:v>
      </x:c>
      <x:c r="G348" s="41">
        <x:f>(D348-(0)+0-(F348*Ventas!AE352*1.8000))</x:f>
      </x:c>
      <x:c r="H348" s="9"/>
      <x:c r="I348" s="25">
        <x:v>0</x:v>
      </x:c>
      <x:c r="J348" s="41">
        <x:f>IF(G348&gt;0,G348+I348,I348)</x:f>
      </x:c>
      <x:c r="K348" s="9"/>
      <x:c r="L348" s="41">
        <x:v>30</x:v>
      </x:c>
      <x:c r="M348" s="45">
        <x:v>0.001067</x:v>
      </x:c>
      <x:c r="N348" s="39">
        <x:v>46275</x:v>
      </x:c>
      <x:c r="O348" s="40">
        <x:v>45</x:v>
      </x:c>
      <x:c r="P348" s="41">
        <x:f>(IF(G348&gt;0,G348+I348,I348)-(O348*Ventas!AE352*1.0044))</x:f>
      </x:c>
      <x:c r="Q348" s="9"/>
      <x:c r="R348" s="25">
        <x:v>0</x:v>
      </x:c>
      <x:c r="S348" s="41">
        <x:f>IF(P348&gt;0,P348+R348,R348)</x:f>
      </x:c>
      <x:c r="T348" s="9"/>
      <x:c r="U348" s="41">
        <x:v>30</x:v>
      </x:c>
      <x:c r="V348" s="45">
        <x:v>0.001067</x:v>
      </x:c>
      <x:c r="W348" s="39">
        <x:v>46331</x:v>
      </x:c>
      <x:c r="X348" s="40">
        <x:v>56</x:v>
      </x:c>
      <x:c r="Y348" s="41">
        <x:f>(IF(P348&gt;0,P348+R348,R348)-(X348*Ventas!AE352*0.9018))</x:f>
      </x:c>
      <x:c r="Z348" s="9"/>
      <x:c r="AA348" s="41">
        <x:f>(100*(Ventas!AE352*1.2350) - IF(Y348&gt;0,Y348,0))</x:f>
      </x:c>
      <x:c r="AB348" s="41">
        <x:f>IF(AA348&gt;0,AA348,0)</x:f>
      </x:c>
      <x:c r="AC348" s="41">
        <x:f>IF(Y348&gt;0,Y348+IF(AB348&gt;0,AB348,0),AB348)</x:f>
      </x:c>
      <x:c r="AD348" s="9"/>
      <x:c r="AE348" s="9"/>
      <x:c r="AF348" s="9"/>
      <x:c r="AG348" s="9"/>
      <x:c r="AH348" s="7" t="s">
        <x:v>34</x:v>
      </x:c>
    </x:row>
    <x:row r="349">
      <x:c r="A349" s="7"/>
      <x:c r="B349" s="7" t="s">
        <x:v>801</x:v>
      </x:c>
      <x:c r="C349" s="38" t="s">
        <x:v>800</x:v>
      </x:c>
      <x:c r="D349" s="9"/>
      <x:c r="E349" s="39">
        <x:v>46230</x:v>
      </x:c>
      <x:c r="F349" s="40">
        <x:v>5</x:v>
      </x:c>
      <x:c r="G349" s="41">
        <x:f>(D349-(0)+0-(F349*Ventas!AE353*1.8000))</x:f>
      </x:c>
      <x:c r="H349" s="9"/>
      <x:c r="I349" s="25">
        <x:v>30</x:v>
      </x:c>
      <x:c r="J349" s="41">
        <x:f>IF(G349&gt;0,G349+I349,I349)</x:f>
      </x:c>
      <x:c r="K349" s="41">
        <x:v>7.696</x:v>
      </x:c>
      <x:c r="L349" s="41">
        <x:v>30</x:v>
      </x:c>
      <x:c r="M349" s="45">
        <x:v>0.001067</x:v>
      </x:c>
      <x:c r="N349" s="39">
        <x:v>46275</x:v>
      </x:c>
      <x:c r="O349" s="40">
        <x:v>45</x:v>
      </x:c>
      <x:c r="P349" s="41">
        <x:f>(IF(G349&gt;0,G349+I349,I349)-(O349*Ventas!AE353*1.0044))</x:f>
      </x:c>
      <x:c r="Q349" s="9"/>
      <x:c r="R349" s="25">
        <x:v>0</x:v>
      </x:c>
      <x:c r="S349" s="41">
        <x:f>IF(P349&gt;0,P349+R349,R349)</x:f>
      </x:c>
      <x:c r="T349" s="9"/>
      <x:c r="U349" s="41">
        <x:v>30</x:v>
      </x:c>
      <x:c r="V349" s="45">
        <x:v>0.001067</x:v>
      </x:c>
      <x:c r="W349" s="39">
        <x:v>46331</x:v>
      </x:c>
      <x:c r="X349" s="40">
        <x:v>56</x:v>
      </x:c>
      <x:c r="Y349" s="41">
        <x:f>(IF(P349&gt;0,P349+R349,R349)-(X349*Ventas!AE353*0.9018))</x:f>
      </x:c>
      <x:c r="Z349" s="9"/>
      <x:c r="AA349" s="41">
        <x:f>(100*(Ventas!AE353*1.2350) - IF(Y349&gt;0,Y349,0))</x:f>
      </x:c>
      <x:c r="AB349" s="41">
        <x:f>IF(AA349&gt;0,AA349,0)</x:f>
      </x:c>
      <x:c r="AC349" s="41">
        <x:f>IF(Y349&gt;0,Y349+IF(AB349&gt;0,AB349,0),AB349)</x:f>
      </x:c>
      <x:c r="AD349" s="46">
        <x:v>7.696</x:v>
      </x:c>
      <x:c r="AE349" s="25">
        <x:v>3027</x:v>
      </x:c>
      <x:c r="AF349" s="9"/>
      <x:c r="AG349" s="9"/>
      <x:c r="AH349" s="7" t="s">
        <x:v>34</x:v>
      </x:c>
    </x:row>
    <x:row r="350">
      <x:c r="A350" s="7"/>
      <x:c r="B350" s="7" t="s">
        <x:v>803</x:v>
      </x:c>
      <x:c r="C350" s="38" t="s">
        <x:v>802</x:v>
      </x:c>
      <x:c r="D350" s="9"/>
      <x:c r="E350" s="39">
        <x:v>46230</x:v>
      </x:c>
      <x:c r="F350" s="40">
        <x:v>5</x:v>
      </x:c>
      <x:c r="G350" s="41">
        <x:f>(D350-(0)+0-(F350*Ventas!AE354*1.8000))</x:f>
      </x:c>
      <x:c r="H350" s="9"/>
      <x:c r="I350" s="25">
        <x:v>60</x:v>
      </x:c>
      <x:c r="J350" s="41">
        <x:f>IF(G350&gt;0,G350+I350,I350)</x:f>
      </x:c>
      <x:c r="K350" s="41">
        <x:v>3.328</x:v>
      </x:c>
      <x:c r="L350" s="41">
        <x:v>60</x:v>
      </x:c>
      <x:c r="M350" s="45">
        <x:v>0.00095</x:v>
      </x:c>
      <x:c r="N350" s="39">
        <x:v>46275</x:v>
      </x:c>
      <x:c r="O350" s="40">
        <x:v>45</x:v>
      </x:c>
      <x:c r="P350" s="41">
        <x:f>(IF(G350&gt;0,G350+I350,I350)-(O350*Ventas!AE354*1.0044))</x:f>
      </x:c>
      <x:c r="Q350" s="9"/>
      <x:c r="R350" s="25">
        <x:v>0</x:v>
      </x:c>
      <x:c r="S350" s="41">
        <x:f>IF(P350&gt;0,P350+R350,R350)</x:f>
      </x:c>
      <x:c r="T350" s="9"/>
      <x:c r="U350" s="41">
        <x:v>60</x:v>
      </x:c>
      <x:c r="V350" s="45">
        <x:v>0.00095</x:v>
      </x:c>
      <x:c r="W350" s="39">
        <x:v>46331</x:v>
      </x:c>
      <x:c r="X350" s="40">
        <x:v>56</x:v>
      </x:c>
      <x:c r="Y350" s="41">
        <x:f>(IF(P350&gt;0,P350+R350,R350)-(X350*Ventas!AE354*0.9018))</x:f>
      </x:c>
      <x:c r="Z350" s="9"/>
      <x:c r="AA350" s="41">
        <x:f>(100*(Ventas!AE354*1.2350) - IF(Y350&gt;0,Y350,0))</x:f>
      </x:c>
      <x:c r="AB350" s="41">
        <x:f>IF(AA350&gt;0,AA350,0)</x:f>
      </x:c>
      <x:c r="AC350" s="41">
        <x:f>IF(Y350&gt;0,Y350+IF(AB350&gt;0,AB350,0),AB350)</x:f>
      </x:c>
      <x:c r="AD350" s="46">
        <x:v>3.328</x:v>
      </x:c>
      <x:c r="AE350" s="25">
        <x:v>3027</x:v>
      </x:c>
      <x:c r="AF350" s="9"/>
      <x:c r="AG350" s="9"/>
      <x:c r="AH350" s="7" t="s">
        <x:v>34</x:v>
      </x:c>
    </x:row>
    <x:row r="351">
      <x:c r="A351" s="7"/>
      <x:c r="B351" s="7" t="s">
        <x:v>805</x:v>
      </x:c>
      <x:c r="C351" s="38" t="s">
        <x:v>804</x:v>
      </x:c>
      <x:c r="D351" s="9"/>
      <x:c r="E351" s="39">
        <x:v>46230</x:v>
      </x:c>
      <x:c r="F351" s="40">
        <x:v>5</x:v>
      </x:c>
      <x:c r="G351" s="41">
        <x:f>(D351-(0)+0-(F351*Ventas!AE355*1.8000))</x:f>
      </x:c>
      <x:c r="H351" s="9"/>
      <x:c r="I351" s="25">
        <x:v>100</x:v>
      </x:c>
      <x:c r="J351" s="41">
        <x:f>IF(G351&gt;0,G351+I351,I351)</x:f>
      </x:c>
      <x:c r="K351" s="41">
        <x:v>2.08</x:v>
      </x:c>
      <x:c r="L351" s="41">
        <x:v>100</x:v>
      </x:c>
      <x:c r="M351" s="45">
        <x:v>0.00043</x:v>
      </x:c>
      <x:c r="N351" s="39">
        <x:v>46275</x:v>
      </x:c>
      <x:c r="O351" s="40">
        <x:v>45</x:v>
      </x:c>
      <x:c r="P351" s="41">
        <x:f>(IF(G351&gt;0,G351+I351,I351)-(O351*Ventas!AE355*1.0044))</x:f>
      </x:c>
      <x:c r="Q351" s="9"/>
      <x:c r="R351" s="25">
        <x:v>0</x:v>
      </x:c>
      <x:c r="S351" s="41">
        <x:f>IF(P351&gt;0,P351+R351,R351)</x:f>
      </x:c>
      <x:c r="T351" s="9"/>
      <x:c r="U351" s="41">
        <x:v>100</x:v>
      </x:c>
      <x:c r="V351" s="45">
        <x:v>0.00043</x:v>
      </x:c>
      <x:c r="W351" s="39">
        <x:v>46331</x:v>
      </x:c>
      <x:c r="X351" s="40">
        <x:v>56</x:v>
      </x:c>
      <x:c r="Y351" s="41">
        <x:f>(IF(P351&gt;0,P351+R351,R351)-(X351*Ventas!AE355*0.9018))</x:f>
      </x:c>
      <x:c r="Z351" s="9"/>
      <x:c r="AA351" s="41">
        <x:f>(100*(Ventas!AE355*1.2350) - IF(Y351&gt;0,Y351,0))</x:f>
      </x:c>
      <x:c r="AB351" s="41">
        <x:f>IF(AA351&gt;0,AA351,0)</x:f>
      </x:c>
      <x:c r="AC351" s="41">
        <x:f>IF(Y351&gt;0,Y351+IF(AB351&gt;0,AB351,0),AB351)</x:f>
      </x:c>
      <x:c r="AD351" s="46">
        <x:v>2.08</x:v>
      </x:c>
      <x:c r="AE351" s="25">
        <x:v>3027</x:v>
      </x:c>
      <x:c r="AF351" s="9"/>
      <x:c r="AG351" s="9"/>
      <x:c r="AH351" s="7" t="s">
        <x:v>34</x:v>
      </x:c>
    </x:row>
    <x:row r="352">
      <x:c r="A352" s="7"/>
      <x:c r="B352" s="7" t="s">
        <x:v>807</x:v>
      </x:c>
      <x:c r="C352" s="38" t="s">
        <x:v>806</x:v>
      </x:c>
      <x:c r="D352" s="9"/>
      <x:c r="E352" s="39">
        <x:v>46230</x:v>
      </x:c>
      <x:c r="F352" s="40">
        <x:v>5</x:v>
      </x:c>
      <x:c r="G352" s="41">
        <x:f>(D352-(0)+0-(F352*Ventas!AE356*1.8000))</x:f>
      </x:c>
      <x:c r="H352" s="9"/>
      <x:c r="I352" s="25">
        <x:v>10</x:v>
      </x:c>
      <x:c r="J352" s="41">
        <x:f>IF(G352&gt;0,G352+I352,I352)</x:f>
      </x:c>
      <x:c r="K352" s="41">
        <x:v>10.4</x:v>
      </x:c>
      <x:c r="L352" s="41">
        <x:v>10</x:v>
      </x:c>
      <x:c r="M352" s="45">
        <x:v>0.0029</x:v>
      </x:c>
      <x:c r="N352" s="39">
        <x:v>46275</x:v>
      </x:c>
      <x:c r="O352" s="40">
        <x:v>45</x:v>
      </x:c>
      <x:c r="P352" s="41">
        <x:f>(IF(G352&gt;0,G352+I352,I352)-(O352*Ventas!AE356*1.0044))</x:f>
      </x:c>
      <x:c r="Q352" s="9"/>
      <x:c r="R352" s="25">
        <x:v>0</x:v>
      </x:c>
      <x:c r="S352" s="41">
        <x:f>IF(P352&gt;0,P352+R352,R352)</x:f>
      </x:c>
      <x:c r="T352" s="9"/>
      <x:c r="U352" s="41">
        <x:v>10</x:v>
      </x:c>
      <x:c r="V352" s="45">
        <x:v>0.0029</x:v>
      </x:c>
      <x:c r="W352" s="39">
        <x:v>46331</x:v>
      </x:c>
      <x:c r="X352" s="40">
        <x:v>56</x:v>
      </x:c>
      <x:c r="Y352" s="41">
        <x:f>(IF(P352&gt;0,P352+R352,R352)-(X352*Ventas!AE356*0.9018))</x:f>
      </x:c>
      <x:c r="Z352" s="9"/>
      <x:c r="AA352" s="41">
        <x:f>(100*(Ventas!AE356*1.2350) - IF(Y352&gt;0,Y352,0))</x:f>
      </x:c>
      <x:c r="AB352" s="41">
        <x:f>IF(AA352&gt;0,AA352,0)</x:f>
      </x:c>
      <x:c r="AC352" s="41">
        <x:f>IF(Y352&gt;0,Y352+IF(AB352&gt;0,AB352,0),AB352)</x:f>
      </x:c>
      <x:c r="AD352" s="46">
        <x:v>10.4</x:v>
      </x:c>
      <x:c r="AE352" s="25">
        <x:v>3027</x:v>
      </x:c>
      <x:c r="AF352" s="9"/>
      <x:c r="AG352" s="9"/>
      <x:c r="AH352" s="7" t="s">
        <x:v>34</x:v>
      </x:c>
    </x:row>
    <x:row r="353">
      <x:c r="A353" s="7"/>
      <x:c r="B353" s="7" t="s">
        <x:v>809</x:v>
      </x:c>
      <x:c r="C353" s="38" t="s">
        <x:v>808</x:v>
      </x:c>
      <x:c r="D353" s="9"/>
      <x:c r="E353" s="39">
        <x:v>46230</x:v>
      </x:c>
      <x:c r="F353" s="40">
        <x:v>5</x:v>
      </x:c>
      <x:c r="G353" s="41">
        <x:f>(D353-(0)+0-(F353*Ventas!AE357*1.8000))</x:f>
      </x:c>
      <x:c r="H353" s="9"/>
      <x:c r="I353" s="25">
        <x:v>10</x:v>
      </x:c>
      <x:c r="J353" s="41">
        <x:f>IF(G353&gt;0,G353+I353,I353)</x:f>
      </x:c>
      <x:c r="K353" s="41">
        <x:v>13.4</x:v>
      </x:c>
      <x:c r="L353" s="41">
        <x:v>10</x:v>
      </x:c>
      <x:c r="M353" s="45">
        <x:v>0.0033</x:v>
      </x:c>
      <x:c r="N353" s="39">
        <x:v>46275</x:v>
      </x:c>
      <x:c r="O353" s="40">
        <x:v>45</x:v>
      </x:c>
      <x:c r="P353" s="41">
        <x:f>(IF(G353&gt;0,G353+I353,I353)-(O353*Ventas!AE357*1.0044))</x:f>
      </x:c>
      <x:c r="Q353" s="9"/>
      <x:c r="R353" s="25">
        <x:v>0</x:v>
      </x:c>
      <x:c r="S353" s="41">
        <x:f>IF(P353&gt;0,P353+R353,R353)</x:f>
      </x:c>
      <x:c r="T353" s="9"/>
      <x:c r="U353" s="41">
        <x:v>10</x:v>
      </x:c>
      <x:c r="V353" s="45">
        <x:v>0.0033</x:v>
      </x:c>
      <x:c r="W353" s="39">
        <x:v>46331</x:v>
      </x:c>
      <x:c r="X353" s="40">
        <x:v>56</x:v>
      </x:c>
      <x:c r="Y353" s="41">
        <x:f>(IF(P353&gt;0,P353+R353,R353)-(X353*Ventas!AE357*0.9018))</x:f>
      </x:c>
      <x:c r="Z353" s="9"/>
      <x:c r="AA353" s="41">
        <x:f>(100*(Ventas!AE357*1.2350) - IF(Y353&gt;0,Y353,0))</x:f>
      </x:c>
      <x:c r="AB353" s="41">
        <x:f>IF(AA353&gt;0,AA353,0)</x:f>
      </x:c>
      <x:c r="AC353" s="41">
        <x:f>IF(Y353&gt;0,Y353+IF(AB353&gt;0,AB353,0),AB353)</x:f>
      </x:c>
      <x:c r="AD353" s="46">
        <x:v>13.4</x:v>
      </x:c>
      <x:c r="AE353" s="25">
        <x:v>3027</x:v>
      </x:c>
      <x:c r="AF353" s="9"/>
      <x:c r="AG353" s="9"/>
      <x:c r="AH353" s="7" t="s">
        <x:v>34</x:v>
      </x:c>
    </x:row>
    <x:row r="354">
      <x:c r="A354" s="7"/>
      <x:c r="B354" s="7" t="s">
        <x:v>811</x:v>
      </x:c>
      <x:c r="C354" s="38" t="s">
        <x:v>810</x:v>
      </x:c>
      <x:c r="D354" s="9"/>
      <x:c r="E354" s="39">
        <x:v>46230</x:v>
      </x:c>
      <x:c r="F354" s="40">
        <x:v>5</x:v>
      </x:c>
      <x:c r="G354" s="41">
        <x:f>(D354-(0)+0-(F354*Ventas!AE358*1.8000))</x:f>
      </x:c>
      <x:c r="H354" s="9"/>
      <x:c r="I354" s="25">
        <x:v>10</x:v>
      </x:c>
      <x:c r="J354" s="41">
        <x:f>IF(G354&gt;0,G354+I354,I354)</x:f>
      </x:c>
      <x:c r="K354" s="41">
        <x:v>13.416</x:v>
      </x:c>
      <x:c r="L354" s="41">
        <x:v>10</x:v>
      </x:c>
      <x:c r="M354" s="45">
        <x:v>0.0033</x:v>
      </x:c>
      <x:c r="N354" s="39">
        <x:v>46275</x:v>
      </x:c>
      <x:c r="O354" s="40">
        <x:v>45</x:v>
      </x:c>
      <x:c r="P354" s="41">
        <x:f>(IF(G354&gt;0,G354+I354,I354)-(O354*Ventas!AE358*1.0044))</x:f>
      </x:c>
      <x:c r="Q354" s="9"/>
      <x:c r="R354" s="25">
        <x:v>0</x:v>
      </x:c>
      <x:c r="S354" s="41">
        <x:f>IF(P354&gt;0,P354+R354,R354)</x:f>
      </x:c>
      <x:c r="T354" s="9"/>
      <x:c r="U354" s="41">
        <x:v>10</x:v>
      </x:c>
      <x:c r="V354" s="45">
        <x:v>0.0033</x:v>
      </x:c>
      <x:c r="W354" s="39">
        <x:v>46331</x:v>
      </x:c>
      <x:c r="X354" s="40">
        <x:v>56</x:v>
      </x:c>
      <x:c r="Y354" s="41">
        <x:f>(IF(P354&gt;0,P354+R354,R354)-(X354*Ventas!AE358*0.9018))</x:f>
      </x:c>
      <x:c r="Z354" s="9"/>
      <x:c r="AA354" s="41">
        <x:f>(100*(Ventas!AE358*1.2350) - IF(Y354&gt;0,Y354,0))</x:f>
      </x:c>
      <x:c r="AB354" s="41">
        <x:f>IF(AA354&gt;0,AA354,0)</x:f>
      </x:c>
      <x:c r="AC354" s="41">
        <x:f>IF(Y354&gt;0,Y354+IF(AB354&gt;0,AB354,0),AB354)</x:f>
      </x:c>
      <x:c r="AD354" s="46">
        <x:v>13.416</x:v>
      </x:c>
      <x:c r="AE354" s="25">
        <x:v>3027</x:v>
      </x:c>
      <x:c r="AF354" s="9"/>
      <x:c r="AG354" s="9"/>
      <x:c r="AH354" s="7" t="s">
        <x:v>34</x:v>
      </x:c>
    </x:row>
    <x:row r="355">
      <x:c r="A355" s="7"/>
      <x:c r="B355" s="7" t="s">
        <x:v>813</x:v>
      </x:c>
      <x:c r="C355" s="38" t="s">
        <x:v>812</x:v>
      </x:c>
      <x:c r="D355" s="9"/>
      <x:c r="E355" s="39">
        <x:v>46230</x:v>
      </x:c>
      <x:c r="F355" s="40">
        <x:v>5</x:v>
      </x:c>
      <x:c r="G355" s="41">
        <x:f>(D355-(0)+0-(F355*Ventas!AE359*1.8000))</x:f>
      </x:c>
      <x:c r="H355" s="9"/>
      <x:c r="I355" s="25">
        <x:v>40</x:v>
      </x:c>
      <x:c r="J355" s="41">
        <x:f>IF(G355&gt;0,G355+I355,I355)</x:f>
      </x:c>
      <x:c r="K355" s="41">
        <x:v>6.136</x:v>
      </x:c>
      <x:c r="L355" s="41">
        <x:v>20</x:v>
      </x:c>
      <x:c r="M355" s="45">
        <x:v>0.00395</x:v>
      </x:c>
      <x:c r="N355" s="39">
        <x:v>46275</x:v>
      </x:c>
      <x:c r="O355" s="40">
        <x:v>45</x:v>
      </x:c>
      <x:c r="P355" s="41">
        <x:f>(IF(G355&gt;0,G355+I355,I355)-(O355*Ventas!AE359*1.0044))</x:f>
      </x:c>
      <x:c r="Q355" s="9"/>
      <x:c r="R355" s="25">
        <x:v>0</x:v>
      </x:c>
      <x:c r="S355" s="41">
        <x:f>IF(P355&gt;0,P355+R355,R355)</x:f>
      </x:c>
      <x:c r="T355" s="9"/>
      <x:c r="U355" s="41">
        <x:v>20</x:v>
      </x:c>
      <x:c r="V355" s="45">
        <x:v>0.00395</x:v>
      </x:c>
      <x:c r="W355" s="39">
        <x:v>46331</x:v>
      </x:c>
      <x:c r="X355" s="40">
        <x:v>56</x:v>
      </x:c>
      <x:c r="Y355" s="41">
        <x:f>(IF(P355&gt;0,P355+R355,R355)-(X355*Ventas!AE359*0.9018))</x:f>
      </x:c>
      <x:c r="Z355" s="9"/>
      <x:c r="AA355" s="41">
        <x:f>(100*(Ventas!AE359*1.2350) - IF(Y355&gt;0,Y355,0))</x:f>
      </x:c>
      <x:c r="AB355" s="41">
        <x:f>IF(AA355&gt;0,AA355,0)</x:f>
      </x:c>
      <x:c r="AC355" s="41">
        <x:f>IF(Y355&gt;0,Y355+IF(AB355&gt;0,AB355,0),AB355)</x:f>
      </x:c>
      <x:c r="AD355" s="46">
        <x:v>6.136</x:v>
      </x:c>
      <x:c r="AE355" s="25">
        <x:v>3027</x:v>
      </x:c>
      <x:c r="AF355" s="9"/>
      <x:c r="AG355" s="9"/>
      <x:c r="AH355" s="7" t="s">
        <x:v>34</x:v>
      </x:c>
    </x:row>
    <x:row r="356">
      <x:c r="A356" s="7"/>
      <x:c r="B356" s="7" t="s">
        <x:v>815</x:v>
      </x:c>
      <x:c r="C356" s="38" t="s">
        <x:v>814</x:v>
      </x:c>
      <x:c r="D356" s="9"/>
      <x:c r="E356" s="39">
        <x:v>46230</x:v>
      </x:c>
      <x:c r="F356" s="40">
        <x:v>5</x:v>
      </x:c>
      <x:c r="G356" s="41">
        <x:f>(D356-(0)+0-(F356*Ventas!AE360*1.8000))</x:f>
      </x:c>
      <x:c r="H356" s="9"/>
      <x:c r="I356" s="25">
        <x:v>50</x:v>
      </x:c>
      <x:c r="J356" s="41">
        <x:f>IF(G356&gt;0,G356+I356,I356)</x:f>
      </x:c>
      <x:c r="K356" s="41">
        <x:v>8.84</x:v>
      </x:c>
      <x:c r="L356" s="41">
        <x:v>10</x:v>
      </x:c>
      <x:c r="M356" s="45">
        <x:v>0.0022</x:v>
      </x:c>
      <x:c r="N356" s="39">
        <x:v>46275</x:v>
      </x:c>
      <x:c r="O356" s="40">
        <x:v>45</x:v>
      </x:c>
      <x:c r="P356" s="41">
        <x:f>(IF(G356&gt;0,G356+I356,I356)-(O356*Ventas!AE360*1.0044))</x:f>
      </x:c>
      <x:c r="Q356" s="9"/>
      <x:c r="R356" s="25">
        <x:v>0</x:v>
      </x:c>
      <x:c r="S356" s="41">
        <x:f>IF(P356&gt;0,P356+R356,R356)</x:f>
      </x:c>
      <x:c r="T356" s="9"/>
      <x:c r="U356" s="41">
        <x:v>10</x:v>
      </x:c>
      <x:c r="V356" s="45">
        <x:v>0.0022</x:v>
      </x:c>
      <x:c r="W356" s="39">
        <x:v>46331</x:v>
      </x:c>
      <x:c r="X356" s="40">
        <x:v>56</x:v>
      </x:c>
      <x:c r="Y356" s="41">
        <x:f>(IF(P356&gt;0,P356+R356,R356)-(X356*Ventas!AE360*0.9018))</x:f>
      </x:c>
      <x:c r="Z356" s="9"/>
      <x:c r="AA356" s="41">
        <x:f>(100*(Ventas!AE360*1.2350) - IF(Y356&gt;0,Y356,0))</x:f>
      </x:c>
      <x:c r="AB356" s="41">
        <x:f>IF(AA356&gt;0,AA356,0)</x:f>
      </x:c>
      <x:c r="AC356" s="41">
        <x:f>IF(Y356&gt;0,Y356+IF(AB356&gt;0,AB356,0),AB356)</x:f>
      </x:c>
      <x:c r="AD356" s="46">
        <x:v>8.84</x:v>
      </x:c>
      <x:c r="AE356" s="25">
        <x:v>3027</x:v>
      </x:c>
      <x:c r="AF356" s="9"/>
      <x:c r="AG356" s="9"/>
      <x:c r="AH356" s="7" t="s">
        <x:v>34</x:v>
      </x:c>
    </x:row>
    <x:row r="357">
      <x:c r="A357" s="7"/>
      <x:c r="B357" s="7" t="s">
        <x:v>817</x:v>
      </x:c>
      <x:c r="C357" s="38" t="s">
        <x:v>816</x:v>
      </x:c>
      <x:c r="D357" s="9"/>
      <x:c r="E357" s="39">
        <x:v>46230</x:v>
      </x:c>
      <x:c r="F357" s="40">
        <x:v>5</x:v>
      </x:c>
      <x:c r="G357" s="41">
        <x:f>(D357-(0)+0-(F357*Ventas!AE361*1.8000))</x:f>
      </x:c>
      <x:c r="H357" s="9"/>
      <x:c r="I357" s="25">
        <x:v>0</x:v>
      </x:c>
      <x:c r="J357" s="41">
        <x:f>IF(G357&gt;0,G357+I357,I357)</x:f>
      </x:c>
      <x:c r="K357" s="9"/>
      <x:c r="L357" s="41">
        <x:v>60</x:v>
      </x:c>
      <x:c r="M357" s="45">
        <x:v>0.001033</x:v>
      </x:c>
      <x:c r="N357" s="39">
        <x:v>46275</x:v>
      </x:c>
      <x:c r="O357" s="40">
        <x:v>45</x:v>
      </x:c>
      <x:c r="P357" s="41">
        <x:f>(IF(G357&gt;0,G357+I357,I357)-(O357*Ventas!AE361*1.0044))</x:f>
      </x:c>
      <x:c r="Q357" s="9"/>
      <x:c r="R357" s="25">
        <x:v>0</x:v>
      </x:c>
      <x:c r="S357" s="41">
        <x:f>IF(P357&gt;0,P357+R357,R357)</x:f>
      </x:c>
      <x:c r="T357" s="9"/>
      <x:c r="U357" s="41">
        <x:v>60</x:v>
      </x:c>
      <x:c r="V357" s="45">
        <x:v>0.001033</x:v>
      </x:c>
      <x:c r="W357" s="39">
        <x:v>46331</x:v>
      </x:c>
      <x:c r="X357" s="40">
        <x:v>56</x:v>
      </x:c>
      <x:c r="Y357" s="41">
        <x:f>(IF(P357&gt;0,P357+R357,R357)-(X357*Ventas!AE361*0.9018))</x:f>
      </x:c>
      <x:c r="Z357" s="9"/>
      <x:c r="AA357" s="41">
        <x:f>(100*(Ventas!AE361*1.2350) - IF(Y357&gt;0,Y357,0))</x:f>
      </x:c>
      <x:c r="AB357" s="41">
        <x:f>IF(AA357&gt;0,AA357,0)</x:f>
      </x:c>
      <x:c r="AC357" s="41">
        <x:f>IF(Y357&gt;0,Y357+IF(AB357&gt;0,AB357,0),AB357)</x:f>
      </x:c>
      <x:c r="AD357" s="9"/>
      <x:c r="AE357" s="9"/>
      <x:c r="AF357" s="9"/>
      <x:c r="AG357" s="9"/>
      <x:c r="AH357" s="7" t="s">
        <x:v>34</x:v>
      </x:c>
    </x:row>
    <x:row r="358">
      <x:c r="A358" s="7"/>
      <x:c r="B358" s="7" t="s">
        <x:v>819</x:v>
      </x:c>
      <x:c r="C358" s="38" t="s">
        <x:v>818</x:v>
      </x:c>
      <x:c r="D358" s="9"/>
      <x:c r="E358" s="39">
        <x:v>46230</x:v>
      </x:c>
      <x:c r="F358" s="40">
        <x:v>5</x:v>
      </x:c>
      <x:c r="G358" s="41">
        <x:f>(D358-(0)+0-(F358*Ventas!AE362*1.8000))</x:f>
      </x:c>
      <x:c r="H358" s="9"/>
      <x:c r="I358" s="25">
        <x:v>81</x:v>
      </x:c>
      <x:c r="J358" s="41">
        <x:f>IF(G358&gt;0,G358+I358,I358)</x:f>
      </x:c>
      <x:c r="K358" s="41">
        <x:v>9.8</x:v>
      </x:c>
      <x:c r="L358" s="41">
        <x:v>20</x:v>
      </x:c>
      <x:c r="M358" s="45">
        <x:v>0.00155</x:v>
      </x:c>
      <x:c r="N358" s="39">
        <x:v>46275</x:v>
      </x:c>
      <x:c r="O358" s="40">
        <x:v>45</x:v>
      </x:c>
      <x:c r="P358" s="41">
        <x:f>(IF(G358&gt;0,G358+I358,I358)-(O358*Ventas!AE362*1.0044))</x:f>
      </x:c>
      <x:c r="Q358" s="9"/>
      <x:c r="R358" s="25">
        <x:v>0</x:v>
      </x:c>
      <x:c r="S358" s="41">
        <x:f>IF(P358&gt;0,P358+R358,R358)</x:f>
      </x:c>
      <x:c r="T358" s="9"/>
      <x:c r="U358" s="41">
        <x:v>20</x:v>
      </x:c>
      <x:c r="V358" s="45">
        <x:v>0.00155</x:v>
      </x:c>
      <x:c r="W358" s="39">
        <x:v>46331</x:v>
      </x:c>
      <x:c r="X358" s="40">
        <x:v>56</x:v>
      </x:c>
      <x:c r="Y358" s="41">
        <x:f>(IF(P358&gt;0,P358+R358,R358)-(X358*Ventas!AE362*0.9018))</x:f>
      </x:c>
      <x:c r="Z358" s="9"/>
      <x:c r="AA358" s="41">
        <x:f>(100*(Ventas!AE362*1.2350) - IF(Y358&gt;0,Y358,0))</x:f>
      </x:c>
      <x:c r="AB358" s="41">
        <x:f>IF(AA358&gt;0,AA358,0)</x:f>
      </x:c>
      <x:c r="AC358" s="41">
        <x:f>IF(Y358&gt;0,Y358+IF(AB358&gt;0,AB358,0),AB358)</x:f>
      </x:c>
      <x:c r="AD358" s="46">
        <x:v>9.8</x:v>
      </x:c>
      <x:c r="AE358" s="25">
        <x:v>3027</x:v>
      </x:c>
      <x:c r="AF358" s="9"/>
      <x:c r="AG358" s="9"/>
      <x:c r="AH358" s="7" t="s">
        <x:v>34</x:v>
      </x:c>
    </x:row>
    <x:row r="359">
      <x:c r="A359" s="7"/>
      <x:c r="B359" s="7" t="s">
        <x:v>821</x:v>
      </x:c>
      <x:c r="C359" s="38" t="s">
        <x:v>820</x:v>
      </x:c>
      <x:c r="D359" s="9"/>
      <x:c r="E359" s="39">
        <x:v>46230</x:v>
      </x:c>
      <x:c r="F359" s="40">
        <x:v>5</x:v>
      </x:c>
      <x:c r="G359" s="41">
        <x:f>(D359-(0)+0-(F359*Ventas!AE363*1.8000))</x:f>
      </x:c>
      <x:c r="H359" s="9"/>
      <x:c r="I359" s="25">
        <x:v>0</x:v>
      </x:c>
      <x:c r="J359" s="41">
        <x:f>IF(G359&gt;0,G359+I359,I359)</x:f>
      </x:c>
      <x:c r="K359" s="9"/>
      <x:c r="L359" s="41">
        <x:v>15</x:v>
      </x:c>
      <x:c r="M359" s="45">
        <x:v>0.003333</x:v>
      </x:c>
      <x:c r="N359" s="39">
        <x:v>46275</x:v>
      </x:c>
      <x:c r="O359" s="40">
        <x:v>45</x:v>
      </x:c>
      <x:c r="P359" s="41">
        <x:f>(IF(G359&gt;0,G359+I359,I359)-(O359*Ventas!AE363*1.0044))</x:f>
      </x:c>
      <x:c r="Q359" s="9"/>
      <x:c r="R359" s="25">
        <x:v>0</x:v>
      </x:c>
      <x:c r="S359" s="41">
        <x:f>IF(P359&gt;0,P359+R359,R359)</x:f>
      </x:c>
      <x:c r="T359" s="9"/>
      <x:c r="U359" s="41">
        <x:v>15</x:v>
      </x:c>
      <x:c r="V359" s="45">
        <x:v>0.003333</x:v>
      </x:c>
      <x:c r="W359" s="39">
        <x:v>46331</x:v>
      </x:c>
      <x:c r="X359" s="40">
        <x:v>56</x:v>
      </x:c>
      <x:c r="Y359" s="41">
        <x:f>(IF(P359&gt;0,P359+R359,R359)-(X359*Ventas!AE363*0.9018))</x:f>
      </x:c>
      <x:c r="Z359" s="9"/>
      <x:c r="AA359" s="41">
        <x:f>(100*(Ventas!AE363*1.2350) - IF(Y359&gt;0,Y359,0))</x:f>
      </x:c>
      <x:c r="AB359" s="41">
        <x:f>IF(AA359&gt;0,AA359,0)</x:f>
      </x:c>
      <x:c r="AC359" s="41">
        <x:f>IF(Y359&gt;0,Y359+IF(AB359&gt;0,AB359,0),AB359)</x:f>
      </x:c>
      <x:c r="AD359" s="9"/>
      <x:c r="AE359" s="9"/>
      <x:c r="AF359" s="9"/>
      <x:c r="AG359" s="9"/>
      <x:c r="AH359" s="7" t="s">
        <x:v>34</x:v>
      </x:c>
    </x:row>
    <x:row r="360">
      <x:c r="A360" s="7"/>
      <x:c r="B360" s="7" t="s">
        <x:v>823</x:v>
      </x:c>
      <x:c r="C360" s="38" t="s">
        <x:v>822</x:v>
      </x:c>
      <x:c r="D360" s="9"/>
      <x:c r="E360" s="39">
        <x:v>46230</x:v>
      </x:c>
      <x:c r="F360" s="40">
        <x:v>5</x:v>
      </x:c>
      <x:c r="G360" s="41">
        <x:f>(D360-(0)+0-(F360*Ventas!AE364*1.8000))</x:f>
      </x:c>
      <x:c r="H360" s="9"/>
      <x:c r="I360" s="25">
        <x:v>50</x:v>
      </x:c>
      <x:c r="J360" s="41">
        <x:f>IF(G360&gt;0,G360+I360,I360)</x:f>
      </x:c>
      <x:c r="K360" s="41">
        <x:v>7.4</x:v>
      </x:c>
      <x:c r="L360" s="41">
        <x:v>50</x:v>
      </x:c>
      <x:c r="M360" s="45">
        <x:v>0.00056</x:v>
      </x:c>
      <x:c r="N360" s="39">
        <x:v>46275</x:v>
      </x:c>
      <x:c r="O360" s="40">
        <x:v>45</x:v>
      </x:c>
      <x:c r="P360" s="41">
        <x:f>(IF(G360&gt;0,G360+I360,I360)-(O360*Ventas!AE364*1.0044))</x:f>
      </x:c>
      <x:c r="Q360" s="9"/>
      <x:c r="R360" s="25">
        <x:v>0</x:v>
      </x:c>
      <x:c r="S360" s="41">
        <x:f>IF(P360&gt;0,P360+R360,R360)</x:f>
      </x:c>
      <x:c r="T360" s="9"/>
      <x:c r="U360" s="41">
        <x:v>50</x:v>
      </x:c>
      <x:c r="V360" s="45">
        <x:v>0.00056</x:v>
      </x:c>
      <x:c r="W360" s="39">
        <x:v>46331</x:v>
      </x:c>
      <x:c r="X360" s="40">
        <x:v>56</x:v>
      </x:c>
      <x:c r="Y360" s="41">
        <x:f>(IF(P360&gt;0,P360+R360,R360)-(X360*Ventas!AE364*0.9018))</x:f>
      </x:c>
      <x:c r="Z360" s="9"/>
      <x:c r="AA360" s="41">
        <x:f>(100*(Ventas!AE364*1.2350) - IF(Y360&gt;0,Y360,0))</x:f>
      </x:c>
      <x:c r="AB360" s="41">
        <x:f>IF(AA360&gt;0,AA360,0)</x:f>
      </x:c>
      <x:c r="AC360" s="41">
        <x:f>IF(Y360&gt;0,Y360+IF(AB360&gt;0,AB360,0),AB360)</x:f>
      </x:c>
      <x:c r="AD360" s="46">
        <x:v>7.4</x:v>
      </x:c>
      <x:c r="AE360" s="25">
        <x:v>3027</x:v>
      </x:c>
      <x:c r="AF360" s="9"/>
      <x:c r="AG360" s="9"/>
      <x:c r="AH360" s="7" t="s">
        <x:v>34</x:v>
      </x:c>
    </x:row>
    <x:row r="361">
      <x:c r="A361" s="7" t="s">
        <x:v>826</x:v>
      </x:c>
      <x:c r="B361" s="7" t="s">
        <x:v>825</x:v>
      </x:c>
      <x:c r="C361" s="38" t="s">
        <x:v>824</x:v>
      </x:c>
      <x:c r="D361" s="9"/>
      <x:c r="E361" s="39">
        <x:v>46230</x:v>
      </x:c>
      <x:c r="F361" s="40">
        <x:v>5</x:v>
      </x:c>
      <x:c r="G361" s="41">
        <x:f>(D361-(0)+0-(F361*Ventas!AE365*1.8000))</x:f>
      </x:c>
      <x:c r="H361" s="9"/>
      <x:c r="I361" s="25">
        <x:v>0</x:v>
      </x:c>
      <x:c r="J361" s="41">
        <x:f>IF(G361&gt;0,G361+I361,I361)</x:f>
      </x:c>
      <x:c r="K361" s="9"/>
      <x:c r="L361" s="41">
        <x:v>10</x:v>
      </x:c>
      <x:c r="M361" s="45">
        <x:v>0.0035</x:v>
      </x:c>
      <x:c r="N361" s="39">
        <x:v>46275</x:v>
      </x:c>
      <x:c r="O361" s="40">
        <x:v>45</x:v>
      </x:c>
      <x:c r="P361" s="41">
        <x:f>(IF(G361&gt;0,G361+I361,I361)-(O361*Ventas!AE365*1.0044))</x:f>
      </x:c>
      <x:c r="Q361" s="9"/>
      <x:c r="R361" s="25">
        <x:v>50</x:v>
      </x:c>
      <x:c r="S361" s="41">
        <x:f>IF(P361&gt;0,P361+R361,R361)</x:f>
      </x:c>
      <x:c r="T361" s="41">
        <x:v>22.8</x:v>
      </x:c>
      <x:c r="U361" s="41">
        <x:v>10</x:v>
      </x:c>
      <x:c r="V361" s="45">
        <x:v>0.0035</x:v>
      </x:c>
      <x:c r="W361" s="39">
        <x:v>46331</x:v>
      </x:c>
      <x:c r="X361" s="40">
        <x:v>56</x:v>
      </x:c>
      <x:c r="Y361" s="41">
        <x:f>(IF(P361&gt;0,P361+R361,R361)-(X361*Ventas!AE365*0.9018))</x:f>
      </x:c>
      <x:c r="Z361" s="9"/>
      <x:c r="AA361" s="41">
        <x:f>(100*(Ventas!AE365*1.2350) - IF(Y361&gt;0,Y361,0))</x:f>
      </x:c>
      <x:c r="AB361" s="41">
        <x:f>IF(AA361&gt;0,AA361,0)</x:f>
      </x:c>
      <x:c r="AC361" s="41">
        <x:f>IF(Y361&gt;0,Y361+IF(AB361&gt;0,AB361,0),AB361)</x:f>
      </x:c>
      <x:c r="AD361" s="9"/>
      <x:c r="AE361" s="9"/>
      <x:c r="AF361" s="9"/>
      <x:c r="AG361" s="9"/>
      <x:c r="AH361" s="7" t="s">
        <x:v>34</x:v>
      </x:c>
    </x:row>
    <x:row r="362">
      <x:c r="A362" s="7"/>
      <x:c r="B362" s="7" t="s">
        <x:v>828</x:v>
      </x:c>
      <x:c r="C362" s="38" t="s">
        <x:v>827</x:v>
      </x:c>
      <x:c r="D362" s="9"/>
      <x:c r="E362" s="39">
        <x:v>46230</x:v>
      </x:c>
      <x:c r="F362" s="40">
        <x:v>5</x:v>
      </x:c>
      <x:c r="G362" s="41">
        <x:f>(D362-(0)+0-(F362*Ventas!AE366*1.8000))</x:f>
      </x:c>
      <x:c r="H362" s="9"/>
      <x:c r="I362" s="25">
        <x:v>0</x:v>
      </x:c>
      <x:c r="J362" s="41">
        <x:f>IF(G362&gt;0,G362+I362,I362)</x:f>
      </x:c>
      <x:c r="K362" s="9"/>
      <x:c r="L362" s="9"/>
      <x:c r="M362" s="9"/>
      <x:c r="N362" s="39">
        <x:v>46275</x:v>
      </x:c>
      <x:c r="O362" s="40">
        <x:v>45</x:v>
      </x:c>
      <x:c r="P362" s="41">
        <x:f>(IF(G362&gt;0,G362+I362,I362)-(O362*Ventas!AE366*1.0044))</x:f>
      </x:c>
      <x:c r="Q362" s="9"/>
      <x:c r="R362" s="25">
        <x:v>0</x:v>
      </x:c>
      <x:c r="S362" s="41">
        <x:f>IF(P362&gt;0,P362+R362,R362)</x:f>
      </x:c>
      <x:c r="T362" s="9"/>
      <x:c r="U362" s="9"/>
      <x:c r="V362" s="9"/>
      <x:c r="W362" s="39">
        <x:v>46331</x:v>
      </x:c>
      <x:c r="X362" s="40">
        <x:v>56</x:v>
      </x:c>
      <x:c r="Y362" s="41">
        <x:f>(IF(P362&gt;0,P362+R362,R362)-(X362*Ventas!AE366*0.9018))</x:f>
      </x:c>
      <x:c r="Z362" s="9"/>
      <x:c r="AA362" s="41">
        <x:f>(100*(Ventas!AE366*1.2350) - IF(Y362&gt;0,Y362,0))</x:f>
      </x:c>
      <x:c r="AB362" s="41">
        <x:f>IF(AA362&gt;0,AA362,0)</x:f>
      </x:c>
      <x:c r="AC362" s="41">
        <x:f>IF(Y362&gt;0,Y362+IF(AB362&gt;0,AB362,0),AB362)</x:f>
      </x:c>
      <x:c r="AD362" s="9"/>
      <x:c r="AE362" s="9"/>
      <x:c r="AF362" s="9"/>
      <x:c r="AG362" s="9"/>
      <x:c r="AH362" s="7" t="s">
        <x:v>34</x:v>
      </x:c>
    </x:row>
    <x:row r="363">
      <x:c r="A363" s="7"/>
      <x:c r="B363" s="7" t="s">
        <x:v>842</x:v>
      </x:c>
      <x:c r="C363" s="38" t="s">
        <x:v>841</x:v>
      </x:c>
      <x:c r="D363" s="9"/>
      <x:c r="E363" s="39">
        <x:v>46230</x:v>
      </x:c>
      <x:c r="F363" s="40">
        <x:v>5</x:v>
      </x:c>
      <x:c r="G363" s="41">
        <x:f>(D363-(0)+0-(F363*Ventas!AE373*1.0000))</x:f>
      </x:c>
      <x:c r="H363" s="9"/>
      <x:c r="I363" s="25">
        <x:v>0</x:v>
      </x:c>
      <x:c r="J363" s="41">
        <x:f>IF(G363&gt;0,G363+I363,I363)</x:f>
      </x:c>
      <x:c r="K363" s="9"/>
      <x:c r="L363" s="9"/>
      <x:c r="M363" s="9"/>
      <x:c r="N363" s="39">
        <x:v>46275</x:v>
      </x:c>
      <x:c r="O363" s="40">
        <x:v>45</x:v>
      </x:c>
      <x:c r="P363" s="41">
        <x:f>(IF(G363&gt;0,G363+I363,I363)-(O363*Ventas!AE373*1.0000))</x:f>
      </x:c>
      <x:c r="Q363" s="9"/>
      <x:c r="R363" s="25">
        <x:v>0</x:v>
      </x:c>
      <x:c r="S363" s="41">
        <x:f>IF(P363&gt;0,P363+R363,R363)</x:f>
      </x:c>
      <x:c r="T363" s="9"/>
      <x:c r="U363" s="9"/>
      <x:c r="V363" s="9"/>
      <x:c r="W363" s="39">
        <x:v>46331</x:v>
      </x:c>
      <x:c r="X363" s="40">
        <x:v>56</x:v>
      </x:c>
      <x:c r="Y363" s="41">
        <x:f>(IF(P363&gt;0,P363+R363,R363)-(X363*Ventas!AE373*1.0000))</x:f>
      </x:c>
      <x:c r="Z363" s="9"/>
      <x:c r="AA363" s="41">
        <x:f>(100*(Ventas!AE373*1.1350) - IF(Y363&gt;0,Y363,0))</x:f>
      </x:c>
      <x:c r="AB363" s="41">
        <x:f>IF(AA363&gt;0,AA363,0)</x:f>
      </x:c>
      <x:c r="AC363" s="41">
        <x:f>IF(Y363&gt;0,Y363+IF(AB363&gt;0,AB363,0),AB363)</x:f>
      </x:c>
      <x:c r="AD363" s="46">
        <x:v>21.5</x:v>
      </x:c>
      <x:c r="AE363" s="25">
        <x:v>3027</x:v>
      </x:c>
      <x:c r="AF363" s="9"/>
      <x:c r="AG363" s="9"/>
      <x:c r="AH363" s="7" t="s">
        <x:v>107</x:v>
      </x:c>
    </x:row>
    <x:row r="364">
      <x:c r="A364" s="7"/>
      <x:c r="B364" s="7" t="s">
        <x:v>844</x:v>
      </x:c>
      <x:c r="C364" s="38" t="s">
        <x:v>843</x:v>
      </x:c>
      <x:c r="D364" s="9"/>
      <x:c r="E364" s="39">
        <x:v>46230</x:v>
      </x:c>
      <x:c r="F364" s="40">
        <x:v>5</x:v>
      </x:c>
      <x:c r="G364" s="41">
        <x:f>(D364-(0)+0-(F364*Ventas!AE374*1.0000))</x:f>
      </x:c>
      <x:c r="H364" s="9"/>
      <x:c r="I364" s="25">
        <x:v>0</x:v>
      </x:c>
      <x:c r="J364" s="41">
        <x:f>IF(G364&gt;0,G364+I364,I364)</x:f>
      </x:c>
      <x:c r="K364" s="9"/>
      <x:c r="L364" s="9"/>
      <x:c r="M364" s="9"/>
      <x:c r="N364" s="39">
        <x:v>46275</x:v>
      </x:c>
      <x:c r="O364" s="40">
        <x:v>45</x:v>
      </x:c>
      <x:c r="P364" s="41">
        <x:f>(IF(G364&gt;0,G364+I364,I364)-(O364*Ventas!AE374*1.0000))</x:f>
      </x:c>
      <x:c r="Q364" s="9"/>
      <x:c r="R364" s="25">
        <x:v>0</x:v>
      </x:c>
      <x:c r="S364" s="41">
        <x:f>IF(P364&gt;0,P364+R364,R364)</x:f>
      </x:c>
      <x:c r="T364" s="9"/>
      <x:c r="U364" s="9"/>
      <x:c r="V364" s="9"/>
      <x:c r="W364" s="39">
        <x:v>46331</x:v>
      </x:c>
      <x:c r="X364" s="40">
        <x:v>56</x:v>
      </x:c>
      <x:c r="Y364" s="41">
        <x:f>(IF(P364&gt;0,P364+R364,R364)-(X364*Ventas!AE374*1.0000))</x:f>
      </x:c>
      <x:c r="Z364" s="9"/>
      <x:c r="AA364" s="41">
        <x:f>(100*(Ventas!AE374*1.1350) - IF(Y364&gt;0,Y364,0))</x:f>
      </x:c>
      <x:c r="AB364" s="41">
        <x:f>IF(AA364&gt;0,AA364,0)</x:f>
      </x:c>
      <x:c r="AC364" s="41">
        <x:f>IF(Y364&gt;0,Y364+IF(AB364&gt;0,AB364,0),AB364)</x:f>
      </x:c>
      <x:c r="AD364" s="46">
        <x:v>23.5524</x:v>
      </x:c>
      <x:c r="AE364" s="25">
        <x:v>3017</x:v>
      </x:c>
      <x:c r="AF364" s="9"/>
      <x:c r="AG364" s="9"/>
      <x:c r="AH364" s="7" t="s">
        <x:v>107</x:v>
      </x:c>
    </x:row>
    <x:row r="365">
      <x:c r="A365" s="7"/>
      <x:c r="B365" s="7" t="s">
        <x:v>846</x:v>
      </x:c>
      <x:c r="C365" s="38" t="s">
        <x:v>845</x:v>
      </x:c>
      <x:c r="D365" s="9"/>
      <x:c r="E365" s="39">
        <x:v>46230</x:v>
      </x:c>
      <x:c r="F365" s="40">
        <x:v>5</x:v>
      </x:c>
      <x:c r="G365" s="41">
        <x:f>(D365-(0)+0-(F365*Ventas!AE375*1.0000))</x:f>
      </x:c>
      <x:c r="H365" s="9"/>
      <x:c r="I365" s="25">
        <x:v>0</x:v>
      </x:c>
      <x:c r="J365" s="41">
        <x:f>IF(G365&gt;0,G365+I365,I365)</x:f>
      </x:c>
      <x:c r="K365" s="9"/>
      <x:c r="L365" s="9"/>
      <x:c r="M365" s="9"/>
      <x:c r="N365" s="39">
        <x:v>46275</x:v>
      </x:c>
      <x:c r="O365" s="40">
        <x:v>45</x:v>
      </x:c>
      <x:c r="P365" s="41">
        <x:f>(IF(G365&gt;0,G365+I365,I365)-(O365*Ventas!AE375*1.0000))</x:f>
      </x:c>
      <x:c r="Q365" s="9"/>
      <x:c r="R365" s="25">
        <x:v>0</x:v>
      </x:c>
      <x:c r="S365" s="41">
        <x:f>IF(P365&gt;0,P365+R365,R365)</x:f>
      </x:c>
      <x:c r="T365" s="9"/>
      <x:c r="U365" s="9"/>
      <x:c r="V365" s="9"/>
      <x:c r="W365" s="39">
        <x:v>46331</x:v>
      </x:c>
      <x:c r="X365" s="40">
        <x:v>56</x:v>
      </x:c>
      <x:c r="Y365" s="41">
        <x:f>(IF(P365&gt;0,P365+R365,R365)-(X365*Ventas!AE375*1.0000))</x:f>
      </x:c>
      <x:c r="Z365" s="9"/>
      <x:c r="AA365" s="41">
        <x:f>(100*(Ventas!AE375*1.1350) - IF(Y365&gt;0,Y365,0))</x:f>
      </x:c>
      <x:c r="AB365" s="41">
        <x:f>IF(AA365&gt;0,AA365,0)</x:f>
      </x:c>
      <x:c r="AC365" s="41">
        <x:f>IF(Y365&gt;0,Y365+IF(AB365&gt;0,AB365,0),AB365)</x:f>
      </x:c>
      <x:c r="AD365" s="46">
        <x:v>21.8</x:v>
      </x:c>
      <x:c r="AE365" s="25">
        <x:v>3027</x:v>
      </x:c>
      <x:c r="AF365" s="9"/>
      <x:c r="AG365" s="9"/>
      <x:c r="AH365" s="7" t="s">
        <x:v>107</x:v>
      </x:c>
    </x:row>
    <x:row r="366">
      <x:c r="A366" s="7"/>
      <x:c r="B366" s="7" t="s">
        <x:v>848</x:v>
      </x:c>
      <x:c r="C366" s="38" t="s">
        <x:v>847</x:v>
      </x:c>
      <x:c r="D366" s="9"/>
      <x:c r="E366" s="39">
        <x:v>46230</x:v>
      </x:c>
      <x:c r="F366" s="40">
        <x:v>5</x:v>
      </x:c>
      <x:c r="G366" s="41">
        <x:f>(D366-(0)+0-(F366*Ventas!AE376*1.0000))</x:f>
      </x:c>
      <x:c r="H366" s="9"/>
      <x:c r="I366" s="25">
        <x:v>0</x:v>
      </x:c>
      <x:c r="J366" s="41">
        <x:f>IF(G366&gt;0,G366+I366,I366)</x:f>
      </x:c>
      <x:c r="K366" s="9"/>
      <x:c r="L366" s="9"/>
      <x:c r="M366" s="9"/>
      <x:c r="N366" s="39">
        <x:v>46275</x:v>
      </x:c>
      <x:c r="O366" s="40">
        <x:v>45</x:v>
      </x:c>
      <x:c r="P366" s="41">
        <x:f>(IF(G366&gt;0,G366+I366,I366)-(O366*Ventas!AE376*1.0000))</x:f>
      </x:c>
      <x:c r="Q366" s="9"/>
      <x:c r="R366" s="25">
        <x:v>0</x:v>
      </x:c>
      <x:c r="S366" s="41">
        <x:f>IF(P366&gt;0,P366+R366,R366)</x:f>
      </x:c>
      <x:c r="T366" s="9"/>
      <x:c r="U366" s="9"/>
      <x:c r="V366" s="9"/>
      <x:c r="W366" s="39">
        <x:v>46331</x:v>
      </x:c>
      <x:c r="X366" s="40">
        <x:v>56</x:v>
      </x:c>
      <x:c r="Y366" s="41">
        <x:f>(IF(P366&gt;0,P366+R366,R366)-(X366*Ventas!AE376*1.0000))</x:f>
      </x:c>
      <x:c r="Z366" s="9"/>
      <x:c r="AA366" s="41">
        <x:f>(100*(Ventas!AE376*1.1350) - IF(Y366&gt;0,Y366,0))</x:f>
      </x:c>
      <x:c r="AB366" s="41">
        <x:f>IF(AA366&gt;0,AA366,0)</x:f>
      </x:c>
      <x:c r="AC366" s="41">
        <x:f>IF(Y366&gt;0,Y366+IF(AB366&gt;0,AB366,0),AB366)</x:f>
      </x:c>
      <x:c r="AD366" s="9"/>
      <x:c r="AE366" s="9"/>
      <x:c r="AF366" s="9"/>
      <x:c r="AG366" s="9"/>
      <x:c r="AH366" s="7" t="s">
        <x:v>34</x:v>
      </x:c>
    </x:row>
    <x:row r="367">
      <x:c r="A367" s="7"/>
      <x:c r="B367" s="7" t="s">
        <x:v>850</x:v>
      </x:c>
      <x:c r="C367" s="38" t="s">
        <x:v>849</x:v>
      </x:c>
      <x:c r="D367" s="9"/>
      <x:c r="E367" s="39">
        <x:v>46230</x:v>
      </x:c>
      <x:c r="F367" s="40">
        <x:v>5</x:v>
      </x:c>
      <x:c r="G367" s="41">
        <x:f>(D367-(0)+0-(F367*Ventas!AE377*1.0000))</x:f>
      </x:c>
      <x:c r="H367" s="9"/>
      <x:c r="I367" s="25">
        <x:v>0</x:v>
      </x:c>
      <x:c r="J367" s="41">
        <x:f>IF(G367&gt;0,G367+I367,I367)</x:f>
      </x:c>
      <x:c r="K367" s="9"/>
      <x:c r="L367" s="9"/>
      <x:c r="M367" s="9"/>
      <x:c r="N367" s="39">
        <x:v>46275</x:v>
      </x:c>
      <x:c r="O367" s="40">
        <x:v>45</x:v>
      </x:c>
      <x:c r="P367" s="41">
        <x:f>(IF(G367&gt;0,G367+I367,I367)-(O367*Ventas!AE377*1.0000))</x:f>
      </x:c>
      <x:c r="Q367" s="9"/>
      <x:c r="R367" s="25">
        <x:v>0</x:v>
      </x:c>
      <x:c r="S367" s="41">
        <x:f>IF(P367&gt;0,P367+R367,R367)</x:f>
      </x:c>
      <x:c r="T367" s="9"/>
      <x:c r="U367" s="9"/>
      <x:c r="V367" s="9"/>
      <x:c r="W367" s="39">
        <x:v>46331</x:v>
      </x:c>
      <x:c r="X367" s="40">
        <x:v>56</x:v>
      </x:c>
      <x:c r="Y367" s="41">
        <x:f>(IF(P367&gt;0,P367+R367,R367)-(X367*Ventas!AE377*1.0000))</x:f>
      </x:c>
      <x:c r="Z367" s="9"/>
      <x:c r="AA367" s="41">
        <x:f>(100*(Ventas!AE377*1.1350) - IF(Y367&gt;0,Y367,0))</x:f>
      </x:c>
      <x:c r="AB367" s="41">
        <x:f>IF(AA367&gt;0,AA367,0)</x:f>
      </x:c>
      <x:c r="AC367" s="41">
        <x:f>IF(Y367&gt;0,Y367+IF(AB367&gt;0,AB367,0),AB367)</x:f>
      </x:c>
      <x:c r="AD367" s="9"/>
      <x:c r="AE367" s="9"/>
      <x:c r="AF367" s="9"/>
      <x:c r="AG367" s="9"/>
      <x:c r="AH367" s="7" t="s">
        <x:v>34</x:v>
      </x:c>
    </x:row>
    <x:row r="368">
      <x:c r="A368" s="7"/>
      <x:c r="B368" s="7" t="s">
        <x:v>852</x:v>
      </x:c>
      <x:c r="C368" s="38" t="s">
        <x:v>851</x:v>
      </x:c>
      <x:c r="D368" s="9"/>
      <x:c r="E368" s="39">
        <x:v>46230</x:v>
      </x:c>
      <x:c r="F368" s="40">
        <x:v>5</x:v>
      </x:c>
      <x:c r="G368" s="41">
        <x:f>(D368-(0)+0-(F368*Ventas!AE378*1.0000))</x:f>
      </x:c>
      <x:c r="H368" s="9"/>
      <x:c r="I368" s="25">
        <x:v>0</x:v>
      </x:c>
      <x:c r="J368" s="41">
        <x:f>IF(G368&gt;0,G368+I368,I368)</x:f>
      </x:c>
      <x:c r="K368" s="9"/>
      <x:c r="L368" s="9"/>
      <x:c r="M368" s="9"/>
      <x:c r="N368" s="39">
        <x:v>46275</x:v>
      </x:c>
      <x:c r="O368" s="40">
        <x:v>45</x:v>
      </x:c>
      <x:c r="P368" s="41">
        <x:f>(IF(G368&gt;0,G368+I368,I368)-(O368*Ventas!AE378*1.0000))</x:f>
      </x:c>
      <x:c r="Q368" s="9"/>
      <x:c r="R368" s="25">
        <x:v>0</x:v>
      </x:c>
      <x:c r="S368" s="41">
        <x:f>IF(P368&gt;0,P368+R368,R368)</x:f>
      </x:c>
      <x:c r="T368" s="9"/>
      <x:c r="U368" s="9"/>
      <x:c r="V368" s="9"/>
      <x:c r="W368" s="39">
        <x:v>46331</x:v>
      </x:c>
      <x:c r="X368" s="40">
        <x:v>56</x:v>
      </x:c>
      <x:c r="Y368" s="41">
        <x:f>(IF(P368&gt;0,P368+R368,R368)-(X368*Ventas!AE378*1.0000))</x:f>
      </x:c>
      <x:c r="Z368" s="9"/>
      <x:c r="AA368" s="41">
        <x:f>(100*(Ventas!AE378*1.1350) - IF(Y368&gt;0,Y368,0))</x:f>
      </x:c>
      <x:c r="AB368" s="41">
        <x:f>IF(AA368&gt;0,AA368,0)</x:f>
      </x:c>
      <x:c r="AC368" s="41">
        <x:f>IF(Y368&gt;0,Y368+IF(AB368&gt;0,AB368,0),AB368)</x:f>
      </x:c>
      <x:c r="AD368" s="9"/>
      <x:c r="AE368" s="9"/>
      <x:c r="AF368" s="9"/>
      <x:c r="AG368" s="9"/>
      <x:c r="AH368" s="7" t="s">
        <x:v>34</x:v>
      </x:c>
    </x:row>
    <x:row r="369">
      <x:c r="A369" s="7"/>
      <x:c r="B369" s="7" t="s">
        <x:v>854</x:v>
      </x:c>
      <x:c r="C369" s="38" t="s">
        <x:v>853</x:v>
      </x:c>
      <x:c r="D369" s="9"/>
      <x:c r="E369" s="39">
        <x:v>46230</x:v>
      </x:c>
      <x:c r="F369" s="40">
        <x:v>5</x:v>
      </x:c>
      <x:c r="G369" s="41">
        <x:f>(D369-(0)+0-(F369*Ventas!AE379*1.0000))</x:f>
      </x:c>
      <x:c r="H369" s="9"/>
      <x:c r="I369" s="25">
        <x:v>0</x:v>
      </x:c>
      <x:c r="J369" s="41">
        <x:f>IF(G369&gt;0,G369+I369,I369)</x:f>
      </x:c>
      <x:c r="K369" s="9"/>
      <x:c r="L369" s="41">
        <x:v>1</x:v>
      </x:c>
      <x:c r="M369" s="45">
        <x:v>0.046065</x:v>
      </x:c>
      <x:c r="N369" s="39">
        <x:v>46275</x:v>
      </x:c>
      <x:c r="O369" s="40">
        <x:v>45</x:v>
      </x:c>
      <x:c r="P369" s="41">
        <x:f>(IF(G369&gt;0,G369+I369,I369)-(O369*Ventas!AE379*1.0000))</x:f>
      </x:c>
      <x:c r="Q369" s="9"/>
      <x:c r="R369" s="25">
        <x:v>0</x:v>
      </x:c>
      <x:c r="S369" s="41">
        <x:f>IF(P369&gt;0,P369+R369,R369)</x:f>
      </x:c>
      <x:c r="T369" s="9"/>
      <x:c r="U369" s="41">
        <x:v>1</x:v>
      </x:c>
      <x:c r="V369" s="45">
        <x:v>0.046065</x:v>
      </x:c>
      <x:c r="W369" s="39">
        <x:v>46331</x:v>
      </x:c>
      <x:c r="X369" s="40">
        <x:v>56</x:v>
      </x:c>
      <x:c r="Y369" s="41">
        <x:f>(IF(P369&gt;0,P369+R369,R369)-(X369*Ventas!AE379*1.0000))</x:f>
      </x:c>
      <x:c r="Z369" s="9"/>
      <x:c r="AA369" s="41">
        <x:f>(100*(Ventas!AE379*1.1350) - IF(Y369&gt;0,Y369,0))</x:f>
      </x:c>
      <x:c r="AB369" s="41">
        <x:f>IF(AA369&gt;0,AA369,0)</x:f>
      </x:c>
      <x:c r="AC369" s="41">
        <x:f>IF(Y369&gt;0,Y369+IF(AB369&gt;0,AB369,0),AB369)</x:f>
      </x:c>
      <x:c r="AD369" s="46">
        <x:v>22.8</x:v>
      </x:c>
      <x:c r="AE369" s="25">
        <x:v>3027</x:v>
      </x:c>
      <x:c r="AF369" s="9"/>
      <x:c r="AG369" s="9"/>
      <x:c r="AH369" s="7" t="s">
        <x:v>34</x:v>
      </x:c>
    </x:row>
    <x:row r="370">
      <x:c r="A370" s="7"/>
      <x:c r="B370" s="7" t="s">
        <x:v>856</x:v>
      </x:c>
      <x:c r="C370" s="38" t="s">
        <x:v>855</x:v>
      </x:c>
      <x:c r="D370" s="9"/>
      <x:c r="E370" s="39">
        <x:v>46230</x:v>
      </x:c>
      <x:c r="F370" s="40">
        <x:v>5</x:v>
      </x:c>
      <x:c r="G370" s="41">
        <x:f>(D370-(0)+0-(F370*Ventas!AE380*1.0000))</x:f>
      </x:c>
      <x:c r="H370" s="9"/>
      <x:c r="I370" s="25">
        <x:v>0</x:v>
      </x:c>
      <x:c r="J370" s="41">
        <x:f>IF(G370&gt;0,G370+I370,I370)</x:f>
      </x:c>
      <x:c r="K370" s="9"/>
      <x:c r="L370" s="41">
        <x:v>1</x:v>
      </x:c>
      <x:c r="M370" s="45">
        <x:v>0.046062</x:v>
      </x:c>
      <x:c r="N370" s="39">
        <x:v>46275</x:v>
      </x:c>
      <x:c r="O370" s="40">
        <x:v>45</x:v>
      </x:c>
      <x:c r="P370" s="41">
        <x:f>(IF(G370&gt;0,G370+I370,I370)-(O370*Ventas!AE380*1.0000))</x:f>
      </x:c>
      <x:c r="Q370" s="9"/>
      <x:c r="R370" s="25">
        <x:v>0</x:v>
      </x:c>
      <x:c r="S370" s="41">
        <x:f>IF(P370&gt;0,P370+R370,R370)</x:f>
      </x:c>
      <x:c r="T370" s="9"/>
      <x:c r="U370" s="41">
        <x:v>1</x:v>
      </x:c>
      <x:c r="V370" s="45">
        <x:v>0.046062</x:v>
      </x:c>
      <x:c r="W370" s="39">
        <x:v>46331</x:v>
      </x:c>
      <x:c r="X370" s="40">
        <x:v>56</x:v>
      </x:c>
      <x:c r="Y370" s="41">
        <x:f>(IF(P370&gt;0,P370+R370,R370)-(X370*Ventas!AE380*1.0000))</x:f>
      </x:c>
      <x:c r="Z370" s="9"/>
      <x:c r="AA370" s="41">
        <x:f>(100*(Ventas!AE380*1.1350) - IF(Y370&gt;0,Y370,0))</x:f>
      </x:c>
      <x:c r="AB370" s="41">
        <x:f>IF(AA370&gt;0,AA370,0)</x:f>
      </x:c>
      <x:c r="AC370" s="41">
        <x:f>IF(Y370&gt;0,Y370+IF(AB370&gt;0,AB370,0),AB370)</x:f>
      </x:c>
      <x:c r="AD370" s="46">
        <x:v>25.8</x:v>
      </x:c>
      <x:c r="AE370" s="25">
        <x:v>3027</x:v>
      </x:c>
      <x:c r="AF370" s="9"/>
      <x:c r="AG370" s="9"/>
      <x:c r="AH370" s="7" t="s">
        <x:v>34</x:v>
      </x:c>
    </x:row>
    <x:row r="371">
      <x:c r="A371" s="7"/>
      <x:c r="B371" s="7" t="s">
        <x:v>858</x:v>
      </x:c>
      <x:c r="C371" s="38" t="s">
        <x:v>857</x:v>
      </x:c>
      <x:c r="D371" s="9"/>
      <x:c r="E371" s="39">
        <x:v>46230</x:v>
      </x:c>
      <x:c r="F371" s="40">
        <x:v>5</x:v>
      </x:c>
      <x:c r="G371" s="41">
        <x:f>(D371-(0)+0-(F371*Ventas!AE381*1.0000))</x:f>
      </x:c>
      <x:c r="H371" s="9"/>
      <x:c r="I371" s="25">
        <x:v>0</x:v>
      </x:c>
      <x:c r="J371" s="41">
        <x:f>IF(G371&gt;0,G371+I371,I371)</x:f>
      </x:c>
      <x:c r="K371" s="9"/>
      <x:c r="L371" s="41">
        <x:v>1</x:v>
      </x:c>
      <x:c r="M371" s="45">
        <x:v>0.04605</x:v>
      </x:c>
      <x:c r="N371" s="39">
        <x:v>46275</x:v>
      </x:c>
      <x:c r="O371" s="40">
        <x:v>45</x:v>
      </x:c>
      <x:c r="P371" s="41">
        <x:f>(IF(G371&gt;0,G371+I371,I371)-(O371*Ventas!AE381*1.0000))</x:f>
      </x:c>
      <x:c r="Q371" s="9"/>
      <x:c r="R371" s="25">
        <x:v>0</x:v>
      </x:c>
      <x:c r="S371" s="41">
        <x:f>IF(P371&gt;0,P371+R371,R371)</x:f>
      </x:c>
      <x:c r="T371" s="9"/>
      <x:c r="U371" s="41">
        <x:v>1</x:v>
      </x:c>
      <x:c r="V371" s="45">
        <x:v>0.04605</x:v>
      </x:c>
      <x:c r="W371" s="39">
        <x:v>46331</x:v>
      </x:c>
      <x:c r="X371" s="40">
        <x:v>56</x:v>
      </x:c>
      <x:c r="Y371" s="41">
        <x:f>(IF(P371&gt;0,P371+R371,R371)-(X371*Ventas!AE381*1.0000))</x:f>
      </x:c>
      <x:c r="Z371" s="9"/>
      <x:c r="AA371" s="41">
        <x:f>(100*(Ventas!AE381*1.1350) - IF(Y371&gt;0,Y371,0))</x:f>
      </x:c>
      <x:c r="AB371" s="41">
        <x:f>IF(AA371&gt;0,AA371,0)</x:f>
      </x:c>
      <x:c r="AC371" s="41">
        <x:f>IF(Y371&gt;0,Y371+IF(AB371&gt;0,AB371,0),AB371)</x:f>
      </x:c>
      <x:c r="AD371" s="46">
        <x:v>26.3</x:v>
      </x:c>
      <x:c r="AE371" s="25">
        <x:v>3027</x:v>
      </x:c>
      <x:c r="AF371" s="9"/>
      <x:c r="AG371" s="9"/>
      <x:c r="AH371" s="7" t="s">
        <x:v>34</x:v>
      </x:c>
    </x:row>
    <x:row r="372">
      <x:c r="A372" s="7"/>
      <x:c r="B372" s="7" t="s">
        <x:v>860</x:v>
      </x:c>
      <x:c r="C372" s="38" t="s">
        <x:v>859</x:v>
      </x:c>
      <x:c r="D372" s="9"/>
      <x:c r="E372" s="39">
        <x:v>46230</x:v>
      </x:c>
      <x:c r="F372" s="40">
        <x:v>5</x:v>
      </x:c>
      <x:c r="G372" s="41">
        <x:f>(D372-(0)+0-(F372*Ventas!AE382*1.0000))</x:f>
      </x:c>
      <x:c r="H372" s="9"/>
      <x:c r="I372" s="25">
        <x:v>0</x:v>
      </x:c>
      <x:c r="J372" s="41">
        <x:f>IF(G372&gt;0,G372+I372,I372)</x:f>
      </x:c>
      <x:c r="K372" s="9"/>
      <x:c r="L372" s="41">
        <x:v>1</x:v>
      </x:c>
      <x:c r="M372" s="45">
        <x:v>0.054076</x:v>
      </x:c>
      <x:c r="N372" s="39">
        <x:v>46275</x:v>
      </x:c>
      <x:c r="O372" s="40">
        <x:v>45</x:v>
      </x:c>
      <x:c r="P372" s="41">
        <x:f>(IF(G372&gt;0,G372+I372,I372)-(O372*Ventas!AE382*1.0000))</x:f>
      </x:c>
      <x:c r="Q372" s="9"/>
      <x:c r="R372" s="25">
        <x:v>0</x:v>
      </x:c>
      <x:c r="S372" s="41">
        <x:f>IF(P372&gt;0,P372+R372,R372)</x:f>
      </x:c>
      <x:c r="T372" s="9"/>
      <x:c r="U372" s="41">
        <x:v>1</x:v>
      </x:c>
      <x:c r="V372" s="45">
        <x:v>0.054</x:v>
      </x:c>
      <x:c r="W372" s="39">
        <x:v>46331</x:v>
      </x:c>
      <x:c r="X372" s="40">
        <x:v>56</x:v>
      </x:c>
      <x:c r="Y372" s="41">
        <x:f>(IF(P372&gt;0,P372+R372,R372)-(X372*Ventas!AE382*1.0000))</x:f>
      </x:c>
      <x:c r="Z372" s="9"/>
      <x:c r="AA372" s="41">
        <x:f>(100*(Ventas!AE382*1.1350) - IF(Y372&gt;0,Y372,0))</x:f>
      </x:c>
      <x:c r="AB372" s="41">
        <x:f>IF(AA372&gt;0,AA372,0)</x:f>
      </x:c>
      <x:c r="AC372" s="41">
        <x:f>IF(Y372&gt;0,Y372+IF(AB372&gt;0,AB372,0),AB372)</x:f>
      </x:c>
      <x:c r="AD372" s="46">
        <x:v>21.2</x:v>
      </x:c>
      <x:c r="AE372" s="25">
        <x:v>3027</x:v>
      </x:c>
      <x:c r="AF372" s="9"/>
      <x:c r="AG372" s="9"/>
      <x:c r="AH372" s="7" t="s">
        <x:v>34</x:v>
      </x:c>
    </x:row>
    <x:row r="373">
      <x:c r="A373" s="7"/>
      <x:c r="B373" s="7" t="s">
        <x:v>862</x:v>
      </x:c>
      <x:c r="C373" s="38" t="s">
        <x:v>861</x:v>
      </x:c>
      <x:c r="D373" s="25">
        <x:v>22</x:v>
      </x:c>
      <x:c r="E373" s="39">
        <x:v>46230</x:v>
      </x:c>
      <x:c r="F373" s="40">
        <x:v>5</x:v>
      </x:c>
      <x:c r="G373" s="41">
        <x:f>(D373-(0)+0-(F373*Ventas!AE383*1.0000))</x:f>
      </x:c>
      <x:c r="H373" s="43">
        <x:f>(G373/(Ventas!AE383*1.0000)/40)</x:f>
      </x:c>
      <x:c r="I373" s="25">
        <x:v>0</x:v>
      </x:c>
      <x:c r="J373" s="41">
        <x:f>IF(G373&gt;0,G373+I373,I373)</x:f>
      </x:c>
      <x:c r="K373" s="9"/>
      <x:c r="L373" s="41">
        <x:v>1</x:v>
      </x:c>
      <x:c r="M373" s="45">
        <x:v>0.054</x:v>
      </x:c>
      <x:c r="N373" s="39">
        <x:v>46275</x:v>
      </x:c>
      <x:c r="O373" s="40">
        <x:v>45</x:v>
      </x:c>
      <x:c r="P373" s="41">
        <x:f>(IF(G373&gt;0,G373+I373,I373)-(O373*Ventas!AE383*1.0000))</x:f>
      </x:c>
      <x:c r="Q373" s="43">
        <x:f>(P373/(Ventas!AE383*1.0000)/40)</x:f>
      </x:c>
      <x:c r="R373" s="25">
        <x:v>0</x:v>
      </x:c>
      <x:c r="S373" s="41">
        <x:f>IF(P373&gt;0,P373+R373,R373)</x:f>
      </x:c>
      <x:c r="T373" s="9"/>
      <x:c r="U373" s="41">
        <x:v>1</x:v>
      </x:c>
      <x:c r="V373" s="45">
        <x:v>0.054</x:v>
      </x:c>
      <x:c r="W373" s="39">
        <x:v>46331</x:v>
      </x:c>
      <x:c r="X373" s="40">
        <x:v>56</x:v>
      </x:c>
      <x:c r="Y373" s="41">
        <x:f>(IF(P373&gt;0,P373+R373,R373)-(X373*Ventas!AE383*1.0000))</x:f>
      </x:c>
      <x:c r="Z373" s="43">
        <x:f>(Y373/(Ventas!AE383*1.0000)/40)</x:f>
      </x:c>
      <x:c r="AA373" s="41">
        <x:f>(100*(Ventas!AE383*1.1350) - IF(Y373&gt;0,Y373,0))</x:f>
      </x:c>
      <x:c r="AB373" s="41">
        <x:f>IF(AA373&gt;0,AA373,0)</x:f>
      </x:c>
      <x:c r="AC373" s="41">
        <x:f>IF(Y373&gt;0,Y373+IF(AB373&gt;0,AB373,0),AB373)</x:f>
      </x:c>
      <x:c r="AD373" s="46">
        <x:v>26.8</x:v>
      </x:c>
      <x:c r="AE373" s="25">
        <x:v>3027</x:v>
      </x:c>
      <x:c r="AF373" s="41">
        <x:f>(AC373-(60*Ventas!AE383*1.1350))</x:f>
      </x:c>
      <x:c r="AG373" s="43">
        <x:f>(AF373/(Ventas!AE383*1.1350)/40)</x:f>
      </x:c>
      <x:c r="AH373" s="7" t="s">
        <x:v>34</x:v>
      </x:c>
    </x:row>
    <x:row r="374">
      <x:c r="A374" s="7"/>
      <x:c r="B374" s="7" t="s">
        <x:v>864</x:v>
      </x:c>
      <x:c r="C374" s="38" t="s">
        <x:v>863</x:v>
      </x:c>
      <x:c r="D374" s="25">
        <x:v>41</x:v>
      </x:c>
      <x:c r="E374" s="39">
        <x:v>46230</x:v>
      </x:c>
      <x:c r="F374" s="40">
        <x:v>5</x:v>
      </x:c>
      <x:c r="G374" s="41">
        <x:f>(D374-(0)+0-(F374*Ventas!AE384*1.0000))</x:f>
      </x:c>
      <x:c r="H374" s="43">
        <x:f>(G374/(Ventas!AE384*1.0000)/40)</x:f>
      </x:c>
      <x:c r="I374" s="25">
        <x:v>0</x:v>
      </x:c>
      <x:c r="J374" s="41">
        <x:f>IF(G374&gt;0,G374+I374,I374)</x:f>
      </x:c>
      <x:c r="K374" s="9"/>
      <x:c r="L374" s="9"/>
      <x:c r="M374" s="9"/>
      <x:c r="N374" s="39">
        <x:v>46275</x:v>
      </x:c>
      <x:c r="O374" s="40">
        <x:v>45</x:v>
      </x:c>
      <x:c r="P374" s="41">
        <x:f>(IF(G374&gt;0,G374+I374,I374)-(O374*Ventas!AE384*1.0000))</x:f>
      </x:c>
      <x:c r="Q374" s="43">
        <x:f>(P374/(Ventas!AE384*1.0000)/40)</x:f>
      </x:c>
      <x:c r="R374" s="25">
        <x:v>0</x:v>
      </x:c>
      <x:c r="S374" s="41">
        <x:f>IF(P374&gt;0,P374+R374,R374)</x:f>
      </x:c>
      <x:c r="T374" s="9"/>
      <x:c r="U374" s="41">
        <x:v>1</x:v>
      </x:c>
      <x:c r="V374" s="45">
        <x:v>0.054</x:v>
      </x:c>
      <x:c r="W374" s="39">
        <x:v>46331</x:v>
      </x:c>
      <x:c r="X374" s="40">
        <x:v>56</x:v>
      </x:c>
      <x:c r="Y374" s="41">
        <x:f>(IF(P374&gt;0,P374+R374,R374)-(X374*Ventas!AE384*1.0000))</x:f>
      </x:c>
      <x:c r="Z374" s="43">
        <x:f>(Y374/(Ventas!AE384*1.0000)/40)</x:f>
      </x:c>
      <x:c r="AA374" s="41">
        <x:f>(100*(Ventas!AE384*1.1350) - IF(Y374&gt;0,Y374,0))</x:f>
      </x:c>
      <x:c r="AB374" s="41">
        <x:f>IF(AA374&gt;0,AA374,0)</x:f>
      </x:c>
      <x:c r="AC374" s="41">
        <x:f>IF(Y374&gt;0,Y374+IF(AB374&gt;0,AB374,0),AB374)</x:f>
      </x:c>
      <x:c r="AD374" s="9"/>
      <x:c r="AE374" s="9"/>
      <x:c r="AF374" s="41">
        <x:f>(AC374-(60*Ventas!AE384*1.1350))</x:f>
      </x:c>
      <x:c r="AG374" s="43">
        <x:f>(AF374/(Ventas!AE384*1.1350)/40)</x:f>
      </x:c>
      <x:c r="AH374" s="7" t="s">
        <x:v>34</x:v>
      </x:c>
    </x:row>
    <x:row r="375">
      <x:c r="A375" s="7"/>
      <x:c r="B375" s="7" t="s">
        <x:v>866</x:v>
      </x:c>
      <x:c r="C375" s="38" t="s">
        <x:v>865</x:v>
      </x:c>
      <x:c r="D375" s="9"/>
      <x:c r="E375" s="39">
        <x:v>46230</x:v>
      </x:c>
      <x:c r="F375" s="40">
        <x:v>5</x:v>
      </x:c>
      <x:c r="G375" s="41">
        <x:f>(D375-(0)+0-(F375*Ventas!AE385*1.1000))</x:f>
      </x:c>
      <x:c r="H375" s="9"/>
      <x:c r="I375" s="25">
        <x:v>0</x:v>
      </x:c>
      <x:c r="J375" s="41">
        <x:f>IF(G375&gt;0,G375+I375,I375)</x:f>
      </x:c>
      <x:c r="K375" s="9"/>
      <x:c r="L375" s="9"/>
      <x:c r="M375" s="9"/>
      <x:c r="N375" s="39">
        <x:v>46275</x:v>
      </x:c>
      <x:c r="O375" s="40">
        <x:v>45</x:v>
      </x:c>
      <x:c r="P375" s="41">
        <x:f>(IF(G375&gt;0,G375+I375,I375)-(O375*Ventas!AE385*1.0456))</x:f>
      </x:c>
      <x:c r="Q375" s="9"/>
      <x:c r="R375" s="25">
        <x:v>0</x:v>
      </x:c>
      <x:c r="S375" s="41">
        <x:f>IF(P375&gt;0,P375+R375,R375)</x:f>
      </x:c>
      <x:c r="T375" s="9"/>
      <x:c r="U375" s="9"/>
      <x:c r="V375" s="9"/>
      <x:c r="W375" s="39">
        <x:v>46331</x:v>
      </x:c>
      <x:c r="X375" s="40">
        <x:v>56</x:v>
      </x:c>
      <x:c r="Y375" s="41">
        <x:f>(IF(P375&gt;0,P375+R375,R375)-(X375*Ventas!AE385*0.9018))</x:f>
      </x:c>
      <x:c r="Z375" s="9"/>
      <x:c r="AA375" s="41">
        <x:f>(100*(Ventas!AE385*1.3250) - IF(Y375&gt;0,Y375,0))</x:f>
      </x:c>
      <x:c r="AB375" s="41">
        <x:f>IF(AA375&gt;0,AA375,0)</x:f>
      </x:c>
      <x:c r="AC375" s="41">
        <x:f>IF(Y375&gt;0,Y375+IF(AB375&gt;0,AB375,0),AB375)</x:f>
      </x:c>
      <x:c r="AD375" s="46">
        <x:v>33.9</x:v>
      </x:c>
      <x:c r="AE375" s="25">
        <x:v>3027</x:v>
      </x:c>
      <x:c r="AF375" s="9"/>
      <x:c r="AG375" s="9"/>
      <x:c r="AH375" s="7" t="s">
        <x:v>107</x:v>
      </x:c>
    </x:row>
    <x:row r="376">
      <x:c r="A376" s="7"/>
      <x:c r="B376" s="7" t="s">
        <x:v>868</x:v>
      </x:c>
      <x:c r="C376" s="38" t="s">
        <x:v>867</x:v>
      </x:c>
      <x:c r="D376" s="9"/>
      <x:c r="E376" s="39">
        <x:v>46230</x:v>
      </x:c>
      <x:c r="F376" s="40">
        <x:v>5</x:v>
      </x:c>
      <x:c r="G376" s="41">
        <x:f>(D376-(0)+0-(F376*Ventas!AE386*1.1000))</x:f>
      </x:c>
      <x:c r="H376" s="9"/>
      <x:c r="I376" s="25">
        <x:v>0</x:v>
      </x:c>
      <x:c r="J376" s="41">
        <x:f>IF(G376&gt;0,G376+I376,I376)</x:f>
      </x:c>
      <x:c r="K376" s="9"/>
      <x:c r="L376" s="9"/>
      <x:c r="M376" s="9"/>
      <x:c r="N376" s="39">
        <x:v>46275</x:v>
      </x:c>
      <x:c r="O376" s="40">
        <x:v>45</x:v>
      </x:c>
      <x:c r="P376" s="41">
        <x:f>(IF(G376&gt;0,G376+I376,I376)-(O376*Ventas!AE386*1.0456))</x:f>
      </x:c>
      <x:c r="Q376" s="9"/>
      <x:c r="R376" s="25">
        <x:v>0</x:v>
      </x:c>
      <x:c r="S376" s="41">
        <x:f>IF(P376&gt;0,P376+R376,R376)</x:f>
      </x:c>
      <x:c r="T376" s="9"/>
      <x:c r="U376" s="9"/>
      <x:c r="V376" s="9"/>
      <x:c r="W376" s="39">
        <x:v>46331</x:v>
      </x:c>
      <x:c r="X376" s="40">
        <x:v>56</x:v>
      </x:c>
      <x:c r="Y376" s="41">
        <x:f>(IF(P376&gt;0,P376+R376,R376)-(X376*Ventas!AE386*0.9018))</x:f>
      </x:c>
      <x:c r="Z376" s="9"/>
      <x:c r="AA376" s="41">
        <x:f>(100*(Ventas!AE386*1.3250) - IF(Y376&gt;0,Y376,0))</x:f>
      </x:c>
      <x:c r="AB376" s="41">
        <x:f>IF(AA376&gt;0,AA376,0)</x:f>
      </x:c>
      <x:c r="AC376" s="41">
        <x:f>IF(Y376&gt;0,Y376+IF(AB376&gt;0,AB376,0),AB376)</x:f>
      </x:c>
      <x:c r="AD376" s="46">
        <x:v>104.9</x:v>
      </x:c>
      <x:c r="AE376" s="25">
        <x:v>3027</x:v>
      </x:c>
      <x:c r="AF376" s="9"/>
      <x:c r="AG376" s="9"/>
      <x:c r="AH376" s="7" t="s">
        <x:v>107</x:v>
      </x:c>
    </x:row>
    <x:row r="377">
      <x:c r="A377" s="7"/>
      <x:c r="B377" s="7" t="s">
        <x:v>870</x:v>
      </x:c>
      <x:c r="C377" s="38" t="s">
        <x:v>869</x:v>
      </x:c>
      <x:c r="D377" s="9"/>
      <x:c r="E377" s="39">
        <x:v>46230</x:v>
      </x:c>
      <x:c r="F377" s="40">
        <x:v>5</x:v>
      </x:c>
      <x:c r="G377" s="41">
        <x:f>(D377-(0)+0-(F377*Ventas!AE387*1.1000))</x:f>
      </x:c>
      <x:c r="H377" s="9"/>
      <x:c r="I377" s="25">
        <x:v>0</x:v>
      </x:c>
      <x:c r="J377" s="41">
        <x:f>IF(G377&gt;0,G377+I377,I377)</x:f>
      </x:c>
      <x:c r="K377" s="9"/>
      <x:c r="L377" s="9"/>
      <x:c r="M377" s="9"/>
      <x:c r="N377" s="39">
        <x:v>46275</x:v>
      </x:c>
      <x:c r="O377" s="40">
        <x:v>45</x:v>
      </x:c>
      <x:c r="P377" s="41">
        <x:f>(IF(G377&gt;0,G377+I377,I377)-(O377*Ventas!AE387*1.0456))</x:f>
      </x:c>
      <x:c r="Q377" s="9"/>
      <x:c r="R377" s="25">
        <x:v>0</x:v>
      </x:c>
      <x:c r="S377" s="41">
        <x:f>IF(P377&gt;0,P377+R377,R377)</x:f>
      </x:c>
      <x:c r="T377" s="9"/>
      <x:c r="U377" s="9"/>
      <x:c r="V377" s="9"/>
      <x:c r="W377" s="39">
        <x:v>46331</x:v>
      </x:c>
      <x:c r="X377" s="40">
        <x:v>56</x:v>
      </x:c>
      <x:c r="Y377" s="41">
        <x:f>(IF(P377&gt;0,P377+R377,R377)-(X377*Ventas!AE387*0.9018))</x:f>
      </x:c>
      <x:c r="Z377" s="9"/>
      <x:c r="AA377" s="41">
        <x:f>(100*(Ventas!AE387*1.3250) - IF(Y377&gt;0,Y377,0))</x:f>
      </x:c>
      <x:c r="AB377" s="41">
        <x:f>IF(AA377&gt;0,AA377,0)</x:f>
      </x:c>
      <x:c r="AC377" s="41">
        <x:f>IF(Y377&gt;0,Y377+IF(AB377&gt;0,AB377,0),AB377)</x:f>
      </x:c>
      <x:c r="AD377" s="9"/>
      <x:c r="AE377" s="9"/>
      <x:c r="AF377" s="9"/>
      <x:c r="AG377" s="9"/>
      <x:c r="AH377" s="7" t="s">
        <x:v>34</x:v>
      </x:c>
    </x:row>
    <x:row r="378">
      <x:c r="A378" s="7"/>
      <x:c r="B378" s="7" t="s">
        <x:v>872</x:v>
      </x:c>
      <x:c r="C378" s="38" t="s">
        <x:v>871</x:v>
      </x:c>
      <x:c r="D378" s="9"/>
      <x:c r="E378" s="39">
        <x:v>46230</x:v>
      </x:c>
      <x:c r="F378" s="40">
        <x:v>5</x:v>
      </x:c>
      <x:c r="G378" s="41">
        <x:f>(D378-(0)+0-(F378*Ventas!AE388*1.1000))</x:f>
      </x:c>
      <x:c r="H378" s="9"/>
      <x:c r="I378" s="25">
        <x:v>0</x:v>
      </x:c>
      <x:c r="J378" s="41">
        <x:f>IF(G378&gt;0,G378+I378,I378)</x:f>
      </x:c>
      <x:c r="K378" s="9"/>
      <x:c r="L378" s="9"/>
      <x:c r="M378" s="9"/>
      <x:c r="N378" s="39">
        <x:v>46275</x:v>
      </x:c>
      <x:c r="O378" s="40">
        <x:v>45</x:v>
      </x:c>
      <x:c r="P378" s="41">
        <x:f>(IF(G378&gt;0,G378+I378,I378)-(O378*Ventas!AE388*1.0456))</x:f>
      </x:c>
      <x:c r="Q378" s="9"/>
      <x:c r="R378" s="25">
        <x:v>0</x:v>
      </x:c>
      <x:c r="S378" s="41">
        <x:f>IF(P378&gt;0,P378+R378,R378)</x:f>
      </x:c>
      <x:c r="T378" s="9"/>
      <x:c r="U378" s="9"/>
      <x:c r="V378" s="9"/>
      <x:c r="W378" s="39">
        <x:v>46331</x:v>
      </x:c>
      <x:c r="X378" s="40">
        <x:v>56</x:v>
      </x:c>
      <x:c r="Y378" s="41">
        <x:f>(IF(P378&gt;0,P378+R378,R378)-(X378*Ventas!AE388*0.9018))</x:f>
      </x:c>
      <x:c r="Z378" s="9"/>
      <x:c r="AA378" s="41">
        <x:f>(100*(Ventas!AE388*1.3250) - IF(Y378&gt;0,Y378,0))</x:f>
      </x:c>
      <x:c r="AB378" s="41">
        <x:f>IF(AA378&gt;0,AA378,0)</x:f>
      </x:c>
      <x:c r="AC378" s="41">
        <x:f>IF(Y378&gt;0,Y378+IF(AB378&gt;0,AB378,0),AB378)</x:f>
      </x:c>
      <x:c r="AD378" s="46">
        <x:v>53.4</x:v>
      </x:c>
      <x:c r="AE378" s="25">
        <x:v>3027</x:v>
      </x:c>
      <x:c r="AF378" s="9"/>
      <x:c r="AG378" s="9"/>
      <x:c r="AH378" s="7" t="s">
        <x:v>107</x:v>
      </x:c>
    </x:row>
    <x:row r="379">
      <x:c r="A379" s="7"/>
      <x:c r="B379" s="7" t="s">
        <x:v>874</x:v>
      </x:c>
      <x:c r="C379" s="38" t="s">
        <x:v>873</x:v>
      </x:c>
      <x:c r="D379" s="9"/>
      <x:c r="E379" s="39">
        <x:v>46230</x:v>
      </x:c>
      <x:c r="F379" s="40">
        <x:v>5</x:v>
      </x:c>
      <x:c r="G379" s="41">
        <x:f>(D379-(0)+0-(F379*Ventas!AE389*1.1000))</x:f>
      </x:c>
      <x:c r="H379" s="9"/>
      <x:c r="I379" s="25">
        <x:v>0</x:v>
      </x:c>
      <x:c r="J379" s="41">
        <x:f>IF(G379&gt;0,G379+I379,I379)</x:f>
      </x:c>
      <x:c r="K379" s="9"/>
      <x:c r="L379" s="41">
        <x:v>1</x:v>
      </x:c>
      <x:c r="M379" s="45">
        <x:v>0.235</x:v>
      </x:c>
      <x:c r="N379" s="39">
        <x:v>46275</x:v>
      </x:c>
      <x:c r="O379" s="40">
        <x:v>45</x:v>
      </x:c>
      <x:c r="P379" s="41">
        <x:f>(IF(G379&gt;0,G379+I379,I379)-(O379*Ventas!AE389*1.0456))</x:f>
      </x:c>
      <x:c r="Q379" s="9"/>
      <x:c r="R379" s="25">
        <x:v>0</x:v>
      </x:c>
      <x:c r="S379" s="41">
        <x:f>IF(P379&gt;0,P379+R379,R379)</x:f>
      </x:c>
      <x:c r="T379" s="9"/>
      <x:c r="U379" s="41">
        <x:v>1</x:v>
      </x:c>
      <x:c r="V379" s="45">
        <x:v>0.235</x:v>
      </x:c>
      <x:c r="W379" s="39">
        <x:v>46331</x:v>
      </x:c>
      <x:c r="X379" s="40">
        <x:v>56</x:v>
      </x:c>
      <x:c r="Y379" s="41">
        <x:f>(IF(P379&gt;0,P379+R379,R379)-(X379*Ventas!AE389*0.9018))</x:f>
      </x:c>
      <x:c r="Z379" s="9"/>
      <x:c r="AA379" s="41">
        <x:f>(100*(Ventas!AE389*1.3250) - IF(Y379&gt;0,Y379,0))</x:f>
      </x:c>
      <x:c r="AB379" s="41">
        <x:f>IF(AA379&gt;0,AA379,0)</x:f>
      </x:c>
      <x:c r="AC379" s="41">
        <x:f>IF(Y379&gt;0,Y379+IF(AB379&gt;0,AB379,0),AB379)</x:f>
      </x:c>
      <x:c r="AD379" s="9"/>
      <x:c r="AE379" s="9"/>
      <x:c r="AF379" s="9"/>
      <x:c r="AG379" s="9"/>
      <x:c r="AH379" s="7" t="s">
        <x:v>34</x:v>
      </x:c>
    </x:row>
    <x:row r="380">
      <x:c r="A380" s="7" t="s">
        <x:v>877</x:v>
      </x:c>
      <x:c r="B380" s="7" t="s">
        <x:v>876</x:v>
      </x:c>
      <x:c r="C380" s="38" t="s">
        <x:v>875</x:v>
      </x:c>
      <x:c r="D380" s="25">
        <x:v>1</x:v>
      </x:c>
      <x:c r="E380" s="39">
        <x:v>46230</x:v>
      </x:c>
      <x:c r="F380" s="40">
        <x:v>5</x:v>
      </x:c>
      <x:c r="G380" s="41">
        <x:f>(D380-(0)+0-(F380*Ventas!AE390*1.1000))</x:f>
      </x:c>
      <x:c r="H380" s="43">
        <x:f>(G380/(Ventas!AE390*1.1000)/45)</x:f>
      </x:c>
      <x:c r="I380" s="25">
        <x:v>0</x:v>
      </x:c>
      <x:c r="J380" s="41">
        <x:f>IF(G380&gt;0,G380+I380,I380)</x:f>
      </x:c>
      <x:c r="K380" s="9"/>
      <x:c r="L380" s="41">
        <x:v>1</x:v>
      </x:c>
      <x:c r="M380" s="45">
        <x:v>0.128588</x:v>
      </x:c>
      <x:c r="N380" s="39">
        <x:v>46275</x:v>
      </x:c>
      <x:c r="O380" s="40">
        <x:v>45</x:v>
      </x:c>
      <x:c r="P380" s="41">
        <x:f>(IF(G380&gt;0,G380+I380,I380)-(O380*Ventas!AE390*1.0456))</x:f>
      </x:c>
      <x:c r="Q380" s="43">
        <x:f>(P380/(Ventas!AE390*1.0456)/45)</x:f>
      </x:c>
      <x:c r="R380" s="25">
        <x:v>0</x:v>
      </x:c>
      <x:c r="S380" s="41">
        <x:f>IF(P380&gt;0,P380+R380,R380)</x:f>
      </x:c>
      <x:c r="T380" s="9"/>
      <x:c r="U380" s="41">
        <x:v>1</x:v>
      </x:c>
      <x:c r="V380" s="45">
        <x:v>0.126</x:v>
      </x:c>
      <x:c r="W380" s="39">
        <x:v>46331</x:v>
      </x:c>
      <x:c r="X380" s="40">
        <x:v>56</x:v>
      </x:c>
      <x:c r="Y380" s="41">
        <x:f>(IF(P380&gt;0,P380+R380,R380)-(X380*Ventas!AE390*0.9018))</x:f>
      </x:c>
      <x:c r="Z380" s="43">
        <x:f>(Y380/(Ventas!AE390*0.9018)/45)</x:f>
      </x:c>
      <x:c r="AA380" s="41">
        <x:f>(100*(Ventas!AE390*1.3250) - IF(Y380&gt;0,Y380,0))</x:f>
      </x:c>
      <x:c r="AB380" s="41">
        <x:f>IF(AA380&gt;0,AA380,0)</x:f>
      </x:c>
      <x:c r="AC380" s="41">
        <x:f>IF(Y380&gt;0,Y380+IF(AB380&gt;0,AB380,0),AB380)</x:f>
      </x:c>
      <x:c r="AD380" s="46">
        <x:v>53.9</x:v>
      </x:c>
      <x:c r="AE380" s="25">
        <x:v>3010</x:v>
      </x:c>
      <x:c r="AF380" s="41">
        <x:f>(AC380-(60*Ventas!AE390*1.3250))</x:f>
      </x:c>
      <x:c r="AG380" s="43">
        <x:f>(AF380/(Ventas!AE390*1.3250)/45)</x:f>
      </x:c>
      <x:c r="AH380" s="7" t="s">
        <x:v>34</x:v>
      </x:c>
    </x:row>
    <x:row r="381">
      <x:c r="A381" s="7" t="s">
        <x:v>880</x:v>
      </x:c>
      <x:c r="B381" s="7" t="s">
        <x:v>879</x:v>
      </x:c>
      <x:c r="C381" s="38" t="s">
        <x:v>878</x:v>
      </x:c>
      <x:c r="D381" s="25">
        <x:v>18</x:v>
      </x:c>
      <x:c r="E381" s="39">
        <x:v>46230</x:v>
      </x:c>
      <x:c r="F381" s="40">
        <x:v>5</x:v>
      </x:c>
      <x:c r="G381" s="41">
        <x:f>(D381-(0)+0-(F381*Ventas!AE391*1.1000))</x:f>
      </x:c>
      <x:c r="H381" s="43">
        <x:f>(G381/(Ventas!AE391*1.1000)/45)</x:f>
      </x:c>
      <x:c r="I381" s="25">
        <x:v>0</x:v>
      </x:c>
      <x:c r="J381" s="41">
        <x:f>IF(G381&gt;0,G381+I381,I381)</x:f>
      </x:c>
      <x:c r="K381" s="9"/>
      <x:c r="L381" s="41">
        <x:v>1</x:v>
      </x:c>
      <x:c r="M381" s="45">
        <x:v>0.119133</x:v>
      </x:c>
      <x:c r="N381" s="39">
        <x:v>46275</x:v>
      </x:c>
      <x:c r="O381" s="40">
        <x:v>45</x:v>
      </x:c>
      <x:c r="P381" s="41">
        <x:f>(IF(G381&gt;0,G381+I381,I381)-(O381*Ventas!AE391*1.0456))</x:f>
      </x:c>
      <x:c r="Q381" s="43">
        <x:f>(P381/(Ventas!AE391*1.0456)/45)</x:f>
      </x:c>
      <x:c r="R381" s="25">
        <x:v>0</x:v>
      </x:c>
      <x:c r="S381" s="41">
        <x:f>IF(P381&gt;0,P381+R381,R381)</x:f>
      </x:c>
      <x:c r="T381" s="9"/>
      <x:c r="U381" s="41">
        <x:v>1</x:v>
      </x:c>
      <x:c r="V381" s="45">
        <x:v>0.126</x:v>
      </x:c>
      <x:c r="W381" s="39">
        <x:v>46331</x:v>
      </x:c>
      <x:c r="X381" s="40">
        <x:v>56</x:v>
      </x:c>
      <x:c r="Y381" s="41">
        <x:f>(IF(P381&gt;0,P381+R381,R381)-(X381*Ventas!AE391*0.9018))</x:f>
      </x:c>
      <x:c r="Z381" s="43">
        <x:f>(Y381/(Ventas!AE391*0.9018)/45)</x:f>
      </x:c>
      <x:c r="AA381" s="41">
        <x:f>(100*(Ventas!AE391*1.3250) - IF(Y381&gt;0,Y381,0))</x:f>
      </x:c>
      <x:c r="AB381" s="41">
        <x:f>IF(AA381&gt;0,AA381,0)</x:f>
      </x:c>
      <x:c r="AC381" s="41">
        <x:f>IF(Y381&gt;0,Y381+IF(AB381&gt;0,AB381,0),AB381)</x:f>
      </x:c>
      <x:c r="AD381" s="46">
        <x:v>53.9</x:v>
      </x:c>
      <x:c r="AE381" s="25">
        <x:v>3025</x:v>
      </x:c>
      <x:c r="AF381" s="41">
        <x:f>(AC381-(60*Ventas!AE391*1.3250))</x:f>
      </x:c>
      <x:c r="AG381" s="43">
        <x:f>(AF381/(Ventas!AE391*1.3250)/45)</x:f>
      </x:c>
      <x:c r="AH381" s="7" t="s">
        <x:v>34</x:v>
      </x:c>
    </x:row>
    <x:row r="382">
      <x:c r="A382" s="7" t="s">
        <x:v>883</x:v>
      </x:c>
      <x:c r="B382" s="7" t="s">
        <x:v>882</x:v>
      </x:c>
      <x:c r="C382" s="38" t="s">
        <x:v>881</x:v>
      </x:c>
      <x:c r="D382" s="9"/>
      <x:c r="E382" s="39">
        <x:v>46230</x:v>
      </x:c>
      <x:c r="F382" s="40">
        <x:v>5</x:v>
      </x:c>
      <x:c r="G382" s="41">
        <x:f>(D382-(0)+0-(F382*Ventas!AE392*1.1000))</x:f>
      </x:c>
      <x:c r="H382" s="9"/>
      <x:c r="I382" s="25">
        <x:v>0</x:v>
      </x:c>
      <x:c r="J382" s="41">
        <x:f>IF(G382&gt;0,G382+I382,I382)</x:f>
      </x:c>
      <x:c r="K382" s="9"/>
      <x:c r="L382" s="41">
        <x:v>1</x:v>
      </x:c>
      <x:c r="M382" s="45">
        <x:v>0.119133</x:v>
      </x:c>
      <x:c r="N382" s="39">
        <x:v>46275</x:v>
      </x:c>
      <x:c r="O382" s="40">
        <x:v>45</x:v>
      </x:c>
      <x:c r="P382" s="41">
        <x:f>(IF(G382&gt;0,G382+I382,I382)-(O382*Ventas!AE392*1.0456))</x:f>
      </x:c>
      <x:c r="Q382" s="9"/>
      <x:c r="R382" s="25">
        <x:v>0</x:v>
      </x:c>
      <x:c r="S382" s="41">
        <x:f>IF(P382&gt;0,P382+R382,R382)</x:f>
      </x:c>
      <x:c r="T382" s="9"/>
      <x:c r="U382" s="41">
        <x:v>1</x:v>
      </x:c>
      <x:c r="V382" s="45">
        <x:v>0.126</x:v>
      </x:c>
      <x:c r="W382" s="39">
        <x:v>46331</x:v>
      </x:c>
      <x:c r="X382" s="40">
        <x:v>56</x:v>
      </x:c>
      <x:c r="Y382" s="41">
        <x:f>(IF(P382&gt;0,P382+R382,R382)-(X382*Ventas!AE392*0.9018))</x:f>
      </x:c>
      <x:c r="Z382" s="9"/>
      <x:c r="AA382" s="41">
        <x:f>(100*(Ventas!AE392*1.3250) - IF(Y382&gt;0,Y382,0))</x:f>
      </x:c>
      <x:c r="AB382" s="41">
        <x:f>IF(AA382&gt;0,AA382,0)</x:f>
      </x:c>
      <x:c r="AC382" s="41">
        <x:f>IF(Y382&gt;0,Y382+IF(AB382&gt;0,AB382,0),AB382)</x:f>
      </x:c>
      <x:c r="AD382" s="46">
        <x:v>54.7</x:v>
      </x:c>
      <x:c r="AE382" s="25">
        <x:v>3025</x:v>
      </x:c>
      <x:c r="AF382" s="9"/>
      <x:c r="AG382" s="9"/>
      <x:c r="AH382" s="7" t="s">
        <x:v>34</x:v>
      </x:c>
    </x:row>
    <x:row r="383">
      <x:c r="A383" s="7" t="s">
        <x:v>886</x:v>
      </x:c>
      <x:c r="B383" s="7" t="s">
        <x:v>885</x:v>
      </x:c>
      <x:c r="C383" s="38" t="s">
        <x:v>884</x:v>
      </x:c>
      <x:c r="D383" s="25">
        <x:v>64</x:v>
      </x:c>
      <x:c r="E383" s="39">
        <x:v>46230</x:v>
      </x:c>
      <x:c r="F383" s="40">
        <x:v>5</x:v>
      </x:c>
      <x:c r="G383" s="41">
        <x:f>(D383-(0)+0-(F383*Ventas!AE393*1.1000))</x:f>
      </x:c>
      <x:c r="H383" s="43">
        <x:f>(G383/(Ventas!AE393*1.1000)/45)</x:f>
      </x:c>
      <x:c r="I383" s="25">
        <x:v>0</x:v>
      </x:c>
      <x:c r="J383" s="41">
        <x:f>IF(G383&gt;0,G383+I383,I383)</x:f>
      </x:c>
      <x:c r="K383" s="9"/>
      <x:c r="L383" s="41">
        <x:v>1</x:v>
      </x:c>
      <x:c r="M383" s="45">
        <x:v>0.128588</x:v>
      </x:c>
      <x:c r="N383" s="39">
        <x:v>46275</x:v>
      </x:c>
      <x:c r="O383" s="40">
        <x:v>45</x:v>
      </x:c>
      <x:c r="P383" s="41">
        <x:f>(IF(G383&gt;0,G383+I383,I383)-(O383*Ventas!AE393*1.0456))</x:f>
      </x:c>
      <x:c r="Q383" s="43">
        <x:f>(P383/(Ventas!AE393*1.0456)/45)</x:f>
      </x:c>
      <x:c r="R383" s="25">
        <x:v>0</x:v>
      </x:c>
      <x:c r="S383" s="41">
        <x:f>IF(P383&gt;0,P383+R383,R383)</x:f>
      </x:c>
      <x:c r="T383" s="9"/>
      <x:c r="U383" s="41">
        <x:v>1</x:v>
      </x:c>
      <x:c r="V383" s="45">
        <x:v>0.126</x:v>
      </x:c>
      <x:c r="W383" s="39">
        <x:v>46331</x:v>
      </x:c>
      <x:c r="X383" s="40">
        <x:v>56</x:v>
      </x:c>
      <x:c r="Y383" s="41">
        <x:f>(IF(P383&gt;0,P383+R383,R383)-(X383*Ventas!AE393*0.9018))</x:f>
      </x:c>
      <x:c r="Z383" s="43">
        <x:f>(Y383/(Ventas!AE393*0.9018)/45)</x:f>
      </x:c>
      <x:c r="AA383" s="41">
        <x:f>(100*(Ventas!AE393*1.3250) - IF(Y383&gt;0,Y383,0))</x:f>
      </x:c>
      <x:c r="AB383" s="41">
        <x:f>IF(AA383&gt;0,AA383,0)</x:f>
      </x:c>
      <x:c r="AC383" s="41">
        <x:f>IF(Y383&gt;0,Y383+IF(AB383&gt;0,AB383,0),AB383)</x:f>
      </x:c>
      <x:c r="AD383" s="46">
        <x:v>41.5</x:v>
      </x:c>
      <x:c r="AE383" s="25">
        <x:v>3027</x:v>
      </x:c>
      <x:c r="AF383" s="41">
        <x:f>(AC383-(60*Ventas!AE393*1.3250))</x:f>
      </x:c>
      <x:c r="AG383" s="43">
        <x:f>(AF383/(Ventas!AE393*1.3250)/45)</x:f>
      </x:c>
      <x:c r="AH383" s="7" t="s">
        <x:v>34</x:v>
      </x:c>
    </x:row>
    <x:row r="384">
      <x:c r="A384" s="7"/>
      <x:c r="B384" s="7" t="s">
        <x:v>888</x:v>
      </x:c>
      <x:c r="C384" s="38" t="s">
        <x:v>887</x:v>
      </x:c>
      <x:c r="D384" s="9"/>
      <x:c r="E384" s="39">
        <x:v>46230</x:v>
      </x:c>
      <x:c r="F384" s="40">
        <x:v>5</x:v>
      </x:c>
      <x:c r="G384" s="41">
        <x:f>(D384-(0)+0-(F384*Ventas!AE394*1.1000))</x:f>
      </x:c>
      <x:c r="H384" s="9"/>
      <x:c r="I384" s="25">
        <x:v>0</x:v>
      </x:c>
      <x:c r="J384" s="41">
        <x:f>IF(G384&gt;0,G384+I384,I384)</x:f>
      </x:c>
      <x:c r="K384" s="9"/>
      <x:c r="L384" s="9"/>
      <x:c r="M384" s="9"/>
      <x:c r="N384" s="39">
        <x:v>46275</x:v>
      </x:c>
      <x:c r="O384" s="40">
        <x:v>45</x:v>
      </x:c>
      <x:c r="P384" s="41">
        <x:f>(IF(G384&gt;0,G384+I384,I384)-(O384*Ventas!AE394*1.0456))</x:f>
      </x:c>
      <x:c r="Q384" s="9"/>
      <x:c r="R384" s="25">
        <x:v>0</x:v>
      </x:c>
      <x:c r="S384" s="41">
        <x:f>IF(P384&gt;0,P384+R384,R384)</x:f>
      </x:c>
      <x:c r="T384" s="9"/>
      <x:c r="U384" s="9"/>
      <x:c r="V384" s="9"/>
      <x:c r="W384" s="39">
        <x:v>46331</x:v>
      </x:c>
      <x:c r="X384" s="40">
        <x:v>56</x:v>
      </x:c>
      <x:c r="Y384" s="41">
        <x:f>(IF(P384&gt;0,P384+R384,R384)-(X384*Ventas!AE394*0.9018))</x:f>
      </x:c>
      <x:c r="Z384" s="9"/>
      <x:c r="AA384" s="41">
        <x:f>(100*(Ventas!AE394*1.3250) - IF(Y384&gt;0,Y384,0))</x:f>
      </x:c>
      <x:c r="AB384" s="41">
        <x:f>IF(AA384&gt;0,AA384,0)</x:f>
      </x:c>
      <x:c r="AC384" s="41">
        <x:f>IF(Y384&gt;0,Y384+IF(AB384&gt;0,AB384,0),AB384)</x:f>
      </x:c>
      <x:c r="AD384" s="9"/>
      <x:c r="AE384" s="9"/>
      <x:c r="AF384" s="9"/>
      <x:c r="AG384" s="9"/>
      <x:c r="AH384" s="7" t="s">
        <x:v>34</x:v>
      </x:c>
    </x:row>
    <x:row r="385">
      <x:c r="A385" s="7"/>
      <x:c r="B385" s="7" t="s">
        <x:v>890</x:v>
      </x:c>
      <x:c r="C385" s="38" t="s">
        <x:v>889</x:v>
      </x:c>
      <x:c r="D385" s="25">
        <x:v>20</x:v>
      </x:c>
      <x:c r="E385" s="39">
        <x:v>46230</x:v>
      </x:c>
      <x:c r="F385" s="40">
        <x:v>5</x:v>
      </x:c>
      <x:c r="G385" s="41">
        <x:f>(D385-(0)+0-(F385*Ventas!AE395*1.1000))</x:f>
      </x:c>
      <x:c r="H385" s="43">
        <x:f>(G385/(Ventas!AE395*1.1000)/45)</x:f>
      </x:c>
      <x:c r="I385" s="25">
        <x:v>0</x:v>
      </x:c>
      <x:c r="J385" s="41">
        <x:f>IF(G385&gt;0,G385+I385,I385)</x:f>
      </x:c>
      <x:c r="K385" s="9"/>
      <x:c r="L385" s="41">
        <x:v>1</x:v>
      </x:c>
      <x:c r="M385" s="45">
        <x:v>0.126</x:v>
      </x:c>
      <x:c r="N385" s="39">
        <x:v>46275</x:v>
      </x:c>
      <x:c r="O385" s="40">
        <x:v>45</x:v>
      </x:c>
      <x:c r="P385" s="41">
        <x:f>(IF(G385&gt;0,G385+I385,I385)-(O385*Ventas!AE395*1.0456))</x:f>
      </x:c>
      <x:c r="Q385" s="43">
        <x:f>(P385/(Ventas!AE395*1.0456)/45)</x:f>
      </x:c>
      <x:c r="R385" s="25">
        <x:v>0</x:v>
      </x:c>
      <x:c r="S385" s="41">
        <x:f>IF(P385&gt;0,P385+R385,R385)</x:f>
      </x:c>
      <x:c r="T385" s="9"/>
      <x:c r="U385" s="41">
        <x:v>1</x:v>
      </x:c>
      <x:c r="V385" s="45">
        <x:v>0.126</x:v>
      </x:c>
      <x:c r="W385" s="39">
        <x:v>46331</x:v>
      </x:c>
      <x:c r="X385" s="40">
        <x:v>56</x:v>
      </x:c>
      <x:c r="Y385" s="41">
        <x:f>(IF(P385&gt;0,P385+R385,R385)-(X385*Ventas!AE395*0.9018))</x:f>
      </x:c>
      <x:c r="Z385" s="43">
        <x:f>(Y385/(Ventas!AE395*0.9018)/45)</x:f>
      </x:c>
      <x:c r="AA385" s="41">
        <x:f>(100*(Ventas!AE395*1.3250) - IF(Y385&gt;0,Y385,0))</x:f>
      </x:c>
      <x:c r="AB385" s="41">
        <x:f>IF(AA385&gt;0,AA385,0)</x:f>
      </x:c>
      <x:c r="AC385" s="41">
        <x:f>IF(Y385&gt;0,Y385+IF(AB385&gt;0,AB385,0),AB385)</x:f>
      </x:c>
      <x:c r="AD385" s="46">
        <x:v>41.5</x:v>
      </x:c>
      <x:c r="AE385" s="25">
        <x:v>3027</x:v>
      </x:c>
      <x:c r="AF385" s="41">
        <x:f>(AC385-(60*Ventas!AE395*1.3250))</x:f>
      </x:c>
      <x:c r="AG385" s="43">
        <x:f>(AF385/(Ventas!AE395*1.3250)/45)</x:f>
      </x:c>
      <x:c r="AH385" s="7" t="s">
        <x:v>34</x:v>
      </x:c>
    </x:row>
    <x:row r="386">
      <x:c r="A386" s="7"/>
      <x:c r="B386" s="7" t="s">
        <x:v>892</x:v>
      </x:c>
      <x:c r="C386" s="38" t="s">
        <x:v>891</x:v>
      </x:c>
      <x:c r="D386" s="25">
        <x:v>3</x:v>
      </x:c>
      <x:c r="E386" s="39">
        <x:v>46230</x:v>
      </x:c>
      <x:c r="F386" s="40">
        <x:v>5</x:v>
      </x:c>
      <x:c r="G386" s="41">
        <x:f>(D386-(0)+0-(F386*Ventas!AE396*1.1000))</x:f>
      </x:c>
      <x:c r="H386" s="43">
        <x:f>(G386/(Ventas!AE396*1.1000)/45)</x:f>
      </x:c>
      <x:c r="I386" s="25">
        <x:v>3</x:v>
      </x:c>
      <x:c r="J386" s="41">
        <x:f>IF(G386&gt;0,G386+I386,I386)</x:f>
      </x:c>
      <x:c r="K386" s="41">
        <x:v>98.696</x:v>
      </x:c>
      <x:c r="L386" s="41">
        <x:v>1</x:v>
      </x:c>
      <x:c r="M386" s="45">
        <x:v>0.211</x:v>
      </x:c>
      <x:c r="N386" s="39">
        <x:v>46275</x:v>
      </x:c>
      <x:c r="O386" s="40">
        <x:v>45</x:v>
      </x:c>
      <x:c r="P386" s="41">
        <x:f>(IF(G386&gt;0,G386+I386,I386)-(O386*Ventas!AE396*1.0456))</x:f>
      </x:c>
      <x:c r="Q386" s="43">
        <x:f>(P386/(Ventas!AE396*1.0456)/45)</x:f>
      </x:c>
      <x:c r="R386" s="25">
        <x:v>0</x:v>
      </x:c>
      <x:c r="S386" s="41">
        <x:f>IF(P386&gt;0,P386+R386,R386)</x:f>
      </x:c>
      <x:c r="T386" s="9"/>
      <x:c r="U386" s="41">
        <x:v>1</x:v>
      </x:c>
      <x:c r="V386" s="45">
        <x:v>0.211</x:v>
      </x:c>
      <x:c r="W386" s="39">
        <x:v>46331</x:v>
      </x:c>
      <x:c r="X386" s="40">
        <x:v>56</x:v>
      </x:c>
      <x:c r="Y386" s="41">
        <x:f>(IF(P386&gt;0,P386+R386,R386)-(X386*Ventas!AE396*0.9018))</x:f>
      </x:c>
      <x:c r="Z386" s="43">
        <x:f>(Y386/(Ventas!AE396*0.9018)/45)</x:f>
      </x:c>
      <x:c r="AA386" s="41">
        <x:f>(100*(Ventas!AE396*1.3250) - IF(Y386&gt;0,Y386,0))</x:f>
      </x:c>
      <x:c r="AB386" s="41">
        <x:f>IF(AA386&gt;0,AA386,0)</x:f>
      </x:c>
      <x:c r="AC386" s="41">
        <x:f>IF(Y386&gt;0,Y386+IF(AB386&gt;0,AB386,0),AB386)</x:f>
      </x:c>
      <x:c r="AD386" s="46">
        <x:v>98.696</x:v>
      </x:c>
      <x:c r="AE386" s="25">
        <x:v>3027</x:v>
      </x:c>
      <x:c r="AF386" s="41">
        <x:f>(AC386-(60*Ventas!AE396*1.3250))</x:f>
      </x:c>
      <x:c r="AG386" s="43">
        <x:f>(AF386/(Ventas!AE396*1.3250)/45)</x:f>
      </x:c>
      <x:c r="AH386" s="7" t="s">
        <x:v>34</x:v>
      </x:c>
    </x:row>
    <x:row r="387">
      <x:c r="A387" s="7"/>
      <x:c r="B387" s="7" t="s">
        <x:v>894</x:v>
      </x:c>
      <x:c r="C387" s="38" t="s">
        <x:v>893</x:v>
      </x:c>
      <x:c r="D387" s="25">
        <x:v>5</x:v>
      </x:c>
      <x:c r="E387" s="39">
        <x:v>46230</x:v>
      </x:c>
      <x:c r="F387" s="40">
        <x:v>5</x:v>
      </x:c>
      <x:c r="G387" s="41">
        <x:f>(D387-(0)+0-(F387*Ventas!AE397*1.1000))</x:f>
      </x:c>
      <x:c r="H387" s="43">
        <x:f>(G387/(Ventas!AE397*1.1000)/45)</x:f>
      </x:c>
      <x:c r="I387" s="25">
        <x:v>12</x:v>
      </x:c>
      <x:c r="J387" s="41">
        <x:f>IF(G387&gt;0,G387+I387,I387)</x:f>
      </x:c>
      <x:c r="K387" s="41">
        <x:v>98.696</x:v>
      </x:c>
      <x:c r="L387" s="41">
        <x:v>1</x:v>
      </x:c>
      <x:c r="M387" s="45">
        <x:v>0.211</x:v>
      </x:c>
      <x:c r="N387" s="39">
        <x:v>46275</x:v>
      </x:c>
      <x:c r="O387" s="40">
        <x:v>45</x:v>
      </x:c>
      <x:c r="P387" s="41">
        <x:f>(IF(G387&gt;0,G387+I387,I387)-(O387*Ventas!AE397*1.0456))</x:f>
      </x:c>
      <x:c r="Q387" s="43">
        <x:f>(P387/(Ventas!AE397*1.0456)/45)</x:f>
      </x:c>
      <x:c r="R387" s="25">
        <x:v>0</x:v>
      </x:c>
      <x:c r="S387" s="41">
        <x:f>IF(P387&gt;0,P387+R387,R387)</x:f>
      </x:c>
      <x:c r="T387" s="9"/>
      <x:c r="U387" s="41">
        <x:v>1</x:v>
      </x:c>
      <x:c r="V387" s="45">
        <x:v>0.211</x:v>
      </x:c>
      <x:c r="W387" s="39">
        <x:v>46331</x:v>
      </x:c>
      <x:c r="X387" s="40">
        <x:v>56</x:v>
      </x:c>
      <x:c r="Y387" s="41">
        <x:f>(IF(P387&gt;0,P387+R387,R387)-(X387*Ventas!AE397*0.9018))</x:f>
      </x:c>
      <x:c r="Z387" s="43">
        <x:f>(Y387/(Ventas!AE397*0.9018)/45)</x:f>
      </x:c>
      <x:c r="AA387" s="41">
        <x:f>(100*(Ventas!AE397*1.3250) - IF(Y387&gt;0,Y387,0))</x:f>
      </x:c>
      <x:c r="AB387" s="41">
        <x:f>IF(AA387&gt;0,AA387,0)</x:f>
      </x:c>
      <x:c r="AC387" s="41">
        <x:f>IF(Y387&gt;0,Y387+IF(AB387&gt;0,AB387,0),AB387)</x:f>
      </x:c>
      <x:c r="AD387" s="46">
        <x:v>98.696</x:v>
      </x:c>
      <x:c r="AE387" s="25">
        <x:v>3027</x:v>
      </x:c>
      <x:c r="AF387" s="41">
        <x:f>(AC387-(60*Ventas!AE397*1.3250))</x:f>
      </x:c>
      <x:c r="AG387" s="43">
        <x:f>(AF387/(Ventas!AE397*1.3250)/45)</x:f>
      </x:c>
      <x:c r="AH387" s="7" t="s">
        <x:v>34</x:v>
      </x:c>
    </x:row>
    <x:row r="388">
      <x:c r="A388" s="7"/>
      <x:c r="B388" s="7" t="s">
        <x:v>896</x:v>
      </x:c>
      <x:c r="C388" s="38" t="s">
        <x:v>895</x:v>
      </x:c>
      <x:c r="D388" s="9"/>
      <x:c r="E388" s="39">
        <x:v>46230</x:v>
      </x:c>
      <x:c r="F388" s="40">
        <x:v>5</x:v>
      </x:c>
      <x:c r="G388" s="41">
        <x:f>(D388-(0)+0-(F388*Ventas!AE398*1.1000))</x:f>
      </x:c>
      <x:c r="H388" s="43">
        <x:f>(G388/(Ventas!AE398*1.1000)/45)</x:f>
      </x:c>
      <x:c r="I388" s="25">
        <x:v>0</x:v>
      </x:c>
      <x:c r="J388" s="41">
        <x:f>IF(G388&gt;0,G388+I388,I388)</x:f>
      </x:c>
      <x:c r="K388" s="9"/>
      <x:c r="L388" s="41">
        <x:v>1</x:v>
      </x:c>
      <x:c r="M388" s="45">
        <x:v>0.211</x:v>
      </x:c>
      <x:c r="N388" s="39">
        <x:v>46275</x:v>
      </x:c>
      <x:c r="O388" s="40">
        <x:v>45</x:v>
      </x:c>
      <x:c r="P388" s="41">
        <x:f>(IF(G388&gt;0,G388+I388,I388)-(O388*Ventas!AE398*1.0456))</x:f>
      </x:c>
      <x:c r="Q388" s="43">
        <x:f>(P388/(Ventas!AE398*1.0456)/45)</x:f>
      </x:c>
      <x:c r="R388" s="25">
        <x:v>0</x:v>
      </x:c>
      <x:c r="S388" s="41">
        <x:f>IF(P388&gt;0,P388+R388,R388)</x:f>
      </x:c>
      <x:c r="T388" s="9"/>
      <x:c r="U388" s="41">
        <x:v>1</x:v>
      </x:c>
      <x:c r="V388" s="45">
        <x:v>0.211</x:v>
      </x:c>
      <x:c r="W388" s="39">
        <x:v>46331</x:v>
      </x:c>
      <x:c r="X388" s="40">
        <x:v>56</x:v>
      </x:c>
      <x:c r="Y388" s="41">
        <x:f>(IF(P388&gt;0,P388+R388,R388)-(X388*Ventas!AE398*0.9018))</x:f>
      </x:c>
      <x:c r="Z388" s="43">
        <x:f>(Y388/(Ventas!AE398*0.9018)/45)</x:f>
      </x:c>
      <x:c r="AA388" s="41">
        <x:f>(100*(Ventas!AE398*1.3250) - IF(Y388&gt;0,Y388,0))</x:f>
      </x:c>
      <x:c r="AB388" s="41">
        <x:f>IF(AA388&gt;0,AA388,0)</x:f>
      </x:c>
      <x:c r="AC388" s="41">
        <x:f>IF(Y388&gt;0,Y388+IF(AB388&gt;0,AB388,0),AB388)</x:f>
      </x:c>
      <x:c r="AD388" s="46">
        <x:v>96.8</x:v>
      </x:c>
      <x:c r="AE388" s="25">
        <x:v>3027</x:v>
      </x:c>
      <x:c r="AF388" s="41">
        <x:f>(AC388-(60*Ventas!AE398*1.3250))</x:f>
      </x:c>
      <x:c r="AG388" s="43">
        <x:f>(AF388/(Ventas!AE398*1.3250)/45)</x:f>
      </x:c>
      <x:c r="AH388" s="7" t="s">
        <x:v>34</x:v>
      </x:c>
    </x:row>
    <x:row r="389">
      <x:c r="A389" s="7"/>
      <x:c r="B389" s="7" t="s">
        <x:v>898</x:v>
      </x:c>
      <x:c r="C389" s="38" t="s">
        <x:v>897</x:v>
      </x:c>
      <x:c r="D389" s="9"/>
      <x:c r="E389" s="39">
        <x:v>46230</x:v>
      </x:c>
      <x:c r="F389" s="40">
        <x:v>5</x:v>
      </x:c>
      <x:c r="G389" s="41">
        <x:f>(D389-(0)+0-(F389*Ventas!AE399*1.0000))</x:f>
      </x:c>
      <x:c r="H389" s="9"/>
      <x:c r="I389" s="25">
        <x:v>100</x:v>
      </x:c>
      <x:c r="J389" s="41">
        <x:f>IF(G389&gt;0,G389+I389,I389)</x:f>
      </x:c>
      <x:c r="K389" s="41">
        <x:v>2.5</x:v>
      </x:c>
      <x:c r="L389" s="41">
        <x:v>100</x:v>
      </x:c>
      <x:c r="M389" s="45">
        <x:v>0.00036</x:v>
      </x:c>
      <x:c r="N389" s="39">
        <x:v>46275</x:v>
      </x:c>
      <x:c r="O389" s="40">
        <x:v>45</x:v>
      </x:c>
      <x:c r="P389" s="41">
        <x:f>(IF(G389&gt;0,G389+I389,I389)-(O389*Ventas!AE399*1.0000))</x:f>
      </x:c>
      <x:c r="Q389" s="9"/>
      <x:c r="R389" s="25">
        <x:v>0</x:v>
      </x:c>
      <x:c r="S389" s="41">
        <x:f>IF(P389&gt;0,P389+R389,R389)</x:f>
      </x:c>
      <x:c r="T389" s="9"/>
      <x:c r="U389" s="41">
        <x:v>100</x:v>
      </x:c>
      <x:c r="V389" s="45">
        <x:v>0.00036</x:v>
      </x:c>
      <x:c r="W389" s="39">
        <x:v>46331</x:v>
      </x:c>
      <x:c r="X389" s="40">
        <x:v>56</x:v>
      </x:c>
      <x:c r="Y389" s="41">
        <x:f>(IF(P389&gt;0,P389+R389,R389)-(X389*Ventas!AE399*1.0000))</x:f>
      </x:c>
      <x:c r="Z389" s="9"/>
      <x:c r="AA389" s="41">
        <x:f>(100*(Ventas!AE399*1.0000) - IF(Y389&gt;0,Y389,0))</x:f>
      </x:c>
      <x:c r="AB389" s="41">
        <x:f>IF(AA389&gt;0,AA389,0)</x:f>
      </x:c>
      <x:c r="AC389" s="41">
        <x:f>IF(Y389&gt;0,Y389+IF(AB389&gt;0,AB389,0),AB389)</x:f>
      </x:c>
      <x:c r="AD389" s="46">
        <x:v>2.5</x:v>
      </x:c>
      <x:c r="AE389" s="25">
        <x:v>3027</x:v>
      </x:c>
      <x:c r="AF389" s="9"/>
      <x:c r="AG389" s="9"/>
      <x:c r="AH389" s="7" t="s">
        <x:v>34</x:v>
      </x:c>
    </x:row>
    <x:row r="390">
      <x:c r="A390" s="7"/>
      <x:c r="B390" s="7" t="s">
        <x:v>900</x:v>
      </x:c>
      <x:c r="C390" s="38" t="s">
        <x:v>899</x:v>
      </x:c>
      <x:c r="D390" s="9"/>
      <x:c r="E390" s="39">
        <x:v>46230</x:v>
      </x:c>
      <x:c r="F390" s="40">
        <x:v>5</x:v>
      </x:c>
      <x:c r="G390" s="41">
        <x:f>(D390-(0)+0-(F390*Ventas!AE400*1.0000))</x:f>
      </x:c>
      <x:c r="H390" s="9"/>
      <x:c r="I390" s="25">
        <x:v>100</x:v>
      </x:c>
      <x:c r="J390" s="41">
        <x:f>IF(G390&gt;0,G390+I390,I390)</x:f>
      </x:c>
      <x:c r="K390" s="41">
        <x:v>11.9</x:v>
      </x:c>
      <x:c r="L390" s="41">
        <x:v>100</x:v>
      </x:c>
      <x:c r="M390" s="45">
        <x:v>0.00075</x:v>
      </x:c>
      <x:c r="N390" s="39">
        <x:v>46275</x:v>
      </x:c>
      <x:c r="O390" s="40">
        <x:v>45</x:v>
      </x:c>
      <x:c r="P390" s="41">
        <x:f>(IF(G390&gt;0,G390+I390,I390)-(O390*Ventas!AE400*1.0000))</x:f>
      </x:c>
      <x:c r="Q390" s="9"/>
      <x:c r="R390" s="25">
        <x:v>0</x:v>
      </x:c>
      <x:c r="S390" s="41">
        <x:f>IF(P390&gt;0,P390+R390,R390)</x:f>
      </x:c>
      <x:c r="T390" s="9"/>
      <x:c r="U390" s="41">
        <x:v>100</x:v>
      </x:c>
      <x:c r="V390" s="45">
        <x:v>0.00075</x:v>
      </x:c>
      <x:c r="W390" s="39">
        <x:v>46331</x:v>
      </x:c>
      <x:c r="X390" s="40">
        <x:v>56</x:v>
      </x:c>
      <x:c r="Y390" s="41">
        <x:f>(IF(P390&gt;0,P390+R390,R390)-(X390*Ventas!AE400*1.0000))</x:f>
      </x:c>
      <x:c r="Z390" s="9"/>
      <x:c r="AA390" s="41">
        <x:f>(100*(Ventas!AE400*1.0000) - IF(Y390&gt;0,Y390,0))</x:f>
      </x:c>
      <x:c r="AB390" s="41">
        <x:f>IF(AA390&gt;0,AA390,0)</x:f>
      </x:c>
      <x:c r="AC390" s="41">
        <x:f>IF(Y390&gt;0,Y390+IF(AB390&gt;0,AB390,0),AB390)</x:f>
      </x:c>
      <x:c r="AD390" s="46">
        <x:v>11.9</x:v>
      </x:c>
      <x:c r="AE390" s="25">
        <x:v>3027</x:v>
      </x:c>
      <x:c r="AF390" s="9"/>
      <x:c r="AG390" s="9"/>
      <x:c r="AH390" s="7" t="s">
        <x:v>34</x:v>
      </x:c>
    </x:row>
    <x:row r="391">
      <x:c r="A391" s="7"/>
      <x:c r="B391" s="7" t="s">
        <x:v>125</x:v>
      </x:c>
      <x:c r="C391" s="38" t="s">
        <x:v>124</x:v>
      </x:c>
      <x:c r="D391" s="9"/>
      <x:c r="E391" s="39">
        <x:v>46230</x:v>
      </x:c>
      <x:c r="F391" s="40">
        <x:v>5</x:v>
      </x:c>
      <x:c r="G391" s="41">
        <x:f>(D391-(0)+0-(F391*Ventas!AE48*1.0000))</x:f>
      </x:c>
      <x:c r="H391" s="9"/>
      <x:c r="I391" s="25">
        <x:v>0</x:v>
      </x:c>
      <x:c r="J391" s="41">
        <x:f>IF(G391&gt;0,G391+I391,I391)</x:f>
      </x:c>
      <x:c r="K391" s="9"/>
      <x:c r="L391" s="41">
        <x:v>20</x:v>
      </x:c>
      <x:c r="M391" s="45">
        <x:v>0.002219</x:v>
      </x:c>
      <x:c r="N391" s="39">
        <x:v>46275</x:v>
      </x:c>
      <x:c r="O391" s="40">
        <x:v>45</x:v>
      </x:c>
      <x:c r="P391" s="41">
        <x:f>(IF(G391&gt;0,G391+I391,I391)-(O391*Ventas!AE48*1.0000))</x:f>
      </x:c>
      <x:c r="Q391" s="9"/>
      <x:c r="R391" s="25">
        <x:v>0</x:v>
      </x:c>
      <x:c r="S391" s="41">
        <x:f>IF(P391&gt;0,P391+R391,R391)</x:f>
      </x:c>
      <x:c r="T391" s="9"/>
      <x:c r="U391" s="41">
        <x:v>20</x:v>
      </x:c>
      <x:c r="V391" s="45">
        <x:v>0.002219</x:v>
      </x:c>
      <x:c r="W391" s="39">
        <x:v>46331</x:v>
      </x:c>
      <x:c r="X391" s="40">
        <x:v>56</x:v>
      </x:c>
      <x:c r="Y391" s="41">
        <x:f>(IF(P391&gt;0,P391+R391,R391)-(X391*Ventas!AE48*1.0000))</x:f>
      </x:c>
      <x:c r="Z391" s="9"/>
      <x:c r="AA391" s="41">
        <x:f>(100*(Ventas!AE48*1.0000) - IF(Y391&gt;0,Y391,0))</x:f>
      </x:c>
      <x:c r="AB391" s="41">
        <x:f>IF(AA391&gt;0,AA391,0)</x:f>
      </x:c>
      <x:c r="AC391" s="41">
        <x:f>IF(Y391&gt;0,Y391+IF(AB391&gt;0,AB391,0),AB391)</x:f>
      </x:c>
      <x:c r="AD391" s="46">
        <x:v>13.2</x:v>
      </x:c>
      <x:c r="AE391" s="25">
        <x:v>3010</x:v>
      </x:c>
      <x:c r="AF391" s="9"/>
      <x:c r="AG391" s="9"/>
      <x:c r="AH391" s="7" t="s">
        <x:v>107</x:v>
      </x:c>
    </x:row>
    <x:row r="392">
      <x:c r="A392" s="7"/>
      <x:c r="B392" s="7" t="s">
        <x:v>238</x:v>
      </x:c>
      <x:c r="C392" s="38" t="s">
        <x:v>237</x:v>
      </x:c>
      <x:c r="D392" s="9"/>
      <x:c r="E392" s="39">
        <x:v>46230</x:v>
      </x:c>
      <x:c r="F392" s="40">
        <x:v>5</x:v>
      </x:c>
      <x:c r="G392" s="41">
        <x:f>(D392-(0)+0-(F392*Ventas!AE106*1.0000))</x:f>
      </x:c>
      <x:c r="H392" s="9"/>
      <x:c r="I392" s="25">
        <x:v>0</x:v>
      </x:c>
      <x:c r="J392" s="41">
        <x:f>IF(G392&gt;0,G392+I392,I392)</x:f>
      </x:c>
      <x:c r="K392" s="9"/>
      <x:c r="L392" s="41">
        <x:v>10</x:v>
      </x:c>
      <x:c r="M392" s="45">
        <x:v>0.007517</x:v>
      </x:c>
      <x:c r="N392" s="39">
        <x:v>46275</x:v>
      </x:c>
      <x:c r="O392" s="40">
        <x:v>45</x:v>
      </x:c>
      <x:c r="P392" s="41">
        <x:f>(IF(G392&gt;0,G392+I392,I392)-(O392*Ventas!AE106*1.0000))</x:f>
      </x:c>
      <x:c r="Q392" s="9"/>
      <x:c r="R392" s="25">
        <x:v>0</x:v>
      </x:c>
      <x:c r="S392" s="41">
        <x:f>IF(P392&gt;0,P392+R392,R392)</x:f>
      </x:c>
      <x:c r="T392" s="9"/>
      <x:c r="U392" s="41">
        <x:v>10</x:v>
      </x:c>
      <x:c r="V392" s="45">
        <x:v>0.007517</x:v>
      </x:c>
      <x:c r="W392" s="39">
        <x:v>46331</x:v>
      </x:c>
      <x:c r="X392" s="40">
        <x:v>56</x:v>
      </x:c>
      <x:c r="Y392" s="41">
        <x:f>(IF(P392&gt;0,P392+R392,R392)-(X392*Ventas!AE106*1.0000))</x:f>
      </x:c>
      <x:c r="Z392" s="9"/>
      <x:c r="AA392" s="41">
        <x:f>(100*(Ventas!AE106*1.0000) - IF(Y392&gt;0,Y392,0))</x:f>
      </x:c>
      <x:c r="AB392" s="41">
        <x:f>IF(AA392&gt;0,AA392,0)</x:f>
      </x:c>
      <x:c r="AC392" s="41">
        <x:f>IF(Y392&gt;0,Y392+IF(AB392&gt;0,AB392,0),AB392)</x:f>
      </x:c>
      <x:c r="AD392" s="9"/>
      <x:c r="AE392" s="9"/>
      <x:c r="AF392" s="9"/>
      <x:c r="AG392" s="9"/>
      <x:c r="AH392" s="7" t="s">
        <x:v>34</x:v>
      </x:c>
    </x:row>
    <x:row r="393">
      <x:c r="A393" s="7"/>
      <x:c r="B393" s="7" t="s">
        <x:v>902</x:v>
      </x:c>
      <x:c r="C393" s="38" t="s">
        <x:v>901</x:v>
      </x:c>
      <x:c r="D393" s="25">
        <x:v>11</x:v>
      </x:c>
      <x:c r="E393" s="39">
        <x:v>46230</x:v>
      </x:c>
      <x:c r="F393" s="40">
        <x:v>5</x:v>
      </x:c>
      <x:c r="G393" s="41">
        <x:f>(D393-(0)+0-(F393*Ventas!AE401*1.0000))</x:f>
      </x:c>
      <x:c r="H393" s="43">
        <x:f>(G393/(Ventas!AE401*1.0000)/45)</x:f>
      </x:c>
      <x:c r="I393" s="25">
        <x:v>0</x:v>
      </x:c>
      <x:c r="J393" s="41">
        <x:f>IF(G393&gt;0,G393+I393,I393)</x:f>
      </x:c>
      <x:c r="K393" s="9"/>
      <x:c r="L393" s="41">
        <x:v>50</x:v>
      </x:c>
      <x:c r="M393" s="45">
        <x:v>0.00092</x:v>
      </x:c>
      <x:c r="N393" s="39">
        <x:v>46275</x:v>
      </x:c>
      <x:c r="O393" s="40">
        <x:v>45</x:v>
      </x:c>
      <x:c r="P393" s="41">
        <x:f>(IF(G393&gt;0,G393+I393,I393)-(O393*Ventas!AE401*1.0000))</x:f>
      </x:c>
      <x:c r="Q393" s="43">
        <x:f>(P393/(Ventas!AE401*1.0000)/45)</x:f>
      </x:c>
      <x:c r="R393" s="25">
        <x:v>100</x:v>
      </x:c>
      <x:c r="S393" s="41">
        <x:f>IF(P393&gt;0,P393+R393,R393)</x:f>
      </x:c>
      <x:c r="T393" s="41">
        <x:v>15.6</x:v>
      </x:c>
      <x:c r="U393" s="41">
        <x:v>50</x:v>
      </x:c>
      <x:c r="V393" s="45">
        <x:v>0.00092</x:v>
      </x:c>
      <x:c r="W393" s="39">
        <x:v>46331</x:v>
      </x:c>
      <x:c r="X393" s="40">
        <x:v>56</x:v>
      </x:c>
      <x:c r="Y393" s="41">
        <x:f>(IF(P393&gt;0,P393+R393,R393)-(X393*Ventas!AE401*1.0000))</x:f>
      </x:c>
      <x:c r="Z393" s="43">
        <x:f>(Y393/(Ventas!AE401*1.0000)/45)</x:f>
      </x:c>
      <x:c r="AA393" s="41">
        <x:f>(100*(Ventas!AE401*1.0000) - IF(Y393&gt;0,Y393,0))</x:f>
      </x:c>
      <x:c r="AB393" s="41">
        <x:f>IF(AA393&gt;0,AA393,0)</x:f>
      </x:c>
      <x:c r="AC393" s="41">
        <x:f>IF(Y393&gt;0,Y393+IF(AB393&gt;0,AB393,0),AB393)</x:f>
      </x:c>
      <x:c r="AD393" s="46">
        <x:v>15.6</x:v>
      </x:c>
      <x:c r="AE393" s="25">
        <x:v>3027</x:v>
      </x:c>
      <x:c r="AF393" s="41">
        <x:f>(AC393-(60*Ventas!AE401*1.0000))</x:f>
      </x:c>
      <x:c r="AG393" s="43">
        <x:f>(AF393/(Ventas!AE401*1.0000)/45)</x:f>
      </x:c>
      <x:c r="AH393" s="7" t="s">
        <x:v>34</x:v>
      </x:c>
    </x:row>
    <x:row r="394">
      <x:c r="A394" s="7"/>
      <x:c r="B394" s="7" t="s">
        <x:v>904</x:v>
      </x:c>
      <x:c r="C394" s="38" t="s">
        <x:v>903</x:v>
      </x:c>
      <x:c r="D394" s="25">
        <x:v>52</x:v>
      </x:c>
      <x:c r="E394" s="39">
        <x:v>46230</x:v>
      </x:c>
      <x:c r="F394" s="40">
        <x:v>5</x:v>
      </x:c>
      <x:c r="G394" s="41">
        <x:f>(D394-(0)+0-(F394*Ventas!AE402*1.0000))</x:f>
      </x:c>
      <x:c r="H394" s="43">
        <x:f>(G394/(Ventas!AE402*1.0000)/45)</x:f>
      </x:c>
      <x:c r="I394" s="25">
        <x:v>0</x:v>
      </x:c>
      <x:c r="J394" s="41">
        <x:f>IF(G394&gt;0,G394+I394,I394)</x:f>
      </x:c>
      <x:c r="K394" s="9"/>
      <x:c r="L394" s="41">
        <x:v>60</x:v>
      </x:c>
      <x:c r="M394" s="45">
        <x:v>0.00105</x:v>
      </x:c>
      <x:c r="N394" s="39">
        <x:v>46275</x:v>
      </x:c>
      <x:c r="O394" s="40">
        <x:v>45</x:v>
      </x:c>
      <x:c r="P394" s="41">
        <x:f>(IF(G394&gt;0,G394+I394,I394)-(O394*Ventas!AE402*1.0000))</x:f>
      </x:c>
      <x:c r="Q394" s="43">
        <x:f>(P394/(Ventas!AE402*1.0000)/45)</x:f>
      </x:c>
      <x:c r="R394" s="25">
        <x:v>0</x:v>
      </x:c>
      <x:c r="S394" s="41">
        <x:f>IF(P394&gt;0,P394+R394,R394)</x:f>
      </x:c>
      <x:c r="T394" s="9"/>
      <x:c r="U394" s="41">
        <x:v>50</x:v>
      </x:c>
      <x:c r="V394" s="45">
        <x:v>0.00092</x:v>
      </x:c>
      <x:c r="W394" s="39">
        <x:v>46331</x:v>
      </x:c>
      <x:c r="X394" s="40">
        <x:v>56</x:v>
      </x:c>
      <x:c r="Y394" s="41">
        <x:f>(IF(P394&gt;0,P394+R394,R394)-(X394*Ventas!AE402*1.0000))</x:f>
      </x:c>
      <x:c r="Z394" s="43">
        <x:f>(Y394/(Ventas!AE402*1.0000)/45)</x:f>
      </x:c>
      <x:c r="AA394" s="41">
        <x:f>(100*(Ventas!AE402*1.0000) - IF(Y394&gt;0,Y394,0))</x:f>
      </x:c>
      <x:c r="AB394" s="41">
        <x:f>IF(AA394&gt;0,AA394,0)</x:f>
      </x:c>
      <x:c r="AC394" s="41">
        <x:f>IF(Y394&gt;0,Y394+IF(AB394&gt;0,AB394,0),AB394)</x:f>
      </x:c>
      <x:c r="AD394" s="46">
        <x:v>20.286</x:v>
      </x:c>
      <x:c r="AE394" s="25">
        <x:v>3027</x:v>
      </x:c>
      <x:c r="AF394" s="41">
        <x:f>(AC394-(60*Ventas!AE402*1.0000))</x:f>
      </x:c>
      <x:c r="AG394" s="43">
        <x:f>(AF394/(Ventas!AE402*1.0000)/45)</x:f>
      </x:c>
      <x:c r="AH394" s="7" t="s">
        <x:v>34</x:v>
      </x:c>
    </x:row>
    <x:row r="395">
      <x:c r="A395" s="7"/>
      <x:c r="B395" s="7" t="s">
        <x:v>300</x:v>
      </x:c>
      <x:c r="C395" s="38" t="s">
        <x:v>299</x:v>
      </x:c>
      <x:c r="D395" s="25">
        <x:v>1</x:v>
      </x:c>
      <x:c r="E395" s="39">
        <x:v>46230</x:v>
      </x:c>
      <x:c r="F395" s="40">
        <x:v>5</x:v>
      </x:c>
      <x:c r="G395" s="41">
        <x:f>(D395-(0)+0-(F395*Ventas!AE136*1.3000))</x:f>
      </x:c>
      <x:c r="H395" s="43">
        <x:f>(G395/(Ventas!AE136*1.3000)/60)</x:f>
      </x:c>
      <x:c r="I395" s="25">
        <x:v>0</x:v>
      </x:c>
      <x:c r="J395" s="41">
        <x:f>IF(G395&gt;0,G395+I395,I395)</x:f>
      </x:c>
      <x:c r="K395" s="9"/>
      <x:c r="L395" s="41">
        <x:v>100</x:v>
      </x:c>
      <x:c r="M395" s="45">
        <x:v>0.00037</x:v>
      </x:c>
      <x:c r="N395" s="39">
        <x:v>46275</x:v>
      </x:c>
      <x:c r="O395" s="40">
        <x:v>45</x:v>
      </x:c>
      <x:c r="P395" s="41">
        <x:f>(IF(G395&gt;0,G395+I395,I395)-(O395*Ventas!AE136*0.9600))</x:f>
      </x:c>
      <x:c r="Q395" s="43">
        <x:f>(P395/(Ventas!AE136*0.9600)/60)</x:f>
      </x:c>
      <x:c r="R395" s="25">
        <x:v>0</x:v>
      </x:c>
      <x:c r="S395" s="41">
        <x:f>IF(P395&gt;0,P395+R395,R395)</x:f>
      </x:c>
      <x:c r="T395" s="9"/>
      <x:c r="U395" s="41">
        <x:v>100</x:v>
      </x:c>
      <x:c r="V395" s="45">
        <x:v>0.00037</x:v>
      </x:c>
      <x:c r="W395" s="39">
        <x:v>46331</x:v>
      </x:c>
      <x:c r="X395" s="40">
        <x:v>56</x:v>
      </x:c>
      <x:c r="Y395" s="41">
        <x:f>(IF(P395&gt;0,P395+R395,R395)-(X395*Ventas!AE136*0.9250))</x:f>
      </x:c>
      <x:c r="Z395" s="43">
        <x:f>(Y395/(Ventas!AE136*0.9250)/60)</x:f>
      </x:c>
      <x:c r="AA395" s="41">
        <x:f>(100*(Ventas!AE136*1.4850) - IF(Y395&gt;0,Y395,0))</x:f>
      </x:c>
      <x:c r="AB395" s="41">
        <x:f>IF(AA395&gt;0,AA395,0)</x:f>
      </x:c>
      <x:c r="AC395" s="41">
        <x:f>IF(Y395&gt;0,Y395+IF(AB395&gt;0,AB395,0),AB395)</x:f>
      </x:c>
      <x:c r="AD395" s="46">
        <x:v>2.9466</x:v>
      </x:c>
      <x:c r="AE395" s="25">
        <x:v>3010</x:v>
      </x:c>
      <x:c r="AF395" s="41">
        <x:f>(AC395-(60*Ventas!AE136*1.4850))</x:f>
      </x:c>
      <x:c r="AG395" s="43">
        <x:f>(AF395/(Ventas!AE136*1.4850)/60)</x:f>
      </x:c>
      <x:c r="AH395" s="7" t="s">
        <x:v>34</x:v>
      </x:c>
    </x:row>
    <x:row r="396">
      <x:c r="A396" s="7"/>
      <x:c r="B396" s="7" t="s">
        <x:v>312</x:v>
      </x:c>
      <x:c r="C396" s="38" t="s">
        <x:v>311</x:v>
      </x:c>
      <x:c r="D396" s="25">
        <x:v>27</x:v>
      </x:c>
      <x:c r="E396" s="39">
        <x:v>46230</x:v>
      </x:c>
      <x:c r="F396" s="40">
        <x:v>5</x:v>
      </x:c>
      <x:c r="G396" s="41">
        <x:f>(D396-(0)+0-(F396*Ventas!AE142*1.3000))</x:f>
      </x:c>
      <x:c r="H396" s="43">
        <x:f>(G396/(Ventas!AE142*1.3000)/60)</x:f>
      </x:c>
      <x:c r="I396" s="25">
        <x:v>0</x:v>
      </x:c>
      <x:c r="J396" s="41">
        <x:f>IF(G396&gt;0,G396+I396,I396)</x:f>
      </x:c>
      <x:c r="K396" s="9"/>
      <x:c r="L396" s="41">
        <x:v>100</x:v>
      </x:c>
      <x:c r="M396" s="45">
        <x:v>0.00037</x:v>
      </x:c>
      <x:c r="N396" s="39">
        <x:v>46275</x:v>
      </x:c>
      <x:c r="O396" s="40">
        <x:v>45</x:v>
      </x:c>
      <x:c r="P396" s="41">
        <x:f>(IF(G396&gt;0,G396+I396,I396)-(O396*Ventas!AE142*0.9600))</x:f>
      </x:c>
      <x:c r="Q396" s="43">
        <x:f>(P396/(Ventas!AE142*0.9600)/60)</x:f>
      </x:c>
      <x:c r="R396" s="25">
        <x:v>0</x:v>
      </x:c>
      <x:c r="S396" s="41">
        <x:f>IF(P396&gt;0,P396+R396,R396)</x:f>
      </x:c>
      <x:c r="T396" s="9"/>
      <x:c r="U396" s="41">
        <x:v>100</x:v>
      </x:c>
      <x:c r="V396" s="45">
        <x:v>0.00037</x:v>
      </x:c>
      <x:c r="W396" s="39">
        <x:v>46331</x:v>
      </x:c>
      <x:c r="X396" s="40">
        <x:v>56</x:v>
      </x:c>
      <x:c r="Y396" s="41">
        <x:f>(IF(P396&gt;0,P396+R396,R396)-(X396*Ventas!AE142*0.9250))</x:f>
      </x:c>
      <x:c r="Z396" s="43">
        <x:f>(Y396/(Ventas!AE142*0.9250)/60)</x:f>
      </x:c>
      <x:c r="AA396" s="41">
        <x:f>(100*(Ventas!AE142*1.4850) - IF(Y396&gt;0,Y396,0))</x:f>
      </x:c>
      <x:c r="AB396" s="41">
        <x:f>IF(AA396&gt;0,AA396,0)</x:f>
      </x:c>
      <x:c r="AC396" s="41">
        <x:f>IF(Y396&gt;0,Y396+IF(AB396&gt;0,AB396,0),AB396)</x:f>
      </x:c>
      <x:c r="AD396" s="46">
        <x:v>2.9</x:v>
      </x:c>
      <x:c r="AE396" s="25">
        <x:v>3025</x:v>
      </x:c>
      <x:c r="AF396" s="41">
        <x:f>(AC396-(60*Ventas!AE142*1.4850))</x:f>
      </x:c>
      <x:c r="AG396" s="43">
        <x:f>(AF396/(Ventas!AE142*1.4850)/60)</x:f>
      </x:c>
      <x:c r="AH396" s="7" t="s">
        <x:v>34</x:v>
      </x:c>
    </x:row>
    <x:row r="397">
      <x:c r="A397" s="7"/>
      <x:c r="B397" s="7" t="s">
        <x:v>314</x:v>
      </x:c>
      <x:c r="C397" s="38" t="s">
        <x:v>313</x:v>
      </x:c>
      <x:c r="D397" s="25">
        <x:v>7</x:v>
      </x:c>
      <x:c r="E397" s="39">
        <x:v>46230</x:v>
      </x:c>
      <x:c r="F397" s="40">
        <x:v>5</x:v>
      </x:c>
      <x:c r="G397" s="41">
        <x:f>(D397-(0)+0-(F397*Ventas!AE143*1.3000))</x:f>
      </x:c>
      <x:c r="H397" s="43">
        <x:f>(G397/(Ventas!AE143*1.3000)/60)</x:f>
      </x:c>
      <x:c r="I397" s="25">
        <x:v>0</x:v>
      </x:c>
      <x:c r="J397" s="41">
        <x:f>IF(G397&gt;0,G397+I397,I397)</x:f>
      </x:c>
      <x:c r="K397" s="9"/>
      <x:c r="L397" s="41">
        <x:v>100</x:v>
      </x:c>
      <x:c r="M397" s="45">
        <x:v>0.00037</x:v>
      </x:c>
      <x:c r="N397" s="39">
        <x:v>46275</x:v>
      </x:c>
      <x:c r="O397" s="40">
        <x:v>45</x:v>
      </x:c>
      <x:c r="P397" s="41">
        <x:f>(IF(G397&gt;0,G397+I397,I397)-(O397*Ventas!AE143*0.9600))</x:f>
      </x:c>
      <x:c r="Q397" s="43">
        <x:f>(P397/(Ventas!AE143*0.9600)/60)</x:f>
      </x:c>
      <x:c r="R397" s="25">
        <x:v>0</x:v>
      </x:c>
      <x:c r="S397" s="41">
        <x:f>IF(P397&gt;0,P397+R397,R397)</x:f>
      </x:c>
      <x:c r="T397" s="9"/>
      <x:c r="U397" s="41">
        <x:v>100</x:v>
      </x:c>
      <x:c r="V397" s="45">
        <x:v>0.00037</x:v>
      </x:c>
      <x:c r="W397" s="39">
        <x:v>46331</x:v>
      </x:c>
      <x:c r="X397" s="40">
        <x:v>56</x:v>
      </x:c>
      <x:c r="Y397" s="41">
        <x:f>(IF(P397&gt;0,P397+R397,R397)-(X397*Ventas!AE143*0.9250))</x:f>
      </x:c>
      <x:c r="Z397" s="43">
        <x:f>(Y397/(Ventas!AE143*0.9250)/60)</x:f>
      </x:c>
      <x:c r="AA397" s="41">
        <x:f>(100*(Ventas!AE143*1.4850) - IF(Y397&gt;0,Y397,0))</x:f>
      </x:c>
      <x:c r="AB397" s="41">
        <x:f>IF(AA397&gt;0,AA397,0)</x:f>
      </x:c>
      <x:c r="AC397" s="41">
        <x:f>IF(Y397&gt;0,Y397+IF(AB397&gt;0,AB397,0),AB397)</x:f>
      </x:c>
      <x:c r="AD397" s="46">
        <x:v>2.9</x:v>
      </x:c>
      <x:c r="AE397" s="25">
        <x:v>3025</x:v>
      </x:c>
      <x:c r="AF397" s="41">
        <x:f>(AC397-(60*Ventas!AE143*1.4850))</x:f>
      </x:c>
      <x:c r="AG397" s="43">
        <x:f>(AF397/(Ventas!AE143*1.4850)/60)</x:f>
      </x:c>
      <x:c r="AH397" s="7" t="s">
        <x:v>34</x:v>
      </x:c>
    </x:row>
    <x:row r="398">
      <x:c r="A398" s="7"/>
      <x:c r="B398" s="7" t="s">
        <x:v>316</x:v>
      </x:c>
      <x:c r="C398" s="38" t="s">
        <x:v>315</x:v>
      </x:c>
      <x:c r="D398" s="25">
        <x:v>11</x:v>
      </x:c>
      <x:c r="E398" s="39">
        <x:v>46230</x:v>
      </x:c>
      <x:c r="F398" s="40">
        <x:v>5</x:v>
      </x:c>
      <x:c r="G398" s="41">
        <x:f>(D398-(0)+0-(F398*Ventas!AE144*1.3000))</x:f>
      </x:c>
      <x:c r="H398" s="43">
        <x:f>(G398/(Ventas!AE144*1.3000)/60)</x:f>
      </x:c>
      <x:c r="I398" s="25">
        <x:v>0</x:v>
      </x:c>
      <x:c r="J398" s="41">
        <x:f>IF(G398&gt;0,G398+I398,I398)</x:f>
      </x:c>
      <x:c r="K398" s="9"/>
      <x:c r="L398" s="41">
        <x:v>100</x:v>
      </x:c>
      <x:c r="M398" s="45">
        <x:v>0.00037</x:v>
      </x:c>
      <x:c r="N398" s="39">
        <x:v>46275</x:v>
      </x:c>
      <x:c r="O398" s="40">
        <x:v>45</x:v>
      </x:c>
      <x:c r="P398" s="41">
        <x:f>(IF(G398&gt;0,G398+I398,I398)-(O398*Ventas!AE144*0.9600))</x:f>
      </x:c>
      <x:c r="Q398" s="43">
        <x:f>(P398/(Ventas!AE144*0.9600)/60)</x:f>
      </x:c>
      <x:c r="R398" s="25">
        <x:v>0</x:v>
      </x:c>
      <x:c r="S398" s="41">
        <x:f>IF(P398&gt;0,P398+R398,R398)</x:f>
      </x:c>
      <x:c r="T398" s="9"/>
      <x:c r="U398" s="41">
        <x:v>100</x:v>
      </x:c>
      <x:c r="V398" s="45">
        <x:v>0.00037</x:v>
      </x:c>
      <x:c r="W398" s="39">
        <x:v>46331</x:v>
      </x:c>
      <x:c r="X398" s="40">
        <x:v>56</x:v>
      </x:c>
      <x:c r="Y398" s="41">
        <x:f>(IF(P398&gt;0,P398+R398,R398)-(X398*Ventas!AE144*0.9250))</x:f>
      </x:c>
      <x:c r="Z398" s="43">
        <x:f>(Y398/(Ventas!AE144*0.9250)/60)</x:f>
      </x:c>
      <x:c r="AA398" s="41">
        <x:f>(100*(Ventas!AE144*1.4850) - IF(Y398&gt;0,Y398,0))</x:f>
      </x:c>
      <x:c r="AB398" s="41">
        <x:f>IF(AA398&gt;0,AA398,0)</x:f>
      </x:c>
      <x:c r="AC398" s="41">
        <x:f>IF(Y398&gt;0,Y398+IF(AB398&gt;0,AB398,0),AB398)</x:f>
      </x:c>
      <x:c r="AD398" s="46">
        <x:v>2.9</x:v>
      </x:c>
      <x:c r="AE398" s="25">
        <x:v>3025</x:v>
      </x:c>
      <x:c r="AF398" s="41">
        <x:f>(AC398-(60*Ventas!AE144*1.4850))</x:f>
      </x:c>
      <x:c r="AG398" s="43">
        <x:f>(AF398/(Ventas!AE144*1.4850)/60)</x:f>
      </x:c>
      <x:c r="AH398" s="7" t="s">
        <x:v>34</x:v>
      </x:c>
    </x:row>
    <x:row r="399">
      <x:c r="A399" s="7"/>
      <x:c r="B399" s="7" t="s">
        <x:v>553</x:v>
      </x:c>
      <x:c r="C399" s="38" t="s">
        <x:v>552</x:v>
      </x:c>
      <x:c r="D399" s="9"/>
      <x:c r="E399" s="39">
        <x:v>46230</x:v>
      </x:c>
      <x:c r="F399" s="40">
        <x:v>5</x:v>
      </x:c>
      <x:c r="G399" s="41">
        <x:f>(D399-(0)+0-(F399*Ventas!AE263*1.3000))</x:f>
      </x:c>
      <x:c r="H399" s="43">
        <x:f>(G399/(Ventas!AE263*1.3000)/60)</x:f>
      </x:c>
      <x:c r="I399" s="25">
        <x:v>0</x:v>
      </x:c>
      <x:c r="J399" s="41">
        <x:f>IF(G399&gt;0,G399+I399,I399)</x:f>
      </x:c>
      <x:c r="K399" s="9"/>
      <x:c r="L399" s="9"/>
      <x:c r="M399" s="9"/>
      <x:c r="N399" s="39">
        <x:v>46275</x:v>
      </x:c>
      <x:c r="O399" s="40">
        <x:v>45</x:v>
      </x:c>
      <x:c r="P399" s="41">
        <x:f>(IF(G399&gt;0,G399+I399,I399)-(O399*Ventas!AE263*0.9600))</x:f>
      </x:c>
      <x:c r="Q399" s="43">
        <x:f>(P399/(Ventas!AE263*0.9600)/60)</x:f>
      </x:c>
      <x:c r="R399" s="25">
        <x:v>0</x:v>
      </x:c>
      <x:c r="S399" s="41">
        <x:f>IF(P399&gt;0,P399+R399,R399)</x:f>
      </x:c>
      <x:c r="T399" s="9"/>
      <x:c r="U399" s="9"/>
      <x:c r="V399" s="9"/>
      <x:c r="W399" s="39">
        <x:v>46331</x:v>
      </x:c>
      <x:c r="X399" s="40">
        <x:v>56</x:v>
      </x:c>
      <x:c r="Y399" s="41">
        <x:f>(IF(P399&gt;0,P399+R399,R399)-(X399*Ventas!AE263*0.9250))</x:f>
      </x:c>
      <x:c r="Z399" s="43">
        <x:f>(Y399/(Ventas!AE263*0.9250)/60)</x:f>
      </x:c>
      <x:c r="AA399" s="41">
        <x:f>(100*(Ventas!AE263*1.4850) - IF(Y399&gt;0,Y399,0))</x:f>
      </x:c>
      <x:c r="AB399" s="41">
        <x:f>IF(AA399&gt;0,AA399,0)</x:f>
      </x:c>
      <x:c r="AC399" s="41">
        <x:f>IF(Y399&gt;0,Y399+IF(AB399&gt;0,AB399,0),AB399)</x:f>
      </x:c>
      <x:c r="AD399" s="46">
        <x:v>4.8121</x:v>
      </x:c>
      <x:c r="AE399" s="25">
        <x:v>3010</x:v>
      </x:c>
      <x:c r="AF399" s="41">
        <x:f>(AC399-(60*Ventas!AE263*1.4850))</x:f>
      </x:c>
      <x:c r="AG399" s="43">
        <x:f>(AF399/(Ventas!AE263*1.4850)/60)</x:f>
      </x:c>
      <x:c r="AH399" s="7" t="s">
        <x:v>34</x:v>
      </x:c>
    </x:row>
    <x:row r="400">
      <x:c r="A400" s="7"/>
      <x:c r="B400" s="7" t="s">
        <x:v>555</x:v>
      </x:c>
      <x:c r="C400" s="38" t="s">
        <x:v>554</x:v>
      </x:c>
      <x:c r="D400" s="9"/>
      <x:c r="E400" s="39">
        <x:v>46230</x:v>
      </x:c>
      <x:c r="F400" s="40">
        <x:v>5</x:v>
      </x:c>
      <x:c r="G400" s="41">
        <x:f>(D400-(0)+0-(F400*Ventas!AE264*1.3000))</x:f>
      </x:c>
      <x:c r="H400" s="9"/>
      <x:c r="I400" s="25">
        <x:v>0</x:v>
      </x:c>
      <x:c r="J400" s="41">
        <x:f>IF(G400&gt;0,G400+I400,I400)</x:f>
      </x:c>
      <x:c r="K400" s="9"/>
      <x:c r="L400" s="9"/>
      <x:c r="M400" s="9"/>
      <x:c r="N400" s="39">
        <x:v>46275</x:v>
      </x:c>
      <x:c r="O400" s="40">
        <x:v>45</x:v>
      </x:c>
      <x:c r="P400" s="41">
        <x:f>(IF(G400&gt;0,G400+I400,I400)-(O400*Ventas!AE264*0.9600))</x:f>
      </x:c>
      <x:c r="Q400" s="9"/>
      <x:c r="R400" s="25">
        <x:v>0</x:v>
      </x:c>
      <x:c r="S400" s="41">
        <x:f>IF(P400&gt;0,P400+R400,R400)</x:f>
      </x:c>
      <x:c r="T400" s="9"/>
      <x:c r="U400" s="9"/>
      <x:c r="V400" s="9"/>
      <x:c r="W400" s="39">
        <x:v>46331</x:v>
      </x:c>
      <x:c r="X400" s="40">
        <x:v>56</x:v>
      </x:c>
      <x:c r="Y400" s="41">
        <x:f>(IF(P400&gt;0,P400+R400,R400)-(X400*Ventas!AE264*0.9250))</x:f>
      </x:c>
      <x:c r="Z400" s="9"/>
      <x:c r="AA400" s="41">
        <x:f>(100*(Ventas!AE264*1.4850) - IF(Y400&gt;0,Y400,0))</x:f>
      </x:c>
      <x:c r="AB400" s="41">
        <x:f>IF(AA400&gt;0,AA400,0)</x:f>
      </x:c>
      <x:c r="AC400" s="41">
        <x:f>IF(Y400&gt;0,Y400+IF(AB400&gt;0,AB400,0),AB400)</x:f>
      </x:c>
      <x:c r="AD400" s="9"/>
      <x:c r="AE400" s="9"/>
      <x:c r="AF400" s="9"/>
      <x:c r="AG400" s="9"/>
      <x:c r="AH400" s="7" t="s">
        <x:v>107</x:v>
      </x:c>
    </x:row>
    <x:row r="401">
      <x:c r="A401" s="7"/>
      <x:c r="B401" s="7" t="s">
        <x:v>557</x:v>
      </x:c>
      <x:c r="C401" s="38" t="s">
        <x:v>556</x:v>
      </x:c>
      <x:c r="D401" s="25">
        <x:v>24</x:v>
      </x:c>
      <x:c r="E401" s="39">
        <x:v>46230</x:v>
      </x:c>
      <x:c r="F401" s="40">
        <x:v>5</x:v>
      </x:c>
      <x:c r="G401" s="41">
        <x:f>(D401-(0)+0-(F401*Ventas!AE265*1.3000))</x:f>
      </x:c>
      <x:c r="H401" s="43">
        <x:f>(G401/(Ventas!AE265*1.3000)/60)</x:f>
      </x:c>
      <x:c r="I401" s="25">
        <x:v>0</x:v>
      </x:c>
      <x:c r="J401" s="41">
        <x:f>IF(G401&gt;0,G401+I401,I401)</x:f>
      </x:c>
      <x:c r="K401" s="9"/>
      <x:c r="L401" s="9"/>
      <x:c r="M401" s="9"/>
      <x:c r="N401" s="39">
        <x:v>46275</x:v>
      </x:c>
      <x:c r="O401" s="40">
        <x:v>45</x:v>
      </x:c>
      <x:c r="P401" s="41">
        <x:f>(IF(G401&gt;0,G401+I401,I401)-(O401*Ventas!AE265*0.9600))</x:f>
      </x:c>
      <x:c r="Q401" s="43">
        <x:f>(P401/(Ventas!AE265*0.9600)/60)</x:f>
      </x:c>
      <x:c r="R401" s="25">
        <x:v>0</x:v>
      </x:c>
      <x:c r="S401" s="41">
        <x:f>IF(P401&gt;0,P401+R401,R401)</x:f>
      </x:c>
      <x:c r="T401" s="9"/>
      <x:c r="U401" s="9"/>
      <x:c r="V401" s="9"/>
      <x:c r="W401" s="39">
        <x:v>46331</x:v>
      </x:c>
      <x:c r="X401" s="40">
        <x:v>56</x:v>
      </x:c>
      <x:c r="Y401" s="41">
        <x:f>(IF(P401&gt;0,P401+R401,R401)-(X401*Ventas!AE265*0.9250))</x:f>
      </x:c>
      <x:c r="Z401" s="43">
        <x:f>(Y401/(Ventas!AE265*0.9250)/60)</x:f>
      </x:c>
      <x:c r="AA401" s="41">
        <x:f>(100*(Ventas!AE265*1.4850) - IF(Y401&gt;0,Y401,0))</x:f>
      </x:c>
      <x:c r="AB401" s="41">
        <x:f>IF(AA401&gt;0,AA401,0)</x:f>
      </x:c>
      <x:c r="AC401" s="41">
        <x:f>IF(Y401&gt;0,Y401+IF(AB401&gt;0,AB401,0),AB401)</x:f>
      </x:c>
      <x:c r="AD401" s="46">
        <x:v>4.8121</x:v>
      </x:c>
      <x:c r="AE401" s="25">
        <x:v>3010</x:v>
      </x:c>
      <x:c r="AF401" s="41">
        <x:f>(AC401-(60*Ventas!AE265*1.4850))</x:f>
      </x:c>
      <x:c r="AG401" s="43">
        <x:f>(AF401/(Ventas!AE265*1.4850)/60)</x:f>
      </x:c>
      <x:c r="AH401" s="7" t="s">
        <x:v>34</x:v>
      </x:c>
    </x:row>
    <x:row r="402">
      <x:c r="A402" s="7"/>
      <x:c r="B402" s="7" t="s">
        <x:v>567</x:v>
      </x:c>
      <x:c r="C402" s="38" t="s">
        <x:v>566</x:v>
      </x:c>
      <x:c r="D402" s="9"/>
      <x:c r="E402" s="39">
        <x:v>46230</x:v>
      </x:c>
      <x:c r="F402" s="40">
        <x:v>5</x:v>
      </x:c>
      <x:c r="G402" s="41">
        <x:f>(D402-(0)+0-(F402*Ventas!AE269*1.3000))</x:f>
      </x:c>
      <x:c r="H402" s="9"/>
      <x:c r="I402" s="25">
        <x:v>0</x:v>
      </x:c>
      <x:c r="J402" s="41">
        <x:f>IF(G402&gt;0,G402+I402,I402)</x:f>
      </x:c>
      <x:c r="K402" s="9"/>
      <x:c r="L402" s="41">
        <x:v>50</x:v>
      </x:c>
      <x:c r="M402" s="45">
        <x:v>0.00056</x:v>
      </x:c>
      <x:c r="N402" s="39">
        <x:v>46275</x:v>
      </x:c>
      <x:c r="O402" s="40">
        <x:v>45</x:v>
      </x:c>
      <x:c r="P402" s="41">
        <x:f>(IF(G402&gt;0,G402+I402,I402)-(O402*Ventas!AE269*0.9600))</x:f>
      </x:c>
      <x:c r="Q402" s="9"/>
      <x:c r="R402" s="25">
        <x:v>0</x:v>
      </x:c>
      <x:c r="S402" s="41">
        <x:f>IF(P402&gt;0,P402+R402,R402)</x:f>
      </x:c>
      <x:c r="T402" s="9"/>
      <x:c r="U402" s="41">
        <x:v>50</x:v>
      </x:c>
      <x:c r="V402" s="45">
        <x:v>0.00056</x:v>
      </x:c>
      <x:c r="W402" s="39">
        <x:v>46331</x:v>
      </x:c>
      <x:c r="X402" s="40">
        <x:v>56</x:v>
      </x:c>
      <x:c r="Y402" s="41">
        <x:f>(IF(P402&gt;0,P402+R402,R402)-(X402*Ventas!AE269*0.9250))</x:f>
      </x:c>
      <x:c r="Z402" s="9"/>
      <x:c r="AA402" s="41">
        <x:f>(100*(Ventas!AE269*1.4850) - IF(Y402&gt;0,Y402,0))</x:f>
      </x:c>
      <x:c r="AB402" s="41">
        <x:f>IF(AA402&gt;0,AA402,0)</x:f>
      </x:c>
      <x:c r="AC402" s="41">
        <x:f>IF(Y402&gt;0,Y402+IF(AB402&gt;0,AB402,0),AB402)</x:f>
      </x:c>
      <x:c r="AD402" s="9"/>
      <x:c r="AE402" s="9"/>
      <x:c r="AF402" s="9"/>
      <x:c r="AG402" s="9"/>
      <x:c r="AH402" s="7" t="s">
        <x:v>34</x:v>
      </x:c>
    </x:row>
    <x:row r="403">
      <x:c r="A403" s="7" t="s">
        <x:v>570</x:v>
      </x:c>
      <x:c r="B403" s="7" t="s">
        <x:v>569</x:v>
      </x:c>
      <x:c r="C403" s="38" t="s">
        <x:v>568</x:v>
      </x:c>
      <x:c r="D403" s="9"/>
      <x:c r="E403" s="39">
        <x:v>46230</x:v>
      </x:c>
      <x:c r="F403" s="40">
        <x:v>5</x:v>
      </x:c>
      <x:c r="G403" s="41">
        <x:f>(D403-(0)+0-(F403*Ventas!AE270*1.3000))</x:f>
      </x:c>
      <x:c r="H403" s="43">
        <x:f>(G403/(Ventas!AE270*1.3000)/60)</x:f>
      </x:c>
      <x:c r="I403" s="25">
        <x:v>60</x:v>
      </x:c>
      <x:c r="J403" s="41">
        <x:f>IF(G403&gt;0,G403+I403,I403)</x:f>
      </x:c>
      <x:c r="K403" s="41">
        <x:v>7.2</x:v>
      </x:c>
      <x:c r="L403" s="41">
        <x:v>60</x:v>
      </x:c>
      <x:c r="M403" s="45">
        <x:v>0.000617</x:v>
      </x:c>
      <x:c r="N403" s="39">
        <x:v>46275</x:v>
      </x:c>
      <x:c r="O403" s="40">
        <x:v>45</x:v>
      </x:c>
      <x:c r="P403" s="41">
        <x:f>(IF(G403&gt;0,G403+I403,I403)-(O403*Ventas!AE270*0.9600))</x:f>
      </x:c>
      <x:c r="Q403" s="43">
        <x:f>(P403/(Ventas!AE270*0.9600)/60)</x:f>
      </x:c>
      <x:c r="R403" s="25">
        <x:v>0</x:v>
      </x:c>
      <x:c r="S403" s="41">
        <x:f>IF(P403&gt;0,P403+R403,R403)</x:f>
      </x:c>
      <x:c r="T403" s="9"/>
      <x:c r="U403" s="41">
        <x:v>60</x:v>
      </x:c>
      <x:c r="V403" s="45">
        <x:v>0.000617</x:v>
      </x:c>
      <x:c r="W403" s="39">
        <x:v>46331</x:v>
      </x:c>
      <x:c r="X403" s="40">
        <x:v>56</x:v>
      </x:c>
      <x:c r="Y403" s="41">
        <x:f>(IF(P403&gt;0,P403+R403,R403)-(X403*Ventas!AE270*0.9250))</x:f>
      </x:c>
      <x:c r="Z403" s="43">
        <x:f>(Y403/(Ventas!AE270*0.9250)/60)</x:f>
      </x:c>
      <x:c r="AA403" s="41">
        <x:f>(100*(Ventas!AE270*1.4850) - IF(Y403&gt;0,Y403,0))</x:f>
      </x:c>
      <x:c r="AB403" s="41">
        <x:f>IF(AA403&gt;0,AA403,0)</x:f>
      </x:c>
      <x:c r="AC403" s="41">
        <x:f>IF(Y403&gt;0,Y403+IF(AB403&gt;0,AB403,0),AB403)</x:f>
      </x:c>
      <x:c r="AD403" s="46">
        <x:v>7.2</x:v>
      </x:c>
      <x:c r="AE403" s="25">
        <x:v>3027</x:v>
      </x:c>
      <x:c r="AF403" s="41">
        <x:f>(AC403-(60*Ventas!AE270*1.4850))</x:f>
      </x:c>
      <x:c r="AG403" s="43">
        <x:f>(AF403/(Ventas!AE270*1.4850)/60)</x:f>
      </x:c>
      <x:c r="AH403" s="7" t="s">
        <x:v>34</x:v>
      </x:c>
    </x:row>
    <x:row r="404">
      <x:c r="A404" s="7" t="s">
        <x:v>573</x:v>
      </x:c>
      <x:c r="B404" s="7" t="s">
        <x:v>572</x:v>
      </x:c>
      <x:c r="C404" s="38" t="s">
        <x:v>571</x:v>
      </x:c>
      <x:c r="D404" s="25">
        <x:v>8</x:v>
      </x:c>
      <x:c r="E404" s="39">
        <x:v>46230</x:v>
      </x:c>
      <x:c r="F404" s="40">
        <x:v>5</x:v>
      </x:c>
      <x:c r="G404" s="41">
        <x:f>(D404-(0)+0-(F404*Ventas!AE271*1.3000))</x:f>
      </x:c>
      <x:c r="H404" s="43">
        <x:f>(G404/(Ventas!AE271*1.3000)/60)</x:f>
      </x:c>
      <x:c r="I404" s="25">
        <x:v>0</x:v>
      </x:c>
      <x:c r="J404" s="41">
        <x:f>IF(G404&gt;0,G404+I404,I404)</x:f>
      </x:c>
      <x:c r="K404" s="9"/>
      <x:c r="L404" s="41">
        <x:v>60</x:v>
      </x:c>
      <x:c r="M404" s="45">
        <x:v>0.000617</x:v>
      </x:c>
      <x:c r="N404" s="39">
        <x:v>46275</x:v>
      </x:c>
      <x:c r="O404" s="40">
        <x:v>45</x:v>
      </x:c>
      <x:c r="P404" s="41">
        <x:f>(IF(G404&gt;0,G404+I404,I404)-(O404*Ventas!AE271*0.9600))</x:f>
      </x:c>
      <x:c r="Q404" s="43">
        <x:f>(P404/(Ventas!AE271*0.9600)/60)</x:f>
      </x:c>
      <x:c r="R404" s="25">
        <x:v>0</x:v>
      </x:c>
      <x:c r="S404" s="41">
        <x:f>IF(P404&gt;0,P404+R404,R404)</x:f>
      </x:c>
      <x:c r="T404" s="9"/>
      <x:c r="U404" s="41">
        <x:v>60</x:v>
      </x:c>
      <x:c r="V404" s="45">
        <x:v>0.000617</x:v>
      </x:c>
      <x:c r="W404" s="39">
        <x:v>46331</x:v>
      </x:c>
      <x:c r="X404" s="40">
        <x:v>56</x:v>
      </x:c>
      <x:c r="Y404" s="41">
        <x:f>(IF(P404&gt;0,P404+R404,R404)-(X404*Ventas!AE271*0.9250))</x:f>
      </x:c>
      <x:c r="Z404" s="43">
        <x:f>(Y404/(Ventas!AE271*0.9250)/60)</x:f>
      </x:c>
      <x:c r="AA404" s="41">
        <x:f>(100*(Ventas!AE271*1.4850) - IF(Y404&gt;0,Y404,0))</x:f>
      </x:c>
      <x:c r="AB404" s="41">
        <x:f>IF(AA404&gt;0,AA404,0)</x:f>
      </x:c>
      <x:c r="AC404" s="41">
        <x:f>IF(Y404&gt;0,Y404+IF(AB404&gt;0,AB404,0),AB404)</x:f>
      </x:c>
      <x:c r="AD404" s="46">
        <x:v>7.0709</x:v>
      </x:c>
      <x:c r="AE404" s="25">
        <x:v>3010</x:v>
      </x:c>
      <x:c r="AF404" s="41">
        <x:f>(AC404-(60*Ventas!AE271*1.4850))</x:f>
      </x:c>
      <x:c r="AG404" s="43">
        <x:f>(AF404/(Ventas!AE271*1.4850)/60)</x:f>
      </x:c>
      <x:c r="AH404" s="7" t="s">
        <x:v>34</x:v>
      </x:c>
    </x:row>
    <x:row r="405">
      <x:c r="A405" s="7" t="s">
        <x:v>791</x:v>
      </x:c>
      <x:c r="B405" s="7" t="s">
        <x:v>790</x:v>
      </x:c>
      <x:c r="C405" s="38" t="s">
        <x:v>789</x:v>
      </x:c>
      <x:c r="D405" s="9"/>
      <x:c r="E405" s="39">
        <x:v>46230</x:v>
      </x:c>
      <x:c r="F405" s="40">
        <x:v>5</x:v>
      </x:c>
      <x:c r="G405" s="41">
        <x:f>(D405-(0)+0-(F405*Ventas!AE348*1.3000))</x:f>
      </x:c>
      <x:c r="H405" s="9"/>
      <x:c r="I405" s="25">
        <x:v>0</x:v>
      </x:c>
      <x:c r="J405" s="41">
        <x:f>IF(G405&gt;0,G405+I405,I405)</x:f>
      </x:c>
      <x:c r="K405" s="9"/>
      <x:c r="L405" s="41">
        <x:v>60</x:v>
      </x:c>
      <x:c r="M405" s="45">
        <x:v>0.0005</x:v>
      </x:c>
      <x:c r="N405" s="39">
        <x:v>46275</x:v>
      </x:c>
      <x:c r="O405" s="40">
        <x:v>45</x:v>
      </x:c>
      <x:c r="P405" s="41">
        <x:f>(IF(G405&gt;0,G405+I405,I405)-(O405*Ventas!AE348*0.9600))</x:f>
      </x:c>
      <x:c r="Q405" s="9"/>
      <x:c r="R405" s="25">
        <x:v>0</x:v>
      </x:c>
      <x:c r="S405" s="41">
        <x:f>IF(P405&gt;0,P405+R405,R405)</x:f>
      </x:c>
      <x:c r="T405" s="9"/>
      <x:c r="U405" s="41">
        <x:v>60</x:v>
      </x:c>
      <x:c r="V405" s="45">
        <x:v>0.0005</x:v>
      </x:c>
      <x:c r="W405" s="39">
        <x:v>46331</x:v>
      </x:c>
      <x:c r="X405" s="40">
        <x:v>56</x:v>
      </x:c>
      <x:c r="Y405" s="41">
        <x:f>(IF(P405&gt;0,P405+R405,R405)-(X405*Ventas!AE348*0.9250))</x:f>
      </x:c>
      <x:c r="Z405" s="9"/>
      <x:c r="AA405" s="41">
        <x:f>(100*(Ventas!AE348*1.4850) - IF(Y405&gt;0,Y405,0))</x:f>
      </x:c>
      <x:c r="AB405" s="41">
        <x:f>IF(AA405&gt;0,AA405,0)</x:f>
      </x:c>
      <x:c r="AC405" s="41">
        <x:f>IF(Y405&gt;0,Y405+IF(AB405&gt;0,AB405,0),AB405)</x:f>
      </x:c>
      <x:c r="AD405" s="9"/>
      <x:c r="AE405" s="9"/>
      <x:c r="AF405" s="9"/>
      <x:c r="AG405" s="9"/>
      <x:c r="AH405" s="7" t="s">
        <x:v>34</x:v>
      </x:c>
    </x:row>
    <x:row r="406">
      <x:c r="A406" s="7"/>
      <x:c r="B406" s="7" t="s">
        <x:v>906</x:v>
      </x:c>
      <x:c r="C406" s="38" t="s">
        <x:v>905</x:v>
      </x:c>
      <x:c r="D406" s="9"/>
      <x:c r="E406" s="39">
        <x:v>46230</x:v>
      </x:c>
      <x:c r="F406" s="40">
        <x:v>5</x:v>
      </x:c>
      <x:c r="G406" s="41">
        <x:f>(D406-(0)+0-(F406*Ventas!AE403*1.3000))</x:f>
      </x:c>
      <x:c r="H406" s="9"/>
      <x:c r="I406" s="25">
        <x:v>100</x:v>
      </x:c>
      <x:c r="J406" s="41">
        <x:f>IF(G406&gt;0,G406+I406,I406)</x:f>
      </x:c>
      <x:c r="K406" s="41">
        <x:v>7.4</x:v>
      </x:c>
      <x:c r="L406" s="41">
        <x:v>50</x:v>
      </x:c>
      <x:c r="M406" s="45">
        <x:v>0.00056</x:v>
      </x:c>
      <x:c r="N406" s="39">
        <x:v>46275</x:v>
      </x:c>
      <x:c r="O406" s="40">
        <x:v>45</x:v>
      </x:c>
      <x:c r="P406" s="41">
        <x:f>(IF(G406&gt;0,G406+I406,I406)-(O406*Ventas!AE403*0.9600))</x:f>
      </x:c>
      <x:c r="Q406" s="9"/>
      <x:c r="R406" s="25">
        <x:v>0</x:v>
      </x:c>
      <x:c r="S406" s="41">
        <x:f>IF(P406&gt;0,P406+R406,R406)</x:f>
      </x:c>
      <x:c r="T406" s="9"/>
      <x:c r="U406" s="41">
        <x:v>50</x:v>
      </x:c>
      <x:c r="V406" s="45">
        <x:v>0.00056</x:v>
      </x:c>
      <x:c r="W406" s="39">
        <x:v>46331</x:v>
      </x:c>
      <x:c r="X406" s="40">
        <x:v>56</x:v>
      </x:c>
      <x:c r="Y406" s="41">
        <x:f>(IF(P406&gt;0,P406+R406,R406)-(X406*Ventas!AE403*0.9250))</x:f>
      </x:c>
      <x:c r="Z406" s="9"/>
      <x:c r="AA406" s="41">
        <x:f>(100*(Ventas!AE403*1.4850) - IF(Y406&gt;0,Y406,0))</x:f>
      </x:c>
      <x:c r="AB406" s="41">
        <x:f>IF(AA406&gt;0,AA406,0)</x:f>
      </x:c>
      <x:c r="AC406" s="41">
        <x:f>IF(Y406&gt;0,Y406+IF(AB406&gt;0,AB406,0),AB406)</x:f>
      </x:c>
      <x:c r="AD406" s="46">
        <x:v>7.4</x:v>
      </x:c>
      <x:c r="AE406" s="25">
        <x:v>3027</x:v>
      </x:c>
      <x:c r="AF406" s="9"/>
      <x:c r="AG406" s="9"/>
      <x:c r="AH406" s="7" t="s">
        <x:v>34</x:v>
      </x:c>
    </x:row>
    <x:row r="407">
      <x:c r="A407" s="7"/>
      <x:c r="B407" s="7" t="s">
        <x:v>908</x:v>
      </x:c>
      <x:c r="C407" s="38" t="s">
        <x:v>907</x:v>
      </x:c>
      <x:c r="D407" s="9"/>
      <x:c r="E407" s="39">
        <x:v>46230</x:v>
      </x:c>
      <x:c r="F407" s="40">
        <x:v>5</x:v>
      </x:c>
      <x:c r="G407" s="41">
        <x:f>(D407-(0)+0-(F407*Ventas!AE404*1.3000))</x:f>
      </x:c>
      <x:c r="H407" s="9"/>
      <x:c r="I407" s="25">
        <x:v>100</x:v>
      </x:c>
      <x:c r="J407" s="41">
        <x:f>IF(G407&gt;0,G407+I407,I407)</x:f>
      </x:c>
      <x:c r="K407" s="41">
        <x:v>7.4</x:v>
      </x:c>
      <x:c r="L407" s="41">
        <x:v>50</x:v>
      </x:c>
      <x:c r="M407" s="45">
        <x:v>0.00056</x:v>
      </x:c>
      <x:c r="N407" s="39">
        <x:v>46275</x:v>
      </x:c>
      <x:c r="O407" s="40">
        <x:v>45</x:v>
      </x:c>
      <x:c r="P407" s="41">
        <x:f>(IF(G407&gt;0,G407+I407,I407)-(O407*Ventas!AE404*0.9600))</x:f>
      </x:c>
      <x:c r="Q407" s="9"/>
      <x:c r="R407" s="25">
        <x:v>0</x:v>
      </x:c>
      <x:c r="S407" s="41">
        <x:f>IF(P407&gt;0,P407+R407,R407)</x:f>
      </x:c>
      <x:c r="T407" s="9"/>
      <x:c r="U407" s="41">
        <x:v>50</x:v>
      </x:c>
      <x:c r="V407" s="45">
        <x:v>0.00056</x:v>
      </x:c>
      <x:c r="W407" s="39">
        <x:v>46331</x:v>
      </x:c>
      <x:c r="X407" s="40">
        <x:v>56</x:v>
      </x:c>
      <x:c r="Y407" s="41">
        <x:f>(IF(P407&gt;0,P407+R407,R407)-(X407*Ventas!AE404*0.9250))</x:f>
      </x:c>
      <x:c r="Z407" s="9"/>
      <x:c r="AA407" s="41">
        <x:f>(100*(Ventas!AE404*1.4850) - IF(Y407&gt;0,Y407,0))</x:f>
      </x:c>
      <x:c r="AB407" s="41">
        <x:f>IF(AA407&gt;0,AA407,0)</x:f>
      </x:c>
      <x:c r="AC407" s="41">
        <x:f>IF(Y407&gt;0,Y407+IF(AB407&gt;0,AB407,0),AB407)</x:f>
      </x:c>
      <x:c r="AD407" s="46">
        <x:v>7.4</x:v>
      </x:c>
      <x:c r="AE407" s="25">
        <x:v>3027</x:v>
      </x:c>
      <x:c r="AF407" s="9"/>
      <x:c r="AG407" s="9"/>
      <x:c r="AH407" s="7" t="s">
        <x:v>34</x:v>
      </x:c>
    </x:row>
    <x:row r="408">
      <x:c r="A408" s="7"/>
      <x:c r="B408" s="7" t="s">
        <x:v>910</x:v>
      </x:c>
      <x:c r="C408" s="38" t="s">
        <x:v>909</x:v>
      </x:c>
      <x:c r="D408" s="9"/>
      <x:c r="E408" s="39">
        <x:v>46230</x:v>
      </x:c>
      <x:c r="F408" s="40">
        <x:v>5</x:v>
      </x:c>
      <x:c r="G408" s="41">
        <x:f>(D408-(0)+0-(F408*Ventas!AE405*1.3000))</x:f>
      </x:c>
      <x:c r="H408" s="9"/>
      <x:c r="I408" s="25">
        <x:v>50</x:v>
      </x:c>
      <x:c r="J408" s="41">
        <x:f>IF(G408&gt;0,G408+I408,I408)</x:f>
      </x:c>
      <x:c r="K408" s="41">
        <x:v>7.4</x:v>
      </x:c>
      <x:c r="L408" s="41">
        <x:v>50</x:v>
      </x:c>
      <x:c r="M408" s="45">
        <x:v>0.00056</x:v>
      </x:c>
      <x:c r="N408" s="39">
        <x:v>46275</x:v>
      </x:c>
      <x:c r="O408" s="40">
        <x:v>45</x:v>
      </x:c>
      <x:c r="P408" s="41">
        <x:f>(IF(G408&gt;0,G408+I408,I408)-(O408*Ventas!AE405*0.9600))</x:f>
      </x:c>
      <x:c r="Q408" s="9"/>
      <x:c r="R408" s="25">
        <x:v>0</x:v>
      </x:c>
      <x:c r="S408" s="41">
        <x:f>IF(P408&gt;0,P408+R408,R408)</x:f>
      </x:c>
      <x:c r="T408" s="9"/>
      <x:c r="U408" s="41">
        <x:v>50</x:v>
      </x:c>
      <x:c r="V408" s="45">
        <x:v>0.00056</x:v>
      </x:c>
      <x:c r="W408" s="39">
        <x:v>46331</x:v>
      </x:c>
      <x:c r="X408" s="40">
        <x:v>56</x:v>
      </x:c>
      <x:c r="Y408" s="41">
        <x:f>(IF(P408&gt;0,P408+R408,R408)-(X408*Ventas!AE405*0.9250))</x:f>
      </x:c>
      <x:c r="Z408" s="9"/>
      <x:c r="AA408" s="41">
        <x:f>(100*(Ventas!AE405*1.4850) - IF(Y408&gt;0,Y408,0))</x:f>
      </x:c>
      <x:c r="AB408" s="41">
        <x:f>IF(AA408&gt;0,AA408,0)</x:f>
      </x:c>
      <x:c r="AC408" s="41">
        <x:f>IF(Y408&gt;0,Y408+IF(AB408&gt;0,AB408,0),AB408)</x:f>
      </x:c>
      <x:c r="AD408" s="46">
        <x:v>7.4</x:v>
      </x:c>
      <x:c r="AE408" s="25">
        <x:v>3027</x:v>
      </x:c>
      <x:c r="AF408" s="9"/>
      <x:c r="AG408" s="9"/>
      <x:c r="AH408" s="7" t="s">
        <x:v>34</x:v>
      </x:c>
    </x:row>
    <x:row r="409">
      <x:c r="A409" s="7"/>
      <x:c r="B409" s="7" t="s">
        <x:v>285</x:v>
      </x:c>
      <x:c r="C409" s="38" t="s">
        <x:v>284</x:v>
      </x:c>
      <x:c r="D409" s="25">
        <x:v>7</x:v>
      </x:c>
      <x:c r="E409" s="39">
        <x:v>46230</x:v>
      </x:c>
      <x:c r="F409" s="40">
        <x:v>5</x:v>
      </x:c>
      <x:c r="G409" s="41">
        <x:f>(D409-(0)+0-(F409*Ventas!AE129*1.0000))</x:f>
      </x:c>
      <x:c r="H409" s="43">
        <x:f>(G409/(Ventas!AE129*1.0000)/45)</x:f>
      </x:c>
      <x:c r="I409" s="25">
        <x:v>0</x:v>
      </x:c>
      <x:c r="J409" s="41">
        <x:f>IF(G409&gt;0,G409+I409,I409)</x:f>
      </x:c>
      <x:c r="K409" s="9"/>
      <x:c r="L409" s="41">
        <x:v>20</x:v>
      </x:c>
      <x:c r="M409" s="45">
        <x:v>0.01093</x:v>
      </x:c>
      <x:c r="N409" s="39">
        <x:v>46275</x:v>
      </x:c>
      <x:c r="O409" s="40">
        <x:v>45</x:v>
      </x:c>
      <x:c r="P409" s="41">
        <x:f>(IF(G409&gt;0,G409+I409,I409)-(O409*Ventas!AE129*1.0000))</x:f>
      </x:c>
      <x:c r="Q409" s="43">
        <x:f>(P409/(Ventas!AE129*1.0000)/45)</x:f>
      </x:c>
      <x:c r="R409" s="25">
        <x:v>0</x:v>
      </x:c>
      <x:c r="S409" s="41">
        <x:f>IF(P409&gt;0,P409+R409,R409)</x:f>
      </x:c>
      <x:c r="T409" s="9"/>
      <x:c r="U409" s="41">
        <x:v>20</x:v>
      </x:c>
      <x:c r="V409" s="45">
        <x:v>0.01093</x:v>
      </x:c>
      <x:c r="W409" s="39">
        <x:v>46331</x:v>
      </x:c>
      <x:c r="X409" s="40">
        <x:v>56</x:v>
      </x:c>
      <x:c r="Y409" s="41">
        <x:f>(IF(P409&gt;0,P409+R409,R409)-(X409*Ventas!AE129*1.0000))</x:f>
      </x:c>
      <x:c r="Z409" s="43">
        <x:f>(Y409/(Ventas!AE129*1.0000)/45)</x:f>
      </x:c>
      <x:c r="AA409" s="41">
        <x:f>(100*(Ventas!AE129*1.0000) - IF(Y409&gt;0,Y409,0))</x:f>
      </x:c>
      <x:c r="AB409" s="41">
        <x:f>IF(AA409&gt;0,AA409,0)</x:f>
      </x:c>
      <x:c r="AC409" s="41">
        <x:f>IF(Y409&gt;0,Y409+IF(AB409&gt;0,AB409,0),AB409)</x:f>
      </x:c>
      <x:c r="AD409" s="46">
        <x:v>16.8</x:v>
      </x:c>
      <x:c r="AE409" s="25">
        <x:v>3010</x:v>
      </x:c>
      <x:c r="AF409" s="41">
        <x:f>(AC409-(60*Ventas!AE129*1.0000))</x:f>
      </x:c>
      <x:c r="AG409" s="43">
        <x:f>(AF409/(Ventas!AE129*1.0000)/45)</x:f>
      </x:c>
      <x:c r="AH409" s="7" t="s">
        <x:v>34</x:v>
      </x:c>
    </x:row>
    <x:row r="410">
      <x:c r="A410" s="7"/>
      <x:c r="B410" s="7" t="s">
        <x:v>294</x:v>
      </x:c>
      <x:c r="C410" s="38" t="s">
        <x:v>293</x:v>
      </x:c>
      <x:c r="D410" s="25">
        <x:v>27</x:v>
      </x:c>
      <x:c r="E410" s="39">
        <x:v>46230</x:v>
      </x:c>
      <x:c r="F410" s="40">
        <x:v>5</x:v>
      </x:c>
      <x:c r="G410" s="41">
        <x:f>(D410-(0)+0-(F410*Ventas!AE133*1.0000))</x:f>
      </x:c>
      <x:c r="H410" s="43">
        <x:f>(G410/(Ventas!AE133*1.0000)/45)</x:f>
      </x:c>
      <x:c r="I410" s="25">
        <x:v>0</x:v>
      </x:c>
      <x:c r="J410" s="41">
        <x:f>IF(G410&gt;0,G410+I410,I410)</x:f>
      </x:c>
      <x:c r="K410" s="9"/>
      <x:c r="L410" s="41">
        <x:v>18</x:v>
      </x:c>
      <x:c r="M410" s="45">
        <x:v>0.011628</x:v>
      </x:c>
      <x:c r="N410" s="39">
        <x:v>46275</x:v>
      </x:c>
      <x:c r="O410" s="40">
        <x:v>45</x:v>
      </x:c>
      <x:c r="P410" s="41">
        <x:f>(IF(G410&gt;0,G410+I410,I410)-(O410*Ventas!AE133*1.0000))</x:f>
      </x:c>
      <x:c r="Q410" s="43">
        <x:f>(P410/(Ventas!AE133*1.0000)/45)</x:f>
      </x:c>
      <x:c r="R410" s="25">
        <x:v>0</x:v>
      </x:c>
      <x:c r="S410" s="41">
        <x:f>IF(P410&gt;0,P410+R410,R410)</x:f>
      </x:c>
      <x:c r="T410" s="9"/>
      <x:c r="U410" s="41">
        <x:v>18</x:v>
      </x:c>
      <x:c r="V410" s="45">
        <x:v>0.011628</x:v>
      </x:c>
      <x:c r="W410" s="39">
        <x:v>46331</x:v>
      </x:c>
      <x:c r="X410" s="40">
        <x:v>56</x:v>
      </x:c>
      <x:c r="Y410" s="41">
        <x:f>(IF(P410&gt;0,P410+R410,R410)-(X410*Ventas!AE133*1.0000))</x:f>
      </x:c>
      <x:c r="Z410" s="43">
        <x:f>(Y410/(Ventas!AE133*1.0000)/45)</x:f>
      </x:c>
      <x:c r="AA410" s="41">
        <x:f>(100*(Ventas!AE133*1.0000) - IF(Y410&gt;0,Y410,0))</x:f>
      </x:c>
      <x:c r="AB410" s="41">
        <x:f>IF(AA410&gt;0,AA410,0)</x:f>
      </x:c>
      <x:c r="AC410" s="41">
        <x:f>IF(Y410&gt;0,Y410+IF(AB410&gt;0,AB410,0),AB410)</x:f>
      </x:c>
      <x:c r="AD410" s="46">
        <x:v>18.1</x:v>
      </x:c>
      <x:c r="AE410" s="25">
        <x:v>3010</x:v>
      </x:c>
      <x:c r="AF410" s="41">
        <x:f>(AC410-(60*Ventas!AE133*1.0000))</x:f>
      </x:c>
      <x:c r="AG410" s="43">
        <x:f>(AF410/(Ventas!AE133*1.0000)/45)</x:f>
      </x:c>
      <x:c r="AH410" s="7" t="s">
        <x:v>34</x:v>
      </x:c>
    </x:row>
    <x:row r="411">
      <x:c r="A411" s="7"/>
      <x:c r="B411" s="7" t="s">
        <x:v>912</x:v>
      </x:c>
      <x:c r="C411" s="38" t="s">
        <x:v>911</x:v>
      </x:c>
      <x:c r="D411" s="9"/>
      <x:c r="E411" s="39">
        <x:v>46230</x:v>
      </x:c>
      <x:c r="F411" s="40">
        <x:v>5</x:v>
      </x:c>
      <x:c r="G411" s="41">
        <x:f>(D411-(0)+0-(F411*Ventas!AE406*1.3000))</x:f>
      </x:c>
      <x:c r="H411" s="43">
        <x:f>(G411/(Ventas!AE406*1.3000)/60)</x:f>
      </x:c>
      <x:c r="I411" s="25">
        <x:v>0</x:v>
      </x:c>
      <x:c r="J411" s="41">
        <x:f>IF(G411&gt;0,G411+I411,I411)</x:f>
      </x:c>
      <x:c r="K411" s="9"/>
      <x:c r="L411" s="41">
        <x:v>20</x:v>
      </x:c>
      <x:c r="M411" s="45">
        <x:v>0.00305</x:v>
      </x:c>
      <x:c r="N411" s="39">
        <x:v>46275</x:v>
      </x:c>
      <x:c r="O411" s="40">
        <x:v>45</x:v>
      </x:c>
      <x:c r="P411" s="41">
        <x:f>(IF(G411&gt;0,G411+I411,I411)-(O411*Ventas!AE406*0.9600))</x:f>
      </x:c>
      <x:c r="Q411" s="43">
        <x:f>(P411/(Ventas!AE406*0.9600)/60)</x:f>
      </x:c>
      <x:c r="R411" s="25">
        <x:v>0</x:v>
      </x:c>
      <x:c r="S411" s="41">
        <x:f>IF(P411&gt;0,P411+R411,R411)</x:f>
      </x:c>
      <x:c r="T411" s="9"/>
      <x:c r="U411" s="41">
        <x:v>20</x:v>
      </x:c>
      <x:c r="V411" s="45">
        <x:v>0.00305</x:v>
      </x:c>
      <x:c r="W411" s="39">
        <x:v>46331</x:v>
      </x:c>
      <x:c r="X411" s="40">
        <x:v>56</x:v>
      </x:c>
      <x:c r="Y411" s="41">
        <x:f>(IF(P411&gt;0,P411+R411,R411)-(X411*Ventas!AE406*0.9250))</x:f>
      </x:c>
      <x:c r="Z411" s="43">
        <x:f>(Y411/(Ventas!AE406*0.9250)/60)</x:f>
      </x:c>
      <x:c r="AA411" s="41">
        <x:f>(100*(Ventas!AE406*1.4850) - IF(Y411&gt;0,Y411,0))</x:f>
      </x:c>
      <x:c r="AB411" s="41">
        <x:f>IF(AA411&gt;0,AA411,0)</x:f>
      </x:c>
      <x:c r="AC411" s="41">
        <x:f>IF(Y411&gt;0,Y411+IF(AB411&gt;0,AB411,0),AB411)</x:f>
      </x:c>
      <x:c r="AD411" s="46">
        <x:v>7.7</x:v>
      </x:c>
      <x:c r="AE411" s="25">
        <x:v>3010</x:v>
      </x:c>
      <x:c r="AF411" s="41">
        <x:f>(AC411-(60*Ventas!AE406*1.4850))</x:f>
      </x:c>
      <x:c r="AG411" s="43">
        <x:f>(AF411/(Ventas!AE406*1.4850)/60)</x:f>
      </x:c>
      <x:c r="AH411" s="7" t="s">
        <x:v>34</x:v>
      </x:c>
    </x:row>
    <x:row r="412">
      <x:c r="A412" s="7"/>
      <x:c r="B412" s="7" t="s">
        <x:v>914</x:v>
      </x:c>
      <x:c r="C412" s="38" t="s">
        <x:v>913</x:v>
      </x:c>
      <x:c r="D412" s="25">
        <x:v>65</x:v>
      </x:c>
      <x:c r="E412" s="39">
        <x:v>46230</x:v>
      </x:c>
      <x:c r="F412" s="40">
        <x:v>5</x:v>
      </x:c>
      <x:c r="G412" s="41">
        <x:f>(D412-(0)+0-(F412*Ventas!AE407*1.3000))</x:f>
      </x:c>
      <x:c r="H412" s="43">
        <x:f>(G412/(Ventas!AE407*1.3000)/60)</x:f>
      </x:c>
      <x:c r="I412" s="25">
        <x:v>0</x:v>
      </x:c>
      <x:c r="J412" s="41">
        <x:f>IF(G412&gt;0,G412+I412,I412)</x:f>
      </x:c>
      <x:c r="K412" s="9"/>
      <x:c r="L412" s="41">
        <x:v>20</x:v>
      </x:c>
      <x:c r="M412" s="45">
        <x:v>0.00305</x:v>
      </x:c>
      <x:c r="N412" s="39">
        <x:v>46275</x:v>
      </x:c>
      <x:c r="O412" s="40">
        <x:v>45</x:v>
      </x:c>
      <x:c r="P412" s="41">
        <x:f>(IF(G412&gt;0,G412+I412,I412)-(O412*Ventas!AE407*0.9600))</x:f>
      </x:c>
      <x:c r="Q412" s="43">
        <x:f>(P412/(Ventas!AE407*0.9600)/60)</x:f>
      </x:c>
      <x:c r="R412" s="25">
        <x:v>0</x:v>
      </x:c>
      <x:c r="S412" s="41">
        <x:f>IF(P412&gt;0,P412+R412,R412)</x:f>
      </x:c>
      <x:c r="T412" s="9"/>
      <x:c r="U412" s="41">
        <x:v>20</x:v>
      </x:c>
      <x:c r="V412" s="45">
        <x:v>0.00305</x:v>
      </x:c>
      <x:c r="W412" s="39">
        <x:v>46331</x:v>
      </x:c>
      <x:c r="X412" s="40">
        <x:v>56</x:v>
      </x:c>
      <x:c r="Y412" s="41">
        <x:f>(IF(P412&gt;0,P412+R412,R412)-(X412*Ventas!AE407*0.9250))</x:f>
      </x:c>
      <x:c r="Z412" s="43">
        <x:f>(Y412/(Ventas!AE407*0.9250)/60)</x:f>
      </x:c>
      <x:c r="AA412" s="41">
        <x:f>(100*(Ventas!AE407*1.4850) - IF(Y412&gt;0,Y412,0))</x:f>
      </x:c>
      <x:c r="AB412" s="41">
        <x:f>IF(AA412&gt;0,AA412,0)</x:f>
      </x:c>
      <x:c r="AC412" s="41">
        <x:f>IF(Y412&gt;0,Y412+IF(AB412&gt;0,AB412,0),AB412)</x:f>
      </x:c>
      <x:c r="AD412" s="46">
        <x:v>7.7</x:v>
      </x:c>
      <x:c r="AE412" s="25">
        <x:v>3010</x:v>
      </x:c>
      <x:c r="AF412" s="41">
        <x:f>(AC412-(60*Ventas!AE407*1.4850))</x:f>
      </x:c>
      <x:c r="AG412" s="43">
        <x:f>(AF412/(Ventas!AE407*1.4850)/60)</x:f>
      </x:c>
      <x:c r="AH412" s="7" t="s">
        <x:v>34</x:v>
      </x:c>
    </x:row>
    <x:row r="413">
      <x:c r="A413" s="7"/>
      <x:c r="B413" s="7" t="s">
        <x:v>916</x:v>
      </x:c>
      <x:c r="C413" s="38" t="s">
        <x:v>915</x:v>
      </x:c>
      <x:c r="D413" s="9"/>
      <x:c r="E413" s="39">
        <x:v>46230</x:v>
      </x:c>
      <x:c r="F413" s="40">
        <x:v>5</x:v>
      </x:c>
      <x:c r="G413" s="41">
        <x:f>(D413-(0)+0-(F413*Ventas!AE408*1.3000))</x:f>
      </x:c>
      <x:c r="H413" s="43">
        <x:f>(G413/(Ventas!AE408*1.3000)/60)</x:f>
      </x:c>
      <x:c r="I413" s="25">
        <x:v>0</x:v>
      </x:c>
      <x:c r="J413" s="41">
        <x:f>IF(G413&gt;0,G413+I413,I413)</x:f>
      </x:c>
      <x:c r="K413" s="9"/>
      <x:c r="L413" s="41">
        <x:v>20</x:v>
      </x:c>
      <x:c r="M413" s="45">
        <x:v>0.00305</x:v>
      </x:c>
      <x:c r="N413" s="39">
        <x:v>46275</x:v>
      </x:c>
      <x:c r="O413" s="40">
        <x:v>45</x:v>
      </x:c>
      <x:c r="P413" s="41">
        <x:f>(IF(G413&gt;0,G413+I413,I413)-(O413*Ventas!AE408*0.9600))</x:f>
      </x:c>
      <x:c r="Q413" s="43">
        <x:f>(P413/(Ventas!AE408*0.9600)/60)</x:f>
      </x:c>
      <x:c r="R413" s="25">
        <x:v>0</x:v>
      </x:c>
      <x:c r="S413" s="41">
        <x:f>IF(P413&gt;0,P413+R413,R413)</x:f>
      </x:c>
      <x:c r="T413" s="9"/>
      <x:c r="U413" s="41">
        <x:v>20</x:v>
      </x:c>
      <x:c r="V413" s="45">
        <x:v>0.00305</x:v>
      </x:c>
      <x:c r="W413" s="39">
        <x:v>46331</x:v>
      </x:c>
      <x:c r="X413" s="40">
        <x:v>56</x:v>
      </x:c>
      <x:c r="Y413" s="41">
        <x:f>(IF(P413&gt;0,P413+R413,R413)-(X413*Ventas!AE408*0.9250))</x:f>
      </x:c>
      <x:c r="Z413" s="43">
        <x:f>(Y413/(Ventas!AE408*0.9250)/60)</x:f>
      </x:c>
      <x:c r="AA413" s="41">
        <x:f>(100*(Ventas!AE408*1.4850) - IF(Y413&gt;0,Y413,0))</x:f>
      </x:c>
      <x:c r="AB413" s="41">
        <x:f>IF(AA413&gt;0,AA413,0)</x:f>
      </x:c>
      <x:c r="AC413" s="41">
        <x:f>IF(Y413&gt;0,Y413+IF(AB413&gt;0,AB413,0),AB413)</x:f>
      </x:c>
      <x:c r="AD413" s="46">
        <x:v>7.546</x:v>
      </x:c>
      <x:c r="AE413" s="25">
        <x:v>3010</x:v>
      </x:c>
      <x:c r="AF413" s="41">
        <x:f>(AC413-(60*Ventas!AE408*1.4850))</x:f>
      </x:c>
      <x:c r="AG413" s="43">
        <x:f>(AF413/(Ventas!AE408*1.4850)/60)</x:f>
      </x:c>
      <x:c r="AH413" s="7" t="s">
        <x:v>34</x:v>
      </x:c>
    </x:row>
    <x:row r="414">
      <x:c r="A414" s="7"/>
      <x:c r="B414" s="7" t="s">
        <x:v>918</x:v>
      </x:c>
      <x:c r="C414" s="38" t="s">
        <x:v>917</x:v>
      </x:c>
      <x:c r="D414" s="9"/>
      <x:c r="E414" s="39">
        <x:v>46230</x:v>
      </x:c>
      <x:c r="F414" s="40">
        <x:v>5</x:v>
      </x:c>
      <x:c r="G414" s="41">
        <x:f>(D414-(0)+0-(F414*Ventas!AE409*1.3000))</x:f>
      </x:c>
      <x:c r="H414" s="43">
        <x:f>(G414/(Ventas!AE409*1.3000)/60)</x:f>
      </x:c>
      <x:c r="I414" s="25">
        <x:v>100</x:v>
      </x:c>
      <x:c r="J414" s="41">
        <x:f>IF(G414&gt;0,G414+I414,I414)</x:f>
      </x:c>
      <x:c r="K414" s="41">
        <x:v>7.176</x:v>
      </x:c>
      <x:c r="L414" s="41">
        <x:v>20</x:v>
      </x:c>
      <x:c r="M414" s="45">
        <x:v>0.00305</x:v>
      </x:c>
      <x:c r="N414" s="39">
        <x:v>46275</x:v>
      </x:c>
      <x:c r="O414" s="40">
        <x:v>45</x:v>
      </x:c>
      <x:c r="P414" s="41">
        <x:f>(IF(G414&gt;0,G414+I414,I414)-(O414*Ventas!AE409*0.9600))</x:f>
      </x:c>
      <x:c r="Q414" s="43">
        <x:f>(P414/(Ventas!AE409*0.9600)/60)</x:f>
      </x:c>
      <x:c r="R414" s="25">
        <x:v>80</x:v>
      </x:c>
      <x:c r="S414" s="41">
        <x:f>IF(P414&gt;0,P414+R414,R414)</x:f>
      </x:c>
      <x:c r="T414" s="41">
        <x:v>7.2</x:v>
      </x:c>
      <x:c r="U414" s="41">
        <x:v>20</x:v>
      </x:c>
      <x:c r="V414" s="45">
        <x:v>0.00305</x:v>
      </x:c>
      <x:c r="W414" s="39">
        <x:v>46331</x:v>
      </x:c>
      <x:c r="X414" s="40">
        <x:v>56</x:v>
      </x:c>
      <x:c r="Y414" s="41">
        <x:f>(IF(P414&gt;0,P414+R414,R414)-(X414*Ventas!AE409*0.9250))</x:f>
      </x:c>
      <x:c r="Z414" s="43">
        <x:f>(Y414/(Ventas!AE409*0.9250)/60)</x:f>
      </x:c>
      <x:c r="AA414" s="41">
        <x:f>(100*(Ventas!AE409*1.4850) - IF(Y414&gt;0,Y414,0))</x:f>
      </x:c>
      <x:c r="AB414" s="41">
        <x:f>IF(AA414&gt;0,AA414,0)</x:f>
      </x:c>
      <x:c r="AC414" s="41">
        <x:f>IF(Y414&gt;0,Y414+IF(AB414&gt;0,AB414,0),AB414)</x:f>
      </x:c>
      <x:c r="AD414" s="46">
        <x:v>7.176</x:v>
      </x:c>
      <x:c r="AE414" s="25">
        <x:v>3027</x:v>
      </x:c>
      <x:c r="AF414" s="41">
        <x:f>(AC414-(60*Ventas!AE409*1.4850))</x:f>
      </x:c>
      <x:c r="AG414" s="43">
        <x:f>(AF414/(Ventas!AE409*1.4850)/60)</x:f>
      </x:c>
      <x:c r="AH414" s="7" t="s">
        <x:v>34</x:v>
      </x:c>
    </x:row>
    <x:row r="415">
      <x:c r="A415" s="7"/>
      <x:c r="B415" s="7" t="s">
        <x:v>920</x:v>
      </x:c>
      <x:c r="C415" s="38" t="s">
        <x:v>919</x:v>
      </x:c>
      <x:c r="D415" s="25">
        <x:v>68</x:v>
      </x:c>
      <x:c r="E415" s="39">
        <x:v>46230</x:v>
      </x:c>
      <x:c r="F415" s="40">
        <x:v>5</x:v>
      </x:c>
      <x:c r="G415" s="41">
        <x:f>(D415-(0)+0-(F415*Ventas!AE410*1.3000))</x:f>
      </x:c>
      <x:c r="H415" s="43">
        <x:f>(G415/(Ventas!AE410*1.3000)/60)</x:f>
      </x:c>
      <x:c r="I415" s="25">
        <x:v>0</x:v>
      </x:c>
      <x:c r="J415" s="41">
        <x:f>IF(G415&gt;0,G415+I415,I415)</x:f>
      </x:c>
      <x:c r="K415" s="9"/>
      <x:c r="L415" s="41">
        <x:v>20</x:v>
      </x:c>
      <x:c r="M415" s="45">
        <x:v>0.0047</x:v>
      </x:c>
      <x:c r="N415" s="39">
        <x:v>46275</x:v>
      </x:c>
      <x:c r="O415" s="40">
        <x:v>45</x:v>
      </x:c>
      <x:c r="P415" s="41">
        <x:f>(IF(G415&gt;0,G415+I415,I415)-(O415*Ventas!AE410*0.9600))</x:f>
      </x:c>
      <x:c r="Q415" s="43">
        <x:f>(P415/(Ventas!AE410*0.9600)/60)</x:f>
      </x:c>
      <x:c r="R415" s="25">
        <x:v>0</x:v>
      </x:c>
      <x:c r="S415" s="41">
        <x:f>IF(P415&gt;0,P415+R415,R415)</x:f>
      </x:c>
      <x:c r="T415" s="9"/>
      <x:c r="U415" s="41">
        <x:v>20</x:v>
      </x:c>
      <x:c r="V415" s="45">
        <x:v>0.0047</x:v>
      </x:c>
      <x:c r="W415" s="39">
        <x:v>46331</x:v>
      </x:c>
      <x:c r="X415" s="40">
        <x:v>56</x:v>
      </x:c>
      <x:c r="Y415" s="41">
        <x:f>(IF(P415&gt;0,P415+R415,R415)-(X415*Ventas!AE410*0.9250))</x:f>
      </x:c>
      <x:c r="Z415" s="43">
        <x:f>(Y415/(Ventas!AE410*0.9250)/60)</x:f>
      </x:c>
      <x:c r="AA415" s="41">
        <x:f>(100*(Ventas!AE410*1.4850) - IF(Y415&gt;0,Y415,0))</x:f>
      </x:c>
      <x:c r="AB415" s="41">
        <x:f>IF(AA415&gt;0,AA415,0)</x:f>
      </x:c>
      <x:c r="AC415" s="41">
        <x:f>IF(Y415&gt;0,Y415+IF(AB415&gt;0,AB415,0),AB415)</x:f>
      </x:c>
      <x:c r="AD415" s="46">
        <x:v>8.7</x:v>
      </x:c>
      <x:c r="AE415" s="25">
        <x:v>3010</x:v>
      </x:c>
      <x:c r="AF415" s="41">
        <x:f>(AC415-(60*Ventas!AE410*1.4850))</x:f>
      </x:c>
      <x:c r="AG415" s="43">
        <x:f>(AF415/(Ventas!AE410*1.4850)/60)</x:f>
      </x:c>
      <x:c r="AH415" s="7" t="s">
        <x:v>34</x:v>
      </x:c>
    </x:row>
    <x:row r="416">
      <x:c r="A416" s="7"/>
      <x:c r="B416" s="7" t="s">
        <x:v>922</x:v>
      </x:c>
      <x:c r="C416" s="38" t="s">
        <x:v>921</x:v>
      </x:c>
      <x:c r="D416" s="25">
        <x:v>84</x:v>
      </x:c>
      <x:c r="E416" s="39">
        <x:v>46230</x:v>
      </x:c>
      <x:c r="F416" s="40">
        <x:v>5</x:v>
      </x:c>
      <x:c r="G416" s="41">
        <x:f>(D416-(0)+0-(F416*Ventas!AE411*1.3000))</x:f>
      </x:c>
      <x:c r="H416" s="43">
        <x:f>(G416/(Ventas!AE411*1.3000)/60)</x:f>
      </x:c>
      <x:c r="I416" s="25">
        <x:v>0</x:v>
      </x:c>
      <x:c r="J416" s="41">
        <x:f>IF(G416&gt;0,G416+I416,I416)</x:f>
      </x:c>
      <x:c r="K416" s="9"/>
      <x:c r="L416" s="41">
        <x:v>20</x:v>
      </x:c>
      <x:c r="M416" s="45">
        <x:v>0.0047</x:v>
      </x:c>
      <x:c r="N416" s="39">
        <x:v>46275</x:v>
      </x:c>
      <x:c r="O416" s="40">
        <x:v>45</x:v>
      </x:c>
      <x:c r="P416" s="41">
        <x:f>(IF(G416&gt;0,G416+I416,I416)-(O416*Ventas!AE411*0.9600))</x:f>
      </x:c>
      <x:c r="Q416" s="43">
        <x:f>(P416/(Ventas!AE411*0.9600)/60)</x:f>
      </x:c>
      <x:c r="R416" s="25">
        <x:v>0</x:v>
      </x:c>
      <x:c r="S416" s="41">
        <x:f>IF(P416&gt;0,P416+R416,R416)</x:f>
      </x:c>
      <x:c r="T416" s="9"/>
      <x:c r="U416" s="41">
        <x:v>20</x:v>
      </x:c>
      <x:c r="V416" s="45">
        <x:v>0.0047</x:v>
      </x:c>
      <x:c r="W416" s="39">
        <x:v>46331</x:v>
      </x:c>
      <x:c r="X416" s="40">
        <x:v>56</x:v>
      </x:c>
      <x:c r="Y416" s="41">
        <x:f>(IF(P416&gt;0,P416+R416,R416)-(X416*Ventas!AE411*0.9250))</x:f>
      </x:c>
      <x:c r="Z416" s="43">
        <x:f>(Y416/(Ventas!AE411*0.9250)/60)</x:f>
      </x:c>
      <x:c r="AA416" s="41">
        <x:f>(100*(Ventas!AE411*1.4850) - IF(Y416&gt;0,Y416,0))</x:f>
      </x:c>
      <x:c r="AB416" s="41">
        <x:f>IF(AA416&gt;0,AA416,0)</x:f>
      </x:c>
      <x:c r="AC416" s="41">
        <x:f>IF(Y416&gt;0,Y416+IF(AB416&gt;0,AB416,0),AB416)</x:f>
      </x:c>
      <x:c r="AD416" s="46">
        <x:v>8.7</x:v>
      </x:c>
      <x:c r="AE416" s="25">
        <x:v>3010</x:v>
      </x:c>
      <x:c r="AF416" s="41">
        <x:f>(AC416-(60*Ventas!AE411*1.4850))</x:f>
      </x:c>
      <x:c r="AG416" s="43">
        <x:f>(AF416/(Ventas!AE411*1.4850)/60)</x:f>
      </x:c>
      <x:c r="AH416" s="7" t="s">
        <x:v>34</x:v>
      </x:c>
    </x:row>
    <x:row r="417">
      <x:c r="A417" s="7"/>
      <x:c r="B417" s="7" t="s">
        <x:v>924</x:v>
      </x:c>
      <x:c r="C417" s="38" t="s">
        <x:v>923</x:v>
      </x:c>
      <x:c r="D417" s="9"/>
      <x:c r="E417" s="39">
        <x:v>46230</x:v>
      </x:c>
      <x:c r="F417" s="40">
        <x:v>5</x:v>
      </x:c>
      <x:c r="G417" s="41">
        <x:f>(D417-(0)+0-(F417*Ventas!AE412*1.3000))</x:f>
      </x:c>
      <x:c r="H417" s="9"/>
      <x:c r="I417" s="25">
        <x:v>0</x:v>
      </x:c>
      <x:c r="J417" s="41">
        <x:f>IF(G417&gt;0,G417+I417,I417)</x:f>
      </x:c>
      <x:c r="K417" s="9"/>
      <x:c r="L417" s="41">
        <x:v>20</x:v>
      </x:c>
      <x:c r="M417" s="45">
        <x:v>0.0047</x:v>
      </x:c>
      <x:c r="N417" s="39">
        <x:v>46275</x:v>
      </x:c>
      <x:c r="O417" s="40">
        <x:v>45</x:v>
      </x:c>
      <x:c r="P417" s="41">
        <x:f>(IF(G417&gt;0,G417+I417,I417)-(O417*Ventas!AE412*0.9600))</x:f>
      </x:c>
      <x:c r="Q417" s="9"/>
      <x:c r="R417" s="25">
        <x:v>100</x:v>
      </x:c>
      <x:c r="S417" s="41">
        <x:f>IF(P417&gt;0,P417+R417,R417)</x:f>
      </x:c>
      <x:c r="T417" s="41">
        <x:v>8.2</x:v>
      </x:c>
      <x:c r="U417" s="41">
        <x:v>20</x:v>
      </x:c>
      <x:c r="V417" s="45">
        <x:v>0.0047</x:v>
      </x:c>
      <x:c r="W417" s="39">
        <x:v>46331</x:v>
      </x:c>
      <x:c r="X417" s="40">
        <x:v>56</x:v>
      </x:c>
      <x:c r="Y417" s="41">
        <x:f>(IF(P417&gt;0,P417+R417,R417)-(X417*Ventas!AE412*0.9250))</x:f>
      </x:c>
      <x:c r="Z417" s="9"/>
      <x:c r="AA417" s="41">
        <x:f>(100*(Ventas!AE412*1.4850) - IF(Y417&gt;0,Y417,0))</x:f>
      </x:c>
      <x:c r="AB417" s="41">
        <x:f>IF(AA417&gt;0,AA417,0)</x:f>
      </x:c>
      <x:c r="AC417" s="41">
        <x:f>IF(Y417&gt;0,Y417+IF(AB417&gt;0,AB417,0),AB417)</x:f>
      </x:c>
      <x:c r="AD417" s="46">
        <x:v>8.736</x:v>
      </x:c>
      <x:c r="AE417" s="25">
        <x:v>3010</x:v>
      </x:c>
      <x:c r="AF417" s="9"/>
      <x:c r="AG417" s="9"/>
      <x:c r="AH417" s="7" t="s">
        <x:v>34</x:v>
      </x:c>
    </x:row>
    <x:row r="418">
      <x:c r="A418" s="7"/>
      <x:c r="B418" s="7" t="s">
        <x:v>926</x:v>
      </x:c>
      <x:c r="C418" s="38" t="s">
        <x:v>925</x:v>
      </x:c>
      <x:c r="D418" s="9"/>
      <x:c r="E418" s="39">
        <x:v>46230</x:v>
      </x:c>
      <x:c r="F418" s="40">
        <x:v>5</x:v>
      </x:c>
      <x:c r="G418" s="41">
        <x:f>(D418-(0)+0-(F418*Ventas!AE413*1.3000))</x:f>
      </x:c>
      <x:c r="H418" s="43">
        <x:f>(G418/(Ventas!AE413*1.3000)/60)</x:f>
      </x:c>
      <x:c r="I418" s="25">
        <x:v>40</x:v>
      </x:c>
      <x:c r="J418" s="41">
        <x:f>IF(G418&gt;0,G418+I418,I418)</x:f>
      </x:c>
      <x:c r="K418" s="41">
        <x:v>5.096</x:v>
      </x:c>
      <x:c r="L418" s="41">
        <x:v>20</x:v>
      </x:c>
      <x:c r="M418" s="45">
        <x:v>0.00335</x:v>
      </x:c>
      <x:c r="N418" s="39">
        <x:v>46275</x:v>
      </x:c>
      <x:c r="O418" s="40">
        <x:v>45</x:v>
      </x:c>
      <x:c r="P418" s="41">
        <x:f>(IF(G418&gt;0,G418+I418,I418)-(O418*Ventas!AE413*0.9600))</x:f>
      </x:c>
      <x:c r="Q418" s="43">
        <x:f>(P418/(Ventas!AE413*0.9600)/60)</x:f>
      </x:c>
      <x:c r="R418" s="25">
        <x:v>40</x:v>
      </x:c>
      <x:c r="S418" s="41">
        <x:f>IF(P418&gt;0,P418+R418,R418)</x:f>
      </x:c>
      <x:c r="T418" s="41">
        <x:v>5.1</x:v>
      </x:c>
      <x:c r="U418" s="41">
        <x:v>20</x:v>
      </x:c>
      <x:c r="V418" s="45">
        <x:v>0.00335</x:v>
      </x:c>
      <x:c r="W418" s="39">
        <x:v>46331</x:v>
      </x:c>
      <x:c r="X418" s="40">
        <x:v>56</x:v>
      </x:c>
      <x:c r="Y418" s="41">
        <x:f>(IF(P418&gt;0,P418+R418,R418)-(X418*Ventas!AE413*0.9250))</x:f>
      </x:c>
      <x:c r="Z418" s="43">
        <x:f>(Y418/(Ventas!AE413*0.9250)/60)</x:f>
      </x:c>
      <x:c r="AA418" s="41">
        <x:f>(100*(Ventas!AE413*1.4850) - IF(Y418&gt;0,Y418,0))</x:f>
      </x:c>
      <x:c r="AB418" s="41">
        <x:f>IF(AA418&gt;0,AA418,0)</x:f>
      </x:c>
      <x:c r="AC418" s="41">
        <x:f>IF(Y418&gt;0,Y418+IF(AB418&gt;0,AB418,0),AB418)</x:f>
      </x:c>
      <x:c r="AD418" s="46">
        <x:v>5.096</x:v>
      </x:c>
      <x:c r="AE418" s="25">
        <x:v>3027</x:v>
      </x:c>
      <x:c r="AF418" s="41">
        <x:f>(AC418-(60*Ventas!AE413*1.4850))</x:f>
      </x:c>
      <x:c r="AG418" s="43">
        <x:f>(AF418/(Ventas!AE413*1.4850)/60)</x:f>
      </x:c>
      <x:c r="AH418" s="7" t="s">
        <x:v>34</x:v>
      </x:c>
    </x:row>
    <x:row r="419">
      <x:c r="A419" s="7"/>
      <x:c r="B419" s="7" t="s">
        <x:v>928</x:v>
      </x:c>
      <x:c r="C419" s="38" t="s">
        <x:v>927</x:v>
      </x:c>
      <x:c r="D419" s="25">
        <x:v>148</x:v>
      </x:c>
      <x:c r="E419" s="39">
        <x:v>46230</x:v>
      </x:c>
      <x:c r="F419" s="40">
        <x:v>5</x:v>
      </x:c>
      <x:c r="G419" s="41">
        <x:f>(D419-(0)+0-(F419*Ventas!AE414*1.3000))</x:f>
      </x:c>
      <x:c r="H419" s="43">
        <x:f>(G419/(Ventas!AE414*1.3000)/60)</x:f>
      </x:c>
      <x:c r="I419" s="25">
        <x:v>0</x:v>
      </x:c>
      <x:c r="J419" s="41">
        <x:f>IF(G419&gt;0,G419+I419,I419)</x:f>
      </x:c>
      <x:c r="K419" s="9"/>
      <x:c r="L419" s="41">
        <x:v>20</x:v>
      </x:c>
      <x:c r="M419" s="45">
        <x:v>0.0032</x:v>
      </x:c>
      <x:c r="N419" s="39">
        <x:v>46275</x:v>
      </x:c>
      <x:c r="O419" s="40">
        <x:v>45</x:v>
      </x:c>
      <x:c r="P419" s="41">
        <x:f>(IF(G419&gt;0,G419+I419,I419)-(O419*Ventas!AE414*0.9600))</x:f>
      </x:c>
      <x:c r="Q419" s="43">
        <x:f>(P419/(Ventas!AE414*0.9600)/60)</x:f>
      </x:c>
      <x:c r="R419" s="25">
        <x:v>0</x:v>
      </x:c>
      <x:c r="S419" s="41">
        <x:f>IF(P419&gt;0,P419+R419,R419)</x:f>
      </x:c>
      <x:c r="T419" s="9"/>
      <x:c r="U419" s="41">
        <x:v>20</x:v>
      </x:c>
      <x:c r="V419" s="45">
        <x:v>0.0032</x:v>
      </x:c>
      <x:c r="W419" s="39">
        <x:v>46331</x:v>
      </x:c>
      <x:c r="X419" s="40">
        <x:v>56</x:v>
      </x:c>
      <x:c r="Y419" s="41">
        <x:f>(IF(P419&gt;0,P419+R419,R419)-(X419*Ventas!AE414*0.9250))</x:f>
      </x:c>
      <x:c r="Z419" s="43">
        <x:f>(Y419/(Ventas!AE414*0.9250)/60)</x:f>
      </x:c>
      <x:c r="AA419" s="41">
        <x:f>(100*(Ventas!AE414*1.4850) - IF(Y419&gt;0,Y419,0))</x:f>
      </x:c>
      <x:c r="AB419" s="41">
        <x:f>IF(AA419&gt;0,AA419,0)</x:f>
      </x:c>
      <x:c r="AC419" s="41">
        <x:f>IF(Y419&gt;0,Y419+IF(AB419&gt;0,AB419,0),AB419)</x:f>
      </x:c>
      <x:c r="AD419" s="46">
        <x:v>11.3</x:v>
      </x:c>
      <x:c r="AE419" s="25">
        <x:v>3010</x:v>
      </x:c>
      <x:c r="AF419" s="41">
        <x:f>(AC419-(60*Ventas!AE414*1.4850))</x:f>
      </x:c>
      <x:c r="AG419" s="43">
        <x:f>(AF419/(Ventas!AE414*1.4850)/60)</x:f>
      </x:c>
      <x:c r="AH419" s="7" t="s">
        <x:v>34</x:v>
      </x:c>
    </x:row>
    <x:row r="420">
      <x:c r="A420" s="7"/>
      <x:c r="B420" s="7" t="s">
        <x:v>930</x:v>
      </x:c>
      <x:c r="C420" s="38" t="s">
        <x:v>929</x:v>
      </x:c>
      <x:c r="D420" s="25">
        <x:v>134</x:v>
      </x:c>
      <x:c r="E420" s="39">
        <x:v>46230</x:v>
      </x:c>
      <x:c r="F420" s="40">
        <x:v>5</x:v>
      </x:c>
      <x:c r="G420" s="41">
        <x:f>(D420-(0)+0-(F420*Ventas!AE415*1.3000))</x:f>
      </x:c>
      <x:c r="H420" s="43">
        <x:f>(G420/(Ventas!AE415*1.3000)/60)</x:f>
      </x:c>
      <x:c r="I420" s="25">
        <x:v>0</x:v>
      </x:c>
      <x:c r="J420" s="41">
        <x:f>IF(G420&gt;0,G420+I420,I420)</x:f>
      </x:c>
      <x:c r="K420" s="9"/>
      <x:c r="L420" s="41">
        <x:v>20</x:v>
      </x:c>
      <x:c r="M420" s="45">
        <x:v>0.0032</x:v>
      </x:c>
      <x:c r="N420" s="39">
        <x:v>46275</x:v>
      </x:c>
      <x:c r="O420" s="40">
        <x:v>45</x:v>
      </x:c>
      <x:c r="P420" s="41">
        <x:f>(IF(G420&gt;0,G420+I420,I420)-(O420*Ventas!AE415*0.9600))</x:f>
      </x:c>
      <x:c r="Q420" s="43">
        <x:f>(P420/(Ventas!AE415*0.9600)/60)</x:f>
      </x:c>
      <x:c r="R420" s="25">
        <x:v>0</x:v>
      </x:c>
      <x:c r="S420" s="41">
        <x:f>IF(P420&gt;0,P420+R420,R420)</x:f>
      </x:c>
      <x:c r="T420" s="9"/>
      <x:c r="U420" s="41">
        <x:v>20</x:v>
      </x:c>
      <x:c r="V420" s="45">
        <x:v>0.0032</x:v>
      </x:c>
      <x:c r="W420" s="39">
        <x:v>46331</x:v>
      </x:c>
      <x:c r="X420" s="40">
        <x:v>56</x:v>
      </x:c>
      <x:c r="Y420" s="41">
        <x:f>(IF(P420&gt;0,P420+R420,R420)-(X420*Ventas!AE415*0.9250))</x:f>
      </x:c>
      <x:c r="Z420" s="43">
        <x:f>(Y420/(Ventas!AE415*0.9250)/60)</x:f>
      </x:c>
      <x:c r="AA420" s="41">
        <x:f>(100*(Ventas!AE415*1.4850) - IF(Y420&gt;0,Y420,0))</x:f>
      </x:c>
      <x:c r="AB420" s="41">
        <x:f>IF(AA420&gt;0,AA420,0)</x:f>
      </x:c>
      <x:c r="AC420" s="41">
        <x:f>IF(Y420&gt;0,Y420+IF(AB420&gt;0,AB420,0),AB420)</x:f>
      </x:c>
      <x:c r="AD420" s="46">
        <x:v>11.3</x:v>
      </x:c>
      <x:c r="AE420" s="25">
        <x:v>3010</x:v>
      </x:c>
      <x:c r="AF420" s="41">
        <x:f>(AC420-(60*Ventas!AE415*1.4850))</x:f>
      </x:c>
      <x:c r="AG420" s="43">
        <x:f>(AF420/(Ventas!AE415*1.4850)/60)</x:f>
      </x:c>
      <x:c r="AH420" s="7" t="s">
        <x:v>34</x:v>
      </x:c>
    </x:row>
  </x:sheetData>
  <x:mergeCells count="4">
    <x:mergeCell ref="E3:M3"/>
    <x:mergeCell ref="N3:V3"/>
    <x:mergeCell ref="W3:AC3"/>
    <x:mergeCell ref="AF3:AG3"/>
  </x:mergeCells>
  <x:legacyDrawing r:id="R51cbfa72498147f2"/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2026-07-22T14:12:02Z</dcterms:created>
  <dcterms:modified xsi:type="dcterms:W3CDTF">2026-07-22T14:18:10Z</dcterms:modified>
</cp:coreProperties>
</file>