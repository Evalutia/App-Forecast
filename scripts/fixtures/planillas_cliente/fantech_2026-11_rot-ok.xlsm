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X:\ESCRITORIO\"/>
    </mc:Choice>
  </mc:AlternateContent>
  <xr:revisionPtr revIDLastSave="0" documentId="8_{BD02B010-754C-470C-AE4D-3315B253B052}" xr6:coauthVersionLast="47" xr6:coauthVersionMax="47" xr10:uidLastSave="{00000000-0000-0000-0000-000000000000}"/>
  <bookViews>
    <workbookView xWindow="-109" yWindow="-109" windowWidth="26301" windowHeight="14169" xr2:uid="{00000000-000D-0000-FFFF-FFFF00000000}"/>
  </bookViews>
  <sheets>
    <sheet name="Ventas" sheetId="1" r:id="rId1"/>
    <sheet name="Compra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6" i="2" l="1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206" i="2"/>
  <c r="AE207" i="2"/>
  <c r="AE208" i="2"/>
  <c r="AE209" i="2"/>
  <c r="AE210" i="2"/>
  <c r="AE211" i="2"/>
  <c r="AE212" i="2"/>
  <c r="AE213" i="2"/>
  <c r="AE214" i="2"/>
  <c r="AE215" i="2"/>
  <c r="AE216" i="2"/>
  <c r="AE217" i="2"/>
  <c r="AE218" i="2"/>
  <c r="AE219" i="2"/>
  <c r="AE220" i="2"/>
  <c r="AE221" i="2"/>
  <c r="AE222" i="2"/>
  <c r="AE223" i="2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E238" i="2"/>
  <c r="AE239" i="2"/>
  <c r="AE240" i="2"/>
  <c r="AE241" i="2"/>
  <c r="AE242" i="2"/>
  <c r="AE243" i="2"/>
  <c r="AE244" i="2"/>
  <c r="AE245" i="2"/>
  <c r="AE246" i="2"/>
  <c r="AE247" i="2"/>
  <c r="AE248" i="2"/>
  <c r="AE249" i="2"/>
  <c r="AE250" i="2"/>
  <c r="AE251" i="2"/>
  <c r="AE252" i="2"/>
  <c r="AE253" i="2"/>
  <c r="AE254" i="2"/>
  <c r="AE255" i="2"/>
  <c r="AE256" i="2"/>
  <c r="AE257" i="2"/>
  <c r="AE258" i="2"/>
  <c r="AE259" i="2"/>
  <c r="AE260" i="2"/>
  <c r="AE261" i="2"/>
  <c r="AE262" i="2"/>
  <c r="AE263" i="2"/>
  <c r="AE264" i="2"/>
  <c r="AE265" i="2"/>
  <c r="AE266" i="2"/>
  <c r="AE267" i="2"/>
  <c r="AE268" i="2"/>
  <c r="AE269" i="2"/>
  <c r="AE270" i="2"/>
  <c r="AE271" i="2"/>
  <c r="AE272" i="2"/>
  <c r="AE273" i="2"/>
  <c r="AE274" i="2"/>
  <c r="AE275" i="2"/>
  <c r="AE276" i="2"/>
  <c r="AE277" i="2"/>
  <c r="AE278" i="2"/>
  <c r="AE279" i="2"/>
  <c r="AE280" i="2"/>
  <c r="AE281" i="2"/>
  <c r="AE282" i="2"/>
  <c r="AE283" i="2"/>
  <c r="AE284" i="2"/>
  <c r="AE285" i="2"/>
  <c r="AE286" i="2"/>
  <c r="AE287" i="2"/>
  <c r="AE288" i="2"/>
  <c r="AE289" i="2"/>
  <c r="AE290" i="2"/>
  <c r="AE291" i="2"/>
  <c r="AE292" i="2"/>
  <c r="AE293" i="2"/>
  <c r="AE294" i="2"/>
  <c r="AE295" i="2"/>
  <c r="AE296" i="2"/>
  <c r="AE297" i="2"/>
  <c r="AE298" i="2"/>
  <c r="AE299" i="2"/>
  <c r="AE300" i="2"/>
  <c r="AE301" i="2"/>
  <c r="AE302" i="2"/>
  <c r="AE303" i="2"/>
  <c r="AE304" i="2"/>
  <c r="AE305" i="2"/>
  <c r="AE306" i="2"/>
  <c r="AE307" i="2"/>
  <c r="AE308" i="2"/>
  <c r="AE309" i="2"/>
  <c r="AE310" i="2"/>
  <c r="AE311" i="2"/>
  <c r="AE312" i="2"/>
  <c r="AE313" i="2"/>
  <c r="AE314" i="2"/>
  <c r="AE315" i="2"/>
  <c r="AE316" i="2"/>
  <c r="AE317" i="2"/>
  <c r="AE318" i="2"/>
  <c r="AE319" i="2"/>
  <c r="AE320" i="2"/>
  <c r="AE321" i="2"/>
  <c r="AE322" i="2"/>
  <c r="AE323" i="2"/>
  <c r="AE324" i="2"/>
  <c r="AE325" i="2"/>
  <c r="AE326" i="2"/>
  <c r="AE327" i="2"/>
  <c r="AE328" i="2"/>
  <c r="AE329" i="2"/>
  <c r="AE330" i="2"/>
  <c r="AE331" i="2"/>
  <c r="AE332" i="2"/>
  <c r="AE333" i="2"/>
  <c r="AE334" i="2"/>
  <c r="AE335" i="2"/>
  <c r="AE336" i="2"/>
  <c r="AE337" i="2"/>
  <c r="AE338" i="2"/>
  <c r="AE339" i="2"/>
  <c r="AE340" i="2"/>
  <c r="AE341" i="2"/>
  <c r="AE342" i="2"/>
  <c r="AE343" i="2"/>
  <c r="AE344" i="2"/>
  <c r="AE345" i="2"/>
  <c r="AE346" i="2"/>
  <c r="AE347" i="2"/>
  <c r="AE348" i="2"/>
  <c r="AE349" i="2"/>
  <c r="AE350" i="2"/>
  <c r="AE351" i="2"/>
  <c r="AE352" i="2"/>
  <c r="AE353" i="2"/>
  <c r="AE354" i="2"/>
  <c r="AE355" i="2"/>
  <c r="AE356" i="2"/>
  <c r="AE357" i="2"/>
  <c r="AE358" i="2"/>
  <c r="AE359" i="2"/>
  <c r="AE360" i="2"/>
  <c r="AE361" i="2"/>
  <c r="AE362" i="2"/>
  <c r="AE363" i="2"/>
  <c r="AE364" i="2"/>
  <c r="AE365" i="2"/>
  <c r="AE366" i="2"/>
  <c r="AE367" i="2"/>
  <c r="AE368" i="2"/>
  <c r="AE369" i="2"/>
  <c r="AE370" i="2"/>
  <c r="AE371" i="2"/>
  <c r="AE372" i="2"/>
  <c r="AE373" i="2"/>
  <c r="AE374" i="2"/>
  <c r="AE375" i="2"/>
  <c r="AE376" i="2"/>
  <c r="AE377" i="2"/>
  <c r="AE378" i="2"/>
  <c r="AE379" i="2"/>
  <c r="AE380" i="2"/>
  <c r="AE381" i="2"/>
  <c r="AE382" i="2"/>
  <c r="AE383" i="2"/>
  <c r="AE384" i="2"/>
  <c r="AE385" i="2"/>
  <c r="AE386" i="2"/>
  <c r="AE387" i="2"/>
  <c r="AE388" i="2"/>
  <c r="AE389" i="2"/>
  <c r="AE390" i="2"/>
  <c r="AE391" i="2"/>
  <c r="AE392" i="2"/>
  <c r="AE393" i="2"/>
  <c r="AE394" i="2"/>
  <c r="AE395" i="2"/>
  <c r="AE396" i="2"/>
  <c r="AE397" i="2"/>
  <c r="AE398" i="2"/>
  <c r="AE399" i="2"/>
  <c r="AE400" i="2"/>
  <c r="AE401" i="2"/>
  <c r="AE402" i="2"/>
  <c r="AE403" i="2"/>
  <c r="AE404" i="2"/>
  <c r="AE405" i="2"/>
  <c r="AE406" i="2"/>
  <c r="AE407" i="2"/>
  <c r="AE408" i="2"/>
  <c r="AE409" i="2"/>
  <c r="AE410" i="2"/>
  <c r="AE411" i="2"/>
  <c r="AE412" i="2"/>
  <c r="AE413" i="2"/>
  <c r="AE414" i="2"/>
  <c r="AE415" i="2"/>
  <c r="AE416" i="2"/>
  <c r="AE417" i="2"/>
  <c r="AE418" i="2"/>
  <c r="AE419" i="2"/>
  <c r="AE420" i="2"/>
  <c r="AE5" i="2"/>
  <c r="AE413" i="1"/>
  <c r="AE409" i="1"/>
  <c r="AE397" i="1"/>
  <c r="AE396" i="1"/>
  <c r="AE395" i="1"/>
  <c r="AE393" i="1"/>
  <c r="AE390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71" i="1"/>
  <c r="AE266" i="1"/>
  <c r="AE267" i="1"/>
  <c r="AE268" i="1"/>
  <c r="AE265" i="1"/>
  <c r="AE261" i="1"/>
  <c r="AE260" i="1"/>
  <c r="AE252" i="1"/>
  <c r="AE253" i="1"/>
  <c r="AE254" i="1"/>
  <c r="AE256" i="1"/>
  <c r="AE257" i="1"/>
  <c r="AE258" i="1"/>
  <c r="AE251" i="1"/>
  <c r="AE230" i="1"/>
  <c r="AE229" i="1"/>
  <c r="AE227" i="1"/>
  <c r="AE228" i="1"/>
  <c r="AE222" i="1"/>
  <c r="AE223" i="1"/>
  <c r="AE224" i="1"/>
  <c r="AE225" i="1"/>
  <c r="AE226" i="1"/>
  <c r="AE221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3" i="1"/>
  <c r="AE95" i="1"/>
  <c r="AE96" i="1"/>
  <c r="AE97" i="1"/>
  <c r="AE98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6" i="1"/>
  <c r="AE158" i="1"/>
  <c r="AE159" i="1"/>
  <c r="AE160" i="1"/>
  <c r="AE161" i="1"/>
  <c r="AE162" i="1"/>
  <c r="AE163" i="1"/>
  <c r="AE164" i="1"/>
  <c r="AE165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3" i="1"/>
  <c r="AE184" i="1"/>
  <c r="AE185" i="1"/>
  <c r="AE186" i="1"/>
  <c r="AE188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64" i="1"/>
  <c r="AE269" i="1"/>
  <c r="AE290" i="1"/>
  <c r="AE291" i="1"/>
  <c r="AE292" i="1"/>
  <c r="AE293" i="1"/>
  <c r="AE294" i="1"/>
  <c r="AE295" i="1"/>
  <c r="AE296" i="1"/>
  <c r="AE297" i="1"/>
  <c r="AE298" i="1"/>
  <c r="AE299" i="1"/>
  <c r="AE305" i="1"/>
  <c r="AE306" i="1"/>
  <c r="AE307" i="1"/>
  <c r="AE317" i="1"/>
  <c r="AE318" i="1"/>
  <c r="AE319" i="1"/>
  <c r="AE320" i="1"/>
  <c r="AE328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1" i="1"/>
  <c r="AE392" i="1"/>
  <c r="AE394" i="1"/>
  <c r="AE399" i="1"/>
  <c r="AE400" i="1"/>
  <c r="AE401" i="1"/>
  <c r="AE403" i="1"/>
  <c r="AE404" i="1"/>
  <c r="AE405" i="1"/>
  <c r="AE406" i="1"/>
  <c r="AE407" i="1"/>
  <c r="AE408" i="1"/>
  <c r="AE410" i="1"/>
  <c r="AE411" i="1"/>
  <c r="AE412" i="1"/>
  <c r="AE414" i="1"/>
  <c r="AE415" i="1"/>
  <c r="AE44" i="1"/>
  <c r="AK669" i="1"/>
  <c r="AK668" i="1"/>
  <c r="AK667" i="1"/>
  <c r="AK666" i="1"/>
  <c r="AK665" i="1"/>
  <c r="AK664" i="1"/>
  <c r="AK663" i="1"/>
  <c r="AK662" i="1"/>
  <c r="AK661" i="1"/>
  <c r="AK660" i="1"/>
  <c r="AK659" i="1"/>
  <c r="AK658" i="1"/>
  <c r="AK657" i="1"/>
  <c r="AK656" i="1"/>
  <c r="AK655" i="1"/>
  <c r="AK654" i="1"/>
  <c r="AK653" i="1"/>
  <c r="AK652" i="1"/>
  <c r="AK651" i="1"/>
  <c r="AK650" i="1"/>
  <c r="AK649" i="1"/>
  <c r="AK648" i="1"/>
  <c r="AK647" i="1"/>
  <c r="AK646" i="1"/>
  <c r="AK645" i="1"/>
  <c r="AK644" i="1"/>
  <c r="AK643" i="1"/>
  <c r="AK642" i="1"/>
  <c r="AK641" i="1"/>
  <c r="AK640" i="1"/>
  <c r="AK639" i="1"/>
  <c r="AK638" i="1"/>
  <c r="AK637" i="1"/>
  <c r="AK636" i="1"/>
  <c r="AK635" i="1"/>
  <c r="AK634" i="1"/>
  <c r="AK633" i="1"/>
  <c r="AK632" i="1"/>
  <c r="AK631" i="1"/>
  <c r="AK630" i="1"/>
  <c r="AK629" i="1"/>
  <c r="AK628" i="1"/>
  <c r="AK627" i="1"/>
  <c r="AK626" i="1"/>
  <c r="AK625" i="1"/>
  <c r="AK624" i="1"/>
  <c r="AK623" i="1"/>
  <c r="AK622" i="1"/>
  <c r="AK621" i="1"/>
  <c r="AK620" i="1"/>
  <c r="AK619" i="1"/>
  <c r="AK618" i="1"/>
  <c r="AK617" i="1"/>
  <c r="AK616" i="1"/>
  <c r="AK615" i="1"/>
  <c r="AK614" i="1"/>
  <c r="AK613" i="1"/>
  <c r="AK612" i="1"/>
  <c r="AK611" i="1"/>
  <c r="AK610" i="1"/>
  <c r="AK609" i="1"/>
  <c r="AK608" i="1"/>
  <c r="AK607" i="1"/>
  <c r="AK606" i="1"/>
  <c r="AK605" i="1"/>
  <c r="AK604" i="1"/>
  <c r="AK603" i="1"/>
  <c r="AK602" i="1"/>
  <c r="AK601" i="1"/>
  <c r="AK600" i="1"/>
  <c r="AK599" i="1"/>
  <c r="AK598" i="1"/>
  <c r="AK597" i="1"/>
  <c r="AK596" i="1"/>
  <c r="AK595" i="1"/>
  <c r="AK594" i="1"/>
  <c r="AK593" i="1"/>
  <c r="AK592" i="1"/>
  <c r="AK591" i="1"/>
  <c r="AK590" i="1"/>
  <c r="AK589" i="1"/>
  <c r="AK588" i="1"/>
  <c r="AK587" i="1"/>
  <c r="AK586" i="1"/>
  <c r="AK585" i="1"/>
  <c r="AK584" i="1"/>
  <c r="AK583" i="1"/>
  <c r="AK582" i="1"/>
  <c r="AK581" i="1"/>
  <c r="AK580" i="1"/>
  <c r="AK579" i="1"/>
  <c r="AK578" i="1"/>
  <c r="AK577" i="1"/>
  <c r="AK576" i="1"/>
  <c r="AK575" i="1"/>
  <c r="AK574" i="1"/>
  <c r="AK573" i="1"/>
  <c r="AK572" i="1"/>
  <c r="AK571" i="1"/>
  <c r="AK570" i="1"/>
  <c r="AK569" i="1"/>
  <c r="AK568" i="1"/>
  <c r="AK567" i="1"/>
  <c r="AK566" i="1"/>
  <c r="AK565" i="1"/>
  <c r="AK564" i="1"/>
  <c r="AK563" i="1"/>
  <c r="AK562" i="1"/>
  <c r="AK561" i="1"/>
  <c r="AK560" i="1"/>
  <c r="AK559" i="1"/>
  <c r="AK558" i="1"/>
  <c r="AK557" i="1"/>
  <c r="AK556" i="1"/>
  <c r="AK555" i="1"/>
  <c r="AK554" i="1"/>
  <c r="AK553" i="1"/>
  <c r="AK552" i="1"/>
  <c r="AK551" i="1"/>
  <c r="AK550" i="1"/>
  <c r="AK549" i="1"/>
  <c r="AK548" i="1"/>
  <c r="AK547" i="1"/>
  <c r="AK546" i="1"/>
  <c r="AK545" i="1"/>
  <c r="AK544" i="1"/>
  <c r="AK543" i="1"/>
  <c r="AK542" i="1"/>
  <c r="AK541" i="1"/>
  <c r="AK540" i="1"/>
  <c r="AK539" i="1"/>
  <c r="AK538" i="1"/>
  <c r="AK537" i="1"/>
  <c r="AK536" i="1"/>
  <c r="AK535" i="1"/>
  <c r="AK534" i="1"/>
  <c r="AK533" i="1"/>
  <c r="AK532" i="1"/>
  <c r="AK531" i="1"/>
  <c r="AK530" i="1"/>
  <c r="AK529" i="1"/>
  <c r="AK528" i="1"/>
  <c r="AK527" i="1"/>
  <c r="AK526" i="1"/>
  <c r="AK525" i="1"/>
  <c r="AK524" i="1"/>
  <c r="AK523" i="1"/>
  <c r="AK522" i="1"/>
  <c r="AK521" i="1"/>
  <c r="AK520" i="1"/>
  <c r="AK519" i="1"/>
  <c r="AK518" i="1"/>
  <c r="AK517" i="1"/>
  <c r="AK516" i="1"/>
  <c r="AK515" i="1"/>
  <c r="AK514" i="1"/>
  <c r="AK513" i="1"/>
  <c r="AK512" i="1"/>
  <c r="AK511" i="1"/>
  <c r="AK510" i="1"/>
  <c r="AK509" i="1"/>
  <c r="AK508" i="1"/>
  <c r="AK507" i="1"/>
  <c r="AK506" i="1"/>
  <c r="AK505" i="1"/>
  <c r="AK504" i="1"/>
  <c r="AK503" i="1"/>
  <c r="AK502" i="1"/>
  <c r="AK501" i="1"/>
  <c r="AK500" i="1"/>
  <c r="AK499" i="1"/>
  <c r="AK498" i="1"/>
  <c r="AK497" i="1"/>
  <c r="AK496" i="1"/>
  <c r="AK495" i="1"/>
  <c r="AK494" i="1"/>
  <c r="AK493" i="1"/>
  <c r="AK492" i="1"/>
  <c r="AK491" i="1"/>
  <c r="AK490" i="1"/>
  <c r="AK489" i="1"/>
  <c r="AK488" i="1"/>
  <c r="AK487" i="1"/>
  <c r="AK486" i="1"/>
  <c r="AK485" i="1"/>
  <c r="AK484" i="1"/>
  <c r="AK483" i="1"/>
  <c r="AK482" i="1"/>
  <c r="AK481" i="1"/>
  <c r="AK480" i="1"/>
  <c r="AK479" i="1"/>
  <c r="AK478" i="1"/>
  <c r="AK477" i="1"/>
  <c r="AK476" i="1"/>
  <c r="AK475" i="1"/>
  <c r="AK474" i="1"/>
  <c r="AK473" i="1"/>
  <c r="AK472" i="1"/>
  <c r="AK471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434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AK163" i="1"/>
  <c r="AK162" i="1"/>
  <c r="AK161" i="1"/>
  <c r="AK160" i="1"/>
  <c r="AK159" i="1"/>
  <c r="AK158" i="1"/>
  <c r="AK157" i="1"/>
  <c r="AK156" i="1"/>
  <c r="AK155" i="1"/>
  <c r="AK154" i="1"/>
  <c r="AK153" i="1"/>
  <c r="AK152" i="1"/>
  <c r="AK151" i="1"/>
  <c r="AK150" i="1"/>
  <c r="AK149" i="1"/>
  <c r="AK148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AK123" i="1"/>
  <c r="AK122" i="1"/>
  <c r="AK121" i="1"/>
  <c r="AK120" i="1"/>
  <c r="AK119" i="1"/>
  <c r="AK118" i="1"/>
  <c r="AK117" i="1"/>
  <c r="AK116" i="1"/>
  <c r="AK115" i="1"/>
  <c r="AK114" i="1"/>
  <c r="AK113" i="1"/>
  <c r="AK112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K5" i="1"/>
  <c r="AK4" i="1"/>
  <c r="AK3" i="1"/>
  <c r="AK2" i="1"/>
  <c r="AG668" i="1" a="1"/>
  <c r="AH234" i="1" a="1"/>
  <c r="AH208" i="1" a="1"/>
  <c r="AH56" i="1" a="1"/>
  <c r="AG210" i="1" a="1"/>
  <c r="AG459" i="1" a="1"/>
  <c r="AH177" i="1" a="1"/>
  <c r="AG460" i="1" a="1"/>
  <c r="AG271" i="1" a="1"/>
  <c r="AG156" i="1" a="1"/>
  <c r="AG546" i="1" a="1"/>
  <c r="AG54" i="1" a="1"/>
  <c r="AH246" i="1" a="1"/>
  <c r="AH362" i="1" a="1"/>
  <c r="AG4" i="1" a="1"/>
  <c r="AH616" i="1" a="1"/>
  <c r="AH553" i="1" a="1"/>
  <c r="AH134" i="1" a="1"/>
  <c r="AH618" i="1" a="1"/>
  <c r="AH329" i="1" a="1"/>
  <c r="AG189" i="1" a="1"/>
  <c r="AG144" i="1" a="1"/>
  <c r="AG382" i="1" a="1"/>
  <c r="AG227" i="1" a="1"/>
  <c r="AG555" i="1" a="1"/>
  <c r="AH520" i="1" a="1"/>
  <c r="AG445" i="1" a="1"/>
  <c r="AH116" i="1" a="1"/>
  <c r="AG508" i="1" a="1"/>
  <c r="AG163" i="1" a="1"/>
  <c r="AH657" i="1" a="1"/>
  <c r="AH200" i="1" a="1"/>
  <c r="AH58" i="1" a="1"/>
  <c r="AG579" i="1" a="1"/>
  <c r="AH531" i="1" a="1"/>
  <c r="AH326" i="1" a="1"/>
  <c r="AH345" i="1" a="1"/>
  <c r="AH172" i="1" a="1"/>
  <c r="AH85" i="1" a="1"/>
  <c r="AH579" i="1" a="1"/>
  <c r="AH490" i="1" a="1"/>
  <c r="AH509" i="1" a="1"/>
  <c r="AH390" i="1" a="1"/>
  <c r="AG122" i="1" a="1"/>
  <c r="AG420" i="1" a="1"/>
  <c r="AG412" i="1" a="1"/>
  <c r="AH519" i="1" a="1"/>
  <c r="AH51" i="1" a="1"/>
  <c r="AH663" i="1" a="1"/>
  <c r="AG67" i="1" a="1"/>
  <c r="AG125" i="1" a="1"/>
  <c r="AG667" i="1" a="1"/>
  <c r="AG73" i="1" a="1"/>
  <c r="AG290" i="1" a="1"/>
  <c r="AH25" i="1" a="1"/>
  <c r="AH594" i="1" a="1"/>
  <c r="AH495" i="1" a="1"/>
  <c r="AG378" i="1" a="1"/>
  <c r="AH46" i="1" a="1"/>
  <c r="AH516" i="1" a="1"/>
  <c r="AG534" i="1" a="1"/>
  <c r="AH483" i="1" a="1"/>
  <c r="AG448" i="1" a="1"/>
  <c r="AH602" i="1" a="1"/>
  <c r="AG235" i="1" a="1"/>
  <c r="AG337" i="1" a="1"/>
  <c r="AH588" i="1" a="1"/>
  <c r="AH231" i="1" a="1"/>
  <c r="AG383" i="1" a="1"/>
  <c r="AH187" i="1" a="1"/>
  <c r="AH554" i="1" a="1"/>
  <c r="AH455" i="1" a="1"/>
  <c r="AH376" i="1" a="1"/>
  <c r="AG484" i="1" a="1"/>
  <c r="AG80" i="1" a="1"/>
  <c r="AH379" i="1" a="1"/>
  <c r="AG72" i="1" a="1"/>
  <c r="AH650" i="1" a="1"/>
  <c r="AH610" i="1" a="1"/>
  <c r="AG219" i="1" a="1"/>
  <c r="AG395" i="1" a="1"/>
  <c r="AH5" i="1" a="1"/>
  <c r="AH372" i="1" a="1"/>
  <c r="AH543" i="1" a="1"/>
  <c r="AH136" i="1" a="1"/>
  <c r="AH203" i="1" a="1"/>
  <c r="AG652" i="1" a="1"/>
  <c r="AH402" i="1" a="1"/>
  <c r="AH299" i="1" a="1"/>
  <c r="AH185" i="1" a="1"/>
  <c r="AH404" i="1" a="1"/>
  <c r="AG321" i="1" a="1"/>
  <c r="AH367" i="1" a="1"/>
  <c r="AG70" i="1" a="1"/>
  <c r="AH188" i="1" a="1"/>
  <c r="AH145" i="1" a="1"/>
  <c r="AG256" i="1" a="1"/>
  <c r="AG334" i="1" a="1"/>
  <c r="AG392" i="1" a="1"/>
  <c r="AH480" i="1" a="1"/>
  <c r="AG327" i="1" a="1"/>
  <c r="AH634" i="1" a="1"/>
  <c r="AG181" i="1" a="1"/>
  <c r="AH151" i="1" a="1"/>
  <c r="AG171" i="1" a="1"/>
  <c r="AG55" i="1" a="1"/>
  <c r="AG402" i="1" a="1"/>
  <c r="AH113" i="1" a="1"/>
  <c r="AH552" i="1" a="1"/>
  <c r="AH346" i="1" a="1"/>
  <c r="AH256" i="1" a="1"/>
  <c r="AH486" i="1" a="1"/>
  <c r="AG311" i="1" a="1"/>
  <c r="AG598" i="1" a="1"/>
  <c r="AH613" i="1" a="1"/>
  <c r="AG646" i="1" a="1"/>
  <c r="AG586" i="1" a="1"/>
  <c r="AG273" i="1" a="1"/>
  <c r="AH31" i="1" a="1"/>
  <c r="AG238" i="1" a="1"/>
  <c r="AH63" i="1" a="1"/>
  <c r="AH440" i="1" a="1"/>
  <c r="AH252" i="1" a="1"/>
  <c r="AG430" i="1" a="1"/>
  <c r="AG214" i="1" a="1"/>
  <c r="AG157" i="1" a="1"/>
  <c r="AH401" i="1" a="1"/>
  <c r="AG84" i="1" a="1"/>
  <c r="AH45" i="1" a="1"/>
  <c r="AH283" i="1" a="1"/>
  <c r="AG398" i="1" a="1"/>
  <c r="AG241" i="1" a="1"/>
  <c r="AG399" i="1" a="1"/>
  <c r="AG514" i="1" a="1"/>
  <c r="AH628" i="1" a="1"/>
  <c r="AG559" i="1" a="1"/>
  <c r="AG110" i="1" a="1"/>
  <c r="AH20" i="1" a="1"/>
  <c r="AH60" i="1" a="1"/>
  <c r="AG304" i="1" a="1"/>
  <c r="AH99" i="1" a="1"/>
  <c r="AG663" i="1" a="1"/>
  <c r="AG388" i="1" a="1"/>
  <c r="AH442" i="1" a="1"/>
  <c r="AH360" i="1" a="1"/>
  <c r="AH429" i="1" a="1"/>
  <c r="AH225" i="1" a="1"/>
  <c r="AG121" i="1" a="1"/>
  <c r="AG623" i="1" a="1"/>
  <c r="AH561" i="1" a="1"/>
  <c r="AH218" i="1" a="1"/>
  <c r="AH586" i="1" a="1"/>
  <c r="AH41" i="1" a="1"/>
  <c r="AH170" i="1" a="1"/>
  <c r="AG76" i="1" a="1"/>
  <c r="AH325" i="1" a="1"/>
  <c r="AH217" i="1" a="1"/>
  <c r="AG645" i="1" a="1"/>
  <c r="AG108" i="1" a="1"/>
  <c r="AG541" i="1" a="1"/>
  <c r="AG666" i="1" a="1"/>
  <c r="AG258" i="1" a="1"/>
  <c r="AG15" i="1" a="1"/>
  <c r="AH584" i="1" a="1"/>
  <c r="AH511" i="1" a="1"/>
  <c r="AH441" i="1" a="1"/>
  <c r="AG568" i="1" a="1"/>
  <c r="AH620" i="1" a="1"/>
  <c r="AH551" i="1" a="1"/>
  <c r="AG51" i="1" a="1"/>
  <c r="AH49" i="1" a="1"/>
  <c r="AH24" i="1" a="1"/>
  <c r="AG331" i="1" a="1"/>
  <c r="AH609" i="1" a="1"/>
  <c r="AH384" i="1" a="1"/>
  <c r="AG644" i="1" a="1"/>
  <c r="AH574" i="1" a="1"/>
  <c r="AH22" i="1" a="1"/>
  <c r="AH144" i="1" a="1"/>
  <c r="AG492" i="1" a="1"/>
  <c r="AH78" i="1" a="1"/>
  <c r="AH661" i="1" a="1"/>
  <c r="AH266" i="1" a="1"/>
  <c r="AH259" i="1" a="1"/>
  <c r="AH81" i="1" a="1"/>
  <c r="AG32" i="1" a="1"/>
  <c r="AG148" i="1" a="1"/>
  <c r="AH279" i="1" a="1"/>
  <c r="AH409" i="1" a="1"/>
  <c r="AH484" i="1" a="1"/>
  <c r="AG537" i="1" a="1"/>
  <c r="AG360" i="1" a="1"/>
  <c r="AG512" i="1" a="1"/>
  <c r="AG435" i="1" a="1"/>
  <c r="AH658" i="1" a="1"/>
  <c r="AH138" i="1" a="1"/>
  <c r="AG297" i="1" a="1"/>
  <c r="AG373" i="1" a="1"/>
  <c r="AH250" i="1" a="1"/>
  <c r="AG566" i="1" a="1"/>
  <c r="AH82" i="1" a="1"/>
  <c r="AH324" i="1" a="1"/>
  <c r="AG173" i="1" a="1"/>
  <c r="AH344" i="1" a="1"/>
  <c r="AH623" i="1" a="1"/>
  <c r="AH642" i="1" a="1"/>
  <c r="AG441" i="1" a="1"/>
  <c r="AG209" i="1" a="1"/>
  <c r="AG9" i="1" a="1"/>
  <c r="AG487" i="1" a="1"/>
  <c r="AG403" i="1" a="1"/>
  <c r="AH232" i="1" a="1"/>
  <c r="AG40" i="1" a="1"/>
  <c r="AH100" i="1" a="1"/>
  <c r="AG196" i="1" a="1"/>
  <c r="AG105" i="1" a="1"/>
  <c r="AH347" i="1" a="1"/>
  <c r="AG77" i="1" a="1"/>
  <c r="AH167" i="1" a="1"/>
  <c r="AG401" i="1" a="1"/>
  <c r="AH274" i="1" a="1"/>
  <c r="AH26" i="1" a="1"/>
  <c r="AH503" i="1" a="1"/>
  <c r="AH128" i="1" a="1"/>
  <c r="AG21" i="1" a="1"/>
  <c r="AG305" i="1" a="1"/>
  <c r="AH419" i="1" a="1"/>
  <c r="AH648" i="1" a="1"/>
  <c r="AH431" i="1" a="1"/>
  <c r="AH148" i="1" a="1"/>
  <c r="AG211" i="1" a="1"/>
  <c r="AH636" i="1" a="1"/>
  <c r="AH98" i="1" a="1"/>
  <c r="AG216" i="1" a="1"/>
  <c r="AG376" i="1" a="1"/>
  <c r="AG212" i="1" a="1"/>
  <c r="AH664" i="1" a="1"/>
  <c r="AH656" i="1" a="1"/>
  <c r="AG284" i="1" a="1"/>
  <c r="AG149" i="1" a="1"/>
  <c r="AG507" i="1" a="1"/>
  <c r="AG194" i="1" a="1"/>
  <c r="AG526" i="1" a="1"/>
  <c r="AH532" i="1" a="1"/>
  <c r="AG612" i="1" a="1"/>
  <c r="AH137" i="1" a="1"/>
  <c r="AH284" i="1" a="1"/>
  <c r="AH130" i="1" a="1"/>
  <c r="AG446" i="1" a="1"/>
  <c r="AG584" i="1" a="1"/>
  <c r="AG142" i="1" a="1"/>
  <c r="AG429" i="1" a="1"/>
  <c r="AG345" i="1" a="1"/>
  <c r="AH408" i="1" a="1"/>
  <c r="AG276" i="1" a="1"/>
  <c r="AH157" i="1" a="1"/>
  <c r="AG177" i="1" a="1"/>
  <c r="AH652" i="1" a="1"/>
  <c r="AG499" i="1" a="1"/>
  <c r="AH425" i="1" a="1"/>
  <c r="AH50" i="1" a="1"/>
  <c r="AG136" i="1" a="1"/>
  <c r="AG155" i="1" a="1"/>
  <c r="AH106" i="1" a="1"/>
  <c r="AH142" i="1" a="1"/>
  <c r="AG178" i="1" a="1"/>
  <c r="AG63" i="1" a="1"/>
  <c r="AH115" i="1" a="1"/>
  <c r="AH261" i="1" a="1"/>
  <c r="AH288" i="1" a="1"/>
  <c r="AG552" i="1" a="1"/>
  <c r="AG74" i="1" a="1"/>
  <c r="AH248" i="1" a="1"/>
  <c r="AG572" i="1" a="1"/>
  <c r="AG529" i="1" a="1"/>
  <c r="AH518" i="1" a="1"/>
  <c r="AH168" i="1" a="1"/>
  <c r="AG310" i="1" a="1"/>
  <c r="AG523" i="1" a="1"/>
  <c r="AG620" i="1" a="1"/>
  <c r="AG511" i="1" a="1"/>
  <c r="AH2" i="1" a="1"/>
  <c r="AH470" i="1" a="1"/>
  <c r="AG254" i="1" a="1"/>
  <c r="AG267" i="1" a="1"/>
  <c r="AG600" i="1" a="1"/>
  <c r="AH227" i="1" a="1"/>
  <c r="AH16" i="1" a="1"/>
  <c r="AH323" i="1" a="1"/>
  <c r="AG361" i="1" a="1"/>
  <c r="AH563" i="1" a="1"/>
  <c r="AH471" i="1" a="1"/>
  <c r="AH617" i="1" a="1"/>
  <c r="AG188" i="1" a="1"/>
  <c r="AH479" i="1" a="1"/>
  <c r="AG635" i="1" a="1"/>
  <c r="AH591" i="1" a="1"/>
  <c r="AH4" i="1" a="1"/>
  <c r="AH330" i="1" a="1"/>
  <c r="AH192" i="1" a="1"/>
  <c r="AH150" i="1" a="1"/>
  <c r="AH175" i="1" a="1"/>
  <c r="AH95" i="1" a="1"/>
  <c r="AH222" i="1" a="1"/>
  <c r="AG494" i="1" a="1"/>
  <c r="AG400" i="1" a="1"/>
  <c r="AH64" i="1" a="1"/>
  <c r="AH405" i="1" a="1"/>
  <c r="AH304" i="1" a="1"/>
  <c r="AG617" i="1" a="1"/>
  <c r="AG326" i="1" a="1"/>
  <c r="AG97" i="1" a="1"/>
  <c r="AG498" i="1" a="1"/>
  <c r="AG187" i="1" a="1"/>
  <c r="AH352" i="1" a="1"/>
  <c r="AG562" i="1" a="1"/>
  <c r="AG628" i="1" a="1"/>
  <c r="AH427" i="1" a="1"/>
  <c r="AG306" i="1" a="1"/>
  <c r="AH350" i="1" a="1"/>
  <c r="AG87" i="1" a="1"/>
  <c r="AG502" i="1" a="1"/>
  <c r="AG322" i="1" a="1"/>
  <c r="AG615" i="1" a="1"/>
  <c r="AH568" i="1" a="1"/>
  <c r="AG356" i="1" a="1"/>
  <c r="AG594" i="1" a="1"/>
  <c r="AH548" i="1" a="1"/>
  <c r="AH386" i="1" a="1"/>
  <c r="AH320" i="1" a="1"/>
  <c r="AH255" i="1" a="1"/>
  <c r="AH77" i="1" a="1"/>
  <c r="AG656" i="1" a="1"/>
  <c r="AH112" i="1" a="1"/>
  <c r="AG437" i="1" a="1"/>
  <c r="AG7" i="1" a="1"/>
  <c r="AH388" i="1" a="1"/>
  <c r="AH235" i="1" a="1"/>
  <c r="AG590" i="1" a="1"/>
  <c r="AG597" i="1" a="1"/>
  <c r="AH528" i="1" a="1"/>
  <c r="AG522" i="1" a="1"/>
  <c r="AH258" i="1" a="1"/>
  <c r="AG339" i="1" a="1"/>
  <c r="AG266" i="1" a="1"/>
  <c r="AH166" i="1" a="1"/>
  <c r="AH332" i="1" a="1"/>
  <c r="AG229" i="1" a="1"/>
  <c r="AH632" i="1" a="1"/>
  <c r="AH308" i="1" a="1"/>
  <c r="AG166" i="1" a="1"/>
  <c r="AH33" i="1" a="1"/>
  <c r="AH566" i="1" a="1"/>
  <c r="AG220" i="1" a="1"/>
  <c r="AG390" i="1" a="1"/>
  <c r="AH213" i="1" a="1"/>
  <c r="AG117" i="1" a="1"/>
  <c r="AH15" i="1" a="1"/>
  <c r="AG161" i="1" a="1"/>
  <c r="AG60" i="1" a="1"/>
  <c r="AH103" i="1" a="1"/>
  <c r="AG283" i="1" a="1"/>
  <c r="AG286" i="1" a="1"/>
  <c r="AG660" i="1" a="1"/>
  <c r="AH57" i="1" a="1"/>
  <c r="AH161" i="1" a="1"/>
  <c r="AG618" i="1" a="1"/>
  <c r="AH448" i="1" a="1"/>
  <c r="AG434" i="1" a="1"/>
  <c r="AG233" i="1" a="1"/>
  <c r="AH407" i="1" a="1"/>
  <c r="AG377" i="1" a="1"/>
  <c r="AH457" i="1" a="1"/>
  <c r="AH557" i="1" a="1"/>
  <c r="AG544" i="1" a="1"/>
  <c r="AH426" i="1" a="1"/>
  <c r="AG485" i="1" a="1"/>
  <c r="AG192" i="1" a="1"/>
  <c r="AH533" i="1" a="1"/>
  <c r="AG230" i="1" a="1"/>
  <c r="AG30" i="1" a="1"/>
  <c r="AG162" i="1" a="1"/>
  <c r="AH604" i="1" a="1"/>
  <c r="AG309" i="1" a="1"/>
  <c r="AG247" i="1" a="1"/>
  <c r="AH38" i="1" a="1"/>
  <c r="AG380" i="1" a="1"/>
  <c r="AH194" i="1" a="1"/>
  <c r="AH641" i="1" a="1"/>
  <c r="AG608" i="1" a="1"/>
  <c r="AH414" i="1" a="1"/>
  <c r="AG282" i="1" a="1"/>
  <c r="AH521" i="1" a="1"/>
  <c r="AG226" i="1" a="1"/>
  <c r="AG442" i="1" a="1"/>
  <c r="AG127" i="1" a="1"/>
  <c r="AG45" i="1" a="1"/>
  <c r="AG513" i="1" a="1"/>
  <c r="AH467" i="1" a="1"/>
  <c r="AH631" i="1" a="1"/>
  <c r="AH392" i="1" a="1"/>
  <c r="AH196" i="1" a="1"/>
  <c r="AH155" i="1" a="1"/>
  <c r="AH201" i="1" a="1"/>
  <c r="AH181" i="1" a="1"/>
  <c r="AG278" i="1" a="1"/>
  <c r="AH364" i="1" a="1"/>
  <c r="AH268" i="1" a="1"/>
  <c r="AG48" i="1" a="1"/>
  <c r="AH572" i="1" a="1"/>
  <c r="AH83" i="1" a="1"/>
  <c r="AH8" i="1" a="1"/>
  <c r="AH411" i="1" a="1"/>
  <c r="AH119" i="1" a="1"/>
  <c r="AH668" i="1" a="1"/>
  <c r="AH224" i="1" a="1"/>
  <c r="AG221" i="1" a="1"/>
  <c r="AH481" i="1" a="1"/>
  <c r="AG591" i="1" a="1"/>
  <c r="AG418" i="1" a="1"/>
  <c r="AH375" i="1" a="1"/>
  <c r="AH277" i="1" a="1"/>
  <c r="AH120" i="1" a="1"/>
  <c r="AH331" i="1" a="1"/>
  <c r="AH278" i="1" a="1"/>
  <c r="AG491" i="1" a="1"/>
  <c r="AG658" i="1" a="1"/>
  <c r="AH263" i="1" a="1"/>
  <c r="AH655" i="1" a="1"/>
  <c r="AG424" i="1" a="1"/>
  <c r="AH337" i="1" a="1"/>
  <c r="AG414" i="1" a="1"/>
  <c r="AH207" i="1" a="1"/>
  <c r="AG239" i="1" a="1"/>
  <c r="AG24" i="1" a="1"/>
  <c r="AG370" i="1" a="1"/>
  <c r="AG270" i="1" a="1"/>
  <c r="AG461" i="1" a="1"/>
  <c r="AH354" i="1" a="1"/>
  <c r="AH297" i="1" a="1"/>
  <c r="AH209" i="1" a="1"/>
  <c r="AG466" i="1" a="1"/>
  <c r="AG619" i="1" a="1"/>
  <c r="AH499" i="1" a="1"/>
  <c r="AG385" i="1" a="1"/>
  <c r="AG291" i="1" a="1"/>
  <c r="AH265" i="1" a="1"/>
  <c r="AH463" i="1" a="1"/>
  <c r="AH241" i="1" a="1"/>
  <c r="AG423" i="1" a="1"/>
  <c r="AG505" i="1" a="1"/>
  <c r="AG343" i="1" a="1"/>
  <c r="AH415" i="1" a="1"/>
  <c r="AG472" i="1" a="1"/>
  <c r="AG488" i="1" a="1"/>
  <c r="AG259" i="1" a="1"/>
  <c r="AG333" i="1" a="1"/>
  <c r="AG204" i="1" a="1"/>
  <c r="AG288" i="1" a="1"/>
  <c r="AH420" i="1" a="1"/>
  <c r="AG528" i="1" a="1"/>
  <c r="AG610" i="1" a="1"/>
  <c r="AH488" i="1" a="1"/>
  <c r="AG315" i="1" a="1"/>
  <c r="AH334" i="1" a="1"/>
  <c r="AH132" i="1" a="1"/>
  <c r="AH361" i="1" a="1"/>
  <c r="AG439" i="1" a="1"/>
  <c r="AH6" i="1" a="1"/>
  <c r="AG112" i="1" a="1"/>
  <c r="AG622" i="1" a="1"/>
  <c r="AH271" i="1" a="1"/>
  <c r="AH282" i="1" a="1"/>
  <c r="AG483" i="1" a="1"/>
  <c r="AH73" i="1" a="1"/>
  <c r="AG90" i="1" a="1"/>
  <c r="AG61" i="1" a="1"/>
  <c r="AG42" i="1" a="1"/>
  <c r="AG268" i="1" a="1"/>
  <c r="AH191" i="1" a="1"/>
  <c r="AH19" i="1" a="1"/>
  <c r="AG470" i="1" a="1"/>
  <c r="AH575" i="1" a="1"/>
  <c r="AH399" i="1" a="1"/>
  <c r="AH508" i="1" a="1"/>
  <c r="AG141" i="1" a="1"/>
  <c r="AH59" i="1" a="1"/>
  <c r="AH547" i="1" a="1"/>
  <c r="AH449" i="1" a="1"/>
  <c r="AG654" i="1" a="1"/>
  <c r="AH582" i="1" a="1"/>
  <c r="AG410" i="1" a="1"/>
  <c r="AG368" i="1" a="1"/>
  <c r="AG372" i="1" a="1"/>
  <c r="AG240" i="1" a="1"/>
  <c r="AH230" i="1" a="1"/>
  <c r="AG669" i="1" a="1"/>
  <c r="AG193" i="1" a="1"/>
  <c r="AH646" i="1" a="1"/>
  <c r="AH581" i="1" a="1"/>
  <c r="AH539" i="1" a="1"/>
  <c r="AG10" i="1" a="1"/>
  <c r="AH223" i="1" a="1"/>
  <c r="AH435" i="1" a="1"/>
  <c r="AG98" i="1" a="1"/>
  <c r="AH23" i="1" a="1"/>
  <c r="AH489" i="1" a="1"/>
  <c r="AH267" i="1" a="1"/>
  <c r="AH560" i="1" a="1"/>
  <c r="AG348" i="1" a="1"/>
  <c r="AH204" i="1" a="1"/>
  <c r="AH627" i="1" a="1"/>
  <c r="AH86" i="1" a="1"/>
  <c r="AG109" i="1" a="1"/>
  <c r="AH536" i="1" a="1"/>
  <c r="AH485" i="1" a="1"/>
  <c r="AH474" i="1" a="1"/>
  <c r="AG44" i="1" a="1"/>
  <c r="AH517" i="1" a="1"/>
  <c r="AH340" i="1" a="1"/>
  <c r="AG302" i="1" a="1"/>
  <c r="AG47" i="1" a="1"/>
  <c r="AG41" i="1" a="1"/>
  <c r="AH473" i="1" a="1"/>
  <c r="AG386" i="1" a="1"/>
  <c r="AG215" i="1" a="1"/>
  <c r="AG130" i="1" a="1"/>
  <c r="AG336" i="1" a="1"/>
  <c r="AH220" i="1" a="1"/>
  <c r="AG287" i="1" a="1"/>
  <c r="AH233" i="1" a="1"/>
  <c r="AG458" i="1" a="1"/>
  <c r="AG165" i="1" a="1"/>
  <c r="AG298" i="1" a="1"/>
  <c r="AH614" i="1" a="1"/>
  <c r="AH10" i="1" a="1"/>
  <c r="AG100" i="1" a="1"/>
  <c r="AH353" i="1" a="1"/>
  <c r="AH35" i="1" a="1"/>
  <c r="AH469" i="1" a="1"/>
  <c r="AH428" i="1" a="1"/>
  <c r="AH107" i="1" a="1"/>
  <c r="AH336" i="1" a="1"/>
  <c r="AH160" i="1" a="1"/>
  <c r="AG126" i="1" a="1"/>
  <c r="AH7" i="1" a="1"/>
  <c r="AG205" i="1" a="1"/>
  <c r="AG293" i="1" a="1"/>
  <c r="AH456" i="1" a="1"/>
  <c r="AG384" i="1" a="1"/>
  <c r="AH44" i="1" a="1"/>
  <c r="AH71" i="1" a="1"/>
  <c r="AG651" i="1" a="1"/>
  <c r="AG557" i="1" a="1"/>
  <c r="AH237" i="1" a="1"/>
  <c r="AG140" i="1" a="1"/>
  <c r="AG539" i="1" a="1"/>
  <c r="AH102" i="1" a="1"/>
  <c r="AH236" i="1" a="1"/>
  <c r="AG352" i="1" a="1"/>
  <c r="AG576" i="1" a="1"/>
  <c r="AG249" i="1" a="1"/>
  <c r="AH497" i="1" a="1"/>
  <c r="AG440" i="1" a="1"/>
  <c r="AG519" i="1" a="1"/>
  <c r="AH68" i="1" a="1"/>
  <c r="AG295" i="1" a="1"/>
  <c r="AH644" i="1" a="1"/>
  <c r="AH625" i="1" a="1"/>
  <c r="AH292" i="1" a="1"/>
  <c r="AG583" i="1" a="1"/>
  <c r="AG28" i="1" a="1"/>
  <c r="AG83" i="1" a="1"/>
  <c r="AG341" i="1" a="1"/>
  <c r="AH626" i="1" a="1"/>
  <c r="AG123" i="1" a="1"/>
  <c r="AH385" i="1" a="1"/>
  <c r="AG640" i="1" a="1"/>
  <c r="AG569" i="1" a="1"/>
  <c r="AH622" i="1" a="1"/>
  <c r="AG633" i="1" a="1"/>
  <c r="AH228" i="1" a="1"/>
  <c r="AH311" i="1" a="1"/>
  <c r="AG657" i="1" a="1"/>
  <c r="AG154" i="1" a="1"/>
  <c r="AH424" i="1" a="1"/>
  <c r="AH569" i="1" a="1"/>
  <c r="AG23" i="1" a="1"/>
  <c r="AH28" i="1" a="1"/>
  <c r="AH513" i="1" a="1"/>
  <c r="AH335" i="1" a="1"/>
  <c r="AH524" i="1" a="1"/>
  <c r="AG599" i="1" a="1"/>
  <c r="AH567" i="1" a="1"/>
  <c r="AG432" i="1" a="1"/>
  <c r="AG146" i="1" a="1"/>
  <c r="AH430" i="1" a="1"/>
  <c r="AH121" i="1" a="1"/>
  <c r="AH397" i="1" a="1"/>
  <c r="AG540" i="1" a="1"/>
  <c r="AG548" i="1" a="1"/>
  <c r="AH585" i="1" a="1"/>
  <c r="AG605" i="1" a="1"/>
  <c r="AG184" i="1" a="1"/>
  <c r="AG449" i="1" a="1"/>
  <c r="AG489" i="1" a="1"/>
  <c r="AG2" i="1" a="1"/>
  <c r="AG198" i="1" a="1"/>
  <c r="AH30" i="1" a="1"/>
  <c r="AG451" i="1" a="1"/>
  <c r="AG52" i="1" a="1"/>
  <c r="AH394" i="1" a="1"/>
  <c r="AG632" i="1" a="1"/>
  <c r="AG354" i="1" a="1"/>
  <c r="AH135" i="1" a="1"/>
  <c r="AG416" i="1" a="1"/>
  <c r="AG580" i="1" a="1"/>
  <c r="AH601" i="1" a="1"/>
  <c r="AH522" i="1" a="1"/>
  <c r="AG190" i="1" a="1"/>
  <c r="AG182" i="1" a="1"/>
  <c r="AG124" i="1" a="1"/>
  <c r="AG524" i="1" a="1"/>
  <c r="AG621" i="1" a="1"/>
  <c r="AH149" i="1" a="1"/>
  <c r="AG536" i="1" a="1"/>
  <c r="AG75" i="1" a="1"/>
  <c r="AH198" i="1" a="1"/>
  <c r="AH607" i="1" a="1"/>
  <c r="AH190" i="1" a="1"/>
  <c r="AH114" i="1" a="1"/>
  <c r="AH183" i="1" a="1"/>
  <c r="AG587" i="1" a="1"/>
  <c r="AG427" i="1" a="1"/>
  <c r="AG312" i="1" a="1"/>
  <c r="AG476" i="1" a="1"/>
  <c r="AH239" i="1" a="1"/>
  <c r="AH300" i="1" a="1"/>
  <c r="AH309" i="1" a="1"/>
  <c r="AG525" i="1" a="1"/>
  <c r="AG213" i="1" a="1"/>
  <c r="AH74" i="1" a="1"/>
  <c r="AH446" i="1" a="1"/>
  <c r="AG554" i="1" a="1"/>
  <c r="AH393" i="1" a="1"/>
  <c r="AH316" i="1" a="1"/>
  <c r="AH637" i="1" a="1"/>
  <c r="AG570" i="1" a="1"/>
  <c r="AG571" i="1" a="1"/>
  <c r="AG409" i="1" a="1"/>
  <c r="AH211" i="1" a="1"/>
  <c r="AG359" i="1" a="1"/>
  <c r="AH214" i="1" a="1"/>
  <c r="AG387" i="1" a="1"/>
  <c r="AG659" i="1" a="1"/>
  <c r="AG639" i="1" a="1"/>
  <c r="AH32" i="1" a="1"/>
  <c r="AH598" i="1" a="1"/>
  <c r="AH510" i="1" a="1"/>
  <c r="AH193" i="1" a="1"/>
  <c r="AH251" i="1" a="1"/>
  <c r="AH219" i="1" a="1"/>
  <c r="AH34" i="1" a="1"/>
  <c r="AH356" i="1" a="1"/>
  <c r="AG481" i="1" a="1"/>
  <c r="AH195" i="1" a="1"/>
  <c r="AG168" i="1" a="1"/>
  <c r="AH96" i="1" a="1"/>
  <c r="AG34" i="1" a="1"/>
  <c r="AG317" i="1" a="1"/>
  <c r="AG236" i="1" a="1"/>
  <c r="AG56" i="1" a="1"/>
  <c r="AH242" i="1" a="1"/>
  <c r="AG228" i="1" a="1"/>
  <c r="AH573" i="1" a="1"/>
  <c r="AG482" i="1" a="1"/>
  <c r="AG78" i="1" a="1"/>
  <c r="AH504" i="1" a="1"/>
  <c r="AH27" i="1" a="1"/>
  <c r="AH478" i="1" a="1"/>
  <c r="AH72" i="1" a="1"/>
  <c r="AG199" i="1" a="1"/>
  <c r="AG46" i="1" a="1"/>
  <c r="AG611" i="1" a="1"/>
  <c r="AG17" i="1" a="1"/>
  <c r="AH257" i="1" a="1"/>
  <c r="AG626" i="1" a="1"/>
  <c r="AH322" i="1" a="1"/>
  <c r="AG629" i="1" a="1"/>
  <c r="AG183" i="1" a="1"/>
  <c r="AH303" i="1" a="1"/>
  <c r="AH247" i="1" a="1"/>
  <c r="AG362" i="1" a="1"/>
  <c r="AH163" i="1" a="1"/>
  <c r="AH452" i="1" a="1"/>
  <c r="AG340" i="1" a="1"/>
  <c r="AH400" i="1" a="1"/>
  <c r="AG497" i="1" a="1"/>
  <c r="AG510" i="1" a="1"/>
  <c r="AG573" i="1" a="1"/>
  <c r="AG43" i="1" a="1"/>
  <c r="AH296" i="1" a="1"/>
  <c r="AH156" i="1" a="1"/>
  <c r="AG606" i="1" a="1"/>
  <c r="AH310" i="1" a="1"/>
  <c r="AH110" i="1" a="1"/>
  <c r="AH341" i="1" a="1"/>
  <c r="AG501" i="1" a="1"/>
  <c r="AG18" i="1" a="1"/>
  <c r="AH475" i="1" a="1"/>
  <c r="AG225" i="1" a="1"/>
  <c r="AH363" i="1" a="1"/>
  <c r="AG263" i="1" a="1"/>
  <c r="AH529" i="1" a="1"/>
  <c r="AH355" i="1" a="1"/>
  <c r="AG170" i="1" a="1"/>
  <c r="AG86" i="1" a="1"/>
  <c r="AH494" i="1" a="1"/>
  <c r="AH53" i="1" a="1"/>
  <c r="AG577" i="1" a="1"/>
  <c r="AG490" i="1" a="1"/>
  <c r="AH281" i="1" a="1"/>
  <c r="AG607" i="1" a="1"/>
  <c r="AH633" i="1" a="1"/>
  <c r="AG94" i="1" a="1"/>
  <c r="AH328" i="1" a="1"/>
  <c r="AG147" i="1" a="1"/>
  <c r="AH514" i="1" a="1"/>
  <c r="AH578" i="1" a="1"/>
  <c r="AG330" i="1" a="1"/>
  <c r="AH472" i="1" a="1"/>
  <c r="AH21" i="1" a="1"/>
  <c r="AG82" i="1" a="1"/>
  <c r="AG647" i="1" a="1"/>
  <c r="AH492" i="1" a="1"/>
  <c r="AH348" i="1" a="1"/>
  <c r="AH13" i="1" a="1"/>
  <c r="AG329" i="1" a="1"/>
  <c r="AG232" i="1" a="1"/>
  <c r="AG292" i="1" a="1"/>
  <c r="AG335" i="1" a="1"/>
  <c r="AH600" i="1" a="1"/>
  <c r="AH592" i="1" a="1"/>
  <c r="AG593" i="1" a="1"/>
  <c r="AG185" i="1" a="1"/>
  <c r="AG152" i="1" a="1"/>
  <c r="AG179" i="1" a="1"/>
  <c r="AG289" i="1" a="1"/>
  <c r="AH62" i="1" a="1"/>
  <c r="AG581" i="1" a="1"/>
  <c r="AH546" i="1" a="1"/>
  <c r="AG575" i="1" a="1"/>
  <c r="AG303" i="1" a="1"/>
  <c r="AG104" i="1" a="1"/>
  <c r="AH307" i="1" a="1"/>
  <c r="AG455" i="1" a="1"/>
  <c r="AG415" i="1" a="1"/>
  <c r="AG272" i="1" a="1"/>
  <c r="AG564" i="1" a="1"/>
  <c r="AH396" i="1" a="1"/>
  <c r="AG520" i="1" a="1"/>
  <c r="AG103" i="1" a="1"/>
  <c r="AG257" i="1" a="1"/>
  <c r="AG89" i="1" a="1"/>
  <c r="AG538" i="1" a="1"/>
  <c r="AG496" i="1" a="1"/>
  <c r="AG493" i="1" a="1"/>
  <c r="AG627" i="1" a="1"/>
  <c r="AH243" i="1" a="1"/>
  <c r="AG592" i="1" a="1"/>
  <c r="AG119" i="1" a="1"/>
  <c r="AH565" i="1" a="1"/>
  <c r="AH410" i="1" a="1"/>
  <c r="AG31" i="1" a="1"/>
  <c r="AH416" i="1" a="1"/>
  <c r="AG300" i="1" a="1"/>
  <c r="AG324" i="1" a="1"/>
  <c r="AG153" i="1" a="1"/>
  <c r="AH660" i="1" a="1"/>
  <c r="AH500" i="1" a="1"/>
  <c r="AH54" i="1" a="1"/>
  <c r="AH108" i="1" a="1"/>
  <c r="AH290" i="1" a="1"/>
  <c r="AH669" i="1" a="1"/>
  <c r="AG375" i="1" a="1"/>
  <c r="AH321" i="1" a="1"/>
  <c r="AG174" i="1" a="1"/>
  <c r="AH615" i="1" a="1"/>
  <c r="AH595" i="1" a="1"/>
  <c r="AH3" i="1" a="1"/>
  <c r="AH612" i="1" a="1"/>
  <c r="AG307" i="1" a="1"/>
  <c r="AH515" i="1" a="1"/>
  <c r="AG467" i="1" a="1"/>
  <c r="AG365" i="1" a="1"/>
  <c r="AH37" i="1" a="1"/>
  <c r="AH466" i="1" a="1"/>
  <c r="AH482" i="1" a="1"/>
  <c r="AG364" i="1" a="1"/>
  <c r="AH647" i="1" a="1"/>
  <c r="AG106" i="1" a="1"/>
  <c r="AH94" i="1" a="1"/>
  <c r="AH179" i="1" a="1"/>
  <c r="AH436" i="1" a="1"/>
  <c r="AH205" i="1" a="1"/>
  <c r="AG137" i="1" a="1"/>
  <c r="AH75" i="1" a="1"/>
  <c r="AG506" i="1" a="1"/>
  <c r="AG558" i="1" a="1"/>
  <c r="AG556" i="1" a="1"/>
  <c r="AG578" i="1" a="1"/>
  <c r="AG585" i="1" a="1"/>
  <c r="AH162" i="1" a="1"/>
  <c r="AG237" i="1" a="1"/>
  <c r="AH421" i="1" a="1"/>
  <c r="AG253" i="1" a="1"/>
  <c r="AG602" i="1" a="1"/>
  <c r="AG92" i="1" a="1"/>
  <c r="AH590" i="1" a="1"/>
  <c r="AH477" i="1" a="1"/>
  <c r="AH101" i="1" a="1"/>
  <c r="AG601" i="1" a="1"/>
  <c r="AH605" i="1" a="1"/>
  <c r="AG16" i="1" a="1"/>
  <c r="AG351" i="1" a="1"/>
  <c r="AG167" i="1" a="1"/>
  <c r="AH564" i="1" a="1"/>
  <c r="AH65" i="1" a="1"/>
  <c r="AG93" i="1" a="1"/>
  <c r="AG191" i="1" a="1"/>
  <c r="AH104" i="1" a="1"/>
  <c r="AH295" i="1" a="1"/>
  <c r="AH545" i="1" a="1"/>
  <c r="AG279" i="1" a="1"/>
  <c r="AH523" i="1" a="1"/>
  <c r="AG53" i="1" a="1"/>
  <c r="AG367" i="1" a="1"/>
  <c r="AH577" i="1" a="1"/>
  <c r="AH305" i="1" a="1"/>
  <c r="AG81" i="1" a="1"/>
  <c r="AH439" i="1" a="1"/>
  <c r="AH412" i="1" a="1"/>
  <c r="AH186" i="1" a="1"/>
  <c r="AG49" i="1" a="1"/>
  <c r="AG447" i="1" a="1"/>
  <c r="AH583" i="1" a="1"/>
  <c r="AG404" i="1" a="1"/>
  <c r="AH244" i="1" a="1"/>
  <c r="AG394" i="1" a="1"/>
  <c r="AH48" i="1" a="1"/>
  <c r="AH147" i="1" a="1"/>
  <c r="AH562" i="1" a="1"/>
  <c r="AH443" i="1" a="1"/>
  <c r="AG57" i="1" a="1"/>
  <c r="AG37" i="1" a="1"/>
  <c r="AH52" i="1" a="1"/>
  <c r="AH476" i="1" a="1"/>
  <c r="AH125" i="1" a="1"/>
  <c r="AG379" i="1" a="1"/>
  <c r="AG358" i="1" a="1"/>
  <c r="AH640" i="1" a="1"/>
  <c r="AH169" i="1" a="1"/>
  <c r="AG474" i="1" a="1"/>
  <c r="AH444" i="1" a="1"/>
  <c r="AH651" i="1" a="1"/>
  <c r="AG11" i="1" a="1"/>
  <c r="AG609" i="1" a="1"/>
  <c r="AG346" i="1" a="1"/>
  <c r="AG281" i="1" a="1"/>
  <c r="AH459" i="1" a="1"/>
  <c r="AH270" i="1" a="1"/>
  <c r="AG363" i="1" a="1"/>
  <c r="AG596" i="1" a="1"/>
  <c r="AH294" i="1" a="1"/>
  <c r="AG469" i="1" a="1"/>
  <c r="AG369" i="1" a="1"/>
  <c r="AH215" i="1" a="1"/>
  <c r="AH210" i="1" a="1"/>
  <c r="AG589" i="1" a="1"/>
  <c r="AG36" i="1" a="1"/>
  <c r="AG438" i="1" a="1"/>
  <c r="AG299" i="1" a="1"/>
  <c r="AG133" i="1" a="1"/>
  <c r="AH249" i="1" a="1"/>
  <c r="AG517" i="1" a="1"/>
  <c r="AG643" i="1" a="1"/>
  <c r="AG428" i="1" a="1"/>
  <c r="AG471" i="1" a="1"/>
  <c r="AH133" i="1" a="1"/>
  <c r="AG425" i="1" a="1"/>
  <c r="AH506" i="1" a="1"/>
  <c r="AH199" i="1" a="1"/>
  <c r="AG413" i="1" a="1"/>
  <c r="AG246" i="1" a="1"/>
  <c r="AH176" i="1" a="1"/>
  <c r="AH140" i="1" a="1"/>
  <c r="AG132" i="1" a="1"/>
  <c r="AG371" i="1" a="1"/>
  <c r="AG248" i="1" a="1"/>
  <c r="AH629" i="1" a="1"/>
  <c r="AG201" i="1" a="1"/>
  <c r="AH462" i="1" a="1"/>
  <c r="AH423" i="1" a="1"/>
  <c r="AG200" i="1" a="1"/>
  <c r="AH152" i="1" a="1"/>
  <c r="AG535" i="1" a="1"/>
  <c r="AG533" i="1" a="1"/>
  <c r="AG407" i="1" a="1"/>
  <c r="AG151" i="1" a="1"/>
  <c r="AG158" i="1" a="1"/>
  <c r="AG261" i="1" a="1"/>
  <c r="AG64" i="1" a="1"/>
  <c r="AH315" i="1" a="1"/>
  <c r="AH122" i="1" a="1"/>
  <c r="AG553" i="1" a="1"/>
  <c r="AG624" i="1" a="1"/>
  <c r="AG479" i="1" a="1"/>
  <c r="AH343" i="1" a="1"/>
  <c r="AG186" i="1" a="1"/>
  <c r="AG349" i="1" a="1"/>
  <c r="AH599" i="1" a="1"/>
  <c r="AH11" i="1" a="1"/>
  <c r="AH84" i="1" a="1"/>
  <c r="AH97" i="1" a="1"/>
  <c r="AG255" i="1" a="1"/>
  <c r="AG344" i="1" a="1"/>
  <c r="AH67" i="1" a="1"/>
  <c r="AH530" i="1" a="1"/>
  <c r="AH117" i="1" a="1"/>
  <c r="AH406" i="1" a="1"/>
  <c r="AG118" i="1" a="1"/>
  <c r="AH596" i="1" a="1"/>
  <c r="AG111" i="1" a="1"/>
  <c r="AH79" i="1" a="1"/>
  <c r="AG294" i="1" a="1"/>
  <c r="AH512" i="1" a="1"/>
  <c r="AG217" i="1" a="1"/>
  <c r="AG218" i="1" a="1"/>
  <c r="AH369" i="1" a="1"/>
  <c r="AG208" i="1" a="1"/>
  <c r="AH39" i="1" a="1"/>
  <c r="AG366" i="1" a="1"/>
  <c r="AH280" i="1" a="1"/>
  <c r="AG91" i="1" a="1"/>
  <c r="AG244" i="1" a="1"/>
  <c r="AG595" i="1" a="1"/>
  <c r="AH253" i="1" a="1"/>
  <c r="AH542" i="1" a="1"/>
  <c r="AG260" i="1" a="1"/>
  <c r="AH437" i="1" a="1"/>
  <c r="AG456" i="1" a="1"/>
  <c r="AH498" i="1" a="1"/>
  <c r="AG457" i="1" a="1"/>
  <c r="AG250" i="1" a="1"/>
  <c r="AG530" i="1" a="1"/>
  <c r="AG436" i="1" a="1"/>
  <c r="AG574" i="1" a="1"/>
  <c r="AH80" i="1" a="1"/>
  <c r="AH318" i="1" a="1"/>
  <c r="AH317" i="1" a="1"/>
  <c r="AG419" i="1" a="1"/>
  <c r="AH141" i="1" a="1"/>
  <c r="AH333" i="1" a="1"/>
  <c r="AG99" i="1" a="1"/>
  <c r="AH639" i="1" a="1"/>
  <c r="AG58" i="1" a="1"/>
  <c r="AH55" i="1" a="1"/>
  <c r="AG107" i="1" a="1"/>
  <c r="AH549" i="1" a="1"/>
  <c r="AH173" i="1" a="1"/>
  <c r="AH619" i="1" a="1"/>
  <c r="AG347" i="1" a="1"/>
  <c r="AH264" i="1" a="1"/>
  <c r="AH645" i="1" a="1"/>
  <c r="AG265" i="1" a="1"/>
  <c r="AG39" i="1" a="1"/>
  <c r="AG661" i="1" a="1"/>
  <c r="AH576" i="1" a="1"/>
  <c r="AG69" i="1" a="1"/>
  <c r="AG308" i="1" a="1"/>
  <c r="AH313" i="1" a="1"/>
  <c r="AH182" i="1" a="1"/>
  <c r="AG625" i="1" a="1"/>
  <c r="AH496" i="1" a="1"/>
  <c r="AG509" i="1" a="1"/>
  <c r="AG245" i="1" a="1"/>
  <c r="AH76" i="1" a="1"/>
  <c r="AG116" i="1" a="1"/>
  <c r="AH154" i="1" a="1"/>
  <c r="AG14" i="1" a="1"/>
  <c r="AG464" i="1" a="1"/>
  <c r="AH624" i="1" a="1"/>
  <c r="AH468" i="1" a="1"/>
  <c r="AG3" i="1" a="1"/>
  <c r="AG29" i="1" a="1"/>
  <c r="AG560" i="1" a="1"/>
  <c r="AG486" i="1" a="1"/>
  <c r="AH14" i="1" a="1"/>
  <c r="AH298" i="1" a="1"/>
  <c r="AH260" i="1" a="1"/>
  <c r="AH487" i="1" a="1"/>
  <c r="AG338" i="1" a="1"/>
  <c r="AH131" i="1" a="1"/>
  <c r="AH206" i="1" a="1"/>
  <c r="AG357" i="1" a="1"/>
  <c r="AH66" i="1" a="1"/>
  <c r="AG452" i="1" a="1"/>
  <c r="AG443" i="1" a="1"/>
  <c r="AG251" i="1" a="1"/>
  <c r="AG389" i="1" a="1"/>
  <c r="AH665" i="1" a="1"/>
  <c r="AH18" i="1" a="1"/>
  <c r="AH454" i="1" a="1"/>
  <c r="AG234" i="1" a="1"/>
  <c r="AG543" i="1" a="1"/>
  <c r="AH272" i="1" a="1"/>
  <c r="AG120" i="1" a="1"/>
  <c r="AG545" i="1" a="1"/>
  <c r="AG518" i="1" a="1"/>
  <c r="AG242" i="1" a="1"/>
  <c r="AH351" i="1" a="1"/>
  <c r="AG582" i="1" a="1"/>
  <c r="AG664" i="1" a="1"/>
  <c r="AH534" i="1" a="1"/>
  <c r="AH433" i="1" a="1"/>
  <c r="AG316" i="1" a="1"/>
  <c r="AH109" i="1" a="1"/>
  <c r="AH403" i="1" a="1"/>
  <c r="AG325" i="1" a="1"/>
  <c r="AH245" i="1" a="1"/>
  <c r="AH17" i="1" a="1"/>
  <c r="AG332" i="1" a="1"/>
  <c r="AG129" i="1" a="1"/>
  <c r="AG85" i="1" a="1"/>
  <c r="AH159" i="1" a="1"/>
  <c r="AH36" i="1" a="1"/>
  <c r="AH438" i="1" a="1"/>
  <c r="AH526" i="1" a="1"/>
  <c r="AH383" i="1" a="1"/>
  <c r="AH180" i="1" a="1"/>
  <c r="AH380" i="1" a="1"/>
  <c r="AG275" i="1" a="1"/>
  <c r="AG313" i="1" a="1"/>
  <c r="AG101" i="1" a="1"/>
  <c r="AG195" i="1" a="1"/>
  <c r="AH118" i="1" a="1"/>
  <c r="AG613" i="1" a="1"/>
  <c r="AG433" i="1" a="1"/>
  <c r="AG264" i="1" a="1"/>
  <c r="AH422" i="1" a="1"/>
  <c r="AH593" i="1" a="1"/>
  <c r="AG62" i="1" a="1"/>
  <c r="AG26" i="1" a="1"/>
  <c r="AH43" i="1" a="1"/>
  <c r="AH158" i="1" a="1"/>
  <c r="AG662" i="1" a="1"/>
  <c r="AH643" i="1" a="1"/>
  <c r="AH273" i="1" a="1"/>
  <c r="AH174" i="1" a="1"/>
  <c r="AG5" i="1" a="1"/>
  <c r="AG143" i="1" a="1"/>
  <c r="AH146" i="1" a="1"/>
  <c r="AG603" i="1" a="1"/>
  <c r="AG113" i="1" a="1"/>
  <c r="AG463" i="1" a="1"/>
  <c r="AG231" i="1" a="1"/>
  <c r="AG406" i="1" a="1"/>
  <c r="AH87" i="1" a="1"/>
  <c r="AG320" i="1" a="1"/>
  <c r="AG405" i="1" a="1"/>
  <c r="AG277" i="1" a="1"/>
  <c r="AH221" i="1" a="1"/>
  <c r="AG504" i="1" a="1"/>
  <c r="AG408" i="1" a="1"/>
  <c r="AG13" i="1" a="1"/>
  <c r="AG203" i="1" a="1"/>
  <c r="AG527" i="1" a="1"/>
  <c r="AH276" i="1" a="1"/>
  <c r="AG503" i="1" a="1"/>
  <c r="AH368" i="1" a="1"/>
  <c r="AG342" i="1" a="1"/>
  <c r="AG642" i="1" a="1"/>
  <c r="AH544" i="1" a="1"/>
  <c r="AH349" i="1" a="1"/>
  <c r="AH338" i="1" a="1"/>
  <c r="AG301" i="1" a="1"/>
  <c r="AH29" i="1" a="1"/>
  <c r="AH653" i="1" a="1"/>
  <c r="AG96" i="1" a="1"/>
  <c r="AG516" i="1" a="1"/>
  <c r="AH358" i="1" a="1"/>
  <c r="AH377" i="1" a="1"/>
  <c r="AG176" i="1" a="1"/>
  <c r="AH302" i="1" a="1"/>
  <c r="AH555" i="1" a="1"/>
  <c r="AH286" i="1" a="1"/>
  <c r="AG475" i="1" a="1"/>
  <c r="AG285" i="1" a="1"/>
  <c r="AH164" i="1" a="1"/>
  <c r="AH212" i="1" a="1"/>
  <c r="AG68" i="1" a="1"/>
  <c r="AG648" i="1" a="1"/>
  <c r="AG631" i="1" a="1"/>
  <c r="AH92" i="1" a="1"/>
  <c r="AG614" i="1" a="1"/>
  <c r="AG19" i="1" a="1"/>
  <c r="AG243" i="1" a="1"/>
  <c r="AG202" i="1" a="1"/>
  <c r="AH538" i="1" a="1"/>
  <c r="AG397" i="1" a="1"/>
  <c r="AG630" i="1" a="1"/>
  <c r="AH413" i="1" a="1"/>
  <c r="AH608" i="1" a="1"/>
  <c r="AH289" i="1" a="1"/>
  <c r="AH126" i="1" a="1"/>
  <c r="AG417" i="1" a="1"/>
  <c r="AG426" i="1" a="1"/>
  <c r="AG102" i="1" a="1"/>
  <c r="AH357" i="1" a="1"/>
  <c r="AG374" i="1" a="1"/>
  <c r="AH42" i="1" a="1"/>
  <c r="AG542" i="1" a="1"/>
  <c r="AH559" i="1" a="1"/>
  <c r="AG468" i="1" a="1"/>
  <c r="AH165" i="1" a="1"/>
  <c r="AH226" i="1" a="1"/>
  <c r="AG180" i="1" a="1"/>
  <c r="AG280" i="1" a="1"/>
  <c r="AG128" i="1" a="1"/>
  <c r="AG135" i="1" a="1"/>
  <c r="AH558" i="1" a="1"/>
  <c r="AG314" i="1" a="1"/>
  <c r="AH461" i="1" a="1"/>
  <c r="AG59" i="1" a="1"/>
  <c r="AH451" i="1" a="1"/>
  <c r="AG655" i="1" a="1"/>
  <c r="AG421" i="1" a="1"/>
  <c r="AG636" i="1" a="1"/>
  <c r="AG350" i="1" a="1"/>
  <c r="AH662" i="1" a="1"/>
  <c r="AH382" i="1" a="1"/>
  <c r="AG50" i="1" a="1"/>
  <c r="AG422" i="1" a="1"/>
  <c r="AH202" i="1" a="1"/>
  <c r="AH339" i="1" a="1"/>
  <c r="AH312" i="1" a="1"/>
  <c r="AH606" i="1" a="1"/>
  <c r="AH127" i="1" a="1"/>
  <c r="AG638" i="1" a="1"/>
  <c r="AG355" i="1" a="1"/>
  <c r="AH262" i="1" a="1"/>
  <c r="AH570" i="1" a="1"/>
  <c r="AG473" i="1" a="1"/>
  <c r="AG532" i="1" a="1"/>
  <c r="AH501" i="1" a="1"/>
  <c r="AH105" i="1" a="1"/>
  <c r="AH432" i="1" a="1"/>
  <c r="AH571" i="1" a="1"/>
  <c r="AH491" i="1" a="1"/>
  <c r="AH70" i="1" a="1"/>
  <c r="AH527" i="1" a="1"/>
  <c r="AG391" i="1" a="1"/>
  <c r="AH505" i="1" a="1"/>
  <c r="AG33" i="1" a="1"/>
  <c r="AG328" i="1" a="1"/>
  <c r="AG38" i="1" a="1"/>
  <c r="AG649" i="1" a="1"/>
  <c r="AG6" i="1" a="1"/>
  <c r="AG450" i="1" a="1"/>
  <c r="AG547" i="1" a="1"/>
  <c r="AG353" i="1" a="1"/>
  <c r="AH291" i="1" a="1"/>
  <c r="AH666" i="1" a="1"/>
  <c r="AH238" i="1" a="1"/>
  <c r="AG588" i="1" a="1"/>
  <c r="AG160" i="1" a="1"/>
  <c r="AH373" i="1" a="1"/>
  <c r="AH61" i="1" a="1"/>
  <c r="AG296" i="1" a="1"/>
  <c r="AH342" i="1" a="1"/>
  <c r="AH89" i="1" a="1"/>
  <c r="AG665" i="1" a="1"/>
  <c r="AH319" i="1" a="1"/>
  <c r="AG206" i="1" a="1"/>
  <c r="AG453" i="1" a="1"/>
  <c r="AH398" i="1" a="1"/>
  <c r="AG79" i="1" a="1"/>
  <c r="AG115" i="1" a="1"/>
  <c r="AH93" i="1" a="1"/>
  <c r="AG71" i="1" a="1"/>
  <c r="AG172" i="1" a="1"/>
  <c r="AH306" i="1" a="1"/>
  <c r="AH124" i="1" a="1"/>
  <c r="AH447" i="1" a="1"/>
  <c r="AH285" i="1" a="1"/>
  <c r="AH417" i="1" a="1"/>
  <c r="AH365" i="1" a="1"/>
  <c r="AH269" i="1" a="1"/>
  <c r="AG478" i="1" a="1"/>
  <c r="AH635" i="1" a="1"/>
  <c r="AG95" i="1" a="1"/>
  <c r="AG531" i="1" a="1"/>
  <c r="AG567" i="1" a="1"/>
  <c r="AH359" i="1" a="1"/>
  <c r="AH69" i="1" a="1"/>
  <c r="AH659" i="1" a="1"/>
  <c r="AG207" i="1" a="1"/>
  <c r="AH184" i="1" a="1"/>
  <c r="AG393" i="1" a="1"/>
  <c r="AH229" i="1" a="1"/>
  <c r="AH314" i="1" a="1"/>
  <c r="AG563" i="1" a="1"/>
  <c r="AG477" i="1" a="1"/>
  <c r="AG65" i="1" a="1"/>
  <c r="AG634" i="1" a="1"/>
  <c r="AH90" i="1" a="1"/>
  <c r="AH445" i="1" a="1"/>
  <c r="AH143" i="1" a="1"/>
  <c r="AH395" i="1" a="1"/>
  <c r="AH374" i="1" a="1"/>
  <c r="AG515" i="1" a="1"/>
  <c r="AG462" i="1" a="1"/>
  <c r="AH47" i="1" a="1"/>
  <c r="AG159" i="1" a="1"/>
  <c r="AG381" i="1" a="1"/>
  <c r="AH550" i="1" a="1"/>
  <c r="AG431" i="1" a="1"/>
  <c r="AG223" i="1" a="1"/>
  <c r="AH240" i="1" a="1"/>
  <c r="AG12" i="1" a="1"/>
  <c r="AG169" i="1" a="1"/>
  <c r="AH171" i="1" a="1"/>
  <c r="AH293" i="1" a="1"/>
  <c r="AH178" i="1" a="1"/>
  <c r="AG604" i="1" a="1"/>
  <c r="AG521" i="1" a="1"/>
  <c r="AG650" i="1" a="1"/>
  <c r="AG175" i="1" a="1"/>
  <c r="AG480" i="1" a="1"/>
  <c r="AH381" i="1" a="1"/>
  <c r="AH91" i="1" a="1"/>
  <c r="AG35" i="1" a="1"/>
  <c r="AH139" i="1" a="1"/>
  <c r="AH450" i="1" a="1"/>
  <c r="AH502" i="1" a="1"/>
  <c r="AH129" i="1" a="1"/>
  <c r="AH389" i="1" a="1"/>
  <c r="AH387" i="1" a="1"/>
  <c r="AH40" i="1" a="1"/>
  <c r="AH12" i="1" a="1"/>
  <c r="AG323" i="1" a="1"/>
  <c r="AH630" i="1" a="1"/>
  <c r="AH597" i="1" a="1"/>
  <c r="AH465" i="1" a="1"/>
  <c r="AG114" i="1" a="1"/>
  <c r="AG262" i="1" a="1"/>
  <c r="AG551" i="1" a="1"/>
  <c r="AG145" i="1" a="1"/>
  <c r="AH153" i="1" a="1"/>
  <c r="AH525" i="1" a="1"/>
  <c r="AG549" i="1" a="1"/>
  <c r="AH197" i="1" a="1"/>
  <c r="AH275" i="1" a="1"/>
  <c r="AH189" i="1" a="1"/>
  <c r="AH638" i="1" a="1"/>
  <c r="AG465" i="1" a="1"/>
  <c r="AH458" i="1" a="1"/>
  <c r="AG637" i="1" a="1"/>
  <c r="AG134" i="1" a="1"/>
  <c r="AH667" i="1" a="1"/>
  <c r="AH580" i="1" a="1"/>
  <c r="AH301" i="1" a="1"/>
  <c r="AG197" i="1" a="1"/>
  <c r="AG150" i="1" a="1"/>
  <c r="AH366" i="1" a="1"/>
  <c r="AG318" i="1" a="1"/>
  <c r="AH621" i="1" a="1"/>
  <c r="AG565" i="1" a="1"/>
  <c r="AH654" i="1" a="1"/>
  <c r="AG8" i="1" a="1"/>
  <c r="AH287" i="1" a="1"/>
  <c r="AH453" i="1" a="1"/>
  <c r="AH418" i="1" a="1"/>
  <c r="AG561" i="1" a="1"/>
  <c r="AG550" i="1" a="1"/>
  <c r="AG139" i="1" a="1"/>
  <c r="AH254" i="1" a="1"/>
  <c r="AH371" i="1" a="1"/>
  <c r="AH9" i="1" a="1"/>
  <c r="AG27" i="1" a="1"/>
  <c r="AG269" i="1" a="1"/>
  <c r="AH541" i="1" a="1"/>
  <c r="AH391" i="1" a="1"/>
  <c r="AG138" i="1" a="1"/>
  <c r="AG616" i="1" a="1"/>
  <c r="AG500" i="1" a="1"/>
  <c r="AH587" i="1" a="1"/>
  <c r="AG495" i="1" a="1"/>
  <c r="AH123" i="1" a="1"/>
  <c r="AH460" i="1" a="1"/>
  <c r="AG20" i="1" a="1"/>
  <c r="AH111" i="1" a="1"/>
  <c r="AG66" i="1" a="1"/>
  <c r="AG641" i="1" a="1"/>
  <c r="AG274" i="1" a="1"/>
  <c r="AG222" i="1" a="1"/>
  <c r="AG22" i="1" a="1"/>
  <c r="AH464" i="1" a="1"/>
  <c r="AG454" i="1" a="1"/>
  <c r="AH434" i="1" a="1"/>
  <c r="AG131" i="1" a="1"/>
  <c r="AH589" i="1" a="1"/>
  <c r="AH378" i="1" a="1"/>
  <c r="AH556" i="1" a="1"/>
  <c r="AG319" i="1" a="1"/>
  <c r="AG444" i="1" a="1"/>
  <c r="AH370" i="1" a="1"/>
  <c r="AG396" i="1" a="1"/>
  <c r="AH603" i="1" a="1"/>
  <c r="AG25" i="1" a="1"/>
  <c r="AH216" i="1" a="1"/>
  <c r="AH611" i="1" a="1"/>
  <c r="AH493" i="1" a="1"/>
  <c r="AH537" i="1" a="1"/>
  <c r="AG88" i="1" a="1"/>
  <c r="AG411" i="1" a="1"/>
  <c r="AG653" i="1" a="1"/>
  <c r="AH649" i="1" a="1"/>
  <c r="AH540" i="1" a="1"/>
  <c r="AH535" i="1" a="1"/>
  <c r="AH507" i="1" a="1"/>
  <c r="AG224" i="1" a="1"/>
  <c r="AG252" i="1" a="1"/>
  <c r="AG164" i="1" a="1"/>
  <c r="AH327" i="1" a="1"/>
  <c r="AH88" i="1" a="1"/>
  <c r="AH599" i="1" l="1"/>
  <c r="AH373" i="1"/>
  <c r="AH530" i="1"/>
  <c r="AG427" i="1"/>
  <c r="AI427" i="1" s="1"/>
  <c r="AJ427" i="1" s="1"/>
  <c r="AL427" i="1" s="1"/>
  <c r="AG225" i="1"/>
  <c r="AG36" i="1"/>
  <c r="AH193" i="1"/>
  <c r="AI193" i="1" s="1"/>
  <c r="AJ193" i="1" s="1"/>
  <c r="AL193" i="1" s="1"/>
  <c r="AH294" i="1"/>
  <c r="AH622" i="1"/>
  <c r="AG4" i="1"/>
  <c r="AI4" i="1" s="1"/>
  <c r="AJ4" i="1" s="1"/>
  <c r="AL4" i="1" s="1"/>
  <c r="AH56" i="1"/>
  <c r="AG295" i="1"/>
  <c r="AG57" i="1"/>
  <c r="AI57" i="1" s="1"/>
  <c r="AJ57" i="1" s="1"/>
  <c r="AL57" i="1" s="1"/>
  <c r="AH449" i="1"/>
  <c r="AH162" i="1"/>
  <c r="AG215" i="1"/>
  <c r="AI215" i="1" s="1"/>
  <c r="AJ215" i="1" s="1"/>
  <c r="AL215" i="1" s="1"/>
  <c r="AH316" i="1"/>
  <c r="AI316" i="1" s="1"/>
  <c r="AJ316" i="1" s="1"/>
  <c r="AL316" i="1" s="1"/>
  <c r="AG349" i="1"/>
  <c r="AI349" i="1" s="1"/>
  <c r="AJ349" i="1" s="1"/>
  <c r="AL349" i="1" s="1"/>
  <c r="AH382" i="1"/>
  <c r="AG78" i="1"/>
  <c r="AI78" i="1" s="1"/>
  <c r="AJ78" i="1" s="1"/>
  <c r="AL78" i="1" s="1"/>
  <c r="AG129" i="1"/>
  <c r="AG249" i="1"/>
  <c r="AH349" i="1"/>
  <c r="AG646" i="1"/>
  <c r="AI646" i="1" s="1"/>
  <c r="AJ646" i="1" s="1"/>
  <c r="AG373" i="1"/>
  <c r="AI373" i="1" s="1"/>
  <c r="AJ373" i="1" s="1"/>
  <c r="AL373" i="1" s="1"/>
  <c r="AG459" i="1"/>
  <c r="AG565" i="1"/>
  <c r="AH172" i="1"/>
  <c r="AH35" i="1"/>
  <c r="AG121" i="1"/>
  <c r="AI121" i="1" s="1"/>
  <c r="AJ121" i="1" s="1"/>
  <c r="AG327" i="1"/>
  <c r="AI327" i="1" s="1"/>
  <c r="AJ327" i="1" s="1"/>
  <c r="AG497" i="1"/>
  <c r="AI497" i="1" s="1"/>
  <c r="AJ497" i="1" s="1"/>
  <c r="AL497" i="1" s="1"/>
  <c r="AH225" i="1"/>
  <c r="AG395" i="1"/>
  <c r="AH362" i="1"/>
  <c r="AI362" i="1" s="1"/>
  <c r="AJ362" i="1" s="1"/>
  <c r="AL362" i="1" s="1"/>
  <c r="AH194" i="1"/>
  <c r="AI194" i="1" s="1"/>
  <c r="AJ194" i="1" s="1"/>
  <c r="AL194" i="1" s="1"/>
  <c r="AG449" i="1"/>
  <c r="AI449" i="1" s="1"/>
  <c r="AJ449" i="1" s="1"/>
  <c r="AL449" i="1" s="1"/>
  <c r="AG483" i="1"/>
  <c r="AI483" i="1" s="1"/>
  <c r="AJ483" i="1" s="1"/>
  <c r="AL483" i="1" s="1"/>
  <c r="AH554" i="1"/>
  <c r="AH483" i="1"/>
  <c r="AH78" i="1"/>
  <c r="AH129" i="1"/>
  <c r="AH249" i="1"/>
  <c r="AH418" i="1"/>
  <c r="AG350" i="1"/>
  <c r="AG130" i="1"/>
  <c r="AG150" i="1"/>
  <c r="AI150" i="1" s="1"/>
  <c r="AJ150" i="1" s="1"/>
  <c r="AH304" i="1"/>
  <c r="AH405" i="1"/>
  <c r="AH473" i="1"/>
  <c r="AG508" i="1"/>
  <c r="AH598" i="1"/>
  <c r="AG340" i="1"/>
  <c r="AH120" i="1"/>
  <c r="AH565" i="1"/>
  <c r="AI565" i="1" s="1"/>
  <c r="AJ565" i="1" s="1"/>
  <c r="AL565" i="1" s="1"/>
  <c r="AG87" i="1"/>
  <c r="AI87" i="1" s="1"/>
  <c r="AJ87" i="1" s="1"/>
  <c r="AL87" i="1" s="1"/>
  <c r="AG173" i="1"/>
  <c r="AG428" i="1"/>
  <c r="AI428" i="1" s="1"/>
  <c r="AJ428" i="1" s="1"/>
  <c r="AL428" i="1" s="1"/>
  <c r="AG622" i="1"/>
  <c r="AG56" i="1"/>
  <c r="AI56" i="1" s="1"/>
  <c r="AJ56" i="1" s="1"/>
  <c r="AL56" i="1" s="1"/>
  <c r="AH141" i="1"/>
  <c r="AG589" i="1"/>
  <c r="AG316" i="1"/>
  <c r="AG26" i="1"/>
  <c r="AG317" i="1"/>
  <c r="AH216" i="1"/>
  <c r="AG472" i="1"/>
  <c r="AI472" i="1" s="1"/>
  <c r="AJ472" i="1" s="1"/>
  <c r="AL472" i="1" s="1"/>
  <c r="AH612" i="1"/>
  <c r="AG507" i="1"/>
  <c r="AH13" i="1"/>
  <c r="AG100" i="1"/>
  <c r="AI100" i="1" s="1"/>
  <c r="AJ100" i="1" s="1"/>
  <c r="AL100" i="1" s="1"/>
  <c r="AH150" i="1"/>
  <c r="AH203" i="1"/>
  <c r="AG271" i="1"/>
  <c r="AI271" i="1" s="1"/>
  <c r="AJ271" i="1" s="1"/>
  <c r="AL271" i="1" s="1"/>
  <c r="AH339" i="1"/>
  <c r="AG372" i="1"/>
  <c r="AI372" i="1" s="1"/>
  <c r="AJ372" i="1" s="1"/>
  <c r="AL372" i="1" s="1"/>
  <c r="AG440" i="1"/>
  <c r="AG14" i="1"/>
  <c r="AI14" i="1" s="1"/>
  <c r="AJ14" i="1" s="1"/>
  <c r="AL14" i="1" s="1"/>
  <c r="AH238" i="1"/>
  <c r="AH406" i="1"/>
  <c r="AG272" i="1"/>
  <c r="AG294" i="1"/>
  <c r="AG394" i="1"/>
  <c r="AH327" i="1"/>
  <c r="AH588" i="1"/>
  <c r="AG656" i="1"/>
  <c r="AI656" i="1" s="1"/>
  <c r="AJ656" i="1" s="1"/>
  <c r="AL656" i="1" s="1"/>
  <c r="AH108" i="1"/>
  <c r="AG194" i="1"/>
  <c r="AG262" i="1"/>
  <c r="AI262" i="1" s="1"/>
  <c r="AJ262" i="1" s="1"/>
  <c r="AL262" i="1" s="1"/>
  <c r="AH623" i="1"/>
  <c r="AG109" i="1"/>
  <c r="AG216" i="1"/>
  <c r="AG541" i="1"/>
  <c r="AH541" i="1"/>
  <c r="AI541" i="1" s="1"/>
  <c r="AJ541" i="1" s="1"/>
  <c r="AL541" i="1" s="1"/>
  <c r="AH646" i="1"/>
  <c r="AH472" i="1"/>
  <c r="AH99" i="1"/>
  <c r="AG13" i="1"/>
  <c r="AI13" i="1" s="1"/>
  <c r="AJ13" i="1" s="1"/>
  <c r="AL13" i="1" s="1"/>
  <c r="AG66" i="1"/>
  <c r="AI66" i="1" s="1"/>
  <c r="AJ66" i="1" s="1"/>
  <c r="AL66" i="1" s="1"/>
  <c r="AG238" i="1"/>
  <c r="AI238" i="1" s="1"/>
  <c r="AJ238" i="1" s="1"/>
  <c r="AL238" i="1" s="1"/>
  <c r="AH271" i="1"/>
  <c r="AG406" i="1"/>
  <c r="AG599" i="1"/>
  <c r="AI599" i="1" s="1"/>
  <c r="AJ599" i="1" s="1"/>
  <c r="AH57" i="1"/>
  <c r="AG142" i="1"/>
  <c r="AI142" i="1" s="1"/>
  <c r="AJ142" i="1" s="1"/>
  <c r="AL142" i="1" s="1"/>
  <c r="AH262" i="1"/>
  <c r="AH317" i="1"/>
  <c r="AG419" i="1"/>
  <c r="AI419" i="1" s="1"/>
  <c r="AJ419" i="1" s="1"/>
  <c r="AL419" i="1" s="1"/>
  <c r="AG521" i="1"/>
  <c r="AI521" i="1" s="1"/>
  <c r="AJ521" i="1" s="1"/>
  <c r="AL521" i="1" s="1"/>
  <c r="AH5" i="1"/>
  <c r="AH463" i="1"/>
  <c r="AG580" i="1"/>
  <c r="AI580" i="1" s="1"/>
  <c r="AJ580" i="1" s="1"/>
  <c r="AL580" i="1" s="1"/>
  <c r="AG70" i="1"/>
  <c r="AH101" i="1"/>
  <c r="AH207" i="1"/>
  <c r="AH263" i="1"/>
  <c r="AG80" i="1"/>
  <c r="AI80" i="1" s="1"/>
  <c r="AJ80" i="1" s="1"/>
  <c r="AL80" i="1" s="1"/>
  <c r="AG113" i="1"/>
  <c r="AI113" i="1" s="1"/>
  <c r="AJ113" i="1" s="1"/>
  <c r="AL113" i="1" s="1"/>
  <c r="AG218" i="1"/>
  <c r="AI218" i="1" s="1"/>
  <c r="AJ218" i="1" s="1"/>
  <c r="AL218" i="1" s="1"/>
  <c r="AG420" i="1"/>
  <c r="AG464" i="1"/>
  <c r="AH638" i="1"/>
  <c r="AH6" i="1"/>
  <c r="AG231" i="1"/>
  <c r="AI231" i="1" s="1"/>
  <c r="AJ231" i="1" s="1"/>
  <c r="AL231" i="1" s="1"/>
  <c r="AG264" i="1"/>
  <c r="AH410" i="1"/>
  <c r="AH522" i="1"/>
  <c r="AG581" i="1"/>
  <c r="AG71" i="1"/>
  <c r="AI71" i="1" s="1"/>
  <c r="AJ71" i="1" s="1"/>
  <c r="AL71" i="1" s="1"/>
  <c r="AH92" i="1"/>
  <c r="AI92" i="1" s="1"/>
  <c r="AJ92" i="1" s="1"/>
  <c r="AL92" i="1" s="1"/>
  <c r="AG114" i="1"/>
  <c r="AI114" i="1" s="1"/>
  <c r="AJ114" i="1" s="1"/>
  <c r="AL114" i="1" s="1"/>
  <c r="AG123" i="1"/>
  <c r="AI123" i="1" s="1"/>
  <c r="AJ123" i="1" s="1"/>
  <c r="AL123" i="1" s="1"/>
  <c r="AG144" i="1"/>
  <c r="AI144" i="1" s="1"/>
  <c r="AJ144" i="1" s="1"/>
  <c r="AL144" i="1" s="1"/>
  <c r="AH155" i="1"/>
  <c r="AH165" i="1"/>
  <c r="AG187" i="1"/>
  <c r="AI187" i="1" s="1"/>
  <c r="AJ187" i="1" s="1"/>
  <c r="AL187" i="1" s="1"/>
  <c r="AH208" i="1"/>
  <c r="AH231" i="1"/>
  <c r="AG241" i="1"/>
  <c r="AI241" i="1" s="1"/>
  <c r="AJ241" i="1" s="1"/>
  <c r="AL241" i="1" s="1"/>
  <c r="AH254" i="1"/>
  <c r="AH264" i="1"/>
  <c r="AH342" i="1"/>
  <c r="AH365" i="1"/>
  <c r="AG398" i="1"/>
  <c r="AH432" i="1"/>
  <c r="AI432" i="1" s="1"/>
  <c r="AJ432" i="1" s="1"/>
  <c r="AG442" i="1"/>
  <c r="AI442" i="1" s="1"/>
  <c r="AJ442" i="1" s="1"/>
  <c r="AL442" i="1" s="1"/>
  <c r="AG489" i="1"/>
  <c r="AG500" i="1"/>
  <c r="AI500" i="1" s="1"/>
  <c r="AJ500" i="1" s="1"/>
  <c r="AG547" i="1"/>
  <c r="AH581" i="1"/>
  <c r="AG604" i="1"/>
  <c r="AH614" i="1"/>
  <c r="AG639" i="1"/>
  <c r="AG7" i="1"/>
  <c r="AG19" i="1"/>
  <c r="AI19" i="1" s="1"/>
  <c r="AJ19" i="1" s="1"/>
  <c r="AL19" i="1" s="1"/>
  <c r="AG29" i="1"/>
  <c r="AI29" i="1" s="1"/>
  <c r="AJ29" i="1" s="1"/>
  <c r="AL29" i="1" s="1"/>
  <c r="AG41" i="1"/>
  <c r="AI41" i="1" s="1"/>
  <c r="AJ41" i="1" s="1"/>
  <c r="AL41" i="1" s="1"/>
  <c r="AH50" i="1"/>
  <c r="AH71" i="1"/>
  <c r="AH114" i="1"/>
  <c r="AH123" i="1"/>
  <c r="AH144" i="1"/>
  <c r="AG178" i="1"/>
  <c r="AH187" i="1"/>
  <c r="AG277" i="1"/>
  <c r="AI277" i="1" s="1"/>
  <c r="AJ277" i="1" s="1"/>
  <c r="AL277" i="1" s="1"/>
  <c r="AG288" i="1"/>
  <c r="AI288" i="1" s="1"/>
  <c r="AJ288" i="1" s="1"/>
  <c r="AL288" i="1" s="1"/>
  <c r="AH310" i="1"/>
  <c r="AG333" i="1"/>
  <c r="AG355" i="1"/>
  <c r="AI355" i="1" s="1"/>
  <c r="AJ355" i="1" s="1"/>
  <c r="AL355" i="1" s="1"/>
  <c r="AG388" i="1"/>
  <c r="AI388" i="1" s="1"/>
  <c r="AJ388" i="1" s="1"/>
  <c r="AL388" i="1" s="1"/>
  <c r="AH411" i="1"/>
  <c r="AH465" i="1"/>
  <c r="AH489" i="1"/>
  <c r="AH500" i="1"/>
  <c r="AG513" i="1"/>
  <c r="AI513" i="1" s="1"/>
  <c r="AJ513" i="1" s="1"/>
  <c r="AL513" i="1" s="1"/>
  <c r="AG523" i="1"/>
  <c r="AI523" i="1" s="1"/>
  <c r="AJ523" i="1" s="1"/>
  <c r="AL523" i="1" s="1"/>
  <c r="AH547" i="1"/>
  <c r="AG558" i="1"/>
  <c r="AI558" i="1" s="1"/>
  <c r="AJ558" i="1" s="1"/>
  <c r="AL558" i="1" s="1"/>
  <c r="AH571" i="1"/>
  <c r="AI571" i="1" s="1"/>
  <c r="AJ571" i="1" s="1"/>
  <c r="AL571" i="1" s="1"/>
  <c r="AH604" i="1"/>
  <c r="AH628" i="1"/>
  <c r="AI628" i="1" s="1"/>
  <c r="AJ628" i="1" s="1"/>
  <c r="AH639" i="1"/>
  <c r="AI639" i="1" s="1"/>
  <c r="AJ639" i="1" s="1"/>
  <c r="AH663" i="1"/>
  <c r="AH7" i="1"/>
  <c r="AH19" i="1"/>
  <c r="AH29" i="1"/>
  <c r="AH41" i="1"/>
  <c r="AG93" i="1"/>
  <c r="AG135" i="1"/>
  <c r="AI135" i="1" s="1"/>
  <c r="AJ135" i="1" s="1"/>
  <c r="AL135" i="1" s="1"/>
  <c r="AG156" i="1"/>
  <c r="AI156" i="1" s="1"/>
  <c r="AJ156" i="1" s="1"/>
  <c r="AL156" i="1" s="1"/>
  <c r="AH166" i="1"/>
  <c r="AI166" i="1" s="1"/>
  <c r="AJ166" i="1" s="1"/>
  <c r="AL166" i="1" s="1"/>
  <c r="AH178" i="1"/>
  <c r="AH209" i="1"/>
  <c r="AG232" i="1"/>
  <c r="AI232" i="1" s="1"/>
  <c r="AJ232" i="1" s="1"/>
  <c r="AL232" i="1" s="1"/>
  <c r="AH255" i="1"/>
  <c r="AG265" i="1"/>
  <c r="AI265" i="1" s="1"/>
  <c r="AJ265" i="1" s="1"/>
  <c r="AL265" i="1" s="1"/>
  <c r="AH277" i="1"/>
  <c r="AH288" i="1"/>
  <c r="AH333" i="1"/>
  <c r="AH355" i="1"/>
  <c r="AG421" i="1"/>
  <c r="AG433" i="1"/>
  <c r="AG443" i="1"/>
  <c r="AH513" i="1"/>
  <c r="AH523" i="1"/>
  <c r="AH558" i="1"/>
  <c r="AG582" i="1"/>
  <c r="AI582" i="1" s="1"/>
  <c r="AJ582" i="1" s="1"/>
  <c r="AL582" i="1" s="1"/>
  <c r="AH615" i="1"/>
  <c r="AG51" i="1"/>
  <c r="AG72" i="1"/>
  <c r="AI72" i="1" s="1"/>
  <c r="AJ72" i="1" s="1"/>
  <c r="AL72" i="1" s="1"/>
  <c r="AH93" i="1"/>
  <c r="AG115" i="1"/>
  <c r="AI115" i="1" s="1"/>
  <c r="AJ115" i="1" s="1"/>
  <c r="AL115" i="1" s="1"/>
  <c r="AH135" i="1"/>
  <c r="AG188" i="1"/>
  <c r="AI188" i="1" s="1"/>
  <c r="AJ188" i="1" s="1"/>
  <c r="AG200" i="1"/>
  <c r="AI200" i="1" s="1"/>
  <c r="AJ200" i="1" s="1"/>
  <c r="AL200" i="1" s="1"/>
  <c r="AH232" i="1"/>
  <c r="AG301" i="1"/>
  <c r="AI301" i="1" s="1"/>
  <c r="AJ301" i="1" s="1"/>
  <c r="AL301" i="1" s="1"/>
  <c r="AG311" i="1"/>
  <c r="AI311" i="1" s="1"/>
  <c r="AJ311" i="1" s="1"/>
  <c r="AL311" i="1" s="1"/>
  <c r="AG367" i="1"/>
  <c r="AI367" i="1" s="1"/>
  <c r="AJ367" i="1" s="1"/>
  <c r="AL367" i="1" s="1"/>
  <c r="AG389" i="1"/>
  <c r="AI389" i="1" s="1"/>
  <c r="AJ389" i="1" s="1"/>
  <c r="AL389" i="1" s="1"/>
  <c r="AG412" i="1"/>
  <c r="AG456" i="1"/>
  <c r="AG490" i="1"/>
  <c r="AG548" i="1"/>
  <c r="AI548" i="1" s="1"/>
  <c r="AJ548" i="1" s="1"/>
  <c r="AL548" i="1" s="1"/>
  <c r="AG572" i="1"/>
  <c r="AI572" i="1" s="1"/>
  <c r="AJ572" i="1" s="1"/>
  <c r="AL572" i="1" s="1"/>
  <c r="AH582" i="1"/>
  <c r="AG640" i="1"/>
  <c r="AG664" i="1"/>
  <c r="AI664" i="1" s="1"/>
  <c r="AJ664" i="1" s="1"/>
  <c r="AL664" i="1" s="1"/>
  <c r="AH151" i="1"/>
  <c r="AG239" i="1"/>
  <c r="AI239" i="1" s="1"/>
  <c r="AJ239" i="1" s="1"/>
  <c r="AL239" i="1" s="1"/>
  <c r="AG450" i="1"/>
  <c r="AG15" i="1"/>
  <c r="AG341" i="1"/>
  <c r="AI341" i="1" s="1"/>
  <c r="AJ341" i="1" s="1"/>
  <c r="AL341" i="1" s="1"/>
  <c r="AH419" i="1"/>
  <c r="AG474" i="1"/>
  <c r="AI474" i="1" s="1"/>
  <c r="AJ474" i="1" s="1"/>
  <c r="AL474" i="1" s="1"/>
  <c r="AH521" i="1"/>
  <c r="AG567" i="1"/>
  <c r="AI567" i="1" s="1"/>
  <c r="AJ567" i="1" s="1"/>
  <c r="AL567" i="1" s="1"/>
  <c r="AH27" i="1"/>
  <c r="AH309" i="1"/>
  <c r="AH374" i="1"/>
  <c r="AI374" i="1" s="1"/>
  <c r="AJ374" i="1" s="1"/>
  <c r="AL374" i="1" s="1"/>
  <c r="AH613" i="1"/>
  <c r="AH70" i="1"/>
  <c r="AH186" i="1"/>
  <c r="AH286" i="1"/>
  <c r="AG102" i="1"/>
  <c r="AI102" i="1" s="1"/>
  <c r="AJ102" i="1" s="1"/>
  <c r="AL102" i="1" s="1"/>
  <c r="AG319" i="1"/>
  <c r="AG614" i="1"/>
  <c r="AG179" i="1"/>
  <c r="AI179" i="1" s="1"/>
  <c r="AJ179" i="1" s="1"/>
  <c r="AL179" i="1" s="1"/>
  <c r="AH200" i="1"/>
  <c r="AG210" i="1"/>
  <c r="AI210" i="1" s="1"/>
  <c r="AJ210" i="1" s="1"/>
  <c r="AH222" i="1"/>
  <c r="AG256" i="1"/>
  <c r="AG278" i="1"/>
  <c r="AI278" i="1" s="1"/>
  <c r="AJ278" i="1" s="1"/>
  <c r="AL278" i="1" s="1"/>
  <c r="AH301" i="1"/>
  <c r="AH323" i="1"/>
  <c r="AG356" i="1"/>
  <c r="AG380" i="1"/>
  <c r="AI380" i="1" s="1"/>
  <c r="AJ380" i="1" s="1"/>
  <c r="AL380" i="1" s="1"/>
  <c r="AH412" i="1"/>
  <c r="AI412" i="1" s="1"/>
  <c r="AJ412" i="1" s="1"/>
  <c r="AL412" i="1" s="1"/>
  <c r="AG434" i="1"/>
  <c r="AH456" i="1"/>
  <c r="AG467" i="1"/>
  <c r="AH490" i="1"/>
  <c r="AH514" i="1"/>
  <c r="AH524" i="1"/>
  <c r="AI524" i="1" s="1"/>
  <c r="AJ524" i="1" s="1"/>
  <c r="AL524" i="1" s="1"/>
  <c r="AG538" i="1"/>
  <c r="AH548" i="1"/>
  <c r="AH572" i="1"/>
  <c r="AG606" i="1"/>
  <c r="AG630" i="1"/>
  <c r="AH640" i="1"/>
  <c r="AH664" i="1"/>
  <c r="AG555" i="1"/>
  <c r="AI555" i="1" s="1"/>
  <c r="AJ555" i="1" s="1"/>
  <c r="AL555" i="1" s="1"/>
  <c r="AG590" i="1"/>
  <c r="AI590" i="1" s="1"/>
  <c r="AJ590" i="1" s="1"/>
  <c r="AL590" i="1" s="1"/>
  <c r="AH163" i="1"/>
  <c r="AH26" i="1"/>
  <c r="AH173" i="1"/>
  <c r="AH350" i="1"/>
  <c r="AH440" i="1"/>
  <c r="AH508" i="1"/>
  <c r="AG122" i="1"/>
  <c r="AI122" i="1" s="1"/>
  <c r="AJ122" i="1" s="1"/>
  <c r="AL122" i="1" s="1"/>
  <c r="AG195" i="1"/>
  <c r="AH363" i="1"/>
  <c r="AG429" i="1"/>
  <c r="AH498" i="1"/>
  <c r="AH555" i="1"/>
  <c r="AG58" i="1"/>
  <c r="AI58" i="1" s="1"/>
  <c r="AJ58" i="1" s="1"/>
  <c r="AL58" i="1" s="1"/>
  <c r="AH195" i="1"/>
  <c r="AI195" i="1" s="1"/>
  <c r="AJ195" i="1" s="1"/>
  <c r="AL195" i="1" s="1"/>
  <c r="AG318" i="1"/>
  <c r="AI318" i="1" s="1"/>
  <c r="AJ318" i="1" s="1"/>
  <c r="AL318" i="1" s="1"/>
  <c r="AH474" i="1"/>
  <c r="AH580" i="1"/>
  <c r="AG638" i="1"/>
  <c r="AI638" i="1" s="1"/>
  <c r="AJ638" i="1" s="1"/>
  <c r="AG6" i="1"/>
  <c r="AI6" i="1" s="1"/>
  <c r="AJ6" i="1" s="1"/>
  <c r="AL6" i="1" s="1"/>
  <c r="AG165" i="1"/>
  <c r="AG387" i="1"/>
  <c r="AG662" i="1"/>
  <c r="AG208" i="1"/>
  <c r="AI208" i="1" s="1"/>
  <c r="AJ208" i="1" s="1"/>
  <c r="AL208" i="1" s="1"/>
  <c r="AH464" i="1"/>
  <c r="AI464" i="1" s="1"/>
  <c r="AJ464" i="1" s="1"/>
  <c r="AL464" i="1" s="1"/>
  <c r="AH662" i="1"/>
  <c r="AG20" i="1"/>
  <c r="AH51" i="1"/>
  <c r="AG63" i="1"/>
  <c r="AI63" i="1" s="1"/>
  <c r="AJ63" i="1" s="1"/>
  <c r="AG106" i="1"/>
  <c r="AI106" i="1" s="1"/>
  <c r="AJ106" i="1" s="1"/>
  <c r="AG116" i="1"/>
  <c r="AH157" i="1"/>
  <c r="AG303" i="1"/>
  <c r="AI303" i="1" s="1"/>
  <c r="AJ303" i="1" s="1"/>
  <c r="AL303" i="1" s="1"/>
  <c r="AH413" i="1"/>
  <c r="AH435" i="1"/>
  <c r="AG481" i="1"/>
  <c r="AG505" i="1"/>
  <c r="AH43" i="1"/>
  <c r="AG128" i="1"/>
  <c r="AI128" i="1" s="1"/>
  <c r="AJ128" i="1" s="1"/>
  <c r="AG348" i="1"/>
  <c r="AI348" i="1" s="1"/>
  <c r="AJ348" i="1" s="1"/>
  <c r="AL348" i="1" s="1"/>
  <c r="AH597" i="1"/>
  <c r="AI597" i="1" s="1"/>
  <c r="AJ597" i="1" s="1"/>
  <c r="AL597" i="1" s="1"/>
  <c r="AG632" i="1"/>
  <c r="AI632" i="1" s="1"/>
  <c r="AJ632" i="1" s="1"/>
  <c r="AL632" i="1" s="1"/>
  <c r="AH36" i="1"/>
  <c r="AI36" i="1" s="1"/>
  <c r="AJ36" i="1" s="1"/>
  <c r="AL36" i="1" s="1"/>
  <c r="AG285" i="1"/>
  <c r="AI285" i="1" s="1"/>
  <c r="AJ285" i="1" s="1"/>
  <c r="AL285" i="1" s="1"/>
  <c r="AG498" i="1"/>
  <c r="AG101" i="1"/>
  <c r="AI101" i="1" s="1"/>
  <c r="AJ101" i="1" s="1"/>
  <c r="AL101" i="1" s="1"/>
  <c r="AH142" i="1"/>
  <c r="AH239" i="1"/>
  <c r="AH285" i="1"/>
  <c r="AH450" i="1"/>
  <c r="AG532" i="1"/>
  <c r="AI532" i="1" s="1"/>
  <c r="AJ532" i="1" s="1"/>
  <c r="AG613" i="1"/>
  <c r="AG49" i="1"/>
  <c r="AG186" i="1"/>
  <c r="AI186" i="1" s="1"/>
  <c r="AJ186" i="1" s="1"/>
  <c r="AL186" i="1" s="1"/>
  <c r="AH296" i="1"/>
  <c r="AH49" i="1"/>
  <c r="AI49" i="1" s="1"/>
  <c r="AJ49" i="1" s="1"/>
  <c r="AH122" i="1"/>
  <c r="AG240" i="1"/>
  <c r="AG397" i="1"/>
  <c r="AI397" i="1" s="1"/>
  <c r="AJ397" i="1" s="1"/>
  <c r="AH499" i="1"/>
  <c r="AH591" i="1"/>
  <c r="AG28" i="1"/>
  <c r="AI28" i="1" s="1"/>
  <c r="AJ28" i="1" s="1"/>
  <c r="AL28" i="1" s="1"/>
  <c r="AG92" i="1"/>
  <c r="AG254" i="1"/>
  <c r="AG310" i="1"/>
  <c r="AI310" i="1" s="1"/>
  <c r="AJ310" i="1" s="1"/>
  <c r="AL310" i="1" s="1"/>
  <c r="AG365" i="1"/>
  <c r="AI365" i="1" s="1"/>
  <c r="AJ365" i="1" s="1"/>
  <c r="AL365" i="1" s="1"/>
  <c r="AG557" i="1"/>
  <c r="AH72" i="1"/>
  <c r="AG157" i="1"/>
  <c r="AI157" i="1" s="1"/>
  <c r="AJ157" i="1" s="1"/>
  <c r="AL157" i="1" s="1"/>
  <c r="AH42" i="1"/>
  <c r="AH94" i="1"/>
  <c r="AG136" i="1"/>
  <c r="AI136" i="1" s="1"/>
  <c r="AJ136" i="1" s="1"/>
  <c r="AL136" i="1" s="1"/>
  <c r="AG233" i="1"/>
  <c r="AH278" i="1"/>
  <c r="AG335" i="1"/>
  <c r="AI335" i="1" s="1"/>
  <c r="AJ335" i="1" s="1"/>
  <c r="AL335" i="1" s="1"/>
  <c r="AG390" i="1"/>
  <c r="AG596" i="1"/>
  <c r="AI596" i="1" s="1"/>
  <c r="AJ596" i="1" s="1"/>
  <c r="AL596" i="1" s="1"/>
  <c r="AG654" i="1"/>
  <c r="AG64" i="1"/>
  <c r="AI64" i="1" s="1"/>
  <c r="AJ64" i="1" s="1"/>
  <c r="AL64" i="1" s="1"/>
  <c r="AH127" i="1"/>
  <c r="AH148" i="1"/>
  <c r="AH233" i="1"/>
  <c r="AG324" i="1"/>
  <c r="AH347" i="1"/>
  <c r="AG403" i="1"/>
  <c r="AG435" i="1"/>
  <c r="AI435" i="1" s="1"/>
  <c r="AJ435" i="1" s="1"/>
  <c r="AL435" i="1" s="1"/>
  <c r="AG457" i="1"/>
  <c r="AI457" i="1" s="1"/>
  <c r="AJ457" i="1" s="1"/>
  <c r="AL457" i="1" s="1"/>
  <c r="AG549" i="1"/>
  <c r="AI549" i="1" s="1"/>
  <c r="AJ549" i="1" s="1"/>
  <c r="AL549" i="1" s="1"/>
  <c r="AH654" i="1"/>
  <c r="AG279" i="1"/>
  <c r="AG137" i="1"/>
  <c r="AI137" i="1" s="1"/>
  <c r="AJ137" i="1" s="1"/>
  <c r="AG293" i="1"/>
  <c r="AH607" i="1"/>
  <c r="AH12" i="1"/>
  <c r="AH149" i="1"/>
  <c r="AG171" i="1"/>
  <c r="AH224" i="1"/>
  <c r="AH247" i="1"/>
  <c r="AH270" i="1"/>
  <c r="AG280" i="1"/>
  <c r="AH293" i="1"/>
  <c r="AI293" i="1" s="1"/>
  <c r="AJ293" i="1" s="1"/>
  <c r="AL293" i="1" s="1"/>
  <c r="AH325" i="1"/>
  <c r="AH348" i="1"/>
  <c r="AH358" i="1"/>
  <c r="AH371" i="1"/>
  <c r="AH381" i="1"/>
  <c r="AG426" i="1"/>
  <c r="AI426" i="1" s="1"/>
  <c r="AJ426" i="1" s="1"/>
  <c r="AL426" i="1" s="1"/>
  <c r="AG436" i="1"/>
  <c r="AI436" i="1" s="1"/>
  <c r="AJ436" i="1" s="1"/>
  <c r="AL436" i="1" s="1"/>
  <c r="AG448" i="1"/>
  <c r="AI448" i="1" s="1"/>
  <c r="AJ448" i="1" s="1"/>
  <c r="AG482" i="1"/>
  <c r="AI482" i="1" s="1"/>
  <c r="AJ482" i="1" s="1"/>
  <c r="AG506" i="1"/>
  <c r="AI506" i="1" s="1"/>
  <c r="AJ506" i="1" s="1"/>
  <c r="AG516" i="1"/>
  <c r="AI516" i="1" s="1"/>
  <c r="AJ516" i="1" s="1"/>
  <c r="AL516" i="1" s="1"/>
  <c r="AG540" i="1"/>
  <c r="AH563" i="1"/>
  <c r="AH574" i="1"/>
  <c r="AG621" i="1"/>
  <c r="AH632" i="1"/>
  <c r="AH655" i="1"/>
  <c r="AG5" i="1"/>
  <c r="AG48" i="1"/>
  <c r="AG79" i="1"/>
  <c r="AI79" i="1" s="1"/>
  <c r="AJ79" i="1" s="1"/>
  <c r="AL79" i="1" s="1"/>
  <c r="AH185" i="1"/>
  <c r="AH272" i="1"/>
  <c r="AG396" i="1"/>
  <c r="AG637" i="1"/>
  <c r="AH79" i="1"/>
  <c r="AG207" i="1"/>
  <c r="AI207" i="1" s="1"/>
  <c r="AJ207" i="1" s="1"/>
  <c r="AL207" i="1" s="1"/>
  <c r="AG296" i="1"/>
  <c r="AI296" i="1" s="1"/>
  <c r="AJ296" i="1" s="1"/>
  <c r="AL296" i="1" s="1"/>
  <c r="AG374" i="1"/>
  <c r="AH396" i="1"/>
  <c r="AG648" i="1"/>
  <c r="AI648" i="1" s="1"/>
  <c r="AJ648" i="1" s="1"/>
  <c r="AL648" i="1" s="1"/>
  <c r="AH91" i="1"/>
  <c r="AH341" i="1"/>
  <c r="AH532" i="1"/>
  <c r="AG591" i="1"/>
  <c r="AH58" i="1"/>
  <c r="AG143" i="1"/>
  <c r="AI143" i="1" s="1"/>
  <c r="AJ143" i="1" s="1"/>
  <c r="AL143" i="1" s="1"/>
  <c r="AH331" i="1"/>
  <c r="AH441" i="1"/>
  <c r="AG522" i="1"/>
  <c r="AI522" i="1" s="1"/>
  <c r="AJ522" i="1" s="1"/>
  <c r="AG649" i="1"/>
  <c r="AI649" i="1" s="1"/>
  <c r="AJ649" i="1" s="1"/>
  <c r="AL649" i="1" s="1"/>
  <c r="AH134" i="1"/>
  <c r="AH218" i="1"/>
  <c r="AG342" i="1"/>
  <c r="AI342" i="1" s="1"/>
  <c r="AJ342" i="1" s="1"/>
  <c r="AL342" i="1" s="1"/>
  <c r="AH387" i="1"/>
  <c r="AH420" i="1"/>
  <c r="AI420" i="1" s="1"/>
  <c r="AJ420" i="1" s="1"/>
  <c r="AL420" i="1" s="1"/>
  <c r="AH475" i="1"/>
  <c r="AG42" i="1"/>
  <c r="AG84" i="1"/>
  <c r="AH20" i="1"/>
  <c r="AH84" i="1"/>
  <c r="AH106" i="1"/>
  <c r="AH179" i="1"/>
  <c r="AH210" i="1"/>
  <c r="AH256" i="1"/>
  <c r="AI256" i="1" s="1"/>
  <c r="AJ256" i="1" s="1"/>
  <c r="AL256" i="1" s="1"/>
  <c r="AH311" i="1"/>
  <c r="AH380" i="1"/>
  <c r="AH467" i="1"/>
  <c r="AH480" i="1"/>
  <c r="AH538" i="1"/>
  <c r="AH606" i="1"/>
  <c r="AH630" i="1"/>
  <c r="AH136" i="1"/>
  <c r="AG201" i="1"/>
  <c r="AI201" i="1" s="1"/>
  <c r="AJ201" i="1" s="1"/>
  <c r="AL201" i="1" s="1"/>
  <c r="AG223" i="1"/>
  <c r="AI223" i="1" s="1"/>
  <c r="AJ223" i="1" s="1"/>
  <c r="AL223" i="1" s="1"/>
  <c r="AG246" i="1"/>
  <c r="AI246" i="1" s="1"/>
  <c r="AJ246" i="1" s="1"/>
  <c r="AL246" i="1" s="1"/>
  <c r="AH335" i="1"/>
  <c r="AG357" i="1"/>
  <c r="AI357" i="1" s="1"/>
  <c r="AJ357" i="1" s="1"/>
  <c r="AL357" i="1" s="1"/>
  <c r="AH390" i="1"/>
  <c r="AG413" i="1"/>
  <c r="AG515" i="1"/>
  <c r="AI515" i="1" s="1"/>
  <c r="AJ515" i="1" s="1"/>
  <c r="AL515" i="1" s="1"/>
  <c r="AH573" i="1"/>
  <c r="AH596" i="1"/>
  <c r="AH21" i="1"/>
  <c r="AH33" i="1"/>
  <c r="AG43" i="1"/>
  <c r="AH64" i="1"/>
  <c r="AG85" i="1"/>
  <c r="AI85" i="1" s="1"/>
  <c r="AJ85" i="1" s="1"/>
  <c r="AL85" i="1" s="1"/>
  <c r="AH116" i="1"/>
  <c r="AG158" i="1"/>
  <c r="AI158" i="1" s="1"/>
  <c r="AJ158" i="1" s="1"/>
  <c r="AL158" i="1" s="1"/>
  <c r="AG180" i="1"/>
  <c r="AH223" i="1"/>
  <c r="AH246" i="1"/>
  <c r="AH257" i="1"/>
  <c r="AH324" i="1"/>
  <c r="AH403" i="1"/>
  <c r="AH425" i="1"/>
  <c r="AH447" i="1"/>
  <c r="AG492" i="1"/>
  <c r="AI492" i="1" s="1"/>
  <c r="AJ492" i="1" s="1"/>
  <c r="AH515" i="1"/>
  <c r="AG539" i="1"/>
  <c r="AI539" i="1" s="1"/>
  <c r="AJ539" i="1" s="1"/>
  <c r="AH562" i="1"/>
  <c r="AG607" i="1"/>
  <c r="AI607" i="1" s="1"/>
  <c r="AJ607" i="1" s="1"/>
  <c r="AL607" i="1" s="1"/>
  <c r="AG12" i="1"/>
  <c r="AI12" i="1" s="1"/>
  <c r="AJ12" i="1" s="1"/>
  <c r="AL12" i="1" s="1"/>
  <c r="AH85" i="1"/>
  <c r="AH107" i="1"/>
  <c r="AG149" i="1"/>
  <c r="AI149" i="1" s="1"/>
  <c r="AJ149" i="1" s="1"/>
  <c r="AL149" i="1" s="1"/>
  <c r="AH158" i="1"/>
  <c r="AH180" i="1"/>
  <c r="AH192" i="1"/>
  <c r="AG202" i="1"/>
  <c r="AI202" i="1" s="1"/>
  <c r="AJ202" i="1" s="1"/>
  <c r="AL202" i="1" s="1"/>
  <c r="AG270" i="1"/>
  <c r="AI270" i="1" s="1"/>
  <c r="AJ270" i="1" s="1"/>
  <c r="AL270" i="1" s="1"/>
  <c r="AH303" i="1"/>
  <c r="AG358" i="1"/>
  <c r="AI358" i="1" s="1"/>
  <c r="AJ358" i="1" s="1"/>
  <c r="AL358" i="1" s="1"/>
  <c r="AG371" i="1"/>
  <c r="AI371" i="1" s="1"/>
  <c r="AJ371" i="1" s="1"/>
  <c r="AL371" i="1" s="1"/>
  <c r="AG381" i="1"/>
  <c r="AH457" i="1"/>
  <c r="AG550" i="1"/>
  <c r="AI550" i="1" s="1"/>
  <c r="AJ550" i="1" s="1"/>
  <c r="AL550" i="1" s="1"/>
  <c r="AG574" i="1"/>
  <c r="AI574" i="1" s="1"/>
  <c r="AJ574" i="1" s="1"/>
  <c r="AG22" i="1"/>
  <c r="AI22" i="1" s="1"/>
  <c r="AJ22" i="1" s="1"/>
  <c r="AG34" i="1"/>
  <c r="AH55" i="1"/>
  <c r="AG65" i="1"/>
  <c r="AI65" i="1" s="1"/>
  <c r="AJ65" i="1" s="1"/>
  <c r="AL65" i="1" s="1"/>
  <c r="AH128" i="1"/>
  <c r="AH34" i="1"/>
  <c r="AG44" i="1"/>
  <c r="AH65" i="1"/>
  <c r="AH77" i="1"/>
  <c r="AH86" i="1"/>
  <c r="AH98" i="1"/>
  <c r="AG108" i="1"/>
  <c r="AI108" i="1" s="1"/>
  <c r="AJ108" i="1" s="1"/>
  <c r="AL108" i="1" s="1"/>
  <c r="AH171" i="1"/>
  <c r="AG193" i="1"/>
  <c r="AG203" i="1"/>
  <c r="AI203" i="1" s="1"/>
  <c r="AJ203" i="1" s="1"/>
  <c r="AL203" i="1" s="1"/>
  <c r="AG304" i="1"/>
  <c r="AI304" i="1" s="1"/>
  <c r="AJ304" i="1" s="1"/>
  <c r="AL304" i="1" s="1"/>
  <c r="AG405" i="1"/>
  <c r="AI405" i="1" s="1"/>
  <c r="AJ405" i="1" s="1"/>
  <c r="AL405" i="1" s="1"/>
  <c r="AH426" i="1"/>
  <c r="AH482" i="1"/>
  <c r="AH506" i="1"/>
  <c r="AH529" i="1"/>
  <c r="AH540" i="1"/>
  <c r="AG588" i="1"/>
  <c r="AG598" i="1"/>
  <c r="AI598" i="1" s="1"/>
  <c r="AJ598" i="1" s="1"/>
  <c r="AG624" i="1"/>
  <c r="AI624" i="1" s="1"/>
  <c r="AJ624" i="1" s="1"/>
  <c r="AL624" i="1" s="1"/>
  <c r="AG657" i="1"/>
  <c r="AH137" i="1"/>
  <c r="AG174" i="1"/>
  <c r="AG234" i="1"/>
  <c r="AI234" i="1" s="1"/>
  <c r="AJ234" i="1" s="1"/>
  <c r="AL234" i="1" s="1"/>
  <c r="AH265" i="1"/>
  <c r="AG281" i="1"/>
  <c r="AH367" i="1"/>
  <c r="AH398" i="1"/>
  <c r="AG414" i="1"/>
  <c r="AH429" i="1"/>
  <c r="AG484" i="1"/>
  <c r="AI484" i="1" s="1"/>
  <c r="AJ484" i="1" s="1"/>
  <c r="AL484" i="1" s="1"/>
  <c r="AG575" i="1"/>
  <c r="AH665" i="1"/>
  <c r="AG8" i="1"/>
  <c r="AI8" i="1" s="1"/>
  <c r="AJ8" i="1" s="1"/>
  <c r="AL8" i="1" s="1"/>
  <c r="AG23" i="1"/>
  <c r="AI23" i="1" s="1"/>
  <c r="AJ23" i="1" s="1"/>
  <c r="AG30" i="1"/>
  <c r="AI30" i="1" s="1"/>
  <c r="AJ30" i="1" s="1"/>
  <c r="AG59" i="1"/>
  <c r="AG88" i="1"/>
  <c r="AG103" i="1"/>
  <c r="AI103" i="1" s="1"/>
  <c r="AJ103" i="1" s="1"/>
  <c r="AL103" i="1" s="1"/>
  <c r="AG117" i="1"/>
  <c r="AI117" i="1" s="1"/>
  <c r="AJ117" i="1" s="1"/>
  <c r="AL117" i="1" s="1"/>
  <c r="AG124" i="1"/>
  <c r="AH131" i="1"/>
  <c r="AG152" i="1"/>
  <c r="AI152" i="1" s="1"/>
  <c r="AJ152" i="1" s="1"/>
  <c r="AL152" i="1" s="1"/>
  <c r="AH159" i="1"/>
  <c r="AG167" i="1"/>
  <c r="AI167" i="1" s="1"/>
  <c r="AJ167" i="1" s="1"/>
  <c r="AH174" i="1"/>
  <c r="AG189" i="1"/>
  <c r="AI189" i="1" s="1"/>
  <c r="AJ189" i="1" s="1"/>
  <c r="AL189" i="1" s="1"/>
  <c r="AH196" i="1"/>
  <c r="AH211" i="1"/>
  <c r="AG219" i="1"/>
  <c r="AI219" i="1" s="1"/>
  <c r="AJ219" i="1" s="1"/>
  <c r="AL219" i="1" s="1"/>
  <c r="AH234" i="1"/>
  <c r="AH242" i="1"/>
  <c r="AG251" i="1"/>
  <c r="AI251" i="1" s="1"/>
  <c r="AJ251" i="1" s="1"/>
  <c r="AL251" i="1" s="1"/>
  <c r="AH281" i="1"/>
  <c r="AI281" i="1" s="1"/>
  <c r="AJ281" i="1" s="1"/>
  <c r="AL281" i="1" s="1"/>
  <c r="AG290" i="1"/>
  <c r="AI290" i="1" s="1"/>
  <c r="AJ290" i="1" s="1"/>
  <c r="AG297" i="1"/>
  <c r="AH305" i="1"/>
  <c r="AG312" i="1"/>
  <c r="AG320" i="1"/>
  <c r="AH328" i="1"/>
  <c r="AH336" i="1"/>
  <c r="AG343" i="1"/>
  <c r="AI343" i="1" s="1"/>
  <c r="AJ343" i="1" s="1"/>
  <c r="AL343" i="1" s="1"/>
  <c r="AH351" i="1"/>
  <c r="AG359" i="1"/>
  <c r="AG375" i="1"/>
  <c r="AH383" i="1"/>
  <c r="AG407" i="1"/>
  <c r="AI407" i="1" s="1"/>
  <c r="AJ407" i="1" s="1"/>
  <c r="AL407" i="1" s="1"/>
  <c r="AG437" i="1"/>
  <c r="AI437" i="1" s="1"/>
  <c r="AJ437" i="1" s="1"/>
  <c r="AL437" i="1" s="1"/>
  <c r="AG451" i="1"/>
  <c r="AI451" i="1" s="1"/>
  <c r="AJ451" i="1" s="1"/>
  <c r="AL451" i="1" s="1"/>
  <c r="AG460" i="1"/>
  <c r="AI460" i="1" s="1"/>
  <c r="AJ460" i="1" s="1"/>
  <c r="AL460" i="1" s="1"/>
  <c r="AH476" i="1"/>
  <c r="AI476" i="1" s="1"/>
  <c r="AJ476" i="1" s="1"/>
  <c r="AL476" i="1" s="1"/>
  <c r="AH484" i="1"/>
  <c r="AH493" i="1"/>
  <c r="AH501" i="1"/>
  <c r="AH509" i="1"/>
  <c r="AH534" i="1"/>
  <c r="AG542" i="1"/>
  <c r="AG559" i="1"/>
  <c r="AH575" i="1"/>
  <c r="AG600" i="1"/>
  <c r="AI600" i="1" s="1"/>
  <c r="AJ600" i="1" s="1"/>
  <c r="AL600" i="1" s="1"/>
  <c r="AG617" i="1"/>
  <c r="AG625" i="1"/>
  <c r="AI625" i="1" s="1"/>
  <c r="AJ625" i="1" s="1"/>
  <c r="AL625" i="1" s="1"/>
  <c r="AH633" i="1"/>
  <c r="AH641" i="1"/>
  <c r="AH8" i="1"/>
  <c r="AG16" i="1"/>
  <c r="AI16" i="1" s="1"/>
  <c r="AJ16" i="1" s="1"/>
  <c r="AL16" i="1" s="1"/>
  <c r="AH23" i="1"/>
  <c r="AG38" i="1"/>
  <c r="AI38" i="1" s="1"/>
  <c r="AJ38" i="1" s="1"/>
  <c r="AL38" i="1" s="1"/>
  <c r="AG45" i="1"/>
  <c r="AI45" i="1" s="1"/>
  <c r="AJ45" i="1" s="1"/>
  <c r="AL45" i="1" s="1"/>
  <c r="AH52" i="1"/>
  <c r="AI52" i="1" s="1"/>
  <c r="AJ52" i="1" s="1"/>
  <c r="AL52" i="1" s="1"/>
  <c r="AH59" i="1"/>
  <c r="AG67" i="1"/>
  <c r="AG74" i="1"/>
  <c r="AG81" i="1"/>
  <c r="AI81" i="1" s="1"/>
  <c r="AJ81" i="1" s="1"/>
  <c r="AL81" i="1" s="1"/>
  <c r="AH88" i="1"/>
  <c r="AH103" i="1"/>
  <c r="AG110" i="1"/>
  <c r="AI110" i="1" s="1"/>
  <c r="AJ110" i="1" s="1"/>
  <c r="AL110" i="1" s="1"/>
  <c r="AH117" i="1"/>
  <c r="AH138" i="1"/>
  <c r="AH152" i="1"/>
  <c r="AG204" i="1"/>
  <c r="AI204" i="1" s="1"/>
  <c r="AJ204" i="1" s="1"/>
  <c r="AL204" i="1" s="1"/>
  <c r="AH219" i="1"/>
  <c r="AH251" i="1"/>
  <c r="AH258" i="1"/>
  <c r="AG266" i="1"/>
  <c r="AH290" i="1"/>
  <c r="AH297" i="1"/>
  <c r="AH312" i="1"/>
  <c r="AH320" i="1"/>
  <c r="AG368" i="1"/>
  <c r="AH375" i="1"/>
  <c r="AG399" i="1"/>
  <c r="AH407" i="1"/>
  <c r="AG415" i="1"/>
  <c r="AH422" i="1"/>
  <c r="AG430" i="1"/>
  <c r="AI430" i="1" s="1"/>
  <c r="AJ430" i="1" s="1"/>
  <c r="AG444" i="1"/>
  <c r="AH451" i="1"/>
  <c r="AH460" i="1"/>
  <c r="AG469" i="1"/>
  <c r="AI469" i="1" s="1"/>
  <c r="AJ469" i="1" s="1"/>
  <c r="AL469" i="1" s="1"/>
  <c r="AG526" i="1"/>
  <c r="AH542" i="1"/>
  <c r="AI542" i="1" s="1"/>
  <c r="AJ542" i="1" s="1"/>
  <c r="AL542" i="1" s="1"/>
  <c r="AH551" i="1"/>
  <c r="AG568" i="1"/>
  <c r="AG593" i="1"/>
  <c r="AH600" i="1"/>
  <c r="AG609" i="1"/>
  <c r="AI609" i="1" s="1"/>
  <c r="AJ609" i="1" s="1"/>
  <c r="AL609" i="1" s="1"/>
  <c r="AH617" i="1"/>
  <c r="AI617" i="1" s="1"/>
  <c r="AJ617" i="1" s="1"/>
  <c r="AL617" i="1" s="1"/>
  <c r="AH625" i="1"/>
  <c r="AG658" i="1"/>
  <c r="AG665" i="1"/>
  <c r="AH15" i="1"/>
  <c r="AH37" i="1"/>
  <c r="AH44" i="1"/>
  <c r="AH66" i="1"/>
  <c r="AH73" i="1"/>
  <c r="AH80" i="1"/>
  <c r="AG95" i="1"/>
  <c r="AH109" i="1"/>
  <c r="AG131" i="1"/>
  <c r="AI131" i="1" s="1"/>
  <c r="AJ131" i="1" s="1"/>
  <c r="AG145" i="1"/>
  <c r="AG159" i="1"/>
  <c r="AG181" i="1"/>
  <c r="AI181" i="1" s="1"/>
  <c r="AJ181" i="1" s="1"/>
  <c r="AL181" i="1" s="1"/>
  <c r="AG226" i="1"/>
  <c r="AG242" i="1"/>
  <c r="AI242" i="1" s="1"/>
  <c r="AJ242" i="1" s="1"/>
  <c r="AL242" i="1" s="1"/>
  <c r="AG258" i="1"/>
  <c r="AI258" i="1" s="1"/>
  <c r="AJ258" i="1" s="1"/>
  <c r="AL258" i="1" s="1"/>
  <c r="AH273" i="1"/>
  <c r="AG305" i="1"/>
  <c r="AG336" i="1"/>
  <c r="AH421" i="1"/>
  <c r="AH443" i="1"/>
  <c r="AI443" i="1" s="1"/>
  <c r="AJ443" i="1" s="1"/>
  <c r="AL443" i="1" s="1"/>
  <c r="AG476" i="1"/>
  <c r="AG493" i="1"/>
  <c r="AI493" i="1" s="1"/>
  <c r="AJ493" i="1" s="1"/>
  <c r="AL493" i="1" s="1"/>
  <c r="AG509" i="1"/>
  <c r="AI509" i="1" s="1"/>
  <c r="AJ509" i="1" s="1"/>
  <c r="AL509" i="1" s="1"/>
  <c r="AH516" i="1"/>
  <c r="AG534" i="1"/>
  <c r="AH550" i="1"/>
  <c r="AH567" i="1"/>
  <c r="AH583" i="1"/>
  <c r="AG608" i="1"/>
  <c r="AG633" i="1"/>
  <c r="AH649" i="1"/>
  <c r="AH657" i="1"/>
  <c r="AG52" i="1"/>
  <c r="AH95" i="1"/>
  <c r="AH145" i="1"/>
  <c r="AH181" i="1"/>
  <c r="AH226" i="1"/>
  <c r="AH16" i="1"/>
  <c r="AG31" i="1"/>
  <c r="AI31" i="1" s="1"/>
  <c r="AJ31" i="1" s="1"/>
  <c r="AL31" i="1" s="1"/>
  <c r="AH38" i="1"/>
  <c r="AH45" i="1"/>
  <c r="AH67" i="1"/>
  <c r="AH81" i="1"/>
  <c r="AH96" i="1"/>
  <c r="AH110" i="1"/>
  <c r="AG132" i="1"/>
  <c r="AI132" i="1" s="1"/>
  <c r="AJ132" i="1" s="1"/>
  <c r="AG146" i="1"/>
  <c r="AG160" i="1"/>
  <c r="AI160" i="1" s="1"/>
  <c r="AJ160" i="1" s="1"/>
  <c r="AL160" i="1" s="1"/>
  <c r="AH167" i="1"/>
  <c r="AG175" i="1"/>
  <c r="AI175" i="1" s="1"/>
  <c r="AJ175" i="1" s="1"/>
  <c r="AL175" i="1" s="1"/>
  <c r="AG182" i="1"/>
  <c r="AI182" i="1" s="1"/>
  <c r="AJ182" i="1" s="1"/>
  <c r="AG190" i="1"/>
  <c r="AG197" i="1"/>
  <c r="AI197" i="1" s="1"/>
  <c r="AJ197" i="1" s="1"/>
  <c r="AL197" i="1" s="1"/>
  <c r="AG212" i="1"/>
  <c r="AI212" i="1" s="1"/>
  <c r="AJ212" i="1" s="1"/>
  <c r="AL212" i="1" s="1"/>
  <c r="AG227" i="1"/>
  <c r="AH235" i="1"/>
  <c r="AG243" i="1"/>
  <c r="AI243" i="1" s="1"/>
  <c r="AJ243" i="1" s="1"/>
  <c r="AL243" i="1" s="1"/>
  <c r="AH274" i="1"/>
  <c r="AG282" i="1"/>
  <c r="AI282" i="1" s="1"/>
  <c r="AJ282" i="1" s="1"/>
  <c r="AL282" i="1" s="1"/>
  <c r="AG306" i="1"/>
  <c r="AI306" i="1" s="1"/>
  <c r="AJ306" i="1" s="1"/>
  <c r="AL306" i="1" s="1"/>
  <c r="AG337" i="1"/>
  <c r="AI337" i="1" s="1"/>
  <c r="AJ337" i="1" s="1"/>
  <c r="AL337" i="1" s="1"/>
  <c r="AG344" i="1"/>
  <c r="AI344" i="1" s="1"/>
  <c r="AJ344" i="1" s="1"/>
  <c r="AL344" i="1" s="1"/>
  <c r="AG352" i="1"/>
  <c r="AI352" i="1" s="1"/>
  <c r="AJ352" i="1" s="1"/>
  <c r="AL352" i="1" s="1"/>
  <c r="AG360" i="1"/>
  <c r="AI360" i="1" s="1"/>
  <c r="AJ360" i="1" s="1"/>
  <c r="AH368" i="1"/>
  <c r="AG384" i="1"/>
  <c r="AH399" i="1"/>
  <c r="AH437" i="1"/>
  <c r="AH444" i="1"/>
  <c r="AH469" i="1"/>
  <c r="AG477" i="1"/>
  <c r="AI477" i="1" s="1"/>
  <c r="AJ477" i="1" s="1"/>
  <c r="AL477" i="1" s="1"/>
  <c r="AH485" i="1"/>
  <c r="AG502" i="1"/>
  <c r="AG510" i="1"/>
  <c r="AG518" i="1"/>
  <c r="AI518" i="1" s="1"/>
  <c r="AJ518" i="1" s="1"/>
  <c r="AL518" i="1" s="1"/>
  <c r="AH526" i="1"/>
  <c r="AI526" i="1" s="1"/>
  <c r="AJ526" i="1" s="1"/>
  <c r="AL526" i="1" s="1"/>
  <c r="AG535" i="1"/>
  <c r="AI535" i="1" s="1"/>
  <c r="AJ535" i="1" s="1"/>
  <c r="AL535" i="1" s="1"/>
  <c r="AG560" i="1"/>
  <c r="AI560" i="1" s="1"/>
  <c r="AJ560" i="1" s="1"/>
  <c r="AL560" i="1" s="1"/>
  <c r="AH568" i="1"/>
  <c r="AG585" i="1"/>
  <c r="AI585" i="1" s="1"/>
  <c r="AJ585" i="1" s="1"/>
  <c r="AL585" i="1" s="1"/>
  <c r="AH593" i="1"/>
  <c r="AI593" i="1" s="1"/>
  <c r="AJ593" i="1" s="1"/>
  <c r="AL593" i="1" s="1"/>
  <c r="AG634" i="1"/>
  <c r="AG651" i="1"/>
  <c r="AH658" i="1"/>
  <c r="AG667" i="1"/>
  <c r="AG643" i="1"/>
  <c r="AH31" i="1"/>
  <c r="AG75" i="1"/>
  <c r="AI75" i="1" s="1"/>
  <c r="AJ75" i="1" s="1"/>
  <c r="AL75" i="1" s="1"/>
  <c r="AH146" i="1"/>
  <c r="AH306" i="1"/>
  <c r="AH384" i="1"/>
  <c r="AG423" i="1"/>
  <c r="AG461" i="1"/>
  <c r="AI461" i="1" s="1"/>
  <c r="AJ461" i="1" s="1"/>
  <c r="AL461" i="1" s="1"/>
  <c r="AH510" i="1"/>
  <c r="AH560" i="1"/>
  <c r="AG601" i="1"/>
  <c r="AH651" i="1"/>
  <c r="AG39" i="1"/>
  <c r="AG82" i="1"/>
  <c r="AI82" i="1" s="1"/>
  <c r="AJ82" i="1" s="1"/>
  <c r="AL82" i="1" s="1"/>
  <c r="AG97" i="1"/>
  <c r="AG168" i="1"/>
  <c r="AI168" i="1" s="1"/>
  <c r="AJ168" i="1" s="1"/>
  <c r="AL168" i="1" s="1"/>
  <c r="AG236" i="1"/>
  <c r="AH259" i="1"/>
  <c r="AG283" i="1"/>
  <c r="AI283" i="1" s="1"/>
  <c r="AJ283" i="1" s="1"/>
  <c r="AG345" i="1"/>
  <c r="AH408" i="1"/>
  <c r="AG438" i="1"/>
  <c r="AG470" i="1"/>
  <c r="AG495" i="1"/>
  <c r="AG519" i="1"/>
  <c r="AI519" i="1" s="1"/>
  <c r="AJ519" i="1" s="1"/>
  <c r="AH552" i="1"/>
  <c r="AG569" i="1"/>
  <c r="AG594" i="1"/>
  <c r="AI594" i="1" s="1"/>
  <c r="AJ594" i="1" s="1"/>
  <c r="AL594" i="1" s="1"/>
  <c r="AH601" i="1"/>
  <c r="AG619" i="1"/>
  <c r="AG635" i="1"/>
  <c r="AI635" i="1" s="1"/>
  <c r="AJ635" i="1" s="1"/>
  <c r="AL635" i="1" s="1"/>
  <c r="AH643" i="1"/>
  <c r="AI643" i="1" s="1"/>
  <c r="AJ643" i="1" s="1"/>
  <c r="AL643" i="1" s="1"/>
  <c r="AH39" i="1"/>
  <c r="AG147" i="1"/>
  <c r="AI147" i="1" s="1"/>
  <c r="AJ147" i="1" s="1"/>
  <c r="AL147" i="1" s="1"/>
  <c r="AH168" i="1"/>
  <c r="AH183" i="1"/>
  <c r="AH198" i="1"/>
  <c r="AG213" i="1"/>
  <c r="AH236" i="1"/>
  <c r="AH244" i="1"/>
  <c r="AG268" i="1"/>
  <c r="AH275" i="1"/>
  <c r="AH283" i="1"/>
  <c r="AG322" i="1"/>
  <c r="AG338" i="1"/>
  <c r="AH345" i="1"/>
  <c r="AH353" i="1"/>
  <c r="AG361" i="1"/>
  <c r="AI361" i="1" s="1"/>
  <c r="AJ361" i="1" s="1"/>
  <c r="AL361" i="1" s="1"/>
  <c r="AH385" i="1"/>
  <c r="AH400" i="1"/>
  <c r="AH431" i="1"/>
  <c r="AH438" i="1"/>
  <c r="AI438" i="1" s="1"/>
  <c r="AJ438" i="1" s="1"/>
  <c r="AL438" i="1" s="1"/>
  <c r="AG462" i="1"/>
  <c r="AH470" i="1"/>
  <c r="AG487" i="1"/>
  <c r="AH495" i="1"/>
  <c r="AG503" i="1"/>
  <c r="AI503" i="1" s="1"/>
  <c r="AJ503" i="1" s="1"/>
  <c r="AL503" i="1" s="1"/>
  <c r="AH519" i="1"/>
  <c r="AG528" i="1"/>
  <c r="AG536" i="1"/>
  <c r="AI536" i="1" s="1"/>
  <c r="AJ536" i="1" s="1"/>
  <c r="AG561" i="1"/>
  <c r="AI561" i="1" s="1"/>
  <c r="AJ561" i="1" s="1"/>
  <c r="AG578" i="1"/>
  <c r="AI578" i="1" s="1"/>
  <c r="AJ578" i="1" s="1"/>
  <c r="AH594" i="1"/>
  <c r="AH619" i="1"/>
  <c r="AI619" i="1" s="1"/>
  <c r="AJ619" i="1" s="1"/>
  <c r="AL619" i="1" s="1"/>
  <c r="AG652" i="1"/>
  <c r="AI652" i="1" s="1"/>
  <c r="AJ652" i="1" s="1"/>
  <c r="AL652" i="1" s="1"/>
  <c r="AH659" i="1"/>
  <c r="AI659" i="1" s="1"/>
  <c r="AJ659" i="1" s="1"/>
  <c r="AL659" i="1" s="1"/>
  <c r="AH668" i="1"/>
  <c r="AG3" i="1"/>
  <c r="AI3" i="1" s="1"/>
  <c r="AJ3" i="1" s="1"/>
  <c r="AL3" i="1" s="1"/>
  <c r="AH10" i="1"/>
  <c r="AH32" i="1"/>
  <c r="AH54" i="1"/>
  <c r="AG76" i="1"/>
  <c r="AH90" i="1"/>
  <c r="AG105" i="1"/>
  <c r="AG119" i="1"/>
  <c r="AI119" i="1" s="1"/>
  <c r="AJ119" i="1" s="1"/>
  <c r="AL119" i="1" s="1"/>
  <c r="AH126" i="1"/>
  <c r="AH133" i="1"/>
  <c r="AH140" i="1"/>
  <c r="AH147" i="1"/>
  <c r="AH154" i="1"/>
  <c r="AH161" i="1"/>
  <c r="AG177" i="1"/>
  <c r="AI177" i="1" s="1"/>
  <c r="AJ177" i="1" s="1"/>
  <c r="AH191" i="1"/>
  <c r="AI191" i="1" s="1"/>
  <c r="AJ191" i="1" s="1"/>
  <c r="AL191" i="1" s="1"/>
  <c r="AG206" i="1"/>
  <c r="AH213" i="1"/>
  <c r="AG221" i="1"/>
  <c r="AG229" i="1"/>
  <c r="AI229" i="1" s="1"/>
  <c r="AJ229" i="1" s="1"/>
  <c r="AL229" i="1" s="1"/>
  <c r="AG253" i="1"/>
  <c r="AI253" i="1" s="1"/>
  <c r="AJ253" i="1" s="1"/>
  <c r="AL253" i="1" s="1"/>
  <c r="AH260" i="1"/>
  <c r="AH268" i="1"/>
  <c r="AG292" i="1"/>
  <c r="AH299" i="1"/>
  <c r="AH314" i="1"/>
  <c r="AH322" i="1"/>
  <c r="AG330" i="1"/>
  <c r="AI330" i="1" s="1"/>
  <c r="AJ330" i="1" s="1"/>
  <c r="AL330" i="1" s="1"/>
  <c r="AH338" i="1"/>
  <c r="AH361" i="1"/>
  <c r="AG378" i="1"/>
  <c r="AI378" i="1" s="1"/>
  <c r="AJ378" i="1" s="1"/>
  <c r="AL378" i="1" s="1"/>
  <c r="AG393" i="1"/>
  <c r="AI393" i="1" s="1"/>
  <c r="AJ393" i="1" s="1"/>
  <c r="AH409" i="1"/>
  <c r="AG417" i="1"/>
  <c r="AH424" i="1"/>
  <c r="AG446" i="1"/>
  <c r="AI446" i="1" s="1"/>
  <c r="AJ446" i="1" s="1"/>
  <c r="AL446" i="1" s="1"/>
  <c r="AG454" i="1"/>
  <c r="AI454" i="1" s="1"/>
  <c r="AJ454" i="1" s="1"/>
  <c r="AL454" i="1" s="1"/>
  <c r="AH462" i="1"/>
  <c r="AG479" i="1"/>
  <c r="AI479" i="1" s="1"/>
  <c r="AJ479" i="1" s="1"/>
  <c r="AL479" i="1" s="1"/>
  <c r="AH487" i="1"/>
  <c r="AH503" i="1"/>
  <c r="AH511" i="1"/>
  <c r="AH528" i="1"/>
  <c r="AG545" i="1"/>
  <c r="AI545" i="1" s="1"/>
  <c r="AJ545" i="1" s="1"/>
  <c r="AL545" i="1" s="1"/>
  <c r="AH553" i="1"/>
  <c r="AH561" i="1"/>
  <c r="AG570" i="1"/>
  <c r="AH578" i="1"/>
  <c r="AG587" i="1"/>
  <c r="AI587" i="1" s="1"/>
  <c r="AJ587" i="1" s="1"/>
  <c r="AL587" i="1" s="1"/>
  <c r="AH602" i="1"/>
  <c r="AG611" i="1"/>
  <c r="AI611" i="1" s="1"/>
  <c r="AJ611" i="1" s="1"/>
  <c r="AL611" i="1" s="1"/>
  <c r="AG627" i="1"/>
  <c r="AG636" i="1"/>
  <c r="AI636" i="1" s="1"/>
  <c r="AJ636" i="1" s="1"/>
  <c r="AH652" i="1"/>
  <c r="AG53" i="1"/>
  <c r="AI53" i="1" s="1"/>
  <c r="AJ53" i="1" s="1"/>
  <c r="AL53" i="1" s="1"/>
  <c r="AG104" i="1"/>
  <c r="AG139" i="1"/>
  <c r="AH182" i="1"/>
  <c r="AG259" i="1"/>
  <c r="AH313" i="1"/>
  <c r="AH352" i="1"/>
  <c r="AG392" i="1"/>
  <c r="AI392" i="1" s="1"/>
  <c r="AJ392" i="1" s="1"/>
  <c r="AL392" i="1" s="1"/>
  <c r="AG416" i="1"/>
  <c r="AI416" i="1" s="1"/>
  <c r="AJ416" i="1" s="1"/>
  <c r="AL416" i="1" s="1"/>
  <c r="AH452" i="1"/>
  <c r="AH477" i="1"/>
  <c r="AH543" i="1"/>
  <c r="AG2" i="1"/>
  <c r="AI2" i="1" s="1"/>
  <c r="AJ2" i="1" s="1"/>
  <c r="AL2" i="1" s="1"/>
  <c r="AG17" i="1"/>
  <c r="AG46" i="1"/>
  <c r="AI46" i="1" s="1"/>
  <c r="AJ46" i="1" s="1"/>
  <c r="AL46" i="1" s="1"/>
  <c r="AG68" i="1"/>
  <c r="AI68" i="1" s="1"/>
  <c r="AJ68" i="1" s="1"/>
  <c r="AL68" i="1" s="1"/>
  <c r="AH75" i="1"/>
  <c r="AG111" i="1"/>
  <c r="AH139" i="1"/>
  <c r="AH205" i="1"/>
  <c r="AG228" i="1"/>
  <c r="AH252" i="1"/>
  <c r="AG275" i="1"/>
  <c r="AI275" i="1" s="1"/>
  <c r="AJ275" i="1" s="1"/>
  <c r="AL275" i="1" s="1"/>
  <c r="AH291" i="1"/>
  <c r="AG369" i="1"/>
  <c r="AG400" i="1"/>
  <c r="AI400" i="1" s="1"/>
  <c r="AJ400" i="1" s="1"/>
  <c r="AL400" i="1" s="1"/>
  <c r="AH416" i="1"/>
  <c r="AG445" i="1"/>
  <c r="AH626" i="1"/>
  <c r="AG659" i="1"/>
  <c r="AG10" i="1"/>
  <c r="AI10" i="1" s="1"/>
  <c r="AJ10" i="1" s="1"/>
  <c r="AL10" i="1" s="1"/>
  <c r="AG54" i="1"/>
  <c r="AH68" i="1"/>
  <c r="AH82" i="1"/>
  <c r="AH97" i="1"/>
  <c r="AG126" i="1"/>
  <c r="AI126" i="1" s="1"/>
  <c r="AJ126" i="1" s="1"/>
  <c r="AL126" i="1" s="1"/>
  <c r="AG154" i="1"/>
  <c r="AI154" i="1" s="1"/>
  <c r="AJ154" i="1" s="1"/>
  <c r="AL154" i="1" s="1"/>
  <c r="AH307" i="1"/>
  <c r="AG18" i="1"/>
  <c r="AG62" i="1"/>
  <c r="AI62" i="1" s="1"/>
  <c r="AJ62" i="1" s="1"/>
  <c r="AH105" i="1"/>
  <c r="AI105" i="1" s="1"/>
  <c r="AJ105" i="1" s="1"/>
  <c r="AL105" i="1" s="1"/>
  <c r="AG199" i="1"/>
  <c r="AI199" i="1" s="1"/>
  <c r="AJ199" i="1" s="1"/>
  <c r="AL199" i="1" s="1"/>
  <c r="AH229" i="1"/>
  <c r="AH253" i="1"/>
  <c r="AH276" i="1"/>
  <c r="AG284" i="1"/>
  <c r="AH292" i="1"/>
  <c r="AG308" i="1"/>
  <c r="AI308" i="1" s="1"/>
  <c r="AJ308" i="1" s="1"/>
  <c r="AL308" i="1" s="1"/>
  <c r="AH330" i="1"/>
  <c r="AG354" i="1"/>
  <c r="AI354" i="1" s="1"/>
  <c r="AJ354" i="1" s="1"/>
  <c r="AL354" i="1" s="1"/>
  <c r="AG370" i="1"/>
  <c r="AI370" i="1" s="1"/>
  <c r="AJ370" i="1" s="1"/>
  <c r="AL370" i="1" s="1"/>
  <c r="AH378" i="1"/>
  <c r="AG386" i="1"/>
  <c r="AH393" i="1"/>
  <c r="AH401" i="1"/>
  <c r="AG432" i="1"/>
  <c r="AG439" i="1"/>
  <c r="AH446" i="1"/>
  <c r="AG471" i="1"/>
  <c r="AI471" i="1" s="1"/>
  <c r="AJ471" i="1" s="1"/>
  <c r="AL471" i="1" s="1"/>
  <c r="AG496" i="1"/>
  <c r="AI496" i="1" s="1"/>
  <c r="AJ496" i="1" s="1"/>
  <c r="AG520" i="1"/>
  <c r="AI520" i="1" s="1"/>
  <c r="AJ520" i="1" s="1"/>
  <c r="AG537" i="1"/>
  <c r="AH545" i="1"/>
  <c r="AH570" i="1"/>
  <c r="AH587" i="1"/>
  <c r="AG595" i="1"/>
  <c r="AG620" i="1"/>
  <c r="AI620" i="1" s="1"/>
  <c r="AJ620" i="1" s="1"/>
  <c r="AL620" i="1" s="1"/>
  <c r="AH627" i="1"/>
  <c r="AH636" i="1"/>
  <c r="AG645" i="1"/>
  <c r="AI645" i="1" s="1"/>
  <c r="AJ645" i="1" s="1"/>
  <c r="AL645" i="1" s="1"/>
  <c r="AH660" i="1"/>
  <c r="AG669" i="1"/>
  <c r="AH9" i="1"/>
  <c r="AH60" i="1"/>
  <c r="AG89" i="1"/>
  <c r="AG118" i="1"/>
  <c r="AI118" i="1" s="1"/>
  <c r="AJ118" i="1" s="1"/>
  <c r="AL118" i="1" s="1"/>
  <c r="AG125" i="1"/>
  <c r="AH132" i="1"/>
  <c r="AH153" i="1"/>
  <c r="AH160" i="1"/>
  <c r="AH190" i="1"/>
  <c r="AH197" i="1"/>
  <c r="AG205" i="1"/>
  <c r="AI205" i="1" s="1"/>
  <c r="AJ205" i="1" s="1"/>
  <c r="AL205" i="1" s="1"/>
  <c r="AH212" i="1"/>
  <c r="AG220" i="1"/>
  <c r="AI220" i="1" s="1"/>
  <c r="AJ220" i="1" s="1"/>
  <c r="AL220" i="1" s="1"/>
  <c r="AG252" i="1"/>
  <c r="AI252" i="1" s="1"/>
  <c r="AJ252" i="1" s="1"/>
  <c r="AL252" i="1" s="1"/>
  <c r="AG267" i="1"/>
  <c r="AG291" i="1"/>
  <c r="AI291" i="1" s="1"/>
  <c r="AJ291" i="1" s="1"/>
  <c r="AL291" i="1" s="1"/>
  <c r="AG298" i="1"/>
  <c r="AG321" i="1"/>
  <c r="AG329" i="1"/>
  <c r="AI329" i="1" s="1"/>
  <c r="AJ329" i="1" s="1"/>
  <c r="AL329" i="1" s="1"/>
  <c r="AH337" i="1"/>
  <c r="AH360" i="1"/>
  <c r="AH376" i="1"/>
  <c r="AG408" i="1"/>
  <c r="AI408" i="1" s="1"/>
  <c r="AJ408" i="1" s="1"/>
  <c r="AL408" i="1" s="1"/>
  <c r="AG431" i="1"/>
  <c r="AI431" i="1" s="1"/>
  <c r="AJ431" i="1" s="1"/>
  <c r="AL431" i="1" s="1"/>
  <c r="AH502" i="1"/>
  <c r="AH535" i="1"/>
  <c r="AG552" i="1"/>
  <c r="AI552" i="1" s="1"/>
  <c r="AJ552" i="1" s="1"/>
  <c r="AG577" i="1"/>
  <c r="AH585" i="1"/>
  <c r="AG610" i="1"/>
  <c r="AG626" i="1"/>
  <c r="AI626" i="1" s="1"/>
  <c r="AJ626" i="1" s="1"/>
  <c r="AL626" i="1" s="1"/>
  <c r="AH24" i="1"/>
  <c r="AI24" i="1" s="1"/>
  <c r="AJ24" i="1" s="1"/>
  <c r="AL24" i="1" s="1"/>
  <c r="AH104" i="1"/>
  <c r="AG176" i="1"/>
  <c r="AH220" i="1"/>
  <c r="AG244" i="1"/>
  <c r="AI244" i="1" s="1"/>
  <c r="AJ244" i="1" s="1"/>
  <c r="AL244" i="1" s="1"/>
  <c r="AH298" i="1"/>
  <c r="AH329" i="1"/>
  <c r="AH392" i="1"/>
  <c r="AH423" i="1"/>
  <c r="AI423" i="1" s="1"/>
  <c r="AJ423" i="1" s="1"/>
  <c r="AL423" i="1" s="1"/>
  <c r="AH610" i="1"/>
  <c r="AG668" i="1"/>
  <c r="AI668" i="1" s="1"/>
  <c r="AJ668" i="1" s="1"/>
  <c r="AL668" i="1" s="1"/>
  <c r="AH17" i="1"/>
  <c r="AI17" i="1" s="1"/>
  <c r="AJ17" i="1" s="1"/>
  <c r="AL17" i="1" s="1"/>
  <c r="AG32" i="1"/>
  <c r="AI32" i="1" s="1"/>
  <c r="AJ32" i="1" s="1"/>
  <c r="AL32" i="1" s="1"/>
  <c r="AH46" i="1"/>
  <c r="AG61" i="1"/>
  <c r="AG90" i="1"/>
  <c r="AH111" i="1"/>
  <c r="AG133" i="1"/>
  <c r="AG161" i="1"/>
  <c r="AI161" i="1" s="1"/>
  <c r="AJ161" i="1" s="1"/>
  <c r="AL161" i="1" s="1"/>
  <c r="AG191" i="1"/>
  <c r="AG314" i="1"/>
  <c r="AH3" i="1"/>
  <c r="AG25" i="1"/>
  <c r="AI25" i="1" s="1"/>
  <c r="AJ25" i="1" s="1"/>
  <c r="AL25" i="1" s="1"/>
  <c r="AG40" i="1"/>
  <c r="AH47" i="1"/>
  <c r="AG69" i="1"/>
  <c r="AI69" i="1" s="1"/>
  <c r="AJ69" i="1" s="1"/>
  <c r="AG83" i="1"/>
  <c r="AH112" i="1"/>
  <c r="AH169" i="1"/>
  <c r="AH177" i="1"/>
  <c r="AG184" i="1"/>
  <c r="AH206" i="1"/>
  <c r="AH221" i="1"/>
  <c r="AH237" i="1"/>
  <c r="AG245" i="1"/>
  <c r="AH454" i="1"/>
  <c r="AH11" i="1"/>
  <c r="AH18" i="1"/>
  <c r="AH25" i="1"/>
  <c r="AG33" i="1"/>
  <c r="AG55" i="1"/>
  <c r="AH62" i="1"/>
  <c r="AH69" i="1"/>
  <c r="AG77" i="1"/>
  <c r="AI77" i="1" s="1"/>
  <c r="AJ77" i="1" s="1"/>
  <c r="AL77" i="1" s="1"/>
  <c r="AH83" i="1"/>
  <c r="AG91" i="1"/>
  <c r="AI91" i="1" s="1"/>
  <c r="AJ91" i="1" s="1"/>
  <c r="AL91" i="1" s="1"/>
  <c r="AG98" i="1"/>
  <c r="AG120" i="1"/>
  <c r="AG127" i="1"/>
  <c r="AI127" i="1" s="1"/>
  <c r="AJ127" i="1" s="1"/>
  <c r="AL127" i="1" s="1"/>
  <c r="AG134" i="1"/>
  <c r="AI134" i="1" s="1"/>
  <c r="AJ134" i="1" s="1"/>
  <c r="AL134" i="1" s="1"/>
  <c r="AG141" i="1"/>
  <c r="AG148" i="1"/>
  <c r="AI148" i="1" s="1"/>
  <c r="AJ148" i="1" s="1"/>
  <c r="AL148" i="1" s="1"/>
  <c r="AG155" i="1"/>
  <c r="AG162" i="1"/>
  <c r="AI162" i="1" s="1"/>
  <c r="AJ162" i="1" s="1"/>
  <c r="AL162" i="1" s="1"/>
  <c r="AH184" i="1"/>
  <c r="AG192" i="1"/>
  <c r="AI192" i="1" s="1"/>
  <c r="AJ192" i="1" s="1"/>
  <c r="AH199" i="1"/>
  <c r="AG214" i="1"/>
  <c r="AI214" i="1" s="1"/>
  <c r="AJ214" i="1" s="1"/>
  <c r="AH245" i="1"/>
  <c r="AG269" i="1"/>
  <c r="AI269" i="1" s="1"/>
  <c r="AJ269" i="1" s="1"/>
  <c r="AH284" i="1"/>
  <c r="AH308" i="1"/>
  <c r="AH315" i="1"/>
  <c r="AG323" i="1"/>
  <c r="AI323" i="1" s="1"/>
  <c r="AJ323" i="1" s="1"/>
  <c r="AL323" i="1" s="1"/>
  <c r="AG339" i="1"/>
  <c r="AG347" i="1"/>
  <c r="AH354" i="1"/>
  <c r="AG362" i="1"/>
  <c r="AH386" i="1"/>
  <c r="AG410" i="1"/>
  <c r="AG418" i="1"/>
  <c r="AI418" i="1" s="1"/>
  <c r="AJ418" i="1" s="1"/>
  <c r="AL418" i="1" s="1"/>
  <c r="AG425" i="1"/>
  <c r="AI425" i="1" s="1"/>
  <c r="AJ425" i="1" s="1"/>
  <c r="AL425" i="1" s="1"/>
  <c r="AH439" i="1"/>
  <c r="AI439" i="1" s="1"/>
  <c r="AJ439" i="1" s="1"/>
  <c r="AL439" i="1" s="1"/>
  <c r="AG463" i="1"/>
  <c r="AI463" i="1" s="1"/>
  <c r="AJ463" i="1" s="1"/>
  <c r="AL463" i="1" s="1"/>
  <c r="AG480" i="1"/>
  <c r="AH496" i="1"/>
  <c r="AH512" i="1"/>
  <c r="AG529" i="1"/>
  <c r="AG554" i="1"/>
  <c r="AG562" i="1"/>
  <c r="AI562" i="1" s="1"/>
  <c r="AJ562" i="1" s="1"/>
  <c r="AG579" i="1"/>
  <c r="AG612" i="1"/>
  <c r="AI612" i="1" s="1"/>
  <c r="AJ612" i="1" s="1"/>
  <c r="AL612" i="1" s="1"/>
  <c r="AH620" i="1"/>
  <c r="AH645" i="1"/>
  <c r="AG653" i="1"/>
  <c r="AH445" i="1"/>
  <c r="AG458" i="1"/>
  <c r="AH471" i="1"/>
  <c r="AG478" i="1"/>
  <c r="AI478" i="1" s="1"/>
  <c r="AJ478" i="1" s="1"/>
  <c r="AL478" i="1" s="1"/>
  <c r="AG491" i="1"/>
  <c r="AH497" i="1"/>
  <c r="AG504" i="1"/>
  <c r="AI504" i="1" s="1"/>
  <c r="AJ504" i="1" s="1"/>
  <c r="AL504" i="1" s="1"/>
  <c r="AG517" i="1"/>
  <c r="AI517" i="1" s="1"/>
  <c r="AJ517" i="1" s="1"/>
  <c r="AL517" i="1" s="1"/>
  <c r="AG530" i="1"/>
  <c r="AI530" i="1" s="1"/>
  <c r="AJ530" i="1" s="1"/>
  <c r="AL530" i="1" s="1"/>
  <c r="AH549" i="1"/>
  <c r="AG556" i="1"/>
  <c r="AH569" i="1"/>
  <c r="AG576" i="1"/>
  <c r="AH589" i="1"/>
  <c r="AH595" i="1"/>
  <c r="AH608" i="1"/>
  <c r="AI608" i="1" s="1"/>
  <c r="AJ608" i="1" s="1"/>
  <c r="AL608" i="1" s="1"/>
  <c r="AH621" i="1"/>
  <c r="AH634" i="1"/>
  <c r="AG647" i="1"/>
  <c r="AI647" i="1" s="1"/>
  <c r="AJ647" i="1" s="1"/>
  <c r="AL647" i="1" s="1"/>
  <c r="AH653" i="1"/>
  <c r="AG666" i="1"/>
  <c r="AH14" i="1"/>
  <c r="AG21" i="1"/>
  <c r="AI21" i="1" s="1"/>
  <c r="AJ21" i="1" s="1"/>
  <c r="AG27" i="1"/>
  <c r="AI27" i="1" s="1"/>
  <c r="AJ27" i="1" s="1"/>
  <c r="AL27" i="1" s="1"/>
  <c r="AH40" i="1"/>
  <c r="AG47" i="1"/>
  <c r="AI47" i="1" s="1"/>
  <c r="AJ47" i="1" s="1"/>
  <c r="AL47" i="1" s="1"/>
  <c r="AH53" i="1"/>
  <c r="AG60" i="1"/>
  <c r="AG73" i="1"/>
  <c r="AI73" i="1" s="1"/>
  <c r="AJ73" i="1" s="1"/>
  <c r="AL73" i="1" s="1"/>
  <c r="AG86" i="1"/>
  <c r="AG99" i="1"/>
  <c r="AG112" i="1"/>
  <c r="AH118" i="1"/>
  <c r="AH124" i="1"/>
  <c r="AI124" i="1" s="1"/>
  <c r="AJ124" i="1" s="1"/>
  <c r="AL124" i="1" s="1"/>
  <c r="AH130" i="1"/>
  <c r="AH143" i="1"/>
  <c r="AH156" i="1"/>
  <c r="AG163" i="1"/>
  <c r="AG169" i="1"/>
  <c r="AH175" i="1"/>
  <c r="AH188" i="1"/>
  <c r="AH201" i="1"/>
  <c r="AH214" i="1"/>
  <c r="AH227" i="1"/>
  <c r="AH240" i="1"/>
  <c r="AI240" i="1" s="1"/>
  <c r="AJ240" i="1" s="1"/>
  <c r="AL240" i="1" s="1"/>
  <c r="AG247" i="1"/>
  <c r="AI247" i="1" s="1"/>
  <c r="AJ247" i="1" s="1"/>
  <c r="AL247" i="1" s="1"/>
  <c r="AG260" i="1"/>
  <c r="AI260" i="1" s="1"/>
  <c r="AJ260" i="1" s="1"/>
  <c r="AL260" i="1" s="1"/>
  <c r="AH266" i="1"/>
  <c r="AI266" i="1" s="1"/>
  <c r="AJ266" i="1" s="1"/>
  <c r="AL266" i="1" s="1"/>
  <c r="AG273" i="1"/>
  <c r="AI273" i="1" s="1"/>
  <c r="AJ273" i="1" s="1"/>
  <c r="AL273" i="1" s="1"/>
  <c r="AH279" i="1"/>
  <c r="AG286" i="1"/>
  <c r="AG299" i="1"/>
  <c r="AI299" i="1" s="1"/>
  <c r="AJ299" i="1" s="1"/>
  <c r="AL299" i="1" s="1"/>
  <c r="AH318" i="1"/>
  <c r="AG325" i="1"/>
  <c r="AI325" i="1" s="1"/>
  <c r="AJ325" i="1" s="1"/>
  <c r="AL325" i="1" s="1"/>
  <c r="AG331" i="1"/>
  <c r="AI331" i="1" s="1"/>
  <c r="AJ331" i="1" s="1"/>
  <c r="AL331" i="1" s="1"/>
  <c r="AH343" i="1"/>
  <c r="AH356" i="1"/>
  <c r="AG363" i="1"/>
  <c r="AH369" i="1"/>
  <c r="AG376" i="1"/>
  <c r="AI376" i="1" s="1"/>
  <c r="AJ376" i="1" s="1"/>
  <c r="AL376" i="1" s="1"/>
  <c r="AG382" i="1"/>
  <c r="AH388" i="1"/>
  <c r="AH394" i="1"/>
  <c r="AI394" i="1" s="1"/>
  <c r="AJ394" i="1" s="1"/>
  <c r="AL394" i="1" s="1"/>
  <c r="AG401" i="1"/>
  <c r="AI401" i="1" s="1"/>
  <c r="AJ401" i="1" s="1"/>
  <c r="AL401" i="1" s="1"/>
  <c r="AH414" i="1"/>
  <c r="AH427" i="1"/>
  <c r="AH433" i="1"/>
  <c r="AG452" i="1"/>
  <c r="AI452" i="1" s="1"/>
  <c r="AJ452" i="1" s="1"/>
  <c r="AL452" i="1" s="1"/>
  <c r="AH458" i="1"/>
  <c r="AI458" i="1" s="1"/>
  <c r="AJ458" i="1" s="1"/>
  <c r="AL458" i="1" s="1"/>
  <c r="AG465" i="1"/>
  <c r="AH478" i="1"/>
  <c r="AG485" i="1"/>
  <c r="AH491" i="1"/>
  <c r="AI491" i="1" s="1"/>
  <c r="AJ491" i="1" s="1"/>
  <c r="AL491" i="1" s="1"/>
  <c r="AH504" i="1"/>
  <c r="AG511" i="1"/>
  <c r="AI511" i="1" s="1"/>
  <c r="AJ511" i="1" s="1"/>
  <c r="AL511" i="1" s="1"/>
  <c r="AH517" i="1"/>
  <c r="AG524" i="1"/>
  <c r="AH536" i="1"/>
  <c r="AG543" i="1"/>
  <c r="AI543" i="1" s="1"/>
  <c r="AJ543" i="1" s="1"/>
  <c r="AL543" i="1" s="1"/>
  <c r="AH556" i="1"/>
  <c r="AG563" i="1"/>
  <c r="AH576" i="1"/>
  <c r="AG583" i="1"/>
  <c r="AG602" i="1"/>
  <c r="AG615" i="1"/>
  <c r="AI615" i="1" s="1"/>
  <c r="AJ615" i="1" s="1"/>
  <c r="AL615" i="1" s="1"/>
  <c r="AG628" i="1"/>
  <c r="AG641" i="1"/>
  <c r="AI641" i="1" s="1"/>
  <c r="AJ641" i="1" s="1"/>
  <c r="AL641" i="1" s="1"/>
  <c r="AH647" i="1"/>
  <c r="AG660" i="1"/>
  <c r="AI660" i="1" s="1"/>
  <c r="AJ660" i="1" s="1"/>
  <c r="AL660" i="1" s="1"/>
  <c r="AH666" i="1"/>
  <c r="AG164" i="1"/>
  <c r="AG170" i="1"/>
  <c r="AH176" i="1"/>
  <c r="AH189" i="1"/>
  <c r="AH202" i="1"/>
  <c r="AH215" i="1"/>
  <c r="AH228" i="1"/>
  <c r="AI228" i="1" s="1"/>
  <c r="AJ228" i="1" s="1"/>
  <c r="AL228" i="1" s="1"/>
  <c r="AH241" i="1"/>
  <c r="AG248" i="1"/>
  <c r="AG261" i="1"/>
  <c r="AI261" i="1" s="1"/>
  <c r="AJ261" i="1" s="1"/>
  <c r="AH267" i="1"/>
  <c r="AH280" i="1"/>
  <c r="AG287" i="1"/>
  <c r="AI287" i="1" s="1"/>
  <c r="AJ287" i="1" s="1"/>
  <c r="AL287" i="1" s="1"/>
  <c r="AG300" i="1"/>
  <c r="AI300" i="1" s="1"/>
  <c r="AJ300" i="1" s="1"/>
  <c r="AL300" i="1" s="1"/>
  <c r="AH319" i="1"/>
  <c r="AI319" i="1" s="1"/>
  <c r="AJ319" i="1" s="1"/>
  <c r="AL319" i="1" s="1"/>
  <c r="AG326" i="1"/>
  <c r="AI326" i="1" s="1"/>
  <c r="AJ326" i="1" s="1"/>
  <c r="AL326" i="1" s="1"/>
  <c r="AG332" i="1"/>
  <c r="AI332" i="1" s="1"/>
  <c r="AJ332" i="1" s="1"/>
  <c r="AL332" i="1" s="1"/>
  <c r="AH357" i="1"/>
  <c r="AG364" i="1"/>
  <c r="AI364" i="1" s="1"/>
  <c r="AJ364" i="1" s="1"/>
  <c r="AL364" i="1" s="1"/>
  <c r="AH370" i="1"/>
  <c r="AG377" i="1"/>
  <c r="AG383" i="1"/>
  <c r="AH389" i="1"/>
  <c r="AH395" i="1"/>
  <c r="AI395" i="1" s="1"/>
  <c r="AJ395" i="1" s="1"/>
  <c r="AL395" i="1" s="1"/>
  <c r="AG402" i="1"/>
  <c r="AH415" i="1"/>
  <c r="AH428" i="1"/>
  <c r="AH434" i="1"/>
  <c r="AG453" i="1"/>
  <c r="AH459" i="1"/>
  <c r="AG466" i="1"/>
  <c r="AI466" i="1" s="1"/>
  <c r="AJ466" i="1" s="1"/>
  <c r="AL466" i="1" s="1"/>
  <c r="AH479" i="1"/>
  <c r="AG486" i="1"/>
  <c r="AI486" i="1" s="1"/>
  <c r="AJ486" i="1" s="1"/>
  <c r="AL486" i="1" s="1"/>
  <c r="AH492" i="1"/>
  <c r="AH505" i="1"/>
  <c r="AH518" i="1"/>
  <c r="AG525" i="1"/>
  <c r="AI525" i="1" s="1"/>
  <c r="AJ525" i="1" s="1"/>
  <c r="AL525" i="1" s="1"/>
  <c r="AG531" i="1"/>
  <c r="AI531" i="1" s="1"/>
  <c r="AJ531" i="1" s="1"/>
  <c r="AL531" i="1" s="1"/>
  <c r="AH537" i="1"/>
  <c r="AG544" i="1"/>
  <c r="AH557" i="1"/>
  <c r="AG564" i="1"/>
  <c r="AI564" i="1" s="1"/>
  <c r="AJ564" i="1" s="1"/>
  <c r="AL564" i="1" s="1"/>
  <c r="AH577" i="1"/>
  <c r="AG584" i="1"/>
  <c r="AI584" i="1" s="1"/>
  <c r="AJ584" i="1" s="1"/>
  <c r="AH590" i="1"/>
  <c r="AG603" i="1"/>
  <c r="AH609" i="1"/>
  <c r="AG616" i="1"/>
  <c r="AG629" i="1"/>
  <c r="AH635" i="1"/>
  <c r="AG642" i="1"/>
  <c r="AI642" i="1" s="1"/>
  <c r="AJ642" i="1" s="1"/>
  <c r="AL642" i="1" s="1"/>
  <c r="AH648" i="1"/>
  <c r="AG661" i="1"/>
  <c r="AI661" i="1" s="1"/>
  <c r="AJ661" i="1" s="1"/>
  <c r="AL661" i="1" s="1"/>
  <c r="AH667" i="1"/>
  <c r="AH2" i="1"/>
  <c r="AG9" i="1"/>
  <c r="AI9" i="1" s="1"/>
  <c r="AJ9" i="1" s="1"/>
  <c r="AL9" i="1" s="1"/>
  <c r="AH22" i="1"/>
  <c r="AH28" i="1"/>
  <c r="AG35" i="1"/>
  <c r="AI35" i="1" s="1"/>
  <c r="AJ35" i="1" s="1"/>
  <c r="AL35" i="1" s="1"/>
  <c r="AH48" i="1"/>
  <c r="AH61" i="1"/>
  <c r="AH74" i="1"/>
  <c r="AH87" i="1"/>
  <c r="AG94" i="1"/>
  <c r="AI94" i="1" s="1"/>
  <c r="AJ94" i="1" s="1"/>
  <c r="AL94" i="1" s="1"/>
  <c r="AH100" i="1"/>
  <c r="AG107" i="1"/>
  <c r="AI107" i="1" s="1"/>
  <c r="AJ107" i="1" s="1"/>
  <c r="AL107" i="1" s="1"/>
  <c r="AH113" i="1"/>
  <c r="AH119" i="1"/>
  <c r="AH125" i="1"/>
  <c r="AG138" i="1"/>
  <c r="AG151" i="1"/>
  <c r="AI151" i="1" s="1"/>
  <c r="AJ151" i="1" s="1"/>
  <c r="AL151" i="1" s="1"/>
  <c r="AH164" i="1"/>
  <c r="AH170" i="1"/>
  <c r="AG183" i="1"/>
  <c r="AI183" i="1" s="1"/>
  <c r="AJ183" i="1" s="1"/>
  <c r="AL183" i="1" s="1"/>
  <c r="AG196" i="1"/>
  <c r="AI196" i="1" s="1"/>
  <c r="AJ196" i="1" s="1"/>
  <c r="AL196" i="1" s="1"/>
  <c r="AG209" i="1"/>
  <c r="AG222" i="1"/>
  <c r="AI222" i="1" s="1"/>
  <c r="AJ222" i="1" s="1"/>
  <c r="AL222" i="1" s="1"/>
  <c r="AG235" i="1"/>
  <c r="AI235" i="1" s="1"/>
  <c r="AJ235" i="1" s="1"/>
  <c r="AL235" i="1" s="1"/>
  <c r="AH248" i="1"/>
  <c r="AG255" i="1"/>
  <c r="AI255" i="1" s="1"/>
  <c r="AJ255" i="1" s="1"/>
  <c r="AL255" i="1" s="1"/>
  <c r="AH261" i="1"/>
  <c r="AG274" i="1"/>
  <c r="AH287" i="1"/>
  <c r="AH300" i="1"/>
  <c r="AG307" i="1"/>
  <c r="AI307" i="1" s="1"/>
  <c r="AJ307" i="1" s="1"/>
  <c r="AL307" i="1" s="1"/>
  <c r="AG313" i="1"/>
  <c r="AH326" i="1"/>
  <c r="AH332" i="1"/>
  <c r="AH344" i="1"/>
  <c r="AG351" i="1"/>
  <c r="AI351" i="1" s="1"/>
  <c r="AJ351" i="1" s="1"/>
  <c r="AL351" i="1" s="1"/>
  <c r="AH364" i="1"/>
  <c r="AH377" i="1"/>
  <c r="AH402" i="1"/>
  <c r="AG409" i="1"/>
  <c r="AI409" i="1" s="1"/>
  <c r="AJ409" i="1" s="1"/>
  <c r="AL409" i="1" s="1"/>
  <c r="AG422" i="1"/>
  <c r="AI422" i="1" s="1"/>
  <c r="AJ422" i="1" s="1"/>
  <c r="AL422" i="1" s="1"/>
  <c r="AG441" i="1"/>
  <c r="AG447" i="1"/>
  <c r="AH453" i="1"/>
  <c r="AH466" i="1"/>
  <c r="AG473" i="1"/>
  <c r="AH486" i="1"/>
  <c r="AG499" i="1"/>
  <c r="AG512" i="1"/>
  <c r="AH525" i="1"/>
  <c r="AH531" i="1"/>
  <c r="AH544" i="1"/>
  <c r="AG551" i="1"/>
  <c r="AI551" i="1" s="1"/>
  <c r="AJ551" i="1" s="1"/>
  <c r="AL551" i="1" s="1"/>
  <c r="AH564" i="1"/>
  <c r="AG571" i="1"/>
  <c r="AH584" i="1"/>
  <c r="AG597" i="1"/>
  <c r="AH603" i="1"/>
  <c r="AH616" i="1"/>
  <c r="AI616" i="1" s="1"/>
  <c r="AJ616" i="1" s="1"/>
  <c r="AL616" i="1" s="1"/>
  <c r="AG623" i="1"/>
  <c r="AH629" i="1"/>
  <c r="AH642" i="1"/>
  <c r="AG655" i="1"/>
  <c r="AI655" i="1" s="1"/>
  <c r="AJ655" i="1" s="1"/>
  <c r="AL655" i="1" s="1"/>
  <c r="AH661" i="1"/>
  <c r="AG217" i="1"/>
  <c r="AI217" i="1" s="1"/>
  <c r="AJ217" i="1" s="1"/>
  <c r="AL217" i="1" s="1"/>
  <c r="AG230" i="1"/>
  <c r="AI230" i="1" s="1"/>
  <c r="AJ230" i="1" s="1"/>
  <c r="AH243" i="1"/>
  <c r="AG250" i="1"/>
  <c r="AI250" i="1" s="1"/>
  <c r="AJ250" i="1" s="1"/>
  <c r="AL250" i="1" s="1"/>
  <c r="AH269" i="1"/>
  <c r="AH282" i="1"/>
  <c r="AG289" i="1"/>
  <c r="AI289" i="1" s="1"/>
  <c r="AJ289" i="1" s="1"/>
  <c r="AL289" i="1" s="1"/>
  <c r="AH295" i="1"/>
  <c r="AI295" i="1" s="1"/>
  <c r="AJ295" i="1" s="1"/>
  <c r="AL295" i="1" s="1"/>
  <c r="AG302" i="1"/>
  <c r="AI302" i="1" s="1"/>
  <c r="AJ302" i="1" s="1"/>
  <c r="AL302" i="1" s="1"/>
  <c r="AH321" i="1"/>
  <c r="AG328" i="1"/>
  <c r="AG334" i="1"/>
  <c r="AI334" i="1" s="1"/>
  <c r="AJ334" i="1" s="1"/>
  <c r="AL334" i="1" s="1"/>
  <c r="AG346" i="1"/>
  <c r="AI346" i="1" s="1"/>
  <c r="AJ346" i="1" s="1"/>
  <c r="AL346" i="1" s="1"/>
  <c r="AH359" i="1"/>
  <c r="AG366" i="1"/>
  <c r="AI366" i="1" s="1"/>
  <c r="AJ366" i="1" s="1"/>
  <c r="AL366" i="1" s="1"/>
  <c r="AH372" i="1"/>
  <c r="AG379" i="1"/>
  <c r="AI379" i="1" s="1"/>
  <c r="AJ379" i="1" s="1"/>
  <c r="AL379" i="1" s="1"/>
  <c r="AG391" i="1"/>
  <c r="AI391" i="1" s="1"/>
  <c r="AJ391" i="1" s="1"/>
  <c r="AL391" i="1" s="1"/>
  <c r="AH397" i="1"/>
  <c r="AG404" i="1"/>
  <c r="AI404" i="1" s="1"/>
  <c r="AJ404" i="1" s="1"/>
  <c r="AL404" i="1" s="1"/>
  <c r="AH417" i="1"/>
  <c r="AI417" i="1" s="1"/>
  <c r="AJ417" i="1" s="1"/>
  <c r="AL417" i="1" s="1"/>
  <c r="AH430" i="1"/>
  <c r="AH436" i="1"/>
  <c r="AH448" i="1"/>
  <c r="AG455" i="1"/>
  <c r="AH461" i="1"/>
  <c r="AG468" i="1"/>
  <c r="AH481" i="1"/>
  <c r="AG488" i="1"/>
  <c r="AG494" i="1"/>
  <c r="AI494" i="1" s="1"/>
  <c r="AJ494" i="1" s="1"/>
  <c r="AH507" i="1"/>
  <c r="AI507" i="1" s="1"/>
  <c r="AJ507" i="1" s="1"/>
  <c r="AL507" i="1" s="1"/>
  <c r="AH520" i="1"/>
  <c r="AG527" i="1"/>
  <c r="AG533" i="1"/>
  <c r="AI533" i="1" s="1"/>
  <c r="AJ533" i="1" s="1"/>
  <c r="AL533" i="1" s="1"/>
  <c r="AH539" i="1"/>
  <c r="AG546" i="1"/>
  <c r="AI546" i="1" s="1"/>
  <c r="AJ546" i="1" s="1"/>
  <c r="AL546" i="1" s="1"/>
  <c r="AH559" i="1"/>
  <c r="AI559" i="1" s="1"/>
  <c r="AJ559" i="1" s="1"/>
  <c r="AL559" i="1" s="1"/>
  <c r="AG566" i="1"/>
  <c r="AH579" i="1"/>
  <c r="AG586" i="1"/>
  <c r="AG592" i="1"/>
  <c r="AI592" i="1" s="1"/>
  <c r="AJ592" i="1" s="1"/>
  <c r="AL592" i="1" s="1"/>
  <c r="AG605" i="1"/>
  <c r="AH611" i="1"/>
  <c r="AG618" i="1"/>
  <c r="AI618" i="1" s="1"/>
  <c r="AJ618" i="1" s="1"/>
  <c r="AH624" i="1"/>
  <c r="AG631" i="1"/>
  <c r="AH637" i="1"/>
  <c r="AG644" i="1"/>
  <c r="AI644" i="1" s="1"/>
  <c r="AJ644" i="1" s="1"/>
  <c r="AL644" i="1" s="1"/>
  <c r="AG650" i="1"/>
  <c r="AI650" i="1" s="1"/>
  <c r="AJ650" i="1" s="1"/>
  <c r="AL650" i="1" s="1"/>
  <c r="AH656" i="1"/>
  <c r="AG663" i="1"/>
  <c r="AH669" i="1"/>
  <c r="AH4" i="1"/>
  <c r="AG11" i="1"/>
  <c r="AI11" i="1" s="1"/>
  <c r="AJ11" i="1" s="1"/>
  <c r="AL11" i="1" s="1"/>
  <c r="AG24" i="1"/>
  <c r="AH30" i="1"/>
  <c r="AG37" i="1"/>
  <c r="AI37" i="1" s="1"/>
  <c r="AJ37" i="1" s="1"/>
  <c r="AL37" i="1" s="1"/>
  <c r="AG50" i="1"/>
  <c r="AI50" i="1" s="1"/>
  <c r="AJ50" i="1" s="1"/>
  <c r="AL50" i="1" s="1"/>
  <c r="AH63" i="1"/>
  <c r="AH76" i="1"/>
  <c r="AH89" i="1"/>
  <c r="AI89" i="1" s="1"/>
  <c r="AJ89" i="1" s="1"/>
  <c r="AL89" i="1" s="1"/>
  <c r="AG96" i="1"/>
  <c r="AH102" i="1"/>
  <c r="AH115" i="1"/>
  <c r="AH121" i="1"/>
  <c r="AG140" i="1"/>
  <c r="AG153" i="1"/>
  <c r="AG166" i="1"/>
  <c r="AG172" i="1"/>
  <c r="AG185" i="1"/>
  <c r="AI185" i="1" s="1"/>
  <c r="AJ185" i="1" s="1"/>
  <c r="AL185" i="1" s="1"/>
  <c r="AG198" i="1"/>
  <c r="AH204" i="1"/>
  <c r="AG211" i="1"/>
  <c r="AI211" i="1" s="1"/>
  <c r="AJ211" i="1" s="1"/>
  <c r="AL211" i="1" s="1"/>
  <c r="AH217" i="1"/>
  <c r="AG224" i="1"/>
  <c r="AI224" i="1" s="1"/>
  <c r="AJ224" i="1" s="1"/>
  <c r="AL224" i="1" s="1"/>
  <c r="AH230" i="1"/>
  <c r="AG237" i="1"/>
  <c r="AI237" i="1" s="1"/>
  <c r="AJ237" i="1" s="1"/>
  <c r="AL237" i="1" s="1"/>
  <c r="AH250" i="1"/>
  <c r="AG257" i="1"/>
  <c r="AG263" i="1"/>
  <c r="AI263" i="1" s="1"/>
  <c r="AJ263" i="1" s="1"/>
  <c r="AL263" i="1" s="1"/>
  <c r="AG276" i="1"/>
  <c r="AH289" i="1"/>
  <c r="AH302" i="1"/>
  <c r="AG309" i="1"/>
  <c r="AI309" i="1" s="1"/>
  <c r="AJ309" i="1" s="1"/>
  <c r="AL309" i="1" s="1"/>
  <c r="AG315" i="1"/>
  <c r="AH334" i="1"/>
  <c r="AH340" i="1"/>
  <c r="AI340" i="1" s="1"/>
  <c r="AJ340" i="1" s="1"/>
  <c r="AL340" i="1" s="1"/>
  <c r="AH346" i="1"/>
  <c r="AG353" i="1"/>
  <c r="AH366" i="1"/>
  <c r="AH379" i="1"/>
  <c r="AG385" i="1"/>
  <c r="AI385" i="1" s="1"/>
  <c r="AJ385" i="1" s="1"/>
  <c r="AH391" i="1"/>
  <c r="AH404" i="1"/>
  <c r="AG411" i="1"/>
  <c r="AG424" i="1"/>
  <c r="AH442" i="1"/>
  <c r="AH455" i="1"/>
  <c r="AH468" i="1"/>
  <c r="AG475" i="1"/>
  <c r="AI475" i="1" s="1"/>
  <c r="AJ475" i="1" s="1"/>
  <c r="AL475" i="1" s="1"/>
  <c r="AH488" i="1"/>
  <c r="AH494" i="1"/>
  <c r="AG501" i="1"/>
  <c r="AG514" i="1"/>
  <c r="AI514" i="1" s="1"/>
  <c r="AJ514" i="1" s="1"/>
  <c r="AH527" i="1"/>
  <c r="AH533" i="1"/>
  <c r="AH546" i="1"/>
  <c r="AG553" i="1"/>
  <c r="AH566" i="1"/>
  <c r="AG573" i="1"/>
  <c r="AI573" i="1" s="1"/>
  <c r="AJ573" i="1" s="1"/>
  <c r="AL573" i="1" s="1"/>
  <c r="AH586" i="1"/>
  <c r="AH592" i="1"/>
  <c r="AH605" i="1"/>
  <c r="AH618" i="1"/>
  <c r="AH631" i="1"/>
  <c r="AH644" i="1"/>
  <c r="AH650" i="1"/>
  <c r="AL121" i="1"/>
  <c r="AL21" i="1"/>
  <c r="AL188" i="1"/>
  <c r="AL30" i="1"/>
  <c r="AI44" i="1"/>
  <c r="AJ44" i="1" s="1"/>
  <c r="AI470" i="1"/>
  <c r="AJ470" i="1" s="1"/>
  <c r="AL470" i="1" s="1"/>
  <c r="AI145" i="1"/>
  <c r="AJ145" i="1" s="1"/>
  <c r="AL145" i="1" s="1"/>
  <c r="AI658" i="1"/>
  <c r="AJ658" i="1" s="1"/>
  <c r="AL658" i="1" s="1"/>
  <c r="AI139" i="1"/>
  <c r="AJ139" i="1" s="1"/>
  <c r="AL139" i="1" s="1"/>
  <c r="AI623" i="1"/>
  <c r="AJ623" i="1" s="1"/>
  <c r="AL623" i="1" s="1"/>
  <c r="AI7" i="1"/>
  <c r="AJ7" i="1" s="1"/>
  <c r="AL7" i="1" s="1"/>
  <c r="AI216" i="1"/>
  <c r="AJ216" i="1" s="1"/>
  <c r="AL216" i="1" s="1"/>
  <c r="AI375" i="1"/>
  <c r="AJ375" i="1" s="1"/>
  <c r="AL375" i="1" s="1"/>
  <c r="AI363" i="1"/>
  <c r="AJ363" i="1" s="1"/>
  <c r="AL363" i="1" s="1"/>
  <c r="AI98" i="1"/>
  <c r="AJ98" i="1" s="1"/>
  <c r="AL98" i="1" s="1"/>
  <c r="AI512" i="1"/>
  <c r="AJ512" i="1" s="1"/>
  <c r="AL512" i="1" s="1"/>
  <c r="AI55" i="1"/>
  <c r="AJ55" i="1" s="1"/>
  <c r="AL55" i="1" s="1"/>
  <c r="AI276" i="1"/>
  <c r="AJ276" i="1" s="1"/>
  <c r="AL276" i="1" s="1"/>
  <c r="AI501" i="1"/>
  <c r="AJ501" i="1" s="1"/>
  <c r="AL501" i="1" s="1"/>
  <c r="AI570" i="1"/>
  <c r="AJ570" i="1" s="1"/>
  <c r="AL570" i="1" s="1"/>
  <c r="AI583" i="1"/>
  <c r="AJ583" i="1" s="1"/>
  <c r="AL583" i="1" s="1"/>
  <c r="AI595" i="1"/>
  <c r="AJ595" i="1" s="1"/>
  <c r="AL595" i="1" s="1"/>
  <c r="AL128" i="1"/>
  <c r="AI163" i="1"/>
  <c r="AJ163" i="1" s="1"/>
  <c r="AL163" i="1" s="1"/>
  <c r="AI198" i="1"/>
  <c r="AJ198" i="1" s="1"/>
  <c r="AL198" i="1" s="1"/>
  <c r="AI236" i="1"/>
  <c r="AJ236" i="1" s="1"/>
  <c r="AL236" i="1" s="1"/>
  <c r="AI345" i="1"/>
  <c r="AJ345" i="1" s="1"/>
  <c r="AL345" i="1" s="1"/>
  <c r="AI264" i="1"/>
  <c r="AJ264" i="1" s="1"/>
  <c r="AL264" i="1" s="1"/>
  <c r="AI322" i="1"/>
  <c r="AJ322" i="1" s="1"/>
  <c r="AL322" i="1" s="1"/>
  <c r="AI415" i="1"/>
  <c r="AJ415" i="1" s="1"/>
  <c r="AL415" i="1" s="1"/>
  <c r="AI495" i="1"/>
  <c r="AJ495" i="1" s="1"/>
  <c r="AL495" i="1" s="1"/>
  <c r="AL520" i="1"/>
  <c r="AI577" i="1"/>
  <c r="AJ577" i="1" s="1"/>
  <c r="AL577" i="1" s="1"/>
  <c r="AI88" i="1"/>
  <c r="AJ88" i="1" s="1"/>
  <c r="AL88" i="1" s="1"/>
  <c r="AI313" i="1"/>
  <c r="AJ313" i="1" s="1"/>
  <c r="AL313" i="1" s="1"/>
  <c r="AL536" i="1"/>
  <c r="AI33" i="1"/>
  <c r="AJ33" i="1" s="1"/>
  <c r="AL33" i="1" s="1"/>
  <c r="AI112" i="1"/>
  <c r="AJ112" i="1" s="1"/>
  <c r="AL230" i="1"/>
  <c r="AI566" i="1"/>
  <c r="AJ566" i="1" s="1"/>
  <c r="AL566" i="1" s="1"/>
  <c r="AI170" i="1"/>
  <c r="AJ170" i="1" s="1"/>
  <c r="AL170" i="1" s="1"/>
  <c r="AI324" i="1"/>
  <c r="AJ324" i="1" s="1"/>
  <c r="AL324" i="1" s="1"/>
  <c r="AI591" i="1"/>
  <c r="AJ591" i="1" s="1"/>
  <c r="AI613" i="1"/>
  <c r="AJ613" i="1" s="1"/>
  <c r="AI83" i="1"/>
  <c r="AJ83" i="1" s="1"/>
  <c r="AL83" i="1" s="1"/>
  <c r="AI95" i="1"/>
  <c r="AJ95" i="1" s="1"/>
  <c r="AL95" i="1" s="1"/>
  <c r="AI284" i="1"/>
  <c r="AJ284" i="1" s="1"/>
  <c r="AL284" i="1" s="1"/>
  <c r="AI347" i="1"/>
  <c r="AJ347" i="1" s="1"/>
  <c r="AL347" i="1" s="1"/>
  <c r="AI353" i="1"/>
  <c r="AJ353" i="1" s="1"/>
  <c r="AL353" i="1" s="1"/>
  <c r="AI411" i="1"/>
  <c r="AJ411" i="1" s="1"/>
  <c r="AL411" i="1" s="1"/>
  <c r="AI429" i="1"/>
  <c r="AJ429" i="1" s="1"/>
  <c r="AL429" i="1" s="1"/>
  <c r="AI434" i="1"/>
  <c r="AJ434" i="1" s="1"/>
  <c r="AL434" i="1" s="1"/>
  <c r="AI450" i="1"/>
  <c r="AJ450" i="1" s="1"/>
  <c r="AL450" i="1" s="1"/>
  <c r="AI455" i="1"/>
  <c r="AJ455" i="1" s="1"/>
  <c r="AL455" i="1" s="1"/>
  <c r="AL496" i="1"/>
  <c r="AI631" i="1"/>
  <c r="AJ631" i="1" s="1"/>
  <c r="AI586" i="1"/>
  <c r="AJ586" i="1" s="1"/>
  <c r="AI59" i="1"/>
  <c r="AJ59" i="1" s="1"/>
  <c r="AL59" i="1" s="1"/>
  <c r="AI480" i="1"/>
  <c r="AJ480" i="1" s="1"/>
  <c r="AL480" i="1" s="1"/>
  <c r="AI498" i="1"/>
  <c r="AJ498" i="1" s="1"/>
  <c r="AL498" i="1" s="1"/>
  <c r="AI125" i="1"/>
  <c r="AJ125" i="1" s="1"/>
  <c r="AL125" i="1" s="1"/>
  <c r="AI279" i="1"/>
  <c r="AJ279" i="1" s="1"/>
  <c r="AL279" i="1" s="1"/>
  <c r="AI5" i="1"/>
  <c r="AJ5" i="1" s="1"/>
  <c r="AL5" i="1" s="1"/>
  <c r="AI48" i="1"/>
  <c r="AJ48" i="1" s="1"/>
  <c r="AL48" i="1" s="1"/>
  <c r="AI60" i="1"/>
  <c r="AJ60" i="1" s="1"/>
  <c r="AL60" i="1" s="1"/>
  <c r="AI120" i="1"/>
  <c r="AJ120" i="1" s="1"/>
  <c r="AL120" i="1" s="1"/>
  <c r="AI184" i="1"/>
  <c r="AJ184" i="1" s="1"/>
  <c r="AL184" i="1" s="1"/>
  <c r="AI227" i="1"/>
  <c r="AJ227" i="1" s="1"/>
  <c r="AL227" i="1" s="1"/>
  <c r="AI233" i="1"/>
  <c r="AJ233" i="1" s="1"/>
  <c r="AL233" i="1" s="1"/>
  <c r="AI267" i="1"/>
  <c r="AJ267" i="1" s="1"/>
  <c r="AL267" i="1" s="1"/>
  <c r="AI297" i="1"/>
  <c r="AJ297" i="1" s="1"/>
  <c r="AL297" i="1" s="1"/>
  <c r="AI413" i="1"/>
  <c r="AJ413" i="1" s="1"/>
  <c r="AL413" i="1" s="1"/>
  <c r="AI481" i="1"/>
  <c r="AJ481" i="1" s="1"/>
  <c r="AL481" i="1" s="1"/>
  <c r="AI487" i="1"/>
  <c r="AJ487" i="1" s="1"/>
  <c r="AL487" i="1" s="1"/>
  <c r="AI510" i="1"/>
  <c r="AJ510" i="1" s="1"/>
  <c r="AL510" i="1" s="1"/>
  <c r="AI528" i="1"/>
  <c r="AJ528" i="1" s="1"/>
  <c r="AL528" i="1" s="1"/>
  <c r="AI557" i="1"/>
  <c r="AJ557" i="1" s="1"/>
  <c r="AI568" i="1"/>
  <c r="AJ568" i="1" s="1"/>
  <c r="AL568" i="1" s="1"/>
  <c r="AI581" i="1"/>
  <c r="AJ581" i="1" s="1"/>
  <c r="AL581" i="1" s="1"/>
  <c r="AI621" i="1"/>
  <c r="AJ621" i="1" s="1"/>
  <c r="AI627" i="1"/>
  <c r="AJ627" i="1" s="1"/>
  <c r="AL627" i="1" s="1"/>
  <c r="AI633" i="1"/>
  <c r="AJ633" i="1" s="1"/>
  <c r="AL633" i="1" s="1"/>
  <c r="AI456" i="1"/>
  <c r="AJ456" i="1" s="1"/>
  <c r="AL456" i="1" s="1"/>
  <c r="AL586" i="1"/>
  <c r="AI390" i="1"/>
  <c r="AJ390" i="1" s="1"/>
  <c r="AL390" i="1" s="1"/>
  <c r="AI42" i="1"/>
  <c r="AJ42" i="1" s="1"/>
  <c r="AL42" i="1" s="1"/>
  <c r="AI109" i="1"/>
  <c r="AJ109" i="1" s="1"/>
  <c r="AL109" i="1" s="1"/>
  <c r="AI138" i="1"/>
  <c r="AJ138" i="1" s="1"/>
  <c r="AL138" i="1" s="1"/>
  <c r="AI209" i="1"/>
  <c r="AJ209" i="1" s="1"/>
  <c r="AL209" i="1" s="1"/>
  <c r="AI245" i="1"/>
  <c r="AJ245" i="1" s="1"/>
  <c r="AL245" i="1" s="1"/>
  <c r="AI292" i="1"/>
  <c r="AJ292" i="1" s="1"/>
  <c r="AL292" i="1" s="1"/>
  <c r="AI321" i="1"/>
  <c r="AJ321" i="1" s="1"/>
  <c r="AL321" i="1" s="1"/>
  <c r="AI368" i="1"/>
  <c r="AJ368" i="1" s="1"/>
  <c r="AL368" i="1" s="1"/>
  <c r="AI402" i="1"/>
  <c r="AJ402" i="1" s="1"/>
  <c r="AL402" i="1" s="1"/>
  <c r="AI441" i="1"/>
  <c r="AJ441" i="1" s="1"/>
  <c r="AL441" i="1" s="1"/>
  <c r="AI499" i="1"/>
  <c r="AJ499" i="1" s="1"/>
  <c r="AI534" i="1"/>
  <c r="AJ534" i="1" s="1"/>
  <c r="AL534" i="1" s="1"/>
  <c r="AI540" i="1"/>
  <c r="AJ540" i="1" s="1"/>
  <c r="AL540" i="1" s="1"/>
  <c r="AI569" i="1"/>
  <c r="AJ569" i="1" s="1"/>
  <c r="AL569" i="1" s="1"/>
  <c r="AI588" i="1"/>
  <c r="AJ588" i="1" s="1"/>
  <c r="AL588" i="1" s="1"/>
  <c r="AL598" i="1"/>
  <c r="AI605" i="1"/>
  <c r="AJ605" i="1" s="1"/>
  <c r="AL605" i="1" s="1"/>
  <c r="AI610" i="1"/>
  <c r="AJ610" i="1" s="1"/>
  <c r="AL610" i="1" s="1"/>
  <c r="AI651" i="1"/>
  <c r="AJ651" i="1" s="1"/>
  <c r="AI657" i="1"/>
  <c r="AJ657" i="1" s="1"/>
  <c r="AL657" i="1" s="1"/>
  <c r="AI669" i="1"/>
  <c r="AJ669" i="1" s="1"/>
  <c r="AL669" i="1" s="1"/>
  <c r="AI488" i="1"/>
  <c r="AJ488" i="1" s="1"/>
  <c r="AL488" i="1" s="1"/>
  <c r="AI575" i="1"/>
  <c r="AJ575" i="1" s="1"/>
  <c r="AL575" i="1" s="1"/>
  <c r="AI440" i="1"/>
  <c r="AJ440" i="1" s="1"/>
  <c r="AL440" i="1" s="1"/>
  <c r="AI155" i="1"/>
  <c r="AJ155" i="1" s="1"/>
  <c r="AL155" i="1" s="1"/>
  <c r="AI190" i="1"/>
  <c r="AJ190" i="1" s="1"/>
  <c r="AL190" i="1" s="1"/>
  <c r="AI86" i="1"/>
  <c r="AJ86" i="1" s="1"/>
  <c r="AL86" i="1" s="1"/>
  <c r="AL132" i="1"/>
  <c r="AI257" i="1"/>
  <c r="AJ257" i="1" s="1"/>
  <c r="AL257" i="1" s="1"/>
  <c r="AI274" i="1"/>
  <c r="AJ274" i="1" s="1"/>
  <c r="AL274" i="1" s="1"/>
  <c r="AI350" i="1"/>
  <c r="AJ350" i="1" s="1"/>
  <c r="AL350" i="1" s="1"/>
  <c r="AI386" i="1"/>
  <c r="AJ386" i="1" s="1"/>
  <c r="AL386" i="1" s="1"/>
  <c r="AI547" i="1"/>
  <c r="AJ547" i="1" s="1"/>
  <c r="AL547" i="1" s="1"/>
  <c r="AI622" i="1"/>
  <c r="AJ622" i="1" s="1"/>
  <c r="AL622" i="1" s="1"/>
  <c r="AI640" i="1"/>
  <c r="AJ640" i="1" s="1"/>
  <c r="AL640" i="1" s="1"/>
  <c r="AL49" i="1"/>
  <c r="AL448" i="1"/>
  <c r="AL283" i="1"/>
  <c r="AI130" i="1"/>
  <c r="AJ130" i="1" s="1"/>
  <c r="AL130" i="1" s="1"/>
  <c r="AI141" i="1"/>
  <c r="AJ141" i="1" s="1"/>
  <c r="AL141" i="1" s="1"/>
  <c r="AI473" i="1"/>
  <c r="AJ473" i="1" s="1"/>
  <c r="AL473" i="1" s="1"/>
  <c r="AI485" i="1"/>
  <c r="AJ485" i="1" s="1"/>
  <c r="AL485" i="1" s="1"/>
  <c r="AL613" i="1"/>
  <c r="AL177" i="1"/>
  <c r="AL500" i="1"/>
  <c r="AL290" i="1"/>
  <c r="AI104" i="1"/>
  <c r="AJ104" i="1" s="1"/>
  <c r="AL104" i="1" s="1"/>
  <c r="AI268" i="1"/>
  <c r="AJ268" i="1" s="1"/>
  <c r="AL268" i="1" s="1"/>
  <c r="AL562" i="1"/>
  <c r="AL636" i="1"/>
  <c r="AL167" i="1"/>
  <c r="AL492" i="1"/>
  <c r="AL112" i="1"/>
  <c r="AI614" i="1"/>
  <c r="AJ614" i="1" s="1"/>
  <c r="AL614" i="1" s="1"/>
  <c r="AI384" i="1"/>
  <c r="AJ384" i="1" s="1"/>
  <c r="AL532" i="1"/>
  <c r="AL430" i="1"/>
  <c r="AL482" i="1"/>
  <c r="AL628" i="1"/>
  <c r="AL192" i="1"/>
  <c r="AI315" i="1"/>
  <c r="AJ315" i="1" s="1"/>
  <c r="AL315" i="1" s="1"/>
  <c r="AL578" i="1"/>
  <c r="AL522" i="1"/>
  <c r="AI663" i="1"/>
  <c r="AJ663" i="1" s="1"/>
  <c r="AL663" i="1" s="1"/>
  <c r="AI15" i="1"/>
  <c r="AJ15" i="1" s="1"/>
  <c r="AL15" i="1" s="1"/>
  <c r="AL23" i="1"/>
  <c r="AL106" i="1"/>
  <c r="AL393" i="1"/>
  <c r="AI421" i="1"/>
  <c r="AJ421" i="1" s="1"/>
  <c r="AL421" i="1" s="1"/>
  <c r="AI116" i="1"/>
  <c r="AJ116" i="1" s="1"/>
  <c r="AL116" i="1" s="1"/>
  <c r="AI225" i="1"/>
  <c r="AJ225" i="1" s="1"/>
  <c r="AL225" i="1" s="1"/>
  <c r="AL62" i="1"/>
  <c r="AI54" i="1"/>
  <c r="AJ54" i="1" s="1"/>
  <c r="AL54" i="1" s="1"/>
  <c r="AI336" i="1"/>
  <c r="AJ336" i="1" s="1"/>
  <c r="AL336" i="1" s="1"/>
  <c r="AL22" i="1"/>
  <c r="AI34" i="1"/>
  <c r="AJ34" i="1" s="1"/>
  <c r="AL34" i="1" s="1"/>
  <c r="AL63" i="1"/>
  <c r="AI153" i="1"/>
  <c r="AJ153" i="1" s="1"/>
  <c r="AL153" i="1" s="1"/>
  <c r="AL214" i="1"/>
  <c r="AL384" i="1"/>
  <c r="AL639" i="1"/>
  <c r="AI654" i="1"/>
  <c r="AJ654" i="1" s="1"/>
  <c r="AL654" i="1" s="1"/>
  <c r="AI320" i="1"/>
  <c r="AJ320" i="1" s="1"/>
  <c r="AL320" i="1" s="1"/>
  <c r="AL44" i="1"/>
  <c r="AI111" i="1"/>
  <c r="AJ111" i="1" s="1"/>
  <c r="AL111" i="1" s="1"/>
  <c r="AI356" i="1"/>
  <c r="AJ356" i="1" s="1"/>
  <c r="AL356" i="1" s="1"/>
  <c r="AI579" i="1"/>
  <c r="AJ579" i="1" s="1"/>
  <c r="AL579" i="1" s="1"/>
  <c r="AL131" i="1"/>
  <c r="AL432" i="1"/>
  <c r="AL552" i="1"/>
  <c r="AL561" i="1"/>
  <c r="AL69" i="1"/>
  <c r="AL261" i="1"/>
  <c r="AL506" i="1"/>
  <c r="AI424" i="1"/>
  <c r="AJ424" i="1" s="1"/>
  <c r="AL424" i="1" s="1"/>
  <c r="AL599" i="1"/>
  <c r="AL514" i="1"/>
  <c r="AI26" i="1"/>
  <c r="AJ26" i="1" s="1"/>
  <c r="AL26" i="1" s="1"/>
  <c r="AI70" i="1"/>
  <c r="AJ70" i="1" s="1"/>
  <c r="AL70" i="1" s="1"/>
  <c r="AI96" i="1"/>
  <c r="AJ96" i="1" s="1"/>
  <c r="AL96" i="1" s="1"/>
  <c r="AL150" i="1"/>
  <c r="AI305" i="1"/>
  <c r="AJ305" i="1" s="1"/>
  <c r="AL305" i="1" s="1"/>
  <c r="AL397" i="1"/>
  <c r="AI410" i="1"/>
  <c r="AJ410" i="1" s="1"/>
  <c r="AL410" i="1" s="1"/>
  <c r="AI414" i="1"/>
  <c r="AJ414" i="1" s="1"/>
  <c r="AL414" i="1" s="1"/>
  <c r="AI489" i="1"/>
  <c r="AJ489" i="1" s="1"/>
  <c r="AL489" i="1" s="1"/>
  <c r="AL557" i="1"/>
  <c r="AI601" i="1"/>
  <c r="AJ601" i="1" s="1"/>
  <c r="AL601" i="1" s="1"/>
  <c r="AL539" i="1"/>
  <c r="AI51" i="1"/>
  <c r="AJ51" i="1" s="1"/>
  <c r="AL51" i="1" s="1"/>
  <c r="AL385" i="1"/>
  <c r="AI399" i="1"/>
  <c r="AJ399" i="1" s="1"/>
  <c r="AL399" i="1" s="1"/>
  <c r="AI259" i="1"/>
  <c r="AJ259" i="1" s="1"/>
  <c r="AL259" i="1" s="1"/>
  <c r="AI490" i="1"/>
  <c r="AJ490" i="1" s="1"/>
  <c r="AL490" i="1" s="1"/>
  <c r="AL638" i="1"/>
  <c r="AL182" i="1"/>
  <c r="AL327" i="1"/>
  <c r="AI99" i="1"/>
  <c r="AJ99" i="1" s="1"/>
  <c r="AL99" i="1" s="1"/>
  <c r="AL137" i="1"/>
  <c r="AI213" i="1"/>
  <c r="AJ213" i="1" s="1"/>
  <c r="AL213" i="1" s="1"/>
  <c r="AL646" i="1"/>
  <c r="AL269" i="1"/>
  <c r="AL584" i="1"/>
  <c r="AL621" i="1"/>
  <c r="AL210" i="1"/>
  <c r="AL574" i="1"/>
  <c r="AL618" i="1"/>
  <c r="AI666" i="1"/>
  <c r="AJ666" i="1" s="1"/>
  <c r="AL666" i="1" s="1"/>
  <c r="AL651" i="1"/>
  <c r="AL631" i="1"/>
  <c r="AL360" i="1"/>
  <c r="AL499" i="1"/>
  <c r="AL591" i="1"/>
  <c r="AI467" i="1"/>
  <c r="AJ467" i="1" s="1"/>
  <c r="AL467" i="1" s="1"/>
  <c r="AI553" i="1"/>
  <c r="AJ553" i="1" s="1"/>
  <c r="AL553" i="1" s="1"/>
  <c r="AL494" i="1"/>
  <c r="AL519" i="1"/>
  <c r="AI447" i="1" l="1"/>
  <c r="AJ447" i="1" s="1"/>
  <c r="AL447" i="1" s="1"/>
  <c r="AI67" i="1"/>
  <c r="AJ67" i="1" s="1"/>
  <c r="AL67" i="1" s="1"/>
  <c r="AI381" i="1"/>
  <c r="AJ381" i="1" s="1"/>
  <c r="AL381" i="1" s="1"/>
  <c r="AI97" i="1"/>
  <c r="AJ97" i="1" s="1"/>
  <c r="AL97" i="1" s="1"/>
  <c r="AI665" i="1"/>
  <c r="AJ665" i="1" s="1"/>
  <c r="AL665" i="1" s="1"/>
  <c r="AI403" i="1"/>
  <c r="AJ403" i="1" s="1"/>
  <c r="AL403" i="1" s="1"/>
  <c r="AI173" i="1"/>
  <c r="AJ173" i="1" s="1"/>
  <c r="AL173" i="1" s="1"/>
  <c r="AI39" i="1"/>
  <c r="AJ39" i="1" s="1"/>
  <c r="AL39" i="1" s="1"/>
  <c r="AI662" i="1"/>
  <c r="AJ662" i="1" s="1"/>
  <c r="AL662" i="1" s="1"/>
  <c r="AI76" i="1"/>
  <c r="AJ76" i="1" s="1"/>
  <c r="AL76" i="1" s="1"/>
  <c r="AI387" i="1"/>
  <c r="AJ387" i="1" s="1"/>
  <c r="AL387" i="1" s="1"/>
  <c r="AI165" i="1"/>
  <c r="AJ165" i="1" s="1"/>
  <c r="AL165" i="1" s="1"/>
  <c r="AI298" i="1"/>
  <c r="AJ298" i="1" s="1"/>
  <c r="AL298" i="1" s="1"/>
  <c r="AI280" i="1"/>
  <c r="AJ280" i="1" s="1"/>
  <c r="AL280" i="1" s="1"/>
  <c r="AI653" i="1"/>
  <c r="AJ653" i="1" s="1"/>
  <c r="AL653" i="1" s="1"/>
  <c r="AI453" i="1"/>
  <c r="AJ453" i="1" s="1"/>
  <c r="AL453" i="1" s="1"/>
  <c r="AI339" i="1"/>
  <c r="AJ339" i="1" s="1"/>
  <c r="AL339" i="1" s="1"/>
  <c r="AI445" i="1"/>
  <c r="AJ445" i="1" s="1"/>
  <c r="AL445" i="1" s="1"/>
  <c r="AI180" i="1"/>
  <c r="AJ180" i="1" s="1"/>
  <c r="AL180" i="1" s="1"/>
  <c r="AI629" i="1"/>
  <c r="AJ629" i="1" s="1"/>
  <c r="AL629" i="1" s="1"/>
  <c r="AI169" i="1"/>
  <c r="AJ169" i="1" s="1"/>
  <c r="AL169" i="1" s="1"/>
  <c r="AI40" i="1"/>
  <c r="AJ40" i="1" s="1"/>
  <c r="AL40" i="1" s="1"/>
  <c r="AI502" i="1"/>
  <c r="AJ502" i="1" s="1"/>
  <c r="AL502" i="1" s="1"/>
  <c r="AI634" i="1"/>
  <c r="AJ634" i="1" s="1"/>
  <c r="AL634" i="1" s="1"/>
  <c r="AI174" i="1"/>
  <c r="AJ174" i="1" s="1"/>
  <c r="AL174" i="1" s="1"/>
  <c r="AI43" i="1"/>
  <c r="AJ43" i="1" s="1"/>
  <c r="AL43" i="1" s="1"/>
  <c r="AI171" i="1"/>
  <c r="AJ171" i="1" s="1"/>
  <c r="AL171" i="1" s="1"/>
  <c r="AI606" i="1"/>
  <c r="AJ606" i="1" s="1"/>
  <c r="AL606" i="1" s="1"/>
  <c r="AI333" i="1"/>
  <c r="AJ333" i="1" s="1"/>
  <c r="AL333" i="1" s="1"/>
  <c r="AI172" i="1"/>
  <c r="AJ172" i="1" s="1"/>
  <c r="AL172" i="1" s="1"/>
  <c r="AI314" i="1"/>
  <c r="AJ314" i="1" s="1"/>
  <c r="AL314" i="1" s="1"/>
  <c r="AI338" i="1"/>
  <c r="AJ338" i="1" s="1"/>
  <c r="AL338" i="1" s="1"/>
  <c r="AI637" i="1"/>
  <c r="AJ637" i="1" s="1"/>
  <c r="AL637" i="1" s="1"/>
  <c r="AI563" i="1"/>
  <c r="AJ563" i="1" s="1"/>
  <c r="AL563" i="1" s="1"/>
  <c r="AI537" i="1"/>
  <c r="AJ537" i="1" s="1"/>
  <c r="AL537" i="1" s="1"/>
  <c r="AI576" i="1"/>
  <c r="AJ576" i="1" s="1"/>
  <c r="AL576" i="1" s="1"/>
  <c r="AI146" i="1"/>
  <c r="AJ146" i="1" s="1"/>
  <c r="AL146" i="1" s="1"/>
  <c r="AI312" i="1"/>
  <c r="AJ312" i="1" s="1"/>
  <c r="AL312" i="1" s="1"/>
  <c r="AI383" i="1"/>
  <c r="AJ383" i="1" s="1"/>
  <c r="AL383" i="1" s="1"/>
  <c r="AI444" i="1"/>
  <c r="AJ444" i="1" s="1"/>
  <c r="AL444" i="1" s="1"/>
  <c r="AI178" i="1"/>
  <c r="AJ178" i="1" s="1"/>
  <c r="AL178" i="1" s="1"/>
  <c r="AI377" i="1"/>
  <c r="AJ377" i="1" s="1"/>
  <c r="AL377" i="1" s="1"/>
  <c r="AI164" i="1"/>
  <c r="AJ164" i="1" s="1"/>
  <c r="AL164" i="1" s="1"/>
  <c r="AI286" i="1"/>
  <c r="AJ286" i="1" s="1"/>
  <c r="AL286" i="1" s="1"/>
  <c r="AI556" i="1"/>
  <c r="AJ556" i="1" s="1"/>
  <c r="AL556" i="1" s="1"/>
  <c r="AI90" i="1"/>
  <c r="AJ90" i="1" s="1"/>
  <c r="AL90" i="1" s="1"/>
  <c r="AI667" i="1"/>
  <c r="AJ667" i="1" s="1"/>
  <c r="AL667" i="1" s="1"/>
  <c r="AI20" i="1"/>
  <c r="AJ20" i="1" s="1"/>
  <c r="AL20" i="1" s="1"/>
  <c r="AI396" i="1"/>
  <c r="AJ396" i="1" s="1"/>
  <c r="AL396" i="1" s="1"/>
  <c r="AI433" i="1"/>
  <c r="AJ433" i="1" s="1"/>
  <c r="AL433" i="1" s="1"/>
  <c r="AI406" i="1"/>
  <c r="AJ406" i="1" s="1"/>
  <c r="AL406" i="1" s="1"/>
  <c r="AI589" i="1"/>
  <c r="AJ589" i="1" s="1"/>
  <c r="AL589" i="1" s="1"/>
  <c r="AI249" i="1"/>
  <c r="AJ249" i="1" s="1"/>
  <c r="AL249" i="1" s="1"/>
  <c r="AI226" i="1"/>
  <c r="AJ226" i="1" s="1"/>
  <c r="AL226" i="1" s="1"/>
  <c r="AI359" i="1"/>
  <c r="AJ359" i="1" s="1"/>
  <c r="AL359" i="1" s="1"/>
  <c r="AI505" i="1"/>
  <c r="AJ505" i="1" s="1"/>
  <c r="AL505" i="1" s="1"/>
  <c r="AI630" i="1"/>
  <c r="AJ630" i="1" s="1"/>
  <c r="AL630" i="1" s="1"/>
  <c r="AI369" i="1"/>
  <c r="AJ369" i="1" s="1"/>
  <c r="AL369" i="1" s="1"/>
  <c r="AI159" i="1"/>
  <c r="AJ159" i="1" s="1"/>
  <c r="AL159" i="1" s="1"/>
  <c r="AI93" i="1"/>
  <c r="AJ93" i="1" s="1"/>
  <c r="AL93" i="1" s="1"/>
  <c r="AI603" i="1"/>
  <c r="AJ603" i="1" s="1"/>
  <c r="AL603" i="1" s="1"/>
  <c r="AI462" i="1"/>
  <c r="AJ462" i="1" s="1"/>
  <c r="AL462" i="1" s="1"/>
  <c r="AI206" i="1"/>
  <c r="AJ206" i="1" s="1"/>
  <c r="AL206" i="1" s="1"/>
  <c r="AI328" i="1"/>
  <c r="AJ328" i="1" s="1"/>
  <c r="AL328" i="1" s="1"/>
  <c r="AI459" i="1"/>
  <c r="AJ459" i="1" s="1"/>
  <c r="AL459" i="1" s="1"/>
  <c r="AI538" i="1"/>
  <c r="AJ538" i="1" s="1"/>
  <c r="AL538" i="1" s="1"/>
  <c r="AI317" i="1"/>
  <c r="AJ317" i="1" s="1"/>
  <c r="AL317" i="1" s="1"/>
  <c r="AI176" i="1"/>
  <c r="AJ176" i="1" s="1"/>
  <c r="AL176" i="1" s="1"/>
  <c r="AI133" i="1"/>
  <c r="AJ133" i="1" s="1"/>
  <c r="AL133" i="1" s="1"/>
  <c r="AI398" i="1"/>
  <c r="AJ398" i="1" s="1"/>
  <c r="AL398" i="1" s="1"/>
  <c r="AI544" i="1"/>
  <c r="AJ544" i="1" s="1"/>
  <c r="AL544" i="1" s="1"/>
  <c r="AI465" i="1"/>
  <c r="AJ465" i="1" s="1"/>
  <c r="AL465" i="1" s="1"/>
  <c r="AI61" i="1"/>
  <c r="AJ61" i="1" s="1"/>
  <c r="AL61" i="1" s="1"/>
  <c r="AI84" i="1"/>
  <c r="AJ84" i="1" s="1"/>
  <c r="AL84" i="1" s="1"/>
  <c r="AI272" i="1"/>
  <c r="AJ272" i="1" s="1"/>
  <c r="AL272" i="1" s="1"/>
  <c r="AI254" i="1"/>
  <c r="AJ254" i="1" s="1"/>
  <c r="AL254" i="1" s="1"/>
  <c r="AI602" i="1"/>
  <c r="AJ602" i="1" s="1"/>
  <c r="AL602" i="1" s="1"/>
  <c r="AI527" i="1"/>
  <c r="AJ527" i="1" s="1"/>
  <c r="AL527" i="1" s="1"/>
  <c r="AI604" i="1"/>
  <c r="AJ604" i="1" s="1"/>
  <c r="AL604" i="1" s="1"/>
  <c r="AI508" i="1"/>
  <c r="AJ508" i="1" s="1"/>
  <c r="AL508" i="1" s="1"/>
  <c r="AI468" i="1"/>
  <c r="AJ468" i="1" s="1"/>
  <c r="AL468" i="1" s="1"/>
  <c r="AI18" i="1"/>
  <c r="AJ18" i="1" s="1"/>
  <c r="AL18" i="1" s="1"/>
  <c r="AI529" i="1"/>
  <c r="AJ529" i="1" s="1"/>
  <c r="AL529" i="1" s="1"/>
  <c r="AI248" i="1"/>
  <c r="AJ248" i="1" s="1"/>
  <c r="AL248" i="1" s="1"/>
  <c r="AI221" i="1"/>
  <c r="AJ221" i="1" s="1"/>
  <c r="AL221" i="1" s="1"/>
  <c r="AI140" i="1"/>
  <c r="AJ140" i="1" s="1"/>
  <c r="AL140" i="1" s="1"/>
  <c r="AI74" i="1"/>
  <c r="AJ74" i="1" s="1"/>
  <c r="AL74" i="1" s="1"/>
  <c r="AI382" i="1"/>
  <c r="AJ382" i="1" s="1"/>
  <c r="AL382" i="1" s="1"/>
  <c r="AI554" i="1"/>
  <c r="AJ554" i="1" s="1"/>
  <c r="AL554" i="1" s="1"/>
  <c r="AI294" i="1"/>
  <c r="AJ294" i="1" s="1"/>
  <c r="AL294" i="1" s="1"/>
  <c r="AI129" i="1"/>
  <c r="AJ129" i="1" s="1"/>
  <c r="AL129" i="1" s="1"/>
  <c r="G420" i="2"/>
  <c r="J420" i="2" s="1"/>
  <c r="N419" i="2"/>
  <c r="H419" i="2"/>
  <c r="G419" i="2"/>
  <c r="J419" i="2" s="1"/>
  <c r="G418" i="2"/>
  <c r="N417" i="2"/>
  <c r="U417" i="2" s="1"/>
  <c r="G417" i="2"/>
  <c r="J417" i="2" s="1"/>
  <c r="G416" i="2"/>
  <c r="N415" i="2"/>
  <c r="U415" i="2" s="1"/>
  <c r="H415" i="2"/>
  <c r="G415" i="2"/>
  <c r="J415" i="2" s="1"/>
  <c r="G414" i="2"/>
  <c r="G413" i="2"/>
  <c r="N413" i="2" s="1"/>
  <c r="U413" i="2" s="1"/>
  <c r="W413" i="2" s="1"/>
  <c r="X413" i="2" s="1"/>
  <c r="Y413" i="2" s="1"/>
  <c r="AB413" i="2" s="1"/>
  <c r="AC413" i="2" s="1"/>
  <c r="N412" i="2"/>
  <c r="U412" i="2" s="1"/>
  <c r="H412" i="2"/>
  <c r="G412" i="2"/>
  <c r="J412" i="2" s="1"/>
  <c r="O411" i="2"/>
  <c r="G411" i="2"/>
  <c r="N411" i="2" s="1"/>
  <c r="U411" i="2" s="1"/>
  <c r="G410" i="2"/>
  <c r="J410" i="2" s="1"/>
  <c r="G409" i="2"/>
  <c r="N409" i="2" s="1"/>
  <c r="J408" i="2"/>
  <c r="G408" i="2"/>
  <c r="N408" i="2" s="1"/>
  <c r="G407" i="2"/>
  <c r="N407" i="2" s="1"/>
  <c r="U407" i="2" s="1"/>
  <c r="G406" i="2"/>
  <c r="G405" i="2"/>
  <c r="N405" i="2" s="1"/>
  <c r="G404" i="2"/>
  <c r="H404" i="2" s="1"/>
  <c r="G403" i="2"/>
  <c r="N402" i="2"/>
  <c r="G402" i="2"/>
  <c r="J402" i="2" s="1"/>
  <c r="G401" i="2"/>
  <c r="N401" i="2" s="1"/>
  <c r="G400" i="2"/>
  <c r="N400" i="2" s="1"/>
  <c r="Q400" i="2" s="1"/>
  <c r="G399" i="2"/>
  <c r="H399" i="2" s="1"/>
  <c r="N398" i="2"/>
  <c r="O398" i="2" s="1"/>
  <c r="J398" i="2"/>
  <c r="G398" i="2"/>
  <c r="H398" i="2" s="1"/>
  <c r="G397" i="2"/>
  <c r="H397" i="2" s="1"/>
  <c r="G396" i="2"/>
  <c r="N395" i="2"/>
  <c r="J395" i="2"/>
  <c r="G395" i="2"/>
  <c r="H395" i="2" s="1"/>
  <c r="G394" i="2"/>
  <c r="N394" i="2" s="1"/>
  <c r="U394" i="2" s="1"/>
  <c r="N393" i="2"/>
  <c r="J393" i="2"/>
  <c r="H393" i="2"/>
  <c r="G393" i="2"/>
  <c r="G392" i="2"/>
  <c r="J392" i="2" s="1"/>
  <c r="G391" i="2"/>
  <c r="J391" i="2" s="1"/>
  <c r="N390" i="2"/>
  <c r="G390" i="2"/>
  <c r="J390" i="2" s="1"/>
  <c r="G389" i="2"/>
  <c r="N389" i="2" s="1"/>
  <c r="G388" i="2"/>
  <c r="G387" i="2"/>
  <c r="N387" i="2" s="1"/>
  <c r="G386" i="2"/>
  <c r="G385" i="2"/>
  <c r="N385" i="2" s="1"/>
  <c r="O385" i="2" s="1"/>
  <c r="G384" i="2"/>
  <c r="N384" i="2" s="1"/>
  <c r="N383" i="2"/>
  <c r="G383" i="2"/>
  <c r="J383" i="2" s="1"/>
  <c r="G382" i="2"/>
  <c r="G381" i="2"/>
  <c r="J381" i="2" s="1"/>
  <c r="G380" i="2"/>
  <c r="N379" i="2"/>
  <c r="Q379" i="2" s="1"/>
  <c r="G379" i="2"/>
  <c r="J379" i="2" s="1"/>
  <c r="N378" i="2"/>
  <c r="Q378" i="2" s="1"/>
  <c r="J378" i="2"/>
  <c r="G378" i="2"/>
  <c r="G377" i="2"/>
  <c r="G376" i="2"/>
  <c r="G375" i="2"/>
  <c r="N375" i="2" s="1"/>
  <c r="G374" i="2"/>
  <c r="N373" i="2"/>
  <c r="G373" i="2"/>
  <c r="J372" i="2"/>
  <c r="G372" i="2"/>
  <c r="N372" i="2" s="1"/>
  <c r="G371" i="2"/>
  <c r="J371" i="2" s="1"/>
  <c r="G370" i="2"/>
  <c r="N370" i="2" s="1"/>
  <c r="Q370" i="2" s="1"/>
  <c r="G369" i="2"/>
  <c r="N368" i="2"/>
  <c r="G368" i="2"/>
  <c r="J368" i="2" s="1"/>
  <c r="G367" i="2"/>
  <c r="J367" i="2" s="1"/>
  <c r="G366" i="2"/>
  <c r="J366" i="2" s="1"/>
  <c r="Q365" i="2"/>
  <c r="G365" i="2"/>
  <c r="N365" i="2" s="1"/>
  <c r="U365" i="2" s="1"/>
  <c r="G364" i="2"/>
  <c r="N364" i="2" s="1"/>
  <c r="G363" i="2"/>
  <c r="N363" i="2" s="1"/>
  <c r="G362" i="2"/>
  <c r="J362" i="2" s="1"/>
  <c r="J361" i="2"/>
  <c r="G361" i="2"/>
  <c r="N361" i="2" s="1"/>
  <c r="U361" i="2" s="1"/>
  <c r="G360" i="2"/>
  <c r="N360" i="2" s="1"/>
  <c r="U360" i="2" s="1"/>
  <c r="G359" i="2"/>
  <c r="J359" i="2" s="1"/>
  <c r="G358" i="2"/>
  <c r="N358" i="2" s="1"/>
  <c r="Q358" i="2" s="1"/>
  <c r="G357" i="2"/>
  <c r="G356" i="2"/>
  <c r="J356" i="2" s="1"/>
  <c r="U355" i="2"/>
  <c r="Q355" i="2"/>
  <c r="G355" i="2"/>
  <c r="N355" i="2" s="1"/>
  <c r="G354" i="2"/>
  <c r="N354" i="2" s="1"/>
  <c r="G353" i="2"/>
  <c r="J353" i="2" s="1"/>
  <c r="G352" i="2"/>
  <c r="G351" i="2"/>
  <c r="G350" i="2"/>
  <c r="N350" i="2" s="1"/>
  <c r="G349" i="2"/>
  <c r="N349" i="2" s="1"/>
  <c r="G348" i="2"/>
  <c r="N348" i="2" s="1"/>
  <c r="U348" i="2" s="1"/>
  <c r="W348" i="2" s="1"/>
  <c r="X348" i="2" s="1"/>
  <c r="G347" i="2"/>
  <c r="N347" i="2" s="1"/>
  <c r="G346" i="2"/>
  <c r="J346" i="2" s="1"/>
  <c r="G345" i="2"/>
  <c r="N345" i="2" s="1"/>
  <c r="U345" i="2" s="1"/>
  <c r="G344" i="2"/>
  <c r="J344" i="2" s="1"/>
  <c r="N343" i="2"/>
  <c r="J343" i="2"/>
  <c r="G343" i="2"/>
  <c r="J342" i="2"/>
  <c r="G342" i="2"/>
  <c r="N342" i="2" s="1"/>
  <c r="G341" i="2"/>
  <c r="N341" i="2" s="1"/>
  <c r="G340" i="2"/>
  <c r="N340" i="2" s="1"/>
  <c r="G339" i="2"/>
  <c r="N339" i="2" s="1"/>
  <c r="G338" i="2"/>
  <c r="N338" i="2" s="1"/>
  <c r="N337" i="2"/>
  <c r="G337" i="2"/>
  <c r="J337" i="2" s="1"/>
  <c r="G336" i="2"/>
  <c r="H336" i="2" s="1"/>
  <c r="G335" i="2"/>
  <c r="N335" i="2" s="1"/>
  <c r="G334" i="2"/>
  <c r="N334" i="2" s="1"/>
  <c r="U334" i="2" s="1"/>
  <c r="G333" i="2"/>
  <c r="N333" i="2" s="1"/>
  <c r="U333" i="2" s="1"/>
  <c r="G332" i="2"/>
  <c r="G331" i="2"/>
  <c r="N331" i="2" s="1"/>
  <c r="U331" i="2" s="1"/>
  <c r="G330" i="2"/>
  <c r="N330" i="2" s="1"/>
  <c r="Q330" i="2" s="1"/>
  <c r="G329" i="2"/>
  <c r="G328" i="2"/>
  <c r="J328" i="2" s="1"/>
  <c r="G327" i="2"/>
  <c r="G326" i="2"/>
  <c r="N325" i="2"/>
  <c r="Q325" i="2" s="1"/>
  <c r="G325" i="2"/>
  <c r="J325" i="2" s="1"/>
  <c r="G324" i="2"/>
  <c r="G323" i="2"/>
  <c r="G322" i="2"/>
  <c r="H322" i="2" s="1"/>
  <c r="G321" i="2"/>
  <c r="J321" i="2" s="1"/>
  <c r="J320" i="2"/>
  <c r="G320" i="2"/>
  <c r="N320" i="2" s="1"/>
  <c r="U320" i="2" s="1"/>
  <c r="G319" i="2"/>
  <c r="G318" i="2"/>
  <c r="N318" i="2" s="1"/>
  <c r="Q318" i="2" s="1"/>
  <c r="G317" i="2"/>
  <c r="N317" i="2" s="1"/>
  <c r="O317" i="2" s="1"/>
  <c r="G316" i="2"/>
  <c r="N316" i="2" s="1"/>
  <c r="O316" i="2" s="1"/>
  <c r="G315" i="2"/>
  <c r="J315" i="2" s="1"/>
  <c r="G314" i="2"/>
  <c r="H314" i="2" s="1"/>
  <c r="G313" i="2"/>
  <c r="N313" i="2" s="1"/>
  <c r="O313" i="2" s="1"/>
  <c r="G312" i="2"/>
  <c r="H312" i="2" s="1"/>
  <c r="G311" i="2"/>
  <c r="G310" i="2"/>
  <c r="H310" i="2" s="1"/>
  <c r="G309" i="2"/>
  <c r="G308" i="2"/>
  <c r="N308" i="2" s="1"/>
  <c r="Q308" i="2" s="1"/>
  <c r="G307" i="2"/>
  <c r="N307" i="2" s="1"/>
  <c r="Q307" i="2" s="1"/>
  <c r="G306" i="2"/>
  <c r="J306" i="2" s="1"/>
  <c r="G305" i="2"/>
  <c r="G304" i="2"/>
  <c r="G303" i="2"/>
  <c r="N303" i="2" s="1"/>
  <c r="O303" i="2" s="1"/>
  <c r="G302" i="2"/>
  <c r="N302" i="2" s="1"/>
  <c r="Q302" i="2" s="1"/>
  <c r="G301" i="2"/>
  <c r="G300" i="2"/>
  <c r="G299" i="2"/>
  <c r="G298" i="2"/>
  <c r="N298" i="2" s="1"/>
  <c r="U298" i="2" s="1"/>
  <c r="G297" i="2"/>
  <c r="J297" i="2" s="1"/>
  <c r="G296" i="2"/>
  <c r="N296" i="2" s="1"/>
  <c r="G295" i="2"/>
  <c r="G294" i="2"/>
  <c r="N294" i="2" s="1"/>
  <c r="G293" i="2"/>
  <c r="J293" i="2" s="1"/>
  <c r="N292" i="2"/>
  <c r="U292" i="2" s="1"/>
  <c r="G292" i="2"/>
  <c r="J292" i="2" s="1"/>
  <c r="N291" i="2"/>
  <c r="G291" i="2"/>
  <c r="J291" i="2" s="1"/>
  <c r="G290" i="2"/>
  <c r="G289" i="2"/>
  <c r="N289" i="2" s="1"/>
  <c r="G288" i="2"/>
  <c r="G287" i="2"/>
  <c r="H287" i="2" s="1"/>
  <c r="G286" i="2"/>
  <c r="N286" i="2" s="1"/>
  <c r="G285" i="2"/>
  <c r="N285" i="2" s="1"/>
  <c r="G284" i="2"/>
  <c r="N284" i="2" s="1"/>
  <c r="G283" i="2"/>
  <c r="N283" i="2" s="1"/>
  <c r="G282" i="2"/>
  <c r="N282" i="2" s="1"/>
  <c r="O282" i="2" s="1"/>
  <c r="G281" i="2"/>
  <c r="N281" i="2" s="1"/>
  <c r="U281" i="2" s="1"/>
  <c r="G280" i="2"/>
  <c r="H280" i="2" s="1"/>
  <c r="G279" i="2"/>
  <c r="J279" i="2" s="1"/>
  <c r="G278" i="2"/>
  <c r="G277" i="2"/>
  <c r="N277" i="2" s="1"/>
  <c r="O277" i="2" s="1"/>
  <c r="G276" i="2"/>
  <c r="J276" i="2" s="1"/>
  <c r="G275" i="2"/>
  <c r="G274" i="2"/>
  <c r="H274" i="2" s="1"/>
  <c r="G273" i="2"/>
  <c r="N273" i="2" s="1"/>
  <c r="Q273" i="2" s="1"/>
  <c r="G272" i="2"/>
  <c r="G271" i="2"/>
  <c r="H271" i="2" s="1"/>
  <c r="G270" i="2"/>
  <c r="G269" i="2"/>
  <c r="H269" i="2" s="1"/>
  <c r="G268" i="2"/>
  <c r="N268" i="2" s="1"/>
  <c r="G267" i="2"/>
  <c r="H267" i="2" s="1"/>
  <c r="G266" i="2"/>
  <c r="J266" i="2" s="1"/>
  <c r="G265" i="2"/>
  <c r="G264" i="2"/>
  <c r="N264" i="2" s="1"/>
  <c r="U264" i="2" s="1"/>
  <c r="W264" i="2" s="1"/>
  <c r="X264" i="2" s="1"/>
  <c r="G263" i="2"/>
  <c r="N263" i="2" s="1"/>
  <c r="G262" i="2"/>
  <c r="G261" i="2"/>
  <c r="N261" i="2" s="1"/>
  <c r="Q261" i="2" s="1"/>
  <c r="G260" i="2"/>
  <c r="G259" i="2"/>
  <c r="J259" i="2" s="1"/>
  <c r="G258" i="2"/>
  <c r="N258" i="2" s="1"/>
  <c r="Q258" i="2" s="1"/>
  <c r="G257" i="2"/>
  <c r="N257" i="2" s="1"/>
  <c r="G256" i="2"/>
  <c r="G255" i="2"/>
  <c r="G254" i="2"/>
  <c r="J254" i="2" s="1"/>
  <c r="G253" i="2"/>
  <c r="J253" i="2" s="1"/>
  <c r="G252" i="2"/>
  <c r="J252" i="2" s="1"/>
  <c r="G251" i="2"/>
  <c r="G250" i="2"/>
  <c r="G249" i="2"/>
  <c r="N249" i="2" s="1"/>
  <c r="G248" i="2"/>
  <c r="G247" i="2"/>
  <c r="G246" i="2"/>
  <c r="N246" i="2" s="1"/>
  <c r="G245" i="2"/>
  <c r="J245" i="2" s="1"/>
  <c r="G244" i="2"/>
  <c r="G243" i="2"/>
  <c r="N243" i="2" s="1"/>
  <c r="G242" i="2"/>
  <c r="N242" i="2" s="1"/>
  <c r="O242" i="2" s="1"/>
  <c r="G241" i="2"/>
  <c r="G240" i="2"/>
  <c r="J240" i="2" s="1"/>
  <c r="G239" i="2"/>
  <c r="G238" i="2"/>
  <c r="N238" i="2" s="1"/>
  <c r="U238" i="2" s="1"/>
  <c r="G237" i="2"/>
  <c r="J237" i="2" s="1"/>
  <c r="G236" i="2"/>
  <c r="N236" i="2" s="1"/>
  <c r="O236" i="2" s="1"/>
  <c r="G235" i="2"/>
  <c r="G234" i="2"/>
  <c r="N234" i="2" s="1"/>
  <c r="N233" i="2"/>
  <c r="O233" i="2" s="1"/>
  <c r="J233" i="2"/>
  <c r="H233" i="2"/>
  <c r="G233" i="2"/>
  <c r="G232" i="2"/>
  <c r="N232" i="2" s="1"/>
  <c r="O232" i="2" s="1"/>
  <c r="G231" i="2"/>
  <c r="H231" i="2" s="1"/>
  <c r="G230" i="2"/>
  <c r="N230" i="2" s="1"/>
  <c r="G229" i="2"/>
  <c r="N229" i="2" s="1"/>
  <c r="O229" i="2" s="1"/>
  <c r="N228" i="2"/>
  <c r="U228" i="2" s="1"/>
  <c r="G228" i="2"/>
  <c r="J228" i="2" s="1"/>
  <c r="N227" i="2"/>
  <c r="O227" i="2" s="1"/>
  <c r="J227" i="2"/>
  <c r="G227" i="2"/>
  <c r="H227" i="2" s="1"/>
  <c r="G226" i="2"/>
  <c r="G225" i="2"/>
  <c r="G224" i="2"/>
  <c r="G223" i="2"/>
  <c r="N223" i="2" s="1"/>
  <c r="G222" i="2"/>
  <c r="N222" i="2" s="1"/>
  <c r="G221" i="2"/>
  <c r="G220" i="2"/>
  <c r="N219" i="2"/>
  <c r="O219" i="2" s="1"/>
  <c r="J219" i="2"/>
  <c r="G219" i="2"/>
  <c r="H219" i="2" s="1"/>
  <c r="G218" i="2"/>
  <c r="N218" i="2" s="1"/>
  <c r="G217" i="2"/>
  <c r="N217" i="2" s="1"/>
  <c r="Q217" i="2" s="1"/>
  <c r="G216" i="2"/>
  <c r="G215" i="2"/>
  <c r="N215" i="2" s="1"/>
  <c r="G214" i="2"/>
  <c r="N214" i="2" s="1"/>
  <c r="G213" i="2"/>
  <c r="H212" i="2"/>
  <c r="G212" i="2"/>
  <c r="G211" i="2"/>
  <c r="H211" i="2" s="1"/>
  <c r="G210" i="2"/>
  <c r="G209" i="2"/>
  <c r="G208" i="2"/>
  <c r="G207" i="2"/>
  <c r="N207" i="2" s="1"/>
  <c r="O207" i="2" s="1"/>
  <c r="N206" i="2"/>
  <c r="G206" i="2"/>
  <c r="H206" i="2" s="1"/>
  <c r="G205" i="2"/>
  <c r="N205" i="2" s="1"/>
  <c r="Q205" i="2" s="1"/>
  <c r="G204" i="2"/>
  <c r="J204" i="2" s="1"/>
  <c r="G203" i="2"/>
  <c r="G202" i="2"/>
  <c r="N201" i="2"/>
  <c r="J201" i="2"/>
  <c r="G201" i="2"/>
  <c r="H201" i="2" s="1"/>
  <c r="G200" i="2"/>
  <c r="N200" i="2" s="1"/>
  <c r="U200" i="2" s="1"/>
  <c r="G199" i="2"/>
  <c r="G198" i="2"/>
  <c r="G197" i="2"/>
  <c r="H197" i="2" s="1"/>
  <c r="G196" i="2"/>
  <c r="N196" i="2" s="1"/>
  <c r="N195" i="2"/>
  <c r="O195" i="2" s="1"/>
  <c r="J195" i="2"/>
  <c r="H195" i="2"/>
  <c r="G195" i="2"/>
  <c r="G194" i="2"/>
  <c r="J194" i="2" s="1"/>
  <c r="G193" i="2"/>
  <c r="N193" i="2" s="1"/>
  <c r="O193" i="2" s="1"/>
  <c r="N192" i="2"/>
  <c r="G192" i="2"/>
  <c r="H192" i="2" s="1"/>
  <c r="G191" i="2"/>
  <c r="H191" i="2" s="1"/>
  <c r="G190" i="2"/>
  <c r="J190" i="2" s="1"/>
  <c r="G189" i="2"/>
  <c r="G188" i="2"/>
  <c r="N188" i="2" s="1"/>
  <c r="O188" i="2" s="1"/>
  <c r="G187" i="2"/>
  <c r="N187" i="2" s="1"/>
  <c r="G186" i="2"/>
  <c r="G185" i="2"/>
  <c r="N185" i="2" s="1"/>
  <c r="G184" i="2"/>
  <c r="J184" i="2" s="1"/>
  <c r="G183" i="2"/>
  <c r="H183" i="2" s="1"/>
  <c r="G182" i="2"/>
  <c r="G181" i="2"/>
  <c r="J181" i="2" s="1"/>
  <c r="G180" i="2"/>
  <c r="N180" i="2" s="1"/>
  <c r="G179" i="2"/>
  <c r="G178" i="2"/>
  <c r="U177" i="2"/>
  <c r="G177" i="2"/>
  <c r="N177" i="2" s="1"/>
  <c r="G176" i="2"/>
  <c r="H176" i="2" s="1"/>
  <c r="G175" i="2"/>
  <c r="J175" i="2" s="1"/>
  <c r="G174" i="2"/>
  <c r="N174" i="2" s="1"/>
  <c r="Q174" i="2" s="1"/>
  <c r="G173" i="2"/>
  <c r="H173" i="2" s="1"/>
  <c r="G172" i="2"/>
  <c r="G171" i="2"/>
  <c r="J171" i="2" s="1"/>
  <c r="G170" i="2"/>
  <c r="N170" i="2" s="1"/>
  <c r="G169" i="2"/>
  <c r="N169" i="2" s="1"/>
  <c r="G168" i="2"/>
  <c r="N167" i="2"/>
  <c r="G167" i="2"/>
  <c r="H167" i="2" s="1"/>
  <c r="G166" i="2"/>
  <c r="N166" i="2" s="1"/>
  <c r="U166" i="2" s="1"/>
  <c r="G165" i="2"/>
  <c r="G164" i="2"/>
  <c r="N164" i="2" s="1"/>
  <c r="N163" i="2"/>
  <c r="O163" i="2" s="1"/>
  <c r="J163" i="2"/>
  <c r="G163" i="2"/>
  <c r="H163" i="2" s="1"/>
  <c r="G162" i="2"/>
  <c r="G161" i="2"/>
  <c r="J161" i="2" s="1"/>
  <c r="G160" i="2"/>
  <c r="N160" i="2" s="1"/>
  <c r="U160" i="2" s="1"/>
  <c r="G159" i="2"/>
  <c r="G158" i="2"/>
  <c r="N158" i="2" s="1"/>
  <c r="G157" i="2"/>
  <c r="N157" i="2" s="1"/>
  <c r="G156" i="2"/>
  <c r="J156" i="2" s="1"/>
  <c r="G155" i="2"/>
  <c r="N155" i="2" s="1"/>
  <c r="W154" i="2"/>
  <c r="X154" i="2" s="1"/>
  <c r="Q154" i="2"/>
  <c r="O154" i="2"/>
  <c r="H154" i="2"/>
  <c r="G154" i="2"/>
  <c r="N154" i="2" s="1"/>
  <c r="U154" i="2" s="1"/>
  <c r="G153" i="2"/>
  <c r="N153" i="2" s="1"/>
  <c r="U153" i="2" s="1"/>
  <c r="W153" i="2" s="1"/>
  <c r="X153" i="2" s="1"/>
  <c r="Y153" i="2" s="1"/>
  <c r="G152" i="2"/>
  <c r="G151" i="2"/>
  <c r="J151" i="2" s="1"/>
  <c r="G150" i="2"/>
  <c r="N150" i="2" s="1"/>
  <c r="Q150" i="2" s="1"/>
  <c r="G149" i="2"/>
  <c r="J149" i="2" s="1"/>
  <c r="G148" i="2"/>
  <c r="N148" i="2" s="1"/>
  <c r="G147" i="2"/>
  <c r="J147" i="2" s="1"/>
  <c r="G146" i="2"/>
  <c r="J146" i="2" s="1"/>
  <c r="G145" i="2"/>
  <c r="J145" i="2" s="1"/>
  <c r="G144" i="2"/>
  <c r="J143" i="2"/>
  <c r="G143" i="2"/>
  <c r="G142" i="2"/>
  <c r="N142" i="2" s="1"/>
  <c r="G141" i="2"/>
  <c r="G140" i="2"/>
  <c r="G139" i="2"/>
  <c r="J139" i="2" s="1"/>
  <c r="N138" i="2"/>
  <c r="U138" i="2" s="1"/>
  <c r="J138" i="2"/>
  <c r="G138" i="2"/>
  <c r="G137" i="2"/>
  <c r="N137" i="2" s="1"/>
  <c r="G136" i="2"/>
  <c r="J136" i="2" s="1"/>
  <c r="G135" i="2"/>
  <c r="N135" i="2" s="1"/>
  <c r="G134" i="2"/>
  <c r="J134" i="2" s="1"/>
  <c r="G133" i="2"/>
  <c r="J133" i="2" s="1"/>
  <c r="N132" i="2"/>
  <c r="Q132" i="2" s="1"/>
  <c r="G132" i="2"/>
  <c r="J132" i="2" s="1"/>
  <c r="G131" i="2"/>
  <c r="H131" i="2" s="1"/>
  <c r="G130" i="2"/>
  <c r="H130" i="2" s="1"/>
  <c r="G129" i="2"/>
  <c r="N129" i="2" s="1"/>
  <c r="U129" i="2" s="1"/>
  <c r="W129" i="2" s="1"/>
  <c r="X129" i="2" s="1"/>
  <c r="Y129" i="2" s="1"/>
  <c r="G128" i="2"/>
  <c r="U127" i="2"/>
  <c r="W127" i="2" s="1"/>
  <c r="X127" i="2" s="1"/>
  <c r="Q127" i="2"/>
  <c r="H127" i="2"/>
  <c r="G127" i="2"/>
  <c r="N127" i="2" s="1"/>
  <c r="O127" i="2" s="1"/>
  <c r="G126" i="2"/>
  <c r="J126" i="2" s="1"/>
  <c r="N125" i="2"/>
  <c r="O125" i="2" s="1"/>
  <c r="G125" i="2"/>
  <c r="J125" i="2" s="1"/>
  <c r="G124" i="2"/>
  <c r="N124" i="2" s="1"/>
  <c r="U124" i="2" s="1"/>
  <c r="W124" i="2" s="1"/>
  <c r="X124" i="2" s="1"/>
  <c r="G123" i="2"/>
  <c r="N123" i="2" s="1"/>
  <c r="Q123" i="2" s="1"/>
  <c r="G122" i="2"/>
  <c r="N122" i="2" s="1"/>
  <c r="G121" i="2"/>
  <c r="J121" i="2" s="1"/>
  <c r="G120" i="2"/>
  <c r="J120" i="2" s="1"/>
  <c r="G119" i="2"/>
  <c r="N119" i="2" s="1"/>
  <c r="U119" i="2" s="1"/>
  <c r="V119" i="2" s="1"/>
  <c r="N118" i="2"/>
  <c r="O118" i="2" s="1"/>
  <c r="H118" i="2"/>
  <c r="G118" i="2"/>
  <c r="J118" i="2" s="1"/>
  <c r="J117" i="2"/>
  <c r="G117" i="2"/>
  <c r="N117" i="2" s="1"/>
  <c r="G116" i="2"/>
  <c r="G115" i="2"/>
  <c r="G114" i="2"/>
  <c r="N114" i="2" s="1"/>
  <c r="G113" i="2"/>
  <c r="N113" i="2" s="1"/>
  <c r="G112" i="2"/>
  <c r="G111" i="2"/>
  <c r="J111" i="2" s="1"/>
  <c r="G110" i="2"/>
  <c r="N110" i="2" s="1"/>
  <c r="G109" i="2"/>
  <c r="J109" i="2" s="1"/>
  <c r="G108" i="2"/>
  <c r="N108" i="2" s="1"/>
  <c r="N107" i="2"/>
  <c r="G107" i="2"/>
  <c r="J107" i="2" s="1"/>
  <c r="G106" i="2"/>
  <c r="N106" i="2" s="1"/>
  <c r="G105" i="2"/>
  <c r="G104" i="2"/>
  <c r="N104" i="2" s="1"/>
  <c r="U104" i="2" s="1"/>
  <c r="G103" i="2"/>
  <c r="N103" i="2" s="1"/>
  <c r="G102" i="2"/>
  <c r="G101" i="2"/>
  <c r="N101" i="2" s="1"/>
  <c r="G100" i="2"/>
  <c r="N100" i="2" s="1"/>
  <c r="G99" i="2"/>
  <c r="N99" i="2" s="1"/>
  <c r="G98" i="2"/>
  <c r="N98" i="2" s="1"/>
  <c r="G97" i="2"/>
  <c r="J97" i="2" s="1"/>
  <c r="N96" i="2"/>
  <c r="J96" i="2"/>
  <c r="G96" i="2"/>
  <c r="H96" i="2" s="1"/>
  <c r="G95" i="2"/>
  <c r="J95" i="2" s="1"/>
  <c r="G94" i="2"/>
  <c r="N94" i="2" s="1"/>
  <c r="Q94" i="2" s="1"/>
  <c r="G93" i="2"/>
  <c r="N93" i="2" s="1"/>
  <c r="G92" i="2"/>
  <c r="N92" i="2" s="1"/>
  <c r="U92" i="2" s="1"/>
  <c r="W92" i="2" s="1"/>
  <c r="X92" i="2" s="1"/>
  <c r="Y92" i="2" s="1"/>
  <c r="G91" i="2"/>
  <c r="H91" i="2" s="1"/>
  <c r="G90" i="2"/>
  <c r="N90" i="2" s="1"/>
  <c r="G89" i="2"/>
  <c r="G88" i="2"/>
  <c r="G87" i="2"/>
  <c r="G86" i="2"/>
  <c r="N86" i="2" s="1"/>
  <c r="U86" i="2" s="1"/>
  <c r="G85" i="2"/>
  <c r="J85" i="2" s="1"/>
  <c r="G84" i="2"/>
  <c r="H84" i="2" s="1"/>
  <c r="G83" i="2"/>
  <c r="J83" i="2" s="1"/>
  <c r="G82" i="2"/>
  <c r="H82" i="2" s="1"/>
  <c r="G81" i="2"/>
  <c r="U80" i="2"/>
  <c r="W80" i="2" s="1"/>
  <c r="X80" i="2" s="1"/>
  <c r="N80" i="2"/>
  <c r="G80" i="2"/>
  <c r="J80" i="2" s="1"/>
  <c r="G79" i="2"/>
  <c r="H79" i="2" s="1"/>
  <c r="G78" i="2"/>
  <c r="N78" i="2" s="1"/>
  <c r="G77" i="2"/>
  <c r="G76" i="2"/>
  <c r="J76" i="2" s="1"/>
  <c r="G75" i="2"/>
  <c r="N75" i="2" s="1"/>
  <c r="Q75" i="2" s="1"/>
  <c r="G74" i="2"/>
  <c r="J74" i="2" s="1"/>
  <c r="G73" i="2"/>
  <c r="N73" i="2" s="1"/>
  <c r="G72" i="2"/>
  <c r="N72" i="2" s="1"/>
  <c r="G71" i="2"/>
  <c r="N71" i="2" s="1"/>
  <c r="U71" i="2" s="1"/>
  <c r="N70" i="2"/>
  <c r="U70" i="2" s="1"/>
  <c r="W70" i="2" s="1"/>
  <c r="X70" i="2" s="1"/>
  <c r="Y70" i="2" s="1"/>
  <c r="G70" i="2"/>
  <c r="J70" i="2" s="1"/>
  <c r="Q69" i="2"/>
  <c r="J69" i="2"/>
  <c r="H69" i="2"/>
  <c r="G69" i="2"/>
  <c r="N69" i="2" s="1"/>
  <c r="N68" i="2"/>
  <c r="U68" i="2" s="1"/>
  <c r="G68" i="2"/>
  <c r="J68" i="2" s="1"/>
  <c r="G67" i="2"/>
  <c r="J67" i="2" s="1"/>
  <c r="N66" i="2"/>
  <c r="U66" i="2" s="1"/>
  <c r="G66" i="2"/>
  <c r="J66" i="2" s="1"/>
  <c r="J65" i="2"/>
  <c r="G65" i="2"/>
  <c r="N65" i="2" s="1"/>
  <c r="G64" i="2"/>
  <c r="G63" i="2"/>
  <c r="Q62" i="2"/>
  <c r="G62" i="2"/>
  <c r="N62" i="2" s="1"/>
  <c r="U62" i="2" s="1"/>
  <c r="N61" i="2"/>
  <c r="G61" i="2"/>
  <c r="J61" i="2" s="1"/>
  <c r="J60" i="2"/>
  <c r="G60" i="2"/>
  <c r="N60" i="2" s="1"/>
  <c r="N59" i="2"/>
  <c r="Q59" i="2" s="1"/>
  <c r="G59" i="2"/>
  <c r="J59" i="2" s="1"/>
  <c r="N58" i="2"/>
  <c r="J58" i="2"/>
  <c r="G58" i="2"/>
  <c r="J57" i="2"/>
  <c r="G57" i="2"/>
  <c r="N57" i="2" s="1"/>
  <c r="G56" i="2"/>
  <c r="N56" i="2" s="1"/>
  <c r="U56" i="2" s="1"/>
  <c r="N55" i="2"/>
  <c r="U55" i="2" s="1"/>
  <c r="J55" i="2"/>
  <c r="G55" i="2"/>
  <c r="G54" i="2"/>
  <c r="N54" i="2" s="1"/>
  <c r="Q54" i="2" s="1"/>
  <c r="J53" i="2"/>
  <c r="G53" i="2"/>
  <c r="N53" i="2" s="1"/>
  <c r="G52" i="2"/>
  <c r="J51" i="2"/>
  <c r="G51" i="2"/>
  <c r="N51" i="2" s="1"/>
  <c r="G50" i="2"/>
  <c r="N50" i="2" s="1"/>
  <c r="J49" i="2"/>
  <c r="G49" i="2"/>
  <c r="N49" i="2" s="1"/>
  <c r="G48" i="2"/>
  <c r="N47" i="2"/>
  <c r="U47" i="2" s="1"/>
  <c r="G47" i="2"/>
  <c r="J47" i="2" s="1"/>
  <c r="Q46" i="2"/>
  <c r="N46" i="2"/>
  <c r="U46" i="2" s="1"/>
  <c r="J46" i="2"/>
  <c r="G46" i="2"/>
  <c r="G45" i="2"/>
  <c r="G44" i="2"/>
  <c r="G43" i="2"/>
  <c r="J43" i="2" s="1"/>
  <c r="G42" i="2"/>
  <c r="N42" i="2" s="1"/>
  <c r="G41" i="2"/>
  <c r="J41" i="2" s="1"/>
  <c r="G40" i="2"/>
  <c r="G39" i="2"/>
  <c r="G38" i="2"/>
  <c r="H38" i="2" s="1"/>
  <c r="G37" i="2"/>
  <c r="J37" i="2" s="1"/>
  <c r="G36" i="2"/>
  <c r="N36" i="2" s="1"/>
  <c r="O36" i="2" s="1"/>
  <c r="G35" i="2"/>
  <c r="N35" i="2" s="1"/>
  <c r="U35" i="2" s="1"/>
  <c r="G34" i="2"/>
  <c r="H34" i="2" s="1"/>
  <c r="G33" i="2"/>
  <c r="N33" i="2" s="1"/>
  <c r="Q33" i="2" s="1"/>
  <c r="G32" i="2"/>
  <c r="N32" i="2" s="1"/>
  <c r="G31" i="2"/>
  <c r="N31" i="2" s="1"/>
  <c r="O31" i="2" s="1"/>
  <c r="G30" i="2"/>
  <c r="H30" i="2" s="1"/>
  <c r="G29" i="2"/>
  <c r="N29" i="2" s="1"/>
  <c r="U28" i="2"/>
  <c r="Q28" i="2"/>
  <c r="O28" i="2"/>
  <c r="G28" i="2"/>
  <c r="N28" i="2" s="1"/>
  <c r="G27" i="2"/>
  <c r="G26" i="2"/>
  <c r="N25" i="2"/>
  <c r="U25" i="2" s="1"/>
  <c r="G25" i="2"/>
  <c r="J25" i="2" s="1"/>
  <c r="G24" i="2"/>
  <c r="J24" i="2" s="1"/>
  <c r="G23" i="2"/>
  <c r="H23" i="2" s="1"/>
  <c r="G22" i="2"/>
  <c r="G21" i="2"/>
  <c r="N21" i="2" s="1"/>
  <c r="G20" i="2"/>
  <c r="G19" i="2"/>
  <c r="X18" i="2"/>
  <c r="Y18" i="2" s="1"/>
  <c r="U18" i="2"/>
  <c r="W18" i="2" s="1"/>
  <c r="N18" i="2"/>
  <c r="Q18" i="2" s="1"/>
  <c r="G18" i="2"/>
  <c r="J18" i="2" s="1"/>
  <c r="G17" i="2"/>
  <c r="N17" i="2" s="1"/>
  <c r="G16" i="2"/>
  <c r="N16" i="2" s="1"/>
  <c r="G15" i="2"/>
  <c r="N14" i="2"/>
  <c r="U14" i="2" s="1"/>
  <c r="G14" i="2"/>
  <c r="J14" i="2" s="1"/>
  <c r="J13" i="2"/>
  <c r="G13" i="2"/>
  <c r="N13" i="2" s="1"/>
  <c r="G12" i="2"/>
  <c r="N12" i="2" s="1"/>
  <c r="U11" i="2"/>
  <c r="N11" i="2"/>
  <c r="Q11" i="2" s="1"/>
  <c r="J11" i="2"/>
  <c r="G11" i="2"/>
  <c r="G10" i="2"/>
  <c r="J9" i="2"/>
  <c r="G9" i="2"/>
  <c r="N9" i="2" s="1"/>
  <c r="N8" i="2"/>
  <c r="U8" i="2" s="1"/>
  <c r="G8" i="2"/>
  <c r="J8" i="2" s="1"/>
  <c r="G7" i="2"/>
  <c r="N7" i="2" s="1"/>
  <c r="N6" i="2"/>
  <c r="U6" i="2" s="1"/>
  <c r="J6" i="2"/>
  <c r="G6" i="2"/>
  <c r="G5" i="2"/>
  <c r="H383" i="2" l="1"/>
  <c r="J334" i="2"/>
  <c r="U330" i="2"/>
  <c r="H334" i="2"/>
  <c r="J312" i="2"/>
  <c r="N312" i="2"/>
  <c r="Q312" i="2" s="1"/>
  <c r="H317" i="2"/>
  <c r="H302" i="2"/>
  <c r="H31" i="2"/>
  <c r="J31" i="2"/>
  <c r="H37" i="2"/>
  <c r="H284" i="2"/>
  <c r="J284" i="2"/>
  <c r="H35" i="2"/>
  <c r="J28" i="2"/>
  <c r="N37" i="2"/>
  <c r="Q37" i="2" s="1"/>
  <c r="J35" i="2"/>
  <c r="N287" i="2"/>
  <c r="H282" i="2"/>
  <c r="J282" i="2"/>
  <c r="H401" i="2"/>
  <c r="J277" i="2"/>
  <c r="N267" i="2"/>
  <c r="Q267" i="2" s="1"/>
  <c r="N245" i="2"/>
  <c r="U245" i="2" s="1"/>
  <c r="V245" i="2" s="1"/>
  <c r="J242" i="2"/>
  <c r="U242" i="2"/>
  <c r="J192" i="2"/>
  <c r="Q185" i="2"/>
  <c r="U185" i="2"/>
  <c r="Q387" i="2"/>
  <c r="U387" i="2"/>
  <c r="Q148" i="2"/>
  <c r="U148" i="2"/>
  <c r="O148" i="2"/>
  <c r="U405" i="2"/>
  <c r="W405" i="2" s="1"/>
  <c r="X405" i="2" s="1"/>
  <c r="Y405" i="2" s="1"/>
  <c r="Q405" i="2"/>
  <c r="U100" i="2"/>
  <c r="Q100" i="2"/>
  <c r="U180" i="2"/>
  <c r="V180" i="2" s="1"/>
  <c r="O180" i="2"/>
  <c r="H323" i="2"/>
  <c r="N323" i="2"/>
  <c r="O323" i="2" s="1"/>
  <c r="U358" i="2"/>
  <c r="W358" i="2" s="1"/>
  <c r="X358" i="2" s="1"/>
  <c r="O412" i="2"/>
  <c r="J122" i="2"/>
  <c r="H238" i="2"/>
  <c r="H303" i="2"/>
  <c r="Q303" i="2"/>
  <c r="J347" i="2"/>
  <c r="J394" i="2"/>
  <c r="N134" i="2"/>
  <c r="O134" i="2" s="1"/>
  <c r="H304" i="2"/>
  <c r="N304" i="2"/>
  <c r="Q304" i="2" s="1"/>
  <c r="N314" i="2"/>
  <c r="U314" i="2" s="1"/>
  <c r="J348" i="2"/>
  <c r="J71" i="2"/>
  <c r="U135" i="2"/>
  <c r="W135" i="2" s="1"/>
  <c r="X135" i="2" s="1"/>
  <c r="Q135" i="2"/>
  <c r="Q193" i="2"/>
  <c r="J304" i="2"/>
  <c r="Q348" i="2"/>
  <c r="Q361" i="2"/>
  <c r="J405" i="2"/>
  <c r="J38" i="2"/>
  <c r="J88" i="2"/>
  <c r="N88" i="2"/>
  <c r="Q88" i="2" s="1"/>
  <c r="J100" i="2"/>
  <c r="H148" i="2"/>
  <c r="N182" i="2"/>
  <c r="J182" i="2"/>
  <c r="U193" i="2"/>
  <c r="H230" i="2"/>
  <c r="N253" i="2"/>
  <c r="H268" i="2"/>
  <c r="Q292" i="2"/>
  <c r="N315" i="2"/>
  <c r="O415" i="2"/>
  <c r="N38" i="2"/>
  <c r="Q38" i="2" s="1"/>
  <c r="J72" i="2"/>
  <c r="N126" i="2"/>
  <c r="N136" i="2"/>
  <c r="U136" i="2" s="1"/>
  <c r="J148" i="2"/>
  <c r="J268" i="2"/>
  <c r="J338" i="2"/>
  <c r="U90" i="2"/>
  <c r="W90" i="2" s="1"/>
  <c r="X90" i="2" s="1"/>
  <c r="Y90" i="2" s="1"/>
  <c r="Q90" i="2"/>
  <c r="U117" i="2"/>
  <c r="Q117" i="2"/>
  <c r="O117" i="2"/>
  <c r="U137" i="2"/>
  <c r="Q137" i="2"/>
  <c r="U174" i="2"/>
  <c r="J206" i="2"/>
  <c r="N293" i="2"/>
  <c r="U293" i="2" s="1"/>
  <c r="W293" i="2" s="1"/>
  <c r="X293" i="2" s="1"/>
  <c r="Y293" i="2" s="1"/>
  <c r="N362" i="2"/>
  <c r="N406" i="2"/>
  <c r="J406" i="2"/>
  <c r="H133" i="2"/>
  <c r="N133" i="2"/>
  <c r="O133" i="2" s="1"/>
  <c r="H180" i="2"/>
  <c r="U370" i="2"/>
  <c r="H394" i="2"/>
  <c r="H134" i="2"/>
  <c r="J314" i="2"/>
  <c r="U37" i="2"/>
  <c r="V37" i="2" s="1"/>
  <c r="J99" i="2"/>
  <c r="U363" i="2"/>
  <c r="Q363" i="2"/>
  <c r="U340" i="2"/>
  <c r="W340" i="2" s="1"/>
  <c r="X340" i="2" s="1"/>
  <c r="Y340" i="2" s="1"/>
  <c r="Q340" i="2"/>
  <c r="N388" i="2"/>
  <c r="Q388" i="2" s="1"/>
  <c r="J388" i="2"/>
  <c r="N418" i="2"/>
  <c r="O418" i="2" s="1"/>
  <c r="H418" i="2"/>
  <c r="Q138" i="2"/>
  <c r="N175" i="2"/>
  <c r="J223" i="2"/>
  <c r="J331" i="2"/>
  <c r="N24" i="2"/>
  <c r="U24" i="2" s="1"/>
  <c r="W24" i="2" s="1"/>
  <c r="X24" i="2" s="1"/>
  <c r="H119" i="2"/>
  <c r="N139" i="2"/>
  <c r="U139" i="2" s="1"/>
  <c r="Q163" i="2"/>
  <c r="J197" i="2"/>
  <c r="H285" i="2"/>
  <c r="J310" i="2"/>
  <c r="Q390" i="2"/>
  <c r="U390" i="2"/>
  <c r="W390" i="2" s="1"/>
  <c r="X390" i="2" s="1"/>
  <c r="Y390" i="2" s="1"/>
  <c r="J399" i="2"/>
  <c r="J93" i="2"/>
  <c r="O119" i="2"/>
  <c r="U163" i="2"/>
  <c r="N197" i="2"/>
  <c r="O197" i="2" s="1"/>
  <c r="J225" i="2"/>
  <c r="N225" i="2"/>
  <c r="H246" i="2"/>
  <c r="J261" i="2"/>
  <c r="J285" i="2"/>
  <c r="N310" i="2"/>
  <c r="O310" i="2" s="1"/>
  <c r="N399" i="2"/>
  <c r="Q399" i="2" s="1"/>
  <c r="N27" i="2"/>
  <c r="O27" i="2" s="1"/>
  <c r="J27" i="2"/>
  <c r="H27" i="2"/>
  <c r="N144" i="2"/>
  <c r="Q144" i="2" s="1"/>
  <c r="J144" i="2"/>
  <c r="J323" i="2"/>
  <c r="Q402" i="2"/>
  <c r="U402" i="2"/>
  <c r="W394" i="2"/>
  <c r="X394" i="2" s="1"/>
  <c r="V394" i="2"/>
  <c r="J155" i="2"/>
  <c r="H193" i="2"/>
  <c r="H175" i="2"/>
  <c r="Q257" i="2"/>
  <c r="U257" i="2"/>
  <c r="W257" i="2" s="1"/>
  <c r="X257" i="2" s="1"/>
  <c r="J295" i="2"/>
  <c r="N295" i="2"/>
  <c r="U295" i="2" s="1"/>
  <c r="N309" i="2"/>
  <c r="H309" i="2"/>
  <c r="J309" i="2"/>
  <c r="J363" i="2"/>
  <c r="H223" i="2"/>
  <c r="Q92" i="2"/>
  <c r="Q245" i="2"/>
  <c r="O331" i="2"/>
  <c r="J105" i="2"/>
  <c r="N105" i="2"/>
  <c r="Q105" i="2" s="1"/>
  <c r="J130" i="2"/>
  <c r="N130" i="2"/>
  <c r="Q130" i="2" s="1"/>
  <c r="N152" i="2"/>
  <c r="U152" i="2" s="1"/>
  <c r="J152" i="2"/>
  <c r="H152" i="2"/>
  <c r="N210" i="2"/>
  <c r="H210" i="2"/>
  <c r="O246" i="2"/>
  <c r="U246" i="2"/>
  <c r="Q246" i="2"/>
  <c r="Q331" i="2"/>
  <c r="Q119" i="2"/>
  <c r="J246" i="2"/>
  <c r="U261" i="2"/>
  <c r="W261" i="2" s="1"/>
  <c r="X261" i="2" s="1"/>
  <c r="Y261" i="2" s="1"/>
  <c r="H311" i="2"/>
  <c r="N311" i="2"/>
  <c r="J311" i="2"/>
  <c r="N321" i="2"/>
  <c r="U321" i="2" s="1"/>
  <c r="N356" i="2"/>
  <c r="U249" i="2"/>
  <c r="W249" i="2" s="1"/>
  <c r="X249" i="2" s="1"/>
  <c r="Y249" i="2" s="1"/>
  <c r="Q249" i="2"/>
  <c r="N111" i="2"/>
  <c r="U111" i="2" s="1"/>
  <c r="J180" i="2"/>
  <c r="Q228" i="2"/>
  <c r="N414" i="2"/>
  <c r="Q414" i="2" s="1"/>
  <c r="H414" i="2"/>
  <c r="J414" i="2"/>
  <c r="N252" i="2"/>
  <c r="U303" i="2"/>
  <c r="W303" i="2" s="1"/>
  <c r="X303" i="2" s="1"/>
  <c r="Y303" i="2" s="1"/>
  <c r="AB303" i="2" s="1"/>
  <c r="AC303" i="2" s="1"/>
  <c r="Q157" i="2"/>
  <c r="U157" i="2"/>
  <c r="V157" i="2" s="1"/>
  <c r="J185" i="2"/>
  <c r="J92" i="2"/>
  <c r="H331" i="2"/>
  <c r="H388" i="2"/>
  <c r="N77" i="2"/>
  <c r="Q77" i="2" s="1"/>
  <c r="H77" i="2"/>
  <c r="N208" i="2"/>
  <c r="O208" i="2" s="1"/>
  <c r="H208" i="2"/>
  <c r="J208" i="2"/>
  <c r="H33" i="2"/>
  <c r="Q142" i="2"/>
  <c r="U142" i="2"/>
  <c r="H178" i="2"/>
  <c r="N178" i="2"/>
  <c r="J178" i="2"/>
  <c r="N237" i="2"/>
  <c r="O237" i="2" s="1"/>
  <c r="U263" i="2"/>
  <c r="Q263" i="2"/>
  <c r="J322" i="2"/>
  <c r="N357" i="2"/>
  <c r="J357" i="2"/>
  <c r="H200" i="2"/>
  <c r="H218" i="2"/>
  <c r="J231" i="2"/>
  <c r="J263" i="2"/>
  <c r="J269" i="2"/>
  <c r="H413" i="2"/>
  <c r="J94" i="2"/>
  <c r="H120" i="2"/>
  <c r="J135" i="2"/>
  <c r="J142" i="2"/>
  <c r="H157" i="2"/>
  <c r="J166" i="2"/>
  <c r="H181" i="2"/>
  <c r="J200" i="2"/>
  <c r="J218" i="2"/>
  <c r="N231" i="2"/>
  <c r="U231" i="2" s="1"/>
  <c r="N269" i="2"/>
  <c r="U269" i="2" s="1"/>
  <c r="O333" i="2"/>
  <c r="J341" i="2"/>
  <c r="N371" i="2"/>
  <c r="U371" i="2" s="1"/>
  <c r="U400" i="2"/>
  <c r="W400" i="2" s="1"/>
  <c r="X400" i="2" s="1"/>
  <c r="Y400" i="2" s="1"/>
  <c r="O413" i="2"/>
  <c r="N34" i="2"/>
  <c r="Q34" i="2" s="1"/>
  <c r="H75" i="2"/>
  <c r="N85" i="2"/>
  <c r="U85" i="2" s="1"/>
  <c r="W85" i="2" s="1"/>
  <c r="X85" i="2" s="1"/>
  <c r="U94" i="2"/>
  <c r="W94" i="2" s="1"/>
  <c r="X94" i="2" s="1"/>
  <c r="Y94" i="2" s="1"/>
  <c r="J114" i="2"/>
  <c r="N120" i="2"/>
  <c r="O120" i="2" s="1"/>
  <c r="N149" i="2"/>
  <c r="J157" i="2"/>
  <c r="N181" i="2"/>
  <c r="Q188" i="2"/>
  <c r="N194" i="2"/>
  <c r="O194" i="2" s="1"/>
  <c r="N254" i="2"/>
  <c r="J286" i="2"/>
  <c r="N306" i="2"/>
  <c r="Q333" i="2"/>
  <c r="J349" i="2"/>
  <c r="J358" i="2"/>
  <c r="J364" i="2"/>
  <c r="J389" i="2"/>
  <c r="J407" i="2"/>
  <c r="Q413" i="2"/>
  <c r="J34" i="2"/>
  <c r="J101" i="2"/>
  <c r="H188" i="2"/>
  <c r="H286" i="2"/>
  <c r="J75" i="2"/>
  <c r="J129" i="2"/>
  <c r="U188" i="2"/>
  <c r="W188" i="2" s="1"/>
  <c r="X188" i="2" s="1"/>
  <c r="H232" i="2"/>
  <c r="N297" i="2"/>
  <c r="H316" i="2"/>
  <c r="H28" i="2"/>
  <c r="J103" i="2"/>
  <c r="J150" i="2"/>
  <c r="J177" i="2"/>
  <c r="H242" i="2"/>
  <c r="J287" i="2"/>
  <c r="U307" i="2"/>
  <c r="W307" i="2" s="1"/>
  <c r="X307" i="2" s="1"/>
  <c r="N420" i="2"/>
  <c r="J257" i="2"/>
  <c r="O35" i="2"/>
  <c r="J123" i="2"/>
  <c r="J137" i="2"/>
  <c r="U227" i="2"/>
  <c r="J249" i="2"/>
  <c r="N353" i="2"/>
  <c r="J375" i="2"/>
  <c r="N161" i="2"/>
  <c r="J183" i="2"/>
  <c r="J191" i="2"/>
  <c r="N266" i="2"/>
  <c r="H313" i="2"/>
  <c r="N410" i="2"/>
  <c r="J90" i="2"/>
  <c r="J131" i="2"/>
  <c r="N146" i="2"/>
  <c r="U146" i="2" s="1"/>
  <c r="J153" i="2"/>
  <c r="N183" i="2"/>
  <c r="N191" i="2"/>
  <c r="O191" i="2" s="1"/>
  <c r="H196" i="2"/>
  <c r="H222" i="2"/>
  <c r="U273" i="2"/>
  <c r="W273" i="2" s="1"/>
  <c r="X273" i="2" s="1"/>
  <c r="Y273" i="2" s="1"/>
  <c r="AB273" i="2" s="1"/>
  <c r="AC273" i="2" s="1"/>
  <c r="J283" i="2"/>
  <c r="J313" i="2"/>
  <c r="H330" i="2"/>
  <c r="Q345" i="2"/>
  <c r="N367" i="2"/>
  <c r="U385" i="2"/>
  <c r="N392" i="2"/>
  <c r="N397" i="2"/>
  <c r="U397" i="2" s="1"/>
  <c r="W397" i="2" s="1"/>
  <c r="X397" i="2" s="1"/>
  <c r="Y397" i="2" s="1"/>
  <c r="AB397" i="2" s="1"/>
  <c r="AC397" i="2" s="1"/>
  <c r="J404" i="2"/>
  <c r="H266" i="2"/>
  <c r="N366" i="2"/>
  <c r="J384" i="2"/>
  <c r="H409" i="2"/>
  <c r="N97" i="2"/>
  <c r="U97" i="2" s="1"/>
  <c r="N171" i="2"/>
  <c r="Q171" i="2" s="1"/>
  <c r="J243" i="2"/>
  <c r="J318" i="2"/>
  <c r="N344" i="2"/>
  <c r="U344" i="2" s="1"/>
  <c r="H283" i="2"/>
  <c r="H385" i="2"/>
  <c r="J397" i="2"/>
  <c r="Q124" i="2"/>
  <c r="U36" i="2"/>
  <c r="W36" i="2" s="1"/>
  <c r="X36" i="2" s="1"/>
  <c r="J98" i="2"/>
  <c r="J173" i="2"/>
  <c r="J205" i="2"/>
  <c r="J330" i="2"/>
  <c r="N404" i="2"/>
  <c r="O404" i="2" s="1"/>
  <c r="Q227" i="2"/>
  <c r="H273" i="2"/>
  <c r="Q233" i="2"/>
  <c r="O273" i="2"/>
  <c r="O334" i="2"/>
  <c r="N359" i="2"/>
  <c r="U233" i="2"/>
  <c r="H36" i="2"/>
  <c r="H98" i="2"/>
  <c r="J106" i="2"/>
  <c r="J30" i="2"/>
  <c r="J196" i="2"/>
  <c r="J222" i="2"/>
  <c r="H245" i="2"/>
  <c r="J258" i="2"/>
  <c r="H80" i="2"/>
  <c r="H125" i="2"/>
  <c r="H132" i="2"/>
  <c r="N147" i="2"/>
  <c r="N173" i="2"/>
  <c r="O173" i="2" s="1"/>
  <c r="U205" i="2"/>
  <c r="U258" i="2"/>
  <c r="W258" i="2" s="1"/>
  <c r="X258" i="2" s="1"/>
  <c r="J267" i="2"/>
  <c r="N346" i="2"/>
  <c r="U110" i="2"/>
  <c r="Q110" i="2"/>
  <c r="W97" i="2"/>
  <c r="X97" i="2" s="1"/>
  <c r="Y97" i="2" s="1"/>
  <c r="U187" i="2"/>
  <c r="Q187" i="2"/>
  <c r="J110" i="2"/>
  <c r="W68" i="2"/>
  <c r="X68" i="2" s="1"/>
  <c r="Y68" i="2" s="1"/>
  <c r="U126" i="2"/>
  <c r="Q126" i="2"/>
  <c r="O126" i="2"/>
  <c r="W6" i="2"/>
  <c r="X6" i="2" s="1"/>
  <c r="Y6" i="2" s="1"/>
  <c r="Q68" i="2"/>
  <c r="U101" i="2"/>
  <c r="Q101" i="2"/>
  <c r="Q6" i="2"/>
  <c r="U78" i="2"/>
  <c r="Q78" i="2"/>
  <c r="O78" i="2"/>
  <c r="W86" i="2"/>
  <c r="X86" i="2" s="1"/>
  <c r="Y86" i="2" s="1"/>
  <c r="AB86" i="2" s="1"/>
  <c r="AC86" i="2" s="1"/>
  <c r="V86" i="2"/>
  <c r="W160" i="2"/>
  <c r="X160" i="2" s="1"/>
  <c r="Y160" i="2"/>
  <c r="Q49" i="2"/>
  <c r="U49" i="2"/>
  <c r="N79" i="2"/>
  <c r="J79" i="2"/>
  <c r="J102" i="2"/>
  <c r="N102" i="2"/>
  <c r="W25" i="2"/>
  <c r="X25" i="2" s="1"/>
  <c r="Y25" i="2"/>
  <c r="W157" i="2"/>
  <c r="X157" i="2" s="1"/>
  <c r="Y157" i="2" s="1"/>
  <c r="AB157" i="2" s="1"/>
  <c r="AC157" i="2" s="1"/>
  <c r="W14" i="2"/>
  <c r="X14" i="2" s="1"/>
  <c r="Y14" i="2" s="1"/>
  <c r="N141" i="2"/>
  <c r="H141" i="2"/>
  <c r="J141" i="2"/>
  <c r="W62" i="2"/>
  <c r="X62" i="2" s="1"/>
  <c r="Y62" i="2" s="1"/>
  <c r="J29" i="2"/>
  <c r="N63" i="2"/>
  <c r="J63" i="2"/>
  <c r="U72" i="2"/>
  <c r="Q72" i="2"/>
  <c r="Y135" i="2"/>
  <c r="Q25" i="2"/>
  <c r="W28" i="2"/>
  <c r="X28" i="2" s="1"/>
  <c r="Y28" i="2" s="1"/>
  <c r="AB28" i="2" s="1"/>
  <c r="AC28" i="2" s="1"/>
  <c r="V28" i="2"/>
  <c r="Y163" i="2"/>
  <c r="AB163" i="2" s="1"/>
  <c r="AC163" i="2" s="1"/>
  <c r="W55" i="2"/>
  <c r="X55" i="2" s="1"/>
  <c r="Y55" i="2"/>
  <c r="Q125" i="2"/>
  <c r="U125" i="2"/>
  <c r="J187" i="2"/>
  <c r="U50" i="2"/>
  <c r="Q50" i="2"/>
  <c r="U29" i="2"/>
  <c r="Q29" i="2"/>
  <c r="O29" i="2"/>
  <c r="H29" i="2"/>
  <c r="W11" i="2"/>
  <c r="X11" i="2" s="1"/>
  <c r="Y11" i="2" s="1"/>
  <c r="U164" i="2"/>
  <c r="Q164" i="2"/>
  <c r="U12" i="2"/>
  <c r="Q12" i="2"/>
  <c r="J164" i="2"/>
  <c r="W46" i="2"/>
  <c r="X46" i="2" s="1"/>
  <c r="Y46" i="2" s="1"/>
  <c r="N172" i="2"/>
  <c r="J172" i="2"/>
  <c r="N19" i="2"/>
  <c r="J19" i="2"/>
  <c r="N41" i="2"/>
  <c r="H41" i="2"/>
  <c r="U13" i="2"/>
  <c r="Q13" i="2"/>
  <c r="W104" i="2"/>
  <c r="X104" i="2" s="1"/>
  <c r="Y104" i="2" s="1"/>
  <c r="N165" i="2"/>
  <c r="J165" i="2"/>
  <c r="J209" i="2"/>
  <c r="N209" i="2"/>
  <c r="N416" i="2"/>
  <c r="J416" i="2"/>
  <c r="H416" i="2"/>
  <c r="J50" i="2"/>
  <c r="O75" i="2"/>
  <c r="Q111" i="2"/>
  <c r="H165" i="2"/>
  <c r="N204" i="2"/>
  <c r="H209" i="2"/>
  <c r="Q234" i="2"/>
  <c r="U234" i="2"/>
  <c r="O234" i="2"/>
  <c r="N20" i="2"/>
  <c r="J20" i="2"/>
  <c r="Q42" i="2"/>
  <c r="U42" i="2"/>
  <c r="U57" i="2"/>
  <c r="Q57" i="2"/>
  <c r="U75" i="2"/>
  <c r="O86" i="2"/>
  <c r="W111" i="2"/>
  <c r="X111" i="2" s="1"/>
  <c r="Y111" i="2" s="1"/>
  <c r="O132" i="2"/>
  <c r="U229" i="2"/>
  <c r="Q229" i="2"/>
  <c r="H234" i="2"/>
  <c r="W242" i="2"/>
  <c r="X242" i="2" s="1"/>
  <c r="Y242" i="2" s="1"/>
  <c r="AB242" i="2" s="1"/>
  <c r="AC242" i="2" s="1"/>
  <c r="N327" i="2"/>
  <c r="J327" i="2"/>
  <c r="Q349" i="2"/>
  <c r="U349" i="2"/>
  <c r="U7" i="2"/>
  <c r="Q7" i="2"/>
  <c r="Q14" i="2"/>
  <c r="U21" i="2"/>
  <c r="Q21" i="2"/>
  <c r="N26" i="2"/>
  <c r="J26" i="2"/>
  <c r="Q86" i="2"/>
  <c r="N112" i="2"/>
  <c r="J112" i="2"/>
  <c r="U132" i="2"/>
  <c r="Q160" i="2"/>
  <c r="Q182" i="2"/>
  <c r="U182" i="2"/>
  <c r="H229" i="2"/>
  <c r="J234" i="2"/>
  <c r="V242" i="2"/>
  <c r="H327" i="2"/>
  <c r="W417" i="2"/>
  <c r="X417" i="2" s="1"/>
  <c r="Y417" i="2"/>
  <c r="J7" i="2"/>
  <c r="H26" i="2"/>
  <c r="Q113" i="2"/>
  <c r="U113" i="2"/>
  <c r="Y142" i="2"/>
  <c r="J229" i="2"/>
  <c r="Q417" i="2"/>
  <c r="N278" i="2"/>
  <c r="J278" i="2"/>
  <c r="U343" i="2"/>
  <c r="Q343" i="2"/>
  <c r="U58" i="2"/>
  <c r="Q58" i="2"/>
  <c r="W148" i="2"/>
  <c r="X148" i="2" s="1"/>
  <c r="Y148" i="2" s="1"/>
  <c r="AB148" i="2" s="1"/>
  <c r="AC148" i="2" s="1"/>
  <c r="V148" i="2"/>
  <c r="H198" i="2"/>
  <c r="N198" i="2"/>
  <c r="J198" i="2"/>
  <c r="U9" i="2"/>
  <c r="Q9" i="2"/>
  <c r="N45" i="2"/>
  <c r="J45" i="2"/>
  <c r="Q401" i="2"/>
  <c r="O401" i="2"/>
  <c r="U401" i="2"/>
  <c r="N15" i="2"/>
  <c r="J15" i="2"/>
  <c r="W138" i="2"/>
  <c r="X138" i="2" s="1"/>
  <c r="Y138" i="2" s="1"/>
  <c r="N179" i="2"/>
  <c r="J179" i="2"/>
  <c r="H179" i="2"/>
  <c r="J272" i="2"/>
  <c r="N272" i="2"/>
  <c r="H272" i="2"/>
  <c r="U383" i="2"/>
  <c r="Q383" i="2"/>
  <c r="O383" i="2"/>
  <c r="N10" i="2"/>
  <c r="J10" i="2"/>
  <c r="J23" i="2"/>
  <c r="W66" i="2"/>
  <c r="X66" i="2" s="1"/>
  <c r="Y66" i="2" s="1"/>
  <c r="H78" i="2"/>
  <c r="Q191" i="2"/>
  <c r="Y402" i="2"/>
  <c r="U93" i="2"/>
  <c r="Q93" i="2"/>
  <c r="N23" i="2"/>
  <c r="J78" i="2"/>
  <c r="W238" i="2"/>
  <c r="X238" i="2" s="1"/>
  <c r="Y238" i="2" s="1"/>
  <c r="AB238" i="2" s="1"/>
  <c r="AC238" i="2" s="1"/>
  <c r="V238" i="2"/>
  <c r="J81" i="2"/>
  <c r="N81" i="2"/>
  <c r="O38" i="2"/>
  <c r="U219" i="2"/>
  <c r="Q219" i="2"/>
  <c r="Q31" i="2"/>
  <c r="N162" i="2"/>
  <c r="J162" i="2"/>
  <c r="Q60" i="2"/>
  <c r="U60" i="2"/>
  <c r="N67" i="2"/>
  <c r="U96" i="2"/>
  <c r="Q96" i="2"/>
  <c r="O96" i="2"/>
  <c r="Q108" i="2"/>
  <c r="U108" i="2"/>
  <c r="Y124" i="2"/>
  <c r="W200" i="2"/>
  <c r="X200" i="2" s="1"/>
  <c r="Y200" i="2" s="1"/>
  <c r="AB200" i="2" s="1"/>
  <c r="AC200" i="2" s="1"/>
  <c r="V200" i="2"/>
  <c r="N251" i="2"/>
  <c r="J251" i="2"/>
  <c r="W205" i="2"/>
  <c r="X205" i="2" s="1"/>
  <c r="Y205" i="2" s="1"/>
  <c r="Y264" i="2"/>
  <c r="U350" i="2"/>
  <c r="Q350" i="2"/>
  <c r="U51" i="2"/>
  <c r="Q51" i="2"/>
  <c r="N115" i="2"/>
  <c r="J115" i="2"/>
  <c r="H115" i="2"/>
  <c r="U122" i="2"/>
  <c r="Q122" i="2"/>
  <c r="U38" i="2"/>
  <c r="U31" i="2"/>
  <c r="U59" i="2"/>
  <c r="Y71" i="2"/>
  <c r="U106" i="2"/>
  <c r="Q106" i="2"/>
  <c r="H162" i="2"/>
  <c r="U53" i="2"/>
  <c r="Q53" i="2"/>
  <c r="U17" i="2"/>
  <c r="Q17" i="2"/>
  <c r="U170" i="2"/>
  <c r="Q170" i="2"/>
  <c r="U33" i="2"/>
  <c r="O33" i="2"/>
  <c r="J54" i="2"/>
  <c r="H140" i="2"/>
  <c r="N140" i="2"/>
  <c r="W185" i="2"/>
  <c r="X185" i="2" s="1"/>
  <c r="Y185" i="2"/>
  <c r="Q287" i="2"/>
  <c r="O287" i="2"/>
  <c r="U287" i="2"/>
  <c r="U304" i="2"/>
  <c r="O304" i="2"/>
  <c r="W8" i="2"/>
  <c r="X8" i="2" s="1"/>
  <c r="Y8" i="2"/>
  <c r="H278" i="2"/>
  <c r="J64" i="2"/>
  <c r="N64" i="2"/>
  <c r="Q118" i="2"/>
  <c r="U118" i="2"/>
  <c r="U155" i="2"/>
  <c r="Q155" i="2"/>
  <c r="U149" i="2"/>
  <c r="Q149" i="2"/>
  <c r="N39" i="2"/>
  <c r="H39" i="2"/>
  <c r="J39" i="2"/>
  <c r="Q36" i="2"/>
  <c r="W47" i="2"/>
  <c r="X47" i="2" s="1"/>
  <c r="Y47" i="2"/>
  <c r="U54" i="2"/>
  <c r="Q73" i="2"/>
  <c r="U73" i="2"/>
  <c r="J116" i="2"/>
  <c r="H116" i="2"/>
  <c r="N116" i="2"/>
  <c r="O130" i="2"/>
  <c r="U130" i="2"/>
  <c r="J140" i="2"/>
  <c r="U296" i="2"/>
  <c r="Q296" i="2"/>
  <c r="U243" i="2"/>
  <c r="Q243" i="2"/>
  <c r="Q8" i="2"/>
  <c r="U98" i="2"/>
  <c r="Q98" i="2"/>
  <c r="N145" i="2"/>
  <c r="U192" i="2"/>
  <c r="Q192" i="2"/>
  <c r="O192" i="2"/>
  <c r="J12" i="2"/>
  <c r="N301" i="2"/>
  <c r="H301" i="2"/>
  <c r="U134" i="2"/>
  <c r="N168" i="2"/>
  <c r="H168" i="2"/>
  <c r="U173" i="2"/>
  <c r="U359" i="2"/>
  <c r="Q359" i="2"/>
  <c r="U379" i="2"/>
  <c r="V397" i="2"/>
  <c r="N5" i="2"/>
  <c r="J5" i="2"/>
  <c r="J17" i="2"/>
  <c r="J21" i="2"/>
  <c r="Q27" i="2"/>
  <c r="N40" i="2"/>
  <c r="J40" i="2"/>
  <c r="H40" i="2"/>
  <c r="N43" i="2"/>
  <c r="N95" i="2"/>
  <c r="U99" i="2"/>
  <c r="Q99" i="2"/>
  <c r="O99" i="2"/>
  <c r="J104" i="2"/>
  <c r="J113" i="2"/>
  <c r="Q134" i="2"/>
  <c r="N151" i="2"/>
  <c r="J168" i="2"/>
  <c r="Q173" i="2"/>
  <c r="W177" i="2"/>
  <c r="X177" i="2" s="1"/>
  <c r="Y177" i="2" s="1"/>
  <c r="AB177" i="2" s="1"/>
  <c r="AC177" i="2" s="1"/>
  <c r="V177" i="2"/>
  <c r="O238" i="2"/>
  <c r="N262" i="2"/>
  <c r="J262" i="2"/>
  <c r="U308" i="2"/>
  <c r="W360" i="2"/>
  <c r="X360" i="2" s="1"/>
  <c r="Y360" i="2" s="1"/>
  <c r="J290" i="2"/>
  <c r="H290" i="2"/>
  <c r="N290" i="2"/>
  <c r="U395" i="2"/>
  <c r="Q395" i="2"/>
  <c r="O395" i="2"/>
  <c r="U32" i="2"/>
  <c r="Q32" i="2"/>
  <c r="O32" i="2"/>
  <c r="N247" i="2"/>
  <c r="J247" i="2"/>
  <c r="J73" i="2"/>
  <c r="N87" i="2"/>
  <c r="J87" i="2"/>
  <c r="O98" i="2"/>
  <c r="J108" i="2"/>
  <c r="H158" i="2"/>
  <c r="Q200" i="2"/>
  <c r="O200" i="2"/>
  <c r="J217" i="2"/>
  <c r="W402" i="2"/>
  <c r="X402" i="2" s="1"/>
  <c r="Q47" i="2"/>
  <c r="W56" i="2"/>
  <c r="X56" i="2" s="1"/>
  <c r="Y56" i="2" s="1"/>
  <c r="N83" i="2"/>
  <c r="Q146" i="2"/>
  <c r="H151" i="2"/>
  <c r="J301" i="2"/>
  <c r="Q80" i="2"/>
  <c r="O80" i="2"/>
  <c r="N84" i="2"/>
  <c r="J84" i="2"/>
  <c r="U88" i="2"/>
  <c r="H99" i="2"/>
  <c r="Q104" i="2"/>
  <c r="V127" i="2"/>
  <c r="Y127" i="2"/>
  <c r="AB127" i="2" s="1"/>
  <c r="AC127" i="2" s="1"/>
  <c r="Q238" i="2"/>
  <c r="N274" i="2"/>
  <c r="J274" i="2"/>
  <c r="Q360" i="2"/>
  <c r="J373" i="2"/>
  <c r="H373" i="2"/>
  <c r="U206" i="2"/>
  <c r="Q206" i="2"/>
  <c r="U347" i="2"/>
  <c r="Q347" i="2"/>
  <c r="Q373" i="2"/>
  <c r="O373" i="2"/>
  <c r="V188" i="2"/>
  <c r="U284" i="2"/>
  <c r="Q284" i="2"/>
  <c r="O284" i="2"/>
  <c r="N76" i="2"/>
  <c r="Y188" i="2"/>
  <c r="AB188" i="2" s="1"/>
  <c r="AC188" i="2" s="1"/>
  <c r="Q407" i="2"/>
  <c r="J16" i="2"/>
  <c r="U103" i="2"/>
  <c r="Q103" i="2"/>
  <c r="O206" i="2"/>
  <c r="Q56" i="2"/>
  <c r="N211" i="2"/>
  <c r="J211" i="2"/>
  <c r="U316" i="2"/>
  <c r="Q316" i="2"/>
  <c r="Y24" i="2"/>
  <c r="N30" i="2"/>
  <c r="J33" i="2"/>
  <c r="W35" i="2"/>
  <c r="X35" i="2" s="1"/>
  <c r="Y35" i="2" s="1"/>
  <c r="AB35" i="2" s="1"/>
  <c r="AC35" i="2" s="1"/>
  <c r="V35" i="2"/>
  <c r="Q66" i="2"/>
  <c r="V80" i="2"/>
  <c r="H109" i="2"/>
  <c r="W142" i="2"/>
  <c r="X142" i="2" s="1"/>
  <c r="U201" i="2"/>
  <c r="O201" i="2"/>
  <c r="Q201" i="2"/>
  <c r="U218" i="2"/>
  <c r="Q218" i="2"/>
  <c r="O218" i="2"/>
  <c r="Q223" i="2"/>
  <c r="U223" i="2"/>
  <c r="N239" i="2"/>
  <c r="J239" i="2"/>
  <c r="H239" i="2"/>
  <c r="N256" i="2"/>
  <c r="J256" i="2"/>
  <c r="U367" i="2"/>
  <c r="Q367" i="2"/>
  <c r="U373" i="2"/>
  <c r="U16" i="2"/>
  <c r="Q16" i="2"/>
  <c r="Q158" i="2"/>
  <c r="U158" i="2"/>
  <c r="O158" i="2"/>
  <c r="N391" i="2"/>
  <c r="H32" i="2"/>
  <c r="H279" i="2"/>
  <c r="W407" i="2"/>
  <c r="X407" i="2" s="1"/>
  <c r="Y407" i="2" s="1"/>
  <c r="N91" i="2"/>
  <c r="J91" i="2"/>
  <c r="U123" i="2"/>
  <c r="N48" i="2"/>
  <c r="J48" i="2"/>
  <c r="U61" i="2"/>
  <c r="Q61" i="2"/>
  <c r="N74" i="2"/>
  <c r="H74" i="2"/>
  <c r="W163" i="2"/>
  <c r="X163" i="2" s="1"/>
  <c r="V163" i="2"/>
  <c r="N109" i="2"/>
  <c r="Q114" i="2"/>
  <c r="U114" i="2"/>
  <c r="J160" i="2"/>
  <c r="O223" i="2"/>
  <c r="U167" i="2"/>
  <c r="Q167" i="2"/>
  <c r="Y307" i="2"/>
  <c r="W344" i="2"/>
  <c r="X344" i="2" s="1"/>
  <c r="Y344" i="2" s="1"/>
  <c r="O167" i="2"/>
  <c r="J56" i="2"/>
  <c r="J32" i="2"/>
  <c r="W137" i="2"/>
  <c r="X137" i="2" s="1"/>
  <c r="Y137" i="2" s="1"/>
  <c r="W146" i="2"/>
  <c r="X146" i="2" s="1"/>
  <c r="Y146" i="2" s="1"/>
  <c r="J158" i="2"/>
  <c r="U217" i="2"/>
  <c r="N279" i="2"/>
  <c r="J308" i="2"/>
  <c r="Y80" i="2"/>
  <c r="AB80" i="2" s="1"/>
  <c r="AC80" i="2" s="1"/>
  <c r="N22" i="2"/>
  <c r="J22" i="2"/>
  <c r="H22" i="2"/>
  <c r="Q35" i="2"/>
  <c r="N44" i="2"/>
  <c r="J44" i="2"/>
  <c r="Q70" i="2"/>
  <c r="N89" i="2"/>
  <c r="J89" i="2"/>
  <c r="H89" i="2"/>
  <c r="N128" i="2"/>
  <c r="J128" i="2"/>
  <c r="O152" i="2"/>
  <c r="N156" i="2"/>
  <c r="Q268" i="2"/>
  <c r="U268" i="2"/>
  <c r="O268" i="2"/>
  <c r="U341" i="2"/>
  <c r="Q341" i="2"/>
  <c r="W355" i="2"/>
  <c r="X355" i="2" s="1"/>
  <c r="Y355" i="2" s="1"/>
  <c r="Q169" i="2"/>
  <c r="U169" i="2"/>
  <c r="Q177" i="2"/>
  <c r="O177" i="2"/>
  <c r="N189" i="2"/>
  <c r="J189" i="2"/>
  <c r="H189" i="2"/>
  <c r="J275" i="2"/>
  <c r="N275" i="2"/>
  <c r="W330" i="2"/>
  <c r="X330" i="2" s="1"/>
  <c r="Y330" i="2" s="1"/>
  <c r="AB330" i="2" s="1"/>
  <c r="AC330" i="2" s="1"/>
  <c r="V330" i="2"/>
  <c r="U368" i="2"/>
  <c r="Q368" i="2"/>
  <c r="N403" i="2"/>
  <c r="J403" i="2"/>
  <c r="H403" i="2"/>
  <c r="J169" i="2"/>
  <c r="H177" i="2"/>
  <c r="U195" i="2"/>
  <c r="Q195" i="2"/>
  <c r="N265" i="2"/>
  <c r="J265" i="2"/>
  <c r="H275" i="2"/>
  <c r="W331" i="2"/>
  <c r="X331" i="2" s="1"/>
  <c r="Y331" i="2" s="1"/>
  <c r="AB331" i="2" s="1"/>
  <c r="AC331" i="2" s="1"/>
  <c r="V331" i="2"/>
  <c r="U337" i="2"/>
  <c r="Q337" i="2"/>
  <c r="N369" i="2"/>
  <c r="J369" i="2"/>
  <c r="Y174" i="2"/>
  <c r="W174" i="2"/>
  <c r="X174" i="2" s="1"/>
  <c r="W281" i="2"/>
  <c r="X281" i="2" s="1"/>
  <c r="Y281" i="2" s="1"/>
  <c r="AB281" i="2" s="1"/>
  <c r="AC281" i="2" s="1"/>
  <c r="U65" i="2"/>
  <c r="Q65" i="2"/>
  <c r="J159" i="2"/>
  <c r="H159" i="2"/>
  <c r="N159" i="2"/>
  <c r="W166" i="2"/>
  <c r="X166" i="2" s="1"/>
  <c r="Y166" i="2" s="1"/>
  <c r="J170" i="2"/>
  <c r="N202" i="2"/>
  <c r="J202" i="2"/>
  <c r="N240" i="2"/>
  <c r="H240" i="2"/>
  <c r="V281" i="2"/>
  <c r="W298" i="2"/>
  <c r="X298" i="2" s="1"/>
  <c r="Y298" i="2" s="1"/>
  <c r="Q338" i="2"/>
  <c r="U338" i="2"/>
  <c r="N351" i="2"/>
  <c r="J351" i="2"/>
  <c r="W363" i="2"/>
  <c r="X363" i="2" s="1"/>
  <c r="Y363" i="2" s="1"/>
  <c r="N305" i="2"/>
  <c r="H305" i="2"/>
  <c r="J305" i="2"/>
  <c r="N319" i="2"/>
  <c r="J319" i="2"/>
  <c r="U339" i="2"/>
  <c r="Q339" i="2"/>
  <c r="U107" i="2"/>
  <c r="Q107" i="2"/>
  <c r="J36" i="2"/>
  <c r="J42" i="2"/>
  <c r="Q55" i="2"/>
  <c r="Q71" i="2"/>
  <c r="J77" i="2"/>
  <c r="W119" i="2"/>
  <c r="X119" i="2" s="1"/>
  <c r="Y119" i="2" s="1"/>
  <c r="AB119" i="2" s="1"/>
  <c r="AC119" i="2" s="1"/>
  <c r="Q166" i="2"/>
  <c r="N203" i="2"/>
  <c r="J203" i="2"/>
  <c r="N220" i="2"/>
  <c r="J220" i="2"/>
  <c r="Q236" i="2"/>
  <c r="J241" i="2"/>
  <c r="H241" i="2"/>
  <c r="N326" i="2"/>
  <c r="J326" i="2"/>
  <c r="H326" i="2"/>
  <c r="U215" i="2"/>
  <c r="Q215" i="2"/>
  <c r="U285" i="2"/>
  <c r="O285" i="2"/>
  <c r="Q285" i="2"/>
  <c r="N52" i="2"/>
  <c r="J52" i="2"/>
  <c r="J62" i="2"/>
  <c r="W71" i="2"/>
  <c r="X71" i="2" s="1"/>
  <c r="H126" i="2"/>
  <c r="Q153" i="2"/>
  <c r="Q196" i="2"/>
  <c r="O196" i="2"/>
  <c r="U196" i="2"/>
  <c r="H220" i="2"/>
  <c r="U236" i="2"/>
  <c r="N241" i="2"/>
  <c r="Q314" i="2"/>
  <c r="O314" i="2"/>
  <c r="Y394" i="2"/>
  <c r="AB394" i="2" s="1"/>
  <c r="AC394" i="2" s="1"/>
  <c r="Q207" i="2"/>
  <c r="U207" i="2"/>
  <c r="U291" i="2"/>
  <c r="Q291" i="2"/>
  <c r="U69" i="2"/>
  <c r="O69" i="2"/>
  <c r="N82" i="2"/>
  <c r="J82" i="2"/>
  <c r="U150" i="2"/>
  <c r="J167" i="2"/>
  <c r="W180" i="2"/>
  <c r="X180" i="2" s="1"/>
  <c r="Y180" i="2" s="1"/>
  <c r="AB180" i="2" s="1"/>
  <c r="AC180" i="2" s="1"/>
  <c r="U378" i="2"/>
  <c r="N176" i="2"/>
  <c r="J176" i="2"/>
  <c r="N186" i="2"/>
  <c r="J186" i="2"/>
  <c r="J236" i="2"/>
  <c r="H236" i="2"/>
  <c r="Y292" i="2"/>
  <c r="N374" i="2"/>
  <c r="J374" i="2"/>
  <c r="H374" i="2"/>
  <c r="J86" i="2"/>
  <c r="H86" i="2"/>
  <c r="Q161" i="2"/>
  <c r="U161" i="2"/>
  <c r="U197" i="2"/>
  <c r="Q197" i="2"/>
  <c r="W228" i="2"/>
  <c r="X228" i="2" s="1"/>
  <c r="Y228" i="2" s="1"/>
  <c r="N244" i="2"/>
  <c r="J244" i="2"/>
  <c r="H244" i="2"/>
  <c r="N271" i="2"/>
  <c r="J271" i="2"/>
  <c r="W292" i="2"/>
  <c r="X292" i="2" s="1"/>
  <c r="N322" i="2"/>
  <c r="N328" i="2"/>
  <c r="H328" i="2"/>
  <c r="W333" i="2"/>
  <c r="X333" i="2" s="1"/>
  <c r="Y333" i="2" s="1"/>
  <c r="AB333" i="2" s="1"/>
  <c r="AC333" i="2" s="1"/>
  <c r="V333" i="2"/>
  <c r="N386" i="2"/>
  <c r="J386" i="2"/>
  <c r="H386" i="2"/>
  <c r="V334" i="2"/>
  <c r="W334" i="2"/>
  <c r="X334" i="2" s="1"/>
  <c r="Y334" i="2" s="1"/>
  <c r="AB334" i="2" s="1"/>
  <c r="AC334" i="2" s="1"/>
  <c r="U375" i="2"/>
  <c r="Q375" i="2"/>
  <c r="U414" i="2"/>
  <c r="O414" i="2"/>
  <c r="N143" i="2"/>
  <c r="H143" i="2"/>
  <c r="V154" i="2"/>
  <c r="Y154" i="2"/>
  <c r="AB154" i="2" s="1"/>
  <c r="AC154" i="2" s="1"/>
  <c r="J226" i="2"/>
  <c r="N226" i="2"/>
  <c r="N248" i="2"/>
  <c r="J248" i="2"/>
  <c r="W295" i="2"/>
  <c r="X295" i="2" s="1"/>
  <c r="Y295" i="2" s="1"/>
  <c r="Q334" i="2"/>
  <c r="U354" i="2"/>
  <c r="Q354" i="2"/>
  <c r="Q364" i="2"/>
  <c r="U364" i="2"/>
  <c r="W387" i="2"/>
  <c r="X387" i="2" s="1"/>
  <c r="Y387" i="2" s="1"/>
  <c r="AB387" i="2" s="1"/>
  <c r="AC387" i="2" s="1"/>
  <c r="J124" i="2"/>
  <c r="U214" i="2"/>
  <c r="Q214" i="2"/>
  <c r="U222" i="2"/>
  <c r="Q222" i="2"/>
  <c r="O222" i="2"/>
  <c r="V233" i="2"/>
  <c r="W245" i="2"/>
  <c r="X245" i="2" s="1"/>
  <c r="Y245" i="2" s="1"/>
  <c r="AB245" i="2" s="1"/>
  <c r="AC245" i="2" s="1"/>
  <c r="Q264" i="2"/>
  <c r="Q295" i="2"/>
  <c r="O330" i="2"/>
  <c r="U335" i="2"/>
  <c r="Q335" i="2"/>
  <c r="J354" i="2"/>
  <c r="V387" i="2"/>
  <c r="H117" i="2"/>
  <c r="N121" i="2"/>
  <c r="J154" i="2"/>
  <c r="N184" i="2"/>
  <c r="J193" i="2"/>
  <c r="J214" i="2"/>
  <c r="O245" i="2"/>
  <c r="U289" i="2"/>
  <c r="Q289" i="2"/>
  <c r="O289" i="2"/>
  <c r="U302" i="2"/>
  <c r="O302" i="2"/>
  <c r="U318" i="2"/>
  <c r="J335" i="2"/>
  <c r="W365" i="2"/>
  <c r="X365" i="2" s="1"/>
  <c r="Y365" i="2" s="1"/>
  <c r="U312" i="2"/>
  <c r="O312" i="2"/>
  <c r="N336" i="2"/>
  <c r="J336" i="2"/>
  <c r="W345" i="2"/>
  <c r="X345" i="2" s="1"/>
  <c r="Y345" i="2" s="1"/>
  <c r="N380" i="2"/>
  <c r="J380" i="2"/>
  <c r="H380" i="2"/>
  <c r="U194" i="2"/>
  <c r="Q194" i="2"/>
  <c r="J207" i="2"/>
  <c r="H207" i="2"/>
  <c r="N212" i="2"/>
  <c r="J212" i="2"/>
  <c r="Q232" i="2"/>
  <c r="H221" i="2"/>
  <c r="N221" i="2"/>
  <c r="J221" i="2"/>
  <c r="U232" i="2"/>
  <c r="N381" i="2"/>
  <c r="H381" i="2"/>
  <c r="N235" i="2"/>
  <c r="J235" i="2"/>
  <c r="Q293" i="2"/>
  <c r="Q298" i="2"/>
  <c r="N324" i="2"/>
  <c r="J324" i="2"/>
  <c r="H324" i="2"/>
  <c r="U393" i="2"/>
  <c r="Q393" i="2"/>
  <c r="O393" i="2"/>
  <c r="U419" i="2"/>
  <c r="Q419" i="2"/>
  <c r="N190" i="2"/>
  <c r="H190" i="2"/>
  <c r="N199" i="2"/>
  <c r="J199" i="2"/>
  <c r="H199" i="2"/>
  <c r="J215" i="2"/>
  <c r="U230" i="2"/>
  <c r="Q230" i="2"/>
  <c r="O230" i="2"/>
  <c r="H235" i="2"/>
  <c r="Y258" i="2"/>
  <c r="H277" i="2"/>
  <c r="U306" i="2"/>
  <c r="Q306" i="2"/>
  <c r="N352" i="2"/>
  <c r="J352" i="2"/>
  <c r="W361" i="2"/>
  <c r="X361" i="2" s="1"/>
  <c r="Y361" i="2" s="1"/>
  <c r="O397" i="2"/>
  <c r="U409" i="2"/>
  <c r="Q409" i="2"/>
  <c r="O409" i="2"/>
  <c r="Q412" i="2"/>
  <c r="O419" i="2"/>
  <c r="J270" i="2"/>
  <c r="H270" i="2"/>
  <c r="Q281" i="2"/>
  <c r="O281" i="2"/>
  <c r="N329" i="2"/>
  <c r="J329" i="2"/>
  <c r="H329" i="2"/>
  <c r="U357" i="2"/>
  <c r="Q357" i="2"/>
  <c r="W371" i="2"/>
  <c r="X371" i="2" s="1"/>
  <c r="Y371" i="2" s="1"/>
  <c r="N376" i="2"/>
  <c r="J376" i="2"/>
  <c r="Q397" i="2"/>
  <c r="V412" i="2"/>
  <c r="W415" i="2"/>
  <c r="X415" i="2" s="1"/>
  <c r="Y415" i="2" s="1"/>
  <c r="AB415" i="2" s="1"/>
  <c r="AC415" i="2" s="1"/>
  <c r="V415" i="2"/>
  <c r="J119" i="2"/>
  <c r="J127" i="2"/>
  <c r="Q129" i="2"/>
  <c r="N131" i="2"/>
  <c r="Q180" i="2"/>
  <c r="J188" i="2"/>
  <c r="N216" i="2"/>
  <c r="J216" i="2"/>
  <c r="J230" i="2"/>
  <c r="J238" i="2"/>
  <c r="N259" i="2"/>
  <c r="W263" i="2"/>
  <c r="X263" i="2" s="1"/>
  <c r="Y263" i="2" s="1"/>
  <c r="O267" i="2"/>
  <c r="N270" i="2"/>
  <c r="V273" i="2"/>
  <c r="Q277" i="2"/>
  <c r="H281" i="2"/>
  <c r="U294" i="2"/>
  <c r="Q294" i="2"/>
  <c r="J307" i="2"/>
  <c r="J316" i="2"/>
  <c r="H333" i="2"/>
  <c r="U342" i="2"/>
  <c r="Q342" i="2"/>
  <c r="W412" i="2"/>
  <c r="X412" i="2" s="1"/>
  <c r="Y412" i="2" s="1"/>
  <c r="AB412" i="2" s="1"/>
  <c r="AC412" i="2" s="1"/>
  <c r="O157" i="2"/>
  <c r="J174" i="2"/>
  <c r="J224" i="2"/>
  <c r="N224" i="2"/>
  <c r="H224" i="2"/>
  <c r="N250" i="2"/>
  <c r="J250" i="2"/>
  <c r="U277" i="2"/>
  <c r="J281" i="2"/>
  <c r="J294" i="2"/>
  <c r="N300" i="2"/>
  <c r="J300" i="2"/>
  <c r="U313" i="2"/>
  <c r="Q313" i="2"/>
  <c r="U325" i="2"/>
  <c r="J333" i="2"/>
  <c r="U372" i="2"/>
  <c r="Q372" i="2"/>
  <c r="N382" i="2"/>
  <c r="J382" i="2"/>
  <c r="N280" i="2"/>
  <c r="J280" i="2"/>
  <c r="V385" i="2"/>
  <c r="U283" i="2"/>
  <c r="Q283" i="2"/>
  <c r="O283" i="2"/>
  <c r="J289" i="2"/>
  <c r="H289" i="2"/>
  <c r="N332" i="2"/>
  <c r="J332" i="2"/>
  <c r="H332" i="2"/>
  <c r="Y348" i="2"/>
  <c r="N213" i="2"/>
  <c r="J213" i="2"/>
  <c r="N288" i="2"/>
  <c r="J288" i="2"/>
  <c r="H288" i="2"/>
  <c r="N377" i="2"/>
  <c r="J377" i="2"/>
  <c r="Q408" i="2"/>
  <c r="U408" i="2"/>
  <c r="H194" i="2"/>
  <c r="H213" i="2"/>
  <c r="O266" i="2"/>
  <c r="J298" i="2"/>
  <c r="Y320" i="2"/>
  <c r="W320" i="2"/>
  <c r="X320" i="2" s="1"/>
  <c r="N396" i="2"/>
  <c r="J396" i="2"/>
  <c r="N276" i="2"/>
  <c r="H276" i="2"/>
  <c r="U286" i="2"/>
  <c r="Q286" i="2"/>
  <c r="O286" i="2"/>
  <c r="U317" i="2"/>
  <c r="Q317" i="2"/>
  <c r="Q320" i="2"/>
  <c r="Y358" i="2"/>
  <c r="U362" i="2"/>
  <c r="Q362" i="2"/>
  <c r="H396" i="2"/>
  <c r="U384" i="2"/>
  <c r="Q384" i="2"/>
  <c r="Q394" i="2"/>
  <c r="O394" i="2"/>
  <c r="U398" i="2"/>
  <c r="Q398" i="2"/>
  <c r="H420" i="2"/>
  <c r="J387" i="2"/>
  <c r="H387" i="2"/>
  <c r="J401" i="2"/>
  <c r="W411" i="2"/>
  <c r="X411" i="2" s="1"/>
  <c r="V411" i="2"/>
  <c r="Q415" i="2"/>
  <c r="Q420" i="2"/>
  <c r="N299" i="2"/>
  <c r="J299" i="2"/>
  <c r="J210" i="2"/>
  <c r="J232" i="2"/>
  <c r="H237" i="2"/>
  <c r="N255" i="2"/>
  <c r="J255" i="2"/>
  <c r="J264" i="2"/>
  <c r="J296" i="2"/>
  <c r="J302" i="2"/>
  <c r="J317" i="2"/>
  <c r="J339" i="2"/>
  <c r="J385" i="2"/>
  <c r="O387" i="2"/>
  <c r="J409" i="2"/>
  <c r="Q411" i="2"/>
  <c r="V413" i="2"/>
  <c r="Q242" i="2"/>
  <c r="Q385" i="2"/>
  <c r="Y411" i="2"/>
  <c r="AB411" i="2" s="1"/>
  <c r="AC411" i="2" s="1"/>
  <c r="H411" i="2"/>
  <c r="J411" i="2"/>
  <c r="N260" i="2"/>
  <c r="J260" i="2"/>
  <c r="U282" i="2"/>
  <c r="Q282" i="2"/>
  <c r="U389" i="2"/>
  <c r="Q389" i="2"/>
  <c r="J273" i="2"/>
  <c r="J303" i="2"/>
  <c r="H315" i="2"/>
  <c r="J340" i="2"/>
  <c r="J345" i="2"/>
  <c r="J350" i="2"/>
  <c r="J355" i="2"/>
  <c r="J360" i="2"/>
  <c r="J365" i="2"/>
  <c r="J370" i="2"/>
  <c r="J400" i="2"/>
  <c r="H410" i="2"/>
  <c r="J413" i="2"/>
  <c r="J418" i="2"/>
  <c r="U388" i="2" l="1"/>
  <c r="O388" i="2"/>
  <c r="U323" i="2"/>
  <c r="Q323" i="2"/>
  <c r="Y36" i="2"/>
  <c r="AB36" i="2" s="1"/>
  <c r="AC36" i="2" s="1"/>
  <c r="O37" i="2"/>
  <c r="O269" i="2"/>
  <c r="Q269" i="2"/>
  <c r="U267" i="2"/>
  <c r="W267" i="2" s="1"/>
  <c r="X267" i="2" s="1"/>
  <c r="U237" i="2"/>
  <c r="W237" i="2" s="1"/>
  <c r="X237" i="2" s="1"/>
  <c r="Y237" i="2" s="1"/>
  <c r="AB237" i="2" s="1"/>
  <c r="AC237" i="2" s="1"/>
  <c r="Q237" i="2"/>
  <c r="U353" i="2"/>
  <c r="W353" i="2" s="1"/>
  <c r="X353" i="2" s="1"/>
  <c r="Y353" i="2" s="1"/>
  <c r="Q353" i="2"/>
  <c r="U105" i="2"/>
  <c r="U311" i="2"/>
  <c r="Q311" i="2"/>
  <c r="O311" i="2"/>
  <c r="U420" i="2"/>
  <c r="O420" i="2"/>
  <c r="U191" i="2"/>
  <c r="V191" i="2" s="1"/>
  <c r="O183" i="2"/>
  <c r="U183" i="2"/>
  <c r="Q183" i="2"/>
  <c r="Q136" i="2"/>
  <c r="Q321" i="2"/>
  <c r="U309" i="2"/>
  <c r="Q309" i="2"/>
  <c r="O309" i="2"/>
  <c r="W233" i="2"/>
  <c r="X233" i="2" s="1"/>
  <c r="Y233" i="2" s="1"/>
  <c r="AB233" i="2" s="1"/>
  <c r="AC233" i="2" s="1"/>
  <c r="Q139" i="2"/>
  <c r="O175" i="2"/>
  <c r="U175" i="2"/>
  <c r="Q175" i="2"/>
  <c r="W100" i="2"/>
  <c r="X100" i="2" s="1"/>
  <c r="Y100" i="2" s="1"/>
  <c r="W246" i="2"/>
  <c r="X246" i="2" s="1"/>
  <c r="Y246" i="2" s="1"/>
  <c r="AB246" i="2" s="1"/>
  <c r="AC246" i="2" s="1"/>
  <c r="V246" i="2"/>
  <c r="Q406" i="2"/>
  <c r="U406" i="2"/>
  <c r="U315" i="2"/>
  <c r="Q315" i="2"/>
  <c r="O315" i="2"/>
  <c r="U399" i="2"/>
  <c r="O399" i="2"/>
  <c r="U27" i="2"/>
  <c r="V27" i="2" s="1"/>
  <c r="U346" i="2"/>
  <c r="W346" i="2" s="1"/>
  <c r="X346" i="2" s="1"/>
  <c r="Y346" i="2" s="1"/>
  <c r="Q346" i="2"/>
  <c r="Q252" i="2"/>
  <c r="U252" i="2"/>
  <c r="Q371" i="2"/>
  <c r="W37" i="2"/>
  <c r="X37" i="2" s="1"/>
  <c r="Y37" i="2" s="1"/>
  <c r="AB37" i="2" s="1"/>
  <c r="AC37" i="2" s="1"/>
  <c r="U366" i="2"/>
  <c r="W366" i="2" s="1"/>
  <c r="X366" i="2" s="1"/>
  <c r="Y366" i="2" s="1"/>
  <c r="Q366" i="2"/>
  <c r="U410" i="2"/>
  <c r="Q410" i="2"/>
  <c r="O410" i="2"/>
  <c r="Q418" i="2"/>
  <c r="U418" i="2"/>
  <c r="O231" i="2"/>
  <c r="Y267" i="2"/>
  <c r="AB267" i="2" s="1"/>
  <c r="AC267" i="2" s="1"/>
  <c r="Q133" i="2"/>
  <c r="Q97" i="2"/>
  <c r="Q254" i="2"/>
  <c r="U254" i="2"/>
  <c r="W254" i="2" s="1"/>
  <c r="X254" i="2" s="1"/>
  <c r="Y254" i="2" s="1"/>
  <c r="Q210" i="2"/>
  <c r="O210" i="2"/>
  <c r="U210" i="2"/>
  <c r="U253" i="2"/>
  <c r="W253" i="2" s="1"/>
  <c r="X253" i="2" s="1"/>
  <c r="Y253" i="2" s="1"/>
  <c r="Q253" i="2"/>
  <c r="U208" i="2"/>
  <c r="Q208" i="2"/>
  <c r="U225" i="2"/>
  <c r="Q225" i="2"/>
  <c r="Q310" i="2"/>
  <c r="Q231" i="2"/>
  <c r="Q266" i="2"/>
  <c r="U266" i="2"/>
  <c r="U178" i="2"/>
  <c r="O178" i="2"/>
  <c r="Q178" i="2"/>
  <c r="Q356" i="2"/>
  <c r="U356" i="2"/>
  <c r="W356" i="2" s="1"/>
  <c r="X356" i="2" s="1"/>
  <c r="Y356" i="2" s="1"/>
  <c r="V36" i="2"/>
  <c r="V227" i="2"/>
  <c r="W227" i="2"/>
  <c r="X227" i="2" s="1"/>
  <c r="Y227" i="2" s="1"/>
  <c r="AB227" i="2" s="1"/>
  <c r="AC227" i="2" s="1"/>
  <c r="Q120" i="2"/>
  <c r="U120" i="2"/>
  <c r="Y85" i="2"/>
  <c r="U77" i="2"/>
  <c r="W77" i="2" s="1"/>
  <c r="X77" i="2" s="1"/>
  <c r="Y77" i="2" s="1"/>
  <c r="AB77" i="2" s="1"/>
  <c r="AC77" i="2" s="1"/>
  <c r="W370" i="2"/>
  <c r="X370" i="2" s="1"/>
  <c r="Y370" i="2" s="1"/>
  <c r="U310" i="2"/>
  <c r="Q85" i="2"/>
  <c r="Q147" i="2"/>
  <c r="U147" i="2"/>
  <c r="Q392" i="2"/>
  <c r="U392" i="2"/>
  <c r="W392" i="2" s="1"/>
  <c r="X392" i="2" s="1"/>
  <c r="Y392" i="2" s="1"/>
  <c r="U171" i="2"/>
  <c r="Q152" i="2"/>
  <c r="O77" i="2"/>
  <c r="Y257" i="2"/>
  <c r="U133" i="2"/>
  <c r="Y133" i="2" s="1"/>
  <c r="AB133" i="2" s="1"/>
  <c r="AC133" i="2" s="1"/>
  <c r="V303" i="2"/>
  <c r="W385" i="2"/>
  <c r="X385" i="2" s="1"/>
  <c r="Y385" i="2" s="1"/>
  <c r="AB385" i="2" s="1"/>
  <c r="AC385" i="2" s="1"/>
  <c r="W117" i="2"/>
  <c r="X117" i="2" s="1"/>
  <c r="Y117" i="2"/>
  <c r="AB117" i="2" s="1"/>
  <c r="AC117" i="2" s="1"/>
  <c r="V117" i="2"/>
  <c r="U144" i="2"/>
  <c r="W144" i="2" s="1"/>
  <c r="X144" i="2" s="1"/>
  <c r="U34" i="2"/>
  <c r="O34" i="2"/>
  <c r="Q344" i="2"/>
  <c r="Q24" i="2"/>
  <c r="Q404" i="2"/>
  <c r="U404" i="2"/>
  <c r="Q297" i="2"/>
  <c r="U297" i="2"/>
  <c r="W297" i="2" s="1"/>
  <c r="X297" i="2" s="1"/>
  <c r="Y297" i="2" s="1"/>
  <c r="V193" i="2"/>
  <c r="W193" i="2"/>
  <c r="X193" i="2" s="1"/>
  <c r="Y193" i="2" s="1"/>
  <c r="AB193" i="2" s="1"/>
  <c r="AC193" i="2" s="1"/>
  <c r="Q181" i="2"/>
  <c r="O181" i="2"/>
  <c r="U181" i="2"/>
  <c r="V267" i="2"/>
  <c r="W372" i="2"/>
  <c r="X372" i="2" s="1"/>
  <c r="Y372" i="2" s="1"/>
  <c r="V393" i="2"/>
  <c r="W393" i="2"/>
  <c r="X393" i="2" s="1"/>
  <c r="Y393" i="2" s="1"/>
  <c r="AB393" i="2" s="1"/>
  <c r="AC393" i="2" s="1"/>
  <c r="U271" i="2"/>
  <c r="Q271" i="2"/>
  <c r="O271" i="2"/>
  <c r="V285" i="2"/>
  <c r="W285" i="2"/>
  <c r="X285" i="2" s="1"/>
  <c r="Y285" i="2" s="1"/>
  <c r="AB285" i="2" s="1"/>
  <c r="AC285" i="2" s="1"/>
  <c r="Q351" i="2"/>
  <c r="U351" i="2"/>
  <c r="W169" i="2"/>
  <c r="X169" i="2" s="1"/>
  <c r="Y169" i="2" s="1"/>
  <c r="Q44" i="2"/>
  <c r="U44" i="2"/>
  <c r="Q262" i="2"/>
  <c r="U262" i="2"/>
  <c r="U116" i="2"/>
  <c r="O116" i="2"/>
  <c r="Q116" i="2"/>
  <c r="W350" i="2"/>
  <c r="X350" i="2" s="1"/>
  <c r="Y350" i="2" s="1"/>
  <c r="W93" i="2"/>
  <c r="X93" i="2" s="1"/>
  <c r="Y93" i="2" s="1"/>
  <c r="U352" i="2"/>
  <c r="Q352" i="2"/>
  <c r="Q212" i="2"/>
  <c r="U212" i="2"/>
  <c r="O212" i="2"/>
  <c r="W269" i="2"/>
  <c r="X269" i="2" s="1"/>
  <c r="Y269" i="2" s="1"/>
  <c r="AB269" i="2" s="1"/>
  <c r="AC269" i="2" s="1"/>
  <c r="V269" i="2"/>
  <c r="U176" i="2"/>
  <c r="Q176" i="2"/>
  <c r="O176" i="2"/>
  <c r="W338" i="2"/>
  <c r="X338" i="2" s="1"/>
  <c r="Y338" i="2" s="1"/>
  <c r="W123" i="2"/>
  <c r="X123" i="2" s="1"/>
  <c r="Y123" i="2" s="1"/>
  <c r="U162" i="2"/>
  <c r="Q162" i="2"/>
  <c r="O162" i="2"/>
  <c r="W164" i="2"/>
  <c r="X164" i="2" s="1"/>
  <c r="Y164" i="2" s="1"/>
  <c r="U102" i="2"/>
  <c r="Q102" i="2"/>
  <c r="U396" i="2"/>
  <c r="Q396" i="2"/>
  <c r="O396" i="2"/>
  <c r="U332" i="2"/>
  <c r="Q332" i="2"/>
  <c r="O332" i="2"/>
  <c r="W306" i="2"/>
  <c r="X306" i="2" s="1"/>
  <c r="Y306" i="2" s="1"/>
  <c r="Q324" i="2"/>
  <c r="O324" i="2"/>
  <c r="U324" i="2"/>
  <c r="W364" i="2"/>
  <c r="X364" i="2" s="1"/>
  <c r="Y364" i="2" s="1"/>
  <c r="W375" i="2"/>
  <c r="X375" i="2" s="1"/>
  <c r="Y375" i="2" s="1"/>
  <c r="O244" i="2"/>
  <c r="U244" i="2"/>
  <c r="Q244" i="2"/>
  <c r="U403" i="2"/>
  <c r="Q403" i="2"/>
  <c r="O403" i="2"/>
  <c r="W167" i="2"/>
  <c r="X167" i="2" s="1"/>
  <c r="Y167" i="2" s="1"/>
  <c r="AB167" i="2" s="1"/>
  <c r="AC167" i="2" s="1"/>
  <c r="V167" i="2"/>
  <c r="U91" i="2"/>
  <c r="O91" i="2"/>
  <c r="Q91" i="2"/>
  <c r="W223" i="2"/>
  <c r="X223" i="2" s="1"/>
  <c r="Y223" i="2" s="1"/>
  <c r="AB223" i="2" s="1"/>
  <c r="AC223" i="2" s="1"/>
  <c r="V223" i="2"/>
  <c r="W347" i="2"/>
  <c r="X347" i="2" s="1"/>
  <c r="Y347" i="2" s="1"/>
  <c r="Q5" i="2"/>
  <c r="U5" i="2"/>
  <c r="W73" i="2"/>
  <c r="X73" i="2" s="1"/>
  <c r="Y73" i="2" s="1"/>
  <c r="Y53" i="2"/>
  <c r="W53" i="2"/>
  <c r="X53" i="2" s="1"/>
  <c r="Y58" i="2"/>
  <c r="W58" i="2"/>
  <c r="X58" i="2" s="1"/>
  <c r="W13" i="2"/>
  <c r="X13" i="2" s="1"/>
  <c r="Y13" i="2" s="1"/>
  <c r="W126" i="2"/>
  <c r="X126" i="2" s="1"/>
  <c r="Y126" i="2" s="1"/>
  <c r="AB126" i="2" s="1"/>
  <c r="AC126" i="2" s="1"/>
  <c r="V126" i="2"/>
  <c r="O270" i="2"/>
  <c r="U270" i="2"/>
  <c r="Q270" i="2"/>
  <c r="U376" i="2"/>
  <c r="Q376" i="2"/>
  <c r="U190" i="2"/>
  <c r="Q190" i="2"/>
  <c r="O190" i="2"/>
  <c r="Q221" i="2"/>
  <c r="O221" i="2"/>
  <c r="U221" i="2"/>
  <c r="W222" i="2"/>
  <c r="X222" i="2" s="1"/>
  <c r="Y222" i="2" s="1"/>
  <c r="AB222" i="2" s="1"/>
  <c r="AC222" i="2" s="1"/>
  <c r="V222" i="2"/>
  <c r="W388" i="2"/>
  <c r="X388" i="2" s="1"/>
  <c r="Y388" i="2" s="1"/>
  <c r="AB388" i="2" s="1"/>
  <c r="AC388" i="2" s="1"/>
  <c r="V388" i="2"/>
  <c r="W61" i="2"/>
  <c r="X61" i="2" s="1"/>
  <c r="Y61" i="2" s="1"/>
  <c r="W373" i="2"/>
  <c r="X373" i="2" s="1"/>
  <c r="Y373" i="2" s="1"/>
  <c r="AB373" i="2" s="1"/>
  <c r="AC373" i="2" s="1"/>
  <c r="V373" i="2"/>
  <c r="U76" i="2"/>
  <c r="Q76" i="2"/>
  <c r="Q43" i="2"/>
  <c r="U43" i="2"/>
  <c r="V134" i="2"/>
  <c r="W134" i="2"/>
  <c r="X134" i="2" s="1"/>
  <c r="Y134" i="2" s="1"/>
  <c r="AB134" i="2" s="1"/>
  <c r="AC134" i="2" s="1"/>
  <c r="W155" i="2"/>
  <c r="X155" i="2" s="1"/>
  <c r="Y155" i="2" s="1"/>
  <c r="W33" i="2"/>
  <c r="X33" i="2" s="1"/>
  <c r="Y33" i="2" s="1"/>
  <c r="AB33" i="2" s="1"/>
  <c r="AC33" i="2" s="1"/>
  <c r="V33" i="2"/>
  <c r="V96" i="2"/>
  <c r="W96" i="2"/>
  <c r="X96" i="2" s="1"/>
  <c r="Y96" i="2"/>
  <c r="AB96" i="2" s="1"/>
  <c r="AC96" i="2" s="1"/>
  <c r="W9" i="2"/>
  <c r="X9" i="2" s="1"/>
  <c r="Y9" i="2"/>
  <c r="W21" i="2"/>
  <c r="X21" i="2" s="1"/>
  <c r="Y21" i="2" s="1"/>
  <c r="W286" i="2"/>
  <c r="X286" i="2" s="1"/>
  <c r="Y286" i="2" s="1"/>
  <c r="AB286" i="2" s="1"/>
  <c r="AC286" i="2" s="1"/>
  <c r="V286" i="2"/>
  <c r="U250" i="2"/>
  <c r="Q250" i="2"/>
  <c r="U184" i="2"/>
  <c r="Q184" i="2"/>
  <c r="O328" i="2"/>
  <c r="U328" i="2"/>
  <c r="Q328" i="2"/>
  <c r="W69" i="2"/>
  <c r="X69" i="2" s="1"/>
  <c r="Y69" i="2" s="1"/>
  <c r="AB69" i="2" s="1"/>
  <c r="AC69" i="2" s="1"/>
  <c r="V69" i="2"/>
  <c r="Q265" i="2"/>
  <c r="U265" i="2"/>
  <c r="W296" i="2"/>
  <c r="X296" i="2" s="1"/>
  <c r="Y296" i="2"/>
  <c r="U115" i="2"/>
  <c r="Q115" i="2"/>
  <c r="O115" i="2"/>
  <c r="U67" i="2"/>
  <c r="Q67" i="2"/>
  <c r="W139" i="2"/>
  <c r="X139" i="2" s="1"/>
  <c r="Y139" i="2" s="1"/>
  <c r="W321" i="2"/>
  <c r="X321" i="2" s="1"/>
  <c r="Y321" i="2" s="1"/>
  <c r="Q288" i="2"/>
  <c r="O288" i="2"/>
  <c r="U288" i="2"/>
  <c r="Y419" i="2"/>
  <c r="AB419" i="2" s="1"/>
  <c r="AC419" i="2" s="1"/>
  <c r="W419" i="2"/>
  <c r="X419" i="2" s="1"/>
  <c r="V419" i="2"/>
  <c r="W214" i="2"/>
  <c r="X214" i="2" s="1"/>
  <c r="Y214" i="2" s="1"/>
  <c r="O143" i="2"/>
  <c r="Q143" i="2"/>
  <c r="U143" i="2"/>
  <c r="U322" i="2"/>
  <c r="Q322" i="2"/>
  <c r="O322" i="2"/>
  <c r="Q52" i="2"/>
  <c r="U52" i="2"/>
  <c r="W136" i="2"/>
  <c r="X136" i="2" s="1"/>
  <c r="Y136" i="2" s="1"/>
  <c r="Q189" i="2"/>
  <c r="O189" i="2"/>
  <c r="U189" i="2"/>
  <c r="Q89" i="2"/>
  <c r="O89" i="2"/>
  <c r="U89" i="2"/>
  <c r="Q48" i="2"/>
  <c r="U48" i="2"/>
  <c r="W367" i="2"/>
  <c r="X367" i="2" s="1"/>
  <c r="Y367" i="2" s="1"/>
  <c r="W88" i="2"/>
  <c r="X88" i="2" s="1"/>
  <c r="Y88" i="2" s="1"/>
  <c r="W308" i="2"/>
  <c r="X308" i="2" s="1"/>
  <c r="Y308" i="2" s="1"/>
  <c r="V118" i="2"/>
  <c r="W118" i="2"/>
  <c r="X118" i="2" s="1"/>
  <c r="Y118" i="2" s="1"/>
  <c r="AB118" i="2" s="1"/>
  <c r="AC118" i="2" s="1"/>
  <c r="W170" i="2"/>
  <c r="X170" i="2" s="1"/>
  <c r="Y170" i="2"/>
  <c r="W60" i="2"/>
  <c r="X60" i="2" s="1"/>
  <c r="Y60" i="2" s="1"/>
  <c r="U198" i="2"/>
  <c r="Q198" i="2"/>
  <c r="O198" i="2"/>
  <c r="Q20" i="2"/>
  <c r="U20" i="2"/>
  <c r="W101" i="2"/>
  <c r="X101" i="2" s="1"/>
  <c r="Y101" i="2" s="1"/>
  <c r="O276" i="2"/>
  <c r="U276" i="2"/>
  <c r="Q276" i="2"/>
  <c r="U382" i="2"/>
  <c r="Q382" i="2"/>
  <c r="U259" i="2"/>
  <c r="Q259" i="2"/>
  <c r="W312" i="2"/>
  <c r="X312" i="2" s="1"/>
  <c r="Y312" i="2" s="1"/>
  <c r="AB312" i="2" s="1"/>
  <c r="AC312" i="2" s="1"/>
  <c r="V312" i="2"/>
  <c r="U121" i="2"/>
  <c r="Q121" i="2"/>
  <c r="W291" i="2"/>
  <c r="X291" i="2" s="1"/>
  <c r="Y291" i="2" s="1"/>
  <c r="V195" i="2"/>
  <c r="W195" i="2"/>
  <c r="X195" i="2" s="1"/>
  <c r="Y195" i="2" s="1"/>
  <c r="AB195" i="2" s="1"/>
  <c r="AC195" i="2" s="1"/>
  <c r="V284" i="2"/>
  <c r="W284" i="2"/>
  <c r="X284" i="2" s="1"/>
  <c r="Y284" i="2" s="1"/>
  <c r="AB284" i="2" s="1"/>
  <c r="AC284" i="2" s="1"/>
  <c r="Q40" i="2"/>
  <c r="U40" i="2"/>
  <c r="O40" i="2"/>
  <c r="W130" i="2"/>
  <c r="X130" i="2" s="1"/>
  <c r="Y130" i="2" s="1"/>
  <c r="AB130" i="2" s="1"/>
  <c r="AC130" i="2" s="1"/>
  <c r="V130" i="2"/>
  <c r="W51" i="2"/>
  <c r="X51" i="2" s="1"/>
  <c r="Y51" i="2" s="1"/>
  <c r="U23" i="2"/>
  <c r="Q23" i="2"/>
  <c r="O23" i="2"/>
  <c r="U272" i="2"/>
  <c r="Q272" i="2"/>
  <c r="O272" i="2"/>
  <c r="W7" i="2"/>
  <c r="X7" i="2" s="1"/>
  <c r="Y7" i="2" s="1"/>
  <c r="O165" i="2"/>
  <c r="U165" i="2"/>
  <c r="Q165" i="2"/>
  <c r="Q213" i="2"/>
  <c r="U213" i="2"/>
  <c r="O213" i="2"/>
  <c r="U224" i="2"/>
  <c r="Q224" i="2"/>
  <c r="O224" i="2"/>
  <c r="W357" i="2"/>
  <c r="X357" i="2" s="1"/>
  <c r="Y357" i="2"/>
  <c r="W171" i="2"/>
  <c r="X171" i="2" s="1"/>
  <c r="Y171" i="2"/>
  <c r="W414" i="2"/>
  <c r="X414" i="2" s="1"/>
  <c r="Y414" i="2" s="1"/>
  <c r="AB414" i="2" s="1"/>
  <c r="AC414" i="2" s="1"/>
  <c r="V414" i="2"/>
  <c r="U186" i="2"/>
  <c r="Q186" i="2"/>
  <c r="W207" i="2"/>
  <c r="X207" i="2" s="1"/>
  <c r="Y207" i="2" s="1"/>
  <c r="AB207" i="2" s="1"/>
  <c r="AC207" i="2" s="1"/>
  <c r="V207" i="2"/>
  <c r="Y65" i="2"/>
  <c r="W65" i="2"/>
  <c r="X65" i="2" s="1"/>
  <c r="Q256" i="2"/>
  <c r="U256" i="2"/>
  <c r="Q30" i="2"/>
  <c r="U30" i="2"/>
  <c r="O30" i="2"/>
  <c r="U84" i="2"/>
  <c r="Q84" i="2"/>
  <c r="O84" i="2"/>
  <c r="Q87" i="2"/>
  <c r="U87" i="2"/>
  <c r="U301" i="2"/>
  <c r="Q301" i="2"/>
  <c r="O301" i="2"/>
  <c r="Q64" i="2"/>
  <c r="U64" i="2"/>
  <c r="W17" i="2"/>
  <c r="X17" i="2" s="1"/>
  <c r="Y17" i="2" s="1"/>
  <c r="W349" i="2"/>
  <c r="X349" i="2" s="1"/>
  <c r="Y349" i="2" s="1"/>
  <c r="W234" i="2"/>
  <c r="X234" i="2" s="1"/>
  <c r="V234" i="2"/>
  <c r="Y234" i="2"/>
  <c r="AB234" i="2" s="1"/>
  <c r="AC234" i="2" s="1"/>
  <c r="W12" i="2"/>
  <c r="X12" i="2" s="1"/>
  <c r="Y12" i="2" s="1"/>
  <c r="W389" i="2"/>
  <c r="X389" i="2" s="1"/>
  <c r="Y389" i="2" s="1"/>
  <c r="W398" i="2"/>
  <c r="X398" i="2" s="1"/>
  <c r="V398" i="2"/>
  <c r="Y398" i="2"/>
  <c r="AB398" i="2" s="1"/>
  <c r="AC398" i="2" s="1"/>
  <c r="W325" i="2"/>
  <c r="X325" i="2" s="1"/>
  <c r="Y325" i="2" s="1"/>
  <c r="Q216" i="2"/>
  <c r="U216" i="2"/>
  <c r="Q329" i="2"/>
  <c r="O329" i="2"/>
  <c r="U329" i="2"/>
  <c r="W215" i="2"/>
  <c r="X215" i="2" s="1"/>
  <c r="Y215" i="2" s="1"/>
  <c r="U239" i="2"/>
  <c r="O239" i="2"/>
  <c r="Q239" i="2"/>
  <c r="W316" i="2"/>
  <c r="X316" i="2" s="1"/>
  <c r="V316" i="2"/>
  <c r="Y316" i="2"/>
  <c r="AB316" i="2" s="1"/>
  <c r="AC316" i="2" s="1"/>
  <c r="Q247" i="2"/>
  <c r="U247" i="2"/>
  <c r="W133" i="2"/>
  <c r="X133" i="2" s="1"/>
  <c r="V133" i="2"/>
  <c r="U179" i="2"/>
  <c r="Q179" i="2"/>
  <c r="O179" i="2"/>
  <c r="W182" i="2"/>
  <c r="X182" i="2" s="1"/>
  <c r="Y182" i="2" s="1"/>
  <c r="U327" i="2"/>
  <c r="Q327" i="2"/>
  <c r="O327" i="2"/>
  <c r="U204" i="2"/>
  <c r="Q204" i="2"/>
  <c r="W282" i="2"/>
  <c r="X282" i="2" s="1"/>
  <c r="V282" i="2"/>
  <c r="Y282" i="2"/>
  <c r="AB282" i="2" s="1"/>
  <c r="AC282" i="2" s="1"/>
  <c r="W313" i="2"/>
  <c r="X313" i="2" s="1"/>
  <c r="V313" i="2"/>
  <c r="Y313" i="2"/>
  <c r="AB313" i="2" s="1"/>
  <c r="AC313" i="2" s="1"/>
  <c r="W335" i="2"/>
  <c r="X335" i="2" s="1"/>
  <c r="Y335" i="2" s="1"/>
  <c r="V314" i="2"/>
  <c r="W314" i="2"/>
  <c r="X314" i="2" s="1"/>
  <c r="Y314" i="2" s="1"/>
  <c r="AB314" i="2" s="1"/>
  <c r="AC314" i="2" s="1"/>
  <c r="W341" i="2"/>
  <c r="X341" i="2" s="1"/>
  <c r="Y341" i="2" s="1"/>
  <c r="U22" i="2"/>
  <c r="Q22" i="2"/>
  <c r="O22" i="2"/>
  <c r="O211" i="2"/>
  <c r="U211" i="2"/>
  <c r="Q211" i="2"/>
  <c r="W192" i="2"/>
  <c r="X192" i="2" s="1"/>
  <c r="V192" i="2"/>
  <c r="Y192" i="2"/>
  <c r="AB192" i="2" s="1"/>
  <c r="AC192" i="2" s="1"/>
  <c r="W72" i="2"/>
  <c r="X72" i="2" s="1"/>
  <c r="Y72" i="2"/>
  <c r="Q79" i="2"/>
  <c r="U79" i="2"/>
  <c r="O79" i="2"/>
  <c r="U300" i="2"/>
  <c r="Q300" i="2"/>
  <c r="W187" i="2"/>
  <c r="X187" i="2" s="1"/>
  <c r="Y187" i="2" s="1"/>
  <c r="U299" i="2"/>
  <c r="Q299" i="2"/>
  <c r="Q381" i="2"/>
  <c r="O381" i="2"/>
  <c r="U381" i="2"/>
  <c r="U380" i="2"/>
  <c r="O380" i="2"/>
  <c r="Q380" i="2"/>
  <c r="U220" i="2"/>
  <c r="Q220" i="2"/>
  <c r="O220" i="2"/>
  <c r="W337" i="2"/>
  <c r="X337" i="2" s="1"/>
  <c r="Y337" i="2" s="1"/>
  <c r="W217" i="2"/>
  <c r="X217" i="2" s="1"/>
  <c r="Y217" i="2" s="1"/>
  <c r="V201" i="2"/>
  <c r="W201" i="2"/>
  <c r="X201" i="2" s="1"/>
  <c r="Y201" i="2" s="1"/>
  <c r="AB201" i="2" s="1"/>
  <c r="AC201" i="2" s="1"/>
  <c r="U274" i="2"/>
  <c r="Q274" i="2"/>
  <c r="O274" i="2"/>
  <c r="V31" i="2"/>
  <c r="W31" i="2"/>
  <c r="X31" i="2" s="1"/>
  <c r="Y31" i="2" s="1"/>
  <c r="AB31" i="2" s="1"/>
  <c r="AC31" i="2" s="1"/>
  <c r="Q19" i="2"/>
  <c r="U19" i="2"/>
  <c r="U209" i="2"/>
  <c r="Q209" i="2"/>
  <c r="O209" i="2"/>
  <c r="Q255" i="2"/>
  <c r="U255" i="2"/>
  <c r="O131" i="2"/>
  <c r="U131" i="2"/>
  <c r="Q131" i="2"/>
  <c r="W194" i="2"/>
  <c r="X194" i="2" s="1"/>
  <c r="Y194" i="2" s="1"/>
  <c r="AB194" i="2" s="1"/>
  <c r="AC194" i="2" s="1"/>
  <c r="V194" i="2"/>
  <c r="U241" i="2"/>
  <c r="Q241" i="2"/>
  <c r="O241" i="2"/>
  <c r="W107" i="2"/>
  <c r="X107" i="2" s="1"/>
  <c r="Y107" i="2" s="1"/>
  <c r="W368" i="2"/>
  <c r="X368" i="2" s="1"/>
  <c r="Y368" i="2" s="1"/>
  <c r="V206" i="2"/>
  <c r="W206" i="2"/>
  <c r="X206" i="2" s="1"/>
  <c r="Y206" i="2" s="1"/>
  <c r="AB206" i="2" s="1"/>
  <c r="AC206" i="2" s="1"/>
  <c r="V32" i="2"/>
  <c r="W32" i="2"/>
  <c r="X32" i="2" s="1"/>
  <c r="Y32" i="2" s="1"/>
  <c r="AB32" i="2" s="1"/>
  <c r="AC32" i="2" s="1"/>
  <c r="W54" i="2"/>
  <c r="X54" i="2" s="1"/>
  <c r="Y54" i="2" s="1"/>
  <c r="V304" i="2"/>
  <c r="W304" i="2"/>
  <c r="X304" i="2" s="1"/>
  <c r="Y304" i="2" s="1"/>
  <c r="AB304" i="2" s="1"/>
  <c r="AC304" i="2" s="1"/>
  <c r="Q251" i="2"/>
  <c r="U251" i="2"/>
  <c r="W343" i="2"/>
  <c r="X343" i="2" s="1"/>
  <c r="Y343" i="2" s="1"/>
  <c r="W132" i="2"/>
  <c r="X132" i="2" s="1"/>
  <c r="Y132" i="2"/>
  <c r="AB132" i="2" s="1"/>
  <c r="AC132" i="2" s="1"/>
  <c r="V132" i="2"/>
  <c r="O41" i="2"/>
  <c r="U41" i="2"/>
  <c r="Q41" i="2"/>
  <c r="U260" i="2"/>
  <c r="Q260" i="2"/>
  <c r="W384" i="2"/>
  <c r="X384" i="2" s="1"/>
  <c r="Y384" i="2"/>
  <c r="W342" i="2"/>
  <c r="X342" i="2" s="1"/>
  <c r="Y342" i="2"/>
  <c r="W318" i="2"/>
  <c r="X318" i="2" s="1"/>
  <c r="Y318" i="2" s="1"/>
  <c r="Y354" i="2"/>
  <c r="W354" i="2"/>
  <c r="X354" i="2" s="1"/>
  <c r="Y378" i="2"/>
  <c r="W378" i="2"/>
  <c r="X378" i="2" s="1"/>
  <c r="W236" i="2"/>
  <c r="X236" i="2" s="1"/>
  <c r="Y236" i="2" s="1"/>
  <c r="AB236" i="2" s="1"/>
  <c r="AC236" i="2" s="1"/>
  <c r="V236" i="2"/>
  <c r="W268" i="2"/>
  <c r="X268" i="2" s="1"/>
  <c r="V268" i="2"/>
  <c r="Y268" i="2"/>
  <c r="AB268" i="2" s="1"/>
  <c r="AC268" i="2" s="1"/>
  <c r="W379" i="2"/>
  <c r="X379" i="2" s="1"/>
  <c r="Y379" i="2" s="1"/>
  <c r="U145" i="2"/>
  <c r="Q145" i="2"/>
  <c r="W287" i="2"/>
  <c r="X287" i="2" s="1"/>
  <c r="V287" i="2"/>
  <c r="Y287" i="2"/>
  <c r="AB287" i="2" s="1"/>
  <c r="AC287" i="2" s="1"/>
  <c r="V219" i="2"/>
  <c r="W219" i="2"/>
  <c r="X219" i="2" s="1"/>
  <c r="Y219" i="2" s="1"/>
  <c r="AB219" i="2" s="1"/>
  <c r="AC219" i="2" s="1"/>
  <c r="V310" i="2"/>
  <c r="W310" i="2"/>
  <c r="X310" i="2" s="1"/>
  <c r="Y310" i="2"/>
  <c r="AB310" i="2" s="1"/>
  <c r="AC310" i="2" s="1"/>
  <c r="U235" i="2"/>
  <c r="Q235" i="2"/>
  <c r="O235" i="2"/>
  <c r="V197" i="2"/>
  <c r="W197" i="2"/>
  <c r="X197" i="2" s="1"/>
  <c r="Y197" i="2" s="1"/>
  <c r="AB197" i="2" s="1"/>
  <c r="AC197" i="2" s="1"/>
  <c r="U240" i="2"/>
  <c r="Q240" i="2"/>
  <c r="O240" i="2"/>
  <c r="W114" i="2"/>
  <c r="X114" i="2" s="1"/>
  <c r="Y114" i="2" s="1"/>
  <c r="W218" i="2"/>
  <c r="X218" i="2" s="1"/>
  <c r="V218" i="2"/>
  <c r="Y218" i="2"/>
  <c r="AB218" i="2" s="1"/>
  <c r="AC218" i="2" s="1"/>
  <c r="U151" i="2"/>
  <c r="Q151" i="2"/>
  <c r="O151" i="2"/>
  <c r="W106" i="2"/>
  <c r="X106" i="2" s="1"/>
  <c r="Y106" i="2" s="1"/>
  <c r="U278" i="2"/>
  <c r="Q278" i="2"/>
  <c r="O278" i="2"/>
  <c r="U112" i="2"/>
  <c r="Q112" i="2"/>
  <c r="V229" i="2"/>
  <c r="W229" i="2"/>
  <c r="X229" i="2" s="1"/>
  <c r="Y229" i="2" s="1"/>
  <c r="AB229" i="2" s="1"/>
  <c r="AC229" i="2" s="1"/>
  <c r="W283" i="2"/>
  <c r="X283" i="2" s="1"/>
  <c r="Y283" i="2" s="1"/>
  <c r="AB283" i="2" s="1"/>
  <c r="AC283" i="2" s="1"/>
  <c r="V283" i="2"/>
  <c r="W302" i="2"/>
  <c r="X302" i="2" s="1"/>
  <c r="Y302" i="2" s="1"/>
  <c r="AB302" i="2" s="1"/>
  <c r="AC302" i="2" s="1"/>
  <c r="V302" i="2"/>
  <c r="V323" i="2"/>
  <c r="W161" i="2"/>
  <c r="X161" i="2" s="1"/>
  <c r="Y161" i="2" s="1"/>
  <c r="U369" i="2"/>
  <c r="Q369" i="2"/>
  <c r="U156" i="2"/>
  <c r="Q156" i="2"/>
  <c r="Q391" i="2"/>
  <c r="U391" i="2"/>
  <c r="W103" i="2"/>
  <c r="X103" i="2" s="1"/>
  <c r="Y103" i="2" s="1"/>
  <c r="Q83" i="2"/>
  <c r="U83" i="2"/>
  <c r="V395" i="2"/>
  <c r="W395" i="2"/>
  <c r="X395" i="2" s="1"/>
  <c r="Y395" i="2"/>
  <c r="AB395" i="2" s="1"/>
  <c r="AC395" i="2" s="1"/>
  <c r="W359" i="2"/>
  <c r="X359" i="2" s="1"/>
  <c r="Y359" i="2" s="1"/>
  <c r="W98" i="2"/>
  <c r="X98" i="2" s="1"/>
  <c r="V98" i="2"/>
  <c r="Y98" i="2"/>
  <c r="AB98" i="2" s="1"/>
  <c r="AC98" i="2" s="1"/>
  <c r="Q81" i="2"/>
  <c r="U81" i="2"/>
  <c r="Q15" i="2"/>
  <c r="U15" i="2"/>
  <c r="W362" i="2"/>
  <c r="X362" i="2" s="1"/>
  <c r="Y362" i="2" s="1"/>
  <c r="V230" i="2"/>
  <c r="W230" i="2"/>
  <c r="X230" i="2" s="1"/>
  <c r="Y230" i="2"/>
  <c r="AB230" i="2" s="1"/>
  <c r="AC230" i="2" s="1"/>
  <c r="V196" i="2"/>
  <c r="W196" i="2"/>
  <c r="X196" i="2" s="1"/>
  <c r="Y196" i="2" s="1"/>
  <c r="AB196" i="2" s="1"/>
  <c r="AC196" i="2" s="1"/>
  <c r="W339" i="2"/>
  <c r="X339" i="2" s="1"/>
  <c r="Y339" i="2" s="1"/>
  <c r="U202" i="2"/>
  <c r="Q202" i="2"/>
  <c r="Q279" i="2"/>
  <c r="O279" i="2"/>
  <c r="U279" i="2"/>
  <c r="Q109" i="2"/>
  <c r="U109" i="2"/>
  <c r="O109" i="2"/>
  <c r="U290" i="2"/>
  <c r="Q290" i="2"/>
  <c r="O290" i="2"/>
  <c r="W59" i="2"/>
  <c r="X59" i="2" s="1"/>
  <c r="Y59" i="2" s="1"/>
  <c r="W401" i="2"/>
  <c r="X401" i="2" s="1"/>
  <c r="V401" i="2"/>
  <c r="Y401" i="2"/>
  <c r="AB401" i="2" s="1"/>
  <c r="AC401" i="2" s="1"/>
  <c r="W408" i="2"/>
  <c r="X408" i="2" s="1"/>
  <c r="Y408" i="2"/>
  <c r="W294" i="2"/>
  <c r="X294" i="2" s="1"/>
  <c r="Y294" i="2"/>
  <c r="W289" i="2"/>
  <c r="X289" i="2" s="1"/>
  <c r="Y289" i="2" s="1"/>
  <c r="AB289" i="2" s="1"/>
  <c r="AC289" i="2" s="1"/>
  <c r="V289" i="2"/>
  <c r="Q248" i="2"/>
  <c r="U248" i="2"/>
  <c r="O386" i="2"/>
  <c r="U386" i="2"/>
  <c r="Q386" i="2"/>
  <c r="W150" i="2"/>
  <c r="X150" i="2" s="1"/>
  <c r="Y150" i="2" s="1"/>
  <c r="U319" i="2"/>
  <c r="Q319" i="2"/>
  <c r="Q275" i="2"/>
  <c r="U275" i="2"/>
  <c r="O275" i="2"/>
  <c r="V152" i="2"/>
  <c r="W152" i="2"/>
  <c r="X152" i="2" s="1"/>
  <c r="Y152" i="2" s="1"/>
  <c r="AB152" i="2" s="1"/>
  <c r="AC152" i="2" s="1"/>
  <c r="W158" i="2"/>
  <c r="X158" i="2" s="1"/>
  <c r="V158" i="2"/>
  <c r="Y158" i="2"/>
  <c r="AB158" i="2" s="1"/>
  <c r="AC158" i="2" s="1"/>
  <c r="V173" i="2"/>
  <c r="W173" i="2"/>
  <c r="X173" i="2" s="1"/>
  <c r="Y173" i="2" s="1"/>
  <c r="AB173" i="2" s="1"/>
  <c r="AC173" i="2" s="1"/>
  <c r="O39" i="2"/>
  <c r="U39" i="2"/>
  <c r="Q39" i="2"/>
  <c r="O140" i="2"/>
  <c r="U140" i="2"/>
  <c r="Q140" i="2"/>
  <c r="W38" i="2"/>
  <c r="X38" i="2" s="1"/>
  <c r="Y38" i="2" s="1"/>
  <c r="AB38" i="2" s="1"/>
  <c r="AC38" i="2" s="1"/>
  <c r="V38" i="2"/>
  <c r="W108" i="2"/>
  <c r="X108" i="2" s="1"/>
  <c r="Y108" i="2"/>
  <c r="Q10" i="2"/>
  <c r="U10" i="2"/>
  <c r="W113" i="2"/>
  <c r="X113" i="2" s="1"/>
  <c r="Y113" i="2"/>
  <c r="W75" i="2"/>
  <c r="X75" i="2" s="1"/>
  <c r="Y75" i="2" s="1"/>
  <c r="AB75" i="2" s="1"/>
  <c r="AC75" i="2" s="1"/>
  <c r="V75" i="2"/>
  <c r="W125" i="2"/>
  <c r="X125" i="2" s="1"/>
  <c r="V125" i="2"/>
  <c r="Y125" i="2"/>
  <c r="AB125" i="2" s="1"/>
  <c r="AC125" i="2" s="1"/>
  <c r="W277" i="2"/>
  <c r="X277" i="2" s="1"/>
  <c r="Y277" i="2" s="1"/>
  <c r="AB277" i="2" s="1"/>
  <c r="AC277" i="2" s="1"/>
  <c r="V277" i="2"/>
  <c r="U226" i="2"/>
  <c r="Q226" i="2"/>
  <c r="O416" i="2"/>
  <c r="U416" i="2"/>
  <c r="Q416" i="2"/>
  <c r="U172" i="2"/>
  <c r="Q172" i="2"/>
  <c r="U63" i="2"/>
  <c r="Q63" i="2"/>
  <c r="V29" i="2"/>
  <c r="W29" i="2"/>
  <c r="X29" i="2" s="1"/>
  <c r="Y29" i="2" s="1"/>
  <c r="AB29" i="2" s="1"/>
  <c r="AC29" i="2" s="1"/>
  <c r="W50" i="2"/>
  <c r="X50" i="2" s="1"/>
  <c r="Y50" i="2" s="1"/>
  <c r="W317" i="2"/>
  <c r="X317" i="2" s="1"/>
  <c r="V317" i="2"/>
  <c r="Y317" i="2"/>
  <c r="AB317" i="2" s="1"/>
  <c r="AC317" i="2" s="1"/>
  <c r="U199" i="2"/>
  <c r="Q199" i="2"/>
  <c r="O199" i="2"/>
  <c r="W232" i="2"/>
  <c r="X232" i="2" s="1"/>
  <c r="Y232" i="2" s="1"/>
  <c r="AB232" i="2" s="1"/>
  <c r="AC232" i="2" s="1"/>
  <c r="V232" i="2"/>
  <c r="Q203" i="2"/>
  <c r="U203" i="2"/>
  <c r="Q159" i="2"/>
  <c r="O159" i="2"/>
  <c r="U159" i="2"/>
  <c r="U128" i="2"/>
  <c r="Q128" i="2"/>
  <c r="U74" i="2"/>
  <c r="Q74" i="2"/>
  <c r="O74" i="2"/>
  <c r="V231" i="2"/>
  <c r="W231" i="2"/>
  <c r="X231" i="2" s="1"/>
  <c r="Y231" i="2"/>
  <c r="AB231" i="2" s="1"/>
  <c r="AC231" i="2" s="1"/>
  <c r="V99" i="2"/>
  <c r="W99" i="2"/>
  <c r="X99" i="2" s="1"/>
  <c r="Y99" i="2" s="1"/>
  <c r="AB99" i="2" s="1"/>
  <c r="AC99" i="2" s="1"/>
  <c r="U168" i="2"/>
  <c r="Q168" i="2"/>
  <c r="O168" i="2"/>
  <c r="W243" i="2"/>
  <c r="X243" i="2" s="1"/>
  <c r="Y243" i="2" s="1"/>
  <c r="W149" i="2"/>
  <c r="X149" i="2" s="1"/>
  <c r="Y149" i="2" s="1"/>
  <c r="W122" i="2"/>
  <c r="X122" i="2" s="1"/>
  <c r="Y122" i="2" s="1"/>
  <c r="U45" i="2"/>
  <c r="Q45" i="2"/>
  <c r="W105" i="2"/>
  <c r="X105" i="2" s="1"/>
  <c r="Y105" i="2"/>
  <c r="Q26" i="2"/>
  <c r="O26" i="2"/>
  <c r="U26" i="2"/>
  <c r="W57" i="2"/>
  <c r="X57" i="2" s="1"/>
  <c r="Y57" i="2"/>
  <c r="O141" i="2"/>
  <c r="U141" i="2"/>
  <c r="Q141" i="2"/>
  <c r="O326" i="2"/>
  <c r="U326" i="2"/>
  <c r="Q326" i="2"/>
  <c r="W49" i="2"/>
  <c r="X49" i="2" s="1"/>
  <c r="Y49" i="2" s="1"/>
  <c r="U377" i="2"/>
  <c r="Q377" i="2"/>
  <c r="U280" i="2"/>
  <c r="Q280" i="2"/>
  <c r="O280" i="2"/>
  <c r="W409" i="2"/>
  <c r="X409" i="2" s="1"/>
  <c r="V409" i="2"/>
  <c r="Y409" i="2"/>
  <c r="AB409" i="2" s="1"/>
  <c r="AC409" i="2" s="1"/>
  <c r="Q336" i="2"/>
  <c r="O336" i="2"/>
  <c r="U336" i="2"/>
  <c r="Q374" i="2"/>
  <c r="O374" i="2"/>
  <c r="U374" i="2"/>
  <c r="O82" i="2"/>
  <c r="U82" i="2"/>
  <c r="Q82" i="2"/>
  <c r="Q305" i="2"/>
  <c r="O305" i="2"/>
  <c r="U305" i="2"/>
  <c r="W16" i="2"/>
  <c r="X16" i="2" s="1"/>
  <c r="Y16" i="2"/>
  <c r="Q95" i="2"/>
  <c r="U95" i="2"/>
  <c r="W383" i="2"/>
  <c r="X383" i="2" s="1"/>
  <c r="Y383" i="2" s="1"/>
  <c r="AB383" i="2" s="1"/>
  <c r="AC383" i="2" s="1"/>
  <c r="V383" i="2"/>
  <c r="W42" i="2"/>
  <c r="X42" i="2" s="1"/>
  <c r="Y42" i="2" s="1"/>
  <c r="W78" i="2"/>
  <c r="X78" i="2" s="1"/>
  <c r="Y78" i="2" s="1"/>
  <c r="AB78" i="2" s="1"/>
  <c r="AC78" i="2" s="1"/>
  <c r="V78" i="2"/>
  <c r="W110" i="2"/>
  <c r="X110" i="2" s="1"/>
  <c r="Y110" i="2" s="1"/>
  <c r="W323" i="2" l="1"/>
  <c r="X323" i="2" s="1"/>
  <c r="Y323" i="2" s="1"/>
  <c r="AB323" i="2" s="1"/>
  <c r="AC323" i="2" s="1"/>
  <c r="V237" i="2"/>
  <c r="W120" i="2"/>
  <c r="X120" i="2" s="1"/>
  <c r="Y120" i="2" s="1"/>
  <c r="AB120" i="2" s="1"/>
  <c r="AC120" i="2" s="1"/>
  <c r="V120" i="2"/>
  <c r="V399" i="2"/>
  <c r="W399" i="2"/>
  <c r="X399" i="2" s="1"/>
  <c r="Y399" i="2" s="1"/>
  <c r="AB399" i="2" s="1"/>
  <c r="AC399" i="2" s="1"/>
  <c r="Y144" i="2"/>
  <c r="W418" i="2"/>
  <c r="X418" i="2" s="1"/>
  <c r="Y418" i="2"/>
  <c r="AB418" i="2" s="1"/>
  <c r="AC418" i="2" s="1"/>
  <c r="V418" i="2"/>
  <c r="W266" i="2"/>
  <c r="X266" i="2" s="1"/>
  <c r="Y266" i="2" s="1"/>
  <c r="AB266" i="2" s="1"/>
  <c r="AC266" i="2" s="1"/>
  <c r="V266" i="2"/>
  <c r="W191" i="2"/>
  <c r="X191" i="2" s="1"/>
  <c r="Y191" i="2" s="1"/>
  <c r="AB191" i="2" s="1"/>
  <c r="AC191" i="2" s="1"/>
  <c r="V404" i="2"/>
  <c r="W404" i="2"/>
  <c r="X404" i="2" s="1"/>
  <c r="Y404" i="2" s="1"/>
  <c r="AB404" i="2" s="1"/>
  <c r="AC404" i="2" s="1"/>
  <c r="W147" i="2"/>
  <c r="X147" i="2" s="1"/>
  <c r="Y147" i="2"/>
  <c r="W311" i="2"/>
  <c r="X311" i="2" s="1"/>
  <c r="Y311" i="2" s="1"/>
  <c r="AB311" i="2" s="1"/>
  <c r="AC311" i="2" s="1"/>
  <c r="V311" i="2"/>
  <c r="W406" i="2"/>
  <c r="X406" i="2" s="1"/>
  <c r="Y406" i="2"/>
  <c r="W315" i="2"/>
  <c r="X315" i="2" s="1"/>
  <c r="Y315" i="2" s="1"/>
  <c r="AB315" i="2" s="1"/>
  <c r="AC315" i="2" s="1"/>
  <c r="V315" i="2"/>
  <c r="V410" i="2"/>
  <c r="W410" i="2"/>
  <c r="X410" i="2" s="1"/>
  <c r="Y410" i="2" s="1"/>
  <c r="AB410" i="2" s="1"/>
  <c r="AC410" i="2" s="1"/>
  <c r="V210" i="2"/>
  <c r="W210" i="2"/>
  <c r="X210" i="2" s="1"/>
  <c r="Y210" i="2" s="1"/>
  <c r="AB210" i="2" s="1"/>
  <c r="AC210" i="2" s="1"/>
  <c r="W309" i="2"/>
  <c r="X309" i="2" s="1"/>
  <c r="Y309" i="2"/>
  <c r="AB309" i="2" s="1"/>
  <c r="AC309" i="2" s="1"/>
  <c r="V309" i="2"/>
  <c r="W183" i="2"/>
  <c r="X183" i="2" s="1"/>
  <c r="Y183" i="2"/>
  <c r="AB183" i="2" s="1"/>
  <c r="AC183" i="2" s="1"/>
  <c r="V183" i="2"/>
  <c r="V77" i="2"/>
  <c r="W420" i="2"/>
  <c r="X420" i="2" s="1"/>
  <c r="Y420" i="2" s="1"/>
  <c r="AB420" i="2" s="1"/>
  <c r="AC420" i="2" s="1"/>
  <c r="V420" i="2"/>
  <c r="W225" i="2"/>
  <c r="X225" i="2" s="1"/>
  <c r="Y225" i="2"/>
  <c r="W175" i="2"/>
  <c r="X175" i="2" s="1"/>
  <c r="Y175" i="2"/>
  <c r="AB175" i="2" s="1"/>
  <c r="AC175" i="2" s="1"/>
  <c r="V175" i="2"/>
  <c r="W252" i="2"/>
  <c r="X252" i="2" s="1"/>
  <c r="Y252" i="2"/>
  <c r="W181" i="2"/>
  <c r="X181" i="2" s="1"/>
  <c r="Y181" i="2" s="1"/>
  <c r="AB181" i="2" s="1"/>
  <c r="AC181" i="2" s="1"/>
  <c r="V181" i="2"/>
  <c r="V178" i="2"/>
  <c r="W178" i="2"/>
  <c r="X178" i="2" s="1"/>
  <c r="Y178" i="2" s="1"/>
  <c r="AB178" i="2" s="1"/>
  <c r="AC178" i="2" s="1"/>
  <c r="W27" i="2"/>
  <c r="X27" i="2" s="1"/>
  <c r="Y27" i="2" s="1"/>
  <c r="AB27" i="2" s="1"/>
  <c r="AC27" i="2" s="1"/>
  <c r="W34" i="2"/>
  <c r="X34" i="2" s="1"/>
  <c r="Y34" i="2"/>
  <c r="AB34" i="2" s="1"/>
  <c r="AC34" i="2" s="1"/>
  <c r="V34" i="2"/>
  <c r="W208" i="2"/>
  <c r="X208" i="2" s="1"/>
  <c r="Y208" i="2"/>
  <c r="AB208" i="2" s="1"/>
  <c r="AC208" i="2" s="1"/>
  <c r="V208" i="2"/>
  <c r="V168" i="2"/>
  <c r="W168" i="2"/>
  <c r="X168" i="2" s="1"/>
  <c r="Y168" i="2" s="1"/>
  <c r="AB168" i="2" s="1"/>
  <c r="AC168" i="2" s="1"/>
  <c r="Y15" i="2"/>
  <c r="W15" i="2"/>
  <c r="X15" i="2" s="1"/>
  <c r="W278" i="2"/>
  <c r="X278" i="2" s="1"/>
  <c r="Y278" i="2" s="1"/>
  <c r="AB278" i="2" s="1"/>
  <c r="AC278" i="2" s="1"/>
  <c r="V278" i="2"/>
  <c r="W121" i="2"/>
  <c r="X121" i="2" s="1"/>
  <c r="Y121" i="2" s="1"/>
  <c r="V116" i="2"/>
  <c r="W116" i="2"/>
  <c r="X116" i="2" s="1"/>
  <c r="Y116" i="2" s="1"/>
  <c r="AB116" i="2" s="1"/>
  <c r="AC116" i="2" s="1"/>
  <c r="W336" i="2"/>
  <c r="X336" i="2" s="1"/>
  <c r="Y336" i="2" s="1"/>
  <c r="AB336" i="2" s="1"/>
  <c r="AC336" i="2" s="1"/>
  <c r="V336" i="2"/>
  <c r="W386" i="2"/>
  <c r="X386" i="2" s="1"/>
  <c r="Y386" i="2" s="1"/>
  <c r="AB386" i="2" s="1"/>
  <c r="AC386" i="2" s="1"/>
  <c r="V386" i="2"/>
  <c r="W290" i="2"/>
  <c r="X290" i="2" s="1"/>
  <c r="Y290" i="2" s="1"/>
  <c r="AB290" i="2" s="1"/>
  <c r="AC290" i="2" s="1"/>
  <c r="V290" i="2"/>
  <c r="W369" i="2"/>
  <c r="X369" i="2" s="1"/>
  <c r="Y369" i="2" s="1"/>
  <c r="V79" i="2"/>
  <c r="W79" i="2"/>
  <c r="X79" i="2" s="1"/>
  <c r="Y79" i="2"/>
  <c r="AB79" i="2" s="1"/>
  <c r="AC79" i="2" s="1"/>
  <c r="W301" i="2"/>
  <c r="X301" i="2" s="1"/>
  <c r="V301" i="2"/>
  <c r="Y301" i="2"/>
  <c r="AB301" i="2" s="1"/>
  <c r="AC301" i="2" s="1"/>
  <c r="W52" i="2"/>
  <c r="X52" i="2" s="1"/>
  <c r="Y52" i="2"/>
  <c r="W43" i="2"/>
  <c r="X43" i="2" s="1"/>
  <c r="Y43" i="2"/>
  <c r="V190" i="2"/>
  <c r="W190" i="2"/>
  <c r="X190" i="2" s="1"/>
  <c r="Y190" i="2" s="1"/>
  <c r="AB190" i="2" s="1"/>
  <c r="AC190" i="2" s="1"/>
  <c r="W324" i="2"/>
  <c r="X324" i="2" s="1"/>
  <c r="Y324" i="2"/>
  <c r="AB324" i="2" s="1"/>
  <c r="AC324" i="2" s="1"/>
  <c r="V324" i="2"/>
  <c r="W262" i="2"/>
  <c r="X262" i="2" s="1"/>
  <c r="Y262" i="2"/>
  <c r="W67" i="2"/>
  <c r="X67" i="2" s="1"/>
  <c r="Y67" i="2" s="1"/>
  <c r="W115" i="2"/>
  <c r="X115" i="2" s="1"/>
  <c r="Y115" i="2" s="1"/>
  <c r="AB115" i="2" s="1"/>
  <c r="AC115" i="2" s="1"/>
  <c r="V115" i="2"/>
  <c r="W382" i="2"/>
  <c r="X382" i="2" s="1"/>
  <c r="Y382" i="2"/>
  <c r="V176" i="2"/>
  <c r="W176" i="2"/>
  <c r="X176" i="2" s="1"/>
  <c r="Y176" i="2" s="1"/>
  <c r="AB176" i="2" s="1"/>
  <c r="AC176" i="2" s="1"/>
  <c r="W91" i="2"/>
  <c r="X91" i="2" s="1"/>
  <c r="Y91" i="2"/>
  <c r="AB91" i="2" s="1"/>
  <c r="AC91" i="2" s="1"/>
  <c r="V91" i="2"/>
  <c r="W95" i="2"/>
  <c r="X95" i="2" s="1"/>
  <c r="Y95" i="2" s="1"/>
  <c r="W265" i="2"/>
  <c r="X265" i="2" s="1"/>
  <c r="Y265" i="2" s="1"/>
  <c r="W209" i="2"/>
  <c r="X209" i="2" s="1"/>
  <c r="Y209" i="2" s="1"/>
  <c r="AB209" i="2" s="1"/>
  <c r="AC209" i="2" s="1"/>
  <c r="V209" i="2"/>
  <c r="W40" i="2"/>
  <c r="X40" i="2" s="1"/>
  <c r="V40" i="2"/>
  <c r="Y40" i="2"/>
  <c r="AB40" i="2" s="1"/>
  <c r="AC40" i="2" s="1"/>
  <c r="W145" i="2"/>
  <c r="X145" i="2" s="1"/>
  <c r="Y145" i="2" s="1"/>
  <c r="W260" i="2"/>
  <c r="X260" i="2" s="1"/>
  <c r="Y260" i="2" s="1"/>
  <c r="W19" i="2"/>
  <c r="X19" i="2" s="1"/>
  <c r="Y19" i="2" s="1"/>
  <c r="V380" i="2"/>
  <c r="W380" i="2"/>
  <c r="X380" i="2" s="1"/>
  <c r="Y380" i="2" s="1"/>
  <c r="AB380" i="2" s="1"/>
  <c r="AC380" i="2" s="1"/>
  <c r="W256" i="2"/>
  <c r="X256" i="2" s="1"/>
  <c r="Y256" i="2" s="1"/>
  <c r="V213" i="2"/>
  <c r="W213" i="2"/>
  <c r="X213" i="2" s="1"/>
  <c r="Y213" i="2"/>
  <c r="AB213" i="2" s="1"/>
  <c r="AC213" i="2" s="1"/>
  <c r="W212" i="2"/>
  <c r="X212" i="2" s="1"/>
  <c r="Y212" i="2" s="1"/>
  <c r="AB212" i="2" s="1"/>
  <c r="AC212" i="2" s="1"/>
  <c r="V212" i="2"/>
  <c r="W377" i="2"/>
  <c r="X377" i="2" s="1"/>
  <c r="Y377" i="2" s="1"/>
  <c r="W128" i="2"/>
  <c r="X128" i="2" s="1"/>
  <c r="Y128" i="2"/>
  <c r="W10" i="2"/>
  <c r="X10" i="2" s="1"/>
  <c r="Y10" i="2" s="1"/>
  <c r="W381" i="2"/>
  <c r="X381" i="2" s="1"/>
  <c r="Y381" i="2" s="1"/>
  <c r="AB381" i="2" s="1"/>
  <c r="AC381" i="2" s="1"/>
  <c r="V381" i="2"/>
  <c r="W204" i="2"/>
  <c r="X204" i="2" s="1"/>
  <c r="Y204" i="2" s="1"/>
  <c r="W48" i="2"/>
  <c r="X48" i="2" s="1"/>
  <c r="Y48" i="2"/>
  <c r="V396" i="2"/>
  <c r="W396" i="2"/>
  <c r="X396" i="2" s="1"/>
  <c r="Y396" i="2" s="1"/>
  <c r="AB396" i="2" s="1"/>
  <c r="AC396" i="2" s="1"/>
  <c r="W81" i="2"/>
  <c r="X81" i="2" s="1"/>
  <c r="Y81" i="2" s="1"/>
  <c r="W376" i="2"/>
  <c r="X376" i="2" s="1"/>
  <c r="Y376" i="2"/>
  <c r="V151" i="2"/>
  <c r="W151" i="2"/>
  <c r="X151" i="2" s="1"/>
  <c r="Y151" i="2" s="1"/>
  <c r="AB151" i="2" s="1"/>
  <c r="AC151" i="2" s="1"/>
  <c r="V220" i="2"/>
  <c r="W220" i="2"/>
  <c r="X220" i="2" s="1"/>
  <c r="Y220" i="2" s="1"/>
  <c r="AB220" i="2" s="1"/>
  <c r="AC220" i="2" s="1"/>
  <c r="W224" i="2"/>
  <c r="X224" i="2" s="1"/>
  <c r="Y224" i="2" s="1"/>
  <c r="AB224" i="2" s="1"/>
  <c r="AC224" i="2" s="1"/>
  <c r="V224" i="2"/>
  <c r="W280" i="2"/>
  <c r="X280" i="2" s="1"/>
  <c r="V280" i="2"/>
  <c r="Y280" i="2"/>
  <c r="AB280" i="2" s="1"/>
  <c r="AC280" i="2" s="1"/>
  <c r="V305" i="2"/>
  <c r="W305" i="2"/>
  <c r="X305" i="2" s="1"/>
  <c r="Y305" i="2" s="1"/>
  <c r="AB305" i="2" s="1"/>
  <c r="AC305" i="2" s="1"/>
  <c r="W159" i="2"/>
  <c r="X159" i="2" s="1"/>
  <c r="V159" i="2"/>
  <c r="Y159" i="2"/>
  <c r="AB159" i="2" s="1"/>
  <c r="AC159" i="2" s="1"/>
  <c r="W63" i="2"/>
  <c r="X63" i="2" s="1"/>
  <c r="Y63" i="2" s="1"/>
  <c r="W83" i="2"/>
  <c r="X83" i="2" s="1"/>
  <c r="Y83" i="2"/>
  <c r="W41" i="2"/>
  <c r="X41" i="2" s="1"/>
  <c r="Y41" i="2" s="1"/>
  <c r="AB41" i="2" s="1"/>
  <c r="AC41" i="2" s="1"/>
  <c r="V41" i="2"/>
  <c r="V211" i="2"/>
  <c r="W211" i="2"/>
  <c r="X211" i="2" s="1"/>
  <c r="Y211" i="2" s="1"/>
  <c r="AB211" i="2" s="1"/>
  <c r="AC211" i="2" s="1"/>
  <c r="V240" i="2"/>
  <c r="W240" i="2"/>
  <c r="X240" i="2" s="1"/>
  <c r="Y240" i="2" s="1"/>
  <c r="AB240" i="2" s="1"/>
  <c r="AC240" i="2" s="1"/>
  <c r="W165" i="2"/>
  <c r="X165" i="2" s="1"/>
  <c r="Y165" i="2" s="1"/>
  <c r="AB165" i="2" s="1"/>
  <c r="AC165" i="2" s="1"/>
  <c r="V165" i="2"/>
  <c r="W20" i="2"/>
  <c r="X20" i="2" s="1"/>
  <c r="Y20" i="2" s="1"/>
  <c r="W403" i="2"/>
  <c r="X403" i="2" s="1"/>
  <c r="Y403" i="2" s="1"/>
  <c r="AB403" i="2" s="1"/>
  <c r="AC403" i="2" s="1"/>
  <c r="V403" i="2"/>
  <c r="W102" i="2"/>
  <c r="X102" i="2" s="1"/>
  <c r="Y102" i="2" s="1"/>
  <c r="W352" i="2"/>
  <c r="X352" i="2" s="1"/>
  <c r="Y352" i="2" s="1"/>
  <c r="W39" i="2"/>
  <c r="X39" i="2" s="1"/>
  <c r="Y39" i="2"/>
  <c r="AB39" i="2" s="1"/>
  <c r="AC39" i="2" s="1"/>
  <c r="V39" i="2"/>
  <c r="W131" i="2"/>
  <c r="X131" i="2" s="1"/>
  <c r="Y131" i="2" s="1"/>
  <c r="AB131" i="2" s="1"/>
  <c r="AC131" i="2" s="1"/>
  <c r="V131" i="2"/>
  <c r="W44" i="2"/>
  <c r="X44" i="2" s="1"/>
  <c r="Y44" i="2"/>
  <c r="W259" i="2"/>
  <c r="X259" i="2" s="1"/>
  <c r="Y259" i="2" s="1"/>
  <c r="W270" i="2"/>
  <c r="X270" i="2" s="1"/>
  <c r="Y270" i="2" s="1"/>
  <c r="AB270" i="2" s="1"/>
  <c r="AC270" i="2" s="1"/>
  <c r="V270" i="2"/>
  <c r="W351" i="2"/>
  <c r="X351" i="2" s="1"/>
  <c r="Y351" i="2"/>
  <c r="W239" i="2"/>
  <c r="X239" i="2" s="1"/>
  <c r="Y239" i="2" s="1"/>
  <c r="AB239" i="2" s="1"/>
  <c r="AC239" i="2" s="1"/>
  <c r="V239" i="2"/>
  <c r="V89" i="2"/>
  <c r="W89" i="2"/>
  <c r="X89" i="2" s="1"/>
  <c r="Y89" i="2" s="1"/>
  <c r="AB89" i="2" s="1"/>
  <c r="AC89" i="2" s="1"/>
  <c r="W172" i="2"/>
  <c r="X172" i="2" s="1"/>
  <c r="Y172" i="2" s="1"/>
  <c r="W275" i="2"/>
  <c r="X275" i="2" s="1"/>
  <c r="Y275" i="2" s="1"/>
  <c r="AB275" i="2" s="1"/>
  <c r="AC275" i="2" s="1"/>
  <c r="V275" i="2"/>
  <c r="W327" i="2"/>
  <c r="X327" i="2" s="1"/>
  <c r="Y327" i="2" s="1"/>
  <c r="AB327" i="2" s="1"/>
  <c r="AC327" i="2" s="1"/>
  <c r="V327" i="2"/>
  <c r="W288" i="2"/>
  <c r="X288" i="2" s="1"/>
  <c r="Y288" i="2" s="1"/>
  <c r="AB288" i="2" s="1"/>
  <c r="AC288" i="2" s="1"/>
  <c r="V288" i="2"/>
  <c r="V328" i="2"/>
  <c r="W328" i="2"/>
  <c r="X328" i="2" s="1"/>
  <c r="Y328" i="2" s="1"/>
  <c r="AB328" i="2" s="1"/>
  <c r="AC328" i="2" s="1"/>
  <c r="W271" i="2"/>
  <c r="X271" i="2" s="1"/>
  <c r="Y271" i="2" s="1"/>
  <c r="AB271" i="2" s="1"/>
  <c r="AC271" i="2" s="1"/>
  <c r="V271" i="2"/>
  <c r="W326" i="2"/>
  <c r="X326" i="2" s="1"/>
  <c r="Y326" i="2" s="1"/>
  <c r="AB326" i="2" s="1"/>
  <c r="AC326" i="2" s="1"/>
  <c r="V326" i="2"/>
  <c r="W203" i="2"/>
  <c r="X203" i="2" s="1"/>
  <c r="Y203" i="2" s="1"/>
  <c r="V244" i="2"/>
  <c r="W244" i="2"/>
  <c r="X244" i="2" s="1"/>
  <c r="Y244" i="2" s="1"/>
  <c r="AB244" i="2" s="1"/>
  <c r="AC244" i="2" s="1"/>
  <c r="W248" i="2"/>
  <c r="X248" i="2" s="1"/>
  <c r="Y248" i="2" s="1"/>
  <c r="W143" i="2"/>
  <c r="X143" i="2" s="1"/>
  <c r="V143" i="2"/>
  <c r="Y143" i="2"/>
  <c r="AB143" i="2" s="1"/>
  <c r="AC143" i="2" s="1"/>
  <c r="W45" i="2"/>
  <c r="X45" i="2" s="1"/>
  <c r="Y45" i="2" s="1"/>
  <c r="V30" i="2"/>
  <c r="W30" i="2"/>
  <c r="X30" i="2" s="1"/>
  <c r="Y30" i="2" s="1"/>
  <c r="AB30" i="2" s="1"/>
  <c r="AC30" i="2" s="1"/>
  <c r="V332" i="2"/>
  <c r="W332" i="2"/>
  <c r="X332" i="2" s="1"/>
  <c r="Y332" i="2" s="1"/>
  <c r="AB332" i="2" s="1"/>
  <c r="AC332" i="2" s="1"/>
  <c r="W74" i="2"/>
  <c r="X74" i="2" s="1"/>
  <c r="Y74" i="2" s="1"/>
  <c r="AB74" i="2" s="1"/>
  <c r="AC74" i="2" s="1"/>
  <c r="V74" i="2"/>
  <c r="W202" i="2"/>
  <c r="X202" i="2" s="1"/>
  <c r="Y202" i="2" s="1"/>
  <c r="W276" i="2"/>
  <c r="X276" i="2" s="1"/>
  <c r="Y276" i="2" s="1"/>
  <c r="AB276" i="2" s="1"/>
  <c r="AC276" i="2" s="1"/>
  <c r="V276" i="2"/>
  <c r="W299" i="2"/>
  <c r="X299" i="2" s="1"/>
  <c r="Y299" i="2"/>
  <c r="V82" i="2"/>
  <c r="W82" i="2"/>
  <c r="X82" i="2" s="1"/>
  <c r="Y82" i="2"/>
  <c r="AB82" i="2" s="1"/>
  <c r="AC82" i="2" s="1"/>
  <c r="W416" i="2"/>
  <c r="X416" i="2" s="1"/>
  <c r="Y416" i="2" s="1"/>
  <c r="AB416" i="2" s="1"/>
  <c r="AC416" i="2" s="1"/>
  <c r="V416" i="2"/>
  <c r="W391" i="2"/>
  <c r="X391" i="2" s="1"/>
  <c r="Y391" i="2" s="1"/>
  <c r="V22" i="2"/>
  <c r="W22" i="2"/>
  <c r="X22" i="2" s="1"/>
  <c r="Y22" i="2" s="1"/>
  <c r="AB22" i="2" s="1"/>
  <c r="AC22" i="2" s="1"/>
  <c r="W329" i="2"/>
  <c r="X329" i="2" s="1"/>
  <c r="Y329" i="2" s="1"/>
  <c r="AB329" i="2" s="1"/>
  <c r="AC329" i="2" s="1"/>
  <c r="V329" i="2"/>
  <c r="V189" i="2"/>
  <c r="W189" i="2"/>
  <c r="X189" i="2" s="1"/>
  <c r="Y189" i="2" s="1"/>
  <c r="AB189" i="2" s="1"/>
  <c r="AC189" i="2" s="1"/>
  <c r="V221" i="2"/>
  <c r="W221" i="2"/>
  <c r="X221" i="2" s="1"/>
  <c r="Y221" i="2" s="1"/>
  <c r="AB221" i="2" s="1"/>
  <c r="AC221" i="2" s="1"/>
  <c r="W109" i="2"/>
  <c r="X109" i="2" s="1"/>
  <c r="V109" i="2"/>
  <c r="Y109" i="2"/>
  <c r="AB109" i="2" s="1"/>
  <c r="AC109" i="2" s="1"/>
  <c r="W279" i="2"/>
  <c r="X279" i="2" s="1"/>
  <c r="Y279" i="2"/>
  <c r="AB279" i="2" s="1"/>
  <c r="AC279" i="2" s="1"/>
  <c r="V279" i="2"/>
  <c r="W319" i="2"/>
  <c r="X319" i="2" s="1"/>
  <c r="Y319" i="2" s="1"/>
  <c r="W112" i="2"/>
  <c r="X112" i="2" s="1"/>
  <c r="Y112" i="2" s="1"/>
  <c r="V274" i="2"/>
  <c r="W274" i="2"/>
  <c r="X274" i="2" s="1"/>
  <c r="Y274" i="2" s="1"/>
  <c r="AB274" i="2" s="1"/>
  <c r="AC274" i="2" s="1"/>
  <c r="W64" i="2"/>
  <c r="X64" i="2" s="1"/>
  <c r="Y64" i="2"/>
  <c r="W198" i="2"/>
  <c r="X198" i="2" s="1"/>
  <c r="Y198" i="2" s="1"/>
  <c r="AB198" i="2" s="1"/>
  <c r="AC198" i="2" s="1"/>
  <c r="V198" i="2"/>
  <c r="W184" i="2"/>
  <c r="X184" i="2" s="1"/>
  <c r="Y184" i="2" s="1"/>
  <c r="W26" i="2"/>
  <c r="X26" i="2" s="1"/>
  <c r="Y26" i="2" s="1"/>
  <c r="AB26" i="2" s="1"/>
  <c r="AC26" i="2" s="1"/>
  <c r="V26" i="2"/>
  <c r="W87" i="2"/>
  <c r="X87" i="2" s="1"/>
  <c r="Y87" i="2"/>
  <c r="W23" i="2"/>
  <c r="X23" i="2" s="1"/>
  <c r="Y23" i="2"/>
  <c r="AB23" i="2" s="1"/>
  <c r="AC23" i="2" s="1"/>
  <c r="V23" i="2"/>
  <c r="W255" i="2"/>
  <c r="X255" i="2" s="1"/>
  <c r="Y255" i="2"/>
  <c r="W322" i="2"/>
  <c r="X322" i="2" s="1"/>
  <c r="Y322" i="2" s="1"/>
  <c r="AB322" i="2" s="1"/>
  <c r="AC322" i="2" s="1"/>
  <c r="V322" i="2"/>
  <c r="W374" i="2"/>
  <c r="X374" i="2" s="1"/>
  <c r="Y374" i="2" s="1"/>
  <c r="AB374" i="2" s="1"/>
  <c r="AC374" i="2" s="1"/>
  <c r="V374" i="2"/>
  <c r="W141" i="2"/>
  <c r="X141" i="2" s="1"/>
  <c r="Y141" i="2" s="1"/>
  <c r="AB141" i="2" s="1"/>
  <c r="AC141" i="2" s="1"/>
  <c r="V141" i="2"/>
  <c r="W241" i="2"/>
  <c r="X241" i="2" s="1"/>
  <c r="V241" i="2"/>
  <c r="Y241" i="2"/>
  <c r="AB241" i="2" s="1"/>
  <c r="AC241" i="2" s="1"/>
  <c r="W186" i="2"/>
  <c r="X186" i="2" s="1"/>
  <c r="Y186" i="2" s="1"/>
  <c r="W5" i="2"/>
  <c r="X5" i="2" s="1"/>
  <c r="Y5" i="2" s="1"/>
  <c r="W162" i="2"/>
  <c r="X162" i="2" s="1"/>
  <c r="Y162" i="2" s="1"/>
  <c r="AB162" i="2" s="1"/>
  <c r="AC162" i="2" s="1"/>
  <c r="V162" i="2"/>
  <c r="W199" i="2"/>
  <c r="X199" i="2" s="1"/>
  <c r="V199" i="2"/>
  <c r="Y199" i="2"/>
  <c r="AB199" i="2" s="1"/>
  <c r="AC199" i="2" s="1"/>
  <c r="W247" i="2"/>
  <c r="X247" i="2" s="1"/>
  <c r="Y247" i="2"/>
  <c r="W76" i="2"/>
  <c r="X76" i="2" s="1"/>
  <c r="Y76" i="2"/>
  <c r="W84" i="2"/>
  <c r="X84" i="2" s="1"/>
  <c r="Y84" i="2" s="1"/>
  <c r="AB84" i="2" s="1"/>
  <c r="AC84" i="2" s="1"/>
  <c r="V84" i="2"/>
  <c r="W226" i="2"/>
  <c r="X226" i="2" s="1"/>
  <c r="Y226" i="2" s="1"/>
  <c r="W140" i="2"/>
  <c r="X140" i="2" s="1"/>
  <c r="Y140" i="2" s="1"/>
  <c r="AB140" i="2" s="1"/>
  <c r="AC140" i="2" s="1"/>
  <c r="V140" i="2"/>
  <c r="W156" i="2"/>
  <c r="X156" i="2" s="1"/>
  <c r="Y156" i="2" s="1"/>
  <c r="W235" i="2"/>
  <c r="X235" i="2" s="1"/>
  <c r="Y235" i="2" s="1"/>
  <c r="AB235" i="2" s="1"/>
  <c r="AC235" i="2" s="1"/>
  <c r="V235" i="2"/>
  <c r="W251" i="2"/>
  <c r="X251" i="2" s="1"/>
  <c r="Y251" i="2" s="1"/>
  <c r="W300" i="2"/>
  <c r="X300" i="2" s="1"/>
  <c r="Y300" i="2"/>
  <c r="W179" i="2"/>
  <c r="X179" i="2" s="1"/>
  <c r="Y179" i="2" s="1"/>
  <c r="AB179" i="2" s="1"/>
  <c r="AC179" i="2" s="1"/>
  <c r="V179" i="2"/>
  <c r="W216" i="2"/>
  <c r="X216" i="2" s="1"/>
  <c r="Y216" i="2"/>
  <c r="W272" i="2"/>
  <c r="X272" i="2" s="1"/>
  <c r="Y272" i="2" s="1"/>
  <c r="AB272" i="2" s="1"/>
  <c r="AC272" i="2" s="1"/>
  <c r="V272" i="2"/>
  <c r="W250" i="2"/>
  <c r="X250" i="2" s="1"/>
  <c r="Y25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SpreadsheetLight</author>
  </authors>
  <commentList>
    <comment ref="D1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Unid. Vendidas del Mes 7 / Dias con Stk sobre el Quiebre / Estacionalidad del Mes</t>
        </r>
      </text>
    </comment>
    <comment ref="E1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>Unid. Vendidas del Mes 8 / Dias con Stk sobre el Quiebre / Estacionalidad del Mes</t>
        </r>
      </text>
    </comment>
    <comment ref="F1" authorId="0" shapeId="0" xr:uid="{00000000-0006-0000-0000-000003000000}">
      <text>
        <r>
          <rPr>
            <sz val="11"/>
            <color theme="1"/>
            <rFont val="Calibri"/>
            <family val="2"/>
            <scheme val="minor"/>
          </rPr>
          <t>Unid. Vendidas del Mes 9 / Dias con Stk sobre el Quiebre / Estacionalidad del Mes</t>
        </r>
      </text>
    </comment>
    <comment ref="G1" authorId="0" shapeId="0" xr:uid="{00000000-0006-0000-0000-000004000000}">
      <text>
        <r>
          <rPr>
            <sz val="11"/>
            <color theme="1"/>
            <rFont val="Calibri"/>
            <family val="2"/>
            <scheme val="minor"/>
          </rPr>
          <t>Unid. Vendidas del Mes 10 / Dias con Stk sobre el Quiebre / Estacionalidad del Mes</t>
        </r>
      </text>
    </comment>
    <comment ref="H1" authorId="0" shapeId="0" xr:uid="{00000000-0006-0000-0000-000005000000}">
      <text>
        <r>
          <rPr>
            <sz val="11"/>
            <color theme="1"/>
            <rFont val="Calibri"/>
            <family val="2"/>
            <scheme val="minor"/>
          </rPr>
          <t>Unid. Vendidas del Mes 11 / Dias con Stk sobre el Quiebre / Estacionalidad del Mes</t>
        </r>
      </text>
    </comment>
    <comment ref="I1" authorId="0" shapeId="0" xr:uid="{00000000-0006-0000-0000-000006000000}">
      <text>
        <r>
          <rPr>
            <sz val="11"/>
            <color theme="1"/>
            <rFont val="Calibri"/>
            <family val="2"/>
            <scheme val="minor"/>
          </rPr>
          <t>Unid. Vendidas del Mes 12 / Dias con Stk sobre el Quiebre / Estacionalidad del Mes</t>
        </r>
      </text>
    </comment>
    <comment ref="J1" authorId="0" shapeId="0" xr:uid="{00000000-0006-0000-0000-000007000000}">
      <text>
        <r>
          <rPr>
            <sz val="11"/>
            <color theme="1"/>
            <rFont val="Calibri"/>
            <family val="2"/>
            <scheme val="minor"/>
          </rPr>
          <t>Unid. Vendidas del Mes 1 / Dias con Stk sobre el Quiebre / Estacionalidad del Mes</t>
        </r>
      </text>
    </comment>
    <comment ref="K1" authorId="0" shapeId="0" xr:uid="{00000000-0006-0000-0000-000008000000}">
      <text>
        <r>
          <rPr>
            <sz val="11"/>
            <color theme="1"/>
            <rFont val="Calibri"/>
            <family val="2"/>
            <scheme val="minor"/>
          </rPr>
          <t>Unid. Vendidas del Mes 2 / Dias con Stk sobre el Quiebre / Estacionalidad del Mes</t>
        </r>
      </text>
    </comment>
    <comment ref="L1" authorId="0" shapeId="0" xr:uid="{00000000-0006-0000-0000-000009000000}">
      <text>
        <r>
          <rPr>
            <sz val="11"/>
            <color theme="1"/>
            <rFont val="Calibri"/>
            <family val="2"/>
            <scheme val="minor"/>
          </rPr>
          <t>Unid. Vendidas del Mes 3 / Dias con Stk sobre el Quiebre / Estacionalidad del Mes</t>
        </r>
      </text>
    </comment>
    <comment ref="M1" authorId="0" shapeId="0" xr:uid="{00000000-0006-0000-0000-00000A000000}">
      <text>
        <r>
          <rPr>
            <sz val="11"/>
            <color theme="1"/>
            <rFont val="Calibri"/>
            <family val="2"/>
            <scheme val="minor"/>
          </rPr>
          <t>Unid. Vendidas del Mes 4 / Dias con Stk sobre el Quiebre / Estacionalidad del Mes</t>
        </r>
      </text>
    </comment>
    <comment ref="N1" authorId="0" shapeId="0" xr:uid="{00000000-0006-0000-0000-00000B000000}">
      <text>
        <r>
          <rPr>
            <sz val="11"/>
            <color theme="1"/>
            <rFont val="Calibri"/>
            <family val="2"/>
            <scheme val="minor"/>
          </rPr>
          <t>Unid. Vendidas del Mes 5 / Dias con Stk sobre el Quiebre / Estacionalidad del Mes</t>
        </r>
      </text>
    </comment>
    <comment ref="O1" authorId="0" shapeId="0" xr:uid="{00000000-0006-0000-0000-00000C000000}">
      <text>
        <r>
          <rPr>
            <sz val="11"/>
            <color theme="1"/>
            <rFont val="Calibri"/>
            <family val="2"/>
            <scheme val="minor"/>
          </rPr>
          <t>Unid. Vendidas del Mes 6 / Dias con Stk sobre el Quiebre / Estacionalidad del Mes</t>
        </r>
      </text>
    </comment>
    <comment ref="P1" authorId="0" shapeId="0" xr:uid="{00000000-0006-0000-0000-00000D000000}">
      <text>
        <r>
          <rPr>
            <sz val="11"/>
            <color theme="1"/>
            <rFont val="Calibri"/>
            <family val="2"/>
            <scheme val="minor"/>
          </rPr>
          <t>Unid. Vendidas del Mes 7 / Dias con Stk sobre el Quiebre / Estacionalidad del Mes</t>
        </r>
      </text>
    </comment>
    <comment ref="Q1" authorId="0" shapeId="0" xr:uid="{00000000-0006-0000-0000-00000E000000}">
      <text>
        <r>
          <rPr>
            <sz val="11"/>
            <color theme="1"/>
            <rFont val="Calibri"/>
            <family val="2"/>
            <scheme val="minor"/>
          </rPr>
          <t>Venta Estacionalizada Mes 7 / Dias con Stk sobre el Quiebre / Estacionalidad del Mes</t>
        </r>
      </text>
    </comment>
    <comment ref="R1" authorId="0" shapeId="0" xr:uid="{00000000-0006-0000-0000-00000F000000}">
      <text>
        <r>
          <rPr>
            <sz val="11"/>
            <color theme="1"/>
            <rFont val="Calibri"/>
            <family val="2"/>
            <scheme val="minor"/>
          </rPr>
          <t>Venta Estacionalizada Mes 8 / Dias con Stk sobre el Quiebre / Estacionalidad del Mes</t>
        </r>
      </text>
    </comment>
    <comment ref="S1" authorId="0" shapeId="0" xr:uid="{00000000-0006-0000-0000-000010000000}">
      <text>
        <r>
          <rPr>
            <sz val="11"/>
            <color theme="1"/>
            <rFont val="Calibri"/>
            <family val="2"/>
            <scheme val="minor"/>
          </rPr>
          <t>Venta Estacionalizada Mes 9 / Dias con Stk sobre el Quiebre / Estacionalidad del Mes</t>
        </r>
      </text>
    </comment>
    <comment ref="T1" authorId="0" shapeId="0" xr:uid="{00000000-0006-0000-0000-000011000000}">
      <text>
        <r>
          <rPr>
            <sz val="11"/>
            <color theme="1"/>
            <rFont val="Calibri"/>
            <family val="2"/>
            <scheme val="minor"/>
          </rPr>
          <t>Venta Estacionalizada Mes 10 / Dias con Stk sobre el Quiebre / Estacionalidad del Mes</t>
        </r>
      </text>
    </comment>
    <comment ref="U1" authorId="0" shapeId="0" xr:uid="{00000000-0006-0000-0000-000012000000}">
      <text>
        <r>
          <rPr>
            <sz val="11"/>
            <color theme="1"/>
            <rFont val="Calibri"/>
            <family val="2"/>
            <scheme val="minor"/>
          </rPr>
          <t>Venta Estacionalizada Mes 11 / Dias con Stk sobre el Quiebre / Estacionalidad del Mes</t>
        </r>
      </text>
    </comment>
    <comment ref="V1" authorId="0" shapeId="0" xr:uid="{00000000-0006-0000-0000-000013000000}">
      <text>
        <r>
          <rPr>
            <sz val="11"/>
            <color theme="1"/>
            <rFont val="Calibri"/>
            <family val="2"/>
            <scheme val="minor"/>
          </rPr>
          <t>Venta Estacionalizada Mes 12 / Dias con Stk sobre el Quiebre / Estacionalidad del Mes</t>
        </r>
      </text>
    </comment>
    <comment ref="W1" authorId="0" shapeId="0" xr:uid="{00000000-0006-0000-0000-000014000000}">
      <text>
        <r>
          <rPr>
            <sz val="11"/>
            <color theme="1"/>
            <rFont val="Calibri"/>
            <family val="2"/>
            <scheme val="minor"/>
          </rPr>
          <t>Venta Estacionalizada Mes 1 / Dias con Stk sobre el Quiebre / Estacionalidad del Mes</t>
        </r>
      </text>
    </comment>
    <comment ref="X1" authorId="0" shapeId="0" xr:uid="{00000000-0006-0000-0000-000015000000}">
      <text>
        <r>
          <rPr>
            <sz val="11"/>
            <color theme="1"/>
            <rFont val="Calibri"/>
            <family val="2"/>
            <scheme val="minor"/>
          </rPr>
          <t>Venta Estacionalizada Mes 2 / Dias con Stk sobre el Quiebre / Estacionalidad del Mes</t>
        </r>
      </text>
    </comment>
    <comment ref="Y1" authorId="0" shapeId="0" xr:uid="{00000000-0006-0000-0000-000016000000}">
      <text>
        <r>
          <rPr>
            <sz val="11"/>
            <color theme="1"/>
            <rFont val="Calibri"/>
            <family val="2"/>
            <scheme val="minor"/>
          </rPr>
          <t>Venta Estacionalizada Mes 3 / Dias con Stk sobre el Quiebre / Estacionalidad del Mes</t>
        </r>
      </text>
    </comment>
    <comment ref="Z1" authorId="0" shapeId="0" xr:uid="{00000000-0006-0000-0000-000017000000}">
      <text>
        <r>
          <rPr>
            <sz val="11"/>
            <color theme="1"/>
            <rFont val="Calibri"/>
            <family val="2"/>
            <scheme val="minor"/>
          </rPr>
          <t>Venta Estacionalizada Mes 4 / Dias con Stk sobre el Quiebre / Estacionalidad del Mes</t>
        </r>
      </text>
    </comment>
    <comment ref="AA1" authorId="0" shapeId="0" xr:uid="{00000000-0006-0000-0000-000018000000}">
      <text>
        <r>
          <rPr>
            <sz val="11"/>
            <color theme="1"/>
            <rFont val="Calibri"/>
            <family val="2"/>
            <scheme val="minor"/>
          </rPr>
          <t>Venta Estacionalizada Mes 5 / Dias con Stk sobre el Quiebre / Estacionalidad del Mes</t>
        </r>
      </text>
    </comment>
    <comment ref="AB1" authorId="0" shapeId="0" xr:uid="{00000000-0006-0000-0000-000019000000}">
      <text>
        <r>
          <rPr>
            <sz val="11"/>
            <color theme="1"/>
            <rFont val="Calibri"/>
            <family val="2"/>
            <scheme val="minor"/>
          </rPr>
          <t>Venta Estacionalizada Mes 6 / Dias con Stk sobre el Quiebre / Estacionalidad del Mes</t>
        </r>
      </text>
    </comment>
    <comment ref="AC1" authorId="0" shapeId="0" xr:uid="{00000000-0006-0000-0000-00001A000000}">
      <text>
        <r>
          <rPr>
            <sz val="11"/>
            <color theme="1"/>
            <rFont val="Calibri"/>
            <family val="2"/>
            <scheme val="minor"/>
          </rPr>
          <t>Venta Estacionalizada Mes 7 / Dias con Stk sobre el Quiebre / Estacionalidad del Mes</t>
        </r>
      </text>
    </comment>
    <comment ref="AD1" authorId="0" shapeId="0" xr:uid="{00000000-0006-0000-0000-00001B000000}">
      <text>
        <r>
          <rPr>
            <sz val="11"/>
            <color theme="1"/>
            <rFont val="Calibri"/>
            <family val="2"/>
            <scheme val="minor"/>
          </rPr>
          <t>Promedio de todos los Meses, menos el ultimo</t>
        </r>
      </text>
    </comment>
    <comment ref="AE1" authorId="0" shapeId="0" xr:uid="{00000000-0006-0000-0000-00001C000000}">
      <text>
        <r>
          <rPr>
            <sz val="11"/>
            <color theme="1"/>
            <rFont val="Calibri"/>
            <family val="2"/>
            <scheme val="minor"/>
          </rPr>
          <t>Valor Utilizado en la Hoja Compras (Rotacion DesEstacionalizada)</t>
        </r>
      </text>
    </comment>
    <comment ref="Q5" authorId="0" shapeId="0" xr:uid="{00000000-0006-0000-0000-00001D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Q33" authorId="0" shapeId="0" xr:uid="{00000000-0006-0000-0000-00001E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R39" authorId="0" shapeId="0" xr:uid="{00000000-0006-0000-0000-00001F000000}">
      <text>
        <r>
          <rPr>
            <sz val="11"/>
            <color theme="1"/>
            <rFont val="Calibri"/>
            <family val="2"/>
            <scheme val="minor"/>
          </rPr>
          <t>Dias de Quiebre 18</t>
        </r>
      </text>
    </comment>
    <comment ref="T58" authorId="0" shapeId="0" xr:uid="{00000000-0006-0000-0000-000020000000}">
      <text>
        <r>
          <rPr>
            <sz val="11"/>
            <color theme="1"/>
            <rFont val="Calibri"/>
            <family val="2"/>
            <scheme val="minor"/>
          </rPr>
          <t>Dias de Quiebre 9</t>
        </r>
      </text>
    </comment>
    <comment ref="R62" authorId="0" shapeId="0" xr:uid="{00000000-0006-0000-0000-000021000000}">
      <text>
        <r>
          <rPr>
            <sz val="11"/>
            <color theme="1"/>
            <rFont val="Calibri"/>
            <family val="2"/>
            <scheme val="minor"/>
          </rPr>
          <t>Dias de Quiebre 5</t>
        </r>
      </text>
    </comment>
    <comment ref="V65" authorId="0" shapeId="0" xr:uid="{00000000-0006-0000-0000-000022000000}">
      <text>
        <r>
          <rPr>
            <sz val="11"/>
            <color theme="1"/>
            <rFont val="Calibri"/>
            <family val="2"/>
            <scheme val="minor"/>
          </rPr>
          <t>Dias de Quiebre 15</t>
        </r>
      </text>
    </comment>
    <comment ref="W91" authorId="0" shapeId="0" xr:uid="{00000000-0006-0000-0000-000023000000}">
      <text>
        <r>
          <rPr>
            <sz val="11"/>
            <color theme="1"/>
            <rFont val="Calibri"/>
            <family val="2"/>
            <scheme val="minor"/>
          </rPr>
          <t>Dias de Quiebre 20</t>
        </r>
      </text>
    </comment>
    <comment ref="Q92" authorId="0" shapeId="0" xr:uid="{00000000-0006-0000-0000-000024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R92" authorId="0" shapeId="0" xr:uid="{00000000-0006-0000-0000-000025000000}">
      <text>
        <r>
          <rPr>
            <sz val="11"/>
            <color theme="1"/>
            <rFont val="Calibri"/>
            <family val="2"/>
            <scheme val="minor"/>
          </rPr>
          <t>Dias de Quiebre 26</t>
        </r>
      </text>
    </comment>
    <comment ref="S92" authorId="0" shapeId="0" xr:uid="{00000000-0006-0000-0000-000026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U92" authorId="0" shapeId="0" xr:uid="{00000000-0006-0000-0000-000027000000}">
      <text>
        <r>
          <rPr>
            <sz val="11"/>
            <color theme="1"/>
            <rFont val="Calibri"/>
            <family val="2"/>
            <scheme val="minor"/>
          </rPr>
          <t>Dias de Quiebre 20</t>
        </r>
      </text>
    </comment>
    <comment ref="V92" authorId="0" shapeId="0" xr:uid="{00000000-0006-0000-0000-000028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W92" authorId="0" shapeId="0" xr:uid="{00000000-0006-0000-0000-000029000000}">
      <text>
        <r>
          <rPr>
            <sz val="11"/>
            <color theme="1"/>
            <rFont val="Calibri"/>
            <family val="2"/>
            <scheme val="minor"/>
          </rPr>
          <t>Dias de Quiebre 4</t>
        </r>
      </text>
    </comment>
    <comment ref="Z92" authorId="0" shapeId="0" xr:uid="{00000000-0006-0000-0000-00002A000000}">
      <text>
        <r>
          <rPr>
            <sz val="11"/>
            <color theme="1"/>
            <rFont val="Calibri"/>
            <family val="2"/>
            <scheme val="minor"/>
          </rPr>
          <t>Dias de Quiebre 15</t>
        </r>
      </text>
    </comment>
    <comment ref="AA94" authorId="0" shapeId="0" xr:uid="{00000000-0006-0000-0000-00002B000000}">
      <text>
        <r>
          <rPr>
            <sz val="11"/>
            <color theme="1"/>
            <rFont val="Calibri"/>
            <family val="2"/>
            <scheme val="minor"/>
          </rPr>
          <t>Dias de Quiebre 24</t>
        </r>
      </text>
    </comment>
    <comment ref="Q97" authorId="0" shapeId="0" xr:uid="{00000000-0006-0000-0000-00002C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U97" authorId="0" shapeId="0" xr:uid="{00000000-0006-0000-0000-00002D000000}">
      <text>
        <r>
          <rPr>
            <sz val="11"/>
            <color theme="1"/>
            <rFont val="Calibri"/>
            <family val="2"/>
            <scheme val="minor"/>
          </rPr>
          <t>Dias de Quiebre 5</t>
        </r>
      </text>
    </comment>
    <comment ref="V97" authorId="0" shapeId="0" xr:uid="{00000000-0006-0000-0000-00002E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V98" authorId="0" shapeId="0" xr:uid="{00000000-0006-0000-0000-00002F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Q99" authorId="0" shapeId="0" xr:uid="{00000000-0006-0000-0000-000030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R99" authorId="0" shapeId="0" xr:uid="{00000000-0006-0000-0000-000031000000}">
      <text>
        <r>
          <rPr>
            <sz val="11"/>
            <color theme="1"/>
            <rFont val="Calibri"/>
            <family val="2"/>
            <scheme val="minor"/>
          </rPr>
          <t>Dias de Quiebre 27</t>
        </r>
      </text>
    </comment>
    <comment ref="S99" authorId="0" shapeId="0" xr:uid="{00000000-0006-0000-0000-000032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T99" authorId="0" shapeId="0" xr:uid="{00000000-0006-0000-0000-000033000000}">
      <text>
        <r>
          <rPr>
            <sz val="11"/>
            <color theme="1"/>
            <rFont val="Calibri"/>
            <family val="2"/>
            <scheme val="minor"/>
          </rPr>
          <t>Dias de Quiebre 12</t>
        </r>
      </text>
    </comment>
    <comment ref="W99" authorId="0" shapeId="0" xr:uid="{00000000-0006-0000-0000-000034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Z120" authorId="0" shapeId="0" xr:uid="{00000000-0006-0000-0000-000035000000}">
      <text>
        <r>
          <rPr>
            <sz val="11"/>
            <color theme="1"/>
            <rFont val="Calibri"/>
            <family val="2"/>
            <scheme val="minor"/>
          </rPr>
          <t>Dias de Quiebre 16</t>
        </r>
      </text>
    </comment>
    <comment ref="Q121" authorId="0" shapeId="0" xr:uid="{00000000-0006-0000-0000-000036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X130" authorId="0" shapeId="0" xr:uid="{00000000-0006-0000-0000-000037000000}">
      <text>
        <r>
          <rPr>
            <sz val="11"/>
            <color theme="1"/>
            <rFont val="Calibri"/>
            <family val="2"/>
            <scheme val="minor"/>
          </rPr>
          <t>Dias de Quiebre 16</t>
        </r>
      </text>
    </comment>
    <comment ref="Y130" authorId="0" shapeId="0" xr:uid="{00000000-0006-0000-0000-000038000000}">
      <text>
        <r>
          <rPr>
            <sz val="11"/>
            <color theme="1"/>
            <rFont val="Calibri"/>
            <family val="2"/>
            <scheme val="minor"/>
          </rPr>
          <t>Dias de Quiebre 9</t>
        </r>
      </text>
    </comment>
    <comment ref="S134" authorId="0" shapeId="0" xr:uid="{00000000-0006-0000-0000-000039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Z136" authorId="0" shapeId="0" xr:uid="{00000000-0006-0000-0000-00003A000000}">
      <text>
        <r>
          <rPr>
            <sz val="11"/>
            <color theme="1"/>
            <rFont val="Calibri"/>
            <family val="2"/>
            <scheme val="minor"/>
          </rPr>
          <t>Dias de Quiebre 23</t>
        </r>
      </text>
    </comment>
    <comment ref="S140" authorId="0" shapeId="0" xr:uid="{00000000-0006-0000-0000-00003B000000}">
      <text>
        <r>
          <rPr>
            <sz val="11"/>
            <color theme="1"/>
            <rFont val="Calibri"/>
            <family val="2"/>
            <scheme val="minor"/>
          </rPr>
          <t>Dias de Quiebre 25</t>
        </r>
      </text>
    </comment>
    <comment ref="W141" authorId="0" shapeId="0" xr:uid="{00000000-0006-0000-0000-00003C000000}">
      <text>
        <r>
          <rPr>
            <sz val="11"/>
            <color theme="1"/>
            <rFont val="Calibri"/>
            <family val="2"/>
            <scheme val="minor"/>
          </rPr>
          <t>Dias de Quiebre 19</t>
        </r>
      </text>
    </comment>
    <comment ref="Q149" authorId="0" shapeId="0" xr:uid="{00000000-0006-0000-0000-00003D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Q152" authorId="0" shapeId="0" xr:uid="{00000000-0006-0000-0000-00003E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T155" authorId="0" shapeId="0" xr:uid="{00000000-0006-0000-0000-00003F000000}">
      <text>
        <r>
          <rPr>
            <sz val="11"/>
            <color theme="1"/>
            <rFont val="Calibri"/>
            <family val="2"/>
            <scheme val="minor"/>
          </rPr>
          <t>Dias de Quiebre 11</t>
        </r>
      </text>
    </comment>
    <comment ref="W155" authorId="0" shapeId="0" xr:uid="{00000000-0006-0000-0000-000040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Y157" authorId="0" shapeId="0" xr:uid="{00000000-0006-0000-0000-000041000000}">
      <text>
        <r>
          <rPr>
            <sz val="11"/>
            <color theme="1"/>
            <rFont val="Calibri"/>
            <family val="2"/>
            <scheme val="minor"/>
          </rPr>
          <t>Dias de Quiebre 7</t>
        </r>
      </text>
    </comment>
    <comment ref="Z166" authorId="0" shapeId="0" xr:uid="{00000000-0006-0000-0000-000042000000}">
      <text>
        <r>
          <rPr>
            <sz val="11"/>
            <color theme="1"/>
            <rFont val="Calibri"/>
            <family val="2"/>
            <scheme val="minor"/>
          </rPr>
          <t>Dias de Quiebre 15</t>
        </r>
      </text>
    </comment>
    <comment ref="X167" authorId="0" shapeId="0" xr:uid="{00000000-0006-0000-0000-000043000000}">
      <text>
        <r>
          <rPr>
            <sz val="11"/>
            <color theme="1"/>
            <rFont val="Calibri"/>
            <family val="2"/>
            <scheme val="minor"/>
          </rPr>
          <t>Dias de Quiebre 26</t>
        </r>
      </text>
    </comment>
    <comment ref="W168" authorId="0" shapeId="0" xr:uid="{00000000-0006-0000-0000-000044000000}">
      <text>
        <r>
          <rPr>
            <sz val="11"/>
            <color theme="1"/>
            <rFont val="Calibri"/>
            <family val="2"/>
            <scheme val="minor"/>
          </rPr>
          <t>Dias de Quiebre 5</t>
        </r>
      </text>
    </comment>
    <comment ref="Q178" authorId="0" shapeId="0" xr:uid="{00000000-0006-0000-0000-000045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Q180" authorId="0" shapeId="0" xr:uid="{00000000-0006-0000-0000-000046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AB181" authorId="0" shapeId="0" xr:uid="{00000000-0006-0000-0000-000047000000}">
      <text>
        <r>
          <rPr>
            <sz val="11"/>
            <color theme="1"/>
            <rFont val="Calibri"/>
            <family val="2"/>
            <scheme val="minor"/>
          </rPr>
          <t>Dias de Quiebre 21</t>
        </r>
      </text>
    </comment>
    <comment ref="AB182" authorId="0" shapeId="0" xr:uid="{00000000-0006-0000-0000-000048000000}">
      <text>
        <r>
          <rPr>
            <sz val="11"/>
            <color theme="1"/>
            <rFont val="Calibri"/>
            <family val="2"/>
            <scheme val="minor"/>
          </rPr>
          <t>Dias de Quiebre 1</t>
        </r>
      </text>
    </comment>
    <comment ref="T186" authorId="0" shapeId="0" xr:uid="{00000000-0006-0000-0000-000049000000}">
      <text>
        <r>
          <rPr>
            <sz val="11"/>
            <color theme="1"/>
            <rFont val="Calibri"/>
            <family val="2"/>
            <scheme val="minor"/>
          </rPr>
          <t>Dias de Quiebre 23</t>
        </r>
      </text>
    </comment>
    <comment ref="V186" authorId="0" shapeId="0" xr:uid="{00000000-0006-0000-0000-00004A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R187" authorId="0" shapeId="0" xr:uid="{00000000-0006-0000-0000-00004B000000}">
      <text>
        <r>
          <rPr>
            <sz val="11"/>
            <color theme="1"/>
            <rFont val="Calibri"/>
            <family val="2"/>
            <scheme val="minor"/>
          </rPr>
          <t>Dias de Quiebre 5</t>
        </r>
      </text>
    </comment>
    <comment ref="S187" authorId="0" shapeId="0" xr:uid="{00000000-0006-0000-0000-00004C000000}">
      <text>
        <r>
          <rPr>
            <sz val="11"/>
            <color theme="1"/>
            <rFont val="Calibri"/>
            <family val="2"/>
            <scheme val="minor"/>
          </rPr>
          <t>Dias de Quiebre 23</t>
        </r>
      </text>
    </comment>
    <comment ref="V187" authorId="0" shapeId="0" xr:uid="{00000000-0006-0000-0000-00004D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V189" authorId="0" shapeId="0" xr:uid="{00000000-0006-0000-0000-00004E000000}">
      <text>
        <r>
          <rPr>
            <sz val="11"/>
            <color theme="1"/>
            <rFont val="Calibri"/>
            <family val="2"/>
            <scheme val="minor"/>
          </rPr>
          <t>Dias de Quiebre 21</t>
        </r>
      </text>
    </comment>
    <comment ref="W189" authorId="0" shapeId="0" xr:uid="{00000000-0006-0000-0000-00004F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X189" authorId="0" shapeId="0" xr:uid="{00000000-0006-0000-0000-000050000000}">
      <text>
        <r>
          <rPr>
            <sz val="11"/>
            <color theme="1"/>
            <rFont val="Calibri"/>
            <family val="2"/>
            <scheme val="minor"/>
          </rPr>
          <t>Dias de Quiebre 27</t>
        </r>
      </text>
    </comment>
    <comment ref="Y189" authorId="0" shapeId="0" xr:uid="{00000000-0006-0000-0000-000051000000}">
      <text>
        <r>
          <rPr>
            <sz val="11"/>
            <color theme="1"/>
            <rFont val="Calibri"/>
            <family val="2"/>
            <scheme val="minor"/>
          </rPr>
          <t>Dias de Quiebre 9</t>
        </r>
      </text>
    </comment>
    <comment ref="Z189" authorId="0" shapeId="0" xr:uid="{00000000-0006-0000-0000-000052000000}">
      <text>
        <r>
          <rPr>
            <sz val="11"/>
            <color theme="1"/>
            <rFont val="Calibri"/>
            <family val="2"/>
            <scheme val="minor"/>
          </rPr>
          <t>Dias de Quiebre 17</t>
        </r>
      </text>
    </comment>
    <comment ref="AB189" authorId="0" shapeId="0" xr:uid="{00000000-0006-0000-0000-000053000000}">
      <text>
        <r>
          <rPr>
            <sz val="11"/>
            <color theme="1"/>
            <rFont val="Calibri"/>
            <family val="2"/>
            <scheme val="minor"/>
          </rPr>
          <t>Dias de Quiebre 15</t>
        </r>
      </text>
    </comment>
    <comment ref="Q190" authorId="0" shapeId="0" xr:uid="{00000000-0006-0000-0000-000054000000}">
      <text>
        <r>
          <rPr>
            <sz val="11"/>
            <color theme="1"/>
            <rFont val="Calibri"/>
            <family val="2"/>
            <scheme val="minor"/>
          </rPr>
          <t>Dias de Quiebre 24</t>
        </r>
      </text>
    </comment>
    <comment ref="S190" authorId="0" shapeId="0" xr:uid="{00000000-0006-0000-0000-000055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Q195" authorId="0" shapeId="0" xr:uid="{00000000-0006-0000-0000-000056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Z196" authorId="0" shapeId="0" xr:uid="{00000000-0006-0000-0000-000057000000}">
      <text>
        <r>
          <rPr>
            <sz val="11"/>
            <color theme="1"/>
            <rFont val="Calibri"/>
            <family val="2"/>
            <scheme val="minor"/>
          </rPr>
          <t>Dias de Quiebre 14</t>
        </r>
      </text>
    </comment>
    <comment ref="Q201" authorId="0" shapeId="0" xr:uid="{00000000-0006-0000-0000-000058000000}">
      <text>
        <r>
          <rPr>
            <sz val="11"/>
            <color theme="1"/>
            <rFont val="Calibri"/>
            <family val="2"/>
            <scheme val="minor"/>
          </rPr>
          <t>Dias de Quiebre 1</t>
        </r>
      </text>
    </comment>
    <comment ref="S201" authorId="0" shapeId="0" xr:uid="{00000000-0006-0000-0000-000059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Q203" authorId="0" shapeId="0" xr:uid="{00000000-0006-0000-0000-00005A000000}">
      <text>
        <r>
          <rPr>
            <sz val="11"/>
            <color theme="1"/>
            <rFont val="Calibri"/>
            <family val="2"/>
            <scheme val="minor"/>
          </rPr>
          <t>Dias de Quiebre 1</t>
        </r>
      </text>
    </comment>
    <comment ref="S203" authorId="0" shapeId="0" xr:uid="{00000000-0006-0000-0000-00005B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Q204" authorId="0" shapeId="0" xr:uid="{00000000-0006-0000-0000-00005C000000}">
      <text>
        <r>
          <rPr>
            <sz val="11"/>
            <color theme="1"/>
            <rFont val="Calibri"/>
            <family val="2"/>
            <scheme val="minor"/>
          </rPr>
          <t>Dias de Quiebre 10</t>
        </r>
      </text>
    </comment>
    <comment ref="S204" authorId="0" shapeId="0" xr:uid="{00000000-0006-0000-0000-00005D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U204" authorId="0" shapeId="0" xr:uid="{00000000-0006-0000-0000-00005E000000}">
      <text>
        <r>
          <rPr>
            <sz val="11"/>
            <color theme="1"/>
            <rFont val="Calibri"/>
            <family val="2"/>
            <scheme val="minor"/>
          </rPr>
          <t>Dias de Quiebre 5</t>
        </r>
      </text>
    </comment>
    <comment ref="V204" authorId="0" shapeId="0" xr:uid="{00000000-0006-0000-0000-00005F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R205" authorId="0" shapeId="0" xr:uid="{00000000-0006-0000-0000-000060000000}">
      <text>
        <r>
          <rPr>
            <sz val="11"/>
            <color theme="1"/>
            <rFont val="Calibri"/>
            <family val="2"/>
            <scheme val="minor"/>
          </rPr>
          <t>Dias de Quiebre 21</t>
        </r>
      </text>
    </comment>
    <comment ref="S205" authorId="0" shapeId="0" xr:uid="{00000000-0006-0000-0000-000061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Q212" authorId="0" shapeId="0" xr:uid="{00000000-0006-0000-0000-000062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Q214" authorId="0" shapeId="0" xr:uid="{00000000-0006-0000-0000-000063000000}">
      <text>
        <r>
          <rPr>
            <sz val="11"/>
            <color theme="1"/>
            <rFont val="Calibri"/>
            <family val="2"/>
            <scheme val="minor"/>
          </rPr>
          <t>Dias de Quiebre 16</t>
        </r>
      </text>
    </comment>
    <comment ref="V214" authorId="0" shapeId="0" xr:uid="{00000000-0006-0000-0000-000064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Q215" authorId="0" shapeId="0" xr:uid="{00000000-0006-0000-0000-000065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Q216" authorId="0" shapeId="0" xr:uid="{00000000-0006-0000-0000-000066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Q217" authorId="0" shapeId="0" xr:uid="{00000000-0006-0000-0000-000067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Q218" authorId="0" shapeId="0" xr:uid="{00000000-0006-0000-0000-000068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Q219" authorId="0" shapeId="0" xr:uid="{00000000-0006-0000-0000-000069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T219" authorId="0" shapeId="0" xr:uid="{00000000-0006-0000-0000-00006A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Q220" authorId="0" shapeId="0" xr:uid="{00000000-0006-0000-0000-00006B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V220" authorId="0" shapeId="0" xr:uid="{00000000-0006-0000-0000-00006C000000}">
      <text>
        <r>
          <rPr>
            <sz val="11"/>
            <color theme="1"/>
            <rFont val="Calibri"/>
            <family val="2"/>
            <scheme val="minor"/>
          </rPr>
          <t>Dias de Quiebre 17</t>
        </r>
      </text>
    </comment>
    <comment ref="Q221" authorId="0" shapeId="0" xr:uid="{00000000-0006-0000-0000-00006D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U221" authorId="0" shapeId="0" xr:uid="{00000000-0006-0000-0000-00006E000000}">
      <text>
        <r>
          <rPr>
            <sz val="11"/>
            <color theme="1"/>
            <rFont val="Calibri"/>
            <family val="2"/>
            <scheme val="minor"/>
          </rPr>
          <t>Dias de Quiebre 6</t>
        </r>
      </text>
    </comment>
    <comment ref="V221" authorId="0" shapeId="0" xr:uid="{00000000-0006-0000-0000-00006F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Q222" authorId="0" shapeId="0" xr:uid="{00000000-0006-0000-0000-000070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U222" authorId="0" shapeId="0" xr:uid="{00000000-0006-0000-0000-000071000000}">
      <text>
        <r>
          <rPr>
            <sz val="11"/>
            <color theme="1"/>
            <rFont val="Calibri"/>
            <family val="2"/>
            <scheme val="minor"/>
          </rPr>
          <t>Dias de Quiebre 17</t>
        </r>
      </text>
    </comment>
    <comment ref="V222" authorId="0" shapeId="0" xr:uid="{00000000-0006-0000-0000-000072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Q223" authorId="0" shapeId="0" xr:uid="{00000000-0006-0000-0000-000073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Q224" authorId="0" shapeId="0" xr:uid="{00000000-0006-0000-0000-000074000000}">
      <text>
        <r>
          <rPr>
            <sz val="11"/>
            <color theme="1"/>
            <rFont val="Calibri"/>
            <family val="2"/>
            <scheme val="minor"/>
          </rPr>
          <t>Dias de Quiebre 11</t>
        </r>
      </text>
    </comment>
    <comment ref="S224" authorId="0" shapeId="0" xr:uid="{00000000-0006-0000-0000-000075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V224" authorId="0" shapeId="0" xr:uid="{00000000-0006-0000-0000-000076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Q225" authorId="0" shapeId="0" xr:uid="{00000000-0006-0000-0000-000077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R225" authorId="0" shapeId="0" xr:uid="{00000000-0006-0000-0000-000078000000}">
      <text>
        <r>
          <rPr>
            <sz val="11"/>
            <color theme="1"/>
            <rFont val="Calibri"/>
            <family val="2"/>
            <scheme val="minor"/>
          </rPr>
          <t>Dias de Quiebre 27</t>
        </r>
      </text>
    </comment>
    <comment ref="V225" authorId="0" shapeId="0" xr:uid="{00000000-0006-0000-0000-000079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Q226" authorId="0" shapeId="0" xr:uid="{00000000-0006-0000-0000-00007A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R226" authorId="0" shapeId="0" xr:uid="{00000000-0006-0000-0000-00007B000000}">
      <text>
        <r>
          <rPr>
            <sz val="11"/>
            <color theme="1"/>
            <rFont val="Calibri"/>
            <family val="2"/>
            <scheme val="minor"/>
          </rPr>
          <t>Dias de Quiebre 27</t>
        </r>
      </text>
    </comment>
    <comment ref="V226" authorId="0" shapeId="0" xr:uid="{00000000-0006-0000-0000-00007C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Q227" authorId="0" shapeId="0" xr:uid="{00000000-0006-0000-0000-00007D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T227" authorId="0" shapeId="0" xr:uid="{00000000-0006-0000-0000-00007E000000}">
      <text>
        <r>
          <rPr>
            <sz val="11"/>
            <color theme="1"/>
            <rFont val="Calibri"/>
            <family val="2"/>
            <scheme val="minor"/>
          </rPr>
          <t>Dias de Quiebre 18</t>
        </r>
      </text>
    </comment>
    <comment ref="Q229" authorId="0" shapeId="0" xr:uid="{00000000-0006-0000-0000-00007F000000}">
      <text>
        <r>
          <rPr>
            <sz val="11"/>
            <color theme="1"/>
            <rFont val="Calibri"/>
            <family val="2"/>
            <scheme val="minor"/>
          </rPr>
          <t>Dias de Quiebre 18</t>
        </r>
      </text>
    </comment>
    <comment ref="V229" authorId="0" shapeId="0" xr:uid="{00000000-0006-0000-0000-000080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Q230" authorId="0" shapeId="0" xr:uid="{00000000-0006-0000-0000-000081000000}">
      <text>
        <r>
          <rPr>
            <sz val="11"/>
            <color theme="1"/>
            <rFont val="Calibri"/>
            <family val="2"/>
            <scheme val="minor"/>
          </rPr>
          <t>Dias de Quiebre 18</t>
        </r>
      </text>
    </comment>
    <comment ref="V230" authorId="0" shapeId="0" xr:uid="{00000000-0006-0000-0000-000082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S232" authorId="0" shapeId="0" xr:uid="{00000000-0006-0000-0000-000083000000}">
      <text>
        <r>
          <rPr>
            <sz val="11"/>
            <color theme="1"/>
            <rFont val="Calibri"/>
            <family val="2"/>
            <scheme val="minor"/>
          </rPr>
          <t>Dias de Quiebre 25</t>
        </r>
      </text>
    </comment>
    <comment ref="S233" authorId="0" shapeId="0" xr:uid="{00000000-0006-0000-0000-000084000000}">
      <text>
        <r>
          <rPr>
            <sz val="11"/>
            <color theme="1"/>
            <rFont val="Calibri"/>
            <family val="2"/>
            <scheme val="minor"/>
          </rPr>
          <t>Dias de Quiebre 25</t>
        </r>
      </text>
    </comment>
    <comment ref="S234" authorId="0" shapeId="0" xr:uid="{00000000-0006-0000-0000-000085000000}">
      <text>
        <r>
          <rPr>
            <sz val="11"/>
            <color theme="1"/>
            <rFont val="Calibri"/>
            <family val="2"/>
            <scheme val="minor"/>
          </rPr>
          <t>Dias de Quiebre 25</t>
        </r>
      </text>
    </comment>
    <comment ref="S235" authorId="0" shapeId="0" xr:uid="{00000000-0006-0000-0000-000086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T235" authorId="0" shapeId="0" xr:uid="{00000000-0006-0000-0000-000087000000}">
      <text>
        <r>
          <rPr>
            <sz val="11"/>
            <color theme="1"/>
            <rFont val="Calibri"/>
            <family val="2"/>
            <scheme val="minor"/>
          </rPr>
          <t>Dias de Quiebre 24</t>
        </r>
      </text>
    </comment>
    <comment ref="S236" authorId="0" shapeId="0" xr:uid="{00000000-0006-0000-0000-000088000000}">
      <text>
        <r>
          <rPr>
            <sz val="11"/>
            <color theme="1"/>
            <rFont val="Calibri"/>
            <family val="2"/>
            <scheme val="minor"/>
          </rPr>
          <t>Dias de Quiebre 25</t>
        </r>
      </text>
    </comment>
    <comment ref="S237" authorId="0" shapeId="0" xr:uid="{00000000-0006-0000-0000-000089000000}">
      <text>
        <r>
          <rPr>
            <sz val="11"/>
            <color theme="1"/>
            <rFont val="Calibri"/>
            <family val="2"/>
            <scheme val="minor"/>
          </rPr>
          <t>Dias de Quiebre 25</t>
        </r>
      </text>
    </comment>
    <comment ref="S238" authorId="0" shapeId="0" xr:uid="{00000000-0006-0000-0000-00008A000000}">
      <text>
        <r>
          <rPr>
            <sz val="11"/>
            <color theme="1"/>
            <rFont val="Calibri"/>
            <family val="2"/>
            <scheme val="minor"/>
          </rPr>
          <t>Dias de Quiebre 25</t>
        </r>
      </text>
    </comment>
    <comment ref="S239" authorId="0" shapeId="0" xr:uid="{00000000-0006-0000-0000-00008B000000}">
      <text>
        <r>
          <rPr>
            <sz val="11"/>
            <color theme="1"/>
            <rFont val="Calibri"/>
            <family val="2"/>
            <scheme val="minor"/>
          </rPr>
          <t>Dias de Quiebre 25</t>
        </r>
      </text>
    </comment>
    <comment ref="S240" authorId="0" shapeId="0" xr:uid="{00000000-0006-0000-0000-00008C000000}">
      <text>
        <r>
          <rPr>
            <sz val="11"/>
            <color theme="1"/>
            <rFont val="Calibri"/>
            <family val="2"/>
            <scheme val="minor"/>
          </rPr>
          <t>Dias de Quiebre 25</t>
        </r>
      </text>
    </comment>
    <comment ref="S241" authorId="0" shapeId="0" xr:uid="{00000000-0006-0000-0000-00008D000000}">
      <text>
        <r>
          <rPr>
            <sz val="11"/>
            <color theme="1"/>
            <rFont val="Calibri"/>
            <family val="2"/>
            <scheme val="minor"/>
          </rPr>
          <t>Dias de Quiebre 25</t>
        </r>
      </text>
    </comment>
    <comment ref="S242" authorId="0" shapeId="0" xr:uid="{00000000-0006-0000-0000-00008E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T242" authorId="0" shapeId="0" xr:uid="{00000000-0006-0000-0000-00008F000000}">
      <text>
        <r>
          <rPr>
            <sz val="11"/>
            <color theme="1"/>
            <rFont val="Calibri"/>
            <family val="2"/>
            <scheme val="minor"/>
          </rPr>
          <t>Dias de Quiebre 24</t>
        </r>
      </text>
    </comment>
    <comment ref="S243" authorId="0" shapeId="0" xr:uid="{00000000-0006-0000-0000-000090000000}">
      <text>
        <r>
          <rPr>
            <sz val="11"/>
            <color theme="1"/>
            <rFont val="Calibri"/>
            <family val="2"/>
            <scheme val="minor"/>
          </rPr>
          <t>Dias de Quiebre 25</t>
        </r>
      </text>
    </comment>
    <comment ref="S244" authorId="0" shapeId="0" xr:uid="{00000000-0006-0000-0000-000091000000}">
      <text>
        <r>
          <rPr>
            <sz val="11"/>
            <color theme="1"/>
            <rFont val="Calibri"/>
            <family val="2"/>
            <scheme val="minor"/>
          </rPr>
          <t>Dias de Quiebre 25</t>
        </r>
      </text>
    </comment>
    <comment ref="S245" authorId="0" shapeId="0" xr:uid="{00000000-0006-0000-0000-000092000000}">
      <text>
        <r>
          <rPr>
            <sz val="11"/>
            <color theme="1"/>
            <rFont val="Calibri"/>
            <family val="2"/>
            <scheme val="minor"/>
          </rPr>
          <t>Dias de Quiebre 25</t>
        </r>
      </text>
    </comment>
    <comment ref="S246" authorId="0" shapeId="0" xr:uid="{00000000-0006-0000-0000-000093000000}">
      <text>
        <r>
          <rPr>
            <sz val="11"/>
            <color theme="1"/>
            <rFont val="Calibri"/>
            <family val="2"/>
            <scheme val="minor"/>
          </rPr>
          <t>Dias de Quiebre 25</t>
        </r>
      </text>
    </comment>
    <comment ref="S247" authorId="0" shapeId="0" xr:uid="{00000000-0006-0000-0000-000094000000}">
      <text>
        <r>
          <rPr>
            <sz val="11"/>
            <color theme="1"/>
            <rFont val="Calibri"/>
            <family val="2"/>
            <scheme val="minor"/>
          </rPr>
          <t>Dias de Quiebre 25</t>
        </r>
      </text>
    </comment>
    <comment ref="S248" authorId="0" shapeId="0" xr:uid="{00000000-0006-0000-0000-000095000000}">
      <text>
        <r>
          <rPr>
            <sz val="11"/>
            <color theme="1"/>
            <rFont val="Calibri"/>
            <family val="2"/>
            <scheme val="minor"/>
          </rPr>
          <t>Dias de Quiebre 25</t>
        </r>
      </text>
    </comment>
    <comment ref="S249" authorId="0" shapeId="0" xr:uid="{00000000-0006-0000-0000-000096000000}">
      <text>
        <r>
          <rPr>
            <sz val="11"/>
            <color theme="1"/>
            <rFont val="Calibri"/>
            <family val="2"/>
            <scheme val="minor"/>
          </rPr>
          <t>Dias de Quiebre 25</t>
        </r>
      </text>
    </comment>
    <comment ref="S250" authorId="0" shapeId="0" xr:uid="{00000000-0006-0000-0000-000097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V251" authorId="0" shapeId="0" xr:uid="{00000000-0006-0000-0000-000098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V252" authorId="0" shapeId="0" xr:uid="{00000000-0006-0000-0000-000099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V253" authorId="0" shapeId="0" xr:uid="{00000000-0006-0000-0000-00009A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V254" authorId="0" shapeId="0" xr:uid="{00000000-0006-0000-0000-00009B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V255" authorId="0" shapeId="0" xr:uid="{00000000-0006-0000-0000-00009C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X255" authorId="0" shapeId="0" xr:uid="{00000000-0006-0000-0000-00009D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Z255" authorId="0" shapeId="0" xr:uid="{00000000-0006-0000-0000-00009E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V256" authorId="0" shapeId="0" xr:uid="{00000000-0006-0000-0000-00009F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V257" authorId="0" shapeId="0" xr:uid="{00000000-0006-0000-0000-0000A0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V258" authorId="0" shapeId="0" xr:uid="{00000000-0006-0000-0000-0000A1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T259" authorId="0" shapeId="0" xr:uid="{00000000-0006-0000-0000-0000A2000000}">
      <text>
        <r>
          <rPr>
            <sz val="11"/>
            <color theme="1"/>
            <rFont val="Calibri"/>
            <family val="2"/>
            <scheme val="minor"/>
          </rPr>
          <t>Dias de Quiebre 7</t>
        </r>
      </text>
    </comment>
    <comment ref="Z259" authorId="0" shapeId="0" xr:uid="{00000000-0006-0000-0000-0000A3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W260" authorId="0" shapeId="0" xr:uid="{00000000-0006-0000-0000-0000A4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W261" authorId="0" shapeId="0" xr:uid="{00000000-0006-0000-0000-0000A5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W262" authorId="0" shapeId="0" xr:uid="{00000000-0006-0000-0000-0000A6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AA262" authorId="0" shapeId="0" xr:uid="{00000000-0006-0000-0000-0000A7000000}">
      <text>
        <r>
          <rPr>
            <sz val="11"/>
            <color theme="1"/>
            <rFont val="Calibri"/>
            <family val="2"/>
            <scheme val="minor"/>
          </rPr>
          <t>Dias de Quiebre 11</t>
        </r>
      </text>
    </comment>
    <comment ref="W263" authorId="0" shapeId="0" xr:uid="{00000000-0006-0000-0000-0000A8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AB263" authorId="0" shapeId="0" xr:uid="{00000000-0006-0000-0000-0000A9000000}">
      <text>
        <r>
          <rPr>
            <sz val="11"/>
            <color theme="1"/>
            <rFont val="Calibri"/>
            <family val="2"/>
            <scheme val="minor"/>
          </rPr>
          <t>Dias de Quiebre 5</t>
        </r>
      </text>
    </comment>
    <comment ref="W265" authorId="0" shapeId="0" xr:uid="{00000000-0006-0000-0000-0000AA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W266" authorId="0" shapeId="0" xr:uid="{00000000-0006-0000-0000-0000AB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W267" authorId="0" shapeId="0" xr:uid="{00000000-0006-0000-0000-0000AC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W268" authorId="0" shapeId="0" xr:uid="{00000000-0006-0000-0000-0000AD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W270" authorId="0" shapeId="0" xr:uid="{00000000-0006-0000-0000-0000AE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Z270" authorId="0" shapeId="0" xr:uid="{00000000-0006-0000-0000-0000AF000000}">
      <text>
        <r>
          <rPr>
            <sz val="11"/>
            <color theme="1"/>
            <rFont val="Calibri"/>
            <family val="2"/>
            <scheme val="minor"/>
          </rPr>
          <t>Dias de Quiebre 11</t>
        </r>
      </text>
    </comment>
    <comment ref="W271" authorId="0" shapeId="0" xr:uid="{00000000-0006-0000-0000-0000B0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W272" authorId="0" shapeId="0" xr:uid="{00000000-0006-0000-0000-0000B1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W273" authorId="0" shapeId="0" xr:uid="{00000000-0006-0000-0000-0000B2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W274" authorId="0" shapeId="0" xr:uid="{00000000-0006-0000-0000-0000B3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W275" authorId="0" shapeId="0" xr:uid="{00000000-0006-0000-0000-0000B4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W276" authorId="0" shapeId="0" xr:uid="{00000000-0006-0000-0000-0000B5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W277" authorId="0" shapeId="0" xr:uid="{00000000-0006-0000-0000-0000B6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W278" authorId="0" shapeId="0" xr:uid="{00000000-0006-0000-0000-0000B7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W279" authorId="0" shapeId="0" xr:uid="{00000000-0006-0000-0000-0000B8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W280" authorId="0" shapeId="0" xr:uid="{00000000-0006-0000-0000-0000B9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W281" authorId="0" shapeId="0" xr:uid="{00000000-0006-0000-0000-0000BA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W282" authorId="0" shapeId="0" xr:uid="{00000000-0006-0000-0000-0000BB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W283" authorId="0" shapeId="0" xr:uid="{00000000-0006-0000-0000-0000BC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W284" authorId="0" shapeId="0" xr:uid="{00000000-0006-0000-0000-0000BD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W285" authorId="0" shapeId="0" xr:uid="{00000000-0006-0000-0000-0000BE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W286" authorId="0" shapeId="0" xr:uid="{00000000-0006-0000-0000-0000BF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W287" authorId="0" shapeId="0" xr:uid="{00000000-0006-0000-0000-0000C0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W288" authorId="0" shapeId="0" xr:uid="{00000000-0006-0000-0000-0000C1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W289" authorId="0" shapeId="0" xr:uid="{00000000-0006-0000-0000-0000C200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Y300" authorId="0" shapeId="0" xr:uid="{00000000-0006-0000-0000-0000C3000000}">
      <text>
        <r>
          <rPr>
            <sz val="11"/>
            <color theme="1"/>
            <rFont val="Calibri"/>
            <family val="2"/>
            <scheme val="minor"/>
          </rPr>
          <t>Dias de Quiebre 9</t>
        </r>
      </text>
    </comment>
    <comment ref="AB300" authorId="0" shapeId="0" xr:uid="{00000000-0006-0000-0000-0000C4000000}">
      <text>
        <r>
          <rPr>
            <sz val="11"/>
            <color theme="1"/>
            <rFont val="Calibri"/>
            <family val="2"/>
            <scheme val="minor"/>
          </rPr>
          <t>Dias de Quiebre 14</t>
        </r>
      </text>
    </comment>
    <comment ref="Y301" authorId="0" shapeId="0" xr:uid="{00000000-0006-0000-0000-0000C5000000}">
      <text>
        <r>
          <rPr>
            <sz val="11"/>
            <color theme="1"/>
            <rFont val="Calibri"/>
            <family val="2"/>
            <scheme val="minor"/>
          </rPr>
          <t>Dias de Quiebre 9</t>
        </r>
      </text>
    </comment>
    <comment ref="Y302" authorId="0" shapeId="0" xr:uid="{00000000-0006-0000-0000-0000C6000000}">
      <text>
        <r>
          <rPr>
            <sz val="11"/>
            <color theme="1"/>
            <rFont val="Calibri"/>
            <family val="2"/>
            <scheme val="minor"/>
          </rPr>
          <t>Dias de Quiebre 9</t>
        </r>
      </text>
    </comment>
    <comment ref="Y303" authorId="0" shapeId="0" xr:uid="{00000000-0006-0000-0000-0000C7000000}">
      <text>
        <r>
          <rPr>
            <sz val="11"/>
            <color theme="1"/>
            <rFont val="Calibri"/>
            <family val="2"/>
            <scheme val="minor"/>
          </rPr>
          <t>Dias de Quiebre 9</t>
        </r>
      </text>
    </comment>
    <comment ref="Y304" authorId="0" shapeId="0" xr:uid="{00000000-0006-0000-0000-0000C8000000}">
      <text>
        <r>
          <rPr>
            <sz val="11"/>
            <color theme="1"/>
            <rFont val="Calibri"/>
            <family val="2"/>
            <scheme val="minor"/>
          </rPr>
          <t>Dias de Quiebre 9</t>
        </r>
      </text>
    </comment>
    <comment ref="Z308" authorId="0" shapeId="0" xr:uid="{00000000-0006-0000-0000-0000C9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Z309" authorId="0" shapeId="0" xr:uid="{00000000-0006-0000-0000-0000CA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Z310" authorId="0" shapeId="0" xr:uid="{00000000-0006-0000-0000-0000CB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Z311" authorId="0" shapeId="0" xr:uid="{00000000-0006-0000-0000-0000CC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Z312" authorId="0" shapeId="0" xr:uid="{00000000-0006-0000-0000-0000CD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Z313" authorId="0" shapeId="0" xr:uid="{00000000-0006-0000-0000-0000CE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Z314" authorId="0" shapeId="0" xr:uid="{00000000-0006-0000-0000-0000CF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Z315" authorId="0" shapeId="0" xr:uid="{00000000-0006-0000-0000-0000D0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Z316" authorId="0" shapeId="0" xr:uid="{00000000-0006-0000-0000-0000D1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Z321" authorId="0" shapeId="0" xr:uid="{00000000-0006-0000-0000-0000D2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Z322" authorId="0" shapeId="0" xr:uid="{00000000-0006-0000-0000-0000D3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Z323" authorId="0" shapeId="0" xr:uid="{00000000-0006-0000-0000-0000D4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Z324" authorId="0" shapeId="0" xr:uid="{00000000-0006-0000-0000-0000D5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Z325" authorId="0" shapeId="0" xr:uid="{00000000-0006-0000-0000-0000D6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Z326" authorId="0" shapeId="0" xr:uid="{00000000-0006-0000-0000-0000D7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Z327" authorId="0" shapeId="0" xr:uid="{00000000-0006-0000-0000-0000D8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Y329" authorId="0" shapeId="0" xr:uid="{00000000-0006-0000-0000-0000D9000000}">
      <text>
        <r>
          <rPr>
            <sz val="11"/>
            <color theme="1"/>
            <rFont val="Calibri"/>
            <family val="2"/>
            <scheme val="minor"/>
          </rPr>
          <t>Dias de Quiebre 9</t>
        </r>
      </text>
    </comment>
    <comment ref="Y330" authorId="0" shapeId="0" xr:uid="{00000000-0006-0000-0000-0000DA000000}">
      <text>
        <r>
          <rPr>
            <sz val="11"/>
            <color theme="1"/>
            <rFont val="Calibri"/>
            <family val="2"/>
            <scheme val="minor"/>
          </rPr>
          <t>Dias de Quiebre 9</t>
        </r>
      </text>
    </comment>
    <comment ref="Z331" authorId="0" shapeId="0" xr:uid="{00000000-0006-0000-0000-0000DB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Z332" authorId="0" shapeId="0" xr:uid="{00000000-0006-0000-0000-0000DC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Z333" authorId="0" shapeId="0" xr:uid="{00000000-0006-0000-0000-0000DD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Z334" authorId="0" shapeId="0" xr:uid="{00000000-0006-0000-0000-0000DE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Z335" authorId="0" shapeId="0" xr:uid="{00000000-0006-0000-0000-0000DF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Z336" authorId="0" shapeId="0" xr:uid="{00000000-0006-0000-0000-0000E0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Z337" authorId="0" shapeId="0" xr:uid="{00000000-0006-0000-0000-0000E1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Z339" authorId="0" shapeId="0" xr:uid="{00000000-0006-0000-0000-0000E2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S382" authorId="0" shapeId="0" xr:uid="{00000000-0006-0000-0000-0000E3000000}">
      <text>
        <r>
          <rPr>
            <sz val="11"/>
            <color theme="1"/>
            <rFont val="Calibri"/>
            <family val="2"/>
            <scheme val="minor"/>
          </rPr>
          <t>Dias de Quiebre 14</t>
        </r>
      </text>
    </comment>
    <comment ref="S383" authorId="0" shapeId="0" xr:uid="{00000000-0006-0000-0000-0000E4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S384" authorId="0" shapeId="0" xr:uid="{00000000-0006-0000-0000-0000E5000000}">
      <text>
        <r>
          <rPr>
            <sz val="11"/>
            <color theme="1"/>
            <rFont val="Calibri"/>
            <family val="2"/>
            <scheme val="minor"/>
          </rPr>
          <t>Dias de Quiebre 18</t>
        </r>
      </text>
    </comment>
    <comment ref="AA390" authorId="0" shapeId="0" xr:uid="{00000000-0006-0000-0000-0000E6000000}">
      <text>
        <r>
          <rPr>
            <sz val="11"/>
            <color theme="1"/>
            <rFont val="Calibri"/>
            <family val="2"/>
            <scheme val="minor"/>
          </rPr>
          <t>Dias de Quiebre 28</t>
        </r>
      </text>
    </comment>
    <comment ref="Y393" authorId="0" shapeId="0" xr:uid="{00000000-0006-0000-0000-0000E7000000}">
      <text>
        <r>
          <rPr>
            <sz val="11"/>
            <color theme="1"/>
            <rFont val="Calibri"/>
            <family val="2"/>
            <scheme val="minor"/>
          </rPr>
          <t>Dias de Quiebre 9</t>
        </r>
      </text>
    </comment>
    <comment ref="Y395" authorId="0" shapeId="0" xr:uid="{00000000-0006-0000-0000-0000E8000000}">
      <text>
        <r>
          <rPr>
            <sz val="11"/>
            <color theme="1"/>
            <rFont val="Calibri"/>
            <family val="2"/>
            <scheme val="minor"/>
          </rPr>
          <t>Dias de Quiebre 9</t>
        </r>
      </text>
    </comment>
    <comment ref="V396" authorId="0" shapeId="0" xr:uid="{00000000-0006-0000-0000-0000E9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V397" authorId="0" shapeId="0" xr:uid="{00000000-0006-0000-0000-0000EA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V398" authorId="0" shapeId="0" xr:uid="{00000000-0006-0000-0000-0000EB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AA398" authorId="0" shapeId="0" xr:uid="{00000000-0006-0000-0000-0000EC000000}">
      <text>
        <r>
          <rPr>
            <sz val="11"/>
            <color theme="1"/>
            <rFont val="Calibri"/>
            <family val="2"/>
            <scheme val="minor"/>
          </rPr>
          <t>Dias de Quiebre 12</t>
        </r>
      </text>
    </comment>
    <comment ref="Q401" authorId="0" shapeId="0" xr:uid="{00000000-0006-0000-0000-0000ED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Z402" authorId="0" shapeId="0" xr:uid="{00000000-0006-0000-0000-0000EE000000}">
      <text>
        <r>
          <rPr>
            <sz val="11"/>
            <color theme="1"/>
            <rFont val="Calibri"/>
            <family val="2"/>
            <scheme val="minor"/>
          </rPr>
          <t>Dias de Quiebre 29</t>
        </r>
      </text>
    </comment>
    <comment ref="Q406" authorId="0" shapeId="0" xr:uid="{00000000-0006-0000-0000-0000EF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R406" authorId="0" shapeId="0" xr:uid="{00000000-0006-0000-0000-0000F0000000}">
      <text>
        <r>
          <rPr>
            <sz val="11"/>
            <color theme="1"/>
            <rFont val="Calibri"/>
            <family val="2"/>
            <scheme val="minor"/>
          </rPr>
          <t>Dias de Quiebre 5</t>
        </r>
      </text>
    </comment>
    <comment ref="S406" authorId="0" shapeId="0" xr:uid="{00000000-0006-0000-0000-0000F1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U406" authorId="0" shapeId="0" xr:uid="{00000000-0006-0000-0000-0000F2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V406" authorId="0" shapeId="0" xr:uid="{00000000-0006-0000-0000-0000F3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AB406" authorId="0" shapeId="0" xr:uid="{00000000-0006-0000-0000-0000F4000000}">
      <text>
        <r>
          <rPr>
            <sz val="11"/>
            <color theme="1"/>
            <rFont val="Calibri"/>
            <family val="2"/>
            <scheme val="minor"/>
          </rPr>
          <t>Dias de Quiebre 13</t>
        </r>
      </text>
    </comment>
    <comment ref="Q407" authorId="0" shapeId="0" xr:uid="{00000000-0006-0000-0000-0000F5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U407" authorId="0" shapeId="0" xr:uid="{00000000-0006-0000-0000-0000F6000000}">
      <text>
        <r>
          <rPr>
            <sz val="11"/>
            <color theme="1"/>
            <rFont val="Calibri"/>
            <family val="2"/>
            <scheme val="minor"/>
          </rPr>
          <t>Dias de Quiebre 4</t>
        </r>
      </text>
    </comment>
    <comment ref="V407" authorId="0" shapeId="0" xr:uid="{00000000-0006-0000-0000-0000F7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S408" authorId="0" shapeId="0" xr:uid="{00000000-0006-0000-0000-0000F8000000}">
      <text>
        <r>
          <rPr>
            <sz val="11"/>
            <color theme="1"/>
            <rFont val="Calibri"/>
            <family val="2"/>
            <scheme val="minor"/>
          </rPr>
          <t>Dias de Quiebre 6</t>
        </r>
      </text>
    </comment>
    <comment ref="S409" authorId="0" shapeId="0" xr:uid="{00000000-0006-0000-0000-0000F9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U409" authorId="0" shapeId="0" xr:uid="{00000000-0006-0000-0000-0000FA000000}">
      <text>
        <r>
          <rPr>
            <sz val="11"/>
            <color theme="1"/>
            <rFont val="Calibri"/>
            <family val="2"/>
            <scheme val="minor"/>
          </rPr>
          <t>Dias de Quiebre 5</t>
        </r>
      </text>
    </comment>
    <comment ref="V409" authorId="0" shapeId="0" xr:uid="{00000000-0006-0000-0000-0000FB000000}">
      <text>
        <r>
          <rPr>
            <sz val="11"/>
            <color theme="1"/>
            <rFont val="Calibri"/>
            <family val="2"/>
            <scheme val="minor"/>
          </rPr>
          <t>Dias de Quiebre 3</t>
        </r>
      </text>
    </comment>
    <comment ref="AA409" authorId="0" shapeId="0" xr:uid="{00000000-0006-0000-0000-0000FC000000}">
      <text>
        <r>
          <rPr>
            <sz val="11"/>
            <color theme="1"/>
            <rFont val="Calibri"/>
            <family val="2"/>
            <scheme val="minor"/>
          </rPr>
          <t>Dias de Quiebre 5</t>
        </r>
      </text>
    </comment>
    <comment ref="S410" authorId="0" shapeId="0" xr:uid="{00000000-0006-0000-0000-0000FD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S411" authorId="0" shapeId="0" xr:uid="{00000000-0006-0000-0000-0000FE00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Q412" authorId="0" shapeId="0" xr:uid="{00000000-0006-0000-0000-0000FF000000}">
      <text>
        <r>
          <rPr>
            <sz val="11"/>
            <color theme="1"/>
            <rFont val="Calibri"/>
            <family val="2"/>
            <scheme val="minor"/>
          </rPr>
          <t>Dias de Quiebre 18</t>
        </r>
      </text>
    </comment>
    <comment ref="Z413" authorId="0" shapeId="0" xr:uid="{00000000-0006-0000-0000-000000010000}">
      <text>
        <r>
          <rPr>
            <sz val="11"/>
            <color theme="1"/>
            <rFont val="Calibri"/>
            <family val="2"/>
            <scheme val="minor"/>
          </rPr>
          <t>Dias de Quiebre 7</t>
        </r>
      </text>
    </comment>
    <comment ref="S414" authorId="0" shapeId="0" xr:uid="{00000000-0006-0000-0000-00000101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S415" authorId="0" shapeId="0" xr:uid="{00000000-0006-0000-0000-000002010000}">
      <text>
        <r>
          <rPr>
            <sz val="11"/>
            <color theme="1"/>
            <rFont val="Calibri"/>
            <family val="2"/>
            <scheme val="minor"/>
          </rPr>
          <t>Dias de Quiebre 2</t>
        </r>
      </text>
    </comment>
    <comment ref="W416" authorId="0" shapeId="0" xr:uid="{00000000-0006-0000-0000-00000301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  <comment ref="AA416" authorId="0" shapeId="0" xr:uid="{00000000-0006-0000-0000-000004010000}">
      <text>
        <r>
          <rPr>
            <sz val="11"/>
            <color theme="1"/>
            <rFont val="Calibri"/>
            <family val="2"/>
            <scheme val="minor"/>
          </rPr>
          <t>Dias de Quiebre 28</t>
        </r>
      </text>
    </comment>
    <comment ref="W417" authorId="0" shapeId="0" xr:uid="{00000000-0006-0000-0000-000005010000}">
      <text>
        <r>
          <rPr>
            <sz val="11"/>
            <color theme="1"/>
            <rFont val="Calibri"/>
            <family val="2"/>
            <scheme val="minor"/>
          </rPr>
          <t>Dias de Quiebre 8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SpreadsheetLight</author>
  </authors>
  <commentList>
    <comment ref="F4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Dias que faltan para llegar la Impo</t>
        </r>
      </text>
    </comment>
    <comment ref="G4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Stk.Act-(Dias Ant*Rot.DesE*Estac.Ant)+Cant.Ant.Impo-(Dias Impo Act.*Rot.DesE*Estac.Periodo)</t>
        </r>
      </text>
    </comment>
    <comment ref="H4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Quiebre/(Rotacion DesEstac.*Estac.Periodo)/Dias Protecc. Secc</t>
        </r>
      </text>
    </comment>
    <comment ref="I4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Cantidad Pedida en la Importacion</t>
        </r>
      </text>
    </comment>
    <comment ref="J4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Si Quiebre &gt; 0, Quiebre + Pedido, Pedido</t>
        </r>
      </text>
    </comment>
    <comment ref="K4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Costo Impo.</t>
        </r>
      </text>
    </comment>
    <comment ref="M4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Dias que faltan para llegar la Impo</t>
        </r>
      </text>
    </comment>
    <comment ref="N4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Stk.Act-(Dias Ant*Rot.DesE*Estac.Ant)+Cant.Ant.Impo-(Dias Impo Act.*Rot.DesE*Estac.Periodo)</t>
        </r>
      </text>
    </comment>
    <comment ref="O4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Quiebre/(Rotacion DesEstac.*Estac.Periodo)/Dias Protecc. Secc</t>
        </r>
      </text>
    </comment>
    <comment ref="P4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Cantidad Pedida en la Importacion</t>
        </r>
      </text>
    </comment>
    <comment ref="Q4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Si Quiebre &gt; 0, Quiebre + Pedido, Pedido</t>
        </r>
      </text>
    </comment>
    <comment ref="R4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Costo Impo.</t>
        </r>
      </text>
    </comment>
    <comment ref="U4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Stk.Act-Sum(Dias Ant*Rot.DesE*Estac.Ant)+Cant.Ant.Impo-(Dias Impo Act.*Rot.DesE*Estac.Periodo)</t>
        </r>
      </text>
    </comment>
    <comment ref="V4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Quiebre/(Rotacion DesEstac.*Estac.Periodo)/Dias Protecc. Secc</t>
        </r>
      </text>
    </comment>
    <comment ref="W4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Dias a Reponer*(Rotacion DesEstac.*Estac. Periodo Futuro)-Stk.Arribo Ult</t>
        </r>
      </text>
    </comment>
    <comment ref="X4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Valor Manual</t>
        </r>
      </text>
    </comment>
    <comment ref="Y4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Si Quiebre&gt;0, Quiebre+(Si Confirmado &gt; 0, Confirmado,0),Confirmado</t>
        </r>
      </text>
    </comment>
    <comment ref="AB4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Stk.Acumulado-(Dias Duracion*Rot.DesEstac.*Estac.Periodo Futuro)</t>
        </r>
      </text>
    </comment>
    <comment ref="AC4" authorId="0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Stk Final/(Rotacion DesEstac.*Estac.Periodo Futuro)/Dias Protecc. Secc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<sst xmlns="http://schemas.openxmlformats.org/spreadsheetml/2006/main" count="2731" uniqueCount="969">
  <si>
    <t>Articulo</t>
  </si>
  <si>
    <t>Descripcion</t>
  </si>
  <si>
    <t>Codigos Barras</t>
  </si>
  <si>
    <t>Vta.Jul/25</t>
  </si>
  <si>
    <t>Vta.Ago/25</t>
  </si>
  <si>
    <t>Vta.Sep/25</t>
  </si>
  <si>
    <t>Vta.Oct/25</t>
  </si>
  <si>
    <t>Vta.Nov/25</t>
  </si>
  <si>
    <t>Vta.Dic/25</t>
  </si>
  <si>
    <t>Vta.Ene/26</t>
  </si>
  <si>
    <t>Vta.Feb/26</t>
  </si>
  <si>
    <t>Vta.Mar/26</t>
  </si>
  <si>
    <t>Vta.Abr/26</t>
  </si>
  <si>
    <t>Vta.May/26</t>
  </si>
  <si>
    <t>Vta.Jun/26</t>
  </si>
  <si>
    <t>Vta.Jul/26</t>
  </si>
  <si>
    <t>Jul/25</t>
  </si>
  <si>
    <t>Ago/25</t>
  </si>
  <si>
    <t>Sep/25</t>
  </si>
  <si>
    <t>Oct/25</t>
  </si>
  <si>
    <t>Nov/25</t>
  </si>
  <si>
    <t>Dic/25</t>
  </si>
  <si>
    <t>Ene/26</t>
  </si>
  <si>
    <t>Feb/26</t>
  </si>
  <si>
    <t>Mar/26</t>
  </si>
  <si>
    <t>Abr/26</t>
  </si>
  <si>
    <t>May/26</t>
  </si>
  <si>
    <t>Jun/26</t>
  </si>
  <si>
    <t>Jul/26</t>
  </si>
  <si>
    <t>Rotacion DesEstac.</t>
  </si>
  <si>
    <t>Rot. Manual</t>
  </si>
  <si>
    <t>Estado Art.</t>
  </si>
  <si>
    <t>HX076</t>
  </si>
  <si>
    <t>LLAVERO FANTECH</t>
  </si>
  <si>
    <t>A</t>
  </si>
  <si>
    <t>HX077</t>
  </si>
  <si>
    <t>CINTA VELCRO ORGANIZ. DE CABLES FANTECH</t>
  </si>
  <si>
    <t>HX033</t>
  </si>
  <si>
    <t>GORRA FANTECH</t>
  </si>
  <si>
    <t>HX034</t>
  </si>
  <si>
    <t>VASO FANTECH NEGRO</t>
  </si>
  <si>
    <t>HX035</t>
  </si>
  <si>
    <t>CAMPERA DE NYLON FANTECH XL - NO USAR</t>
  </si>
  <si>
    <t>HX036</t>
  </si>
  <si>
    <t>CAMPERA DE NYLON FANTECH XXL</t>
  </si>
  <si>
    <t>HX040</t>
  </si>
  <si>
    <t>REMERA FANTECH M - NO USAR</t>
  </si>
  <si>
    <t>HX041</t>
  </si>
  <si>
    <t>REMERA FANTECH L - NO USAR</t>
  </si>
  <si>
    <t>HX046</t>
  </si>
  <si>
    <t>VASO FANTECH ROJO</t>
  </si>
  <si>
    <t>HX047</t>
  </si>
  <si>
    <t>REMERA FANTECH M RED - NO USAR</t>
  </si>
  <si>
    <t>HX048</t>
  </si>
  <si>
    <t>REMERA FANTECH L RED - NO USAR</t>
  </si>
  <si>
    <t>HX049</t>
  </si>
  <si>
    <t>REMERA FANTECH XL RED - NO USAR</t>
  </si>
  <si>
    <t>HX050</t>
  </si>
  <si>
    <t>REMERA FANTECH XXL RED - NO USAR</t>
  </si>
  <si>
    <t>HX051</t>
  </si>
  <si>
    <t>REMERA FANTECH XXXL RED - NO USAR</t>
  </si>
  <si>
    <t>HX052</t>
  </si>
  <si>
    <t>REMERA FANTECH XXXXL RED - NO USAR</t>
  </si>
  <si>
    <t>HX054</t>
  </si>
  <si>
    <t>HX055</t>
  </si>
  <si>
    <t>REMERA FANTECH M</t>
  </si>
  <si>
    <t>HX056</t>
  </si>
  <si>
    <t>VASO FANTECH BLANCO</t>
  </si>
  <si>
    <t>HX057</t>
  </si>
  <si>
    <t>REMERA FANTECH M RED</t>
  </si>
  <si>
    <t>HX058</t>
  </si>
  <si>
    <t>REMERA FANTECH L RED</t>
  </si>
  <si>
    <t>HX059</t>
  </si>
  <si>
    <t>REMERA FANTECH XL RED</t>
  </si>
  <si>
    <t>HX060</t>
  </si>
  <si>
    <t>REMERA FANTECH XXL RED</t>
  </si>
  <si>
    <t>HX061</t>
  </si>
  <si>
    <t>REMERA FANTECH XXXL RED</t>
  </si>
  <si>
    <t>HX062</t>
  </si>
  <si>
    <t>REMERA FANTECH XXXXL RED</t>
  </si>
  <si>
    <t>HX063</t>
  </si>
  <si>
    <t>CAMPERA DE NYLON FANTECH XL</t>
  </si>
  <si>
    <t>HX064</t>
  </si>
  <si>
    <t>REMERA FANTECH XXXL</t>
  </si>
  <si>
    <t>HX065</t>
  </si>
  <si>
    <t>REMERA FANTECH XL</t>
  </si>
  <si>
    <t>HX066</t>
  </si>
  <si>
    <t>REMERA FANTECH L</t>
  </si>
  <si>
    <t>HX067</t>
  </si>
  <si>
    <t>CAMPERA DE NYLON FANTECH XL -  NO USAR</t>
  </si>
  <si>
    <t>HX070</t>
  </si>
  <si>
    <t>PARAGUAS NEGRA FANTECH</t>
  </si>
  <si>
    <t>HX071</t>
  </si>
  <si>
    <t>CAMPERA DE NYLON FANTECH XXXL</t>
  </si>
  <si>
    <t>HX072</t>
  </si>
  <si>
    <t>CAMPERA DE NYLON FANTECH L</t>
  </si>
  <si>
    <t>HX073</t>
  </si>
  <si>
    <t>PARAGUAS FANTECH</t>
  </si>
  <si>
    <t>HX075</t>
  </si>
  <si>
    <t>CAMPERA DE NYLON FANTECH M</t>
  </si>
  <si>
    <t>I001166</t>
  </si>
  <si>
    <t>I001167</t>
  </si>
  <si>
    <t>CAMPERA DE NYLON FANTECH XXL -NO USAR</t>
  </si>
  <si>
    <t>I001168</t>
  </si>
  <si>
    <t>VASO FANTECH NEGRO - NO USAR</t>
  </si>
  <si>
    <t>I00975</t>
  </si>
  <si>
    <t>MOUSE GAMING X17 BK BLAKE FANTECH</t>
  </si>
  <si>
    <t>D</t>
  </si>
  <si>
    <t>I00976</t>
  </si>
  <si>
    <t>TECLADO FANTECH CABLEADO  NEGRO K513</t>
  </si>
  <si>
    <t>I00977</t>
  </si>
  <si>
    <t>TECLADO MECANICO FANTECH CABLEADO  NEGRO MK851RGB</t>
  </si>
  <si>
    <t>I00978</t>
  </si>
  <si>
    <t>AURICULAR CABLEADO FANTECH 7.1 BK HG15</t>
  </si>
  <si>
    <t>I00980</t>
  </si>
  <si>
    <t>PARLANTE 2.0 USB FANTECH BLACK / WHITE GS201</t>
  </si>
  <si>
    <t>I00981</t>
  </si>
  <si>
    <t>PARLANTE USB/3.5M GS202 BK RGB FANTECH</t>
  </si>
  <si>
    <t>I00982</t>
  </si>
  <si>
    <t>NO FACTURAR PARLANTE 2.0 USB FANTECH BK GS203</t>
  </si>
  <si>
    <t>I00983</t>
  </si>
  <si>
    <t>PARLANTE BARRA BS150 BT SPACE EDITION FANTECH</t>
  </si>
  <si>
    <t>I00984</t>
  </si>
  <si>
    <t>FAN FC124 RGB FANTECH</t>
  </si>
  <si>
    <t>I00985</t>
  </si>
  <si>
    <t>KIT FAN COOLER FB301 RGB FANTECH</t>
  </si>
  <si>
    <t>I00986</t>
  </si>
  <si>
    <t>VENTILADOR PC RGB FANTECH FB302</t>
  </si>
  <si>
    <t>I01003</t>
  </si>
  <si>
    <t>PARLANTE USB/3.5M GS203 BK RGB FANTECH</t>
  </si>
  <si>
    <t>I01004</t>
  </si>
  <si>
    <t>PARLANTE USB/3.5M GS203 WH RGB SPACE EDIT FANTECH</t>
  </si>
  <si>
    <t>I01060</t>
  </si>
  <si>
    <t>TECLADO MECÁNICO MK852 FANTECH SAKURA</t>
  </si>
  <si>
    <t>I01061</t>
  </si>
  <si>
    <t>MOUSEPAD SAKURA  MPR800s PINK FANTECH</t>
  </si>
  <si>
    <t>I01062</t>
  </si>
  <si>
    <t>SOPORTE AURICULAR AC3001 FANTECH SAKURA</t>
  </si>
  <si>
    <t>I01063</t>
  </si>
  <si>
    <t>MOUSE GAMING VX7 SAKURA EDITION FANTECH</t>
  </si>
  <si>
    <t>I01064</t>
  </si>
  <si>
    <t>AURICULAR GAMING HG20 PINK SAKURA  FANTECH</t>
  </si>
  <si>
    <t>I01065</t>
  </si>
  <si>
    <t>TECLADO GAMING SAKURA K613L PINK FANTECH</t>
  </si>
  <si>
    <t>I01066</t>
  </si>
  <si>
    <t>MOUSEPAD  SAKURA MP35 PINK FANTECH</t>
  </si>
  <si>
    <t>I01067</t>
  </si>
  <si>
    <t>PARLANTE 2,0 SAKURA USB GS202 PINK FANTECH</t>
  </si>
  <si>
    <t>I01076</t>
  </si>
  <si>
    <t>MOUSE GAMING VX7 SPACE EDITION FANTECH</t>
  </si>
  <si>
    <t>I01077</t>
  </si>
  <si>
    <t>-NO FACTURAR -MOUSE VX 7 FANTECH SAK</t>
  </si>
  <si>
    <t>I01078</t>
  </si>
  <si>
    <t>MOUSE GAMING X17 SPACE EDITION FANTECH</t>
  </si>
  <si>
    <t>I01079</t>
  </si>
  <si>
    <t>TECLADO MECÁNICO MK852 BROWN FANTECH SPACE EDITION</t>
  </si>
  <si>
    <t>I01080</t>
  </si>
  <si>
    <t>LIBRE PARA USAR</t>
  </si>
  <si>
    <t>I01081</t>
  </si>
  <si>
    <t>MOUSEPAD MPR800s FANTECH SPACE EDITION</t>
  </si>
  <si>
    <t>I01082</t>
  </si>
  <si>
    <t>MOUSEPAD MPR800s FANTECH RGB</t>
  </si>
  <si>
    <t>I01083</t>
  </si>
  <si>
    <t>AURICULAR GAMING USB HG11 PINK FANTECH SAKURA</t>
  </si>
  <si>
    <t>I01084</t>
  </si>
  <si>
    <t>AURICULAR GAMING HG11 FANTECH SPACE EDITION</t>
  </si>
  <si>
    <t>I01085</t>
  </si>
  <si>
    <t>AURICULAR GAMING HG17s FANTECH SPACE EDITION</t>
  </si>
  <si>
    <t>I01086</t>
  </si>
  <si>
    <t>SOPORTE AURICULAR AC3001 FANTECH SPACE EDITION</t>
  </si>
  <si>
    <t>I01087</t>
  </si>
  <si>
    <t>I01089</t>
  </si>
  <si>
    <t>MICROFONO MCX01 FANTECH LEVIOSA</t>
  </si>
  <si>
    <t>I01090</t>
  </si>
  <si>
    <t>MOUSE INAL VENOM WGC1 BK FANTECH</t>
  </si>
  <si>
    <t>I01104</t>
  </si>
  <si>
    <t>TECLADO MECANICO MK853 RD SW SAKURA FANTECH</t>
  </si>
  <si>
    <t>I01105</t>
  </si>
  <si>
    <t>TECLADO MECANICO MK853 BL SW SAKURA FANTECH</t>
  </si>
  <si>
    <t>I01108</t>
  </si>
  <si>
    <t>MOUSEPAD FANTECH CORDURA MPC450 45x40x3</t>
  </si>
  <si>
    <t>I01109</t>
  </si>
  <si>
    <t>MOUSEPAD FANTECH CORDURA MPC900 90x40x3</t>
  </si>
  <si>
    <t>I01110</t>
  </si>
  <si>
    <t>LLAVERO FANTECH - NO USAR</t>
  </si>
  <si>
    <t>I01111</t>
  </si>
  <si>
    <t>VASO FANTECH BLANCO - NO USAR</t>
  </si>
  <si>
    <t>I01112</t>
  </si>
  <si>
    <t>VASO FANTECH ROJO - NO USAR</t>
  </si>
  <si>
    <t>I01113</t>
  </si>
  <si>
    <t>I01114</t>
  </si>
  <si>
    <t>I01115</t>
  </si>
  <si>
    <t>REMERA FANTECH XL - NO USAR</t>
  </si>
  <si>
    <t>I01116</t>
  </si>
  <si>
    <t>REMERA FANTECH XXXL - NO USAR</t>
  </si>
  <si>
    <t>I01126</t>
  </si>
  <si>
    <t>MOUSE GAMING G13 RHASTA II BLACK FANTECH</t>
  </si>
  <si>
    <t>I01127</t>
  </si>
  <si>
    <t>MOUSE X11 DAREDEVIL FANTECH GAMING BLACK</t>
  </si>
  <si>
    <t>I01128</t>
  </si>
  <si>
    <t>TECLADO MECANICO MK857 BK 60% BLUE SW FANTECH</t>
  </si>
  <si>
    <t>I01129</t>
  </si>
  <si>
    <t>TECLADO MECANICO MK857 WH 60% BLUE SW FANTECH</t>
  </si>
  <si>
    <t>I01130</t>
  </si>
  <si>
    <t>TECLADO MECANICO MK857 WH 60% RED SWI FANTECH</t>
  </si>
  <si>
    <t>I01131</t>
  </si>
  <si>
    <t>TECLADO GAMING K613 FANTECH TKL II BLACK</t>
  </si>
  <si>
    <t>I01132</t>
  </si>
  <si>
    <t>TECLADO GAMING K613X FANTECH TOURNAMENT EDITION</t>
  </si>
  <si>
    <t>I01133</t>
  </si>
  <si>
    <t>KIT 3 en 1 GAMING P31 TECLADO MOUSE Y PAD FANTECH</t>
  </si>
  <si>
    <t>I01134</t>
  </si>
  <si>
    <t>TECLADO NUMERICO FTK-801 FANTECH - NEGRO</t>
  </si>
  <si>
    <t>I01135</t>
  </si>
  <si>
    <t>MOUSEPAD SVEN MP25 FANTECH 25x21x2</t>
  </si>
  <si>
    <t>I01136</t>
  </si>
  <si>
    <t>MOUSEPAD SVEN BLACK MP35 FANTECH 35x25x4</t>
  </si>
  <si>
    <t>I01137</t>
  </si>
  <si>
    <t>MOUSEPAD SVEN MP44 FANTECH 44x35x4</t>
  </si>
  <si>
    <t>I01138</t>
  </si>
  <si>
    <t>MOUSEPAD BASIC MP64XL FANTECH - NEGRO</t>
  </si>
  <si>
    <t>I01139</t>
  </si>
  <si>
    <t>MOUSEPAD MP80 MP806 VIGIL FANTECH 80x30x3 CONTROL</t>
  </si>
  <si>
    <t>I01140</t>
  </si>
  <si>
    <t>AURICULAR GAMING HG20 BLACK CHIEF II FANTECH</t>
  </si>
  <si>
    <t>I01141</t>
  </si>
  <si>
    <t>AURICULAR GAMING MH83 BLACK FANTECH</t>
  </si>
  <si>
    <t>I01142</t>
  </si>
  <si>
    <t>AURICULAR GAMING MH87 BLACK FANTECH</t>
  </si>
  <si>
    <t>I01143</t>
  </si>
  <si>
    <t>AURICULAR GAMING MH87 SPACE EDITION FANTECH</t>
  </si>
  <si>
    <t>I01144</t>
  </si>
  <si>
    <t>SOPORTE AURICULAR AC3001 BLACK FANTECH</t>
  </si>
  <si>
    <t>I01145</t>
  </si>
  <si>
    <t>MOUSE GAMING VX7 BLACK FANTECH</t>
  </si>
  <si>
    <t>I01190</t>
  </si>
  <si>
    <t>MOUSE GAMING INAL WG11 SPACE EDITION FANTECH</t>
  </si>
  <si>
    <t>I01191</t>
  </si>
  <si>
    <t>VENTILADOR X3 FANTECH TURBINE FB301</t>
  </si>
  <si>
    <t>I01192</t>
  </si>
  <si>
    <t>SOPORTE MOUSE BUNGEE MBR01 BK RGB FANTECH</t>
  </si>
  <si>
    <t>I01193</t>
  </si>
  <si>
    <t>SOPORTE MOUSE BUNGEE MBR01 WHITE RGB FANTECH</t>
  </si>
  <si>
    <t>I01194</t>
  </si>
  <si>
    <t>SOPORTE MOUSE BUNGEE MBR01 PINK RGB FANTECH</t>
  </si>
  <si>
    <t>I01195</t>
  </si>
  <si>
    <t>MOUSE GAMING INAL WGC2 MINT VENOM II FANTECH</t>
  </si>
  <si>
    <t>I01196</t>
  </si>
  <si>
    <t>TECLADO MECANICO MK856 RD SW MINT FANTECH</t>
  </si>
  <si>
    <t>I01197</t>
  </si>
  <si>
    <t>MOUSEPAD MP904 MINT FANTECH</t>
  </si>
  <si>
    <t>I01198</t>
  </si>
  <si>
    <t>AURICULAR GAMING MH86 MINT FANTECH</t>
  </si>
  <si>
    <t>I01199</t>
  </si>
  <si>
    <t>SOPORTE AURICULAR AC3004 FANTECH MINT</t>
  </si>
  <si>
    <t>I01200</t>
  </si>
  <si>
    <t>AURICULAR INAL. GAMING WH01 MINT FANTECH</t>
  </si>
  <si>
    <t>I01201</t>
  </si>
  <si>
    <t>MOUSE INAL  XD3 MINT FANTECH</t>
  </si>
  <si>
    <t>6972661281446</t>
  </si>
  <si>
    <t>I01202</t>
  </si>
  <si>
    <t>KIT GAMER 5 EN 1 FANTECH MINT P52</t>
  </si>
  <si>
    <t>I01208</t>
  </si>
  <si>
    <t>TECLADO MECANICO MK857 BK 60% RED SW FANTECH</t>
  </si>
  <si>
    <t>I01209</t>
  </si>
  <si>
    <t>PARLANTE GS301 2.0 DUAL BT/USB BK GAMER FANTECH</t>
  </si>
  <si>
    <t>I01210</t>
  </si>
  <si>
    <t>MOUSE GAMING INAL WG11 BK FANTECH</t>
  </si>
  <si>
    <t>I01211</t>
  </si>
  <si>
    <t>AURICULAR GAMING HG20 WHITE SPACE EDITION FANTECH</t>
  </si>
  <si>
    <t>I01242</t>
  </si>
  <si>
    <t>TECLADO MECANICO MK856 BL SW MINT FANTECH</t>
  </si>
  <si>
    <t>I01245</t>
  </si>
  <si>
    <t>MOUSE GAMING INAL WGC2 WHITE VENOM II FANTECH</t>
  </si>
  <si>
    <t>I01246</t>
  </si>
  <si>
    <t>APOYA MUÑECAS PARA TECLADO AC4101L FANTECH</t>
  </si>
  <si>
    <t>I01247</t>
  </si>
  <si>
    <t>AURICULAR INAL. GAMING WH01 WHITE FANTECH SPACE</t>
  </si>
  <si>
    <t>I01248</t>
  </si>
  <si>
    <t>AURICULAR INAL GAMING WH01 PINK FANTECH SAKURA</t>
  </si>
  <si>
    <t>I01249</t>
  </si>
  <si>
    <t>MOUSEPAD ATO MP905 01 WHITE 90X40X4 FANTECH MARBLE</t>
  </si>
  <si>
    <t>I01250</t>
  </si>
  <si>
    <t>EXHIBIDOR FANTECH GRANDE</t>
  </si>
  <si>
    <t>I01330</t>
  </si>
  <si>
    <t>MOCHILA FANTECH BG983</t>
  </si>
  <si>
    <t>I01368</t>
  </si>
  <si>
    <t>MOUSE GAMING INAL WGC2 BK VENOM II FANTECH</t>
  </si>
  <si>
    <t>I01379</t>
  </si>
  <si>
    <t>TECLADO GAMING K613L BLACK FANTECH</t>
  </si>
  <si>
    <t>I01459</t>
  </si>
  <si>
    <t>PARLANTE BARRA BS150 BT BK FANTECH</t>
  </si>
  <si>
    <t>6972661285017</t>
  </si>
  <si>
    <t>I01460</t>
  </si>
  <si>
    <t>MOCHILA FANTECH BG984 17"</t>
  </si>
  <si>
    <t>I01513</t>
  </si>
  <si>
    <t>AURICULAR GAMING MH88 SPACE EDITION FANTECH</t>
  </si>
  <si>
    <t>I01514</t>
  </si>
  <si>
    <t>AURICULAR GAMING MH88 PINK SAKURA FANTECH</t>
  </si>
  <si>
    <t>I01515</t>
  </si>
  <si>
    <t>AURICULAR CABL. EG3 BLANCO IMANTADO FANTECH</t>
  </si>
  <si>
    <t>I01516</t>
  </si>
  <si>
    <t>PARLANTE GS302 2.0 DUAL BT/USB BK RGB FANTECH</t>
  </si>
  <si>
    <t>I01517</t>
  </si>
  <si>
    <t>JOYSTICK GP12 PC/PS3 BK FANTECH</t>
  </si>
  <si>
    <t>I01518</t>
  </si>
  <si>
    <t>JOYSTICK WGP12 PC/PS3 INAL. BK FANTECH</t>
  </si>
  <si>
    <t>I01519</t>
  </si>
  <si>
    <t>JOYSTICK WGP12 PC/PS3 INAL. GREEN FANTECH</t>
  </si>
  <si>
    <t>I01520</t>
  </si>
  <si>
    <t>SOPORTE AURICULAR AC304 BLACK FANTECH</t>
  </si>
  <si>
    <t>I01564</t>
  </si>
  <si>
    <t>AURICULAR CABL. EG3 NEGRO IMANTADO FANTECH</t>
  </si>
  <si>
    <t>I01565</t>
  </si>
  <si>
    <t>AURICULAR CABL. EG3 ROSA IMANTADO FANTECH</t>
  </si>
  <si>
    <t>I01566</t>
  </si>
  <si>
    <t>AURICULAR CABL. EG3 MINT IMANTADO FANTECH</t>
  </si>
  <si>
    <t>I01567</t>
  </si>
  <si>
    <t>TECLADO Y MOUSE INAL. WK895 BLUE GOPOP FANTECH</t>
  </si>
  <si>
    <t>I01568</t>
  </si>
  <si>
    <t>TECLADO Y MOUSE INAL. WK895 BEIGE GOPOP FANTECH</t>
  </si>
  <si>
    <t>I01572</t>
  </si>
  <si>
    <t>TECLADO MECANICO MK857 FROST BK 60% BLU SW FANTECH</t>
  </si>
  <si>
    <t>I01573</t>
  </si>
  <si>
    <t>TECLADO MECANICO MK857 FROST WH 60% BLU SW FANTECH</t>
  </si>
  <si>
    <t>I01610</t>
  </si>
  <si>
    <t>MOUSEPAD ATO MP903 SPACE EDITION 90X40X4 FANTECH</t>
  </si>
  <si>
    <t>I01631</t>
  </si>
  <si>
    <t>TECLADO MECANICO MK876 GREY BL SW TKL FANTECH</t>
  </si>
  <si>
    <t>I01632</t>
  </si>
  <si>
    <t>TECLADO MECANICO MK857 FROST WH 60% RED SW FANTECH</t>
  </si>
  <si>
    <t>I01635</t>
  </si>
  <si>
    <t>TECLADO MECANICO MK853 RD SW SPACE ED FANTECH</t>
  </si>
  <si>
    <t>I01636</t>
  </si>
  <si>
    <t>AURICULAR INAL. GAMING WHG01 BLACK FANTECH</t>
  </si>
  <si>
    <t>I01637</t>
  </si>
  <si>
    <t>AURICULAR GAMING MH91 BLACK FANTECH</t>
  </si>
  <si>
    <t>I01638</t>
  </si>
  <si>
    <t>MOUSEPAD ATO MP905 02 WHITE 90X40X4 FANTECH MARBLE</t>
  </si>
  <si>
    <t>I01640</t>
  </si>
  <si>
    <t>AURICULAR GAMING MH84 BLACK FANTECH</t>
  </si>
  <si>
    <t>I01682</t>
  </si>
  <si>
    <t>TECLADO Y MOUSE INAL. WK895 BK GOPOP FANTECH</t>
  </si>
  <si>
    <t>I01683</t>
  </si>
  <si>
    <t>TECLADO Y MOUSE INAL. WK895 GREY GOPOP FANTECH</t>
  </si>
  <si>
    <t>I01693</t>
  </si>
  <si>
    <t>TECLADO MECANICO INAL MK857 BK 60% BLUE SW FANTECH</t>
  </si>
  <si>
    <t>I01694</t>
  </si>
  <si>
    <t>TECLADO MECANICO INAL MK857 WH 60% BLUE SW FANTECH</t>
  </si>
  <si>
    <t>I01695</t>
  </si>
  <si>
    <t>TECLADO MECANICO INAL MK857 WH 60% RED SWI FANTECH</t>
  </si>
  <si>
    <t>I01696</t>
  </si>
  <si>
    <t>SOPORTE AURICULAR AC3001 RED RGB FANTECH</t>
  </si>
  <si>
    <t>I01744</t>
  </si>
  <si>
    <t>AURICULAR INAL. GAMING WHG01 WHITE FANTECH</t>
  </si>
  <si>
    <t>I01812</t>
  </si>
  <si>
    <t>JOYSTICK WGP14v2 BLUE PC/PS4/PS3 INAL. RGB FANTECH</t>
  </si>
  <si>
    <t>I01813</t>
  </si>
  <si>
    <t>JOYSTICK WGP14v2 RAINBOW PC/PS4/3 INAL RGB FANTECH</t>
  </si>
  <si>
    <t>I01814</t>
  </si>
  <si>
    <t>SOPORTE MICROFONO AC902S FANTECH</t>
  </si>
  <si>
    <t>I01815</t>
  </si>
  <si>
    <t>AURICULAR GAMING INAL WHG03PRO WH 7.1 2.4G/BT FANT</t>
  </si>
  <si>
    <t>I01816</t>
  </si>
  <si>
    <t>AURICULAR GAMING INAL WHG03PRO BK 7.1 2.4G/BT FANT</t>
  </si>
  <si>
    <t>I01817</t>
  </si>
  <si>
    <t>MOUSEPAD MP905 VIBE CYBER LIFE ATO FANTECH</t>
  </si>
  <si>
    <t>I01818</t>
  </si>
  <si>
    <t>MOUSEPAD MP905 VIBE SEASIDE WAVE ATO FANTECH</t>
  </si>
  <si>
    <t>I01819</t>
  </si>
  <si>
    <t>I01820</t>
  </si>
  <si>
    <t>TECLADO MECANICO MK853 BL SW SPACE ED FANTECH</t>
  </si>
  <si>
    <t>I01821</t>
  </si>
  <si>
    <t>TECLADO Y MOUSE INAL. WK897 GREEN FANTECH</t>
  </si>
  <si>
    <t>I01822</t>
  </si>
  <si>
    <t>TECLADO Y MOUSE INAL. WK897 BLUE FANTECH</t>
  </si>
  <si>
    <t>I01823</t>
  </si>
  <si>
    <t>TECLADO Y MOUSE INAL. WK897 ORANGE FANTECH</t>
  </si>
  <si>
    <t>I01824</t>
  </si>
  <si>
    <t>TECLADO Y MOUSE INAL. WK897 GRIS FANTECH</t>
  </si>
  <si>
    <t>I01825</t>
  </si>
  <si>
    <t>TECLADO MECANICO MK874 SKB(BL) BL SW 60% FANTECH</t>
  </si>
  <si>
    <t>I01826</t>
  </si>
  <si>
    <t>TECLADO MECANICO MK874 SKB(RD) RD SW 60% FANTECH</t>
  </si>
  <si>
    <t>I01827</t>
  </si>
  <si>
    <t>TECLADO MECANICO MK874 NAB(BL) BL SW 60% FANTECH</t>
  </si>
  <si>
    <t>I01828</t>
  </si>
  <si>
    <t>TECLADO MECANICO MK874 NAB(RD) RD SW 60% FANTECH</t>
  </si>
  <si>
    <t>I01829</t>
  </si>
  <si>
    <t>TECLADO MECANICO MK876V2 BK BL SW TKL FANTECH</t>
  </si>
  <si>
    <t>I01830</t>
  </si>
  <si>
    <t>TECLADO MECANICO INAL MK912 BK BLUE SW FANTECH</t>
  </si>
  <si>
    <t>I01831</t>
  </si>
  <si>
    <t>TECLADO MECANICO INAL MK912 BK RED SW FANTECH</t>
  </si>
  <si>
    <t>I01832</t>
  </si>
  <si>
    <t>TECLADO MECANICO INAL MK912 WHITE RED SW FANTECH</t>
  </si>
  <si>
    <t>I01833</t>
  </si>
  <si>
    <t>TECLADO MECANICO INAL MK912 WHITE BLUE SW FANTECH</t>
  </si>
  <si>
    <t>I01834</t>
  </si>
  <si>
    <t>TECLADO GAMING K515 TRANSPARENTE FANTECH</t>
  </si>
  <si>
    <t>I01835</t>
  </si>
  <si>
    <t>KIT GAMER 5 en 1 P51 FANTECH POWER BUNDLE</t>
  </si>
  <si>
    <t>I01860</t>
  </si>
  <si>
    <t>MOUSEPAD MP453 BLACK FANTECH</t>
  </si>
  <si>
    <t>I01861</t>
  </si>
  <si>
    <t>MOUSEPAD ATO MP903 BLACK 90X40X4 FANTECH</t>
  </si>
  <si>
    <t>I01948</t>
  </si>
  <si>
    <t>JOYSTICK WGP14v2 CLEAR BK PC/PS4/PS3 INAL. RGB FAN</t>
  </si>
  <si>
    <t>I02026</t>
  </si>
  <si>
    <t>MOUSE INAL VENOM II WGC2 PINK FANTECH</t>
  </si>
  <si>
    <t>I02027</t>
  </si>
  <si>
    <t>MOUSE INAL VENOM II WGC2 RED FANTECH</t>
  </si>
  <si>
    <t>I02028</t>
  </si>
  <si>
    <t>MOUSE INAL VENOM II WGC2 PURPLE FANTECH</t>
  </si>
  <si>
    <t>I02029</t>
  </si>
  <si>
    <t>MOUSE INAL VENOM II WGC2 GREEN FANTECH</t>
  </si>
  <si>
    <t>I02030</t>
  </si>
  <si>
    <t>KIT GAMER 5 en 1 P51 PINK SAKURA FANTECH</t>
  </si>
  <si>
    <t>I02031</t>
  </si>
  <si>
    <t>KIT GAMER 5 en 1 P51 SPACE ED FANTECH</t>
  </si>
  <si>
    <t>I02032</t>
  </si>
  <si>
    <t>AURICULAR GAMING INAL WHG03PRO PK 7.1 2.4G/BT FANT</t>
  </si>
  <si>
    <t>I02033</t>
  </si>
  <si>
    <t>PARLANTE USB/BT/3.5M GS304 BK DUAL/RGB FANTECH</t>
  </si>
  <si>
    <t>I02034</t>
  </si>
  <si>
    <t>PARLANTE USB/BT/3.5M GS304 WHITE DUAL/RGB FANTECH</t>
  </si>
  <si>
    <t>I02035</t>
  </si>
  <si>
    <t>PARLANTE BARRA BS151 DUAL BT/USB RGB 10W FANTECH</t>
  </si>
  <si>
    <t>I02036</t>
  </si>
  <si>
    <t>MICROFONO MCX03 BK FANTECH LEVIOSA MAX</t>
  </si>
  <si>
    <t>I02037</t>
  </si>
  <si>
    <t>MICROFONO MCX03 WHITE FANTECH LEVIOSA MAX</t>
  </si>
  <si>
    <t>I02171</t>
  </si>
  <si>
    <t>MOUSEPAD MP905 ATO BK KATSUYAMA FANTECH</t>
  </si>
  <si>
    <t>I02172</t>
  </si>
  <si>
    <t>JOYSTICK WGP13S BK PC/PS3/PS4/ANDR INAL. FANTECH</t>
  </si>
  <si>
    <t>I02173</t>
  </si>
  <si>
    <t>JOYSTICK WGP13S SUPER MAXFIT PC/PS3/PS4/ANDR INAL.</t>
  </si>
  <si>
    <t>I02174</t>
  </si>
  <si>
    <t>TECLADO Y MOUSE INAL. WK898 BLUE FANTECH</t>
  </si>
  <si>
    <t>I02175</t>
  </si>
  <si>
    <t>TECLADO Y MOUSE INAL. WK898 PINK FANTECH</t>
  </si>
  <si>
    <t>I02176</t>
  </si>
  <si>
    <t>TECLADO Y MOUSE INAL. WK898 PURPLE FANTECH</t>
  </si>
  <si>
    <t>I02177</t>
  </si>
  <si>
    <t>TECLADO Y MOUSE INAL. WK898 YELLOW FANTECH</t>
  </si>
  <si>
    <t>I02182</t>
  </si>
  <si>
    <t>AURICULAR GAMING HQ53 FLASH BK FANTECH</t>
  </si>
  <si>
    <t>I02184</t>
  </si>
  <si>
    <t>Soporte Joystick ACGP01 Fantech</t>
  </si>
  <si>
    <t>I02219</t>
  </si>
  <si>
    <t>MOUSE GAMING INAL HELIOS 2 PRO S 2.4/BT FANTECH BK</t>
  </si>
  <si>
    <t>I02220</t>
  </si>
  <si>
    <t>MOUSE INAL HELIOS 2 PRO S FANTECH WH</t>
  </si>
  <si>
    <t>I02221</t>
  </si>
  <si>
    <t>TECLADO MECANICO INAL MK915 75% SUPER MAXFIT BR SW</t>
  </si>
  <si>
    <t>I02223</t>
  </si>
  <si>
    <t>TECLADO MECANICO MK874 MORI (BL) BL SW 60% FANTECH</t>
  </si>
  <si>
    <t>I02224</t>
  </si>
  <si>
    <t>TECLADO MECÁNICO MK874 MORI (WH) BL SW 60% FANTECH</t>
  </si>
  <si>
    <t>I02225</t>
  </si>
  <si>
    <t>TECLADO MK875 MIZU 75% SKB BL SW MECANICO FANTECH</t>
  </si>
  <si>
    <t>I02226</t>
  </si>
  <si>
    <t>TECLADO MK875 MIZU 75% NAB BL SW MECANICO FANTECH</t>
  </si>
  <si>
    <t>I02227</t>
  </si>
  <si>
    <t>TECLADO MECANICO MK311 BK 60% RED SW FANTECH</t>
  </si>
  <si>
    <t>I02228</t>
  </si>
  <si>
    <t>TECLADO MECANICO MK311 WH 60% RED SW FANTECH</t>
  </si>
  <si>
    <t>I02229</t>
  </si>
  <si>
    <t>MOUSEPAD BASIC MP70 700x300 BLUE FANTECH</t>
  </si>
  <si>
    <t>I02230</t>
  </si>
  <si>
    <t>MOUSEPAD BASIC MP70 700x300  PINK FANTECH</t>
  </si>
  <si>
    <t>I02231</t>
  </si>
  <si>
    <t>MOUSEPAD BASIC MP70 700x300 PURPLE FANTECH</t>
  </si>
  <si>
    <t>I02232</t>
  </si>
  <si>
    <t>MOUSEPAD BASIC MP70 700x300 YELLOW FANTECH</t>
  </si>
  <si>
    <t>I02233</t>
  </si>
  <si>
    <t>AURICULAR GAMING INAL WHG04 BK 2.4G/BT FANTECH</t>
  </si>
  <si>
    <t>I02234</t>
  </si>
  <si>
    <t>AURICULAR GAMING INAL WHG04 WH 2.4G/BT FANTECH</t>
  </si>
  <si>
    <t>I02236</t>
  </si>
  <si>
    <t>AURICULAR GAMING HQ56 TONE 2 FANTECH</t>
  </si>
  <si>
    <t>I02241</t>
  </si>
  <si>
    <t>I02242</t>
  </si>
  <si>
    <t>MOUSE GAMING INAL WG9S KANATA SUPER MAXFIT FANTECH</t>
  </si>
  <si>
    <t>I02243</t>
  </si>
  <si>
    <t>MOUSEPAD MP905 ATO SUPER MAXFIT 90X40X4 FANTECH</t>
  </si>
  <si>
    <t>I02244</t>
  </si>
  <si>
    <t>JOYSTICK WGP14v2 EPSILON PC/PS4/PS3 INAL. RGB FANT</t>
  </si>
  <si>
    <t>I02323</t>
  </si>
  <si>
    <t>TECLADO ATOM PRO066 MK919 BLACK RW FANTECH</t>
  </si>
  <si>
    <t>I02324</t>
  </si>
  <si>
    <t>TECLADO ATOM PRO066 MK919 GREY RW FANTECH</t>
  </si>
  <si>
    <t>I02325</t>
  </si>
  <si>
    <t>MOUSEPAD GAMING ATO MP905 SAKURA FANTECH</t>
  </si>
  <si>
    <t>I02326</t>
  </si>
  <si>
    <t>MOUSEPAD GAMING ATO VIBE MP905 SANDY CHARCOAL</t>
  </si>
  <si>
    <t>I02327</t>
  </si>
  <si>
    <t>MOUSEPAD GAMING ATO KUJIRA MP905 BLACK FANTECH</t>
  </si>
  <si>
    <t>I02328</t>
  </si>
  <si>
    <t>MOUSEPAD GAMING ATO KUJIRA MP905 BEIGE FANTECH</t>
  </si>
  <si>
    <t>I02329</t>
  </si>
  <si>
    <t>PARLANTE GAMING HELLSCREAM GS205 FANTECH</t>
  </si>
  <si>
    <t>I02330</t>
  </si>
  <si>
    <t>PARLANTE GAMING GROOVER BAR GS303 FANTECH</t>
  </si>
  <si>
    <t>I02331</t>
  </si>
  <si>
    <t>JOYSTICK SHOOTER II GP13 FANTECH</t>
  </si>
  <si>
    <t>I02332</t>
  </si>
  <si>
    <t>JOYSTICK REVOLVER II WGP12 WHITE FANTECH</t>
  </si>
  <si>
    <t>I02333</t>
  </si>
  <si>
    <t>TECLADO MK875 MIZU 75% NAV RD SW MECANICO FANTECH</t>
  </si>
  <si>
    <t>I02334</t>
  </si>
  <si>
    <t>JOYSTICK EOS PRO II WGP15V2 GEMINUS FANTECH</t>
  </si>
  <si>
    <t>I02335</t>
  </si>
  <si>
    <t>TECLADO Y MOUSE INAL WK899 BLUE FANTECH</t>
  </si>
  <si>
    <t>I02336</t>
  </si>
  <si>
    <t>TECLADO Y MOUSE INAL WK899 PINK FANTECH</t>
  </si>
  <si>
    <t>I02337</t>
  </si>
  <si>
    <t>TECLADO Y MOUSE INAL WK899 PURPLE FANTECH</t>
  </si>
  <si>
    <t>I02338</t>
  </si>
  <si>
    <t>TECLADO Y MOUSE INAL WK899 YELLOW FANTECH</t>
  </si>
  <si>
    <t>I02339</t>
  </si>
  <si>
    <t>TECLADO Y MOUSE INAL W195R GREY FANTECH</t>
  </si>
  <si>
    <t>I02340</t>
  </si>
  <si>
    <t>TECLADO Y MOUSE INAL WK195R WHITE FANTECH</t>
  </si>
  <si>
    <t>I02341</t>
  </si>
  <si>
    <t>TECLADO ATOM63 874V2 MORI WHITE/ BLUE RS FANTECH</t>
  </si>
  <si>
    <t>I02369</t>
  </si>
  <si>
    <t>TECLADO GAMING K515S SHIKARI S FANTECH BACKLIT</t>
  </si>
  <si>
    <t>I02370</t>
  </si>
  <si>
    <t>TECLADO GAMING K614L FIGHTER FANTECH (K9300)</t>
  </si>
  <si>
    <t>I02371</t>
  </si>
  <si>
    <t>TECLADO MECANICO MK611 BL TARO SW 60% X63 FANTECH</t>
  </si>
  <si>
    <t>I02372</t>
  </si>
  <si>
    <t>TECLADO MECANICO MK611 WH TARO SW 60% X63 FANTECH</t>
  </si>
  <si>
    <t>I02373</t>
  </si>
  <si>
    <t>JOYSTICK WGP13S WH PC/PS3/PS4/ANDR INAL. FANTECH</t>
  </si>
  <si>
    <t>I02374</t>
  </si>
  <si>
    <t>JOYSTICK WGP13S PINK PC/PS3/PS4/ANDR INAL. FANTECH</t>
  </si>
  <si>
    <t>I02396</t>
  </si>
  <si>
    <t>TECLADO MECANICO INAL MK920 BK 65% MAXFIT6 WH SW F</t>
  </si>
  <si>
    <t>I02397</t>
  </si>
  <si>
    <t>TECLADO MECANICO INAL MK920 WH 65% MAXFIT6 WH SW F</t>
  </si>
  <si>
    <t>I02439</t>
  </si>
  <si>
    <t>TECLADO MK875 MIZU 75% SKB RD SW MECANICO FANTECH</t>
  </si>
  <si>
    <t>6972661289930</t>
  </si>
  <si>
    <t>I02441</t>
  </si>
  <si>
    <t>SELFIE STICK SS100 BT5.0 20-100cm FANTECH</t>
  </si>
  <si>
    <t>I02442</t>
  </si>
  <si>
    <t>SELFIE STICK SS141 BT5.2 12-41.5cm FANTECH</t>
  </si>
  <si>
    <t>I02443</t>
  </si>
  <si>
    <t>SELFIE STICK SS170 BT5.0 39-170cm FANTECH</t>
  </si>
  <si>
    <t>I02444</t>
  </si>
  <si>
    <t>AURICULAR TWS WAVE 11V2 BK FANTECH</t>
  </si>
  <si>
    <t>I02445</t>
  </si>
  <si>
    <t>AURICULAR TWS WAVE 11V2 RED FANTECH</t>
  </si>
  <si>
    <t>I02446</t>
  </si>
  <si>
    <t>AURICULAR TWS WAVE 11V2 BEIGE FANTECH</t>
  </si>
  <si>
    <t>I02449</t>
  </si>
  <si>
    <t>TECLADO MECANICO MK211 BK 60% RED SW FANTECH</t>
  </si>
  <si>
    <t>6977052253927</t>
  </si>
  <si>
    <t>I02450</t>
  </si>
  <si>
    <t>AURICULAR GAMING USB HG31 RGB 7.1 FANTECH</t>
  </si>
  <si>
    <t>I02451</t>
  </si>
  <si>
    <t>AURICULAR GAMING INAL WHG06 7.1 2.4/BT MAXFIT FANT</t>
  </si>
  <si>
    <t>6977052254085</t>
  </si>
  <si>
    <t>I02452</t>
  </si>
  <si>
    <t>AURICULAR TWS FT20 WH ANC FINECOUSTIC BY FANTECH</t>
  </si>
  <si>
    <t>I02453</t>
  </si>
  <si>
    <t>AURICULAR OWS FT21 BK ANC FINECOUSTIC BY FANTECH</t>
  </si>
  <si>
    <t>6977052254146</t>
  </si>
  <si>
    <t>I02454</t>
  </si>
  <si>
    <t>AURICULAR OWS FT21 BEIGE ANC FINECOUSTIC FANTECH</t>
  </si>
  <si>
    <t>6977052254153</t>
  </si>
  <si>
    <t>I02455</t>
  </si>
  <si>
    <t>PARLANTE BT BS152 BK 5W NERABOX FANTECH</t>
  </si>
  <si>
    <t>6977052252135</t>
  </si>
  <si>
    <t>I02456</t>
  </si>
  <si>
    <t>PARLANTE BT BS152 WH 5W NERABOX FANTECH</t>
  </si>
  <si>
    <t>6977052253507</t>
  </si>
  <si>
    <t>I02457</t>
  </si>
  <si>
    <t>PARLANTE BT BS152 PINK 5W NERABOX FANTECH</t>
  </si>
  <si>
    <t>6977052253514</t>
  </si>
  <si>
    <t>I02458</t>
  </si>
  <si>
    <t>PARLANTE BT BS152 PURP 5W NERABOX FANTECH</t>
  </si>
  <si>
    <t>6977052253521</t>
  </si>
  <si>
    <t>I02459</t>
  </si>
  <si>
    <t>PARLANTE BT BS153 BK 5W NERABOX FANTECH</t>
  </si>
  <si>
    <t>6977052253316</t>
  </si>
  <si>
    <t>I02460</t>
  </si>
  <si>
    <t>PARLANTE BT BS153 GREY 5W NERABOX FANTECH</t>
  </si>
  <si>
    <t>6977052253323</t>
  </si>
  <si>
    <t>I02461</t>
  </si>
  <si>
    <t>PARLANTE BT BS154 BK 5W RGB NERABOX FANTECH</t>
  </si>
  <si>
    <t>6977052253330</t>
  </si>
  <si>
    <t>I02462</t>
  </si>
  <si>
    <t>PARLANTE BT BS154 GREY 5W RGB NERABOX FANTECH</t>
  </si>
  <si>
    <t>6977052253347</t>
  </si>
  <si>
    <t>I02463</t>
  </si>
  <si>
    <t>PARLANTE BT BS157 BK 5W RGB NERABOX FANTECH</t>
  </si>
  <si>
    <t>6977052253361</t>
  </si>
  <si>
    <t>I02464</t>
  </si>
  <si>
    <t>PARLANTE BT BS157 GREY 5W RGB NERABOX FANTECH</t>
  </si>
  <si>
    <t>6977052253378</t>
  </si>
  <si>
    <t>I02465</t>
  </si>
  <si>
    <t>PARLANTE BARRA BS163 DUAL BT/USB RGB 10W FANTECH</t>
  </si>
  <si>
    <t>6977052253651</t>
  </si>
  <si>
    <t>I02466</t>
  </si>
  <si>
    <t>JOYSTICK WGP13X BK XBOX ONE-X-S/PC/PS3 INAL. FANT</t>
  </si>
  <si>
    <t>6977052252487</t>
  </si>
  <si>
    <t>I02467</t>
  </si>
  <si>
    <t>JOYSTICK WGP13X WH XBOX ONE-X-S/PC/PS3 INAL. FANT</t>
  </si>
  <si>
    <t>6977052252500</t>
  </si>
  <si>
    <t>I02468</t>
  </si>
  <si>
    <t>JOYSTICK WGP16 BK PC/PS4/PS3/SWITCH/AND INAL. FANT</t>
  </si>
  <si>
    <t>6977052250551</t>
  </si>
  <si>
    <t>I02469</t>
  </si>
  <si>
    <t>JOYSTICK WGP16 WH PC/PS4/PS3/SWITCH/AND INAL. FANT</t>
  </si>
  <si>
    <t>6977052250568</t>
  </si>
  <si>
    <t>I02470</t>
  </si>
  <si>
    <t>JOYSTICK WGP16 GRY PC/PS4/PS3/SWITCH/AND INAL. FAN</t>
  </si>
  <si>
    <t>6977052250575</t>
  </si>
  <si>
    <t>I02471</t>
  </si>
  <si>
    <t>ESTACION DE CARGA ACGP05 BK P/JOYS. PS5/WGP16 FANT</t>
  </si>
  <si>
    <t>6977052252432</t>
  </si>
  <si>
    <t>I02472</t>
  </si>
  <si>
    <t>ESTACION DE CARGA ACGP05 WH P/JOYS. PS5/WGP16 FANT</t>
  </si>
  <si>
    <t>6977052252791</t>
  </si>
  <si>
    <t>I02514</t>
  </si>
  <si>
    <t>TECLADO MECANICO MK874 SKB(BL) TARO SW 60% FANTECH</t>
  </si>
  <si>
    <t>6972661289961</t>
  </si>
  <si>
    <t>I02515</t>
  </si>
  <si>
    <t>TECLADO MECANICO MK874 SKB(RD) ROSIE SW 60% FANTEC</t>
  </si>
  <si>
    <t>6972661289978</t>
  </si>
  <si>
    <t>I02516</t>
  </si>
  <si>
    <t>TECLADO MECANICO MK874 NAB(BL) TARO SW 60% FANTECH</t>
  </si>
  <si>
    <t>6972661289947</t>
  </si>
  <si>
    <t>I02517</t>
  </si>
  <si>
    <t>TECLADO MECANICO MK874 NAB(RD) ROSIE SW 60% FANTEC</t>
  </si>
  <si>
    <t>6972661289954</t>
  </si>
  <si>
    <t>I02518</t>
  </si>
  <si>
    <t>TECLADO MECANICO MK874 MORI (BL) TARO SW 60% FANTE</t>
  </si>
  <si>
    <t>6977052254955</t>
  </si>
  <si>
    <t>I02519</t>
  </si>
  <si>
    <t>TECLADO MECÁNICO MK874 MORI (WH) TARO SW 60% FANTE</t>
  </si>
  <si>
    <t>6977052254979</t>
  </si>
  <si>
    <t>I02520</t>
  </si>
  <si>
    <t>TECLADO MK875 MIZU 75% SKB TARO SW MECANICO FANTEC</t>
  </si>
  <si>
    <t>6977052254498</t>
  </si>
  <si>
    <t>I02521</t>
  </si>
  <si>
    <t>TECLADO MK875 MIZU 75% NAB TARO SW MECANICO FANTEC</t>
  </si>
  <si>
    <t>6977052254474</t>
  </si>
  <si>
    <t>I02522</t>
  </si>
  <si>
    <t>TECLADO MK875 MIZU 75% NAV ROSIE SW MECANICO FANTE</t>
  </si>
  <si>
    <t>6977052254481</t>
  </si>
  <si>
    <t>I02523</t>
  </si>
  <si>
    <t>TECLADO MK875 MIZU 75% SKB ROSIE SW MECANICO FANTE</t>
  </si>
  <si>
    <t>6977052254504</t>
  </si>
  <si>
    <t>I02549</t>
  </si>
  <si>
    <t>TECLADO MAGNETICO MK811 BK ATOM HE68 65% FANTECH</t>
  </si>
  <si>
    <t>6977052255105</t>
  </si>
  <si>
    <t>I02550</t>
  </si>
  <si>
    <t>TECLADO MAGNETICO MK811 WHI ATOM HE68 65% FANTECH</t>
  </si>
  <si>
    <t>6977052255099</t>
  </si>
  <si>
    <t>I02551</t>
  </si>
  <si>
    <t>TECLADO MAGNETICO INAL MK922 BK HE68PRO 65% FAN</t>
  </si>
  <si>
    <t>6977052255167</t>
  </si>
  <si>
    <t>I02552</t>
  </si>
  <si>
    <t>TECLADO MAGNETICO INAL MK922 WHITE HE68PRO 65% FAN</t>
  </si>
  <si>
    <t>6977052255174</t>
  </si>
  <si>
    <t>I02553</t>
  </si>
  <si>
    <t>TECLADO MAGNETICO INAL MK922 RETRO HE68PRO 65% FAN</t>
  </si>
  <si>
    <t>6977052255181</t>
  </si>
  <si>
    <t>I02554</t>
  </si>
  <si>
    <t>MOUSE GAMING INAL WG13A LUFFY ONE PIECE FANTECH</t>
  </si>
  <si>
    <t>6977052253606</t>
  </si>
  <si>
    <t>I02555</t>
  </si>
  <si>
    <t>MOUSE GAMING INAL WG13A ZORO ONE PIECE FANTECH</t>
  </si>
  <si>
    <t>6977052253613</t>
  </si>
  <si>
    <t>I02556</t>
  </si>
  <si>
    <t>MOUSE GAMING INAL WG13A GEAR5 ONE PIECE FANTECH</t>
  </si>
  <si>
    <t>6977052253620</t>
  </si>
  <si>
    <t>I02557</t>
  </si>
  <si>
    <t>MOUSE GAMING INAL WG13A NAMI ONE PIECE FANTECH</t>
  </si>
  <si>
    <t>6977052253637</t>
  </si>
  <si>
    <t>I02558</t>
  </si>
  <si>
    <t>MOUSEPAD MP905 ATO LUFFY ONE PIECE FANTECH</t>
  </si>
  <si>
    <t>6977052253149</t>
  </si>
  <si>
    <t>I02559</t>
  </si>
  <si>
    <t>MOUSEPAD MP905 ATO ZORO ONE PIECE FANTECH</t>
  </si>
  <si>
    <t>6977052253156</t>
  </si>
  <si>
    <t>I02560</t>
  </si>
  <si>
    <t>MOUSEPAD MP905 ATO GEAR5 ONE PIECE FANTECH</t>
  </si>
  <si>
    <t>6977052253163</t>
  </si>
  <si>
    <t>I02561</t>
  </si>
  <si>
    <t>MOUSEPAD MP905 ATO NAMI ONE PIECE FANTECH</t>
  </si>
  <si>
    <t>6977052253170</t>
  </si>
  <si>
    <t>I02562</t>
  </si>
  <si>
    <t>MOUSEPAD MP905 ATO USOPP ONE PIECE FANTECH</t>
  </si>
  <si>
    <t>6977052253187</t>
  </si>
  <si>
    <t>I02563</t>
  </si>
  <si>
    <t>MOUSEPAD MP905 ATO BROOK ONE PIECE FANTECH</t>
  </si>
  <si>
    <t>6977052253194</t>
  </si>
  <si>
    <t>I02564</t>
  </si>
  <si>
    <t>MOUSEPAD MP905 ATO CHOPPER ONE PIECE FANTECH</t>
  </si>
  <si>
    <t>6977052253705</t>
  </si>
  <si>
    <t>I02565</t>
  </si>
  <si>
    <t>MOUSEPAD MP905 ATO ROBIN ONE PIECE FANTECH</t>
  </si>
  <si>
    <t>6977052253200</t>
  </si>
  <si>
    <t>I02566</t>
  </si>
  <si>
    <t>TECLADO MECANICO INAL MK921 LUFFY ONE PIECE 75% FA</t>
  </si>
  <si>
    <t>6977052253781</t>
  </si>
  <si>
    <t>I02567</t>
  </si>
  <si>
    <t>TECLADO MECANICO INAL MK921 ZORO BR SW ONE PIECE</t>
  </si>
  <si>
    <t>I02568</t>
  </si>
  <si>
    <t>TECLADO MECANICO INAL MK921 GEAR5 BR SW ONE PIECE</t>
  </si>
  <si>
    <t>6977052253828</t>
  </si>
  <si>
    <t>I02569</t>
  </si>
  <si>
    <t>TECLADO MECANICO INAL MK921 NAMI BR SW ONE PIECE</t>
  </si>
  <si>
    <t>6977052253842</t>
  </si>
  <si>
    <t>I02570</t>
  </si>
  <si>
    <t>PARLANTE BT BS152 LUFFY ONE PIECE 5W FANTECH</t>
  </si>
  <si>
    <t>6977052253569</t>
  </si>
  <si>
    <t>I02571</t>
  </si>
  <si>
    <t>PARLANTE BT BS152 ZORO ONE PIECE 5W FANTECH</t>
  </si>
  <si>
    <t>6977052253583</t>
  </si>
  <si>
    <t>I02572</t>
  </si>
  <si>
    <t>PARLANTE BT BS152 GEAR5 ONE PIECE 5W FANTECH</t>
  </si>
  <si>
    <t>6977052253590</t>
  </si>
  <si>
    <t>I02573</t>
  </si>
  <si>
    <t>PARLANTE BT BS152 NAMI ONE PIECE 5W FANTECH</t>
  </si>
  <si>
    <t>6977052253576</t>
  </si>
  <si>
    <t>I02574</t>
  </si>
  <si>
    <t>JOYSTICK WGP14v2 LUFFY ONE PIECE INAL. PC/PS3/PS4</t>
  </si>
  <si>
    <t>6977052252357</t>
  </si>
  <si>
    <t>I02575</t>
  </si>
  <si>
    <t>JOYSTICK WGP14v2 ZORO ONE PIECE INAL. PC/PS3/PS4</t>
  </si>
  <si>
    <t>6977052252364</t>
  </si>
  <si>
    <t>I02576</t>
  </si>
  <si>
    <t>JOYSTICK WGP14v2 GEAR5 ONE PIECE INAL. PC/PS3/PS4</t>
  </si>
  <si>
    <t>6977052252371</t>
  </si>
  <si>
    <t>I02577</t>
  </si>
  <si>
    <t>JOYSTICK WGP14v2 NAMI ONE PIECE INAL. PC/PS3/PS4</t>
  </si>
  <si>
    <t>6977052252388</t>
  </si>
  <si>
    <t>I02578</t>
  </si>
  <si>
    <t>AURICULAR GAMING INAL WHG05 BK 2.4/BT STELLAR FANT</t>
  </si>
  <si>
    <t>6977052253866</t>
  </si>
  <si>
    <t>I02579</t>
  </si>
  <si>
    <t>AURICULAR GAMING INAL WHG05 WH 2.4/BT STELLAR FANT</t>
  </si>
  <si>
    <t>6977052253873</t>
  </si>
  <si>
    <t>I02592</t>
  </si>
  <si>
    <t>MOUSE GAMING INAL WG9RD KANATA ROSIE EDIT FANTECH</t>
  </si>
  <si>
    <t>6977052255631</t>
  </si>
  <si>
    <t>I02593</t>
  </si>
  <si>
    <t>TECLADO MECANICO INAL MK921 65% ROSIE ED WH SW FAN</t>
  </si>
  <si>
    <t>69770522555556</t>
  </si>
  <si>
    <t>I02594</t>
  </si>
  <si>
    <t>AURICULAR GAMING INAL WHG07 7.1 2.4/BT ROSIE FANTE</t>
  </si>
  <si>
    <t>6977052255228</t>
  </si>
  <si>
    <t>I02595</t>
  </si>
  <si>
    <t>MICROFONO UFM1 SONARA FINECOUSTIC BY FANTECH</t>
  </si>
  <si>
    <t>I02597</t>
  </si>
  <si>
    <t>JOYSTICK WGP16D BK PS5/PC/Mac/And INAL. FANTECH</t>
  </si>
  <si>
    <t>6977052253934</t>
  </si>
  <si>
    <t>I02598</t>
  </si>
  <si>
    <t>JOYSTICK WGP16D GR PS5/PC/Mac/And INAL. FANTECH</t>
  </si>
  <si>
    <t>6977052255280</t>
  </si>
  <si>
    <t>I02599</t>
  </si>
  <si>
    <t>ESTACION DE CARGA ACGP05 GR P/JOYS. PS5/WGP16 FANT</t>
  </si>
  <si>
    <t>I02636</t>
  </si>
  <si>
    <t>TECLADO MECANICO INAL MK921 ZORO WHI SW ONE PIECE</t>
  </si>
  <si>
    <t>I02637</t>
  </si>
  <si>
    <t>TECLADO MECANICO INAL MK921 GEAR5 WHI SW ONE PIECE</t>
  </si>
  <si>
    <t>I02638</t>
  </si>
  <si>
    <t>TECLADO MECANICO INAL MK921 NAMI WHI SW ONE PIECE</t>
  </si>
  <si>
    <t>I02652</t>
  </si>
  <si>
    <t>MOUSE GAMING INAL WG12RS BK FANTECH</t>
  </si>
  <si>
    <t>I02653</t>
  </si>
  <si>
    <t>MOUSE GAMING INAL WG12RS WH FANTECH</t>
  </si>
  <si>
    <t>I02654</t>
  </si>
  <si>
    <t>JOYSTICK WGP12S BK PC/PS3/PS4/AND INAL. FANTECH</t>
  </si>
  <si>
    <t>I02655</t>
  </si>
  <si>
    <t>JOYSTICK WGP12S WH PC/PS3/PS4/AND INAL. FANTECH</t>
  </si>
  <si>
    <t>I02656</t>
  </si>
  <si>
    <t>MICROFONO MCX04 BK FANTECH AURA</t>
  </si>
  <si>
    <t>I02657</t>
  </si>
  <si>
    <t>MICROFONO INAL. WMCX01 BK LEVIOSA WAVE FANTECH</t>
  </si>
  <si>
    <t>I02658</t>
  </si>
  <si>
    <t>MICROFONO INAL. WMCX01 WH LEVIOSA WAVE FANTECH</t>
  </si>
  <si>
    <t>I02659</t>
  </si>
  <si>
    <t>AURICULAR TWS TX4 SUPER MAXFIT ANC+ENC FANTECH</t>
  </si>
  <si>
    <t>6977052254221</t>
  </si>
  <si>
    <t>I02661</t>
  </si>
  <si>
    <t>SELFIE STICK SS175 BT5.2 35-175cm FANTECH</t>
  </si>
  <si>
    <t>I02672</t>
  </si>
  <si>
    <t>MOUSE GAMING VX9S BK KANATA FANTECH</t>
  </si>
  <si>
    <t>I02673</t>
  </si>
  <si>
    <t>MOUSE GAMING VX9S WH KANATA FANTECH</t>
  </si>
  <si>
    <t>I02674</t>
  </si>
  <si>
    <t>MOUSE GAMING INAL WGV7V2 BK CRYPTO II FANTECH</t>
  </si>
  <si>
    <t>I02675</t>
  </si>
  <si>
    <t>MOUSE GAMING INAL WGV7V2 WH CRYPTO II FANTECH</t>
  </si>
  <si>
    <t>I02676</t>
  </si>
  <si>
    <t>MOUSE GAMING INAL WG10 GREY RAIGOR II FANTECH</t>
  </si>
  <si>
    <t>I02677</t>
  </si>
  <si>
    <t>MOUSE INAL W608 BLACK FANTECH</t>
  </si>
  <si>
    <t>I02678</t>
  </si>
  <si>
    <t>TECLADO MECÁNICO MK877S MORI (WH) TR SW TKL FANTE</t>
  </si>
  <si>
    <t>I02679</t>
  </si>
  <si>
    <t>TECLADO MECANICO MK612 BL ROSIE SW 75% X83 FANTECH</t>
  </si>
  <si>
    <t>I02680</t>
  </si>
  <si>
    <t>TECLADO MECANICO MK612 WH ROSIE SW 75% X83 FANTECH</t>
  </si>
  <si>
    <t>I02681</t>
  </si>
  <si>
    <t>AURICULAR GAMING MH88 BK FANTECH</t>
  </si>
  <si>
    <t>I02682</t>
  </si>
  <si>
    <t>TECLADO MK874 MIZU 60% NAB TARO SW MECANICO FANTEC</t>
  </si>
  <si>
    <t>I02687</t>
  </si>
  <si>
    <t>MOUSE GAMING VX9S BK PHANTOM II FANTECH</t>
  </si>
  <si>
    <t>I02690</t>
  </si>
  <si>
    <t>MOUSE GAMING INAL WGV7V2RD BK CRYPTO II FANTECH</t>
  </si>
  <si>
    <t>I02713</t>
  </si>
  <si>
    <t>MOUSEPAD FANTECH MP905 BLUE EGGHEAD</t>
  </si>
  <si>
    <t>I02714</t>
  </si>
  <si>
    <t>AUICULAR TWS FANTECH LUFFY FT20</t>
  </si>
  <si>
    <t>I02715</t>
  </si>
  <si>
    <t>TECLADO MAGNETICO INAL MK922 MAXFI HE68PRO 65% FAN</t>
  </si>
  <si>
    <t>6977052256188</t>
  </si>
  <si>
    <t>I02716</t>
  </si>
  <si>
    <t>MOUSE GAMING INAL WG7V2 BK CRYPTO II FANTECH</t>
  </si>
  <si>
    <t>I02165</t>
  </si>
  <si>
    <t>KIT GAMER FANTECH 80%</t>
  </si>
  <si>
    <t>I02166</t>
  </si>
  <si>
    <t>KIT GAMER MOUSE + PAD FANTECH SAKURA</t>
  </si>
  <si>
    <t>I02167</t>
  </si>
  <si>
    <t>KIT GAMER FANTECH SAKURA II</t>
  </si>
  <si>
    <t>I02168</t>
  </si>
  <si>
    <t>KIT GAMER 60% SPACE</t>
  </si>
  <si>
    <t>I02688</t>
  </si>
  <si>
    <t>PARLANTE BT FANTECH NP02 NERA PARTY</t>
  </si>
  <si>
    <t>I02689</t>
  </si>
  <si>
    <t>PARLANTE BT FANTECH NP03 NERA PARTY</t>
  </si>
  <si>
    <t>I01005</t>
  </si>
  <si>
    <t>GABINETE PULSE CG-71 BK FANTECH</t>
  </si>
  <si>
    <t>I01006</t>
  </si>
  <si>
    <t>GABINETE PULSE CG-71 FANTECH SPACE EDITION</t>
  </si>
  <si>
    <t>I01007</t>
  </si>
  <si>
    <t>GABINETE FANTECH STRIKE CG-72</t>
  </si>
  <si>
    <t>I01096</t>
  </si>
  <si>
    <t>GABINETE FANTECH HEXA CG-73</t>
  </si>
  <si>
    <t>I01097</t>
  </si>
  <si>
    <t>GABINETE FANTECH AERO CG-80 WHITE</t>
  </si>
  <si>
    <t>I01098</t>
  </si>
  <si>
    <t>GABINETE FANTECH AERO CG-80 SAKURA</t>
  </si>
  <si>
    <t>I01101</t>
  </si>
  <si>
    <t>GABINETE FANTECH CG-76 NEGRO c/ 4 FAN</t>
  </si>
  <si>
    <t>I01102</t>
  </si>
  <si>
    <t>GABINETE FANTECH CG-76 BLANCO c/ 4 FAN</t>
  </si>
  <si>
    <t>I01103</t>
  </si>
  <si>
    <t>GABINETE FANTECH CG-76 ROSA c/ 4 FAN</t>
  </si>
  <si>
    <t>I01811</t>
  </si>
  <si>
    <t>GABINETE FANTECH CG-83 ROSA C/ 4 FAN RGB</t>
  </si>
  <si>
    <t>I01853</t>
  </si>
  <si>
    <t>GABINETE FANTECH CG-80 BK AERO C/ 4 FAN RGB</t>
  </si>
  <si>
    <t>I02421</t>
  </si>
  <si>
    <t>GABINETE FANTECH CG-83 BK C/ 4 FAN RGB</t>
  </si>
  <si>
    <t>I01099</t>
  </si>
  <si>
    <t>SILLA GAMER ALPHA GC-185s RED FANTECH</t>
  </si>
  <si>
    <t>I01100</t>
  </si>
  <si>
    <t>SILLA GAMER ALPHA GC-182 PINK-GRAY SAKURA CUERO PU</t>
  </si>
  <si>
    <t>I01106</t>
  </si>
  <si>
    <t>SILLA GAMER ALPHA GC-185X BK/RED FANTECH</t>
  </si>
  <si>
    <t>I01117</t>
  </si>
  <si>
    <t>SILLA GAMER ALPHA GC-185X BK  FANTECH</t>
  </si>
  <si>
    <t>I01203</t>
  </si>
  <si>
    <t>SILLA GAMER FANTECH MINT GC283</t>
  </si>
  <si>
    <t>I01204</t>
  </si>
  <si>
    <t>SILLA ERGONOMICA OCA258 MINT FANTECH</t>
  </si>
  <si>
    <t>6972661286786</t>
  </si>
  <si>
    <t>I01205</t>
  </si>
  <si>
    <t>SILLA ERGONOMICA OCA258 SAKURA FANTECH</t>
  </si>
  <si>
    <t>6972661286779</t>
  </si>
  <si>
    <t>I01241</t>
  </si>
  <si>
    <t>SILLA ERGONOMICA OCA258 GRIS-VERDE FANTECH</t>
  </si>
  <si>
    <t>6972661286748</t>
  </si>
  <si>
    <t>I01569</t>
  </si>
  <si>
    <t>SILLA ERGONOMICA OCA258 NEGRA FANTECH</t>
  </si>
  <si>
    <t>6972661286731</t>
  </si>
  <si>
    <t>I01851</t>
  </si>
  <si>
    <t>ESCRITORIO GAMER FANTECH WS311 BK</t>
  </si>
  <si>
    <t>I02235</t>
  </si>
  <si>
    <t>SILLA ERGONOMICA OCA258 GRIS/NEGRA  FANTECH</t>
  </si>
  <si>
    <t>I02387</t>
  </si>
  <si>
    <t>SILLA GAMER GC-192 BLACK FANTECH</t>
  </si>
  <si>
    <t>I02388</t>
  </si>
  <si>
    <t>SILLA GAMER GC-192 GREY FANTECH</t>
  </si>
  <si>
    <t>I02389</t>
  </si>
  <si>
    <t>SILLA GAMER GC-192 BROWN FANTECH</t>
  </si>
  <si>
    <t>I02660</t>
  </si>
  <si>
    <t>HUB USB 3.0 HA3041 4 en 1 FANTECH</t>
  </si>
  <si>
    <t>I02670</t>
  </si>
  <si>
    <t>HUB USB-C HC101 9 en 1 HDMI/RJ45/SD FANTECH</t>
  </si>
  <si>
    <t>I01088</t>
  </si>
  <si>
    <t>CAMARA WEB C30 FANTECH 2K 25FPS</t>
  </si>
  <si>
    <t>I02596</t>
  </si>
  <si>
    <t>CAMARA WEB C50 FANTECH 2K 60FPS</t>
  </si>
  <si>
    <t>I02710</t>
  </si>
  <si>
    <t>AURICULAR TWS FANTECH ZORO FT20</t>
  </si>
  <si>
    <t>I02711</t>
  </si>
  <si>
    <t>AURICULAR TWS FANTECH GEAR5 FT20</t>
  </si>
  <si>
    <t>I02712</t>
  </si>
  <si>
    <t>AURICULAR TWS FANTECH NAMI FT20</t>
  </si>
  <si>
    <t>I01684</t>
  </si>
  <si>
    <t>AURICULAR BT WH05 BK GO VIBE FANTECH</t>
  </si>
  <si>
    <t>I01685</t>
  </si>
  <si>
    <t>AURICULAR BT WH05 BEIGE GO VIBE FANTECH</t>
  </si>
  <si>
    <t>I01686</t>
  </si>
  <si>
    <t>AURICULAR BT WH05 BLUE GO VIBE FANTECH</t>
  </si>
  <si>
    <t>I01687</t>
  </si>
  <si>
    <t>AURICULAR BT WH05 PINK GO VIBE FANTECH</t>
  </si>
  <si>
    <t>I01688</t>
  </si>
  <si>
    <t>AURICULAR BT WH06 BK GO TUNE FANTECH</t>
  </si>
  <si>
    <t>I01689</t>
  </si>
  <si>
    <t>AURICULAR BT WH06 BEIGE GO TUNE FANTECH</t>
  </si>
  <si>
    <t>I01690</t>
  </si>
  <si>
    <t>AURICULAR BT WH06 GREY GO TUNE FANTECH</t>
  </si>
  <si>
    <t>I02071</t>
  </si>
  <si>
    <t>AURICULAR BT WH02S BK GO AIR FANTECH</t>
  </si>
  <si>
    <t>I02072</t>
  </si>
  <si>
    <t>AURICULAR BT WH07A BK GO FLOW ANC FANTECH</t>
  </si>
  <si>
    <t>I02073</t>
  </si>
  <si>
    <t>AURICULAR BT WH07A GREY GO FLOW ANC FANTECH</t>
  </si>
  <si>
    <t>I02447</t>
  </si>
  <si>
    <t>MICROFONO SOLAPERO TIPO-C WMV21C FANTECH</t>
  </si>
  <si>
    <t>6972661289473</t>
  </si>
  <si>
    <t>I02448</t>
  </si>
  <si>
    <t>MICROFONO SOLAPERO IPHONE WMV21L FANTECH</t>
  </si>
  <si>
    <t>6972661289497</t>
  </si>
  <si>
    <t>Fecha Proxima Importacion</t>
  </si>
  <si>
    <t>Dias Pedido</t>
  </si>
  <si>
    <t>Dias Duracion</t>
  </si>
  <si>
    <t>Relacion Venta Marcas</t>
  </si>
  <si>
    <t>Articulo.1</t>
  </si>
  <si>
    <t>Stock Act.1</t>
  </si>
  <si>
    <t>I M P O R T A C I O N  -  598</t>
  </si>
  <si>
    <t>Arribo</t>
  </si>
  <si>
    <t>Dias Arribo.</t>
  </si>
  <si>
    <t>Quiebre Stk.1</t>
  </si>
  <si>
    <t>% Proteccion.1</t>
  </si>
  <si>
    <t>Pedidos.1</t>
  </si>
  <si>
    <t>Stk.Arribo.1</t>
  </si>
  <si>
    <t>FOB Arribo.1</t>
  </si>
  <si>
    <t>I M P O R T A C I O N  -  600</t>
  </si>
  <si>
    <t>S T O C K   A L  05/11/2026</t>
  </si>
  <si>
    <t>Arribo Prox.</t>
  </si>
  <si>
    <t>Dias Arribo</t>
  </si>
  <si>
    <t>Pedir Artic.1</t>
  </si>
  <si>
    <t>Confirmado Art.1</t>
  </si>
  <si>
    <t>Stk.Acumulado.1</t>
  </si>
  <si>
    <t>FOB U$S Art.1</t>
  </si>
  <si>
    <t>Prov. Cpa. Art.1</t>
  </si>
  <si>
    <t>S T O C K   A L  04/01/2027</t>
  </si>
  <si>
    <t>Stk.Final.1</t>
  </si>
  <si>
    <t>Estado Art.1</t>
  </si>
  <si>
    <t>SIN STOCK</t>
  </si>
  <si>
    <t>TOT STK</t>
  </si>
  <si>
    <t>C/STK</t>
  </si>
  <si>
    <t>VTA</t>
  </si>
  <si>
    <t>DDSTK</t>
  </si>
  <si>
    <t>Subtot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</si>
</sst>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#,##0.0000"/>
    <numFmt numFmtId="165" formatCode="dd/mm/yyyy"/>
    <numFmt numFmtId="166" formatCode="#,###,##0.00"/>
    <numFmt numFmtId="167" formatCode="#,##0.00%"/>
  </numFmts>
  <fonts count="2" x14ac:knownFonts="1">
    <font>
      <sz val="11"/>
      <color theme="1"/>
      <name val="Calibri"/>
      <scheme val="minor"/>
    </font>
    <font>
      <b/>
      <sz val="9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00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0F8FF"/>
        <bgColor rgb="FF000000"/>
      </patternFill>
    </fill>
    <fill>
      <patternFill patternType="solid">
        <fgColor rgb="FFD3D3D3"/>
        <bgColor rgb="FF000000"/>
      </patternFill>
    </fill>
    <fill>
      <patternFill patternType="solid">
        <fgColor rgb="FF5F9EA0"/>
        <bgColor rgb="FF000000"/>
      </patternFill>
    </fill>
    <fill>
      <patternFill patternType="solid">
        <fgColor rgb="FFADD8E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E6E6FA"/>
        <bgColor rgb="FF000000"/>
      </patternFill>
    </fill>
    <fill>
      <patternFill patternType="solid">
        <fgColor rgb="FFBC8F8F"/>
        <bgColor rgb="FF000000"/>
      </patternFill>
    </fill>
    <fill>
      <patternFill patternType="solid">
        <fgColor rgb="FFFF7F50"/>
        <bgColor rgb="FF00000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49" fontId="0" fillId="2" borderId="0" xfId="0" applyNumberFormat="1" applyFill="1"/>
    <xf numFmtId="49" fontId="0" fillId="3" borderId="0" xfId="0" applyNumberFormat="1" applyFill="1"/>
    <xf numFmtId="0" fontId="0" fillId="4" borderId="0" xfId="0" applyFill="1"/>
    <xf numFmtId="164" fontId="0" fillId="0" borderId="0" xfId="0" applyNumberFormat="1"/>
    <xf numFmtId="164" fontId="0" fillId="5" borderId="0" xfId="0" applyNumberFormat="1" applyFill="1"/>
    <xf numFmtId="164" fontId="0" fillId="6" borderId="0" xfId="0" applyNumberFormat="1" applyFill="1"/>
    <xf numFmtId="164" fontId="0" fillId="7" borderId="0" xfId="0" applyNumberFormat="1" applyFill="1"/>
    <xf numFmtId="164" fontId="0" fillId="8" borderId="0" xfId="0" applyNumberFormat="1" applyFill="1"/>
    <xf numFmtId="1" fontId="0" fillId="0" borderId="0" xfId="0" applyNumberFormat="1"/>
    <xf numFmtId="1" fontId="0" fillId="4" borderId="0" xfId="0" applyNumberFormat="1" applyFill="1"/>
    <xf numFmtId="164" fontId="0" fillId="9" borderId="0" xfId="0" applyNumberFormat="1" applyFill="1"/>
    <xf numFmtId="165" fontId="0" fillId="0" borderId="0" xfId="0" applyNumberFormat="1"/>
    <xf numFmtId="166" fontId="0" fillId="0" borderId="0" xfId="0" applyNumberFormat="1"/>
    <xf numFmtId="49" fontId="0" fillId="4" borderId="0" xfId="0" applyNumberFormat="1" applyFill="1"/>
    <xf numFmtId="166" fontId="0" fillId="4" borderId="0" xfId="0" applyNumberFormat="1" applyFill="1"/>
    <xf numFmtId="167" fontId="0" fillId="4" borderId="0" xfId="0" applyNumberFormat="1" applyFill="1"/>
    <xf numFmtId="164" fontId="0" fillId="4" borderId="0" xfId="0" applyNumberFormat="1" applyFill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49" fontId="1" fillId="10" borderId="0" xfId="0" applyNumberFormat="1" applyFont="1" applyFill="1" applyAlignment="1">
      <alignment horizontal="center"/>
    </xf>
    <xf numFmtId="0" fontId="0" fillId="0" borderId="0" xfId="0"/>
    <xf numFmtId="49" fontId="1" fillId="11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preadsheetLight Office">
  <a:themeElements>
    <a:clrScheme name="SpreadsheetLight 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SpreadsheetLigh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SpreadsheetLigh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L669"/>
  <sheetViews>
    <sheetView tabSelected="1" workbookViewId="0">
      <pane xSplit="2" ySplit="1" topLeftCell="V75" activePane="bottomRight" state="frozen"/>
      <selection pane="topRight" activeCell="C1" sqref="C1"/>
      <selection pane="bottomLeft" activeCell="A2" sqref="A2"/>
      <selection pane="bottomRight" activeCell="Y107" sqref="Y107"/>
    </sheetView>
  </sheetViews>
  <sheetFormatPr baseColWidth="10" defaultColWidth="9" defaultRowHeight="14.3" x14ac:dyDescent="0.25"/>
  <cols>
    <col min="1" max="1" width="8.625" customWidth="1"/>
    <col min="2" max="2" width="49" customWidth="1"/>
    <col min="3" max="3" width="20" customWidth="1"/>
    <col min="4" max="31" width="10" customWidth="1"/>
    <col min="33" max="33" width="11.125" style="19" customWidth="1"/>
    <col min="34" max="34" width="9.375" style="19" customWidth="1"/>
    <col min="35" max="36" width="11.125" style="19" customWidth="1"/>
    <col min="37" max="37" width="9" style="19" customWidth="1"/>
    <col min="38" max="38" width="6.25" style="19" bestFit="1" customWidth="1"/>
  </cols>
  <sheetData>
    <row r="1" spans="1:3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19" t="s">
        <v>963</v>
      </c>
      <c r="AH1" s="19" t="s">
        <v>963</v>
      </c>
      <c r="AI1" s="19" t="s">
        <v>964</v>
      </c>
      <c r="AJ1" s="19" t="s">
        <v>965</v>
      </c>
      <c r="AK1" s="19" t="s">
        <v>966</v>
      </c>
      <c r="AL1" s="19" t="s">
        <v>967</v>
      </c>
    </row>
    <row r="2" spans="1:38" x14ac:dyDescent="0.25">
      <c r="A2" s="3" t="s">
        <v>32</v>
      </c>
      <c r="B2" s="1" t="s">
        <v>33</v>
      </c>
      <c r="C2" s="1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6">
        <v>0</v>
      </c>
      <c r="R2" s="6">
        <v>0</v>
      </c>
      <c r="S2" s="6">
        <v>0</v>
      </c>
      <c r="T2" s="6">
        <v>0</v>
      </c>
      <c r="U2" s="6">
        <v>0</v>
      </c>
      <c r="V2" s="6">
        <v>0</v>
      </c>
      <c r="W2" s="6">
        <v>0</v>
      </c>
      <c r="X2" s="6">
        <v>0</v>
      </c>
      <c r="Y2" s="6">
        <v>0</v>
      </c>
      <c r="Z2" s="6">
        <v>0</v>
      </c>
      <c r="AA2" s="6">
        <v>0</v>
      </c>
      <c r="AB2" s="6">
        <v>0</v>
      </c>
      <c r="AC2" s="7">
        <v>0</v>
      </c>
      <c r="AF2" s="1" t="s">
        <v>34</v>
      </c>
      <c r="AG2" s="19" cm="1">
        <f t="array" ref="AG2">DIASQUIEBRE(Q2:AB2)</f>
        <v>0</v>
      </c>
      <c r="AH2" s="19" cm="1">
        <f t="array" ref="AH2">DiasMesesGris(Q2:AB2)</f>
        <v>360</v>
      </c>
      <c r="AI2" s="19">
        <f>AG2+AH2</f>
        <v>360</v>
      </c>
      <c r="AJ2" s="19">
        <f>360-AI2</f>
        <v>0</v>
      </c>
      <c r="AK2" s="20">
        <f>SUM(D2:O2)</f>
        <v>0</v>
      </c>
      <c r="AL2" s="21">
        <f>IFERROR(AK2/AJ2,0)</f>
        <v>0</v>
      </c>
    </row>
    <row r="3" spans="1:38" x14ac:dyDescent="0.25">
      <c r="A3" s="3" t="s">
        <v>35</v>
      </c>
      <c r="B3" s="1" t="s">
        <v>36</v>
      </c>
      <c r="C3" s="1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7">
        <v>0</v>
      </c>
      <c r="AF3" s="1" t="s">
        <v>34</v>
      </c>
      <c r="AG3" s="19" cm="1">
        <f t="array" ref="AG3">DIASQUIEBRE(Q3:AB3)</f>
        <v>0</v>
      </c>
      <c r="AH3" s="19" cm="1">
        <f t="array" ref="AH3">DiasMesesGris(Q3:AB3)</f>
        <v>360</v>
      </c>
      <c r="AI3" s="19">
        <f>AG3+AH3</f>
        <v>360</v>
      </c>
      <c r="AJ3" s="19">
        <f>360-AI3</f>
        <v>0</v>
      </c>
      <c r="AK3" s="20">
        <f>SUM(D3:O3)</f>
        <v>0</v>
      </c>
      <c r="AL3" s="21">
        <f t="shared" ref="AL3:AL66" si="0">IFERROR(AK3/AJ3,0)</f>
        <v>0</v>
      </c>
    </row>
    <row r="4" spans="1:38" x14ac:dyDescent="0.25">
      <c r="A4" s="1" t="s">
        <v>37</v>
      </c>
      <c r="B4" s="1" t="s">
        <v>38</v>
      </c>
      <c r="C4" s="1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8">
        <v>0</v>
      </c>
      <c r="AF4" s="1" t="s">
        <v>34</v>
      </c>
      <c r="AG4" s="19" cm="1">
        <f t="array" ref="AG4">DIASQUIEBRE(Q4:AB4)</f>
        <v>0</v>
      </c>
      <c r="AH4" s="19" cm="1">
        <f t="array" ref="AH4">DiasMesesGris(Q4:AB4)</f>
        <v>0</v>
      </c>
      <c r="AI4" s="19">
        <f t="shared" ref="AI4:AI67" si="1">AG4+AH4</f>
        <v>0</v>
      </c>
      <c r="AJ4" s="19">
        <f t="shared" ref="AJ4:AJ67" si="2">360-AI4</f>
        <v>360</v>
      </c>
      <c r="AK4" s="20">
        <f t="shared" ref="AK4:AK67" si="3">SUM(D4:O4)</f>
        <v>0</v>
      </c>
      <c r="AL4" s="21">
        <f t="shared" si="0"/>
        <v>0</v>
      </c>
    </row>
    <row r="5" spans="1:38" x14ac:dyDescent="0.25">
      <c r="A5" s="3" t="s">
        <v>39</v>
      </c>
      <c r="B5" s="1" t="s">
        <v>40</v>
      </c>
      <c r="C5" s="1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9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Z5" s="5">
        <v>0</v>
      </c>
      <c r="AA5" s="5">
        <v>0</v>
      </c>
      <c r="AB5" s="5">
        <v>0</v>
      </c>
      <c r="AC5" s="8">
        <v>0</v>
      </c>
      <c r="AF5" s="1" t="s">
        <v>34</v>
      </c>
      <c r="AG5" s="19" cm="1">
        <f t="array" ref="AG5">DIASQUIEBRE(Q5:AB5)</f>
        <v>2</v>
      </c>
      <c r="AH5" s="19" cm="1">
        <f t="array" ref="AH5">DiasMesesGris(Q5:AB5)</f>
        <v>0</v>
      </c>
      <c r="AI5" s="19">
        <f t="shared" si="1"/>
        <v>2</v>
      </c>
      <c r="AJ5" s="19">
        <f t="shared" si="2"/>
        <v>358</v>
      </c>
      <c r="AK5" s="20">
        <f t="shared" si="3"/>
        <v>0</v>
      </c>
      <c r="AL5" s="21">
        <f t="shared" si="0"/>
        <v>0</v>
      </c>
    </row>
    <row r="6" spans="1:38" x14ac:dyDescent="0.25">
      <c r="A6" s="3" t="s">
        <v>41</v>
      </c>
      <c r="B6" s="1" t="s">
        <v>42</v>
      </c>
      <c r="C6" s="1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</v>
      </c>
      <c r="AC6" s="8">
        <v>0</v>
      </c>
      <c r="AF6" s="1" t="s">
        <v>34</v>
      </c>
      <c r="AG6" s="19" cm="1">
        <f t="array" ref="AG6">DIASQUIEBRE(Q6:AB6)</f>
        <v>0</v>
      </c>
      <c r="AH6" s="19" cm="1">
        <f t="array" ref="AH6">DiasMesesGris(Q6:AB6)</f>
        <v>0</v>
      </c>
      <c r="AI6" s="19">
        <f t="shared" si="1"/>
        <v>0</v>
      </c>
      <c r="AJ6" s="19">
        <f t="shared" si="2"/>
        <v>360</v>
      </c>
      <c r="AK6" s="20">
        <f t="shared" si="3"/>
        <v>0</v>
      </c>
      <c r="AL6" s="21">
        <f t="shared" si="0"/>
        <v>0</v>
      </c>
    </row>
    <row r="7" spans="1:38" x14ac:dyDescent="0.25">
      <c r="A7" s="3" t="s">
        <v>43</v>
      </c>
      <c r="B7" s="1" t="s">
        <v>44</v>
      </c>
      <c r="C7" s="1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8">
        <v>0</v>
      </c>
      <c r="AF7" s="1" t="s">
        <v>34</v>
      </c>
      <c r="AG7" s="19" cm="1">
        <f t="array" ref="AG7">DIASQUIEBRE(Q7:AB7)</f>
        <v>0</v>
      </c>
      <c r="AH7" s="19" cm="1">
        <f t="array" ref="AH7">DiasMesesGris(Q7:AB7)</f>
        <v>0</v>
      </c>
      <c r="AI7" s="19">
        <f t="shared" si="1"/>
        <v>0</v>
      </c>
      <c r="AJ7" s="19">
        <f t="shared" si="2"/>
        <v>360</v>
      </c>
      <c r="AK7" s="20">
        <f t="shared" si="3"/>
        <v>0</v>
      </c>
      <c r="AL7" s="21">
        <f t="shared" si="0"/>
        <v>0</v>
      </c>
    </row>
    <row r="8" spans="1:38" x14ac:dyDescent="0.25">
      <c r="A8" s="3" t="s">
        <v>45</v>
      </c>
      <c r="B8" s="1" t="s">
        <v>46</v>
      </c>
      <c r="C8" s="1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8">
        <v>0</v>
      </c>
      <c r="AF8" s="1" t="s">
        <v>34</v>
      </c>
      <c r="AG8" s="19" cm="1">
        <f t="array" ref="AG8">DIASQUIEBRE(Q8:AB8)</f>
        <v>0</v>
      </c>
      <c r="AH8" s="19" cm="1">
        <f t="array" ref="AH8">DiasMesesGris(Q8:AB8)</f>
        <v>0</v>
      </c>
      <c r="AI8" s="19">
        <f t="shared" si="1"/>
        <v>0</v>
      </c>
      <c r="AJ8" s="19">
        <f t="shared" si="2"/>
        <v>360</v>
      </c>
      <c r="AK8" s="20">
        <f t="shared" si="3"/>
        <v>0</v>
      </c>
      <c r="AL8" s="21">
        <f t="shared" si="0"/>
        <v>0</v>
      </c>
    </row>
    <row r="9" spans="1:38" x14ac:dyDescent="0.25">
      <c r="A9" s="3" t="s">
        <v>47</v>
      </c>
      <c r="B9" s="1" t="s">
        <v>48</v>
      </c>
      <c r="C9" s="1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8">
        <v>0</v>
      </c>
      <c r="AF9" s="1" t="s">
        <v>34</v>
      </c>
      <c r="AG9" s="19" cm="1">
        <f t="array" ref="AG9">DIASQUIEBRE(Q9:AB9)</f>
        <v>0</v>
      </c>
      <c r="AH9" s="19" cm="1">
        <f t="array" ref="AH9">DiasMesesGris(Q9:AB9)</f>
        <v>0</v>
      </c>
      <c r="AI9" s="19">
        <f t="shared" si="1"/>
        <v>0</v>
      </c>
      <c r="AJ9" s="19">
        <f t="shared" si="2"/>
        <v>360</v>
      </c>
      <c r="AK9" s="20">
        <f t="shared" si="3"/>
        <v>0</v>
      </c>
      <c r="AL9" s="21">
        <f t="shared" si="0"/>
        <v>0</v>
      </c>
    </row>
    <row r="10" spans="1:38" x14ac:dyDescent="0.25">
      <c r="A10" s="3" t="s">
        <v>49</v>
      </c>
      <c r="B10" s="1" t="s">
        <v>50</v>
      </c>
      <c r="C10" s="1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7">
        <v>0</v>
      </c>
      <c r="AF10" s="1" t="s">
        <v>34</v>
      </c>
      <c r="AG10" s="19" cm="1">
        <f t="array" ref="AG10">DIASQUIEBRE(Q10:AB10)</f>
        <v>0</v>
      </c>
      <c r="AH10" s="19" cm="1">
        <f t="array" ref="AH10">DiasMesesGris(Q10:AB10)</f>
        <v>360</v>
      </c>
      <c r="AI10" s="19">
        <f t="shared" si="1"/>
        <v>360</v>
      </c>
      <c r="AJ10" s="19">
        <f t="shared" si="2"/>
        <v>0</v>
      </c>
      <c r="AK10" s="20">
        <f t="shared" si="3"/>
        <v>0</v>
      </c>
      <c r="AL10" s="21">
        <f t="shared" si="0"/>
        <v>0</v>
      </c>
    </row>
    <row r="11" spans="1:38" x14ac:dyDescent="0.25">
      <c r="A11" s="3" t="s">
        <v>51</v>
      </c>
      <c r="B11" s="1" t="s">
        <v>52</v>
      </c>
      <c r="C11" s="1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7">
        <v>0</v>
      </c>
      <c r="AF11" s="1" t="s">
        <v>34</v>
      </c>
      <c r="AG11" s="19" cm="1">
        <f t="array" ref="AG11">DIASQUIEBRE(Q11:AB11)</f>
        <v>0</v>
      </c>
      <c r="AH11" s="19" cm="1">
        <f t="array" ref="AH11">DiasMesesGris(Q11:AB11)</f>
        <v>360</v>
      </c>
      <c r="AI11" s="19">
        <f t="shared" si="1"/>
        <v>360</v>
      </c>
      <c r="AJ11" s="19">
        <f t="shared" si="2"/>
        <v>0</v>
      </c>
      <c r="AK11" s="20">
        <f t="shared" si="3"/>
        <v>0</v>
      </c>
      <c r="AL11" s="21">
        <f t="shared" si="0"/>
        <v>0</v>
      </c>
    </row>
    <row r="12" spans="1:38" x14ac:dyDescent="0.25">
      <c r="A12" s="3" t="s">
        <v>53</v>
      </c>
      <c r="B12" s="1" t="s">
        <v>54</v>
      </c>
      <c r="C12" s="1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7">
        <v>0</v>
      </c>
      <c r="AF12" s="1" t="s">
        <v>34</v>
      </c>
      <c r="AG12" s="19" cm="1">
        <f t="array" ref="AG12">DIASQUIEBRE(Q12:AB12)</f>
        <v>0</v>
      </c>
      <c r="AH12" s="19" cm="1">
        <f t="array" ref="AH12">DiasMesesGris(Q12:AB12)</f>
        <v>360</v>
      </c>
      <c r="AI12" s="19">
        <f t="shared" si="1"/>
        <v>360</v>
      </c>
      <c r="AJ12" s="19">
        <f t="shared" si="2"/>
        <v>0</v>
      </c>
      <c r="AK12" s="20">
        <f t="shared" si="3"/>
        <v>0</v>
      </c>
      <c r="AL12" s="21">
        <f t="shared" si="0"/>
        <v>0</v>
      </c>
    </row>
    <row r="13" spans="1:38" x14ac:dyDescent="0.25">
      <c r="A13" s="3" t="s">
        <v>55</v>
      </c>
      <c r="B13" s="1" t="s">
        <v>56</v>
      </c>
      <c r="C13" s="1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7">
        <v>0</v>
      </c>
      <c r="AF13" s="1" t="s">
        <v>34</v>
      </c>
      <c r="AG13" s="19" cm="1">
        <f t="array" ref="AG13">DIASQUIEBRE(Q13:AB13)</f>
        <v>0</v>
      </c>
      <c r="AH13" s="19" cm="1">
        <f t="array" ref="AH13">DiasMesesGris(Q13:AB13)</f>
        <v>360</v>
      </c>
      <c r="AI13" s="19">
        <f t="shared" si="1"/>
        <v>360</v>
      </c>
      <c r="AJ13" s="19">
        <f t="shared" si="2"/>
        <v>0</v>
      </c>
      <c r="AK13" s="20">
        <f t="shared" si="3"/>
        <v>0</v>
      </c>
      <c r="AL13" s="21">
        <f t="shared" si="0"/>
        <v>0</v>
      </c>
    </row>
    <row r="14" spans="1:38" x14ac:dyDescent="0.25">
      <c r="A14" s="3" t="s">
        <v>57</v>
      </c>
      <c r="B14" s="1" t="s">
        <v>58</v>
      </c>
      <c r="C14" s="1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7">
        <v>0</v>
      </c>
      <c r="AF14" s="1" t="s">
        <v>34</v>
      </c>
      <c r="AG14" s="19" cm="1">
        <f t="array" ref="AG14">DIASQUIEBRE(Q14:AB14)</f>
        <v>0</v>
      </c>
      <c r="AH14" s="19" cm="1">
        <f t="array" ref="AH14">DiasMesesGris(Q14:AB14)</f>
        <v>360</v>
      </c>
      <c r="AI14" s="19">
        <f t="shared" si="1"/>
        <v>360</v>
      </c>
      <c r="AJ14" s="19">
        <f t="shared" si="2"/>
        <v>0</v>
      </c>
      <c r="AK14" s="20">
        <f t="shared" si="3"/>
        <v>0</v>
      </c>
      <c r="AL14" s="21">
        <f t="shared" si="0"/>
        <v>0</v>
      </c>
    </row>
    <row r="15" spans="1:38" x14ac:dyDescent="0.25">
      <c r="A15" s="3" t="s">
        <v>59</v>
      </c>
      <c r="B15" s="1" t="s">
        <v>60</v>
      </c>
      <c r="C15" s="1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7">
        <v>0</v>
      </c>
      <c r="AF15" s="1" t="s">
        <v>34</v>
      </c>
      <c r="AG15" s="19" cm="1">
        <f t="array" ref="AG15">DIASQUIEBRE(Q15:AB15)</f>
        <v>0</v>
      </c>
      <c r="AH15" s="19" cm="1">
        <f t="array" ref="AH15">DiasMesesGris(Q15:AB15)</f>
        <v>360</v>
      </c>
      <c r="AI15" s="19">
        <f t="shared" si="1"/>
        <v>360</v>
      </c>
      <c r="AJ15" s="19">
        <f t="shared" si="2"/>
        <v>0</v>
      </c>
      <c r="AK15" s="20">
        <f t="shared" si="3"/>
        <v>0</v>
      </c>
      <c r="AL15" s="21">
        <f t="shared" si="0"/>
        <v>0</v>
      </c>
    </row>
    <row r="16" spans="1:38" x14ac:dyDescent="0.25">
      <c r="A16" s="3" t="s">
        <v>61</v>
      </c>
      <c r="B16" s="1" t="s">
        <v>62</v>
      </c>
      <c r="C16" s="1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7">
        <v>0</v>
      </c>
      <c r="AF16" s="1" t="s">
        <v>34</v>
      </c>
      <c r="AG16" s="19" cm="1">
        <f t="array" ref="AG16">DIASQUIEBRE(Q16:AB16)</f>
        <v>0</v>
      </c>
      <c r="AH16" s="19" cm="1">
        <f t="array" ref="AH16">DiasMesesGris(Q16:AB16)</f>
        <v>360</v>
      </c>
      <c r="AI16" s="19">
        <f t="shared" si="1"/>
        <v>360</v>
      </c>
      <c r="AJ16" s="19">
        <f t="shared" si="2"/>
        <v>0</v>
      </c>
      <c r="AK16" s="20">
        <f t="shared" si="3"/>
        <v>0</v>
      </c>
      <c r="AL16" s="21">
        <f t="shared" si="0"/>
        <v>0</v>
      </c>
    </row>
    <row r="17" spans="1:38" x14ac:dyDescent="0.25">
      <c r="A17" s="3" t="s">
        <v>63</v>
      </c>
      <c r="B17" s="1" t="s">
        <v>42</v>
      </c>
      <c r="C17" s="1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8">
        <v>0</v>
      </c>
      <c r="AF17" s="1" t="s">
        <v>34</v>
      </c>
      <c r="AG17" s="19" cm="1">
        <f t="array" ref="AG17">DIASQUIEBRE(Q17:AB17)</f>
        <v>0</v>
      </c>
      <c r="AH17" s="19" cm="1">
        <f t="array" ref="AH17">DiasMesesGris(Q17:AB17)</f>
        <v>0</v>
      </c>
      <c r="AI17" s="19">
        <f t="shared" si="1"/>
        <v>0</v>
      </c>
      <c r="AJ17" s="19">
        <f t="shared" si="2"/>
        <v>360</v>
      </c>
      <c r="AK17" s="20">
        <f t="shared" si="3"/>
        <v>0</v>
      </c>
      <c r="AL17" s="21">
        <f t="shared" si="0"/>
        <v>0</v>
      </c>
    </row>
    <row r="18" spans="1:38" x14ac:dyDescent="0.25">
      <c r="A18" s="1" t="s">
        <v>64</v>
      </c>
      <c r="B18" s="1" t="s">
        <v>65</v>
      </c>
      <c r="C18" s="1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8">
        <v>0</v>
      </c>
      <c r="AF18" s="1" t="s">
        <v>34</v>
      </c>
      <c r="AG18" s="19" cm="1">
        <f t="array" ref="AG18">DIASQUIEBRE(Q18:AB18)</f>
        <v>0</v>
      </c>
      <c r="AH18" s="19" cm="1">
        <f t="array" ref="AH18">DiasMesesGris(Q18:AB18)</f>
        <v>0</v>
      </c>
      <c r="AI18" s="19">
        <f t="shared" si="1"/>
        <v>0</v>
      </c>
      <c r="AJ18" s="19">
        <f t="shared" si="2"/>
        <v>360</v>
      </c>
      <c r="AK18" s="20">
        <f t="shared" si="3"/>
        <v>0</v>
      </c>
      <c r="AL18" s="21">
        <f t="shared" si="0"/>
        <v>0</v>
      </c>
    </row>
    <row r="19" spans="1:38" x14ac:dyDescent="0.25">
      <c r="A19" s="1" t="s">
        <v>66</v>
      </c>
      <c r="B19" s="1" t="s">
        <v>67</v>
      </c>
      <c r="C19" s="1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7">
        <v>0</v>
      </c>
      <c r="AF19" s="1" t="s">
        <v>34</v>
      </c>
      <c r="AG19" s="19" cm="1">
        <f t="array" ref="AG19">DIASQUIEBRE(Q19:AB19)</f>
        <v>0</v>
      </c>
      <c r="AH19" s="19" cm="1">
        <f t="array" ref="AH19">DiasMesesGris(Q19:AB19)</f>
        <v>360</v>
      </c>
      <c r="AI19" s="19">
        <f t="shared" si="1"/>
        <v>360</v>
      </c>
      <c r="AJ19" s="19">
        <f t="shared" si="2"/>
        <v>0</v>
      </c>
      <c r="AK19" s="20">
        <f t="shared" si="3"/>
        <v>0</v>
      </c>
      <c r="AL19" s="21">
        <f t="shared" si="0"/>
        <v>0</v>
      </c>
    </row>
    <row r="20" spans="1:38" x14ac:dyDescent="0.25">
      <c r="A20" s="1" t="s">
        <v>68</v>
      </c>
      <c r="B20" s="1" t="s">
        <v>69</v>
      </c>
      <c r="C20" s="1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8">
        <v>0</v>
      </c>
      <c r="AF20" s="1" t="s">
        <v>34</v>
      </c>
      <c r="AG20" s="19" cm="1">
        <f t="array" ref="AG20">DIASQUIEBRE(Q20:AB20)</f>
        <v>0</v>
      </c>
      <c r="AH20" s="19" cm="1">
        <f t="array" ref="AH20">DiasMesesGris(Q20:AB20)</f>
        <v>0</v>
      </c>
      <c r="AI20" s="19">
        <f t="shared" si="1"/>
        <v>0</v>
      </c>
      <c r="AJ20" s="19">
        <f t="shared" si="2"/>
        <v>360</v>
      </c>
      <c r="AK20" s="20">
        <f t="shared" si="3"/>
        <v>0</v>
      </c>
      <c r="AL20" s="21">
        <f t="shared" si="0"/>
        <v>0</v>
      </c>
    </row>
    <row r="21" spans="1:38" x14ac:dyDescent="0.25">
      <c r="A21" s="1" t="s">
        <v>70</v>
      </c>
      <c r="B21" s="1" t="s">
        <v>71</v>
      </c>
      <c r="C21" s="1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8">
        <v>0</v>
      </c>
      <c r="AF21" s="1" t="s">
        <v>34</v>
      </c>
      <c r="AG21" s="19" cm="1">
        <f t="array" ref="AG21">DIASQUIEBRE(Q21:AB21)</f>
        <v>0</v>
      </c>
      <c r="AH21" s="19" cm="1">
        <f t="array" ref="AH21">DiasMesesGris(Q21:AB21)</f>
        <v>0</v>
      </c>
      <c r="AI21" s="19">
        <f t="shared" si="1"/>
        <v>0</v>
      </c>
      <c r="AJ21" s="19">
        <f t="shared" si="2"/>
        <v>360</v>
      </c>
      <c r="AK21" s="20">
        <f t="shared" si="3"/>
        <v>0</v>
      </c>
      <c r="AL21" s="21">
        <f t="shared" si="0"/>
        <v>0</v>
      </c>
    </row>
    <row r="22" spans="1:38" x14ac:dyDescent="0.25">
      <c r="A22" s="1" t="s">
        <v>72</v>
      </c>
      <c r="B22" s="1" t="s">
        <v>73</v>
      </c>
      <c r="C22" s="1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8">
        <v>0</v>
      </c>
      <c r="AF22" s="1" t="s">
        <v>34</v>
      </c>
      <c r="AG22" s="19" cm="1">
        <f t="array" ref="AG22">DIASQUIEBRE(Q22:AB22)</f>
        <v>0</v>
      </c>
      <c r="AH22" s="19" cm="1">
        <f t="array" ref="AH22">DiasMesesGris(Q22:AB22)</f>
        <v>0</v>
      </c>
      <c r="AI22" s="19">
        <f t="shared" si="1"/>
        <v>0</v>
      </c>
      <c r="AJ22" s="19">
        <f t="shared" si="2"/>
        <v>360</v>
      </c>
      <c r="AK22" s="20">
        <f t="shared" si="3"/>
        <v>0</v>
      </c>
      <c r="AL22" s="21">
        <f t="shared" si="0"/>
        <v>0</v>
      </c>
    </row>
    <row r="23" spans="1:38" x14ac:dyDescent="0.25">
      <c r="A23" s="1" t="s">
        <v>74</v>
      </c>
      <c r="B23" s="1" t="s">
        <v>75</v>
      </c>
      <c r="C23" s="1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8">
        <v>0</v>
      </c>
      <c r="AF23" s="1" t="s">
        <v>34</v>
      </c>
      <c r="AG23" s="19" cm="1">
        <f t="array" ref="AG23">DIASQUIEBRE(Q23:AB23)</f>
        <v>0</v>
      </c>
      <c r="AH23" s="19" cm="1">
        <f t="array" ref="AH23">DiasMesesGris(Q23:AB23)</f>
        <v>0</v>
      </c>
      <c r="AI23" s="19">
        <f t="shared" si="1"/>
        <v>0</v>
      </c>
      <c r="AJ23" s="19">
        <f t="shared" si="2"/>
        <v>360</v>
      </c>
      <c r="AK23" s="20">
        <f t="shared" si="3"/>
        <v>0</v>
      </c>
      <c r="AL23" s="21">
        <f t="shared" si="0"/>
        <v>0</v>
      </c>
    </row>
    <row r="24" spans="1:38" x14ac:dyDescent="0.25">
      <c r="A24" s="1" t="s">
        <v>76</v>
      </c>
      <c r="B24" s="1" t="s">
        <v>77</v>
      </c>
      <c r="C24" s="1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8">
        <v>0</v>
      </c>
      <c r="AF24" s="1" t="s">
        <v>34</v>
      </c>
      <c r="AG24" s="19" cm="1">
        <f t="array" ref="AG24">DIASQUIEBRE(Q24:AB24)</f>
        <v>0</v>
      </c>
      <c r="AH24" s="19" cm="1">
        <f t="array" ref="AH24">DiasMesesGris(Q24:AB24)</f>
        <v>0</v>
      </c>
      <c r="AI24" s="19">
        <f t="shared" si="1"/>
        <v>0</v>
      </c>
      <c r="AJ24" s="19">
        <f t="shared" si="2"/>
        <v>360</v>
      </c>
      <c r="AK24" s="20">
        <f t="shared" si="3"/>
        <v>0</v>
      </c>
      <c r="AL24" s="21">
        <f t="shared" si="0"/>
        <v>0</v>
      </c>
    </row>
    <row r="25" spans="1:38" x14ac:dyDescent="0.25">
      <c r="A25" s="1" t="s">
        <v>78</v>
      </c>
      <c r="B25" s="1" t="s">
        <v>79</v>
      </c>
      <c r="C25" s="1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8">
        <v>0</v>
      </c>
      <c r="AF25" s="1" t="s">
        <v>34</v>
      </c>
      <c r="AG25" s="19" cm="1">
        <f t="array" ref="AG25">DIASQUIEBRE(Q25:AB25)</f>
        <v>0</v>
      </c>
      <c r="AH25" s="19" cm="1">
        <f t="array" ref="AH25">DiasMesesGris(Q25:AB25)</f>
        <v>0</v>
      </c>
      <c r="AI25" s="19">
        <f t="shared" si="1"/>
        <v>0</v>
      </c>
      <c r="AJ25" s="19">
        <f t="shared" si="2"/>
        <v>360</v>
      </c>
      <c r="AK25" s="20">
        <f t="shared" si="3"/>
        <v>0</v>
      </c>
      <c r="AL25" s="21">
        <f t="shared" si="0"/>
        <v>0</v>
      </c>
    </row>
    <row r="26" spans="1:38" x14ac:dyDescent="0.25">
      <c r="A26" s="1" t="s">
        <v>80</v>
      </c>
      <c r="B26" s="1" t="s">
        <v>81</v>
      </c>
      <c r="C26" s="1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7">
        <v>0</v>
      </c>
      <c r="AF26" s="1" t="s">
        <v>34</v>
      </c>
      <c r="AG26" s="19" cm="1">
        <f t="array" ref="AG26">DIASQUIEBRE(Q26:AB26)</f>
        <v>0</v>
      </c>
      <c r="AH26" s="19" cm="1">
        <f t="array" ref="AH26">DiasMesesGris(Q26:AB26)</f>
        <v>360</v>
      </c>
      <c r="AI26" s="19">
        <f t="shared" si="1"/>
        <v>360</v>
      </c>
      <c r="AJ26" s="19">
        <f t="shared" si="2"/>
        <v>0</v>
      </c>
      <c r="AK26" s="20">
        <f t="shared" si="3"/>
        <v>0</v>
      </c>
      <c r="AL26" s="21">
        <f t="shared" si="0"/>
        <v>0</v>
      </c>
    </row>
    <row r="27" spans="1:38" x14ac:dyDescent="0.25">
      <c r="A27" s="1" t="s">
        <v>82</v>
      </c>
      <c r="B27" s="1" t="s">
        <v>83</v>
      </c>
      <c r="C27" s="1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6">
        <v>0</v>
      </c>
      <c r="R27" s="6">
        <v>0</v>
      </c>
      <c r="S27" s="6">
        <v>0</v>
      </c>
      <c r="T27" s="6">
        <v>0</v>
      </c>
      <c r="U27" s="6">
        <v>0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7">
        <v>0</v>
      </c>
      <c r="AF27" s="1" t="s">
        <v>34</v>
      </c>
      <c r="AG27" s="19" cm="1">
        <f t="array" ref="AG27">DIASQUIEBRE(Q27:AB27)</f>
        <v>0</v>
      </c>
      <c r="AH27" s="19" cm="1">
        <f t="array" ref="AH27">DiasMesesGris(Q27:AB27)</f>
        <v>360</v>
      </c>
      <c r="AI27" s="19">
        <f t="shared" si="1"/>
        <v>360</v>
      </c>
      <c r="AJ27" s="19">
        <f t="shared" si="2"/>
        <v>0</v>
      </c>
      <c r="AK27" s="20">
        <f t="shared" si="3"/>
        <v>0</v>
      </c>
      <c r="AL27" s="21">
        <f t="shared" si="0"/>
        <v>0</v>
      </c>
    </row>
    <row r="28" spans="1:38" x14ac:dyDescent="0.25">
      <c r="A28" s="1" t="s">
        <v>84</v>
      </c>
      <c r="B28" s="1" t="s">
        <v>85</v>
      </c>
      <c r="C28" s="1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7">
        <v>0</v>
      </c>
      <c r="AF28" s="1" t="s">
        <v>34</v>
      </c>
      <c r="AG28" s="19" cm="1">
        <f t="array" ref="AG28">DIASQUIEBRE(Q28:AB28)</f>
        <v>0</v>
      </c>
      <c r="AH28" s="19" cm="1">
        <f t="array" ref="AH28">DiasMesesGris(Q28:AB28)</f>
        <v>360</v>
      </c>
      <c r="AI28" s="19">
        <f t="shared" si="1"/>
        <v>360</v>
      </c>
      <c r="AJ28" s="19">
        <f t="shared" si="2"/>
        <v>0</v>
      </c>
      <c r="AK28" s="20">
        <f t="shared" si="3"/>
        <v>0</v>
      </c>
      <c r="AL28" s="21">
        <f t="shared" si="0"/>
        <v>0</v>
      </c>
    </row>
    <row r="29" spans="1:38" x14ac:dyDescent="0.25">
      <c r="A29" s="1" t="s">
        <v>86</v>
      </c>
      <c r="B29" s="1" t="s">
        <v>87</v>
      </c>
      <c r="C29" s="1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8">
        <v>0</v>
      </c>
      <c r="AF29" s="1" t="s">
        <v>34</v>
      </c>
      <c r="AG29" s="19" cm="1">
        <f t="array" ref="AG29">DIASQUIEBRE(Q29:AB29)</f>
        <v>0</v>
      </c>
      <c r="AH29" s="19" cm="1">
        <f t="array" ref="AH29">DiasMesesGris(Q29:AB29)</f>
        <v>0</v>
      </c>
      <c r="AI29" s="19">
        <f t="shared" si="1"/>
        <v>0</v>
      </c>
      <c r="AJ29" s="19">
        <f t="shared" si="2"/>
        <v>360</v>
      </c>
      <c r="AK29" s="20">
        <f t="shared" si="3"/>
        <v>0</v>
      </c>
      <c r="AL29" s="21">
        <f t="shared" si="0"/>
        <v>0</v>
      </c>
    </row>
    <row r="30" spans="1:38" x14ac:dyDescent="0.25">
      <c r="A30" s="3" t="s">
        <v>88</v>
      </c>
      <c r="B30" s="1" t="s">
        <v>89</v>
      </c>
      <c r="C30" s="1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v>0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7">
        <v>0</v>
      </c>
      <c r="AF30" s="1" t="s">
        <v>34</v>
      </c>
      <c r="AG30" s="19" cm="1">
        <f t="array" ref="AG30">DIASQUIEBRE(Q30:AB30)</f>
        <v>0</v>
      </c>
      <c r="AH30" s="19" cm="1">
        <f t="array" ref="AH30">DiasMesesGris(Q30:AB30)</f>
        <v>360</v>
      </c>
      <c r="AI30" s="19">
        <f t="shared" si="1"/>
        <v>360</v>
      </c>
      <c r="AJ30" s="19">
        <f t="shared" si="2"/>
        <v>0</v>
      </c>
      <c r="AK30" s="20">
        <f t="shared" si="3"/>
        <v>0</v>
      </c>
      <c r="AL30" s="21">
        <f t="shared" si="0"/>
        <v>0</v>
      </c>
    </row>
    <row r="31" spans="1:38" x14ac:dyDescent="0.25">
      <c r="A31" s="1" t="s">
        <v>90</v>
      </c>
      <c r="B31" s="1" t="s">
        <v>91</v>
      </c>
      <c r="C31" s="1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8">
        <v>0</v>
      </c>
      <c r="AF31" s="1" t="s">
        <v>34</v>
      </c>
      <c r="AG31" s="19" cm="1">
        <f t="array" ref="AG31">DIASQUIEBRE(Q31:AB31)</f>
        <v>0</v>
      </c>
      <c r="AH31" s="19" cm="1">
        <f t="array" ref="AH31">DiasMesesGris(Q31:AB31)</f>
        <v>0</v>
      </c>
      <c r="AI31" s="19">
        <f t="shared" si="1"/>
        <v>0</v>
      </c>
      <c r="AJ31" s="19">
        <f t="shared" si="2"/>
        <v>360</v>
      </c>
      <c r="AK31" s="20">
        <f t="shared" si="3"/>
        <v>0</v>
      </c>
      <c r="AL31" s="21">
        <f t="shared" si="0"/>
        <v>0</v>
      </c>
    </row>
    <row r="32" spans="1:38" x14ac:dyDescent="0.25">
      <c r="A32" s="3" t="s">
        <v>92</v>
      </c>
      <c r="B32" s="1" t="s">
        <v>93</v>
      </c>
      <c r="C32" s="1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7">
        <v>0</v>
      </c>
      <c r="AF32" s="1" t="s">
        <v>34</v>
      </c>
      <c r="AG32" s="19" cm="1">
        <f t="array" ref="AG32">DIASQUIEBRE(Q32:AB32)</f>
        <v>0</v>
      </c>
      <c r="AH32" s="19" cm="1">
        <f t="array" ref="AH32">DiasMesesGris(Q32:AB32)</f>
        <v>360</v>
      </c>
      <c r="AI32" s="19">
        <f t="shared" si="1"/>
        <v>360</v>
      </c>
      <c r="AJ32" s="19">
        <f t="shared" si="2"/>
        <v>0</v>
      </c>
      <c r="AK32" s="20">
        <f t="shared" si="3"/>
        <v>0</v>
      </c>
      <c r="AL32" s="21">
        <f t="shared" si="0"/>
        <v>0</v>
      </c>
    </row>
    <row r="33" spans="1:38" x14ac:dyDescent="0.25">
      <c r="A33" s="3" t="s">
        <v>94</v>
      </c>
      <c r="B33" s="1" t="s">
        <v>95</v>
      </c>
      <c r="C33" s="1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9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8">
        <v>0</v>
      </c>
      <c r="AF33" s="1" t="s">
        <v>34</v>
      </c>
      <c r="AG33" s="19" cm="1">
        <f t="array" ref="AG33">DIASQUIEBRE(Q33:AB33)</f>
        <v>2</v>
      </c>
      <c r="AH33" s="19" cm="1">
        <f t="array" ref="AH33">DiasMesesGris(Q33:AB33)</f>
        <v>0</v>
      </c>
      <c r="AI33" s="19">
        <f t="shared" si="1"/>
        <v>2</v>
      </c>
      <c r="AJ33" s="19">
        <f t="shared" si="2"/>
        <v>358</v>
      </c>
      <c r="AK33" s="20">
        <f t="shared" si="3"/>
        <v>0</v>
      </c>
      <c r="AL33" s="21">
        <f t="shared" si="0"/>
        <v>0</v>
      </c>
    </row>
    <row r="34" spans="1:38" x14ac:dyDescent="0.25">
      <c r="A34" s="3" t="s">
        <v>96</v>
      </c>
      <c r="B34" s="1" t="s">
        <v>97</v>
      </c>
      <c r="C34" s="1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7">
        <v>0</v>
      </c>
      <c r="AF34" s="1" t="s">
        <v>34</v>
      </c>
      <c r="AG34" s="19" cm="1">
        <f t="array" ref="AG34">DIASQUIEBRE(Q34:AB34)</f>
        <v>0</v>
      </c>
      <c r="AH34" s="19" cm="1">
        <f t="array" ref="AH34">DiasMesesGris(Q34:AB34)</f>
        <v>360</v>
      </c>
      <c r="AI34" s="19">
        <f t="shared" si="1"/>
        <v>360</v>
      </c>
      <c r="AJ34" s="19">
        <f t="shared" si="2"/>
        <v>0</v>
      </c>
      <c r="AK34" s="20">
        <f t="shared" si="3"/>
        <v>0</v>
      </c>
      <c r="AL34" s="21">
        <f t="shared" si="0"/>
        <v>0</v>
      </c>
    </row>
    <row r="35" spans="1:38" x14ac:dyDescent="0.25">
      <c r="A35" s="1" t="s">
        <v>98</v>
      </c>
      <c r="B35" s="1" t="s">
        <v>99</v>
      </c>
      <c r="C35" s="1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6">
        <v>0</v>
      </c>
      <c r="R35" s="6">
        <v>0</v>
      </c>
      <c r="S35" s="6">
        <v>0</v>
      </c>
      <c r="T35" s="6">
        <v>0</v>
      </c>
      <c r="U35" s="6">
        <v>0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7">
        <v>0</v>
      </c>
      <c r="AF35" s="1" t="s">
        <v>34</v>
      </c>
      <c r="AG35" s="19" cm="1">
        <f t="array" ref="AG35">DIASQUIEBRE(Q35:AB35)</f>
        <v>0</v>
      </c>
      <c r="AH35" s="19" cm="1">
        <f t="array" ref="AH35">DiasMesesGris(Q35:AB35)</f>
        <v>360</v>
      </c>
      <c r="AI35" s="19">
        <f t="shared" si="1"/>
        <v>360</v>
      </c>
      <c r="AJ35" s="19">
        <f t="shared" si="2"/>
        <v>0</v>
      </c>
      <c r="AK35" s="20">
        <f t="shared" si="3"/>
        <v>0</v>
      </c>
      <c r="AL35" s="21">
        <f t="shared" si="0"/>
        <v>0</v>
      </c>
    </row>
    <row r="36" spans="1:38" x14ac:dyDescent="0.25">
      <c r="A36" s="3" t="s">
        <v>100</v>
      </c>
      <c r="B36" s="1" t="s">
        <v>42</v>
      </c>
      <c r="C36" s="1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7">
        <v>0</v>
      </c>
      <c r="AF36" s="1" t="s">
        <v>34</v>
      </c>
      <c r="AG36" s="19" cm="1">
        <f t="array" ref="AG36">DIASQUIEBRE(Q36:AB36)</f>
        <v>0</v>
      </c>
      <c r="AH36" s="19" cm="1">
        <f t="array" ref="AH36">DiasMesesGris(Q36:AB36)</f>
        <v>360</v>
      </c>
      <c r="AI36" s="19">
        <f t="shared" si="1"/>
        <v>360</v>
      </c>
      <c r="AJ36" s="19">
        <f t="shared" si="2"/>
        <v>0</v>
      </c>
      <c r="AK36" s="20">
        <f t="shared" si="3"/>
        <v>0</v>
      </c>
      <c r="AL36" s="21">
        <f t="shared" si="0"/>
        <v>0</v>
      </c>
    </row>
    <row r="37" spans="1:38" x14ac:dyDescent="0.25">
      <c r="A37" s="3" t="s">
        <v>101</v>
      </c>
      <c r="B37" s="1" t="s">
        <v>102</v>
      </c>
      <c r="C37" s="1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7">
        <v>0</v>
      </c>
      <c r="AF37" s="1" t="s">
        <v>34</v>
      </c>
      <c r="AG37" s="19" cm="1">
        <f t="array" ref="AG37">DIASQUIEBRE(Q37:AB37)</f>
        <v>0</v>
      </c>
      <c r="AH37" s="19" cm="1">
        <f t="array" ref="AH37">DiasMesesGris(Q37:AB37)</f>
        <v>360</v>
      </c>
      <c r="AI37" s="19">
        <f t="shared" si="1"/>
        <v>360</v>
      </c>
      <c r="AJ37" s="19">
        <f t="shared" si="2"/>
        <v>0</v>
      </c>
      <c r="AK37" s="20">
        <f t="shared" si="3"/>
        <v>0</v>
      </c>
      <c r="AL37" s="21">
        <f t="shared" si="0"/>
        <v>0</v>
      </c>
    </row>
    <row r="38" spans="1:38" x14ac:dyDescent="0.25">
      <c r="A38" s="3" t="s">
        <v>103</v>
      </c>
      <c r="B38" s="1" t="s">
        <v>104</v>
      </c>
      <c r="C38" s="1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7">
        <v>0</v>
      </c>
      <c r="AF38" s="1" t="s">
        <v>34</v>
      </c>
      <c r="AG38" s="19" cm="1">
        <f t="array" ref="AG38">DIASQUIEBRE(Q38:AB38)</f>
        <v>0</v>
      </c>
      <c r="AH38" s="19" cm="1">
        <f t="array" ref="AH38">DiasMesesGris(Q38:AB38)</f>
        <v>360</v>
      </c>
      <c r="AI38" s="19">
        <f t="shared" si="1"/>
        <v>360</v>
      </c>
      <c r="AJ38" s="19">
        <f t="shared" si="2"/>
        <v>0</v>
      </c>
      <c r="AK38" s="20">
        <f t="shared" si="3"/>
        <v>0</v>
      </c>
      <c r="AL38" s="21">
        <f t="shared" si="0"/>
        <v>0</v>
      </c>
    </row>
    <row r="39" spans="1:38" x14ac:dyDescent="0.25">
      <c r="A39" s="1" t="s">
        <v>105</v>
      </c>
      <c r="B39" s="1" t="s">
        <v>106</v>
      </c>
      <c r="C39" s="1"/>
      <c r="D39" s="4"/>
      <c r="E39" s="11">
        <v>6</v>
      </c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5">
        <v>0</v>
      </c>
      <c r="R39" s="9">
        <v>0.46150000000000002</v>
      </c>
      <c r="S39" s="6">
        <v>0</v>
      </c>
      <c r="T39" s="6">
        <v>0</v>
      </c>
      <c r="U39" s="6">
        <v>0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7">
        <v>0</v>
      </c>
      <c r="AF39" s="1" t="s">
        <v>107</v>
      </c>
      <c r="AG39" s="19" cm="1">
        <f t="array" ref="AG39">DIASQUIEBRE(Q39:AB39)</f>
        <v>18</v>
      </c>
      <c r="AH39" s="19" cm="1">
        <f t="array" ref="AH39">DiasMesesGris(Q39:AB39)</f>
        <v>300</v>
      </c>
      <c r="AI39" s="19">
        <f t="shared" si="1"/>
        <v>318</v>
      </c>
      <c r="AJ39" s="19">
        <f t="shared" si="2"/>
        <v>42</v>
      </c>
      <c r="AK39" s="20">
        <f t="shared" si="3"/>
        <v>6</v>
      </c>
      <c r="AL39" s="21">
        <f t="shared" si="0"/>
        <v>0.14285714285714285</v>
      </c>
    </row>
    <row r="40" spans="1:38" x14ac:dyDescent="0.25">
      <c r="A40" s="1" t="s">
        <v>108</v>
      </c>
      <c r="B40" s="1" t="s">
        <v>109</v>
      </c>
      <c r="C40" s="1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7">
        <v>0</v>
      </c>
      <c r="AF40" s="1" t="s">
        <v>34</v>
      </c>
      <c r="AG40" s="19" cm="1">
        <f t="array" ref="AG40">DIASQUIEBRE(Q40:AB40)</f>
        <v>0</v>
      </c>
      <c r="AH40" s="19" cm="1">
        <f t="array" ref="AH40">DiasMesesGris(Q40:AB40)</f>
        <v>360</v>
      </c>
      <c r="AI40" s="19">
        <f t="shared" si="1"/>
        <v>360</v>
      </c>
      <c r="AJ40" s="19">
        <f t="shared" si="2"/>
        <v>0</v>
      </c>
      <c r="AK40" s="20">
        <f t="shared" si="3"/>
        <v>0</v>
      </c>
      <c r="AL40" s="21">
        <f t="shared" si="0"/>
        <v>0</v>
      </c>
    </row>
    <row r="41" spans="1:38" x14ac:dyDescent="0.25">
      <c r="A41" s="1" t="s">
        <v>110</v>
      </c>
      <c r="B41" s="1" t="s">
        <v>111</v>
      </c>
      <c r="C41" s="1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6">
        <v>0</v>
      </c>
      <c r="R41" s="6">
        <v>0</v>
      </c>
      <c r="S41" s="6">
        <v>0</v>
      </c>
      <c r="T41" s="6">
        <v>0</v>
      </c>
      <c r="U41" s="6">
        <v>0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7">
        <v>0</v>
      </c>
      <c r="AF41" s="1" t="s">
        <v>34</v>
      </c>
      <c r="AG41" s="19" cm="1">
        <f t="array" ref="AG41">DIASQUIEBRE(Q41:AB41)</f>
        <v>0</v>
      </c>
      <c r="AH41" s="19" cm="1">
        <f t="array" ref="AH41">DiasMesesGris(Q41:AB41)</f>
        <v>360</v>
      </c>
      <c r="AI41" s="19">
        <f t="shared" si="1"/>
        <v>360</v>
      </c>
      <c r="AJ41" s="19">
        <f t="shared" si="2"/>
        <v>0</v>
      </c>
      <c r="AK41" s="20">
        <f t="shared" si="3"/>
        <v>0</v>
      </c>
      <c r="AL41" s="21">
        <f t="shared" si="0"/>
        <v>0</v>
      </c>
    </row>
    <row r="42" spans="1:38" x14ac:dyDescent="0.25">
      <c r="A42" s="1" t="s">
        <v>112</v>
      </c>
      <c r="B42" s="1" t="s">
        <v>113</v>
      </c>
      <c r="C42" s="1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  <c r="AC42" s="7">
        <v>0</v>
      </c>
      <c r="AF42" s="1" t="s">
        <v>34</v>
      </c>
      <c r="AG42" s="19" cm="1">
        <f t="array" ref="AG42">DIASQUIEBRE(Q42:AB42)</f>
        <v>0</v>
      </c>
      <c r="AH42" s="19" cm="1">
        <f t="array" ref="AH42">DiasMesesGris(Q42:AB42)</f>
        <v>360</v>
      </c>
      <c r="AI42" s="19">
        <f t="shared" si="1"/>
        <v>360</v>
      </c>
      <c r="AJ42" s="19">
        <f t="shared" si="2"/>
        <v>0</v>
      </c>
      <c r="AK42" s="20">
        <f t="shared" si="3"/>
        <v>0</v>
      </c>
      <c r="AL42" s="21">
        <f t="shared" si="0"/>
        <v>0</v>
      </c>
    </row>
    <row r="43" spans="1:38" x14ac:dyDescent="0.25">
      <c r="A43" s="1" t="s">
        <v>114</v>
      </c>
      <c r="B43" s="1" t="s">
        <v>115</v>
      </c>
      <c r="C43" s="1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  <c r="W43" s="6">
        <v>0</v>
      </c>
      <c r="X43" s="6">
        <v>0</v>
      </c>
      <c r="Y43" s="6">
        <v>0</v>
      </c>
      <c r="Z43" s="6">
        <v>0</v>
      </c>
      <c r="AA43" s="6">
        <v>0</v>
      </c>
      <c r="AB43" s="6">
        <v>0</v>
      </c>
      <c r="AC43" s="7">
        <v>0</v>
      </c>
      <c r="AF43" s="1" t="s">
        <v>34</v>
      </c>
      <c r="AG43" s="19" cm="1">
        <f t="array" ref="AG43">DIASQUIEBRE(Q43:AB43)</f>
        <v>0</v>
      </c>
      <c r="AH43" s="19" cm="1">
        <f t="array" ref="AH43">DiasMesesGris(Q43:AB43)</f>
        <v>360</v>
      </c>
      <c r="AI43" s="19">
        <f t="shared" si="1"/>
        <v>360</v>
      </c>
      <c r="AJ43" s="19">
        <f t="shared" si="2"/>
        <v>0</v>
      </c>
      <c r="AK43" s="20">
        <f t="shared" si="3"/>
        <v>0</v>
      </c>
      <c r="AL43" s="21">
        <f t="shared" si="0"/>
        <v>0</v>
      </c>
    </row>
    <row r="44" spans="1:38" x14ac:dyDescent="0.25">
      <c r="A44" s="1" t="s">
        <v>116</v>
      </c>
      <c r="B44" s="1" t="s">
        <v>117</v>
      </c>
      <c r="C44" s="1"/>
      <c r="D44" s="11">
        <v>13</v>
      </c>
      <c r="E44" s="11">
        <v>8</v>
      </c>
      <c r="F44" s="11">
        <v>4</v>
      </c>
      <c r="G44" s="11">
        <v>3</v>
      </c>
      <c r="H44" s="11">
        <v>3</v>
      </c>
      <c r="I44" s="11">
        <v>6</v>
      </c>
      <c r="J44" s="11">
        <v>5</v>
      </c>
      <c r="K44" s="11">
        <v>7</v>
      </c>
      <c r="L44" s="11">
        <v>5</v>
      </c>
      <c r="M44" s="11">
        <v>1</v>
      </c>
      <c r="N44" s="11">
        <v>4</v>
      </c>
      <c r="O44" s="11">
        <v>5</v>
      </c>
      <c r="P44" s="11">
        <v>1</v>
      </c>
      <c r="Q44" s="5">
        <v>0.23300000000000001</v>
      </c>
      <c r="R44" s="5">
        <v>0.2581</v>
      </c>
      <c r="S44" s="5">
        <v>0.1905</v>
      </c>
      <c r="T44" s="5">
        <v>9.6799999999999997E-2</v>
      </c>
      <c r="U44" s="5">
        <v>9.0899999999999995E-2</v>
      </c>
      <c r="V44" s="5">
        <v>0.13819999999999999</v>
      </c>
      <c r="W44" s="5">
        <v>0.2016</v>
      </c>
      <c r="X44" s="5">
        <v>0.35709999999999997</v>
      </c>
      <c r="Y44" s="5">
        <v>0.1792</v>
      </c>
      <c r="Z44" s="5">
        <v>4.1700000000000001E-2</v>
      </c>
      <c r="AA44" s="5">
        <v>0.129</v>
      </c>
      <c r="AB44" s="5">
        <v>0.16669999999999999</v>
      </c>
      <c r="AC44" s="8">
        <v>1.7899999999999999E-2</v>
      </c>
      <c r="AD44" s="5">
        <v>0.1736</v>
      </c>
      <c r="AE44" s="5">
        <f>AVERAGE(V44:AB44)</f>
        <v>0.17335714285714285</v>
      </c>
      <c r="AF44" s="1" t="s">
        <v>34</v>
      </c>
      <c r="AG44" s="19" cm="1">
        <f t="array" ref="AG44">DIASQUIEBRE(Q44:AB44)</f>
        <v>0</v>
      </c>
      <c r="AH44" s="19" cm="1">
        <f t="array" ref="AH44">DiasMesesGris(Q44:AB44)</f>
        <v>0</v>
      </c>
      <c r="AI44" s="19">
        <f t="shared" si="1"/>
        <v>0</v>
      </c>
      <c r="AJ44" s="19">
        <f t="shared" si="2"/>
        <v>360</v>
      </c>
      <c r="AK44" s="20">
        <f t="shared" si="3"/>
        <v>64</v>
      </c>
      <c r="AL44" s="21">
        <f t="shared" si="0"/>
        <v>0.17777777777777778</v>
      </c>
    </row>
    <row r="45" spans="1:38" x14ac:dyDescent="0.25">
      <c r="A45" s="1" t="s">
        <v>118</v>
      </c>
      <c r="B45" s="1" t="s">
        <v>119</v>
      </c>
      <c r="C45" s="1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6">
        <v>0</v>
      </c>
      <c r="R45" s="6">
        <v>0</v>
      </c>
      <c r="S45" s="6">
        <v>0</v>
      </c>
      <c r="T45" s="6">
        <v>0</v>
      </c>
      <c r="U45" s="6">
        <v>0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7">
        <v>0</v>
      </c>
      <c r="AE45" s="5">
        <f t="shared" ref="AE45:AE108" si="4">AVERAGE(V45:AB45)</f>
        <v>0</v>
      </c>
      <c r="AF45" s="1" t="s">
        <v>34</v>
      </c>
      <c r="AG45" s="19" cm="1">
        <f t="array" ref="AG45">DIASQUIEBRE(Q45:AB45)</f>
        <v>0</v>
      </c>
      <c r="AH45" s="19" cm="1">
        <f t="array" ref="AH45">DiasMesesGris(Q45:AB45)</f>
        <v>360</v>
      </c>
      <c r="AI45" s="19">
        <f t="shared" si="1"/>
        <v>360</v>
      </c>
      <c r="AJ45" s="19">
        <f t="shared" si="2"/>
        <v>0</v>
      </c>
      <c r="AK45" s="20">
        <f t="shared" si="3"/>
        <v>0</v>
      </c>
      <c r="AL45" s="21">
        <f t="shared" si="0"/>
        <v>0</v>
      </c>
    </row>
    <row r="46" spans="1:38" x14ac:dyDescent="0.25">
      <c r="A46" s="1" t="s">
        <v>120</v>
      </c>
      <c r="B46" s="1" t="s">
        <v>121</v>
      </c>
      <c r="C46" s="1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  <c r="W46" s="6">
        <v>0</v>
      </c>
      <c r="X46" s="6">
        <v>0</v>
      </c>
      <c r="Y46" s="6">
        <v>0</v>
      </c>
      <c r="Z46" s="6">
        <v>0</v>
      </c>
      <c r="AA46" s="6">
        <v>0</v>
      </c>
      <c r="AB46" s="6">
        <v>0</v>
      </c>
      <c r="AC46" s="7">
        <v>0</v>
      </c>
      <c r="AE46" s="5">
        <f t="shared" si="4"/>
        <v>0</v>
      </c>
      <c r="AF46" s="1" t="s">
        <v>107</v>
      </c>
      <c r="AG46" s="19" cm="1">
        <f t="array" ref="AG46">DIASQUIEBRE(Q46:AB46)</f>
        <v>0</v>
      </c>
      <c r="AH46" s="19" cm="1">
        <f t="array" ref="AH46">DiasMesesGris(Q46:AB46)</f>
        <v>360</v>
      </c>
      <c r="AI46" s="19">
        <f t="shared" si="1"/>
        <v>360</v>
      </c>
      <c r="AJ46" s="19">
        <f t="shared" si="2"/>
        <v>0</v>
      </c>
      <c r="AK46" s="20">
        <f t="shared" si="3"/>
        <v>0</v>
      </c>
      <c r="AL46" s="21">
        <f t="shared" si="0"/>
        <v>0</v>
      </c>
    </row>
    <row r="47" spans="1:38" x14ac:dyDescent="0.25">
      <c r="A47" s="1" t="s">
        <v>122</v>
      </c>
      <c r="B47" s="1" t="s">
        <v>123</v>
      </c>
      <c r="C47" s="1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6">
        <v>0</v>
      </c>
      <c r="R47" s="6">
        <v>0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7">
        <v>0</v>
      </c>
      <c r="AE47" s="5">
        <f t="shared" si="4"/>
        <v>0</v>
      </c>
      <c r="AF47" s="1" t="s">
        <v>107</v>
      </c>
      <c r="AG47" s="19" cm="1">
        <f t="array" ref="AG47">DIASQUIEBRE(Q47:AB47)</f>
        <v>0</v>
      </c>
      <c r="AH47" s="19" cm="1">
        <f t="array" ref="AH47">DiasMesesGris(Q47:AB47)</f>
        <v>360</v>
      </c>
      <c r="AI47" s="19">
        <f t="shared" si="1"/>
        <v>360</v>
      </c>
      <c r="AJ47" s="19">
        <f t="shared" si="2"/>
        <v>0</v>
      </c>
      <c r="AK47" s="20">
        <f t="shared" si="3"/>
        <v>0</v>
      </c>
      <c r="AL47" s="21">
        <f t="shared" si="0"/>
        <v>0</v>
      </c>
    </row>
    <row r="48" spans="1:38" x14ac:dyDescent="0.25">
      <c r="A48" s="1" t="s">
        <v>124</v>
      </c>
      <c r="B48" s="1" t="s">
        <v>125</v>
      </c>
      <c r="C48" s="1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v>0</v>
      </c>
      <c r="W48" s="6">
        <v>0</v>
      </c>
      <c r="X48" s="6">
        <v>0</v>
      </c>
      <c r="Y48" s="6">
        <v>0</v>
      </c>
      <c r="Z48" s="6">
        <v>0</v>
      </c>
      <c r="AA48" s="6">
        <v>0</v>
      </c>
      <c r="AB48" s="6">
        <v>0</v>
      </c>
      <c r="AC48" s="7">
        <v>0</v>
      </c>
      <c r="AE48" s="5">
        <f t="shared" si="4"/>
        <v>0</v>
      </c>
      <c r="AF48" s="1" t="s">
        <v>107</v>
      </c>
      <c r="AG48" s="19" cm="1">
        <f t="array" ref="AG48">DIASQUIEBRE(Q48:AB48)</f>
        <v>0</v>
      </c>
      <c r="AH48" s="19" cm="1">
        <f t="array" ref="AH48">DiasMesesGris(Q48:AB48)</f>
        <v>360</v>
      </c>
      <c r="AI48" s="19">
        <f t="shared" si="1"/>
        <v>360</v>
      </c>
      <c r="AJ48" s="19">
        <f t="shared" si="2"/>
        <v>0</v>
      </c>
      <c r="AK48" s="20">
        <f t="shared" si="3"/>
        <v>0</v>
      </c>
      <c r="AL48" s="21">
        <f t="shared" si="0"/>
        <v>0</v>
      </c>
    </row>
    <row r="49" spans="1:38" x14ac:dyDescent="0.25">
      <c r="A49" s="1" t="s">
        <v>126</v>
      </c>
      <c r="B49" s="1" t="s">
        <v>127</v>
      </c>
      <c r="C49" s="1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6">
        <v>0</v>
      </c>
      <c r="R49" s="6">
        <v>0</v>
      </c>
      <c r="S49" s="6">
        <v>0</v>
      </c>
      <c r="T49" s="6">
        <v>0</v>
      </c>
      <c r="U49" s="6">
        <v>0</v>
      </c>
      <c r="V49" s="6">
        <v>0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7">
        <v>0</v>
      </c>
      <c r="AE49" s="5">
        <f t="shared" si="4"/>
        <v>0</v>
      </c>
      <c r="AF49" s="1" t="s">
        <v>34</v>
      </c>
      <c r="AG49" s="19" cm="1">
        <f t="array" ref="AG49">DIASQUIEBRE(Q49:AB49)</f>
        <v>0</v>
      </c>
      <c r="AH49" s="19" cm="1">
        <f t="array" ref="AH49">DiasMesesGris(Q49:AB49)</f>
        <v>360</v>
      </c>
      <c r="AI49" s="19">
        <f t="shared" si="1"/>
        <v>360</v>
      </c>
      <c r="AJ49" s="19">
        <f t="shared" si="2"/>
        <v>0</v>
      </c>
      <c r="AK49" s="20">
        <f t="shared" si="3"/>
        <v>0</v>
      </c>
      <c r="AL49" s="21">
        <f t="shared" si="0"/>
        <v>0</v>
      </c>
    </row>
    <row r="50" spans="1:38" x14ac:dyDescent="0.25">
      <c r="A50" s="1" t="s">
        <v>128</v>
      </c>
      <c r="B50" s="1" t="s">
        <v>129</v>
      </c>
      <c r="C50" s="1"/>
      <c r="D50" s="11">
        <v>65</v>
      </c>
      <c r="E50" s="11">
        <v>8</v>
      </c>
      <c r="F50" s="11">
        <v>38</v>
      </c>
      <c r="G50" s="11">
        <v>31</v>
      </c>
      <c r="H50" s="11">
        <v>11</v>
      </c>
      <c r="I50" s="11">
        <v>17</v>
      </c>
      <c r="J50" s="11">
        <v>16</v>
      </c>
      <c r="K50" s="11">
        <v>31</v>
      </c>
      <c r="L50" s="11">
        <v>17</v>
      </c>
      <c r="M50" s="11">
        <v>45</v>
      </c>
      <c r="N50" s="11">
        <v>30</v>
      </c>
      <c r="O50" s="11">
        <v>24</v>
      </c>
      <c r="P50" s="11">
        <v>36</v>
      </c>
      <c r="Q50" s="5">
        <v>1.1649</v>
      </c>
      <c r="R50" s="5">
        <v>0.2581</v>
      </c>
      <c r="S50" s="5">
        <v>1.8095000000000001</v>
      </c>
      <c r="T50" s="5">
        <v>1</v>
      </c>
      <c r="U50" s="5">
        <v>0.33329999999999999</v>
      </c>
      <c r="V50" s="5">
        <v>0.39169999999999999</v>
      </c>
      <c r="W50" s="5">
        <v>0.6452</v>
      </c>
      <c r="X50" s="5">
        <v>1.5815999999999999</v>
      </c>
      <c r="Y50" s="5">
        <v>0.60929999999999995</v>
      </c>
      <c r="Z50" s="5">
        <v>1.875</v>
      </c>
      <c r="AA50" s="5">
        <v>0.9677</v>
      </c>
      <c r="AB50" s="5">
        <v>0.8</v>
      </c>
      <c r="AC50" s="8">
        <v>0.6452</v>
      </c>
      <c r="AD50" s="5">
        <v>0.95299999999999996</v>
      </c>
      <c r="AE50" s="5">
        <f t="shared" si="4"/>
        <v>0.98149999999999993</v>
      </c>
      <c r="AF50" s="1" t="s">
        <v>34</v>
      </c>
      <c r="AG50" s="19" cm="1">
        <f t="array" ref="AG50">DIASQUIEBRE(Q50:AB50)</f>
        <v>0</v>
      </c>
      <c r="AH50" s="19" cm="1">
        <f t="array" ref="AH50">DiasMesesGris(Q50:AB50)</f>
        <v>0</v>
      </c>
      <c r="AI50" s="19">
        <f t="shared" si="1"/>
        <v>0</v>
      </c>
      <c r="AJ50" s="19">
        <f t="shared" si="2"/>
        <v>360</v>
      </c>
      <c r="AK50" s="20">
        <f t="shared" si="3"/>
        <v>333</v>
      </c>
      <c r="AL50" s="21">
        <f t="shared" si="0"/>
        <v>0.92500000000000004</v>
      </c>
    </row>
    <row r="51" spans="1:38" x14ac:dyDescent="0.25">
      <c r="A51" s="1" t="s">
        <v>130</v>
      </c>
      <c r="B51" s="1" t="s">
        <v>131</v>
      </c>
      <c r="C51" s="1"/>
      <c r="D51" s="11">
        <v>15</v>
      </c>
      <c r="E51" s="11">
        <v>10</v>
      </c>
      <c r="F51" s="11">
        <v>9</v>
      </c>
      <c r="G51" s="11">
        <v>15</v>
      </c>
      <c r="H51" s="11">
        <v>20</v>
      </c>
      <c r="I51" s="11">
        <v>2</v>
      </c>
      <c r="J51" s="11">
        <v>10</v>
      </c>
      <c r="K51" s="11">
        <v>10</v>
      </c>
      <c r="L51" s="11">
        <v>24</v>
      </c>
      <c r="M51" s="11">
        <v>14</v>
      </c>
      <c r="N51" s="11">
        <v>9</v>
      </c>
      <c r="O51" s="11">
        <v>15</v>
      </c>
      <c r="P51" s="4"/>
      <c r="Q51" s="5">
        <v>0.26879999999999998</v>
      </c>
      <c r="R51" s="5">
        <v>0.3226</v>
      </c>
      <c r="S51" s="5">
        <v>0.42859999999999998</v>
      </c>
      <c r="T51" s="5">
        <v>0.4839</v>
      </c>
      <c r="U51" s="5">
        <v>0.60609999999999997</v>
      </c>
      <c r="V51" s="5">
        <v>4.6100000000000002E-2</v>
      </c>
      <c r="W51" s="5">
        <v>0.4032</v>
      </c>
      <c r="X51" s="5">
        <v>0.51019999999999999</v>
      </c>
      <c r="Y51" s="5">
        <v>0.86019999999999996</v>
      </c>
      <c r="Z51" s="5">
        <v>0.58330000000000004</v>
      </c>
      <c r="AA51" s="5">
        <v>0.2903</v>
      </c>
      <c r="AB51" s="5">
        <v>0.5</v>
      </c>
      <c r="AC51" s="8">
        <v>0</v>
      </c>
      <c r="AD51" s="5">
        <v>0.44190000000000002</v>
      </c>
      <c r="AE51" s="5">
        <f t="shared" si="4"/>
        <v>0.45618571428571425</v>
      </c>
      <c r="AF51" s="1" t="s">
        <v>34</v>
      </c>
      <c r="AG51" s="19" cm="1">
        <f t="array" ref="AG51">DIASQUIEBRE(Q51:AB51)</f>
        <v>0</v>
      </c>
      <c r="AH51" s="19" cm="1">
        <f t="array" ref="AH51">DiasMesesGris(Q51:AB51)</f>
        <v>0</v>
      </c>
      <c r="AI51" s="19">
        <f t="shared" si="1"/>
        <v>0</v>
      </c>
      <c r="AJ51" s="19">
        <f t="shared" si="2"/>
        <v>360</v>
      </c>
      <c r="AK51" s="20">
        <f t="shared" si="3"/>
        <v>153</v>
      </c>
      <c r="AL51" s="21">
        <f t="shared" si="0"/>
        <v>0.42499999999999999</v>
      </c>
    </row>
    <row r="52" spans="1:38" x14ac:dyDescent="0.25">
      <c r="A52" s="1" t="s">
        <v>132</v>
      </c>
      <c r="B52" s="1" t="s">
        <v>133</v>
      </c>
      <c r="C52" s="1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7">
        <v>0</v>
      </c>
      <c r="AE52" s="5">
        <f t="shared" si="4"/>
        <v>0</v>
      </c>
      <c r="AF52" s="1" t="s">
        <v>34</v>
      </c>
      <c r="AG52" s="19" cm="1">
        <f t="array" ref="AG52">DIASQUIEBRE(Q52:AB52)</f>
        <v>0</v>
      </c>
      <c r="AH52" s="19" cm="1">
        <f t="array" ref="AH52">DiasMesesGris(Q52:AB52)</f>
        <v>360</v>
      </c>
      <c r="AI52" s="19">
        <f t="shared" si="1"/>
        <v>360</v>
      </c>
      <c r="AJ52" s="19">
        <f t="shared" si="2"/>
        <v>0</v>
      </c>
      <c r="AK52" s="20">
        <f t="shared" si="3"/>
        <v>0</v>
      </c>
      <c r="AL52" s="21">
        <f t="shared" si="0"/>
        <v>0</v>
      </c>
    </row>
    <row r="53" spans="1:38" x14ac:dyDescent="0.25">
      <c r="A53" s="1" t="s">
        <v>134</v>
      </c>
      <c r="B53" s="1" t="s">
        <v>135</v>
      </c>
      <c r="C53" s="1"/>
      <c r="D53" s="11">
        <v>6</v>
      </c>
      <c r="E53" s="4"/>
      <c r="F53" s="11">
        <v>-1</v>
      </c>
      <c r="G53" s="11">
        <v>2</v>
      </c>
      <c r="H53" s="4"/>
      <c r="I53" s="11">
        <v>2</v>
      </c>
      <c r="J53" s="11">
        <v>5</v>
      </c>
      <c r="K53" s="11">
        <v>1</v>
      </c>
      <c r="L53" s="11">
        <v>2</v>
      </c>
      <c r="M53" s="11">
        <v>25</v>
      </c>
      <c r="N53" s="11">
        <v>1</v>
      </c>
      <c r="O53" s="11">
        <v>3</v>
      </c>
      <c r="P53" s="11">
        <v>3</v>
      </c>
      <c r="Q53" s="5">
        <v>0.1075</v>
      </c>
      <c r="R53" s="5">
        <v>0</v>
      </c>
      <c r="S53" s="5">
        <v>-4.7600000000000003E-2</v>
      </c>
      <c r="T53" s="5">
        <v>6.4500000000000002E-2</v>
      </c>
      <c r="U53" s="5">
        <v>0</v>
      </c>
      <c r="V53" s="5">
        <v>4.6100000000000002E-2</v>
      </c>
      <c r="W53" s="5">
        <v>0.2016</v>
      </c>
      <c r="X53" s="5">
        <v>5.0999999999999997E-2</v>
      </c>
      <c r="Y53" s="5">
        <v>7.17E-2</v>
      </c>
      <c r="Z53" s="5">
        <v>1.0417000000000001</v>
      </c>
      <c r="AA53" s="5">
        <v>3.2300000000000002E-2</v>
      </c>
      <c r="AB53" s="5">
        <v>0.1</v>
      </c>
      <c r="AC53" s="8">
        <v>5.3800000000000001E-2</v>
      </c>
      <c r="AD53" s="5">
        <v>0.1391</v>
      </c>
      <c r="AE53" s="5">
        <f t="shared" si="4"/>
        <v>0.22062857142857145</v>
      </c>
      <c r="AF53" s="1" t="s">
        <v>34</v>
      </c>
      <c r="AG53" s="19" cm="1">
        <f t="array" ref="AG53">DIASQUIEBRE(Q53:AB53)</f>
        <v>0</v>
      </c>
      <c r="AH53" s="19" cm="1">
        <f t="array" ref="AH53">DiasMesesGris(Q53:AB53)</f>
        <v>0</v>
      </c>
      <c r="AI53" s="19">
        <f t="shared" si="1"/>
        <v>0</v>
      </c>
      <c r="AJ53" s="19">
        <f t="shared" si="2"/>
        <v>360</v>
      </c>
      <c r="AK53" s="20">
        <f t="shared" si="3"/>
        <v>46</v>
      </c>
      <c r="AL53" s="21">
        <f t="shared" si="0"/>
        <v>0.12777777777777777</v>
      </c>
    </row>
    <row r="54" spans="1:38" x14ac:dyDescent="0.25">
      <c r="A54" s="1" t="s">
        <v>136</v>
      </c>
      <c r="B54" s="1" t="s">
        <v>137</v>
      </c>
      <c r="C54" s="1"/>
      <c r="D54" s="11">
        <v>5</v>
      </c>
      <c r="E54" s="11">
        <v>9</v>
      </c>
      <c r="F54" s="11">
        <v>3</v>
      </c>
      <c r="G54" s="11">
        <v>-3</v>
      </c>
      <c r="H54" s="11">
        <v>4</v>
      </c>
      <c r="I54" s="11">
        <v>10</v>
      </c>
      <c r="J54" s="11">
        <v>10</v>
      </c>
      <c r="K54" s="11">
        <v>1</v>
      </c>
      <c r="L54" s="11">
        <v>1</v>
      </c>
      <c r="M54" s="11">
        <v>3</v>
      </c>
      <c r="N54" s="4"/>
      <c r="O54" s="11">
        <v>2</v>
      </c>
      <c r="P54" s="4"/>
      <c r="Q54" s="5">
        <v>8.9599999999999999E-2</v>
      </c>
      <c r="R54" s="5">
        <v>0.2903</v>
      </c>
      <c r="S54" s="5">
        <v>0.1429</v>
      </c>
      <c r="T54" s="5">
        <v>-9.6799999999999997E-2</v>
      </c>
      <c r="U54" s="5">
        <v>0.1212</v>
      </c>
      <c r="V54" s="5">
        <v>0.23039999999999999</v>
      </c>
      <c r="W54" s="5">
        <v>0.4032</v>
      </c>
      <c r="X54" s="5">
        <v>5.0999999999999997E-2</v>
      </c>
      <c r="Y54" s="5">
        <v>3.5799999999999998E-2</v>
      </c>
      <c r="Z54" s="5">
        <v>0.125</v>
      </c>
      <c r="AA54" s="5">
        <v>0</v>
      </c>
      <c r="AB54" s="5">
        <v>6.6699999999999995E-2</v>
      </c>
      <c r="AC54" s="8">
        <v>0</v>
      </c>
      <c r="AD54" s="5">
        <v>0.1216</v>
      </c>
      <c r="AE54" s="5">
        <f t="shared" si="4"/>
        <v>0.1303</v>
      </c>
      <c r="AF54" s="1" t="s">
        <v>34</v>
      </c>
      <c r="AG54" s="19" cm="1">
        <f t="array" ref="AG54">DIASQUIEBRE(Q54:AB54)</f>
        <v>0</v>
      </c>
      <c r="AH54" s="19" cm="1">
        <f t="array" ref="AH54">DiasMesesGris(Q54:AB54)</f>
        <v>0</v>
      </c>
      <c r="AI54" s="19">
        <f t="shared" si="1"/>
        <v>0</v>
      </c>
      <c r="AJ54" s="19">
        <f t="shared" si="2"/>
        <v>360</v>
      </c>
      <c r="AK54" s="20">
        <f t="shared" si="3"/>
        <v>45</v>
      </c>
      <c r="AL54" s="21">
        <f t="shared" si="0"/>
        <v>0.125</v>
      </c>
    </row>
    <row r="55" spans="1:38" x14ac:dyDescent="0.25">
      <c r="A55" s="1" t="s">
        <v>138</v>
      </c>
      <c r="B55" s="1" t="s">
        <v>139</v>
      </c>
      <c r="C55" s="1"/>
      <c r="D55" s="11">
        <v>5</v>
      </c>
      <c r="E55" s="11">
        <v>10</v>
      </c>
      <c r="F55" s="11">
        <v>24</v>
      </c>
      <c r="G55" s="11">
        <v>5</v>
      </c>
      <c r="H55" s="11">
        <v>1</v>
      </c>
      <c r="I55" s="11">
        <v>5</v>
      </c>
      <c r="J55" s="11">
        <v>2</v>
      </c>
      <c r="K55" s="11">
        <v>8</v>
      </c>
      <c r="L55" s="11">
        <v>4</v>
      </c>
      <c r="M55" s="11">
        <v>25</v>
      </c>
      <c r="N55" s="11">
        <v>7</v>
      </c>
      <c r="O55" s="11">
        <v>9</v>
      </c>
      <c r="P55" s="4"/>
      <c r="Q55" s="5">
        <v>8.9599999999999999E-2</v>
      </c>
      <c r="R55" s="5">
        <v>0.3226</v>
      </c>
      <c r="S55" s="5">
        <v>1.1429</v>
      </c>
      <c r="T55" s="5">
        <v>0.1613</v>
      </c>
      <c r="U55" s="5">
        <v>3.0300000000000001E-2</v>
      </c>
      <c r="V55" s="5">
        <v>0.1152</v>
      </c>
      <c r="W55" s="5">
        <v>8.0600000000000005E-2</v>
      </c>
      <c r="X55" s="5">
        <v>0.40820000000000001</v>
      </c>
      <c r="Y55" s="5">
        <v>0.1434</v>
      </c>
      <c r="Z55" s="5">
        <v>1.0417000000000001</v>
      </c>
      <c r="AA55" s="5">
        <v>0.2258</v>
      </c>
      <c r="AB55" s="5">
        <v>0.3</v>
      </c>
      <c r="AC55" s="8">
        <v>0</v>
      </c>
      <c r="AD55" s="5">
        <v>0.33850000000000002</v>
      </c>
      <c r="AE55" s="5">
        <f t="shared" si="4"/>
        <v>0.33069999999999994</v>
      </c>
      <c r="AF55" s="1" t="s">
        <v>34</v>
      </c>
      <c r="AG55" s="19" cm="1">
        <f t="array" ref="AG55">DIASQUIEBRE(Q55:AB55)</f>
        <v>0</v>
      </c>
      <c r="AH55" s="19" cm="1">
        <f t="array" ref="AH55">DiasMesesGris(Q55:AB55)</f>
        <v>0</v>
      </c>
      <c r="AI55" s="19">
        <f t="shared" si="1"/>
        <v>0</v>
      </c>
      <c r="AJ55" s="19">
        <f t="shared" si="2"/>
        <v>360</v>
      </c>
      <c r="AK55" s="20">
        <f t="shared" si="3"/>
        <v>105</v>
      </c>
      <c r="AL55" s="21">
        <f t="shared" si="0"/>
        <v>0.29166666666666669</v>
      </c>
    </row>
    <row r="56" spans="1:38" x14ac:dyDescent="0.25">
      <c r="A56" s="1" t="s">
        <v>140</v>
      </c>
      <c r="B56" s="1" t="s">
        <v>141</v>
      </c>
      <c r="C56" s="1"/>
      <c r="D56" s="11">
        <v>6</v>
      </c>
      <c r="E56" s="11">
        <v>5</v>
      </c>
      <c r="F56" s="11">
        <v>-1</v>
      </c>
      <c r="G56" s="4"/>
      <c r="H56" s="11">
        <v>4</v>
      </c>
      <c r="I56" s="11">
        <v>6</v>
      </c>
      <c r="J56" s="11">
        <v>6</v>
      </c>
      <c r="K56" s="11">
        <v>2</v>
      </c>
      <c r="L56" s="11">
        <v>2</v>
      </c>
      <c r="M56" s="11">
        <v>-2</v>
      </c>
      <c r="N56" s="4"/>
      <c r="O56" s="11">
        <v>9</v>
      </c>
      <c r="P56" s="11">
        <v>1</v>
      </c>
      <c r="Q56" s="5">
        <v>0.1075</v>
      </c>
      <c r="R56" s="5">
        <v>0.1613</v>
      </c>
      <c r="S56" s="5">
        <v>-4.7600000000000003E-2</v>
      </c>
      <c r="T56" s="5">
        <v>0</v>
      </c>
      <c r="U56" s="5">
        <v>0.1212</v>
      </c>
      <c r="V56" s="5">
        <v>0.13819999999999999</v>
      </c>
      <c r="W56" s="5">
        <v>0.2419</v>
      </c>
      <c r="X56" s="5">
        <v>0.10199999999999999</v>
      </c>
      <c r="Y56" s="5">
        <v>7.17E-2</v>
      </c>
      <c r="Z56" s="5">
        <v>-8.3299999999999999E-2</v>
      </c>
      <c r="AA56" s="5">
        <v>0</v>
      </c>
      <c r="AB56" s="5">
        <v>0.3</v>
      </c>
      <c r="AC56" s="8">
        <v>1.7899999999999999E-2</v>
      </c>
      <c r="AD56" s="5">
        <v>9.2700000000000005E-2</v>
      </c>
      <c r="AE56" s="5">
        <f t="shared" si="4"/>
        <v>0.11007142857142857</v>
      </c>
      <c r="AF56" s="1" t="s">
        <v>34</v>
      </c>
      <c r="AG56" s="19" cm="1">
        <f t="array" ref="AG56">DIASQUIEBRE(Q56:AB56)</f>
        <v>0</v>
      </c>
      <c r="AH56" s="19" cm="1">
        <f t="array" ref="AH56">DiasMesesGris(Q56:AB56)</f>
        <v>0</v>
      </c>
      <c r="AI56" s="19">
        <f t="shared" si="1"/>
        <v>0</v>
      </c>
      <c r="AJ56" s="19">
        <f t="shared" si="2"/>
        <v>360</v>
      </c>
      <c r="AK56" s="20">
        <f t="shared" si="3"/>
        <v>37</v>
      </c>
      <c r="AL56" s="21">
        <f t="shared" si="0"/>
        <v>0.10277777777777777</v>
      </c>
    </row>
    <row r="57" spans="1:38" x14ac:dyDescent="0.25">
      <c r="A57" s="1" t="s">
        <v>142</v>
      </c>
      <c r="B57" s="1" t="s">
        <v>143</v>
      </c>
      <c r="C57" s="1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7">
        <v>0</v>
      </c>
      <c r="AE57" s="5">
        <f t="shared" si="4"/>
        <v>0</v>
      </c>
      <c r="AF57" s="1" t="s">
        <v>107</v>
      </c>
      <c r="AG57" s="19" cm="1">
        <f t="array" ref="AG57">DIASQUIEBRE(Q57:AB57)</f>
        <v>0</v>
      </c>
      <c r="AH57" s="19" cm="1">
        <f t="array" ref="AH57">DiasMesesGris(Q57:AB57)</f>
        <v>360</v>
      </c>
      <c r="AI57" s="19">
        <f t="shared" si="1"/>
        <v>360</v>
      </c>
      <c r="AJ57" s="19">
        <f t="shared" si="2"/>
        <v>0</v>
      </c>
      <c r="AK57" s="20">
        <f t="shared" si="3"/>
        <v>0</v>
      </c>
      <c r="AL57" s="21">
        <f t="shared" si="0"/>
        <v>0</v>
      </c>
    </row>
    <row r="58" spans="1:38" x14ac:dyDescent="0.25">
      <c r="A58" s="1" t="s">
        <v>144</v>
      </c>
      <c r="B58" s="1" t="s">
        <v>145</v>
      </c>
      <c r="C58" s="1"/>
      <c r="D58" s="11">
        <v>15</v>
      </c>
      <c r="E58" s="11">
        <v>11</v>
      </c>
      <c r="F58" s="11">
        <v>1</v>
      </c>
      <c r="G58" s="11">
        <v>2</v>
      </c>
      <c r="H58" s="11">
        <v>5</v>
      </c>
      <c r="I58" s="4"/>
      <c r="J58" s="4"/>
      <c r="K58" s="4"/>
      <c r="L58" s="4"/>
      <c r="M58" s="4"/>
      <c r="N58" s="4"/>
      <c r="O58" s="4"/>
      <c r="P58" s="4"/>
      <c r="Q58" s="5">
        <v>0.26879999999999998</v>
      </c>
      <c r="R58" s="5">
        <v>0.3548</v>
      </c>
      <c r="S58" s="5">
        <v>4.7600000000000003E-2</v>
      </c>
      <c r="T58" s="9">
        <v>9.0899999999999995E-2</v>
      </c>
      <c r="U58" s="6">
        <v>0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7">
        <v>0</v>
      </c>
      <c r="AD58" s="5">
        <v>0.22370000000000001</v>
      </c>
      <c r="AE58" s="5">
        <f t="shared" si="4"/>
        <v>0</v>
      </c>
      <c r="AF58" s="1" t="s">
        <v>34</v>
      </c>
      <c r="AG58" s="19" cm="1">
        <f t="array" ref="AG58">DIASQUIEBRE(Q58:AB58)</f>
        <v>9</v>
      </c>
      <c r="AH58" s="19" cm="1">
        <f t="array" ref="AH58">DiasMesesGris(Q58:AB58)</f>
        <v>240</v>
      </c>
      <c r="AI58" s="19">
        <f t="shared" si="1"/>
        <v>249</v>
      </c>
      <c r="AJ58" s="19">
        <f t="shared" si="2"/>
        <v>111</v>
      </c>
      <c r="AK58" s="20">
        <f t="shared" si="3"/>
        <v>34</v>
      </c>
      <c r="AL58" s="21">
        <f t="shared" si="0"/>
        <v>0.30630630630630629</v>
      </c>
    </row>
    <row r="59" spans="1:38" x14ac:dyDescent="0.25">
      <c r="A59" s="1" t="s">
        <v>146</v>
      </c>
      <c r="B59" s="1" t="s">
        <v>147</v>
      </c>
      <c r="C59" s="1"/>
      <c r="D59" s="11">
        <v>1</v>
      </c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7">
        <v>0</v>
      </c>
      <c r="AE59" s="5">
        <f t="shared" si="4"/>
        <v>0</v>
      </c>
      <c r="AF59" s="1" t="s">
        <v>107</v>
      </c>
      <c r="AG59" s="19" cm="1">
        <f t="array" ref="AG59">DIASQUIEBRE(Q59:AB59)</f>
        <v>0</v>
      </c>
      <c r="AH59" s="19" cm="1">
        <f t="array" ref="AH59">DiasMesesGris(Q59:AB59)</f>
        <v>360</v>
      </c>
      <c r="AI59" s="19">
        <f t="shared" si="1"/>
        <v>360</v>
      </c>
      <c r="AJ59" s="19">
        <f t="shared" si="2"/>
        <v>0</v>
      </c>
      <c r="AK59" s="20">
        <f t="shared" si="3"/>
        <v>1</v>
      </c>
      <c r="AL59" s="21">
        <f t="shared" si="0"/>
        <v>0</v>
      </c>
    </row>
    <row r="60" spans="1:38" x14ac:dyDescent="0.25">
      <c r="A60" s="1" t="s">
        <v>148</v>
      </c>
      <c r="B60" s="1" t="s">
        <v>149</v>
      </c>
      <c r="C60" s="1"/>
      <c r="D60" s="11">
        <v>19</v>
      </c>
      <c r="E60" s="11">
        <v>10</v>
      </c>
      <c r="F60" s="11">
        <v>3</v>
      </c>
      <c r="G60" s="11">
        <v>11</v>
      </c>
      <c r="H60" s="11">
        <v>7</v>
      </c>
      <c r="I60" s="11">
        <v>3</v>
      </c>
      <c r="J60" s="11">
        <v>4</v>
      </c>
      <c r="K60" s="11">
        <v>6</v>
      </c>
      <c r="L60" s="11">
        <v>5</v>
      </c>
      <c r="M60" s="11">
        <v>11</v>
      </c>
      <c r="N60" s="11">
        <v>8</v>
      </c>
      <c r="O60" s="11">
        <v>4</v>
      </c>
      <c r="P60" s="11">
        <v>1</v>
      </c>
      <c r="Q60" s="5">
        <v>0.34050000000000002</v>
      </c>
      <c r="R60" s="5">
        <v>0.3226</v>
      </c>
      <c r="S60" s="5">
        <v>0.1429</v>
      </c>
      <c r="T60" s="5">
        <v>0.3548</v>
      </c>
      <c r="U60" s="5">
        <v>0.21210000000000001</v>
      </c>
      <c r="V60" s="5">
        <v>6.9099999999999995E-2</v>
      </c>
      <c r="W60" s="5">
        <v>0.1613</v>
      </c>
      <c r="X60" s="5">
        <v>0.30609999999999998</v>
      </c>
      <c r="Y60" s="5">
        <v>0.1792</v>
      </c>
      <c r="Z60" s="5">
        <v>0.45829999999999999</v>
      </c>
      <c r="AA60" s="5">
        <v>0.2581</v>
      </c>
      <c r="AB60" s="5">
        <v>0.1333</v>
      </c>
      <c r="AC60" s="8">
        <v>1.7899999999999999E-2</v>
      </c>
      <c r="AD60" s="5">
        <v>0.24490000000000001</v>
      </c>
      <c r="AE60" s="5">
        <f t="shared" si="4"/>
        <v>0.22362857142857143</v>
      </c>
      <c r="AF60" s="1" t="s">
        <v>34</v>
      </c>
      <c r="AG60" s="19" cm="1">
        <f t="array" ref="AG60">DIASQUIEBRE(Q60:AB60)</f>
        <v>0</v>
      </c>
      <c r="AH60" s="19" cm="1">
        <f t="array" ref="AH60">DiasMesesGris(Q60:AB60)</f>
        <v>0</v>
      </c>
      <c r="AI60" s="19">
        <f t="shared" si="1"/>
        <v>0</v>
      </c>
      <c r="AJ60" s="19">
        <f t="shared" si="2"/>
        <v>360</v>
      </c>
      <c r="AK60" s="20">
        <f t="shared" si="3"/>
        <v>91</v>
      </c>
      <c r="AL60" s="21">
        <f t="shared" si="0"/>
        <v>0.25277777777777777</v>
      </c>
    </row>
    <row r="61" spans="1:38" x14ac:dyDescent="0.25">
      <c r="A61" s="1" t="s">
        <v>150</v>
      </c>
      <c r="B61" s="1" t="s">
        <v>151</v>
      </c>
      <c r="C61" s="1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 s="7">
        <v>0</v>
      </c>
      <c r="AE61" s="5">
        <f t="shared" si="4"/>
        <v>0</v>
      </c>
      <c r="AF61" s="1" t="s">
        <v>34</v>
      </c>
      <c r="AG61" s="19" cm="1">
        <f t="array" ref="AG61">DIASQUIEBRE(Q61:AB61)</f>
        <v>0</v>
      </c>
      <c r="AH61" s="19" cm="1">
        <f t="array" ref="AH61">DiasMesesGris(Q61:AB61)</f>
        <v>360</v>
      </c>
      <c r="AI61" s="19">
        <f t="shared" si="1"/>
        <v>360</v>
      </c>
      <c r="AJ61" s="19">
        <f t="shared" si="2"/>
        <v>0</v>
      </c>
      <c r="AK61" s="20">
        <f t="shared" si="3"/>
        <v>0</v>
      </c>
      <c r="AL61" s="21">
        <f t="shared" si="0"/>
        <v>0</v>
      </c>
    </row>
    <row r="62" spans="1:38" x14ac:dyDescent="0.25">
      <c r="A62" s="1" t="s">
        <v>152</v>
      </c>
      <c r="B62" s="1" t="s">
        <v>153</v>
      </c>
      <c r="C62" s="1"/>
      <c r="D62" s="11">
        <v>3</v>
      </c>
      <c r="E62" s="11">
        <v>1</v>
      </c>
      <c r="F62" s="11">
        <v>2</v>
      </c>
      <c r="G62" s="11">
        <v>1</v>
      </c>
      <c r="H62" s="4"/>
      <c r="I62" s="4"/>
      <c r="J62" s="11">
        <v>1</v>
      </c>
      <c r="K62" s="4"/>
      <c r="L62" s="4"/>
      <c r="M62" s="4"/>
      <c r="N62" s="4"/>
      <c r="O62" s="4"/>
      <c r="P62" s="4"/>
      <c r="Q62" s="5">
        <v>5.3800000000000001E-2</v>
      </c>
      <c r="R62" s="9">
        <v>3.85E-2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7">
        <v>0</v>
      </c>
      <c r="AD62" s="5">
        <v>5.3800000000000001E-2</v>
      </c>
      <c r="AE62" s="5">
        <f t="shared" si="4"/>
        <v>0</v>
      </c>
      <c r="AF62" s="1" t="s">
        <v>34</v>
      </c>
      <c r="AG62" s="19" cm="1">
        <f t="array" ref="AG62">DIASQUIEBRE(Q62:AB62)</f>
        <v>5</v>
      </c>
      <c r="AH62" s="19" cm="1">
        <f t="array" ref="AH62">DiasMesesGris(Q62:AB62)</f>
        <v>300</v>
      </c>
      <c r="AI62" s="19">
        <f t="shared" si="1"/>
        <v>305</v>
      </c>
      <c r="AJ62" s="19">
        <f t="shared" si="2"/>
        <v>55</v>
      </c>
      <c r="AK62" s="20">
        <f t="shared" si="3"/>
        <v>8</v>
      </c>
      <c r="AL62" s="21">
        <f t="shared" si="0"/>
        <v>0.14545454545454545</v>
      </c>
    </row>
    <row r="63" spans="1:38" x14ac:dyDescent="0.25">
      <c r="A63" s="1" t="s">
        <v>154</v>
      </c>
      <c r="B63" s="1" t="s">
        <v>155</v>
      </c>
      <c r="C63" s="1"/>
      <c r="D63" s="11">
        <v>-1</v>
      </c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7">
        <v>0</v>
      </c>
      <c r="AE63" s="5">
        <f t="shared" si="4"/>
        <v>0</v>
      </c>
      <c r="AF63" s="1" t="s">
        <v>34</v>
      </c>
      <c r="AG63" s="19" cm="1">
        <f t="array" ref="AG63">DIASQUIEBRE(Q63:AB63)</f>
        <v>0</v>
      </c>
      <c r="AH63" s="19" cm="1">
        <f t="array" ref="AH63">DiasMesesGris(Q63:AB63)</f>
        <v>360</v>
      </c>
      <c r="AI63" s="19">
        <f t="shared" si="1"/>
        <v>360</v>
      </c>
      <c r="AJ63" s="19">
        <f t="shared" si="2"/>
        <v>0</v>
      </c>
      <c r="AK63" s="20">
        <f t="shared" si="3"/>
        <v>-1</v>
      </c>
      <c r="AL63" s="21">
        <f t="shared" si="0"/>
        <v>0</v>
      </c>
    </row>
    <row r="64" spans="1:38" x14ac:dyDescent="0.25">
      <c r="A64" s="1" t="s">
        <v>156</v>
      </c>
      <c r="B64" s="1" t="s">
        <v>157</v>
      </c>
      <c r="C64" s="1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7">
        <v>0</v>
      </c>
      <c r="AE64" s="5">
        <f t="shared" si="4"/>
        <v>0</v>
      </c>
      <c r="AF64" s="1" t="s">
        <v>34</v>
      </c>
      <c r="AG64" s="19" cm="1">
        <f t="array" ref="AG64">DIASQUIEBRE(Q64:AB64)</f>
        <v>0</v>
      </c>
      <c r="AH64" s="19" cm="1">
        <f t="array" ref="AH64">DiasMesesGris(Q64:AB64)</f>
        <v>360</v>
      </c>
      <c r="AI64" s="19">
        <f t="shared" si="1"/>
        <v>360</v>
      </c>
      <c r="AJ64" s="19">
        <f t="shared" si="2"/>
        <v>0</v>
      </c>
      <c r="AK64" s="20">
        <f t="shared" si="3"/>
        <v>0</v>
      </c>
      <c r="AL64" s="21">
        <f t="shared" si="0"/>
        <v>0</v>
      </c>
    </row>
    <row r="65" spans="1:38" x14ac:dyDescent="0.25">
      <c r="A65" s="1" t="s">
        <v>158</v>
      </c>
      <c r="B65" s="1" t="s">
        <v>159</v>
      </c>
      <c r="C65" s="1"/>
      <c r="D65" s="11">
        <v>21</v>
      </c>
      <c r="E65" s="11">
        <v>10</v>
      </c>
      <c r="F65" s="4"/>
      <c r="G65" s="11">
        <v>2</v>
      </c>
      <c r="H65" s="4"/>
      <c r="I65" s="11">
        <v>9</v>
      </c>
      <c r="J65" s="4"/>
      <c r="K65" s="4"/>
      <c r="L65" s="4"/>
      <c r="M65" s="4"/>
      <c r="N65" s="4"/>
      <c r="O65" s="4"/>
      <c r="P65" s="4"/>
      <c r="Q65" s="5">
        <v>0.37630000000000002</v>
      </c>
      <c r="R65" s="5">
        <v>0.3226</v>
      </c>
      <c r="S65" s="5">
        <v>0</v>
      </c>
      <c r="T65" s="5">
        <v>6.4500000000000002E-2</v>
      </c>
      <c r="U65" s="5">
        <v>0</v>
      </c>
      <c r="V65" s="9">
        <v>0.40179999999999999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7">
        <v>0</v>
      </c>
      <c r="AD65" s="5">
        <v>0.1527</v>
      </c>
      <c r="AE65" s="5">
        <v>0</v>
      </c>
      <c r="AF65" s="1" t="s">
        <v>107</v>
      </c>
      <c r="AG65" s="19" cm="1">
        <f t="array" ref="AG65">DIASQUIEBRE(Q65:AB65)</f>
        <v>15</v>
      </c>
      <c r="AH65" s="19" cm="1">
        <f t="array" ref="AH65">DiasMesesGris(Q65:AB65)</f>
        <v>180</v>
      </c>
      <c r="AI65" s="19">
        <f t="shared" si="1"/>
        <v>195</v>
      </c>
      <c r="AJ65" s="19">
        <f t="shared" si="2"/>
        <v>165</v>
      </c>
      <c r="AK65" s="20">
        <f t="shared" si="3"/>
        <v>42</v>
      </c>
      <c r="AL65" s="21">
        <f t="shared" si="0"/>
        <v>0.25454545454545452</v>
      </c>
    </row>
    <row r="66" spans="1:38" x14ac:dyDescent="0.25">
      <c r="A66" s="1" t="s">
        <v>160</v>
      </c>
      <c r="B66" s="1" t="s">
        <v>161</v>
      </c>
      <c r="C66" s="1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7">
        <v>0</v>
      </c>
      <c r="AE66" s="5">
        <f t="shared" si="4"/>
        <v>0</v>
      </c>
      <c r="AF66" s="1" t="s">
        <v>107</v>
      </c>
      <c r="AG66" s="19" cm="1">
        <f t="array" ref="AG66">DIASQUIEBRE(Q66:AB66)</f>
        <v>0</v>
      </c>
      <c r="AH66" s="19" cm="1">
        <f t="array" ref="AH66">DiasMesesGris(Q66:AB66)</f>
        <v>360</v>
      </c>
      <c r="AI66" s="19">
        <f t="shared" si="1"/>
        <v>360</v>
      </c>
      <c r="AJ66" s="19">
        <f t="shared" si="2"/>
        <v>0</v>
      </c>
      <c r="AK66" s="20">
        <f t="shared" si="3"/>
        <v>0</v>
      </c>
      <c r="AL66" s="21">
        <f t="shared" si="0"/>
        <v>0</v>
      </c>
    </row>
    <row r="67" spans="1:38" x14ac:dyDescent="0.25">
      <c r="A67" s="1" t="s">
        <v>162</v>
      </c>
      <c r="B67" s="1" t="s">
        <v>163</v>
      </c>
      <c r="C67" s="1"/>
      <c r="D67" s="4"/>
      <c r="E67" s="11">
        <v>2</v>
      </c>
      <c r="F67" s="11">
        <v>1</v>
      </c>
      <c r="G67" s="4"/>
      <c r="H67" s="11">
        <v>3</v>
      </c>
      <c r="I67" s="4"/>
      <c r="J67" s="11">
        <v>2</v>
      </c>
      <c r="K67" s="4"/>
      <c r="L67" s="4"/>
      <c r="M67" s="4"/>
      <c r="N67" s="4"/>
      <c r="O67" s="11">
        <v>1</v>
      </c>
      <c r="P67" s="4"/>
      <c r="Q67" s="5">
        <v>0</v>
      </c>
      <c r="R67" s="5">
        <v>6.4500000000000002E-2</v>
      </c>
      <c r="S67" s="5">
        <v>4.7600000000000003E-2</v>
      </c>
      <c r="T67" s="5">
        <v>0</v>
      </c>
      <c r="U67" s="5">
        <v>9.0899999999999995E-2</v>
      </c>
      <c r="V67" s="5">
        <v>0</v>
      </c>
      <c r="W67" s="5">
        <v>8.0600000000000005E-2</v>
      </c>
      <c r="X67" s="5">
        <v>0</v>
      </c>
      <c r="Y67" s="5">
        <v>0</v>
      </c>
      <c r="Z67" s="5">
        <v>0</v>
      </c>
      <c r="AA67" s="5">
        <v>0</v>
      </c>
      <c r="AB67" s="5">
        <v>3.3300000000000003E-2</v>
      </c>
      <c r="AC67" s="8">
        <v>0</v>
      </c>
      <c r="AD67" s="5">
        <v>2.64E-2</v>
      </c>
      <c r="AE67" s="5">
        <f t="shared" si="4"/>
        <v>1.6271428571428572E-2</v>
      </c>
      <c r="AF67" s="1" t="s">
        <v>107</v>
      </c>
      <c r="AG67" s="19" cm="1">
        <f t="array" ref="AG67">DIASQUIEBRE(Q67:AB67)</f>
        <v>0</v>
      </c>
      <c r="AH67" s="19" cm="1">
        <f t="array" ref="AH67">DiasMesesGris(Q67:AB67)</f>
        <v>0</v>
      </c>
      <c r="AI67" s="19">
        <f t="shared" si="1"/>
        <v>0</v>
      </c>
      <c r="AJ67" s="19">
        <f t="shared" si="2"/>
        <v>360</v>
      </c>
      <c r="AK67" s="20">
        <f t="shared" si="3"/>
        <v>9</v>
      </c>
      <c r="AL67" s="21">
        <f t="shared" ref="AL67:AL130" si="5">IFERROR(AK67/AJ67,0)</f>
        <v>2.5000000000000001E-2</v>
      </c>
    </row>
    <row r="68" spans="1:38" x14ac:dyDescent="0.25">
      <c r="A68" s="1" t="s">
        <v>164</v>
      </c>
      <c r="B68" s="1" t="s">
        <v>165</v>
      </c>
      <c r="C68" s="1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7">
        <v>0</v>
      </c>
      <c r="AE68" s="5">
        <f t="shared" si="4"/>
        <v>0</v>
      </c>
      <c r="AF68" s="1" t="s">
        <v>107</v>
      </c>
      <c r="AG68" s="19" cm="1">
        <f t="array" ref="AG68">DIASQUIEBRE(Q68:AB68)</f>
        <v>0</v>
      </c>
      <c r="AH68" s="19" cm="1">
        <f t="array" ref="AH68">DiasMesesGris(Q68:AB68)</f>
        <v>360</v>
      </c>
      <c r="AI68" s="19">
        <f t="shared" ref="AI68:AI131" si="6">AG68+AH68</f>
        <v>360</v>
      </c>
      <c r="AJ68" s="19">
        <f t="shared" ref="AJ68:AJ131" si="7">360-AI68</f>
        <v>0</v>
      </c>
      <c r="AK68" s="20">
        <f t="shared" ref="AK68:AK131" si="8">SUM(D68:O68)</f>
        <v>0</v>
      </c>
      <c r="AL68" s="21">
        <f t="shared" si="5"/>
        <v>0</v>
      </c>
    </row>
    <row r="69" spans="1:38" x14ac:dyDescent="0.25">
      <c r="A69" s="1" t="s">
        <v>166</v>
      </c>
      <c r="B69" s="1" t="s">
        <v>167</v>
      </c>
      <c r="C69" s="1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7">
        <v>0</v>
      </c>
      <c r="AE69" s="5">
        <f t="shared" si="4"/>
        <v>0</v>
      </c>
      <c r="AF69" s="1" t="s">
        <v>107</v>
      </c>
      <c r="AG69" s="19" cm="1">
        <f t="array" ref="AG69">DIASQUIEBRE(Q69:AB69)</f>
        <v>0</v>
      </c>
      <c r="AH69" s="19" cm="1">
        <f t="array" ref="AH69">DiasMesesGris(Q69:AB69)</f>
        <v>360</v>
      </c>
      <c r="AI69" s="19">
        <f t="shared" si="6"/>
        <v>360</v>
      </c>
      <c r="AJ69" s="19">
        <f t="shared" si="7"/>
        <v>0</v>
      </c>
      <c r="AK69" s="20">
        <f t="shared" si="8"/>
        <v>0</v>
      </c>
      <c r="AL69" s="21">
        <f t="shared" si="5"/>
        <v>0</v>
      </c>
    </row>
    <row r="70" spans="1:38" x14ac:dyDescent="0.25">
      <c r="A70" s="1" t="s">
        <v>168</v>
      </c>
      <c r="B70" s="1" t="s">
        <v>169</v>
      </c>
      <c r="C70" s="1"/>
      <c r="D70" s="11">
        <v>3</v>
      </c>
      <c r="E70" s="4"/>
      <c r="F70" s="11">
        <v>1</v>
      </c>
      <c r="G70" s="4"/>
      <c r="H70" s="4"/>
      <c r="I70" s="4"/>
      <c r="J70" s="11">
        <v>-1</v>
      </c>
      <c r="K70" s="11">
        <v>1</v>
      </c>
      <c r="L70" s="4"/>
      <c r="M70" s="4"/>
      <c r="N70" s="4"/>
      <c r="O70" s="4"/>
      <c r="P70" s="4"/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7">
        <v>0</v>
      </c>
      <c r="AE70" s="5">
        <f t="shared" si="4"/>
        <v>0</v>
      </c>
      <c r="AF70" s="1" t="s">
        <v>107</v>
      </c>
      <c r="AG70" s="19" cm="1">
        <f t="array" ref="AG70">DIASQUIEBRE(Q70:AB70)</f>
        <v>0</v>
      </c>
      <c r="AH70" s="19" cm="1">
        <f t="array" ref="AH70">DiasMesesGris(Q70:AB70)</f>
        <v>360</v>
      </c>
      <c r="AI70" s="19">
        <f t="shared" si="6"/>
        <v>360</v>
      </c>
      <c r="AJ70" s="19">
        <f t="shared" si="7"/>
        <v>0</v>
      </c>
      <c r="AK70" s="20">
        <f t="shared" si="8"/>
        <v>4</v>
      </c>
      <c r="AL70" s="21">
        <f t="shared" si="5"/>
        <v>0</v>
      </c>
    </row>
    <row r="71" spans="1:38" x14ac:dyDescent="0.25">
      <c r="A71" s="1" t="s">
        <v>170</v>
      </c>
      <c r="B71" s="1" t="s">
        <v>157</v>
      </c>
      <c r="C71" s="1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7">
        <v>0</v>
      </c>
      <c r="AE71" s="5">
        <f t="shared" si="4"/>
        <v>0</v>
      </c>
      <c r="AF71" s="1" t="s">
        <v>34</v>
      </c>
      <c r="AG71" s="19" cm="1">
        <f t="array" ref="AG71">DIASQUIEBRE(Q71:AB71)</f>
        <v>0</v>
      </c>
      <c r="AH71" s="19" cm="1">
        <f t="array" ref="AH71">DiasMesesGris(Q71:AB71)</f>
        <v>360</v>
      </c>
      <c r="AI71" s="19">
        <f t="shared" si="6"/>
        <v>360</v>
      </c>
      <c r="AJ71" s="19">
        <f t="shared" si="7"/>
        <v>0</v>
      </c>
      <c r="AK71" s="20">
        <f t="shared" si="8"/>
        <v>0</v>
      </c>
      <c r="AL71" s="21">
        <f t="shared" si="5"/>
        <v>0</v>
      </c>
    </row>
    <row r="72" spans="1:38" x14ac:dyDescent="0.25">
      <c r="A72" s="1" t="s">
        <v>171</v>
      </c>
      <c r="B72" s="1" t="s">
        <v>172</v>
      </c>
      <c r="C72" s="1"/>
      <c r="D72" s="11">
        <v>17</v>
      </c>
      <c r="E72" s="11">
        <v>9</v>
      </c>
      <c r="F72" s="4"/>
      <c r="G72" s="11">
        <v>7</v>
      </c>
      <c r="H72" s="11">
        <v>4</v>
      </c>
      <c r="I72" s="11">
        <v>17</v>
      </c>
      <c r="J72" s="11">
        <v>6</v>
      </c>
      <c r="K72" s="11">
        <v>1</v>
      </c>
      <c r="L72" s="11">
        <v>2</v>
      </c>
      <c r="M72" s="11">
        <v>10</v>
      </c>
      <c r="N72" s="4"/>
      <c r="O72" s="11">
        <v>40</v>
      </c>
      <c r="P72" s="11">
        <v>1</v>
      </c>
      <c r="Q72" s="5">
        <v>0.30470000000000003</v>
      </c>
      <c r="R72" s="5">
        <v>0.2903</v>
      </c>
      <c r="S72" s="5">
        <v>0</v>
      </c>
      <c r="T72" s="5">
        <v>0.2258</v>
      </c>
      <c r="U72" s="5">
        <v>0.1212</v>
      </c>
      <c r="V72" s="5">
        <v>0.39169999999999999</v>
      </c>
      <c r="W72" s="5">
        <v>0.2419</v>
      </c>
      <c r="X72" s="5">
        <v>5.0999999999999997E-2</v>
      </c>
      <c r="Y72" s="5">
        <v>7.17E-2</v>
      </c>
      <c r="Z72" s="5">
        <v>0.41670000000000001</v>
      </c>
      <c r="AA72" s="5">
        <v>0</v>
      </c>
      <c r="AB72" s="5">
        <v>1.3332999999999999</v>
      </c>
      <c r="AC72" s="8">
        <v>1.7899999999999999E-2</v>
      </c>
      <c r="AD72" s="5">
        <v>0.28739999999999999</v>
      </c>
      <c r="AE72" s="5">
        <f t="shared" si="4"/>
        <v>0.35804285714285716</v>
      </c>
      <c r="AF72" s="1" t="s">
        <v>34</v>
      </c>
      <c r="AG72" s="19" cm="1">
        <f t="array" ref="AG72">DIASQUIEBRE(Q72:AB72)</f>
        <v>0</v>
      </c>
      <c r="AH72" s="19" cm="1">
        <f t="array" ref="AH72">DiasMesesGris(Q72:AB72)</f>
        <v>0</v>
      </c>
      <c r="AI72" s="19">
        <f t="shared" si="6"/>
        <v>0</v>
      </c>
      <c r="AJ72" s="19">
        <f t="shared" si="7"/>
        <v>360</v>
      </c>
      <c r="AK72" s="20">
        <f t="shared" si="8"/>
        <v>113</v>
      </c>
      <c r="AL72" s="21">
        <f t="shared" si="5"/>
        <v>0.31388888888888888</v>
      </c>
    </row>
    <row r="73" spans="1:38" x14ac:dyDescent="0.25">
      <c r="A73" s="1" t="s">
        <v>173</v>
      </c>
      <c r="B73" s="1" t="s">
        <v>174</v>
      </c>
      <c r="C73" s="1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7">
        <v>0</v>
      </c>
      <c r="AE73" s="5">
        <f t="shared" si="4"/>
        <v>0</v>
      </c>
      <c r="AF73" s="1" t="s">
        <v>107</v>
      </c>
      <c r="AG73" s="19" cm="1">
        <f t="array" ref="AG73">DIASQUIEBRE(Q73:AB73)</f>
        <v>0</v>
      </c>
      <c r="AH73" s="19" cm="1">
        <f t="array" ref="AH73">DiasMesesGris(Q73:AB73)</f>
        <v>360</v>
      </c>
      <c r="AI73" s="19">
        <f t="shared" si="6"/>
        <v>360</v>
      </c>
      <c r="AJ73" s="19">
        <f t="shared" si="7"/>
        <v>0</v>
      </c>
      <c r="AK73" s="20">
        <f t="shared" si="8"/>
        <v>0</v>
      </c>
      <c r="AL73" s="21">
        <f t="shared" si="5"/>
        <v>0</v>
      </c>
    </row>
    <row r="74" spans="1:38" x14ac:dyDescent="0.25">
      <c r="A74" s="1" t="s">
        <v>175</v>
      </c>
      <c r="B74" s="1" t="s">
        <v>176</v>
      </c>
      <c r="C74" s="1"/>
      <c r="D74" s="4"/>
      <c r="E74" s="4"/>
      <c r="F74" s="11">
        <v>1</v>
      </c>
      <c r="G74" s="4"/>
      <c r="H74" s="4"/>
      <c r="I74" s="11">
        <v>2</v>
      </c>
      <c r="J74" s="4"/>
      <c r="K74" s="4"/>
      <c r="L74" s="4"/>
      <c r="M74" s="11">
        <v>3</v>
      </c>
      <c r="N74" s="11">
        <v>1</v>
      </c>
      <c r="O74" s="11">
        <v>1</v>
      </c>
      <c r="P74" s="4"/>
      <c r="Q74" s="5">
        <v>0</v>
      </c>
      <c r="R74" s="5">
        <v>0</v>
      </c>
      <c r="S74" s="5">
        <v>4.7600000000000003E-2</v>
      </c>
      <c r="T74" s="5">
        <v>0</v>
      </c>
      <c r="U74" s="5">
        <v>0</v>
      </c>
      <c r="V74" s="5">
        <v>4.6100000000000002E-2</v>
      </c>
      <c r="W74" s="5">
        <v>0</v>
      </c>
      <c r="X74" s="5">
        <v>0</v>
      </c>
      <c r="Y74" s="5">
        <v>0</v>
      </c>
      <c r="Z74" s="5">
        <v>0.125</v>
      </c>
      <c r="AA74" s="5">
        <v>3.2300000000000002E-2</v>
      </c>
      <c r="AB74" s="5">
        <v>3.3300000000000003E-2</v>
      </c>
      <c r="AC74" s="8">
        <v>0</v>
      </c>
      <c r="AD74" s="5">
        <v>2.3699999999999999E-2</v>
      </c>
      <c r="AE74" s="5">
        <f t="shared" si="4"/>
        <v>3.3814285714285713E-2</v>
      </c>
      <c r="AF74" s="1" t="s">
        <v>34</v>
      </c>
      <c r="AG74" s="19" cm="1">
        <f t="array" ref="AG74">DIASQUIEBRE(Q74:AB74)</f>
        <v>0</v>
      </c>
      <c r="AH74" s="19" cm="1">
        <f t="array" ref="AH74">DiasMesesGris(Q74:AB74)</f>
        <v>0</v>
      </c>
      <c r="AI74" s="19">
        <f t="shared" si="6"/>
        <v>0</v>
      </c>
      <c r="AJ74" s="19">
        <f t="shared" si="7"/>
        <v>360</v>
      </c>
      <c r="AK74" s="20">
        <f t="shared" si="8"/>
        <v>8</v>
      </c>
      <c r="AL74" s="21">
        <f t="shared" si="5"/>
        <v>2.2222222222222223E-2</v>
      </c>
    </row>
    <row r="75" spans="1:38" x14ac:dyDescent="0.25">
      <c r="A75" s="1" t="s">
        <v>177</v>
      </c>
      <c r="B75" s="1" t="s">
        <v>178</v>
      </c>
      <c r="C75" s="1"/>
      <c r="D75" s="11">
        <v>5</v>
      </c>
      <c r="E75" s="4"/>
      <c r="F75" s="11">
        <v>-1</v>
      </c>
      <c r="G75" s="11">
        <v>1</v>
      </c>
      <c r="H75" s="4"/>
      <c r="I75" s="4"/>
      <c r="J75" s="4"/>
      <c r="K75" s="4"/>
      <c r="L75" s="4"/>
      <c r="M75" s="4"/>
      <c r="N75" s="11">
        <v>20</v>
      </c>
      <c r="O75" s="4"/>
      <c r="P75" s="4"/>
      <c r="Q75" s="5">
        <v>8.9599999999999999E-2</v>
      </c>
      <c r="R75" s="5">
        <v>0</v>
      </c>
      <c r="S75" s="5">
        <v>-4.7600000000000003E-2</v>
      </c>
      <c r="T75" s="5">
        <v>3.2300000000000002E-2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Z75" s="5">
        <v>0</v>
      </c>
      <c r="AA75" s="5">
        <v>0.6452</v>
      </c>
      <c r="AB75" s="5">
        <v>0</v>
      </c>
      <c r="AC75" s="8">
        <v>0</v>
      </c>
      <c r="AD75" s="5">
        <v>0.06</v>
      </c>
      <c r="AE75" s="5">
        <f t="shared" si="4"/>
        <v>9.2171428571428571E-2</v>
      </c>
      <c r="AF75" s="1" t="s">
        <v>34</v>
      </c>
      <c r="AG75" s="19" cm="1">
        <f t="array" ref="AG75">DIASQUIEBRE(Q75:AB75)</f>
        <v>0</v>
      </c>
      <c r="AH75" s="19" cm="1">
        <f t="array" ref="AH75">DiasMesesGris(Q75:AB75)</f>
        <v>0</v>
      </c>
      <c r="AI75" s="19">
        <f t="shared" si="6"/>
        <v>0</v>
      </c>
      <c r="AJ75" s="19">
        <f t="shared" si="7"/>
        <v>360</v>
      </c>
      <c r="AK75" s="20">
        <f t="shared" si="8"/>
        <v>25</v>
      </c>
      <c r="AL75" s="21">
        <f t="shared" si="5"/>
        <v>6.9444444444444448E-2</v>
      </c>
    </row>
    <row r="76" spans="1:38" x14ac:dyDescent="0.25">
      <c r="A76" s="1" t="s">
        <v>179</v>
      </c>
      <c r="B76" s="1" t="s">
        <v>180</v>
      </c>
      <c r="C76" s="1"/>
      <c r="D76" s="4"/>
      <c r="E76" s="4"/>
      <c r="F76" s="11">
        <v>1</v>
      </c>
      <c r="G76" s="11">
        <v>1</v>
      </c>
      <c r="H76" s="4"/>
      <c r="I76" s="4"/>
      <c r="J76" s="4"/>
      <c r="K76" s="4"/>
      <c r="L76" s="4"/>
      <c r="M76" s="4"/>
      <c r="N76" s="4"/>
      <c r="O76" s="4"/>
      <c r="P76" s="4"/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7">
        <v>0</v>
      </c>
      <c r="AE76" s="5">
        <f t="shared" si="4"/>
        <v>0</v>
      </c>
      <c r="AF76" s="1" t="s">
        <v>34</v>
      </c>
      <c r="AG76" s="19" cm="1">
        <f t="array" ref="AG76">DIASQUIEBRE(Q76:AB76)</f>
        <v>0</v>
      </c>
      <c r="AH76" s="19" cm="1">
        <f t="array" ref="AH76">DiasMesesGris(Q76:AB76)</f>
        <v>360</v>
      </c>
      <c r="AI76" s="19">
        <f t="shared" si="6"/>
        <v>360</v>
      </c>
      <c r="AJ76" s="19">
        <f t="shared" si="7"/>
        <v>0</v>
      </c>
      <c r="AK76" s="20">
        <f t="shared" si="8"/>
        <v>2</v>
      </c>
      <c r="AL76" s="21">
        <f t="shared" si="5"/>
        <v>0</v>
      </c>
    </row>
    <row r="77" spans="1:38" x14ac:dyDescent="0.25">
      <c r="A77" s="1" t="s">
        <v>181</v>
      </c>
      <c r="B77" s="1" t="s">
        <v>182</v>
      </c>
      <c r="C77" s="1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6">
        <v>0</v>
      </c>
      <c r="R77" s="6">
        <v>0</v>
      </c>
      <c r="S77" s="6">
        <v>0</v>
      </c>
      <c r="T77" s="6">
        <v>0</v>
      </c>
      <c r="U77" s="6">
        <v>0</v>
      </c>
      <c r="V77" s="6">
        <v>0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7">
        <v>0</v>
      </c>
      <c r="AE77" s="5">
        <f t="shared" si="4"/>
        <v>0</v>
      </c>
      <c r="AF77" s="1" t="s">
        <v>34</v>
      </c>
      <c r="AG77" s="19" cm="1">
        <f t="array" ref="AG77">DIASQUIEBRE(Q77:AB77)</f>
        <v>0</v>
      </c>
      <c r="AH77" s="19" cm="1">
        <f t="array" ref="AH77">DiasMesesGris(Q77:AB77)</f>
        <v>360</v>
      </c>
      <c r="AI77" s="19">
        <f t="shared" si="6"/>
        <v>360</v>
      </c>
      <c r="AJ77" s="19">
        <f t="shared" si="7"/>
        <v>0</v>
      </c>
      <c r="AK77" s="20">
        <f t="shared" si="8"/>
        <v>0</v>
      </c>
      <c r="AL77" s="21">
        <f t="shared" si="5"/>
        <v>0</v>
      </c>
    </row>
    <row r="78" spans="1:38" x14ac:dyDescent="0.25">
      <c r="A78" s="1" t="s">
        <v>183</v>
      </c>
      <c r="B78" s="1" t="s">
        <v>184</v>
      </c>
      <c r="C78" s="1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0</v>
      </c>
      <c r="Z78" s="5">
        <v>0</v>
      </c>
      <c r="AA78" s="5">
        <v>0</v>
      </c>
      <c r="AB78" s="5">
        <v>0</v>
      </c>
      <c r="AC78" s="8">
        <v>0</v>
      </c>
      <c r="AE78" s="5">
        <f t="shared" si="4"/>
        <v>0</v>
      </c>
      <c r="AF78" s="1" t="s">
        <v>107</v>
      </c>
      <c r="AG78" s="19" cm="1">
        <f t="array" ref="AG78">DIASQUIEBRE(Q78:AB78)</f>
        <v>0</v>
      </c>
      <c r="AH78" s="19" cm="1">
        <f t="array" ref="AH78">DiasMesesGris(Q78:AB78)</f>
        <v>0</v>
      </c>
      <c r="AI78" s="19">
        <f t="shared" si="6"/>
        <v>0</v>
      </c>
      <c r="AJ78" s="19">
        <f t="shared" si="7"/>
        <v>360</v>
      </c>
      <c r="AK78" s="20">
        <f t="shared" si="8"/>
        <v>0</v>
      </c>
      <c r="AL78" s="21">
        <f t="shared" si="5"/>
        <v>0</v>
      </c>
    </row>
    <row r="79" spans="1:38" x14ac:dyDescent="0.25">
      <c r="A79" s="3" t="s">
        <v>185</v>
      </c>
      <c r="B79" s="1" t="s">
        <v>186</v>
      </c>
      <c r="C79" s="1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7">
        <v>0</v>
      </c>
      <c r="AE79" s="5">
        <f t="shared" si="4"/>
        <v>0</v>
      </c>
      <c r="AF79" s="1" t="s">
        <v>107</v>
      </c>
      <c r="AG79" s="19" cm="1">
        <f t="array" ref="AG79">DIASQUIEBRE(Q79:AB79)</f>
        <v>0</v>
      </c>
      <c r="AH79" s="19" cm="1">
        <f t="array" ref="AH79">DiasMesesGris(Q79:AB79)</f>
        <v>360</v>
      </c>
      <c r="AI79" s="19">
        <f t="shared" si="6"/>
        <v>360</v>
      </c>
      <c r="AJ79" s="19">
        <f t="shared" si="7"/>
        <v>0</v>
      </c>
      <c r="AK79" s="20">
        <f t="shared" si="8"/>
        <v>0</v>
      </c>
      <c r="AL79" s="21">
        <f t="shared" si="5"/>
        <v>0</v>
      </c>
    </row>
    <row r="80" spans="1:38" x14ac:dyDescent="0.25">
      <c r="A80" s="3" t="s">
        <v>187</v>
      </c>
      <c r="B80" s="1" t="s">
        <v>188</v>
      </c>
      <c r="C80" s="1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7">
        <v>0</v>
      </c>
      <c r="AE80" s="5">
        <f t="shared" si="4"/>
        <v>0</v>
      </c>
      <c r="AF80" s="1" t="s">
        <v>107</v>
      </c>
      <c r="AG80" s="19" cm="1">
        <f t="array" ref="AG80">DIASQUIEBRE(Q80:AB80)</f>
        <v>0</v>
      </c>
      <c r="AH80" s="19" cm="1">
        <f t="array" ref="AH80">DiasMesesGris(Q80:AB80)</f>
        <v>360</v>
      </c>
      <c r="AI80" s="19">
        <f t="shared" si="6"/>
        <v>360</v>
      </c>
      <c r="AJ80" s="19">
        <f t="shared" si="7"/>
        <v>0</v>
      </c>
      <c r="AK80" s="20">
        <f t="shared" si="8"/>
        <v>0</v>
      </c>
      <c r="AL80" s="21">
        <f t="shared" si="5"/>
        <v>0</v>
      </c>
    </row>
    <row r="81" spans="1:38" x14ac:dyDescent="0.25">
      <c r="A81" s="3" t="s">
        <v>189</v>
      </c>
      <c r="B81" s="1" t="s">
        <v>46</v>
      </c>
      <c r="C81" s="1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7">
        <v>0</v>
      </c>
      <c r="AE81" s="5">
        <f t="shared" si="4"/>
        <v>0</v>
      </c>
      <c r="AF81" s="1" t="s">
        <v>107</v>
      </c>
      <c r="AG81" s="19" cm="1">
        <f t="array" ref="AG81">DIASQUIEBRE(Q81:AB81)</f>
        <v>0</v>
      </c>
      <c r="AH81" s="19" cm="1">
        <f t="array" ref="AH81">DiasMesesGris(Q81:AB81)</f>
        <v>360</v>
      </c>
      <c r="AI81" s="19">
        <f t="shared" si="6"/>
        <v>360</v>
      </c>
      <c r="AJ81" s="19">
        <f t="shared" si="7"/>
        <v>0</v>
      </c>
      <c r="AK81" s="20">
        <f t="shared" si="8"/>
        <v>0</v>
      </c>
      <c r="AL81" s="21">
        <f t="shared" si="5"/>
        <v>0</v>
      </c>
    </row>
    <row r="82" spans="1:38" x14ac:dyDescent="0.25">
      <c r="A82" s="3" t="s">
        <v>190</v>
      </c>
      <c r="B82" s="1" t="s">
        <v>48</v>
      </c>
      <c r="C82" s="1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7">
        <v>0</v>
      </c>
      <c r="AE82" s="5">
        <f t="shared" si="4"/>
        <v>0</v>
      </c>
      <c r="AF82" s="1" t="s">
        <v>107</v>
      </c>
      <c r="AG82" s="19" cm="1">
        <f t="array" ref="AG82">DIASQUIEBRE(Q82:AB82)</f>
        <v>0</v>
      </c>
      <c r="AH82" s="19" cm="1">
        <f t="array" ref="AH82">DiasMesesGris(Q82:AB82)</f>
        <v>360</v>
      </c>
      <c r="AI82" s="19">
        <f t="shared" si="6"/>
        <v>360</v>
      </c>
      <c r="AJ82" s="19">
        <f t="shared" si="7"/>
        <v>0</v>
      </c>
      <c r="AK82" s="20">
        <f t="shared" si="8"/>
        <v>0</v>
      </c>
      <c r="AL82" s="21">
        <f t="shared" si="5"/>
        <v>0</v>
      </c>
    </row>
    <row r="83" spans="1:38" x14ac:dyDescent="0.25">
      <c r="A83" s="3" t="s">
        <v>191</v>
      </c>
      <c r="B83" s="1" t="s">
        <v>192</v>
      </c>
      <c r="C83" s="1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6">
        <v>0</v>
      </c>
      <c r="AC83" s="7">
        <v>0</v>
      </c>
      <c r="AE83" s="5">
        <f t="shared" si="4"/>
        <v>0</v>
      </c>
      <c r="AF83" s="1" t="s">
        <v>107</v>
      </c>
      <c r="AG83" s="19" cm="1">
        <f t="array" ref="AG83">DIASQUIEBRE(Q83:AB83)</f>
        <v>0</v>
      </c>
      <c r="AH83" s="19" cm="1">
        <f t="array" ref="AH83">DiasMesesGris(Q83:AB83)</f>
        <v>360</v>
      </c>
      <c r="AI83" s="19">
        <f t="shared" si="6"/>
        <v>360</v>
      </c>
      <c r="AJ83" s="19">
        <f t="shared" si="7"/>
        <v>0</v>
      </c>
      <c r="AK83" s="20">
        <f t="shared" si="8"/>
        <v>0</v>
      </c>
      <c r="AL83" s="21">
        <f t="shared" si="5"/>
        <v>0</v>
      </c>
    </row>
    <row r="84" spans="1:38" x14ac:dyDescent="0.25">
      <c r="A84" s="3" t="s">
        <v>193</v>
      </c>
      <c r="B84" s="1" t="s">
        <v>194</v>
      </c>
      <c r="C84" s="1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7">
        <v>0</v>
      </c>
      <c r="AE84" s="5">
        <f t="shared" si="4"/>
        <v>0</v>
      </c>
      <c r="AF84" s="1" t="s">
        <v>107</v>
      </c>
      <c r="AG84" s="19" cm="1">
        <f t="array" ref="AG84">DIASQUIEBRE(Q84:AB84)</f>
        <v>0</v>
      </c>
      <c r="AH84" s="19" cm="1">
        <f t="array" ref="AH84">DiasMesesGris(Q84:AB84)</f>
        <v>360</v>
      </c>
      <c r="AI84" s="19">
        <f t="shared" si="6"/>
        <v>360</v>
      </c>
      <c r="AJ84" s="19">
        <f t="shared" si="7"/>
        <v>0</v>
      </c>
      <c r="AK84" s="20">
        <f t="shared" si="8"/>
        <v>0</v>
      </c>
      <c r="AL84" s="21">
        <f t="shared" si="5"/>
        <v>0</v>
      </c>
    </row>
    <row r="85" spans="1:38" x14ac:dyDescent="0.25">
      <c r="A85" s="1" t="s">
        <v>195</v>
      </c>
      <c r="B85" s="1" t="s">
        <v>196</v>
      </c>
      <c r="C85" s="1"/>
      <c r="D85" s="11">
        <v>6</v>
      </c>
      <c r="E85" s="11">
        <v>17</v>
      </c>
      <c r="F85" s="11">
        <v>21</v>
      </c>
      <c r="G85" s="11">
        <v>14</v>
      </c>
      <c r="H85" s="11">
        <v>8</v>
      </c>
      <c r="I85" s="11">
        <v>24</v>
      </c>
      <c r="J85" s="11">
        <v>14</v>
      </c>
      <c r="K85" s="11">
        <v>4</v>
      </c>
      <c r="L85" s="4"/>
      <c r="M85" s="11">
        <v>15</v>
      </c>
      <c r="N85" s="11">
        <v>3</v>
      </c>
      <c r="O85" s="11">
        <v>8</v>
      </c>
      <c r="P85" s="11">
        <v>6</v>
      </c>
      <c r="Q85" s="5">
        <v>0.1075</v>
      </c>
      <c r="R85" s="5">
        <v>0.5484</v>
      </c>
      <c r="S85" s="5">
        <v>1</v>
      </c>
      <c r="T85" s="5">
        <v>0.4516</v>
      </c>
      <c r="U85" s="5">
        <v>0.2424</v>
      </c>
      <c r="V85" s="5">
        <v>0.55300000000000005</v>
      </c>
      <c r="W85" s="5">
        <v>0.5645</v>
      </c>
      <c r="X85" s="5">
        <v>0.2041</v>
      </c>
      <c r="Y85" s="5">
        <v>0</v>
      </c>
      <c r="Z85" s="5">
        <v>0.625</v>
      </c>
      <c r="AA85" s="5">
        <v>9.6799999999999997E-2</v>
      </c>
      <c r="AB85" s="5">
        <v>0.26669999999999999</v>
      </c>
      <c r="AC85" s="8">
        <v>0.1075</v>
      </c>
      <c r="AD85" s="5">
        <v>0.38829999999999998</v>
      </c>
      <c r="AE85" s="5">
        <f t="shared" si="4"/>
        <v>0.33001428571428576</v>
      </c>
      <c r="AF85" s="1" t="s">
        <v>34</v>
      </c>
      <c r="AG85" s="19" cm="1">
        <f t="array" ref="AG85">DIASQUIEBRE(Q85:AB85)</f>
        <v>0</v>
      </c>
      <c r="AH85" s="19" cm="1">
        <f t="array" ref="AH85">DiasMesesGris(Q85:AB85)</f>
        <v>0</v>
      </c>
      <c r="AI85" s="19">
        <f t="shared" si="6"/>
        <v>0</v>
      </c>
      <c r="AJ85" s="19">
        <f t="shared" si="7"/>
        <v>360</v>
      </c>
      <c r="AK85" s="20">
        <f t="shared" si="8"/>
        <v>134</v>
      </c>
      <c r="AL85" s="21">
        <f t="shared" si="5"/>
        <v>0.37222222222222223</v>
      </c>
    </row>
    <row r="86" spans="1:38" x14ac:dyDescent="0.25">
      <c r="A86" s="1" t="s">
        <v>197</v>
      </c>
      <c r="B86" s="1" t="s">
        <v>198</v>
      </c>
      <c r="C86" s="1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7">
        <v>0</v>
      </c>
      <c r="AE86" s="5">
        <f t="shared" si="4"/>
        <v>0</v>
      </c>
      <c r="AF86" s="1" t="s">
        <v>34</v>
      </c>
      <c r="AG86" s="19" cm="1">
        <f t="array" ref="AG86">DIASQUIEBRE(Q86:AB86)</f>
        <v>0</v>
      </c>
      <c r="AH86" s="19" cm="1">
        <f t="array" ref="AH86">DiasMesesGris(Q86:AB86)</f>
        <v>360</v>
      </c>
      <c r="AI86" s="19">
        <f t="shared" si="6"/>
        <v>360</v>
      </c>
      <c r="AJ86" s="19">
        <f t="shared" si="7"/>
        <v>0</v>
      </c>
      <c r="AK86" s="20">
        <f t="shared" si="8"/>
        <v>0</v>
      </c>
      <c r="AL86" s="21">
        <f t="shared" si="5"/>
        <v>0</v>
      </c>
    </row>
    <row r="87" spans="1:38" x14ac:dyDescent="0.25">
      <c r="A87" s="1" t="s">
        <v>199</v>
      </c>
      <c r="B87" s="1" t="s">
        <v>200</v>
      </c>
      <c r="C87" s="1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7">
        <v>0</v>
      </c>
      <c r="AE87" s="5">
        <f t="shared" si="4"/>
        <v>0</v>
      </c>
      <c r="AF87" s="1" t="s">
        <v>34</v>
      </c>
      <c r="AG87" s="19" cm="1">
        <f t="array" ref="AG87">DIASQUIEBRE(Q87:AB87)</f>
        <v>0</v>
      </c>
      <c r="AH87" s="19" cm="1">
        <f t="array" ref="AH87">DiasMesesGris(Q87:AB87)</f>
        <v>360</v>
      </c>
      <c r="AI87" s="19">
        <f t="shared" si="6"/>
        <v>360</v>
      </c>
      <c r="AJ87" s="19">
        <f t="shared" si="7"/>
        <v>0</v>
      </c>
      <c r="AK87" s="20">
        <f t="shared" si="8"/>
        <v>0</v>
      </c>
      <c r="AL87" s="21">
        <f t="shared" si="5"/>
        <v>0</v>
      </c>
    </row>
    <row r="88" spans="1:38" x14ac:dyDescent="0.25">
      <c r="A88" s="1" t="s">
        <v>201</v>
      </c>
      <c r="B88" s="1" t="s">
        <v>202</v>
      </c>
      <c r="C88" s="1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7">
        <v>0</v>
      </c>
      <c r="AE88" s="5">
        <f t="shared" si="4"/>
        <v>0</v>
      </c>
      <c r="AF88" s="1" t="s">
        <v>34</v>
      </c>
      <c r="AG88" s="19" cm="1">
        <f t="array" ref="AG88">DIASQUIEBRE(Q88:AB88)</f>
        <v>0</v>
      </c>
      <c r="AH88" s="19" cm="1">
        <f t="array" ref="AH88">DiasMesesGris(Q88:AB88)</f>
        <v>360</v>
      </c>
      <c r="AI88" s="19">
        <f t="shared" si="6"/>
        <v>360</v>
      </c>
      <c r="AJ88" s="19">
        <f t="shared" si="7"/>
        <v>0</v>
      </c>
      <c r="AK88" s="20">
        <f t="shared" si="8"/>
        <v>0</v>
      </c>
      <c r="AL88" s="21">
        <f t="shared" si="5"/>
        <v>0</v>
      </c>
    </row>
    <row r="89" spans="1:38" x14ac:dyDescent="0.25">
      <c r="A89" s="1" t="s">
        <v>203</v>
      </c>
      <c r="B89" s="1" t="s">
        <v>204</v>
      </c>
      <c r="C89" s="1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6">
        <v>0</v>
      </c>
      <c r="R89" s="6">
        <v>0</v>
      </c>
      <c r="S89" s="6">
        <v>0</v>
      </c>
      <c r="T89" s="6">
        <v>0</v>
      </c>
      <c r="U89" s="6">
        <v>0</v>
      </c>
      <c r="V89" s="6">
        <v>0</v>
      </c>
      <c r="W89" s="6">
        <v>0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7">
        <v>0</v>
      </c>
      <c r="AE89" s="5">
        <f t="shared" si="4"/>
        <v>0</v>
      </c>
      <c r="AF89" s="1" t="s">
        <v>34</v>
      </c>
      <c r="AG89" s="19" cm="1">
        <f t="array" ref="AG89">DIASQUIEBRE(Q89:AB89)</f>
        <v>0</v>
      </c>
      <c r="AH89" s="19" cm="1">
        <f t="array" ref="AH89">DiasMesesGris(Q89:AB89)</f>
        <v>360</v>
      </c>
      <c r="AI89" s="19">
        <f t="shared" si="6"/>
        <v>360</v>
      </c>
      <c r="AJ89" s="19">
        <f t="shared" si="7"/>
        <v>0</v>
      </c>
      <c r="AK89" s="20">
        <f t="shared" si="8"/>
        <v>0</v>
      </c>
      <c r="AL89" s="21">
        <f t="shared" si="5"/>
        <v>0</v>
      </c>
    </row>
    <row r="90" spans="1:38" x14ac:dyDescent="0.25">
      <c r="A90" s="1" t="s">
        <v>205</v>
      </c>
      <c r="B90" s="1" t="s">
        <v>206</v>
      </c>
      <c r="C90" s="1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W90" s="6">
        <v>0</v>
      </c>
      <c r="X90" s="6">
        <v>0</v>
      </c>
      <c r="Y90" s="6">
        <v>0</v>
      </c>
      <c r="Z90" s="6">
        <v>0</v>
      </c>
      <c r="AA90" s="6">
        <v>0</v>
      </c>
      <c r="AB90" s="6">
        <v>0</v>
      </c>
      <c r="AC90" s="7">
        <v>0</v>
      </c>
      <c r="AE90" s="5">
        <f t="shared" si="4"/>
        <v>0</v>
      </c>
      <c r="AF90" s="1" t="s">
        <v>107</v>
      </c>
      <c r="AG90" s="19" cm="1">
        <f t="array" ref="AG90">DIASQUIEBRE(Q90:AB90)</f>
        <v>0</v>
      </c>
      <c r="AH90" s="19" cm="1">
        <f t="array" ref="AH90">DiasMesesGris(Q90:AB90)</f>
        <v>360</v>
      </c>
      <c r="AI90" s="19">
        <f t="shared" si="6"/>
        <v>360</v>
      </c>
      <c r="AJ90" s="19">
        <f t="shared" si="7"/>
        <v>0</v>
      </c>
      <c r="AK90" s="20">
        <f t="shared" si="8"/>
        <v>0</v>
      </c>
      <c r="AL90" s="21">
        <f t="shared" si="5"/>
        <v>0</v>
      </c>
    </row>
    <row r="91" spans="1:38" x14ac:dyDescent="0.25">
      <c r="A91" s="1" t="s">
        <v>207</v>
      </c>
      <c r="B91" s="1" t="s">
        <v>208</v>
      </c>
      <c r="C91" s="1"/>
      <c r="D91" s="11">
        <v>4</v>
      </c>
      <c r="E91" s="11">
        <v>8</v>
      </c>
      <c r="F91" s="11">
        <v>3</v>
      </c>
      <c r="G91" s="11">
        <v>9</v>
      </c>
      <c r="H91" s="11">
        <v>2</v>
      </c>
      <c r="I91" s="4"/>
      <c r="J91" s="11">
        <v>9</v>
      </c>
      <c r="K91" s="4"/>
      <c r="L91" s="11">
        <v>1</v>
      </c>
      <c r="M91" s="4"/>
      <c r="N91" s="4"/>
      <c r="O91" s="11">
        <v>-1</v>
      </c>
      <c r="P91" s="4"/>
      <c r="Q91" s="5">
        <v>7.17E-2</v>
      </c>
      <c r="R91" s="5">
        <v>0.2581</v>
      </c>
      <c r="S91" s="5">
        <v>0.1429</v>
      </c>
      <c r="T91" s="5">
        <v>0.2903</v>
      </c>
      <c r="U91" s="5">
        <v>6.0600000000000001E-2</v>
      </c>
      <c r="V91" s="5">
        <v>0</v>
      </c>
      <c r="W91" s="9">
        <v>1.0226999999999999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7">
        <v>0</v>
      </c>
      <c r="AD91" s="5">
        <v>0.13730000000000001</v>
      </c>
      <c r="AE91" s="5">
        <v>0</v>
      </c>
      <c r="AF91" s="1" t="s">
        <v>107</v>
      </c>
      <c r="AG91" s="19" cm="1">
        <f t="array" ref="AG91">DIASQUIEBRE(Q91:AB91)</f>
        <v>20</v>
      </c>
      <c r="AH91" s="19" cm="1">
        <f t="array" ref="AH91">DiasMesesGris(Q91:AB91)</f>
        <v>150</v>
      </c>
      <c r="AI91" s="19">
        <f t="shared" si="6"/>
        <v>170</v>
      </c>
      <c r="AJ91" s="19">
        <f t="shared" si="7"/>
        <v>190</v>
      </c>
      <c r="AK91" s="20">
        <f t="shared" si="8"/>
        <v>35</v>
      </c>
      <c r="AL91" s="21">
        <f t="shared" si="5"/>
        <v>0.18421052631578946</v>
      </c>
    </row>
    <row r="92" spans="1:38" x14ac:dyDescent="0.25">
      <c r="A92" s="1" t="s">
        <v>209</v>
      </c>
      <c r="B92" s="1" t="s">
        <v>210</v>
      </c>
      <c r="C92" s="1"/>
      <c r="D92" s="11">
        <v>2</v>
      </c>
      <c r="E92" s="11">
        <v>10</v>
      </c>
      <c r="F92" s="11">
        <v>12</v>
      </c>
      <c r="G92" s="11">
        <v>14</v>
      </c>
      <c r="H92" s="11">
        <v>4</v>
      </c>
      <c r="I92" s="11">
        <v>5</v>
      </c>
      <c r="J92" s="11">
        <v>21</v>
      </c>
      <c r="K92" s="11">
        <v>1</v>
      </c>
      <c r="L92" s="11">
        <v>7</v>
      </c>
      <c r="M92" s="11">
        <v>6</v>
      </c>
      <c r="N92" s="11">
        <v>20</v>
      </c>
      <c r="O92" s="11">
        <v>11</v>
      </c>
      <c r="P92" s="11">
        <v>1</v>
      </c>
      <c r="Q92" s="9">
        <v>3.8300000000000001E-2</v>
      </c>
      <c r="R92" s="9">
        <v>2</v>
      </c>
      <c r="S92" s="9">
        <v>0.61219999999999997</v>
      </c>
      <c r="T92" s="5">
        <v>0.4516</v>
      </c>
      <c r="U92" s="9">
        <v>0.36359999999999998</v>
      </c>
      <c r="V92" s="9">
        <v>0.12759999999999999</v>
      </c>
      <c r="W92" s="9">
        <v>0.97219999999999995</v>
      </c>
      <c r="X92" s="5">
        <v>5.0999999999999997E-2</v>
      </c>
      <c r="Y92" s="5">
        <v>0.25090000000000001</v>
      </c>
      <c r="Z92" s="9">
        <v>0.5</v>
      </c>
      <c r="AA92" s="5">
        <v>0.6452</v>
      </c>
      <c r="AB92" s="5">
        <v>0.36670000000000003</v>
      </c>
      <c r="AC92" s="8">
        <v>1.7899999999999999E-2</v>
      </c>
      <c r="AD92" s="5">
        <v>0.35310000000000002</v>
      </c>
      <c r="AE92" s="5">
        <v>0.39</v>
      </c>
      <c r="AF92" s="1" t="s">
        <v>34</v>
      </c>
      <c r="AG92" s="19" cm="1">
        <f t="array" ref="AG92">DIASQUIEBRE(Q92:AB92)</f>
        <v>72</v>
      </c>
      <c r="AH92" s="19" cm="1">
        <f t="array" ref="AH92">DiasMesesGris(Q92:AB92)</f>
        <v>0</v>
      </c>
      <c r="AI92" s="19">
        <f t="shared" si="6"/>
        <v>72</v>
      </c>
      <c r="AJ92" s="19">
        <f t="shared" si="7"/>
        <v>288</v>
      </c>
      <c r="AK92" s="20">
        <f t="shared" si="8"/>
        <v>113</v>
      </c>
      <c r="AL92" s="21">
        <f t="shared" si="5"/>
        <v>0.3923611111111111</v>
      </c>
    </row>
    <row r="93" spans="1:38" x14ac:dyDescent="0.25">
      <c r="A93" s="1" t="s">
        <v>211</v>
      </c>
      <c r="B93" s="1" t="s">
        <v>212</v>
      </c>
      <c r="C93" s="1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7">
        <v>0</v>
      </c>
      <c r="AE93" s="5">
        <f t="shared" si="4"/>
        <v>0</v>
      </c>
      <c r="AF93" s="1" t="s">
        <v>34</v>
      </c>
      <c r="AG93" s="19" cm="1">
        <f t="array" ref="AG93">DIASQUIEBRE(Q93:AB93)</f>
        <v>0</v>
      </c>
      <c r="AH93" s="19" cm="1">
        <f t="array" ref="AH93">DiasMesesGris(Q93:AB93)</f>
        <v>360</v>
      </c>
      <c r="AI93" s="19">
        <f t="shared" si="6"/>
        <v>360</v>
      </c>
      <c r="AJ93" s="19">
        <f t="shared" si="7"/>
        <v>0</v>
      </c>
      <c r="AK93" s="20">
        <f t="shared" si="8"/>
        <v>0</v>
      </c>
      <c r="AL93" s="21">
        <f t="shared" si="5"/>
        <v>0</v>
      </c>
    </row>
    <row r="94" spans="1:38" x14ac:dyDescent="0.25">
      <c r="A94" s="1" t="s">
        <v>213</v>
      </c>
      <c r="B94" s="1" t="s">
        <v>214</v>
      </c>
      <c r="C94" s="1"/>
      <c r="D94" s="11">
        <v>7</v>
      </c>
      <c r="E94" s="11">
        <v>12</v>
      </c>
      <c r="F94" s="11">
        <v>6</v>
      </c>
      <c r="G94" s="11">
        <v>8</v>
      </c>
      <c r="H94" s="11">
        <v>6</v>
      </c>
      <c r="I94" s="11">
        <v>5</v>
      </c>
      <c r="J94" s="11">
        <v>10</v>
      </c>
      <c r="K94" s="11">
        <v>4</v>
      </c>
      <c r="L94" s="11">
        <v>11</v>
      </c>
      <c r="M94" s="11">
        <v>1</v>
      </c>
      <c r="N94" s="11">
        <v>7</v>
      </c>
      <c r="O94" s="4"/>
      <c r="P94" s="4"/>
      <c r="Q94" s="5">
        <v>0.2258</v>
      </c>
      <c r="R94" s="5">
        <v>0.3871</v>
      </c>
      <c r="S94" s="5">
        <v>0.2</v>
      </c>
      <c r="T94" s="5">
        <v>0.2581</v>
      </c>
      <c r="U94" s="5">
        <v>0.2</v>
      </c>
      <c r="V94" s="5">
        <v>0.1613</v>
      </c>
      <c r="W94" s="5">
        <v>0.3226</v>
      </c>
      <c r="X94" s="5">
        <v>0.1429</v>
      </c>
      <c r="Y94" s="5">
        <v>0.3548</v>
      </c>
      <c r="Z94" s="5">
        <v>3.3300000000000003E-2</v>
      </c>
      <c r="AA94" s="9">
        <v>1</v>
      </c>
      <c r="AB94" s="6">
        <v>0</v>
      </c>
      <c r="AC94" s="7">
        <v>0</v>
      </c>
      <c r="AD94" s="5">
        <v>0.2286</v>
      </c>
      <c r="AE94" s="5">
        <v>0.25</v>
      </c>
      <c r="AF94" s="1" t="s">
        <v>34</v>
      </c>
      <c r="AG94" s="19" cm="1">
        <f t="array" ref="AG94">DIASQUIEBRE(Q94:AB94)</f>
        <v>24</v>
      </c>
      <c r="AH94" s="19" cm="1">
        <f t="array" ref="AH94">DiasMesesGris(Q94:AB94)</f>
        <v>30</v>
      </c>
      <c r="AI94" s="19">
        <f t="shared" si="6"/>
        <v>54</v>
      </c>
      <c r="AJ94" s="19">
        <f t="shared" si="7"/>
        <v>306</v>
      </c>
      <c r="AK94" s="20">
        <f t="shared" si="8"/>
        <v>77</v>
      </c>
      <c r="AL94" s="21">
        <f t="shared" si="5"/>
        <v>0.25163398692810457</v>
      </c>
    </row>
    <row r="95" spans="1:38" x14ac:dyDescent="0.25">
      <c r="A95" s="1" t="s">
        <v>215</v>
      </c>
      <c r="B95" s="1" t="s">
        <v>216</v>
      </c>
      <c r="C95" s="1"/>
      <c r="D95" s="11">
        <v>2</v>
      </c>
      <c r="E95" s="11">
        <v>8</v>
      </c>
      <c r="F95" s="11">
        <v>1</v>
      </c>
      <c r="G95" s="11">
        <v>6</v>
      </c>
      <c r="H95" s="11">
        <v>2</v>
      </c>
      <c r="I95" s="11">
        <v>6</v>
      </c>
      <c r="J95" s="11">
        <v>6</v>
      </c>
      <c r="K95" s="11">
        <v>1</v>
      </c>
      <c r="L95" s="11">
        <v>2</v>
      </c>
      <c r="M95" s="4"/>
      <c r="N95" s="11">
        <v>6</v>
      </c>
      <c r="O95" s="11">
        <v>1</v>
      </c>
      <c r="P95" s="11">
        <v>6</v>
      </c>
      <c r="Q95" s="5">
        <v>6.4500000000000002E-2</v>
      </c>
      <c r="R95" s="5">
        <v>0.2581</v>
      </c>
      <c r="S95" s="5">
        <v>3.3300000000000003E-2</v>
      </c>
      <c r="T95" s="5">
        <v>0.19350000000000001</v>
      </c>
      <c r="U95" s="5">
        <v>6.6699999999999995E-2</v>
      </c>
      <c r="V95" s="5">
        <v>0.19350000000000001</v>
      </c>
      <c r="W95" s="5">
        <v>0.19350000000000001</v>
      </c>
      <c r="X95" s="5">
        <v>3.5700000000000003E-2</v>
      </c>
      <c r="Y95" s="5">
        <v>6.4500000000000002E-2</v>
      </c>
      <c r="Z95" s="5">
        <v>0</v>
      </c>
      <c r="AA95" s="5">
        <v>0.19350000000000001</v>
      </c>
      <c r="AB95" s="5">
        <v>3.3300000000000003E-2</v>
      </c>
      <c r="AC95" s="8">
        <v>0.19350000000000001</v>
      </c>
      <c r="AD95" s="5">
        <v>0.1108</v>
      </c>
      <c r="AE95" s="5">
        <f t="shared" si="4"/>
        <v>0.10200000000000001</v>
      </c>
      <c r="AF95" s="1" t="s">
        <v>34</v>
      </c>
      <c r="AG95" s="19" cm="1">
        <f t="array" ref="AG95">DIASQUIEBRE(Q95:AB95)</f>
        <v>0</v>
      </c>
      <c r="AH95" s="19" cm="1">
        <f t="array" ref="AH95">DiasMesesGris(Q95:AB95)</f>
        <v>0</v>
      </c>
      <c r="AI95" s="19">
        <f t="shared" si="6"/>
        <v>0</v>
      </c>
      <c r="AJ95" s="19">
        <f t="shared" si="7"/>
        <v>360</v>
      </c>
      <c r="AK95" s="20">
        <f t="shared" si="8"/>
        <v>41</v>
      </c>
      <c r="AL95" s="21">
        <f t="shared" si="5"/>
        <v>0.11388888888888889</v>
      </c>
    </row>
    <row r="96" spans="1:38" x14ac:dyDescent="0.25">
      <c r="A96" s="1" t="s">
        <v>217</v>
      </c>
      <c r="B96" s="1" t="s">
        <v>218</v>
      </c>
      <c r="C96" s="1"/>
      <c r="D96" s="11">
        <v>15</v>
      </c>
      <c r="E96" s="4"/>
      <c r="F96" s="11">
        <v>-1</v>
      </c>
      <c r="G96" s="11">
        <v>3</v>
      </c>
      <c r="H96" s="4"/>
      <c r="I96" s="11">
        <v>1</v>
      </c>
      <c r="J96" s="4"/>
      <c r="K96" s="4"/>
      <c r="L96" s="4"/>
      <c r="M96" s="4"/>
      <c r="N96" s="4"/>
      <c r="O96" s="4"/>
      <c r="P96" s="4"/>
      <c r="Q96" s="5">
        <v>0.26879999999999998</v>
      </c>
      <c r="R96" s="5">
        <v>0</v>
      </c>
      <c r="S96" s="5">
        <v>-4.7600000000000003E-2</v>
      </c>
      <c r="T96" s="5">
        <v>9.6799999999999997E-2</v>
      </c>
      <c r="U96" s="5">
        <v>0</v>
      </c>
      <c r="V96" s="5">
        <v>2.3E-2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  <c r="AC96" s="8">
        <v>0</v>
      </c>
      <c r="AD96" s="5">
        <v>2.8400000000000002E-2</v>
      </c>
      <c r="AE96" s="5">
        <f t="shared" si="4"/>
        <v>3.2857142857142855E-3</v>
      </c>
      <c r="AF96" s="1" t="s">
        <v>34</v>
      </c>
      <c r="AG96" s="19" cm="1">
        <f t="array" ref="AG96">DIASQUIEBRE(Q96:AB96)</f>
        <v>0</v>
      </c>
      <c r="AH96" s="19" cm="1">
        <f t="array" ref="AH96">DiasMesesGris(Q96:AB96)</f>
        <v>0</v>
      </c>
      <c r="AI96" s="19">
        <f t="shared" si="6"/>
        <v>0</v>
      </c>
      <c r="AJ96" s="19">
        <f t="shared" si="7"/>
        <v>360</v>
      </c>
      <c r="AK96" s="20">
        <f t="shared" si="8"/>
        <v>18</v>
      </c>
      <c r="AL96" s="21">
        <f t="shared" si="5"/>
        <v>0.05</v>
      </c>
    </row>
    <row r="97" spans="1:38" x14ac:dyDescent="0.25">
      <c r="A97" s="1" t="s">
        <v>219</v>
      </c>
      <c r="B97" s="1" t="s">
        <v>220</v>
      </c>
      <c r="C97" s="1"/>
      <c r="D97" s="11">
        <v>106</v>
      </c>
      <c r="E97" s="11">
        <v>42</v>
      </c>
      <c r="F97" s="11">
        <v>82</v>
      </c>
      <c r="G97" s="11">
        <v>72</v>
      </c>
      <c r="H97" s="11">
        <v>18</v>
      </c>
      <c r="I97" s="11">
        <v>142</v>
      </c>
      <c r="J97" s="11">
        <v>17</v>
      </c>
      <c r="K97" s="11">
        <v>25</v>
      </c>
      <c r="L97" s="11">
        <v>51</v>
      </c>
      <c r="M97" s="11">
        <v>62</v>
      </c>
      <c r="N97" s="11">
        <v>37</v>
      </c>
      <c r="O97" s="11">
        <v>40</v>
      </c>
      <c r="P97" s="11">
        <v>46</v>
      </c>
      <c r="Q97" s="9">
        <v>2.0306999999999999</v>
      </c>
      <c r="R97" s="5">
        <v>1.3548</v>
      </c>
      <c r="S97" s="5">
        <v>3.9047999999999998</v>
      </c>
      <c r="T97" s="5">
        <v>2.3226</v>
      </c>
      <c r="U97" s="9">
        <v>0.65449999999999997</v>
      </c>
      <c r="V97" s="9">
        <v>3.6223999999999998</v>
      </c>
      <c r="W97" s="5">
        <v>0.6855</v>
      </c>
      <c r="X97" s="5">
        <v>1.2755000000000001</v>
      </c>
      <c r="Y97" s="5">
        <v>1.8280000000000001</v>
      </c>
      <c r="Z97" s="5">
        <v>2.5832999999999999</v>
      </c>
      <c r="AA97" s="5">
        <v>1.1935</v>
      </c>
      <c r="AB97" s="5">
        <v>1.3332999999999999</v>
      </c>
      <c r="AC97" s="8">
        <v>0.82440000000000002</v>
      </c>
      <c r="AD97" s="5">
        <v>1.8312999999999999</v>
      </c>
      <c r="AE97" s="5">
        <f t="shared" si="4"/>
        <v>1.7887857142857142</v>
      </c>
      <c r="AF97" s="1" t="s">
        <v>34</v>
      </c>
      <c r="AG97" s="19" cm="1">
        <f t="array" ref="AG97">DIASQUIEBRE(Q97:AB97)</f>
        <v>10</v>
      </c>
      <c r="AH97" s="19" cm="1">
        <f t="array" ref="AH97">DiasMesesGris(Q97:AB97)</f>
        <v>0</v>
      </c>
      <c r="AI97" s="19">
        <f t="shared" si="6"/>
        <v>10</v>
      </c>
      <c r="AJ97" s="19">
        <f t="shared" si="7"/>
        <v>350</v>
      </c>
      <c r="AK97" s="20">
        <f t="shared" si="8"/>
        <v>694</v>
      </c>
      <c r="AL97" s="21">
        <f t="shared" si="5"/>
        <v>1.9828571428571429</v>
      </c>
    </row>
    <row r="98" spans="1:38" x14ac:dyDescent="0.25">
      <c r="A98" s="1" t="s">
        <v>221</v>
      </c>
      <c r="B98" s="1" t="s">
        <v>222</v>
      </c>
      <c r="C98" s="1"/>
      <c r="D98" s="4"/>
      <c r="E98" s="4"/>
      <c r="F98" s="11">
        <v>1</v>
      </c>
      <c r="G98" s="4"/>
      <c r="H98" s="4"/>
      <c r="I98" s="11">
        <v>13</v>
      </c>
      <c r="J98" s="11">
        <v>2</v>
      </c>
      <c r="K98" s="11">
        <v>4</v>
      </c>
      <c r="L98" s="11">
        <v>1</v>
      </c>
      <c r="M98" s="11">
        <v>5</v>
      </c>
      <c r="N98" s="11">
        <v>1</v>
      </c>
      <c r="O98" s="4"/>
      <c r="P98" s="11">
        <v>3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9">
        <v>0.33160000000000001</v>
      </c>
      <c r="W98" s="5">
        <v>8.0600000000000005E-2</v>
      </c>
      <c r="X98" s="5">
        <v>0.2041</v>
      </c>
      <c r="Y98" s="5">
        <v>3.5799999999999998E-2</v>
      </c>
      <c r="Z98" s="5">
        <v>0.20830000000000001</v>
      </c>
      <c r="AA98" s="5">
        <v>3.2300000000000002E-2</v>
      </c>
      <c r="AB98" s="5">
        <v>0</v>
      </c>
      <c r="AC98" s="8">
        <v>5.3800000000000001E-2</v>
      </c>
      <c r="AD98" s="5">
        <v>9.35E-2</v>
      </c>
      <c r="AE98" s="5">
        <f t="shared" si="4"/>
        <v>0.12752857142857146</v>
      </c>
      <c r="AF98" s="1" t="s">
        <v>34</v>
      </c>
      <c r="AG98" s="19" cm="1">
        <f t="array" ref="AG98">DIASQUIEBRE(Q98:AB98)</f>
        <v>3</v>
      </c>
      <c r="AH98" s="19" cm="1">
        <f t="array" ref="AH98">DiasMesesGris(Q98:AB98)</f>
        <v>150</v>
      </c>
      <c r="AI98" s="19">
        <f t="shared" si="6"/>
        <v>153</v>
      </c>
      <c r="AJ98" s="19">
        <f t="shared" si="7"/>
        <v>207</v>
      </c>
      <c r="AK98" s="20">
        <f t="shared" si="8"/>
        <v>27</v>
      </c>
      <c r="AL98" s="21">
        <f t="shared" si="5"/>
        <v>0.13043478260869565</v>
      </c>
    </row>
    <row r="99" spans="1:38" x14ac:dyDescent="0.25">
      <c r="A99" s="1" t="s">
        <v>223</v>
      </c>
      <c r="B99" s="1" t="s">
        <v>224</v>
      </c>
      <c r="C99" s="1"/>
      <c r="D99" s="11">
        <v>64</v>
      </c>
      <c r="E99" s="11">
        <v>17</v>
      </c>
      <c r="F99" s="11">
        <v>7</v>
      </c>
      <c r="G99" s="11">
        <v>13</v>
      </c>
      <c r="H99" s="4"/>
      <c r="I99" s="4"/>
      <c r="J99" s="11">
        <v>1</v>
      </c>
      <c r="K99" s="11">
        <v>2</v>
      </c>
      <c r="L99" s="11">
        <v>13</v>
      </c>
      <c r="M99" s="11">
        <v>7</v>
      </c>
      <c r="N99" s="11">
        <v>8</v>
      </c>
      <c r="O99" s="11">
        <v>9</v>
      </c>
      <c r="P99" s="11">
        <v>5</v>
      </c>
      <c r="Q99" s="9">
        <v>1.2261</v>
      </c>
      <c r="R99" s="9">
        <v>4.25</v>
      </c>
      <c r="S99" s="9">
        <v>0.35709999999999997</v>
      </c>
      <c r="T99" s="9">
        <v>0.68420000000000003</v>
      </c>
      <c r="U99" s="6">
        <v>0</v>
      </c>
      <c r="V99" s="6">
        <v>0</v>
      </c>
      <c r="W99" s="9">
        <v>5.4300000000000001E-2</v>
      </c>
      <c r="X99" s="5">
        <v>0.10199999999999999</v>
      </c>
      <c r="Y99" s="5">
        <v>0.46589999999999998</v>
      </c>
      <c r="Z99" s="5">
        <v>0.29170000000000001</v>
      </c>
      <c r="AA99" s="5">
        <v>0.2581</v>
      </c>
      <c r="AB99" s="5">
        <v>0.3</v>
      </c>
      <c r="AC99" s="8">
        <v>8.9599999999999999E-2</v>
      </c>
      <c r="AD99" s="5">
        <v>0.28349999999999997</v>
      </c>
      <c r="AE99" s="5">
        <v>0.28000000000000003</v>
      </c>
      <c r="AF99" s="1" t="s">
        <v>34</v>
      </c>
      <c r="AG99" s="19" cm="1">
        <f t="array" ref="AG99">DIASQUIEBRE(Q99:AB99)</f>
        <v>51</v>
      </c>
      <c r="AH99" s="19" cm="1">
        <f t="array" ref="AH99">DiasMesesGris(Q99:AB99)</f>
        <v>60</v>
      </c>
      <c r="AI99" s="19">
        <f t="shared" si="6"/>
        <v>111</v>
      </c>
      <c r="AJ99" s="19">
        <f t="shared" si="7"/>
        <v>249</v>
      </c>
      <c r="AK99" s="20">
        <f t="shared" si="8"/>
        <v>141</v>
      </c>
      <c r="AL99" s="21">
        <f t="shared" si="5"/>
        <v>0.5662650602409639</v>
      </c>
    </row>
    <row r="100" spans="1:38" x14ac:dyDescent="0.25">
      <c r="A100" s="1" t="s">
        <v>225</v>
      </c>
      <c r="B100" s="1" t="s">
        <v>226</v>
      </c>
      <c r="C100" s="1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v>0</v>
      </c>
      <c r="W100" s="6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7">
        <v>0</v>
      </c>
      <c r="AE100" s="5">
        <f t="shared" si="4"/>
        <v>0</v>
      </c>
      <c r="AF100" s="1" t="s">
        <v>34</v>
      </c>
      <c r="AG100" s="19" cm="1">
        <f t="array" ref="AG100">DIASQUIEBRE(Q100:AB100)</f>
        <v>0</v>
      </c>
      <c r="AH100" s="19" cm="1">
        <f t="array" ref="AH100">DiasMesesGris(Q100:AB100)</f>
        <v>360</v>
      </c>
      <c r="AI100" s="19">
        <f t="shared" si="6"/>
        <v>360</v>
      </c>
      <c r="AJ100" s="19">
        <f t="shared" si="7"/>
        <v>0</v>
      </c>
      <c r="AK100" s="20">
        <f t="shared" si="8"/>
        <v>0</v>
      </c>
      <c r="AL100" s="21">
        <f t="shared" si="5"/>
        <v>0</v>
      </c>
    </row>
    <row r="101" spans="1:38" x14ac:dyDescent="0.25">
      <c r="A101" s="1" t="s">
        <v>227</v>
      </c>
      <c r="B101" s="1" t="s">
        <v>228</v>
      </c>
      <c r="C101" s="1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6">
        <v>0</v>
      </c>
      <c r="R101" s="6">
        <v>0</v>
      </c>
      <c r="S101" s="6">
        <v>0</v>
      </c>
      <c r="T101" s="6">
        <v>0</v>
      </c>
      <c r="U101" s="6">
        <v>0</v>
      </c>
      <c r="V101" s="6">
        <v>0</v>
      </c>
      <c r="W101" s="6">
        <v>0</v>
      </c>
      <c r="X101" s="6">
        <v>0</v>
      </c>
      <c r="Y101" s="6">
        <v>0</v>
      </c>
      <c r="Z101" s="6">
        <v>0</v>
      </c>
      <c r="AA101" s="6">
        <v>0</v>
      </c>
      <c r="AB101" s="6">
        <v>0</v>
      </c>
      <c r="AC101" s="7">
        <v>0</v>
      </c>
      <c r="AE101" s="5">
        <f t="shared" si="4"/>
        <v>0</v>
      </c>
      <c r="AF101" s="1" t="s">
        <v>34</v>
      </c>
      <c r="AG101" s="19" cm="1">
        <f t="array" ref="AG101">DIASQUIEBRE(Q101:AB101)</f>
        <v>0</v>
      </c>
      <c r="AH101" s="19" cm="1">
        <f t="array" ref="AH101">DiasMesesGris(Q101:AB101)</f>
        <v>360</v>
      </c>
      <c r="AI101" s="19">
        <f t="shared" si="6"/>
        <v>360</v>
      </c>
      <c r="AJ101" s="19">
        <f t="shared" si="7"/>
        <v>0</v>
      </c>
      <c r="AK101" s="20">
        <f t="shared" si="8"/>
        <v>0</v>
      </c>
      <c r="AL101" s="21">
        <f t="shared" si="5"/>
        <v>0</v>
      </c>
    </row>
    <row r="102" spans="1:38" x14ac:dyDescent="0.25">
      <c r="A102" s="1" t="s">
        <v>229</v>
      </c>
      <c r="B102" s="1" t="s">
        <v>230</v>
      </c>
      <c r="C102" s="1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v>0</v>
      </c>
      <c r="W102" s="6">
        <v>0</v>
      </c>
      <c r="X102" s="6">
        <v>0</v>
      </c>
      <c r="Y102" s="6">
        <v>0</v>
      </c>
      <c r="Z102" s="6">
        <v>0</v>
      </c>
      <c r="AA102" s="6">
        <v>0</v>
      </c>
      <c r="AB102" s="6">
        <v>0</v>
      </c>
      <c r="AC102" s="7">
        <v>0</v>
      </c>
      <c r="AE102" s="5">
        <f t="shared" si="4"/>
        <v>0</v>
      </c>
      <c r="AF102" s="1" t="s">
        <v>34</v>
      </c>
      <c r="AG102" s="19" cm="1">
        <f t="array" ref="AG102">DIASQUIEBRE(Q102:AB102)</f>
        <v>0</v>
      </c>
      <c r="AH102" s="19" cm="1">
        <f t="array" ref="AH102">DiasMesesGris(Q102:AB102)</f>
        <v>360</v>
      </c>
      <c r="AI102" s="19">
        <f t="shared" si="6"/>
        <v>360</v>
      </c>
      <c r="AJ102" s="19">
        <f t="shared" si="7"/>
        <v>0</v>
      </c>
      <c r="AK102" s="20">
        <f t="shared" si="8"/>
        <v>0</v>
      </c>
      <c r="AL102" s="21">
        <f t="shared" si="5"/>
        <v>0</v>
      </c>
    </row>
    <row r="103" spans="1:38" x14ac:dyDescent="0.25">
      <c r="A103" s="1" t="s">
        <v>231</v>
      </c>
      <c r="B103" s="1" t="s">
        <v>232</v>
      </c>
      <c r="C103" s="1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6">
        <v>0</v>
      </c>
      <c r="R103" s="6">
        <v>0</v>
      </c>
      <c r="S103" s="6">
        <v>0</v>
      </c>
      <c r="T103" s="6">
        <v>0</v>
      </c>
      <c r="U103" s="6">
        <v>0</v>
      </c>
      <c r="V103" s="6">
        <v>0</v>
      </c>
      <c r="W103" s="6">
        <v>0</v>
      </c>
      <c r="X103" s="6">
        <v>0</v>
      </c>
      <c r="Y103" s="6">
        <v>0</v>
      </c>
      <c r="Z103" s="6">
        <v>0</v>
      </c>
      <c r="AA103" s="6">
        <v>0</v>
      </c>
      <c r="AB103" s="6">
        <v>0</v>
      </c>
      <c r="AC103" s="7">
        <v>0</v>
      </c>
      <c r="AE103" s="5">
        <f t="shared" si="4"/>
        <v>0</v>
      </c>
      <c r="AF103" s="1" t="s">
        <v>34</v>
      </c>
      <c r="AG103" s="19" cm="1">
        <f t="array" ref="AG103">DIASQUIEBRE(Q103:AB103)</f>
        <v>0</v>
      </c>
      <c r="AH103" s="19" cm="1">
        <f t="array" ref="AH103">DiasMesesGris(Q103:AB103)</f>
        <v>360</v>
      </c>
      <c r="AI103" s="19">
        <f t="shared" si="6"/>
        <v>360</v>
      </c>
      <c r="AJ103" s="19">
        <f t="shared" si="7"/>
        <v>0</v>
      </c>
      <c r="AK103" s="20">
        <f t="shared" si="8"/>
        <v>0</v>
      </c>
      <c r="AL103" s="21">
        <f t="shared" si="5"/>
        <v>0</v>
      </c>
    </row>
    <row r="104" spans="1:38" x14ac:dyDescent="0.25">
      <c r="A104" s="1" t="s">
        <v>233</v>
      </c>
      <c r="B104" s="1" t="s">
        <v>234</v>
      </c>
      <c r="C104" s="1"/>
      <c r="D104" s="11">
        <v>18</v>
      </c>
      <c r="E104" s="11">
        <v>4</v>
      </c>
      <c r="F104" s="11">
        <v>6</v>
      </c>
      <c r="G104" s="11">
        <v>12</v>
      </c>
      <c r="H104" s="11">
        <v>5</v>
      </c>
      <c r="I104" s="11">
        <v>6</v>
      </c>
      <c r="J104" s="11">
        <v>4</v>
      </c>
      <c r="K104" s="11">
        <v>3</v>
      </c>
      <c r="L104" s="11">
        <v>5</v>
      </c>
      <c r="M104" s="4"/>
      <c r="N104" s="11">
        <v>7</v>
      </c>
      <c r="O104" s="4"/>
      <c r="P104" s="11">
        <v>7</v>
      </c>
      <c r="Q104" s="5">
        <v>0.3226</v>
      </c>
      <c r="R104" s="5">
        <v>0.129</v>
      </c>
      <c r="S104" s="5">
        <v>0.28570000000000001</v>
      </c>
      <c r="T104" s="5">
        <v>0.3871</v>
      </c>
      <c r="U104" s="5">
        <v>0.1515</v>
      </c>
      <c r="V104" s="5">
        <v>0.13819999999999999</v>
      </c>
      <c r="W104" s="5">
        <v>0.1613</v>
      </c>
      <c r="X104" s="5">
        <v>0.15310000000000001</v>
      </c>
      <c r="Y104" s="5">
        <v>0.1792</v>
      </c>
      <c r="Z104" s="5">
        <v>0</v>
      </c>
      <c r="AA104" s="5">
        <v>0.2258</v>
      </c>
      <c r="AB104" s="5">
        <v>0</v>
      </c>
      <c r="AC104" s="8">
        <v>0.12540000000000001</v>
      </c>
      <c r="AD104" s="5">
        <v>0.17780000000000001</v>
      </c>
      <c r="AE104" s="5">
        <f t="shared" si="4"/>
        <v>0.12251428571428571</v>
      </c>
      <c r="AF104" s="1" t="s">
        <v>34</v>
      </c>
      <c r="AG104" s="19" cm="1">
        <f t="array" ref="AG104">DIASQUIEBRE(Q104:AB104)</f>
        <v>0</v>
      </c>
      <c r="AH104" s="19" cm="1">
        <f t="array" ref="AH104">DiasMesesGris(Q104:AB104)</f>
        <v>0</v>
      </c>
      <c r="AI104" s="19">
        <f t="shared" si="6"/>
        <v>0</v>
      </c>
      <c r="AJ104" s="19">
        <f t="shared" si="7"/>
        <v>360</v>
      </c>
      <c r="AK104" s="20">
        <f t="shared" si="8"/>
        <v>70</v>
      </c>
      <c r="AL104" s="21">
        <f t="shared" si="5"/>
        <v>0.19444444444444445</v>
      </c>
    </row>
    <row r="105" spans="1:38" x14ac:dyDescent="0.25">
      <c r="A105" s="1" t="s">
        <v>235</v>
      </c>
      <c r="B105" s="1" t="s">
        <v>236</v>
      </c>
      <c r="C105" s="1"/>
      <c r="D105" s="11">
        <v>4</v>
      </c>
      <c r="E105" s="11">
        <v>15</v>
      </c>
      <c r="F105" s="11">
        <v>10</v>
      </c>
      <c r="G105" s="11">
        <v>19</v>
      </c>
      <c r="H105" s="11">
        <v>30</v>
      </c>
      <c r="I105" s="11">
        <v>10</v>
      </c>
      <c r="J105" s="11">
        <v>26</v>
      </c>
      <c r="K105" s="11">
        <v>4</v>
      </c>
      <c r="L105" s="11">
        <v>5</v>
      </c>
      <c r="M105" s="11">
        <v>10</v>
      </c>
      <c r="N105" s="11">
        <v>4</v>
      </c>
      <c r="O105" s="11">
        <v>31</v>
      </c>
      <c r="P105" s="11">
        <v>8</v>
      </c>
      <c r="Q105" s="5">
        <v>7.17E-2</v>
      </c>
      <c r="R105" s="5">
        <v>0.4839</v>
      </c>
      <c r="S105" s="5">
        <v>0.47620000000000001</v>
      </c>
      <c r="T105" s="5">
        <v>0.6129</v>
      </c>
      <c r="U105" s="5">
        <v>0.90910000000000002</v>
      </c>
      <c r="V105" s="5">
        <v>0.23039999999999999</v>
      </c>
      <c r="W105" s="5">
        <v>1.0484</v>
      </c>
      <c r="X105" s="5">
        <v>0.2041</v>
      </c>
      <c r="Y105" s="5">
        <v>0.1792</v>
      </c>
      <c r="Z105" s="5">
        <v>0.41670000000000001</v>
      </c>
      <c r="AA105" s="5">
        <v>0.129</v>
      </c>
      <c r="AB105" s="5">
        <v>1.0333000000000001</v>
      </c>
      <c r="AC105" s="7">
        <v>0.3175</v>
      </c>
      <c r="AD105" s="5">
        <v>0.4829</v>
      </c>
      <c r="AE105" s="5">
        <f t="shared" si="4"/>
        <v>0.46301428571428571</v>
      </c>
      <c r="AF105" s="1" t="s">
        <v>107</v>
      </c>
      <c r="AG105" s="19" cm="1">
        <f t="array" ref="AG105">DIASQUIEBRE(Q105:AB105)</f>
        <v>0</v>
      </c>
      <c r="AH105" s="19" cm="1">
        <f t="array" ref="AH105">DiasMesesGris(Q105:AB105)</f>
        <v>0</v>
      </c>
      <c r="AI105" s="19">
        <f t="shared" si="6"/>
        <v>0</v>
      </c>
      <c r="AJ105" s="19">
        <f t="shared" si="7"/>
        <v>360</v>
      </c>
      <c r="AK105" s="20">
        <f t="shared" si="8"/>
        <v>168</v>
      </c>
      <c r="AL105" s="21">
        <f t="shared" si="5"/>
        <v>0.46666666666666667</v>
      </c>
    </row>
    <row r="106" spans="1:38" x14ac:dyDescent="0.25">
      <c r="A106" s="1" t="s">
        <v>237</v>
      </c>
      <c r="B106" s="1" t="s">
        <v>238</v>
      </c>
      <c r="C106" s="1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  <c r="AC106" s="7">
        <v>0</v>
      </c>
      <c r="AE106" s="5">
        <f t="shared" si="4"/>
        <v>0</v>
      </c>
      <c r="AF106" s="1" t="s">
        <v>34</v>
      </c>
      <c r="AG106" s="19" cm="1">
        <f t="array" ref="AG106">DIASQUIEBRE(Q106:AB106)</f>
        <v>0</v>
      </c>
      <c r="AH106" s="19" cm="1">
        <f t="array" ref="AH106">DiasMesesGris(Q106:AB106)</f>
        <v>360</v>
      </c>
      <c r="AI106" s="19">
        <f t="shared" si="6"/>
        <v>360</v>
      </c>
      <c r="AJ106" s="19">
        <f t="shared" si="7"/>
        <v>0</v>
      </c>
      <c r="AK106" s="20">
        <f t="shared" si="8"/>
        <v>0</v>
      </c>
      <c r="AL106" s="21">
        <f t="shared" si="5"/>
        <v>0</v>
      </c>
    </row>
    <row r="107" spans="1:38" x14ac:dyDescent="0.25">
      <c r="A107" s="1" t="s">
        <v>239</v>
      </c>
      <c r="B107" s="1" t="s">
        <v>240</v>
      </c>
      <c r="C107" s="1"/>
      <c r="D107" s="11">
        <v>1</v>
      </c>
      <c r="E107" s="11">
        <v>-1</v>
      </c>
      <c r="F107" s="11">
        <v>1</v>
      </c>
      <c r="G107" s="4"/>
      <c r="H107" s="4"/>
      <c r="I107" s="4"/>
      <c r="J107" s="4"/>
      <c r="K107" s="4"/>
      <c r="L107" s="4"/>
      <c r="M107" s="11">
        <v>2</v>
      </c>
      <c r="N107" s="4"/>
      <c r="O107" s="4"/>
      <c r="P107" s="4"/>
      <c r="Q107" s="5">
        <v>1.7899999999999999E-2</v>
      </c>
      <c r="R107" s="5">
        <v>-3.2300000000000002E-2</v>
      </c>
      <c r="S107" s="5">
        <v>4.7600000000000003E-2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Z107" s="5">
        <v>8.3299999999999999E-2</v>
      </c>
      <c r="AA107" s="5">
        <v>0</v>
      </c>
      <c r="AB107" s="5">
        <v>0</v>
      </c>
      <c r="AC107" s="8">
        <v>0</v>
      </c>
      <c r="AD107" s="5">
        <v>9.7000000000000003E-3</v>
      </c>
      <c r="AE107" s="5">
        <f t="shared" si="4"/>
        <v>1.1899999999999999E-2</v>
      </c>
      <c r="AF107" s="1" t="s">
        <v>34</v>
      </c>
      <c r="AG107" s="19" cm="1">
        <f t="array" ref="AG107">DIASQUIEBRE(Q107:AB107)</f>
        <v>0</v>
      </c>
      <c r="AH107" s="19" cm="1">
        <f t="array" ref="AH107">DiasMesesGris(Q107:AB107)</f>
        <v>0</v>
      </c>
      <c r="AI107" s="19">
        <f t="shared" si="6"/>
        <v>0</v>
      </c>
      <c r="AJ107" s="19">
        <f t="shared" si="7"/>
        <v>360</v>
      </c>
      <c r="AK107" s="20">
        <f t="shared" si="8"/>
        <v>3</v>
      </c>
      <c r="AL107" s="21">
        <f t="shared" si="5"/>
        <v>8.3333333333333332E-3</v>
      </c>
    </row>
    <row r="108" spans="1:38" x14ac:dyDescent="0.25">
      <c r="A108" s="1" t="s">
        <v>241</v>
      </c>
      <c r="B108" s="1" t="s">
        <v>242</v>
      </c>
      <c r="C108" s="1"/>
      <c r="D108" s="11">
        <v>1</v>
      </c>
      <c r="E108" s="11">
        <v>-1</v>
      </c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5">
        <v>1.7899999999999999E-2</v>
      </c>
      <c r="R108" s="5">
        <v>-3.2300000000000002E-2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Z108" s="5">
        <v>0</v>
      </c>
      <c r="AA108" s="5">
        <v>0</v>
      </c>
      <c r="AB108" s="5">
        <v>0</v>
      </c>
      <c r="AC108" s="8">
        <v>0</v>
      </c>
      <c r="AE108" s="5">
        <f t="shared" si="4"/>
        <v>0</v>
      </c>
      <c r="AF108" s="1" t="s">
        <v>34</v>
      </c>
      <c r="AG108" s="19" cm="1">
        <f t="array" ref="AG108">DIASQUIEBRE(Q108:AB108)</f>
        <v>0</v>
      </c>
      <c r="AH108" s="19" cm="1">
        <f t="array" ref="AH108">DiasMesesGris(Q108:AB108)</f>
        <v>0</v>
      </c>
      <c r="AI108" s="19">
        <f t="shared" si="6"/>
        <v>0</v>
      </c>
      <c r="AJ108" s="19">
        <f t="shared" si="7"/>
        <v>360</v>
      </c>
      <c r="AK108" s="20">
        <f t="shared" si="8"/>
        <v>0</v>
      </c>
      <c r="AL108" s="21">
        <f t="shared" si="5"/>
        <v>0</v>
      </c>
    </row>
    <row r="109" spans="1:38" x14ac:dyDescent="0.25">
      <c r="A109" s="1" t="s">
        <v>243</v>
      </c>
      <c r="B109" s="1" t="s">
        <v>244</v>
      </c>
      <c r="C109" s="1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Z109" s="5">
        <v>0</v>
      </c>
      <c r="AA109" s="5">
        <v>0</v>
      </c>
      <c r="AB109" s="5">
        <v>0</v>
      </c>
      <c r="AC109" s="8">
        <v>0</v>
      </c>
      <c r="AE109" s="5">
        <f t="shared" ref="AE109:AE172" si="9">AVERAGE(V109:AB109)</f>
        <v>0</v>
      </c>
      <c r="AF109" s="1" t="s">
        <v>34</v>
      </c>
      <c r="AG109" s="19" cm="1">
        <f t="array" ref="AG109">DIASQUIEBRE(Q109:AB109)</f>
        <v>0</v>
      </c>
      <c r="AH109" s="19" cm="1">
        <f t="array" ref="AH109">DiasMesesGris(Q109:AB109)</f>
        <v>0</v>
      </c>
      <c r="AI109" s="19">
        <f t="shared" si="6"/>
        <v>0</v>
      </c>
      <c r="AJ109" s="19">
        <f t="shared" si="7"/>
        <v>360</v>
      </c>
      <c r="AK109" s="20">
        <f t="shared" si="8"/>
        <v>0</v>
      </c>
      <c r="AL109" s="21">
        <f t="shared" si="5"/>
        <v>0</v>
      </c>
    </row>
    <row r="110" spans="1:38" x14ac:dyDescent="0.25">
      <c r="A110" s="1" t="s">
        <v>245</v>
      </c>
      <c r="B110" s="1" t="s">
        <v>246</v>
      </c>
      <c r="C110" s="1"/>
      <c r="D110" s="11">
        <v>7</v>
      </c>
      <c r="E110" s="11">
        <v>1</v>
      </c>
      <c r="F110" s="11">
        <v>1</v>
      </c>
      <c r="G110" s="11">
        <v>3</v>
      </c>
      <c r="H110" s="11">
        <v>1</v>
      </c>
      <c r="I110" s="11">
        <v>3</v>
      </c>
      <c r="J110" s="11">
        <v>2</v>
      </c>
      <c r="K110" s="4"/>
      <c r="L110" s="11">
        <v>2</v>
      </c>
      <c r="M110" s="11">
        <v>2</v>
      </c>
      <c r="N110" s="11">
        <v>2</v>
      </c>
      <c r="O110" s="11">
        <v>1</v>
      </c>
      <c r="P110" s="11">
        <v>2</v>
      </c>
      <c r="Q110" s="5">
        <v>0.12540000000000001</v>
      </c>
      <c r="R110" s="5">
        <v>3.2300000000000002E-2</v>
      </c>
      <c r="S110" s="5">
        <v>4.7600000000000003E-2</v>
      </c>
      <c r="T110" s="5">
        <v>9.6799999999999997E-2</v>
      </c>
      <c r="U110" s="5">
        <v>3.0300000000000001E-2</v>
      </c>
      <c r="V110" s="5">
        <v>6.9099999999999995E-2</v>
      </c>
      <c r="W110" s="5">
        <v>8.0600000000000005E-2</v>
      </c>
      <c r="X110" s="5">
        <v>0</v>
      </c>
      <c r="Y110" s="5">
        <v>7.17E-2</v>
      </c>
      <c r="Z110" s="5">
        <v>8.3299999999999999E-2</v>
      </c>
      <c r="AA110" s="5">
        <v>6.4500000000000002E-2</v>
      </c>
      <c r="AB110" s="5">
        <v>3.3300000000000003E-2</v>
      </c>
      <c r="AC110" s="8">
        <v>3.5799999999999998E-2</v>
      </c>
      <c r="AD110" s="5">
        <v>6.1199999999999997E-2</v>
      </c>
      <c r="AE110" s="5">
        <f t="shared" si="9"/>
        <v>5.7499999999999996E-2</v>
      </c>
      <c r="AF110" s="1" t="s">
        <v>107</v>
      </c>
      <c r="AG110" s="19" cm="1">
        <f t="array" ref="AG110">DIASQUIEBRE(Q110:AB110)</f>
        <v>0</v>
      </c>
      <c r="AH110" s="19" cm="1">
        <f t="array" ref="AH110">DiasMesesGris(Q110:AB110)</f>
        <v>0</v>
      </c>
      <c r="AI110" s="19">
        <f t="shared" si="6"/>
        <v>0</v>
      </c>
      <c r="AJ110" s="19">
        <f t="shared" si="7"/>
        <v>360</v>
      </c>
      <c r="AK110" s="20">
        <f t="shared" si="8"/>
        <v>25</v>
      </c>
      <c r="AL110" s="21">
        <f t="shared" si="5"/>
        <v>6.9444444444444448E-2</v>
      </c>
    </row>
    <row r="111" spans="1:38" x14ac:dyDescent="0.25">
      <c r="A111" s="1" t="s">
        <v>247</v>
      </c>
      <c r="B111" s="1" t="s">
        <v>248</v>
      </c>
      <c r="C111" s="1"/>
      <c r="D111" s="11">
        <v>3</v>
      </c>
      <c r="E111" s="11">
        <v>3</v>
      </c>
      <c r="F111" s="11">
        <v>4</v>
      </c>
      <c r="G111" s="4"/>
      <c r="H111" s="11">
        <v>1</v>
      </c>
      <c r="I111" s="11">
        <v>3</v>
      </c>
      <c r="J111" s="11">
        <v>7</v>
      </c>
      <c r="K111" s="4"/>
      <c r="L111" s="11">
        <v>1</v>
      </c>
      <c r="M111" s="11">
        <v>2</v>
      </c>
      <c r="N111" s="11">
        <v>-1</v>
      </c>
      <c r="O111" s="11">
        <v>1</v>
      </c>
      <c r="P111" s="4"/>
      <c r="Q111" s="5">
        <v>5.3800000000000001E-2</v>
      </c>
      <c r="R111" s="5">
        <v>9.6799999999999997E-2</v>
      </c>
      <c r="S111" s="5">
        <v>0.1905</v>
      </c>
      <c r="T111" s="5">
        <v>0</v>
      </c>
      <c r="U111" s="5">
        <v>3.0300000000000001E-2</v>
      </c>
      <c r="V111" s="5">
        <v>6.9099999999999995E-2</v>
      </c>
      <c r="W111" s="5">
        <v>0.2823</v>
      </c>
      <c r="X111" s="5">
        <v>0</v>
      </c>
      <c r="Y111" s="5">
        <v>3.5799999999999998E-2</v>
      </c>
      <c r="Z111" s="5">
        <v>8.3299999999999999E-2</v>
      </c>
      <c r="AA111" s="5">
        <v>-3.2300000000000002E-2</v>
      </c>
      <c r="AB111" s="5">
        <v>3.3300000000000003E-2</v>
      </c>
      <c r="AC111" s="8">
        <v>0</v>
      </c>
      <c r="AD111" s="5">
        <v>7.0199999999999999E-2</v>
      </c>
      <c r="AE111" s="5">
        <f t="shared" si="9"/>
        <v>6.7357142857142852E-2</v>
      </c>
      <c r="AF111" s="1" t="s">
        <v>107</v>
      </c>
      <c r="AG111" s="19" cm="1">
        <f t="array" ref="AG111">DIASQUIEBRE(Q111:AB111)</f>
        <v>0</v>
      </c>
      <c r="AH111" s="19" cm="1">
        <f t="array" ref="AH111">DiasMesesGris(Q111:AB111)</f>
        <v>0</v>
      </c>
      <c r="AI111" s="19">
        <f t="shared" si="6"/>
        <v>0</v>
      </c>
      <c r="AJ111" s="19">
        <f t="shared" si="7"/>
        <v>360</v>
      </c>
      <c r="AK111" s="20">
        <f t="shared" si="8"/>
        <v>24</v>
      </c>
      <c r="AL111" s="21">
        <f t="shared" si="5"/>
        <v>6.6666666666666666E-2</v>
      </c>
    </row>
    <row r="112" spans="1:38" x14ac:dyDescent="0.25">
      <c r="A112" s="1" t="s">
        <v>249</v>
      </c>
      <c r="B112" s="1" t="s">
        <v>250</v>
      </c>
      <c r="C112" s="1"/>
      <c r="D112" s="11">
        <v>3</v>
      </c>
      <c r="E112" s="4"/>
      <c r="F112" s="4"/>
      <c r="G112" s="4"/>
      <c r="H112" s="4"/>
      <c r="I112" s="11">
        <v>7</v>
      </c>
      <c r="J112" s="11">
        <v>2</v>
      </c>
      <c r="K112" s="11">
        <v>1</v>
      </c>
      <c r="L112" s="11">
        <v>5</v>
      </c>
      <c r="M112" s="11">
        <v>2</v>
      </c>
      <c r="N112" s="11">
        <v>1</v>
      </c>
      <c r="O112" s="4"/>
      <c r="P112" s="11">
        <v>6</v>
      </c>
      <c r="Q112" s="5">
        <v>5.3800000000000001E-2</v>
      </c>
      <c r="R112" s="5">
        <v>0</v>
      </c>
      <c r="S112" s="5">
        <v>0</v>
      </c>
      <c r="T112" s="5">
        <v>0</v>
      </c>
      <c r="U112" s="5">
        <v>0</v>
      </c>
      <c r="V112" s="5">
        <v>0.1613</v>
      </c>
      <c r="W112" s="5">
        <v>8.0600000000000005E-2</v>
      </c>
      <c r="X112" s="5">
        <v>5.0999999999999997E-2</v>
      </c>
      <c r="Y112" s="5">
        <v>0.1792</v>
      </c>
      <c r="Z112" s="5">
        <v>8.3299999999999999E-2</v>
      </c>
      <c r="AA112" s="5">
        <v>3.2300000000000002E-2</v>
      </c>
      <c r="AB112" s="5">
        <v>0</v>
      </c>
      <c r="AC112" s="8">
        <v>0.1075</v>
      </c>
      <c r="AD112" s="5">
        <v>5.3499999999999999E-2</v>
      </c>
      <c r="AE112" s="5">
        <f t="shared" si="9"/>
        <v>8.3957142857142855E-2</v>
      </c>
      <c r="AF112" s="1" t="s">
        <v>107</v>
      </c>
      <c r="AG112" s="19" cm="1">
        <f t="array" ref="AG112">DIASQUIEBRE(Q112:AB112)</f>
        <v>0</v>
      </c>
      <c r="AH112" s="19" cm="1">
        <f t="array" ref="AH112">DiasMesesGris(Q112:AB112)</f>
        <v>0</v>
      </c>
      <c r="AI112" s="19">
        <f t="shared" si="6"/>
        <v>0</v>
      </c>
      <c r="AJ112" s="19">
        <f t="shared" si="7"/>
        <v>360</v>
      </c>
      <c r="AK112" s="20">
        <f t="shared" si="8"/>
        <v>21</v>
      </c>
      <c r="AL112" s="21">
        <f t="shared" si="5"/>
        <v>5.8333333333333334E-2</v>
      </c>
    </row>
    <row r="113" spans="1:38" x14ac:dyDescent="0.25">
      <c r="A113" s="1" t="s">
        <v>251</v>
      </c>
      <c r="B113" s="1" t="s">
        <v>252</v>
      </c>
      <c r="C113" s="1"/>
      <c r="D113" s="11">
        <v>3</v>
      </c>
      <c r="E113" s="11">
        <v>1</v>
      </c>
      <c r="F113" s="11">
        <v>3</v>
      </c>
      <c r="G113" s="11">
        <v>3</v>
      </c>
      <c r="H113" s="11">
        <v>1</v>
      </c>
      <c r="I113" s="11">
        <v>5</v>
      </c>
      <c r="J113" s="11">
        <v>3</v>
      </c>
      <c r="K113" s="4"/>
      <c r="L113" s="11">
        <v>1</v>
      </c>
      <c r="M113" s="11">
        <v>1</v>
      </c>
      <c r="N113" s="11">
        <v>-7</v>
      </c>
      <c r="O113" s="11">
        <v>1</v>
      </c>
      <c r="P113" s="11">
        <v>3</v>
      </c>
      <c r="Q113" s="5">
        <v>5.3800000000000001E-2</v>
      </c>
      <c r="R113" s="5">
        <v>3.2300000000000002E-2</v>
      </c>
      <c r="S113" s="5">
        <v>0.1429</v>
      </c>
      <c r="T113" s="5">
        <v>9.6799999999999997E-2</v>
      </c>
      <c r="U113" s="5">
        <v>3.0300000000000001E-2</v>
      </c>
      <c r="V113" s="5">
        <v>0.1152</v>
      </c>
      <c r="W113" s="5">
        <v>0.121</v>
      </c>
      <c r="X113" s="5">
        <v>0</v>
      </c>
      <c r="Y113" s="5">
        <v>3.5799999999999998E-2</v>
      </c>
      <c r="Z113" s="5">
        <v>4.1700000000000001E-2</v>
      </c>
      <c r="AA113" s="5">
        <v>-0.2258</v>
      </c>
      <c r="AB113" s="5">
        <v>3.3300000000000003E-2</v>
      </c>
      <c r="AC113" s="8">
        <v>5.3800000000000001E-2</v>
      </c>
      <c r="AD113" s="5">
        <v>3.9800000000000002E-2</v>
      </c>
      <c r="AE113" s="5">
        <f t="shared" si="9"/>
        <v>1.731428571428572E-2</v>
      </c>
      <c r="AF113" s="1" t="s">
        <v>107</v>
      </c>
      <c r="AG113" s="19" cm="1">
        <f t="array" ref="AG113">DIASQUIEBRE(Q113:AB113)</f>
        <v>0</v>
      </c>
      <c r="AH113" s="19" cm="1">
        <f t="array" ref="AH113">DiasMesesGris(Q113:AB113)</f>
        <v>0</v>
      </c>
      <c r="AI113" s="19">
        <f t="shared" si="6"/>
        <v>0</v>
      </c>
      <c r="AJ113" s="19">
        <f t="shared" si="7"/>
        <v>360</v>
      </c>
      <c r="AK113" s="20">
        <f t="shared" si="8"/>
        <v>15</v>
      </c>
      <c r="AL113" s="21">
        <f t="shared" si="5"/>
        <v>4.1666666666666664E-2</v>
      </c>
    </row>
    <row r="114" spans="1:38" x14ac:dyDescent="0.25">
      <c r="A114" s="1" t="s">
        <v>253</v>
      </c>
      <c r="B114" s="1" t="s">
        <v>254</v>
      </c>
      <c r="C114" s="1"/>
      <c r="D114" s="11">
        <v>2</v>
      </c>
      <c r="E114" s="11">
        <v>5</v>
      </c>
      <c r="F114" s="11">
        <v>1</v>
      </c>
      <c r="G114" s="11">
        <v>-2</v>
      </c>
      <c r="H114" s="4"/>
      <c r="I114" s="11">
        <v>2</v>
      </c>
      <c r="J114" s="4"/>
      <c r="K114" s="11">
        <v>1</v>
      </c>
      <c r="L114" s="11">
        <v>1</v>
      </c>
      <c r="M114" s="4"/>
      <c r="N114" s="11">
        <v>-3</v>
      </c>
      <c r="O114" s="11">
        <v>2</v>
      </c>
      <c r="P114" s="11">
        <v>3</v>
      </c>
      <c r="Q114" s="5">
        <v>3.5799999999999998E-2</v>
      </c>
      <c r="R114" s="5">
        <v>0.1613</v>
      </c>
      <c r="S114" s="5">
        <v>4.7600000000000003E-2</v>
      </c>
      <c r="T114" s="5">
        <v>-6.4500000000000002E-2</v>
      </c>
      <c r="U114" s="5">
        <v>0</v>
      </c>
      <c r="V114" s="5">
        <v>4.6100000000000002E-2</v>
      </c>
      <c r="W114" s="5">
        <v>0</v>
      </c>
      <c r="X114" s="5">
        <v>5.0999999999999997E-2</v>
      </c>
      <c r="Y114" s="5">
        <v>3.5799999999999998E-2</v>
      </c>
      <c r="Z114" s="5">
        <v>0</v>
      </c>
      <c r="AA114" s="5">
        <v>-9.6799999999999997E-2</v>
      </c>
      <c r="AB114" s="5">
        <v>6.6699999999999995E-2</v>
      </c>
      <c r="AC114" s="8">
        <v>5.3800000000000001E-2</v>
      </c>
      <c r="AD114" s="5">
        <v>2.3599999999999999E-2</v>
      </c>
      <c r="AE114" s="5">
        <f t="shared" si="9"/>
        <v>1.4685714285714285E-2</v>
      </c>
      <c r="AF114" s="1" t="s">
        <v>107</v>
      </c>
      <c r="AG114" s="19" cm="1">
        <f t="array" ref="AG114">DIASQUIEBRE(Q114:AB114)</f>
        <v>0</v>
      </c>
      <c r="AH114" s="19" cm="1">
        <f t="array" ref="AH114">DiasMesesGris(Q114:AB114)</f>
        <v>0</v>
      </c>
      <c r="AI114" s="19">
        <f t="shared" si="6"/>
        <v>0</v>
      </c>
      <c r="AJ114" s="19">
        <f t="shared" si="7"/>
        <v>360</v>
      </c>
      <c r="AK114" s="20">
        <f t="shared" si="8"/>
        <v>9</v>
      </c>
      <c r="AL114" s="21">
        <f t="shared" si="5"/>
        <v>2.5000000000000001E-2</v>
      </c>
    </row>
    <row r="115" spans="1:38" x14ac:dyDescent="0.25">
      <c r="A115" s="1" t="s">
        <v>255</v>
      </c>
      <c r="B115" s="1" t="s">
        <v>256</v>
      </c>
      <c r="C115" s="1"/>
      <c r="D115" s="4"/>
      <c r="E115" s="4"/>
      <c r="F115" s="4"/>
      <c r="G115" s="11">
        <v>-1</v>
      </c>
      <c r="H115" s="4"/>
      <c r="I115" s="4"/>
      <c r="J115" s="4"/>
      <c r="K115" s="4"/>
      <c r="L115" s="4"/>
      <c r="M115" s="4"/>
      <c r="N115" s="4"/>
      <c r="O115" s="4"/>
      <c r="P115" s="4"/>
      <c r="Q115" s="6">
        <v>0</v>
      </c>
      <c r="R115" s="6">
        <v>0</v>
      </c>
      <c r="S115" s="6">
        <v>0</v>
      </c>
      <c r="T115" s="6">
        <v>0</v>
      </c>
      <c r="U115" s="6">
        <v>0</v>
      </c>
      <c r="V115" s="6">
        <v>0</v>
      </c>
      <c r="W115" s="6">
        <v>0</v>
      </c>
      <c r="X115" s="6">
        <v>0</v>
      </c>
      <c r="Y115" s="6">
        <v>0</v>
      </c>
      <c r="Z115" s="6">
        <v>0</v>
      </c>
      <c r="AA115" s="6">
        <v>0</v>
      </c>
      <c r="AB115" s="6">
        <v>0</v>
      </c>
      <c r="AC115" s="7">
        <v>0</v>
      </c>
      <c r="AE115" s="5">
        <f t="shared" si="9"/>
        <v>0</v>
      </c>
      <c r="AF115" s="1" t="s">
        <v>107</v>
      </c>
      <c r="AG115" s="19" cm="1">
        <f t="array" ref="AG115">DIASQUIEBRE(Q115:AB115)</f>
        <v>0</v>
      </c>
      <c r="AH115" s="19" cm="1">
        <f t="array" ref="AH115">DiasMesesGris(Q115:AB115)</f>
        <v>360</v>
      </c>
      <c r="AI115" s="19">
        <f t="shared" si="6"/>
        <v>360</v>
      </c>
      <c r="AJ115" s="19">
        <f t="shared" si="7"/>
        <v>0</v>
      </c>
      <c r="AK115" s="20">
        <f t="shared" si="8"/>
        <v>-1</v>
      </c>
      <c r="AL115" s="21">
        <f t="shared" si="5"/>
        <v>0</v>
      </c>
    </row>
    <row r="116" spans="1:38" x14ac:dyDescent="0.25">
      <c r="A116" s="1" t="s">
        <v>257</v>
      </c>
      <c r="B116" s="1" t="s">
        <v>258</v>
      </c>
      <c r="C116" s="1" t="s">
        <v>259</v>
      </c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6">
        <v>0</v>
      </c>
      <c r="R116" s="6">
        <v>0</v>
      </c>
      <c r="S116" s="6">
        <v>0</v>
      </c>
      <c r="T116" s="6">
        <v>0</v>
      </c>
      <c r="U116" s="6">
        <v>0</v>
      </c>
      <c r="V116" s="6">
        <v>0</v>
      </c>
      <c r="W116" s="6">
        <v>0</v>
      </c>
      <c r="X116" s="6">
        <v>0</v>
      </c>
      <c r="Y116" s="6">
        <v>0</v>
      </c>
      <c r="Z116" s="6">
        <v>0</v>
      </c>
      <c r="AA116" s="6">
        <v>0</v>
      </c>
      <c r="AB116" s="6">
        <v>0</v>
      </c>
      <c r="AC116" s="7">
        <v>0</v>
      </c>
      <c r="AE116" s="5">
        <f t="shared" si="9"/>
        <v>0</v>
      </c>
      <c r="AF116" s="1" t="s">
        <v>34</v>
      </c>
      <c r="AG116" s="19" cm="1">
        <f t="array" ref="AG116">DIASQUIEBRE(Q116:AB116)</f>
        <v>0</v>
      </c>
      <c r="AH116" s="19" cm="1">
        <f t="array" ref="AH116">DiasMesesGris(Q116:AB116)</f>
        <v>360</v>
      </c>
      <c r="AI116" s="19">
        <f t="shared" si="6"/>
        <v>360</v>
      </c>
      <c r="AJ116" s="19">
        <f t="shared" si="7"/>
        <v>0</v>
      </c>
      <c r="AK116" s="20">
        <f t="shared" si="8"/>
        <v>0</v>
      </c>
      <c r="AL116" s="21">
        <f t="shared" si="5"/>
        <v>0</v>
      </c>
    </row>
    <row r="117" spans="1:38" x14ac:dyDescent="0.25">
      <c r="A117" s="1" t="s">
        <v>260</v>
      </c>
      <c r="B117" s="1" t="s">
        <v>261</v>
      </c>
      <c r="C117" s="1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6">
        <v>0</v>
      </c>
      <c r="R117" s="6">
        <v>0</v>
      </c>
      <c r="S117" s="6">
        <v>0</v>
      </c>
      <c r="T117" s="6">
        <v>0</v>
      </c>
      <c r="U117" s="6">
        <v>0</v>
      </c>
      <c r="V117" s="6">
        <v>0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  <c r="AC117" s="7">
        <v>0</v>
      </c>
      <c r="AE117" s="5">
        <f t="shared" si="9"/>
        <v>0</v>
      </c>
      <c r="AF117" s="1" t="s">
        <v>34</v>
      </c>
      <c r="AG117" s="19" cm="1">
        <f t="array" ref="AG117">DIASQUIEBRE(Q117:AB117)</f>
        <v>0</v>
      </c>
      <c r="AH117" s="19" cm="1">
        <f t="array" ref="AH117">DiasMesesGris(Q117:AB117)</f>
        <v>360</v>
      </c>
      <c r="AI117" s="19">
        <f t="shared" si="6"/>
        <v>360</v>
      </c>
      <c r="AJ117" s="19">
        <f t="shared" si="7"/>
        <v>0</v>
      </c>
      <c r="AK117" s="20">
        <f t="shared" si="8"/>
        <v>0</v>
      </c>
      <c r="AL117" s="21">
        <f t="shared" si="5"/>
        <v>0</v>
      </c>
    </row>
    <row r="118" spans="1:38" x14ac:dyDescent="0.25">
      <c r="A118" s="1" t="s">
        <v>262</v>
      </c>
      <c r="B118" s="1" t="s">
        <v>263</v>
      </c>
      <c r="C118" s="1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v>0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7">
        <v>0</v>
      </c>
      <c r="AE118" s="5">
        <f t="shared" si="9"/>
        <v>0</v>
      </c>
      <c r="AF118" s="1" t="s">
        <v>34</v>
      </c>
      <c r="AG118" s="19" cm="1">
        <f t="array" ref="AG118">DIASQUIEBRE(Q118:AB118)</f>
        <v>0</v>
      </c>
      <c r="AH118" s="19" cm="1">
        <f t="array" ref="AH118">DiasMesesGris(Q118:AB118)</f>
        <v>360</v>
      </c>
      <c r="AI118" s="19">
        <f t="shared" si="6"/>
        <v>360</v>
      </c>
      <c r="AJ118" s="19">
        <f t="shared" si="7"/>
        <v>0</v>
      </c>
      <c r="AK118" s="20">
        <f t="shared" si="8"/>
        <v>0</v>
      </c>
      <c r="AL118" s="21">
        <f t="shared" si="5"/>
        <v>0</v>
      </c>
    </row>
    <row r="119" spans="1:38" x14ac:dyDescent="0.25">
      <c r="A119" s="1" t="s">
        <v>264</v>
      </c>
      <c r="B119" s="1" t="s">
        <v>265</v>
      </c>
      <c r="C119" s="1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6">
        <v>0</v>
      </c>
      <c r="R119" s="6">
        <v>0</v>
      </c>
      <c r="S119" s="6">
        <v>0</v>
      </c>
      <c r="T119" s="6">
        <v>0</v>
      </c>
      <c r="U119" s="6">
        <v>0</v>
      </c>
      <c r="V119" s="6">
        <v>0</v>
      </c>
      <c r="W119" s="6">
        <v>0</v>
      </c>
      <c r="X119" s="6">
        <v>0</v>
      </c>
      <c r="Y119" s="6">
        <v>0</v>
      </c>
      <c r="Z119" s="6">
        <v>0</v>
      </c>
      <c r="AA119" s="6">
        <v>0</v>
      </c>
      <c r="AB119" s="6">
        <v>0</v>
      </c>
      <c r="AC119" s="7">
        <v>0</v>
      </c>
      <c r="AE119" s="5">
        <f t="shared" si="9"/>
        <v>0</v>
      </c>
      <c r="AF119" s="1" t="s">
        <v>107</v>
      </c>
      <c r="AG119" s="19" cm="1">
        <f t="array" ref="AG119">DIASQUIEBRE(Q119:AB119)</f>
        <v>0</v>
      </c>
      <c r="AH119" s="19" cm="1">
        <f t="array" ref="AH119">DiasMesesGris(Q119:AB119)</f>
        <v>360</v>
      </c>
      <c r="AI119" s="19">
        <f t="shared" si="6"/>
        <v>360</v>
      </c>
      <c r="AJ119" s="19">
        <f t="shared" si="7"/>
        <v>0</v>
      </c>
      <c r="AK119" s="20">
        <f t="shared" si="8"/>
        <v>0</v>
      </c>
      <c r="AL119" s="21">
        <f t="shared" si="5"/>
        <v>0</v>
      </c>
    </row>
    <row r="120" spans="1:38" x14ac:dyDescent="0.25">
      <c r="A120" s="1" t="s">
        <v>266</v>
      </c>
      <c r="B120" s="1" t="s">
        <v>267</v>
      </c>
      <c r="C120" s="1"/>
      <c r="D120" s="11">
        <v>7</v>
      </c>
      <c r="E120" s="11">
        <v>13</v>
      </c>
      <c r="F120" s="11">
        <v>9</v>
      </c>
      <c r="G120" s="11">
        <v>15</v>
      </c>
      <c r="H120" s="11">
        <v>8</v>
      </c>
      <c r="I120" s="11">
        <v>49</v>
      </c>
      <c r="J120" s="11">
        <v>26</v>
      </c>
      <c r="K120" s="11">
        <v>7</v>
      </c>
      <c r="L120" s="11">
        <v>19</v>
      </c>
      <c r="M120" s="11">
        <v>7</v>
      </c>
      <c r="N120" s="11">
        <v>1</v>
      </c>
      <c r="O120" s="11">
        <v>5</v>
      </c>
      <c r="P120" s="11">
        <v>6</v>
      </c>
      <c r="Q120" s="5">
        <v>0.12540000000000001</v>
      </c>
      <c r="R120" s="5">
        <v>0.4194</v>
      </c>
      <c r="S120" s="5">
        <v>0.42859999999999998</v>
      </c>
      <c r="T120" s="5">
        <v>0.4839</v>
      </c>
      <c r="U120" s="5">
        <v>0.2424</v>
      </c>
      <c r="V120" s="5">
        <v>1.129</v>
      </c>
      <c r="W120" s="5">
        <v>1.0484</v>
      </c>
      <c r="X120" s="5">
        <v>0.35709999999999997</v>
      </c>
      <c r="Y120" s="5">
        <v>0.68100000000000005</v>
      </c>
      <c r="Z120" s="9">
        <v>0.625</v>
      </c>
      <c r="AA120" s="5">
        <v>3.2300000000000002E-2</v>
      </c>
      <c r="AB120" s="5">
        <v>0.16669999999999999</v>
      </c>
      <c r="AC120" s="8">
        <v>0.1075</v>
      </c>
      <c r="AD120" s="5">
        <v>0.46489999999999998</v>
      </c>
      <c r="AE120" s="5">
        <f t="shared" si="9"/>
        <v>0.57707142857142857</v>
      </c>
      <c r="AF120" s="1" t="s">
        <v>107</v>
      </c>
      <c r="AG120" s="19" cm="1">
        <f t="array" ref="AG120">DIASQUIEBRE(Q120:AB120)</f>
        <v>16</v>
      </c>
      <c r="AH120" s="19" cm="1">
        <f t="array" ref="AH120">DiasMesesGris(Q120:AB120)</f>
        <v>0</v>
      </c>
      <c r="AI120" s="19">
        <f t="shared" si="6"/>
        <v>16</v>
      </c>
      <c r="AJ120" s="19">
        <f t="shared" si="7"/>
        <v>344</v>
      </c>
      <c r="AK120" s="20">
        <f t="shared" si="8"/>
        <v>166</v>
      </c>
      <c r="AL120" s="21">
        <f t="shared" si="5"/>
        <v>0.48255813953488375</v>
      </c>
    </row>
    <row r="121" spans="1:38" x14ac:dyDescent="0.25">
      <c r="A121" s="1" t="s">
        <v>268</v>
      </c>
      <c r="B121" s="1" t="s">
        <v>269</v>
      </c>
      <c r="C121" s="1"/>
      <c r="D121" s="11">
        <v>18</v>
      </c>
      <c r="E121" s="11">
        <v>18</v>
      </c>
      <c r="F121" s="4"/>
      <c r="G121" s="11">
        <v>15</v>
      </c>
      <c r="H121" s="11">
        <v>5</v>
      </c>
      <c r="I121" s="11">
        <v>15</v>
      </c>
      <c r="J121" s="11">
        <v>18</v>
      </c>
      <c r="K121" s="11">
        <v>4</v>
      </c>
      <c r="L121" s="11">
        <v>10</v>
      </c>
      <c r="M121" s="11">
        <v>3</v>
      </c>
      <c r="N121" s="11">
        <v>1</v>
      </c>
      <c r="O121" s="11">
        <v>6</v>
      </c>
      <c r="P121" s="11">
        <v>5</v>
      </c>
      <c r="Q121" s="9">
        <v>0.3448</v>
      </c>
      <c r="R121" s="5">
        <v>0.5806</v>
      </c>
      <c r="S121" s="5">
        <v>0</v>
      </c>
      <c r="T121" s="5">
        <v>0.4839</v>
      </c>
      <c r="U121" s="5">
        <v>0.1515</v>
      </c>
      <c r="V121" s="5">
        <v>0.34560000000000002</v>
      </c>
      <c r="W121" s="5">
        <v>0.7258</v>
      </c>
      <c r="X121" s="5">
        <v>0.2041</v>
      </c>
      <c r="Y121" s="5">
        <v>0.3584</v>
      </c>
      <c r="Z121" s="5">
        <v>0.125</v>
      </c>
      <c r="AA121" s="5">
        <v>3.2300000000000002E-2</v>
      </c>
      <c r="AB121" s="5">
        <v>0.2</v>
      </c>
      <c r="AC121" s="8">
        <v>8.9599999999999999E-2</v>
      </c>
      <c r="AD121" s="5">
        <v>0.29160000000000003</v>
      </c>
      <c r="AE121" s="5">
        <f t="shared" si="9"/>
        <v>0.28445714285714285</v>
      </c>
      <c r="AF121" s="1" t="s">
        <v>34</v>
      </c>
      <c r="AG121" s="19" cm="1">
        <f t="array" ref="AG121">DIASQUIEBRE(Q121:AB121)</f>
        <v>2</v>
      </c>
      <c r="AH121" s="19" cm="1">
        <f t="array" ref="AH121">DiasMesesGris(Q121:AB121)</f>
        <v>0</v>
      </c>
      <c r="AI121" s="19">
        <f t="shared" si="6"/>
        <v>2</v>
      </c>
      <c r="AJ121" s="19">
        <f t="shared" si="7"/>
        <v>358</v>
      </c>
      <c r="AK121" s="20">
        <f t="shared" si="8"/>
        <v>113</v>
      </c>
      <c r="AL121" s="21">
        <f t="shared" si="5"/>
        <v>0.31564245810055863</v>
      </c>
    </row>
    <row r="122" spans="1:38" x14ac:dyDescent="0.25">
      <c r="A122" s="1" t="s">
        <v>270</v>
      </c>
      <c r="B122" s="1" t="s">
        <v>271</v>
      </c>
      <c r="C122" s="1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11">
        <v>-13</v>
      </c>
      <c r="O122" s="4"/>
      <c r="P122" s="4"/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Z122" s="5">
        <v>0</v>
      </c>
      <c r="AA122" s="5">
        <v>-0.4194</v>
      </c>
      <c r="AB122" s="5">
        <v>0</v>
      </c>
      <c r="AC122" s="8">
        <v>0</v>
      </c>
      <c r="AE122" s="5">
        <f t="shared" si="9"/>
        <v>-5.9914285714285712E-2</v>
      </c>
      <c r="AF122" s="1" t="s">
        <v>107</v>
      </c>
      <c r="AG122" s="19" cm="1">
        <f t="array" ref="AG122">DIASQUIEBRE(Q122:AB122)</f>
        <v>0</v>
      </c>
      <c r="AH122" s="19" cm="1">
        <f t="array" ref="AH122">DiasMesesGris(Q122:AB122)</f>
        <v>0</v>
      </c>
      <c r="AI122" s="19">
        <f t="shared" si="6"/>
        <v>0</v>
      </c>
      <c r="AJ122" s="19">
        <f t="shared" si="7"/>
        <v>360</v>
      </c>
      <c r="AK122" s="20">
        <f t="shared" si="8"/>
        <v>-13</v>
      </c>
      <c r="AL122" s="21">
        <f t="shared" si="5"/>
        <v>-3.6111111111111108E-2</v>
      </c>
    </row>
    <row r="123" spans="1:38" x14ac:dyDescent="0.25">
      <c r="A123" s="1" t="s">
        <v>272</v>
      </c>
      <c r="B123" s="1" t="s">
        <v>273</v>
      </c>
      <c r="C123" s="1"/>
      <c r="D123" s="11">
        <v>13</v>
      </c>
      <c r="E123" s="11">
        <v>3</v>
      </c>
      <c r="F123" s="4"/>
      <c r="G123" s="11">
        <v>13</v>
      </c>
      <c r="H123" s="11">
        <v>2</v>
      </c>
      <c r="I123" s="11">
        <v>11</v>
      </c>
      <c r="J123" s="11">
        <v>9</v>
      </c>
      <c r="K123" s="11">
        <v>6</v>
      </c>
      <c r="L123" s="11">
        <v>11</v>
      </c>
      <c r="M123" s="11">
        <v>11</v>
      </c>
      <c r="N123" s="11">
        <v>12</v>
      </c>
      <c r="O123" s="11">
        <v>1</v>
      </c>
      <c r="P123" s="11">
        <v>3</v>
      </c>
      <c r="Q123" s="5">
        <v>0.23300000000000001</v>
      </c>
      <c r="R123" s="5">
        <v>9.6799999999999997E-2</v>
      </c>
      <c r="S123" s="5">
        <v>0</v>
      </c>
      <c r="T123" s="5">
        <v>0.4194</v>
      </c>
      <c r="U123" s="5">
        <v>6.0600000000000001E-2</v>
      </c>
      <c r="V123" s="5">
        <v>0.2535</v>
      </c>
      <c r="W123" s="5">
        <v>0.3629</v>
      </c>
      <c r="X123" s="5">
        <v>0.30609999999999998</v>
      </c>
      <c r="Y123" s="5">
        <v>0.39429999999999998</v>
      </c>
      <c r="Z123" s="5">
        <v>0.45829999999999999</v>
      </c>
      <c r="AA123" s="5">
        <v>0.3871</v>
      </c>
      <c r="AB123" s="5">
        <v>3.3300000000000003E-2</v>
      </c>
      <c r="AC123" s="8">
        <v>5.3800000000000001E-2</v>
      </c>
      <c r="AD123" s="5">
        <v>0.25040000000000001</v>
      </c>
      <c r="AE123" s="5">
        <f t="shared" si="9"/>
        <v>0.31364285714285722</v>
      </c>
      <c r="AF123" s="1" t="s">
        <v>34</v>
      </c>
      <c r="AG123" s="19" cm="1">
        <f t="array" ref="AG123">DIASQUIEBRE(Q123:AB123)</f>
        <v>0</v>
      </c>
      <c r="AH123" s="19" cm="1">
        <f t="array" ref="AH123">DiasMesesGris(Q123:AB123)</f>
        <v>0</v>
      </c>
      <c r="AI123" s="19">
        <f t="shared" si="6"/>
        <v>0</v>
      </c>
      <c r="AJ123" s="19">
        <f t="shared" si="7"/>
        <v>360</v>
      </c>
      <c r="AK123" s="20">
        <f t="shared" si="8"/>
        <v>92</v>
      </c>
      <c r="AL123" s="21">
        <f t="shared" si="5"/>
        <v>0.25555555555555554</v>
      </c>
    </row>
    <row r="124" spans="1:38" x14ac:dyDescent="0.25">
      <c r="A124" s="1" t="s">
        <v>274</v>
      </c>
      <c r="B124" s="1" t="s">
        <v>275</v>
      </c>
      <c r="C124" s="1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6">
        <v>0</v>
      </c>
      <c r="R124" s="6">
        <v>0</v>
      </c>
      <c r="S124" s="6">
        <v>0</v>
      </c>
      <c r="T124" s="6">
        <v>0</v>
      </c>
      <c r="U124" s="6">
        <v>0</v>
      </c>
      <c r="V124" s="6">
        <v>0</v>
      </c>
      <c r="W124" s="6">
        <v>0</v>
      </c>
      <c r="X124" s="6">
        <v>0</v>
      </c>
      <c r="Y124" s="6">
        <v>0</v>
      </c>
      <c r="Z124" s="6">
        <v>0</v>
      </c>
      <c r="AA124" s="6">
        <v>0</v>
      </c>
      <c r="AB124" s="6">
        <v>0</v>
      </c>
      <c r="AC124" s="7">
        <v>0</v>
      </c>
      <c r="AE124" s="5">
        <f t="shared" si="9"/>
        <v>0</v>
      </c>
      <c r="AF124" s="1" t="s">
        <v>34</v>
      </c>
      <c r="AG124" s="19" cm="1">
        <f t="array" ref="AG124">DIASQUIEBRE(Q124:AB124)</f>
        <v>0</v>
      </c>
      <c r="AH124" s="19" cm="1">
        <f t="array" ref="AH124">DiasMesesGris(Q124:AB124)</f>
        <v>360</v>
      </c>
      <c r="AI124" s="19">
        <f t="shared" si="6"/>
        <v>360</v>
      </c>
      <c r="AJ124" s="19">
        <f t="shared" si="7"/>
        <v>0</v>
      </c>
      <c r="AK124" s="20">
        <f t="shared" si="8"/>
        <v>0</v>
      </c>
      <c r="AL124" s="21">
        <f t="shared" si="5"/>
        <v>0</v>
      </c>
    </row>
    <row r="125" spans="1:38" x14ac:dyDescent="0.25">
      <c r="A125" s="1" t="s">
        <v>276</v>
      </c>
      <c r="B125" s="1" t="s">
        <v>277</v>
      </c>
      <c r="C125" s="1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6">
        <v>0</v>
      </c>
      <c r="R125" s="6">
        <v>0</v>
      </c>
      <c r="S125" s="6">
        <v>0</v>
      </c>
      <c r="T125" s="6">
        <v>0</v>
      </c>
      <c r="U125" s="6">
        <v>0</v>
      </c>
      <c r="V125" s="6">
        <v>0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7">
        <v>0</v>
      </c>
      <c r="AE125" s="5">
        <f t="shared" si="9"/>
        <v>0</v>
      </c>
      <c r="AF125" s="1" t="s">
        <v>34</v>
      </c>
      <c r="AG125" s="19" cm="1">
        <f t="array" ref="AG125">DIASQUIEBRE(Q125:AB125)</f>
        <v>0</v>
      </c>
      <c r="AH125" s="19" cm="1">
        <f t="array" ref="AH125">DiasMesesGris(Q125:AB125)</f>
        <v>360</v>
      </c>
      <c r="AI125" s="19">
        <f t="shared" si="6"/>
        <v>360</v>
      </c>
      <c r="AJ125" s="19">
        <f t="shared" si="7"/>
        <v>0</v>
      </c>
      <c r="AK125" s="20">
        <f t="shared" si="8"/>
        <v>0</v>
      </c>
      <c r="AL125" s="21">
        <f t="shared" si="5"/>
        <v>0</v>
      </c>
    </row>
    <row r="126" spans="1:38" x14ac:dyDescent="0.25">
      <c r="A126" s="1" t="s">
        <v>278</v>
      </c>
      <c r="B126" s="1" t="s">
        <v>279</v>
      </c>
      <c r="C126" s="1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v>0</v>
      </c>
      <c r="W126" s="6">
        <v>0</v>
      </c>
      <c r="X126" s="6">
        <v>0</v>
      </c>
      <c r="Y126" s="6">
        <v>0</v>
      </c>
      <c r="Z126" s="6">
        <v>0</v>
      </c>
      <c r="AA126" s="6">
        <v>0</v>
      </c>
      <c r="AB126" s="6">
        <v>0</v>
      </c>
      <c r="AC126" s="7">
        <v>0</v>
      </c>
      <c r="AE126" s="5">
        <f t="shared" si="9"/>
        <v>0</v>
      </c>
      <c r="AF126" s="1" t="s">
        <v>34</v>
      </c>
      <c r="AG126" s="19" cm="1">
        <f t="array" ref="AG126">DIASQUIEBRE(Q126:AB126)</f>
        <v>0</v>
      </c>
      <c r="AH126" s="19" cm="1">
        <f t="array" ref="AH126">DiasMesesGris(Q126:AB126)</f>
        <v>360</v>
      </c>
      <c r="AI126" s="19">
        <f t="shared" si="6"/>
        <v>360</v>
      </c>
      <c r="AJ126" s="19">
        <f t="shared" si="7"/>
        <v>0</v>
      </c>
      <c r="AK126" s="20">
        <f t="shared" si="8"/>
        <v>0</v>
      </c>
      <c r="AL126" s="21">
        <f t="shared" si="5"/>
        <v>0</v>
      </c>
    </row>
    <row r="127" spans="1:38" x14ac:dyDescent="0.25">
      <c r="A127" s="1" t="s">
        <v>280</v>
      </c>
      <c r="B127" s="1" t="s">
        <v>281</v>
      </c>
      <c r="C127" s="1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6">
        <v>0</v>
      </c>
      <c r="R127" s="6">
        <v>0</v>
      </c>
      <c r="S127" s="6">
        <v>0</v>
      </c>
      <c r="T127" s="6">
        <v>0</v>
      </c>
      <c r="U127" s="6">
        <v>0</v>
      </c>
      <c r="V127" s="6">
        <v>0</v>
      </c>
      <c r="W127" s="6">
        <v>0</v>
      </c>
      <c r="X127" s="6">
        <v>0</v>
      </c>
      <c r="Y127" s="6">
        <v>0</v>
      </c>
      <c r="Z127" s="6">
        <v>0</v>
      </c>
      <c r="AA127" s="6">
        <v>0</v>
      </c>
      <c r="AB127" s="6">
        <v>0</v>
      </c>
      <c r="AC127" s="7">
        <v>0</v>
      </c>
      <c r="AE127" s="5">
        <f t="shared" si="9"/>
        <v>0</v>
      </c>
      <c r="AF127" s="1" t="s">
        <v>34</v>
      </c>
      <c r="AG127" s="19" cm="1">
        <f t="array" ref="AG127">DIASQUIEBRE(Q127:AB127)</f>
        <v>0</v>
      </c>
      <c r="AH127" s="19" cm="1">
        <f t="array" ref="AH127">DiasMesesGris(Q127:AB127)</f>
        <v>360</v>
      </c>
      <c r="AI127" s="19">
        <f t="shared" si="6"/>
        <v>360</v>
      </c>
      <c r="AJ127" s="19">
        <f t="shared" si="7"/>
        <v>0</v>
      </c>
      <c r="AK127" s="20">
        <f t="shared" si="8"/>
        <v>0</v>
      </c>
      <c r="AL127" s="21">
        <f t="shared" si="5"/>
        <v>0</v>
      </c>
    </row>
    <row r="128" spans="1:38" x14ac:dyDescent="0.25">
      <c r="A128" s="3" t="s">
        <v>282</v>
      </c>
      <c r="B128" s="1" t="s">
        <v>283</v>
      </c>
      <c r="C128" s="1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Z128" s="5">
        <v>0</v>
      </c>
      <c r="AA128" s="5">
        <v>0</v>
      </c>
      <c r="AB128" s="5">
        <v>0</v>
      </c>
      <c r="AC128" s="8">
        <v>0</v>
      </c>
      <c r="AE128" s="5">
        <f t="shared" si="9"/>
        <v>0</v>
      </c>
      <c r="AF128" s="1" t="s">
        <v>107</v>
      </c>
      <c r="AG128" s="19" cm="1">
        <f t="array" ref="AG128">DIASQUIEBRE(Q128:AB128)</f>
        <v>0</v>
      </c>
      <c r="AH128" s="19" cm="1">
        <f t="array" ref="AH128">DiasMesesGris(Q128:AB128)</f>
        <v>0</v>
      </c>
      <c r="AI128" s="19">
        <f t="shared" si="6"/>
        <v>0</v>
      </c>
      <c r="AJ128" s="19">
        <f t="shared" si="7"/>
        <v>360</v>
      </c>
      <c r="AK128" s="20">
        <f t="shared" si="8"/>
        <v>0</v>
      </c>
      <c r="AL128" s="21">
        <f t="shared" si="5"/>
        <v>0</v>
      </c>
    </row>
    <row r="129" spans="1:38" x14ac:dyDescent="0.25">
      <c r="A129" s="1" t="s">
        <v>284</v>
      </c>
      <c r="B129" s="1" t="s">
        <v>285</v>
      </c>
      <c r="C129" s="1"/>
      <c r="D129" s="11">
        <v>1</v>
      </c>
      <c r="E129" s="11">
        <v>1</v>
      </c>
      <c r="F129" s="11">
        <v>1</v>
      </c>
      <c r="G129" s="11">
        <v>1</v>
      </c>
      <c r="H129" s="11">
        <v>1</v>
      </c>
      <c r="I129" s="11">
        <v>5</v>
      </c>
      <c r="J129" s="11">
        <v>5</v>
      </c>
      <c r="K129" s="11">
        <v>10</v>
      </c>
      <c r="L129" s="11">
        <v>5</v>
      </c>
      <c r="M129" s="11">
        <v>2</v>
      </c>
      <c r="N129" s="4"/>
      <c r="O129" s="11">
        <v>5</v>
      </c>
      <c r="P129" s="4"/>
      <c r="Q129" s="5">
        <v>3.2300000000000002E-2</v>
      </c>
      <c r="R129" s="5">
        <v>3.2300000000000002E-2</v>
      </c>
      <c r="S129" s="5">
        <v>3.3300000000000003E-2</v>
      </c>
      <c r="T129" s="5">
        <v>3.2300000000000002E-2</v>
      </c>
      <c r="U129" s="5">
        <v>3.3300000000000003E-2</v>
      </c>
      <c r="V129" s="5">
        <v>0.1613</v>
      </c>
      <c r="W129" s="5">
        <v>0.1613</v>
      </c>
      <c r="X129" s="5">
        <v>0.35709999999999997</v>
      </c>
      <c r="Y129" s="5">
        <v>0.1613</v>
      </c>
      <c r="Z129" s="5">
        <v>6.6699999999999995E-2</v>
      </c>
      <c r="AA129" s="5">
        <v>0</v>
      </c>
      <c r="AB129" s="5">
        <v>0.16669999999999999</v>
      </c>
      <c r="AC129" s="8">
        <v>0</v>
      </c>
      <c r="AD129" s="5">
        <v>0.1032</v>
      </c>
      <c r="AE129" s="5">
        <f t="shared" si="9"/>
        <v>0.15348571428571428</v>
      </c>
      <c r="AF129" s="1" t="s">
        <v>34</v>
      </c>
      <c r="AG129" s="19" cm="1">
        <f t="array" ref="AG129">DIASQUIEBRE(Q129:AB129)</f>
        <v>0</v>
      </c>
      <c r="AH129" s="19" cm="1">
        <f t="array" ref="AH129">DiasMesesGris(Q129:AB129)</f>
        <v>0</v>
      </c>
      <c r="AI129" s="19">
        <f t="shared" si="6"/>
        <v>0</v>
      </c>
      <c r="AJ129" s="19">
        <f t="shared" si="7"/>
        <v>360</v>
      </c>
      <c r="AK129" s="20">
        <f t="shared" si="8"/>
        <v>37</v>
      </c>
      <c r="AL129" s="21">
        <f t="shared" si="5"/>
        <v>0.10277777777777777</v>
      </c>
    </row>
    <row r="130" spans="1:38" x14ac:dyDescent="0.25">
      <c r="A130" s="1" t="s">
        <v>286</v>
      </c>
      <c r="B130" s="1" t="s">
        <v>287</v>
      </c>
      <c r="C130" s="1"/>
      <c r="D130" s="11">
        <v>11</v>
      </c>
      <c r="E130" s="11">
        <v>2</v>
      </c>
      <c r="F130" s="11">
        <v>4</v>
      </c>
      <c r="G130" s="11">
        <v>14</v>
      </c>
      <c r="H130" s="11">
        <v>2</v>
      </c>
      <c r="I130" s="11">
        <v>11</v>
      </c>
      <c r="J130" s="11">
        <v>10</v>
      </c>
      <c r="K130" s="11">
        <v>4</v>
      </c>
      <c r="L130" s="11">
        <v>3</v>
      </c>
      <c r="M130" s="11">
        <v>8</v>
      </c>
      <c r="N130" s="11">
        <v>4</v>
      </c>
      <c r="O130" s="11">
        <v>5</v>
      </c>
      <c r="P130" s="4"/>
      <c r="Q130" s="5">
        <v>0.1971</v>
      </c>
      <c r="R130" s="5">
        <v>6.4500000000000002E-2</v>
      </c>
      <c r="S130" s="5">
        <v>0.1905</v>
      </c>
      <c r="T130" s="5">
        <v>0.4516</v>
      </c>
      <c r="U130" s="5">
        <v>6.0600000000000001E-2</v>
      </c>
      <c r="V130" s="5">
        <v>0.2535</v>
      </c>
      <c r="W130" s="5">
        <v>0.4032</v>
      </c>
      <c r="X130" s="9">
        <v>0.47620000000000001</v>
      </c>
      <c r="Y130" s="9">
        <v>0.1515</v>
      </c>
      <c r="Z130" s="5">
        <v>0.33329999999999999</v>
      </c>
      <c r="AA130" s="5">
        <v>0.129</v>
      </c>
      <c r="AB130" s="5">
        <v>0.16669999999999999</v>
      </c>
      <c r="AC130" s="8">
        <v>0</v>
      </c>
      <c r="AD130" s="5">
        <v>0.22500000000000001</v>
      </c>
      <c r="AE130" s="5">
        <f t="shared" si="9"/>
        <v>0.27334285714285717</v>
      </c>
      <c r="AF130" s="1" t="s">
        <v>34</v>
      </c>
      <c r="AG130" s="19" cm="1">
        <f t="array" ref="AG130">DIASQUIEBRE(Q130:AB130)</f>
        <v>25</v>
      </c>
      <c r="AH130" s="19" cm="1">
        <f t="array" ref="AH130">DiasMesesGris(Q130:AB130)</f>
        <v>0</v>
      </c>
      <c r="AI130" s="19">
        <f t="shared" si="6"/>
        <v>25</v>
      </c>
      <c r="AJ130" s="19">
        <f t="shared" si="7"/>
        <v>335</v>
      </c>
      <c r="AK130" s="20">
        <f t="shared" si="8"/>
        <v>78</v>
      </c>
      <c r="AL130" s="21">
        <f t="shared" si="5"/>
        <v>0.23283582089552238</v>
      </c>
    </row>
    <row r="131" spans="1:38" x14ac:dyDescent="0.25">
      <c r="A131" s="1" t="s">
        <v>288</v>
      </c>
      <c r="B131" s="1" t="s">
        <v>289</v>
      </c>
      <c r="C131" s="1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6">
        <v>0</v>
      </c>
      <c r="R131" s="6">
        <v>0</v>
      </c>
      <c r="S131" s="6">
        <v>0</v>
      </c>
      <c r="T131" s="6">
        <v>0</v>
      </c>
      <c r="U131" s="6">
        <v>0</v>
      </c>
      <c r="V131" s="6">
        <v>0</v>
      </c>
      <c r="W131" s="6">
        <v>0</v>
      </c>
      <c r="X131" s="6">
        <v>0</v>
      </c>
      <c r="Y131" s="6">
        <v>0</v>
      </c>
      <c r="Z131" s="6">
        <v>0</v>
      </c>
      <c r="AA131" s="6">
        <v>0</v>
      </c>
      <c r="AB131" s="6">
        <v>0</v>
      </c>
      <c r="AC131" s="7">
        <v>0</v>
      </c>
      <c r="AE131" s="5">
        <f t="shared" si="9"/>
        <v>0</v>
      </c>
      <c r="AF131" s="1" t="s">
        <v>107</v>
      </c>
      <c r="AG131" s="19" cm="1">
        <f t="array" ref="AG131">DIASQUIEBRE(Q131:AB131)</f>
        <v>0</v>
      </c>
      <c r="AH131" s="19" cm="1">
        <f t="array" ref="AH131">DiasMesesGris(Q131:AB131)</f>
        <v>360</v>
      </c>
      <c r="AI131" s="19">
        <f t="shared" si="6"/>
        <v>360</v>
      </c>
      <c r="AJ131" s="19">
        <f t="shared" si="7"/>
        <v>0</v>
      </c>
      <c r="AK131" s="20">
        <f t="shared" si="8"/>
        <v>0</v>
      </c>
      <c r="AL131" s="21">
        <f t="shared" ref="AL131:AL194" si="10">IFERROR(AK131/AJ131,0)</f>
        <v>0</v>
      </c>
    </row>
    <row r="132" spans="1:38" x14ac:dyDescent="0.25">
      <c r="A132" s="1" t="s">
        <v>290</v>
      </c>
      <c r="B132" s="1" t="s">
        <v>291</v>
      </c>
      <c r="C132" s="1" t="s">
        <v>292</v>
      </c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v>0</v>
      </c>
      <c r="W132" s="6">
        <v>0</v>
      </c>
      <c r="X132" s="6">
        <v>0</v>
      </c>
      <c r="Y132" s="6">
        <v>0</v>
      </c>
      <c r="Z132" s="6">
        <v>0</v>
      </c>
      <c r="AA132" s="6">
        <v>0</v>
      </c>
      <c r="AB132" s="6">
        <v>0</v>
      </c>
      <c r="AC132" s="7">
        <v>0</v>
      </c>
      <c r="AE132" s="5">
        <f t="shared" si="9"/>
        <v>0</v>
      </c>
      <c r="AF132" s="1" t="s">
        <v>34</v>
      </c>
      <c r="AG132" s="19" cm="1">
        <f t="array" ref="AG132">DIASQUIEBRE(Q132:AB132)</f>
        <v>0</v>
      </c>
      <c r="AH132" s="19" cm="1">
        <f t="array" ref="AH132">DiasMesesGris(Q132:AB132)</f>
        <v>360</v>
      </c>
      <c r="AI132" s="19">
        <f t="shared" ref="AI132:AI195" si="11">AG132+AH132</f>
        <v>360</v>
      </c>
      <c r="AJ132" s="19">
        <f t="shared" ref="AJ132:AJ195" si="12">360-AI132</f>
        <v>0</v>
      </c>
      <c r="AK132" s="20">
        <f t="shared" ref="AK132:AK195" si="13">SUM(D132:O132)</f>
        <v>0</v>
      </c>
      <c r="AL132" s="21">
        <f t="shared" si="10"/>
        <v>0</v>
      </c>
    </row>
    <row r="133" spans="1:38" x14ac:dyDescent="0.25">
      <c r="A133" s="1" t="s">
        <v>293</v>
      </c>
      <c r="B133" s="1" t="s">
        <v>294</v>
      </c>
      <c r="C133" s="1"/>
      <c r="D133" s="11">
        <v>2</v>
      </c>
      <c r="E133" s="11">
        <v>1</v>
      </c>
      <c r="F133" s="11">
        <v>1</v>
      </c>
      <c r="G133" s="11">
        <v>2</v>
      </c>
      <c r="H133" s="11">
        <v>2</v>
      </c>
      <c r="I133" s="11">
        <v>5</v>
      </c>
      <c r="J133" s="4"/>
      <c r="K133" s="11">
        <v>7</v>
      </c>
      <c r="L133" s="11">
        <v>4</v>
      </c>
      <c r="M133" s="11">
        <v>2</v>
      </c>
      <c r="N133" s="4"/>
      <c r="O133" s="11">
        <v>3</v>
      </c>
      <c r="P133" s="4"/>
      <c r="Q133" s="5">
        <v>6.4500000000000002E-2</v>
      </c>
      <c r="R133" s="5">
        <v>3.2300000000000002E-2</v>
      </c>
      <c r="S133" s="5">
        <v>3.3300000000000003E-2</v>
      </c>
      <c r="T133" s="5">
        <v>6.4500000000000002E-2</v>
      </c>
      <c r="U133" s="5">
        <v>6.6699999999999995E-2</v>
      </c>
      <c r="V133" s="5">
        <v>0.1613</v>
      </c>
      <c r="W133" s="5">
        <v>0</v>
      </c>
      <c r="X133" s="5">
        <v>0.25</v>
      </c>
      <c r="Y133" s="5">
        <v>0.129</v>
      </c>
      <c r="Z133" s="5">
        <v>6.6699999999999995E-2</v>
      </c>
      <c r="AA133" s="5">
        <v>0</v>
      </c>
      <c r="AB133" s="5">
        <v>0.1</v>
      </c>
      <c r="AC133" s="8">
        <v>0</v>
      </c>
      <c r="AD133" s="5">
        <v>8.0699999999999994E-2</v>
      </c>
      <c r="AE133" s="5">
        <f t="shared" si="9"/>
        <v>0.10099999999999999</v>
      </c>
      <c r="AF133" s="1" t="s">
        <v>34</v>
      </c>
      <c r="AG133" s="19" cm="1">
        <f t="array" ref="AG133">DIASQUIEBRE(Q133:AB133)</f>
        <v>0</v>
      </c>
      <c r="AH133" s="19" cm="1">
        <f t="array" ref="AH133">DiasMesesGris(Q133:AB133)</f>
        <v>0</v>
      </c>
      <c r="AI133" s="19">
        <f t="shared" si="11"/>
        <v>0</v>
      </c>
      <c r="AJ133" s="19">
        <f t="shared" si="12"/>
        <v>360</v>
      </c>
      <c r="AK133" s="20">
        <f t="shared" si="13"/>
        <v>29</v>
      </c>
      <c r="AL133" s="21">
        <f t="shared" si="10"/>
        <v>8.0555555555555561E-2</v>
      </c>
    </row>
    <row r="134" spans="1:38" x14ac:dyDescent="0.25">
      <c r="A134" s="1" t="s">
        <v>295</v>
      </c>
      <c r="B134" s="1" t="s">
        <v>296</v>
      </c>
      <c r="C134" s="1"/>
      <c r="D134" s="11">
        <v>2</v>
      </c>
      <c r="E134" s="11">
        <v>1</v>
      </c>
      <c r="F134" s="11">
        <v>4</v>
      </c>
      <c r="G134" s="11">
        <v>22</v>
      </c>
      <c r="H134" s="11">
        <v>6</v>
      </c>
      <c r="I134" s="11">
        <v>6</v>
      </c>
      <c r="J134" s="11">
        <v>8</v>
      </c>
      <c r="K134" s="11">
        <v>15</v>
      </c>
      <c r="L134" s="11">
        <v>1</v>
      </c>
      <c r="M134" s="11">
        <v>7</v>
      </c>
      <c r="N134" s="4"/>
      <c r="O134" s="11">
        <v>4</v>
      </c>
      <c r="P134" s="11">
        <v>3</v>
      </c>
      <c r="Q134" s="6">
        <v>0</v>
      </c>
      <c r="R134" s="6">
        <v>0</v>
      </c>
      <c r="S134" s="9">
        <v>0.2041</v>
      </c>
      <c r="T134" s="5">
        <v>0.7097</v>
      </c>
      <c r="U134" s="5">
        <v>0.18179999999999999</v>
      </c>
      <c r="V134" s="5">
        <v>0.13819999999999999</v>
      </c>
      <c r="W134" s="5">
        <v>0.3226</v>
      </c>
      <c r="X134" s="5">
        <v>0.76529999999999998</v>
      </c>
      <c r="Y134" s="5">
        <v>3.5799999999999998E-2</v>
      </c>
      <c r="Z134" s="5">
        <v>0.29170000000000001</v>
      </c>
      <c r="AA134" s="5">
        <v>0</v>
      </c>
      <c r="AB134" s="5">
        <v>0.1333</v>
      </c>
      <c r="AC134" s="8">
        <v>5.3800000000000001E-2</v>
      </c>
      <c r="AD134" s="5">
        <v>0.28649999999999998</v>
      </c>
      <c r="AE134" s="5">
        <f t="shared" si="9"/>
        <v>0.2409857142857143</v>
      </c>
      <c r="AF134" s="1" t="s">
        <v>34</v>
      </c>
      <c r="AG134" s="19" cm="1">
        <f t="array" ref="AG134">DIASQUIEBRE(Q134:AB134)</f>
        <v>2</v>
      </c>
      <c r="AH134" s="19" cm="1">
        <f t="array" ref="AH134">DiasMesesGris(Q134:AB134)</f>
        <v>60</v>
      </c>
      <c r="AI134" s="19">
        <f t="shared" si="11"/>
        <v>62</v>
      </c>
      <c r="AJ134" s="19">
        <f t="shared" si="12"/>
        <v>298</v>
      </c>
      <c r="AK134" s="20">
        <f t="shared" si="13"/>
        <v>76</v>
      </c>
      <c r="AL134" s="21">
        <f t="shared" si="10"/>
        <v>0.25503355704697989</v>
      </c>
    </row>
    <row r="135" spans="1:38" x14ac:dyDescent="0.25">
      <c r="A135" s="1" t="s">
        <v>297</v>
      </c>
      <c r="B135" s="1" t="s">
        <v>298</v>
      </c>
      <c r="C135" s="1"/>
      <c r="D135" s="11">
        <v>3</v>
      </c>
      <c r="E135" s="11">
        <v>9</v>
      </c>
      <c r="F135" s="11">
        <v>2</v>
      </c>
      <c r="G135" s="11">
        <v>4</v>
      </c>
      <c r="H135" s="4"/>
      <c r="I135" s="11">
        <v>2</v>
      </c>
      <c r="J135" s="11">
        <v>4</v>
      </c>
      <c r="K135" s="11">
        <v>1</v>
      </c>
      <c r="L135" s="11">
        <v>2</v>
      </c>
      <c r="M135" s="11">
        <v>2</v>
      </c>
      <c r="N135" s="4"/>
      <c r="O135" s="11">
        <v>2</v>
      </c>
      <c r="P135" s="4"/>
      <c r="Q135" s="5">
        <v>5.3800000000000001E-2</v>
      </c>
      <c r="R135" s="5">
        <v>0.2903</v>
      </c>
      <c r="S135" s="5">
        <v>9.5200000000000007E-2</v>
      </c>
      <c r="T135" s="5">
        <v>0.129</v>
      </c>
      <c r="U135" s="5">
        <v>0</v>
      </c>
      <c r="V135" s="5">
        <v>4.6100000000000002E-2</v>
      </c>
      <c r="W135" s="5">
        <v>0.1613</v>
      </c>
      <c r="X135" s="5">
        <v>5.0999999999999997E-2</v>
      </c>
      <c r="Y135" s="5">
        <v>7.17E-2</v>
      </c>
      <c r="Z135" s="5">
        <v>8.3299999999999999E-2</v>
      </c>
      <c r="AA135" s="5">
        <v>0</v>
      </c>
      <c r="AB135" s="5">
        <v>6.6699999999999995E-2</v>
      </c>
      <c r="AC135" s="8">
        <v>0</v>
      </c>
      <c r="AD135" s="5">
        <v>8.7400000000000005E-2</v>
      </c>
      <c r="AE135" s="5">
        <f t="shared" si="9"/>
        <v>6.8585714285714278E-2</v>
      </c>
      <c r="AF135" s="1" t="s">
        <v>34</v>
      </c>
      <c r="AG135" s="19" cm="1">
        <f t="array" ref="AG135">DIASQUIEBRE(Q135:AB135)</f>
        <v>0</v>
      </c>
      <c r="AH135" s="19" cm="1">
        <f t="array" ref="AH135">DiasMesesGris(Q135:AB135)</f>
        <v>0</v>
      </c>
      <c r="AI135" s="19">
        <f t="shared" si="11"/>
        <v>0</v>
      </c>
      <c r="AJ135" s="19">
        <f t="shared" si="12"/>
        <v>360</v>
      </c>
      <c r="AK135" s="20">
        <f t="shared" si="13"/>
        <v>31</v>
      </c>
      <c r="AL135" s="21">
        <f t="shared" si="10"/>
        <v>8.611111111111111E-2</v>
      </c>
    </row>
    <row r="136" spans="1:38" x14ac:dyDescent="0.25">
      <c r="A136" s="1" t="s">
        <v>299</v>
      </c>
      <c r="B136" s="1" t="s">
        <v>300</v>
      </c>
      <c r="C136" s="1"/>
      <c r="D136" s="11">
        <v>2</v>
      </c>
      <c r="E136" s="11">
        <v>1</v>
      </c>
      <c r="F136" s="11">
        <v>3</v>
      </c>
      <c r="G136" s="11">
        <v>6</v>
      </c>
      <c r="H136" s="4"/>
      <c r="I136" s="11">
        <v>5</v>
      </c>
      <c r="J136" s="4"/>
      <c r="K136" s="11">
        <v>3</v>
      </c>
      <c r="L136" s="4"/>
      <c r="M136" s="11">
        <v>2</v>
      </c>
      <c r="N136" s="4"/>
      <c r="O136" s="4"/>
      <c r="P136" s="4"/>
      <c r="Q136" s="5">
        <v>4.9599999999999998E-2</v>
      </c>
      <c r="R136" s="5">
        <v>3.2300000000000002E-2</v>
      </c>
      <c r="S136" s="5">
        <v>0.1429</v>
      </c>
      <c r="T136" s="5">
        <v>0.19350000000000001</v>
      </c>
      <c r="U136" s="5">
        <v>0</v>
      </c>
      <c r="V136" s="5">
        <v>9.4899999999999998E-2</v>
      </c>
      <c r="W136" s="5">
        <v>0</v>
      </c>
      <c r="X136" s="5">
        <v>0.17860000000000001</v>
      </c>
      <c r="Y136" s="5">
        <v>0</v>
      </c>
      <c r="Z136" s="9">
        <v>0.34010000000000001</v>
      </c>
      <c r="AA136" s="6">
        <v>0</v>
      </c>
      <c r="AB136" s="6">
        <v>0</v>
      </c>
      <c r="AC136" s="7">
        <v>0</v>
      </c>
      <c r="AD136" s="5">
        <v>7.6899999999999996E-2</v>
      </c>
      <c r="AE136" s="5">
        <f t="shared" si="9"/>
        <v>8.7657142857142864E-2</v>
      </c>
      <c r="AF136" s="1" t="s">
        <v>34</v>
      </c>
      <c r="AG136" s="19" cm="1">
        <f t="array" ref="AG136">DIASQUIEBRE(Q136:AB136)</f>
        <v>23</v>
      </c>
      <c r="AH136" s="19" cm="1">
        <f t="array" ref="AH136">DiasMesesGris(Q136:AB136)</f>
        <v>60</v>
      </c>
      <c r="AI136" s="19">
        <f t="shared" si="11"/>
        <v>83</v>
      </c>
      <c r="AJ136" s="19">
        <f t="shared" si="12"/>
        <v>277</v>
      </c>
      <c r="AK136" s="20">
        <f t="shared" si="13"/>
        <v>22</v>
      </c>
      <c r="AL136" s="21">
        <f t="shared" si="10"/>
        <v>7.9422382671480149E-2</v>
      </c>
    </row>
    <row r="137" spans="1:38" x14ac:dyDescent="0.25">
      <c r="A137" s="1" t="s">
        <v>301</v>
      </c>
      <c r="B137" s="1" t="s">
        <v>302</v>
      </c>
      <c r="C137" s="1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6">
        <v>0</v>
      </c>
      <c r="R137" s="6">
        <v>0</v>
      </c>
      <c r="S137" s="6">
        <v>0</v>
      </c>
      <c r="T137" s="6">
        <v>0</v>
      </c>
      <c r="U137" s="6">
        <v>0</v>
      </c>
      <c r="V137" s="6">
        <v>0</v>
      </c>
      <c r="W137" s="6">
        <v>0</v>
      </c>
      <c r="X137" s="6">
        <v>0</v>
      </c>
      <c r="Y137" s="6">
        <v>0</v>
      </c>
      <c r="Z137" s="6">
        <v>0</v>
      </c>
      <c r="AA137" s="6">
        <v>0</v>
      </c>
      <c r="AB137" s="6">
        <v>0</v>
      </c>
      <c r="AC137" s="7">
        <v>0</v>
      </c>
      <c r="AE137" s="5">
        <f t="shared" si="9"/>
        <v>0</v>
      </c>
      <c r="AF137" s="1" t="s">
        <v>34</v>
      </c>
      <c r="AG137" s="19" cm="1">
        <f t="array" ref="AG137">DIASQUIEBRE(Q137:AB137)</f>
        <v>0</v>
      </c>
      <c r="AH137" s="19" cm="1">
        <f t="array" ref="AH137">DiasMesesGris(Q137:AB137)</f>
        <v>360</v>
      </c>
      <c r="AI137" s="19">
        <f t="shared" si="11"/>
        <v>360</v>
      </c>
      <c r="AJ137" s="19">
        <f t="shared" si="12"/>
        <v>0</v>
      </c>
      <c r="AK137" s="20">
        <f t="shared" si="13"/>
        <v>0</v>
      </c>
      <c r="AL137" s="21">
        <f t="shared" si="10"/>
        <v>0</v>
      </c>
    </row>
    <row r="138" spans="1:38" x14ac:dyDescent="0.25">
      <c r="A138" s="1" t="s">
        <v>303</v>
      </c>
      <c r="B138" s="1" t="s">
        <v>304</v>
      </c>
      <c r="C138" s="1"/>
      <c r="D138" s="11">
        <v>10</v>
      </c>
      <c r="E138" s="11">
        <v>12</v>
      </c>
      <c r="F138" s="11">
        <v>11</v>
      </c>
      <c r="G138" s="11">
        <v>7</v>
      </c>
      <c r="H138" s="11">
        <v>4</v>
      </c>
      <c r="I138" s="11">
        <v>10</v>
      </c>
      <c r="J138" s="11">
        <v>8</v>
      </c>
      <c r="K138" s="11">
        <v>2</v>
      </c>
      <c r="L138" s="4"/>
      <c r="M138" s="4"/>
      <c r="N138" s="11">
        <v>6</v>
      </c>
      <c r="O138" s="11">
        <v>9</v>
      </c>
      <c r="P138" s="11">
        <v>6</v>
      </c>
      <c r="Q138" s="5">
        <v>0.1792</v>
      </c>
      <c r="R138" s="5">
        <v>0.3871</v>
      </c>
      <c r="S138" s="5">
        <v>0.52380000000000004</v>
      </c>
      <c r="T138" s="5">
        <v>0.2258</v>
      </c>
      <c r="U138" s="5">
        <v>0.1212</v>
      </c>
      <c r="V138" s="5">
        <v>0.23039999999999999</v>
      </c>
      <c r="W138" s="5">
        <v>0.3226</v>
      </c>
      <c r="X138" s="5">
        <v>0.10199999999999999</v>
      </c>
      <c r="Y138" s="5">
        <v>0</v>
      </c>
      <c r="Z138" s="5">
        <v>0</v>
      </c>
      <c r="AA138" s="5">
        <v>0.19350000000000001</v>
      </c>
      <c r="AB138" s="5">
        <v>0.3</v>
      </c>
      <c r="AC138" s="8">
        <v>0.1075</v>
      </c>
      <c r="AD138" s="5">
        <v>0.2155</v>
      </c>
      <c r="AE138" s="5">
        <f t="shared" si="9"/>
        <v>0.16407142857142856</v>
      </c>
      <c r="AF138" s="1" t="s">
        <v>34</v>
      </c>
      <c r="AG138" s="19" cm="1">
        <f t="array" ref="AG138">DIASQUIEBRE(Q138:AB138)</f>
        <v>0</v>
      </c>
      <c r="AH138" s="19" cm="1">
        <f t="array" ref="AH138">DiasMesesGris(Q138:AB138)</f>
        <v>0</v>
      </c>
      <c r="AI138" s="19">
        <f t="shared" si="11"/>
        <v>0</v>
      </c>
      <c r="AJ138" s="19">
        <f t="shared" si="12"/>
        <v>360</v>
      </c>
      <c r="AK138" s="20">
        <f t="shared" si="13"/>
        <v>79</v>
      </c>
      <c r="AL138" s="21">
        <f t="shared" si="10"/>
        <v>0.21944444444444444</v>
      </c>
    </row>
    <row r="139" spans="1:38" x14ac:dyDescent="0.25">
      <c r="A139" s="1" t="s">
        <v>305</v>
      </c>
      <c r="B139" s="1" t="s">
        <v>306</v>
      </c>
      <c r="C139" s="1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6">
        <v>0</v>
      </c>
      <c r="R139" s="6">
        <v>0</v>
      </c>
      <c r="S139" s="6">
        <v>0</v>
      </c>
      <c r="T139" s="6">
        <v>0</v>
      </c>
      <c r="U139" s="6">
        <v>0</v>
      </c>
      <c r="V139" s="6">
        <v>0</v>
      </c>
      <c r="W139" s="6">
        <v>0</v>
      </c>
      <c r="X139" s="6">
        <v>0</v>
      </c>
      <c r="Y139" s="6">
        <v>0</v>
      </c>
      <c r="Z139" s="6">
        <v>0</v>
      </c>
      <c r="AA139" s="6">
        <v>0</v>
      </c>
      <c r="AB139" s="6">
        <v>0</v>
      </c>
      <c r="AC139" s="7">
        <v>0</v>
      </c>
      <c r="AE139" s="5">
        <f t="shared" si="9"/>
        <v>0</v>
      </c>
      <c r="AF139" s="1" t="s">
        <v>107</v>
      </c>
      <c r="AG139" s="19" cm="1">
        <f t="array" ref="AG139">DIASQUIEBRE(Q139:AB139)</f>
        <v>0</v>
      </c>
      <c r="AH139" s="19" cm="1">
        <f t="array" ref="AH139">DiasMesesGris(Q139:AB139)</f>
        <v>360</v>
      </c>
      <c r="AI139" s="19">
        <f t="shared" si="11"/>
        <v>360</v>
      </c>
      <c r="AJ139" s="19">
        <f t="shared" si="12"/>
        <v>0</v>
      </c>
      <c r="AK139" s="20">
        <f t="shared" si="13"/>
        <v>0</v>
      </c>
      <c r="AL139" s="21">
        <f t="shared" si="10"/>
        <v>0</v>
      </c>
    </row>
    <row r="140" spans="1:38" x14ac:dyDescent="0.25">
      <c r="A140" s="1" t="s">
        <v>307</v>
      </c>
      <c r="B140" s="1" t="s">
        <v>308</v>
      </c>
      <c r="C140" s="1"/>
      <c r="D140" s="4"/>
      <c r="E140" s="4"/>
      <c r="F140" s="11">
        <v>20</v>
      </c>
      <c r="G140" s="4"/>
      <c r="H140" s="4"/>
      <c r="I140" s="4"/>
      <c r="J140" s="11">
        <v>-1</v>
      </c>
      <c r="K140" s="4"/>
      <c r="L140" s="4"/>
      <c r="M140" s="4"/>
      <c r="N140" s="4"/>
      <c r="O140" s="4"/>
      <c r="P140" s="4"/>
      <c r="Q140" s="6">
        <v>0</v>
      </c>
      <c r="R140" s="6">
        <v>0</v>
      </c>
      <c r="S140" s="9">
        <v>5.7142999999999997</v>
      </c>
      <c r="T140" s="6">
        <v>0</v>
      </c>
      <c r="U140" s="6">
        <v>0</v>
      </c>
      <c r="V140" s="6">
        <v>0</v>
      </c>
      <c r="W140" s="6">
        <v>0</v>
      </c>
      <c r="X140" s="6">
        <v>0</v>
      </c>
      <c r="Y140" s="6">
        <v>0</v>
      </c>
      <c r="Z140" s="6">
        <v>0</v>
      </c>
      <c r="AA140" s="6">
        <v>0</v>
      </c>
      <c r="AB140" s="6">
        <v>0</v>
      </c>
      <c r="AC140" s="7">
        <v>0</v>
      </c>
      <c r="AE140" s="5">
        <f t="shared" si="9"/>
        <v>0</v>
      </c>
      <c r="AF140" s="1" t="s">
        <v>107</v>
      </c>
      <c r="AG140" s="19" cm="1">
        <f t="array" ref="AG140">DIASQUIEBRE(Q140:AB140)</f>
        <v>25</v>
      </c>
      <c r="AH140" s="19" cm="1">
        <f t="array" ref="AH140">DiasMesesGris(Q140:AB140)</f>
        <v>330</v>
      </c>
      <c r="AI140" s="19">
        <f t="shared" si="11"/>
        <v>355</v>
      </c>
      <c r="AJ140" s="19">
        <f t="shared" si="12"/>
        <v>5</v>
      </c>
      <c r="AK140" s="20">
        <f t="shared" si="13"/>
        <v>19</v>
      </c>
      <c r="AL140" s="21">
        <f t="shared" si="10"/>
        <v>3.8</v>
      </c>
    </row>
    <row r="141" spans="1:38" x14ac:dyDescent="0.25">
      <c r="A141" s="1" t="s">
        <v>309</v>
      </c>
      <c r="B141" s="1" t="s">
        <v>310</v>
      </c>
      <c r="C141" s="1"/>
      <c r="D141" s="11">
        <v>18</v>
      </c>
      <c r="E141" s="11">
        <v>16</v>
      </c>
      <c r="F141" s="11">
        <v>13</v>
      </c>
      <c r="G141" s="11">
        <v>12</v>
      </c>
      <c r="H141" s="11">
        <v>30</v>
      </c>
      <c r="I141" s="11">
        <v>25</v>
      </c>
      <c r="J141" s="11">
        <v>51</v>
      </c>
      <c r="K141" s="4"/>
      <c r="L141" s="4"/>
      <c r="M141" s="4"/>
      <c r="N141" s="11">
        <v>1</v>
      </c>
      <c r="O141" s="4"/>
      <c r="P141" s="4"/>
      <c r="Q141" s="5">
        <v>0.3226</v>
      </c>
      <c r="R141" s="5">
        <v>0.5161</v>
      </c>
      <c r="S141" s="5">
        <v>0.61899999999999999</v>
      </c>
      <c r="T141" s="5">
        <v>0.3871</v>
      </c>
      <c r="U141" s="5">
        <v>0.90910000000000002</v>
      </c>
      <c r="V141" s="5">
        <v>0.57599999999999996</v>
      </c>
      <c r="W141" s="9">
        <v>5.3125</v>
      </c>
      <c r="X141" s="6">
        <v>0</v>
      </c>
      <c r="Y141" s="6">
        <v>0</v>
      </c>
      <c r="Z141" s="6">
        <v>0</v>
      </c>
      <c r="AA141" s="6">
        <v>0</v>
      </c>
      <c r="AB141" s="6">
        <v>0</v>
      </c>
      <c r="AC141" s="7">
        <v>0</v>
      </c>
      <c r="AD141" s="5">
        <v>0.55500000000000005</v>
      </c>
      <c r="AE141" s="5">
        <v>0.55000000000000004</v>
      </c>
      <c r="AF141" s="1" t="s">
        <v>34</v>
      </c>
      <c r="AG141" s="19" cm="1">
        <f t="array" ref="AG141">DIASQUIEBRE(Q141:AB141)</f>
        <v>19</v>
      </c>
      <c r="AH141" s="19" cm="1">
        <f t="array" ref="AH141">DiasMesesGris(Q141:AB141)</f>
        <v>150</v>
      </c>
      <c r="AI141" s="19">
        <f t="shared" si="11"/>
        <v>169</v>
      </c>
      <c r="AJ141" s="19">
        <f t="shared" si="12"/>
        <v>191</v>
      </c>
      <c r="AK141" s="20">
        <f t="shared" si="13"/>
        <v>166</v>
      </c>
      <c r="AL141" s="21">
        <f t="shared" si="10"/>
        <v>0.86910994764397909</v>
      </c>
    </row>
    <row r="142" spans="1:38" x14ac:dyDescent="0.25">
      <c r="A142" s="1" t="s">
        <v>311</v>
      </c>
      <c r="B142" s="1" t="s">
        <v>312</v>
      </c>
      <c r="C142" s="1"/>
      <c r="D142" s="11">
        <v>1</v>
      </c>
      <c r="E142" s="11">
        <v>11</v>
      </c>
      <c r="F142" s="11">
        <v>3</v>
      </c>
      <c r="G142" s="11">
        <v>4</v>
      </c>
      <c r="H142" s="11">
        <v>6</v>
      </c>
      <c r="I142" s="11">
        <v>15</v>
      </c>
      <c r="J142" s="11">
        <v>2</v>
      </c>
      <c r="K142" s="11">
        <v>3</v>
      </c>
      <c r="L142" s="4"/>
      <c r="M142" s="11">
        <v>6</v>
      </c>
      <c r="N142" s="11">
        <v>13</v>
      </c>
      <c r="O142" s="11">
        <v>10</v>
      </c>
      <c r="P142" s="4"/>
      <c r="Q142" s="5">
        <v>2.4799999999999999E-2</v>
      </c>
      <c r="R142" s="5">
        <v>0.3548</v>
      </c>
      <c r="S142" s="5">
        <v>0.1429</v>
      </c>
      <c r="T142" s="5">
        <v>0.129</v>
      </c>
      <c r="U142" s="5">
        <v>0.14710000000000001</v>
      </c>
      <c r="V142" s="5">
        <v>0.28460000000000002</v>
      </c>
      <c r="W142" s="5">
        <v>0.1075</v>
      </c>
      <c r="X142" s="5">
        <v>0.17860000000000001</v>
      </c>
      <c r="Y142" s="5">
        <v>0</v>
      </c>
      <c r="Z142" s="5">
        <v>0.23810000000000001</v>
      </c>
      <c r="AA142" s="5">
        <v>0.4194</v>
      </c>
      <c r="AB142" s="5">
        <v>0.37040000000000001</v>
      </c>
      <c r="AC142" s="8">
        <v>0</v>
      </c>
      <c r="AD142" s="5">
        <v>0.19980000000000001</v>
      </c>
      <c r="AE142" s="5">
        <f t="shared" si="9"/>
        <v>0.22837142857142859</v>
      </c>
      <c r="AF142" s="1" t="s">
        <v>34</v>
      </c>
      <c r="AG142" s="19" cm="1">
        <f t="array" ref="AG142">DIASQUIEBRE(Q142:AB142)</f>
        <v>0</v>
      </c>
      <c r="AH142" s="19" cm="1">
        <f t="array" ref="AH142">DiasMesesGris(Q142:AB142)</f>
        <v>0</v>
      </c>
      <c r="AI142" s="19">
        <f t="shared" si="11"/>
        <v>0</v>
      </c>
      <c r="AJ142" s="19">
        <f t="shared" si="12"/>
        <v>360</v>
      </c>
      <c r="AK142" s="20">
        <f t="shared" si="13"/>
        <v>74</v>
      </c>
      <c r="AL142" s="21">
        <f t="shared" si="10"/>
        <v>0.20555555555555555</v>
      </c>
    </row>
    <row r="143" spans="1:38" x14ac:dyDescent="0.25">
      <c r="A143" s="1" t="s">
        <v>313</v>
      </c>
      <c r="B143" s="1" t="s">
        <v>314</v>
      </c>
      <c r="C143" s="1"/>
      <c r="D143" s="11">
        <v>2</v>
      </c>
      <c r="E143" s="11">
        <v>2</v>
      </c>
      <c r="F143" s="11">
        <v>3</v>
      </c>
      <c r="G143" s="11">
        <v>4</v>
      </c>
      <c r="H143" s="11">
        <v>5</v>
      </c>
      <c r="I143" s="11">
        <v>4</v>
      </c>
      <c r="J143" s="11">
        <v>5</v>
      </c>
      <c r="K143" s="11">
        <v>3</v>
      </c>
      <c r="L143" s="4"/>
      <c r="M143" s="11">
        <v>2</v>
      </c>
      <c r="N143" s="11">
        <v>3</v>
      </c>
      <c r="O143" s="4"/>
      <c r="P143" s="4"/>
      <c r="Q143" s="5">
        <v>4.9599999999999998E-2</v>
      </c>
      <c r="R143" s="5">
        <v>6.4500000000000002E-2</v>
      </c>
      <c r="S143" s="5">
        <v>0.1429</v>
      </c>
      <c r="T143" s="5">
        <v>0.129</v>
      </c>
      <c r="U143" s="5">
        <v>0.1225</v>
      </c>
      <c r="V143" s="5">
        <v>7.5899999999999995E-2</v>
      </c>
      <c r="W143" s="5">
        <v>0.26879999999999998</v>
      </c>
      <c r="X143" s="5">
        <v>0.17860000000000001</v>
      </c>
      <c r="Y143" s="5">
        <v>0</v>
      </c>
      <c r="Z143" s="5">
        <v>7.9399999999999998E-2</v>
      </c>
      <c r="AA143" s="5">
        <v>9.6799999999999997E-2</v>
      </c>
      <c r="AB143" s="5">
        <v>0</v>
      </c>
      <c r="AC143" s="8">
        <v>0</v>
      </c>
      <c r="AD143" s="5">
        <v>0.1007</v>
      </c>
      <c r="AE143" s="5">
        <f t="shared" si="9"/>
        <v>9.9928571428571436E-2</v>
      </c>
      <c r="AF143" s="1" t="s">
        <v>34</v>
      </c>
      <c r="AG143" s="19" cm="1">
        <f t="array" ref="AG143">DIASQUIEBRE(Q143:AB143)</f>
        <v>0</v>
      </c>
      <c r="AH143" s="19" cm="1">
        <f t="array" ref="AH143">DiasMesesGris(Q143:AB143)</f>
        <v>0</v>
      </c>
      <c r="AI143" s="19">
        <f t="shared" si="11"/>
        <v>0</v>
      </c>
      <c r="AJ143" s="19">
        <f t="shared" si="12"/>
        <v>360</v>
      </c>
      <c r="AK143" s="20">
        <f t="shared" si="13"/>
        <v>33</v>
      </c>
      <c r="AL143" s="21">
        <f t="shared" si="10"/>
        <v>9.166666666666666E-2</v>
      </c>
    </row>
    <row r="144" spans="1:38" x14ac:dyDescent="0.25">
      <c r="A144" s="1" t="s">
        <v>315</v>
      </c>
      <c r="B144" s="1" t="s">
        <v>316</v>
      </c>
      <c r="C144" s="1"/>
      <c r="D144" s="11">
        <v>1</v>
      </c>
      <c r="E144" s="11">
        <v>5</v>
      </c>
      <c r="F144" s="11">
        <v>5</v>
      </c>
      <c r="G144" s="11">
        <v>5</v>
      </c>
      <c r="H144" s="4"/>
      <c r="I144" s="11">
        <v>4</v>
      </c>
      <c r="J144" s="11">
        <v>4</v>
      </c>
      <c r="K144" s="11">
        <v>3</v>
      </c>
      <c r="L144" s="4"/>
      <c r="M144" s="11">
        <v>2</v>
      </c>
      <c r="N144" s="11">
        <v>3</v>
      </c>
      <c r="O144" s="4"/>
      <c r="P144" s="4"/>
      <c r="Q144" s="5">
        <v>2.4799999999999999E-2</v>
      </c>
      <c r="R144" s="5">
        <v>0.1613</v>
      </c>
      <c r="S144" s="5">
        <v>0.23810000000000001</v>
      </c>
      <c r="T144" s="5">
        <v>0.1613</v>
      </c>
      <c r="U144" s="5">
        <v>0</v>
      </c>
      <c r="V144" s="5">
        <v>7.5899999999999995E-2</v>
      </c>
      <c r="W144" s="5">
        <v>0.21510000000000001</v>
      </c>
      <c r="X144" s="5">
        <v>0.17860000000000001</v>
      </c>
      <c r="Y144" s="5">
        <v>0</v>
      </c>
      <c r="Z144" s="5">
        <v>7.9399999999999998E-2</v>
      </c>
      <c r="AA144" s="5">
        <v>9.6799999999999997E-2</v>
      </c>
      <c r="AB144" s="5">
        <v>0</v>
      </c>
      <c r="AC144" s="8">
        <v>0</v>
      </c>
      <c r="AD144" s="5">
        <v>0.1026</v>
      </c>
      <c r="AE144" s="5">
        <f t="shared" si="9"/>
        <v>9.2257142857142857E-2</v>
      </c>
      <c r="AF144" s="1" t="s">
        <v>34</v>
      </c>
      <c r="AG144" s="19" cm="1">
        <f t="array" ref="AG144">DIASQUIEBRE(Q144:AB144)</f>
        <v>0</v>
      </c>
      <c r="AH144" s="19" cm="1">
        <f t="array" ref="AH144">DiasMesesGris(Q144:AB144)</f>
        <v>0</v>
      </c>
      <c r="AI144" s="19">
        <f t="shared" si="11"/>
        <v>0</v>
      </c>
      <c r="AJ144" s="19">
        <f t="shared" si="12"/>
        <v>360</v>
      </c>
      <c r="AK144" s="20">
        <f t="shared" si="13"/>
        <v>32</v>
      </c>
      <c r="AL144" s="21">
        <f t="shared" si="10"/>
        <v>8.8888888888888892E-2</v>
      </c>
    </row>
    <row r="145" spans="1:38" x14ac:dyDescent="0.25">
      <c r="A145" s="1" t="s">
        <v>317</v>
      </c>
      <c r="B145" s="1" t="s">
        <v>318</v>
      </c>
      <c r="C145" s="1"/>
      <c r="D145" s="11">
        <v>13</v>
      </c>
      <c r="E145" s="11">
        <v>11</v>
      </c>
      <c r="F145" s="11">
        <v>7</v>
      </c>
      <c r="G145" s="11">
        <v>2</v>
      </c>
      <c r="H145" s="11">
        <v>3</v>
      </c>
      <c r="I145" s="11">
        <v>2</v>
      </c>
      <c r="J145" s="11">
        <v>3</v>
      </c>
      <c r="K145" s="11">
        <v>1</v>
      </c>
      <c r="L145" s="11">
        <v>8</v>
      </c>
      <c r="M145" s="11">
        <v>2</v>
      </c>
      <c r="N145" s="11">
        <v>-6</v>
      </c>
      <c r="O145" s="11">
        <v>16</v>
      </c>
      <c r="P145" s="11">
        <v>7</v>
      </c>
      <c r="Q145" s="5">
        <v>0.23300000000000001</v>
      </c>
      <c r="R145" s="5">
        <v>0.3548</v>
      </c>
      <c r="S145" s="5">
        <v>0.33329999999999999</v>
      </c>
      <c r="T145" s="5">
        <v>6.4500000000000002E-2</v>
      </c>
      <c r="U145" s="5">
        <v>9.0899999999999995E-2</v>
      </c>
      <c r="V145" s="5">
        <v>4.6100000000000002E-2</v>
      </c>
      <c r="W145" s="5">
        <v>0.121</v>
      </c>
      <c r="X145" s="5">
        <v>5.0999999999999997E-2</v>
      </c>
      <c r="Y145" s="5">
        <v>0.28670000000000001</v>
      </c>
      <c r="Z145" s="5">
        <v>8.3299999999999999E-2</v>
      </c>
      <c r="AA145" s="5">
        <v>-0.19350000000000001</v>
      </c>
      <c r="AB145" s="5">
        <v>0.5333</v>
      </c>
      <c r="AC145" s="8">
        <v>0.12540000000000001</v>
      </c>
      <c r="AD145" s="5">
        <v>0.16700000000000001</v>
      </c>
      <c r="AE145" s="5">
        <f t="shared" si="9"/>
        <v>0.13255714285714287</v>
      </c>
      <c r="AF145" s="1" t="s">
        <v>34</v>
      </c>
      <c r="AG145" s="19" cm="1">
        <f t="array" ref="AG145">DIASQUIEBRE(Q145:AB145)</f>
        <v>0</v>
      </c>
      <c r="AH145" s="19" cm="1">
        <f t="array" ref="AH145">DiasMesesGris(Q145:AB145)</f>
        <v>0</v>
      </c>
      <c r="AI145" s="19">
        <f t="shared" si="11"/>
        <v>0</v>
      </c>
      <c r="AJ145" s="19">
        <f t="shared" si="12"/>
        <v>360</v>
      </c>
      <c r="AK145" s="20">
        <f t="shared" si="13"/>
        <v>62</v>
      </c>
      <c r="AL145" s="21">
        <f t="shared" si="10"/>
        <v>0.17222222222222222</v>
      </c>
    </row>
    <row r="146" spans="1:38" x14ac:dyDescent="0.25">
      <c r="A146" s="1" t="s">
        <v>319</v>
      </c>
      <c r="B146" s="1" t="s">
        <v>320</v>
      </c>
      <c r="C146" s="1"/>
      <c r="D146" s="11">
        <v>9</v>
      </c>
      <c r="E146" s="11">
        <v>2</v>
      </c>
      <c r="F146" s="11">
        <v>4</v>
      </c>
      <c r="G146" s="11">
        <v>2</v>
      </c>
      <c r="H146" s="11">
        <v>8</v>
      </c>
      <c r="I146" s="11">
        <v>1</v>
      </c>
      <c r="J146" s="11">
        <v>1</v>
      </c>
      <c r="K146" s="11">
        <v>2</v>
      </c>
      <c r="L146" s="11">
        <v>5</v>
      </c>
      <c r="M146" s="4"/>
      <c r="N146" s="11">
        <v>-1</v>
      </c>
      <c r="O146" s="11">
        <v>3</v>
      </c>
      <c r="P146" s="11">
        <v>9</v>
      </c>
      <c r="Q146" s="5">
        <v>0.1613</v>
      </c>
      <c r="R146" s="5">
        <v>6.4500000000000002E-2</v>
      </c>
      <c r="S146" s="5">
        <v>0.1905</v>
      </c>
      <c r="T146" s="5">
        <v>6.4500000000000002E-2</v>
      </c>
      <c r="U146" s="5">
        <v>0.2424</v>
      </c>
      <c r="V146" s="5">
        <v>2.3E-2</v>
      </c>
      <c r="W146" s="5">
        <v>4.0300000000000002E-2</v>
      </c>
      <c r="X146" s="5">
        <v>0.10199999999999999</v>
      </c>
      <c r="Y146" s="5">
        <v>0.1792</v>
      </c>
      <c r="Z146" s="5">
        <v>0</v>
      </c>
      <c r="AA146" s="5">
        <v>-3.2300000000000002E-2</v>
      </c>
      <c r="AB146" s="5">
        <v>0.1</v>
      </c>
      <c r="AC146" s="8">
        <v>0.1613</v>
      </c>
      <c r="AD146" s="5">
        <v>9.4600000000000004E-2</v>
      </c>
      <c r="AE146" s="5">
        <f t="shared" si="9"/>
        <v>5.8885714285714284E-2</v>
      </c>
      <c r="AF146" s="1" t="s">
        <v>34</v>
      </c>
      <c r="AG146" s="19" cm="1">
        <f t="array" ref="AG146">DIASQUIEBRE(Q146:AB146)</f>
        <v>0</v>
      </c>
      <c r="AH146" s="19" cm="1">
        <f t="array" ref="AH146">DiasMesesGris(Q146:AB146)</f>
        <v>0</v>
      </c>
      <c r="AI146" s="19">
        <f t="shared" si="11"/>
        <v>0</v>
      </c>
      <c r="AJ146" s="19">
        <f t="shared" si="12"/>
        <v>360</v>
      </c>
      <c r="AK146" s="20">
        <f t="shared" si="13"/>
        <v>36</v>
      </c>
      <c r="AL146" s="21">
        <f t="shared" si="10"/>
        <v>0.1</v>
      </c>
    </row>
    <row r="147" spans="1:38" x14ac:dyDescent="0.25">
      <c r="A147" s="1" t="s">
        <v>321</v>
      </c>
      <c r="B147" s="1" t="s">
        <v>322</v>
      </c>
      <c r="C147" s="1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6">
        <v>0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W147" s="6">
        <v>0</v>
      </c>
      <c r="X147" s="6">
        <v>0</v>
      </c>
      <c r="Y147" s="6">
        <v>0</v>
      </c>
      <c r="Z147" s="6">
        <v>0</v>
      </c>
      <c r="AA147" s="6">
        <v>0</v>
      </c>
      <c r="AB147" s="6">
        <v>0</v>
      </c>
      <c r="AC147" s="7">
        <v>0</v>
      </c>
      <c r="AE147" s="5">
        <f t="shared" si="9"/>
        <v>0</v>
      </c>
      <c r="AF147" s="1" t="s">
        <v>34</v>
      </c>
      <c r="AG147" s="19" cm="1">
        <f t="array" ref="AG147">DIASQUIEBRE(Q147:AB147)</f>
        <v>0</v>
      </c>
      <c r="AH147" s="19" cm="1">
        <f t="array" ref="AH147">DiasMesesGris(Q147:AB147)</f>
        <v>360</v>
      </c>
      <c r="AI147" s="19">
        <f t="shared" si="11"/>
        <v>360</v>
      </c>
      <c r="AJ147" s="19">
        <f t="shared" si="12"/>
        <v>0</v>
      </c>
      <c r="AK147" s="20">
        <f t="shared" si="13"/>
        <v>0</v>
      </c>
      <c r="AL147" s="21">
        <f t="shared" si="10"/>
        <v>0</v>
      </c>
    </row>
    <row r="148" spans="1:38" x14ac:dyDescent="0.25">
      <c r="A148" s="1" t="s">
        <v>323</v>
      </c>
      <c r="B148" s="1" t="s">
        <v>324</v>
      </c>
      <c r="C148" s="1"/>
      <c r="D148" s="4"/>
      <c r="E148" s="11">
        <v>-1</v>
      </c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v>0</v>
      </c>
      <c r="W148" s="6">
        <v>0</v>
      </c>
      <c r="X148" s="6">
        <v>0</v>
      </c>
      <c r="Y148" s="6">
        <v>0</v>
      </c>
      <c r="Z148" s="6">
        <v>0</v>
      </c>
      <c r="AA148" s="6">
        <v>0</v>
      </c>
      <c r="AB148" s="6">
        <v>0</v>
      </c>
      <c r="AC148" s="7">
        <v>0</v>
      </c>
      <c r="AE148" s="5">
        <f t="shared" si="9"/>
        <v>0</v>
      </c>
      <c r="AF148" s="1" t="s">
        <v>34</v>
      </c>
      <c r="AG148" s="19" cm="1">
        <f t="array" ref="AG148">DIASQUIEBRE(Q148:AB148)</f>
        <v>0</v>
      </c>
      <c r="AH148" s="19" cm="1">
        <f t="array" ref="AH148">DiasMesesGris(Q148:AB148)</f>
        <v>360</v>
      </c>
      <c r="AI148" s="19">
        <f t="shared" si="11"/>
        <v>360</v>
      </c>
      <c r="AJ148" s="19">
        <f t="shared" si="12"/>
        <v>0</v>
      </c>
      <c r="AK148" s="20">
        <f t="shared" si="13"/>
        <v>-1</v>
      </c>
      <c r="AL148" s="21">
        <f t="shared" si="10"/>
        <v>0</v>
      </c>
    </row>
    <row r="149" spans="1:38" x14ac:dyDescent="0.25">
      <c r="A149" s="1" t="s">
        <v>325</v>
      </c>
      <c r="B149" s="1" t="s">
        <v>326</v>
      </c>
      <c r="C149" s="1"/>
      <c r="D149" s="11">
        <v>36</v>
      </c>
      <c r="E149" s="4"/>
      <c r="F149" s="11">
        <v>41</v>
      </c>
      <c r="G149" s="11">
        <v>1</v>
      </c>
      <c r="H149" s="11">
        <v>11</v>
      </c>
      <c r="I149" s="11">
        <v>5</v>
      </c>
      <c r="J149" s="11">
        <v>12</v>
      </c>
      <c r="K149" s="11">
        <v>14</v>
      </c>
      <c r="L149" s="11">
        <v>18</v>
      </c>
      <c r="M149" s="11">
        <v>4</v>
      </c>
      <c r="N149" s="11">
        <v>42</v>
      </c>
      <c r="O149" s="11">
        <v>60</v>
      </c>
      <c r="P149" s="11">
        <v>8</v>
      </c>
      <c r="Q149" s="9">
        <v>0.68969999999999998</v>
      </c>
      <c r="R149" s="5">
        <v>0</v>
      </c>
      <c r="S149" s="5">
        <v>1.9523999999999999</v>
      </c>
      <c r="T149" s="5">
        <v>3.2300000000000002E-2</v>
      </c>
      <c r="U149" s="5">
        <v>0.33329999999999999</v>
      </c>
      <c r="V149" s="5">
        <v>0.1152</v>
      </c>
      <c r="W149" s="5">
        <v>0.4839</v>
      </c>
      <c r="X149" s="5">
        <v>0.71430000000000005</v>
      </c>
      <c r="Y149" s="5">
        <v>0.6452</v>
      </c>
      <c r="Z149" s="5">
        <v>0.16669999999999999</v>
      </c>
      <c r="AA149" s="5">
        <v>1.3548</v>
      </c>
      <c r="AB149" s="5">
        <v>2</v>
      </c>
      <c r="AC149" s="8">
        <v>0.1434</v>
      </c>
      <c r="AD149" s="5">
        <v>0.70889999999999997</v>
      </c>
      <c r="AE149" s="5">
        <f t="shared" si="9"/>
        <v>0.78287142857142855</v>
      </c>
      <c r="AF149" s="1" t="s">
        <v>34</v>
      </c>
      <c r="AG149" s="19" cm="1">
        <f t="array" ref="AG149">DIASQUIEBRE(Q149:AB149)</f>
        <v>2</v>
      </c>
      <c r="AH149" s="19" cm="1">
        <f t="array" ref="AH149">DiasMesesGris(Q149:AB149)</f>
        <v>0</v>
      </c>
      <c r="AI149" s="19">
        <f t="shared" si="11"/>
        <v>2</v>
      </c>
      <c r="AJ149" s="19">
        <f t="shared" si="12"/>
        <v>358</v>
      </c>
      <c r="AK149" s="20">
        <f t="shared" si="13"/>
        <v>244</v>
      </c>
      <c r="AL149" s="21">
        <f t="shared" si="10"/>
        <v>0.68156424581005581</v>
      </c>
    </row>
    <row r="150" spans="1:38" x14ac:dyDescent="0.25">
      <c r="A150" s="1" t="s">
        <v>327</v>
      </c>
      <c r="B150" s="1" t="s">
        <v>328</v>
      </c>
      <c r="C150" s="1"/>
      <c r="D150" s="11">
        <v>7</v>
      </c>
      <c r="E150" s="11">
        <v>5</v>
      </c>
      <c r="F150" s="11">
        <v>22</v>
      </c>
      <c r="G150" s="11">
        <v>8</v>
      </c>
      <c r="H150" s="11">
        <v>3</v>
      </c>
      <c r="I150" s="11">
        <v>7</v>
      </c>
      <c r="J150" s="11">
        <v>5</v>
      </c>
      <c r="K150" s="11">
        <v>3</v>
      </c>
      <c r="L150" s="11">
        <v>2</v>
      </c>
      <c r="M150" s="11">
        <v>2</v>
      </c>
      <c r="N150" s="11">
        <v>3</v>
      </c>
      <c r="O150" s="11">
        <v>12</v>
      </c>
      <c r="P150" s="4"/>
      <c r="Q150" s="5">
        <v>0.12540000000000001</v>
      </c>
      <c r="R150" s="5">
        <v>0.1613</v>
      </c>
      <c r="S150" s="5">
        <v>1.0476000000000001</v>
      </c>
      <c r="T150" s="5">
        <v>0.2581</v>
      </c>
      <c r="U150" s="5">
        <v>9.0899999999999995E-2</v>
      </c>
      <c r="V150" s="5">
        <v>0.1613</v>
      </c>
      <c r="W150" s="5">
        <v>0.2016</v>
      </c>
      <c r="X150" s="5">
        <v>0.15310000000000001</v>
      </c>
      <c r="Y150" s="5">
        <v>7.17E-2</v>
      </c>
      <c r="Z150" s="5">
        <v>8.3299999999999999E-2</v>
      </c>
      <c r="AA150" s="5">
        <v>9.6799999999999997E-2</v>
      </c>
      <c r="AB150" s="5">
        <v>0.4</v>
      </c>
      <c r="AC150" s="8">
        <v>0</v>
      </c>
      <c r="AD150" s="5">
        <v>0.23760000000000001</v>
      </c>
      <c r="AE150" s="5">
        <f t="shared" si="9"/>
        <v>0.16682857142857146</v>
      </c>
      <c r="AF150" s="1" t="s">
        <v>34</v>
      </c>
      <c r="AG150" s="19" cm="1">
        <f t="array" ref="AG150">DIASQUIEBRE(Q150:AB150)</f>
        <v>0</v>
      </c>
      <c r="AH150" s="19" cm="1">
        <f t="array" ref="AH150">DiasMesesGris(Q150:AB150)</f>
        <v>0</v>
      </c>
      <c r="AI150" s="19">
        <f t="shared" si="11"/>
        <v>0</v>
      </c>
      <c r="AJ150" s="19">
        <f t="shared" si="12"/>
        <v>360</v>
      </c>
      <c r="AK150" s="20">
        <f t="shared" si="13"/>
        <v>79</v>
      </c>
      <c r="AL150" s="21">
        <f t="shared" si="10"/>
        <v>0.21944444444444444</v>
      </c>
    </row>
    <row r="151" spans="1:38" x14ac:dyDescent="0.25">
      <c r="A151" s="1" t="s">
        <v>329</v>
      </c>
      <c r="B151" s="1" t="s">
        <v>330</v>
      </c>
      <c r="C151" s="1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6">
        <v>0</v>
      </c>
      <c r="R151" s="6">
        <v>0</v>
      </c>
      <c r="S151" s="6">
        <v>0</v>
      </c>
      <c r="T151" s="6">
        <v>0</v>
      </c>
      <c r="U151" s="6">
        <v>0</v>
      </c>
      <c r="V151" s="6">
        <v>0</v>
      </c>
      <c r="W151" s="6">
        <v>0</v>
      </c>
      <c r="X151" s="6">
        <v>0</v>
      </c>
      <c r="Y151" s="6">
        <v>0</v>
      </c>
      <c r="Z151" s="6">
        <v>0</v>
      </c>
      <c r="AA151" s="6">
        <v>0</v>
      </c>
      <c r="AB151" s="6">
        <v>0</v>
      </c>
      <c r="AC151" s="7">
        <v>0</v>
      </c>
      <c r="AE151" s="5">
        <f t="shared" si="9"/>
        <v>0</v>
      </c>
      <c r="AF151" s="1" t="s">
        <v>34</v>
      </c>
      <c r="AG151" s="19" cm="1">
        <f t="array" ref="AG151">DIASQUIEBRE(Q151:AB151)</f>
        <v>0</v>
      </c>
      <c r="AH151" s="19" cm="1">
        <f t="array" ref="AH151">DiasMesesGris(Q151:AB151)</f>
        <v>360</v>
      </c>
      <c r="AI151" s="19">
        <f t="shared" si="11"/>
        <v>360</v>
      </c>
      <c r="AJ151" s="19">
        <f t="shared" si="12"/>
        <v>0</v>
      </c>
      <c r="AK151" s="20">
        <f t="shared" si="13"/>
        <v>0</v>
      </c>
      <c r="AL151" s="21">
        <f t="shared" si="10"/>
        <v>0</v>
      </c>
    </row>
    <row r="152" spans="1:38" x14ac:dyDescent="0.25">
      <c r="A152" s="1" t="s">
        <v>331</v>
      </c>
      <c r="B152" s="1" t="s">
        <v>332</v>
      </c>
      <c r="C152" s="1"/>
      <c r="D152" s="11">
        <v>3</v>
      </c>
      <c r="E152" s="11">
        <v>1</v>
      </c>
      <c r="F152" s="11">
        <v>1</v>
      </c>
      <c r="G152" s="11">
        <v>1</v>
      </c>
      <c r="H152" s="11">
        <v>2</v>
      </c>
      <c r="I152" s="11">
        <v>3</v>
      </c>
      <c r="J152" s="11">
        <v>7</v>
      </c>
      <c r="K152" s="4"/>
      <c r="L152" s="11">
        <v>2</v>
      </c>
      <c r="M152" s="11">
        <v>2</v>
      </c>
      <c r="N152" s="11">
        <v>2</v>
      </c>
      <c r="O152" s="11">
        <v>6</v>
      </c>
      <c r="P152" s="4"/>
      <c r="Q152" s="9">
        <v>5.7500000000000002E-2</v>
      </c>
      <c r="R152" s="5">
        <v>3.2300000000000002E-2</v>
      </c>
      <c r="S152" s="5">
        <v>4.7600000000000003E-2</v>
      </c>
      <c r="T152" s="5">
        <v>3.2300000000000002E-2</v>
      </c>
      <c r="U152" s="5">
        <v>6.0600000000000001E-2</v>
      </c>
      <c r="V152" s="5">
        <v>6.9099999999999995E-2</v>
      </c>
      <c r="W152" s="5">
        <v>0.2823</v>
      </c>
      <c r="X152" s="5">
        <v>0</v>
      </c>
      <c r="Y152" s="5">
        <v>7.17E-2</v>
      </c>
      <c r="Z152" s="5">
        <v>8.3299999999999999E-2</v>
      </c>
      <c r="AA152" s="5">
        <v>6.4500000000000002E-2</v>
      </c>
      <c r="AB152" s="5">
        <v>0.2</v>
      </c>
      <c r="AC152" s="8">
        <v>0</v>
      </c>
      <c r="AD152" s="5">
        <v>8.5800000000000001E-2</v>
      </c>
      <c r="AE152" s="5">
        <f t="shared" si="9"/>
        <v>0.11012857142857142</v>
      </c>
      <c r="AF152" s="1" t="s">
        <v>34</v>
      </c>
      <c r="AG152" s="19" cm="1">
        <f t="array" ref="AG152">DIASQUIEBRE(Q152:AB152)</f>
        <v>2</v>
      </c>
      <c r="AH152" s="19" cm="1">
        <f t="array" ref="AH152">DiasMesesGris(Q152:AB152)</f>
        <v>0</v>
      </c>
      <c r="AI152" s="19">
        <f t="shared" si="11"/>
        <v>2</v>
      </c>
      <c r="AJ152" s="19">
        <f t="shared" si="12"/>
        <v>358</v>
      </c>
      <c r="AK152" s="20">
        <f t="shared" si="13"/>
        <v>30</v>
      </c>
      <c r="AL152" s="21">
        <f t="shared" si="10"/>
        <v>8.3798882681564241E-2</v>
      </c>
    </row>
    <row r="153" spans="1:38" x14ac:dyDescent="0.25">
      <c r="A153" s="1" t="s">
        <v>333</v>
      </c>
      <c r="B153" s="1" t="s">
        <v>334</v>
      </c>
      <c r="C153" s="1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6">
        <v>0</v>
      </c>
      <c r="R153" s="6">
        <v>0</v>
      </c>
      <c r="S153" s="6">
        <v>0</v>
      </c>
      <c r="T153" s="6">
        <v>0</v>
      </c>
      <c r="U153" s="6">
        <v>0</v>
      </c>
      <c r="V153" s="6">
        <v>0</v>
      </c>
      <c r="W153" s="6">
        <v>0</v>
      </c>
      <c r="X153" s="6">
        <v>0</v>
      </c>
      <c r="Y153" s="6">
        <v>0</v>
      </c>
      <c r="Z153" s="6">
        <v>0</v>
      </c>
      <c r="AA153" s="6">
        <v>0</v>
      </c>
      <c r="AB153" s="6">
        <v>0</v>
      </c>
      <c r="AC153" s="7">
        <v>0</v>
      </c>
      <c r="AE153" s="5">
        <f t="shared" si="9"/>
        <v>0</v>
      </c>
      <c r="AF153" s="1" t="s">
        <v>34</v>
      </c>
      <c r="AG153" s="19" cm="1">
        <f t="array" ref="AG153">DIASQUIEBRE(Q153:AB153)</f>
        <v>0</v>
      </c>
      <c r="AH153" s="19" cm="1">
        <f t="array" ref="AH153">DiasMesesGris(Q153:AB153)</f>
        <v>360</v>
      </c>
      <c r="AI153" s="19">
        <f t="shared" si="11"/>
        <v>360</v>
      </c>
      <c r="AJ153" s="19">
        <f t="shared" si="12"/>
        <v>0</v>
      </c>
      <c r="AK153" s="20">
        <f t="shared" si="13"/>
        <v>0</v>
      </c>
      <c r="AL153" s="21">
        <f t="shared" si="10"/>
        <v>0</v>
      </c>
    </row>
    <row r="154" spans="1:38" x14ac:dyDescent="0.25">
      <c r="A154" s="1" t="s">
        <v>335</v>
      </c>
      <c r="B154" s="1" t="s">
        <v>336</v>
      </c>
      <c r="C154" s="1"/>
      <c r="D154" s="11">
        <v>8</v>
      </c>
      <c r="E154" s="11">
        <v>13</v>
      </c>
      <c r="F154" s="11">
        <v>9</v>
      </c>
      <c r="G154" s="11">
        <v>5</v>
      </c>
      <c r="H154" s="11">
        <v>8</v>
      </c>
      <c r="I154" s="11">
        <v>9</v>
      </c>
      <c r="J154" s="11">
        <v>13</v>
      </c>
      <c r="K154" s="11">
        <v>3</v>
      </c>
      <c r="L154" s="11">
        <v>7</v>
      </c>
      <c r="M154" s="11">
        <v>12</v>
      </c>
      <c r="N154" s="11">
        <v>3</v>
      </c>
      <c r="O154" s="11">
        <v>13</v>
      </c>
      <c r="P154" s="11">
        <v>3</v>
      </c>
      <c r="Q154" s="5">
        <v>0.1434</v>
      </c>
      <c r="R154" s="5">
        <v>0.4194</v>
      </c>
      <c r="S154" s="5">
        <v>0.42859999999999998</v>
      </c>
      <c r="T154" s="5">
        <v>0.1613</v>
      </c>
      <c r="U154" s="5">
        <v>0.2424</v>
      </c>
      <c r="V154" s="5">
        <v>0.2074</v>
      </c>
      <c r="W154" s="5">
        <v>0.5242</v>
      </c>
      <c r="X154" s="5">
        <v>0.15310000000000001</v>
      </c>
      <c r="Y154" s="5">
        <v>0.25090000000000001</v>
      </c>
      <c r="Z154" s="5">
        <v>0.5</v>
      </c>
      <c r="AA154" s="5">
        <v>9.6799999999999997E-2</v>
      </c>
      <c r="AB154" s="5">
        <v>0.43330000000000002</v>
      </c>
      <c r="AC154" s="8">
        <v>5.3800000000000001E-2</v>
      </c>
      <c r="AD154" s="5">
        <v>0.29670000000000002</v>
      </c>
      <c r="AE154" s="5">
        <f t="shared" si="9"/>
        <v>0.30938571428571432</v>
      </c>
      <c r="AF154" s="1" t="s">
        <v>34</v>
      </c>
      <c r="AG154" s="19" cm="1">
        <f t="array" ref="AG154">DIASQUIEBRE(Q154:AB154)</f>
        <v>0</v>
      </c>
      <c r="AH154" s="19" cm="1">
        <f t="array" ref="AH154">DiasMesesGris(Q154:AB154)</f>
        <v>0</v>
      </c>
      <c r="AI154" s="19">
        <f t="shared" si="11"/>
        <v>0</v>
      </c>
      <c r="AJ154" s="19">
        <f t="shared" si="12"/>
        <v>360</v>
      </c>
      <c r="AK154" s="20">
        <f t="shared" si="13"/>
        <v>103</v>
      </c>
      <c r="AL154" s="21">
        <f t="shared" si="10"/>
        <v>0.28611111111111109</v>
      </c>
    </row>
    <row r="155" spans="1:38" x14ac:dyDescent="0.25">
      <c r="A155" s="1" t="s">
        <v>337</v>
      </c>
      <c r="B155" s="1" t="s">
        <v>338</v>
      </c>
      <c r="C155" s="1"/>
      <c r="D155" s="11">
        <v>1</v>
      </c>
      <c r="E155" s="11">
        <v>4</v>
      </c>
      <c r="F155" s="11">
        <v>3</v>
      </c>
      <c r="G155" s="11">
        <v>24</v>
      </c>
      <c r="H155" s="4"/>
      <c r="I155" s="4"/>
      <c r="J155" s="4"/>
      <c r="K155" s="11">
        <v>1</v>
      </c>
      <c r="L155" s="11">
        <v>2</v>
      </c>
      <c r="M155" s="11">
        <v>4</v>
      </c>
      <c r="N155" s="4"/>
      <c r="O155" s="4"/>
      <c r="P155" s="4"/>
      <c r="Q155" s="5">
        <v>1.7899999999999999E-2</v>
      </c>
      <c r="R155" s="5">
        <v>0.129</v>
      </c>
      <c r="S155" s="5">
        <v>0.1429</v>
      </c>
      <c r="T155" s="9">
        <v>1.2</v>
      </c>
      <c r="U155" s="6">
        <v>0</v>
      </c>
      <c r="V155" s="6">
        <v>0</v>
      </c>
      <c r="W155" s="9">
        <v>0</v>
      </c>
      <c r="X155" s="5">
        <v>5.0999999999999997E-2</v>
      </c>
      <c r="Y155" s="5">
        <v>7.17E-2</v>
      </c>
      <c r="Z155" s="5">
        <v>0.16669999999999999</v>
      </c>
      <c r="AA155" s="5">
        <v>0</v>
      </c>
      <c r="AB155" s="5">
        <v>0</v>
      </c>
      <c r="AC155" s="8">
        <v>0</v>
      </c>
      <c r="AD155" s="5">
        <v>7.2400000000000006E-2</v>
      </c>
      <c r="AE155" s="5">
        <v>0.06</v>
      </c>
      <c r="AF155" s="1" t="s">
        <v>34</v>
      </c>
      <c r="AG155" s="19" cm="1">
        <f t="array" ref="AG155">DIASQUIEBRE(Q155:AB155)</f>
        <v>19</v>
      </c>
      <c r="AH155" s="19" cm="1">
        <f t="array" ref="AH155">DiasMesesGris(Q155:AB155)</f>
        <v>60</v>
      </c>
      <c r="AI155" s="19">
        <f t="shared" si="11"/>
        <v>79</v>
      </c>
      <c r="AJ155" s="19">
        <f t="shared" si="12"/>
        <v>281</v>
      </c>
      <c r="AK155" s="20">
        <f t="shared" si="13"/>
        <v>39</v>
      </c>
      <c r="AL155" s="21">
        <f t="shared" si="10"/>
        <v>0.13879003558718861</v>
      </c>
    </row>
    <row r="156" spans="1:38" x14ac:dyDescent="0.25">
      <c r="A156" s="1" t="s">
        <v>339</v>
      </c>
      <c r="B156" s="1" t="s">
        <v>340</v>
      </c>
      <c r="C156" s="1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6">
        <v>0</v>
      </c>
      <c r="R156" s="6">
        <v>0</v>
      </c>
      <c r="S156" s="6">
        <v>0</v>
      </c>
      <c r="T156" s="6">
        <v>0</v>
      </c>
      <c r="U156" s="6">
        <v>0</v>
      </c>
      <c r="V156" s="6">
        <v>0</v>
      </c>
      <c r="W156" s="6">
        <v>0</v>
      </c>
      <c r="X156" s="6">
        <v>0</v>
      </c>
      <c r="Y156" s="6">
        <v>0</v>
      </c>
      <c r="Z156" s="6">
        <v>0</v>
      </c>
      <c r="AA156" s="6">
        <v>0</v>
      </c>
      <c r="AB156" s="6">
        <v>0</v>
      </c>
      <c r="AC156" s="7">
        <v>0</v>
      </c>
      <c r="AE156" s="5">
        <f t="shared" si="9"/>
        <v>0</v>
      </c>
      <c r="AF156" s="1" t="s">
        <v>34</v>
      </c>
      <c r="AG156" s="19" cm="1">
        <f t="array" ref="AG156">DIASQUIEBRE(Q156:AB156)</f>
        <v>0</v>
      </c>
      <c r="AH156" s="19" cm="1">
        <f t="array" ref="AH156">DiasMesesGris(Q156:AB156)</f>
        <v>360</v>
      </c>
      <c r="AI156" s="19">
        <f t="shared" si="11"/>
        <v>360</v>
      </c>
      <c r="AJ156" s="19">
        <f t="shared" si="12"/>
        <v>0</v>
      </c>
      <c r="AK156" s="20">
        <f t="shared" si="13"/>
        <v>0</v>
      </c>
      <c r="AL156" s="21">
        <f t="shared" si="10"/>
        <v>0</v>
      </c>
    </row>
    <row r="157" spans="1:38" x14ac:dyDescent="0.25">
      <c r="A157" s="1" t="s">
        <v>341</v>
      </c>
      <c r="B157" s="1" t="s">
        <v>342</v>
      </c>
      <c r="C157" s="1"/>
      <c r="D157" s="11">
        <v>7</v>
      </c>
      <c r="E157" s="11">
        <v>9</v>
      </c>
      <c r="F157" s="11">
        <v>10</v>
      </c>
      <c r="G157" s="11">
        <v>8</v>
      </c>
      <c r="H157" s="11">
        <v>6</v>
      </c>
      <c r="I157" s="11">
        <v>3</v>
      </c>
      <c r="J157" s="11">
        <v>7</v>
      </c>
      <c r="K157" s="4"/>
      <c r="L157" s="11">
        <v>9</v>
      </c>
      <c r="M157" s="4"/>
      <c r="N157" s="11">
        <v>3</v>
      </c>
      <c r="O157" s="11">
        <v>11</v>
      </c>
      <c r="P157" s="11">
        <v>3</v>
      </c>
      <c r="Q157" s="5">
        <v>0.1898</v>
      </c>
      <c r="R157" s="5">
        <v>0.2903</v>
      </c>
      <c r="S157" s="5">
        <v>0.33329999999999999</v>
      </c>
      <c r="T157" s="5">
        <v>0.28670000000000001</v>
      </c>
      <c r="U157" s="5">
        <v>0.24099999999999999</v>
      </c>
      <c r="V157" s="5">
        <v>0.1019</v>
      </c>
      <c r="W157" s="5">
        <v>0.41060000000000002</v>
      </c>
      <c r="X157" s="5">
        <v>0</v>
      </c>
      <c r="Y157" s="9">
        <v>0.34089999999999998</v>
      </c>
      <c r="Z157" s="5">
        <v>0</v>
      </c>
      <c r="AA157" s="5">
        <v>8.2699999999999996E-2</v>
      </c>
      <c r="AB157" s="5">
        <v>0.31879999999999997</v>
      </c>
      <c r="AC157" s="7">
        <v>2.5209999999999999</v>
      </c>
      <c r="AD157" s="5">
        <v>0.20499999999999999</v>
      </c>
      <c r="AE157" s="5">
        <v>0.19</v>
      </c>
      <c r="AF157" s="1" t="s">
        <v>34</v>
      </c>
      <c r="AG157" s="19" cm="1">
        <f t="array" ref="AG157">DIASQUIEBRE(Q157:AB157)</f>
        <v>7</v>
      </c>
      <c r="AH157" s="19" cm="1">
        <f t="array" ref="AH157">DiasMesesGris(Q157:AB157)</f>
        <v>0</v>
      </c>
      <c r="AI157" s="19">
        <f t="shared" si="11"/>
        <v>7</v>
      </c>
      <c r="AJ157" s="19">
        <f t="shared" si="12"/>
        <v>353</v>
      </c>
      <c r="AK157" s="20">
        <f t="shared" si="13"/>
        <v>73</v>
      </c>
      <c r="AL157" s="21">
        <f t="shared" si="10"/>
        <v>0.20679886685552407</v>
      </c>
    </row>
    <row r="158" spans="1:38" x14ac:dyDescent="0.25">
      <c r="A158" s="1" t="s">
        <v>343</v>
      </c>
      <c r="B158" s="1" t="s">
        <v>344</v>
      </c>
      <c r="C158" s="1"/>
      <c r="D158" s="11">
        <v>5</v>
      </c>
      <c r="E158" s="11">
        <v>10</v>
      </c>
      <c r="F158" s="11">
        <v>10</v>
      </c>
      <c r="G158" s="11">
        <v>2</v>
      </c>
      <c r="H158" s="11">
        <v>2</v>
      </c>
      <c r="I158" s="11">
        <v>1</v>
      </c>
      <c r="J158" s="11">
        <v>3</v>
      </c>
      <c r="K158" s="11">
        <v>4</v>
      </c>
      <c r="L158" s="11">
        <v>3</v>
      </c>
      <c r="M158" s="4"/>
      <c r="N158" s="11">
        <v>1</v>
      </c>
      <c r="O158" s="11">
        <v>7</v>
      </c>
      <c r="P158" s="11">
        <v>3</v>
      </c>
      <c r="Q158" s="5">
        <v>0.13550000000000001</v>
      </c>
      <c r="R158" s="5">
        <v>0.3226</v>
      </c>
      <c r="S158" s="5">
        <v>0.33329999999999999</v>
      </c>
      <c r="T158" s="5">
        <v>7.17E-2</v>
      </c>
      <c r="U158" s="5">
        <v>8.0299999999999996E-2</v>
      </c>
      <c r="V158" s="5">
        <v>3.4000000000000002E-2</v>
      </c>
      <c r="W158" s="5">
        <v>0.17599999999999999</v>
      </c>
      <c r="X158" s="5">
        <v>0.1905</v>
      </c>
      <c r="Y158" s="5">
        <v>8.7999999999999995E-2</v>
      </c>
      <c r="Z158" s="5">
        <v>0</v>
      </c>
      <c r="AA158" s="5">
        <v>2.76E-2</v>
      </c>
      <c r="AB158" s="5">
        <v>0.2029</v>
      </c>
      <c r="AC158" s="8">
        <v>8.1299999999999997E-2</v>
      </c>
      <c r="AD158" s="5">
        <v>0.13850000000000001</v>
      </c>
      <c r="AE158" s="5">
        <f t="shared" si="9"/>
        <v>0.10271428571428569</v>
      </c>
      <c r="AF158" s="1" t="s">
        <v>34</v>
      </c>
      <c r="AG158" s="19" cm="1">
        <f t="array" ref="AG158">DIASQUIEBRE(Q158:AB158)</f>
        <v>0</v>
      </c>
      <c r="AH158" s="19" cm="1">
        <f t="array" ref="AH158">DiasMesesGris(Q158:AB158)</f>
        <v>0</v>
      </c>
      <c r="AI158" s="19">
        <f t="shared" si="11"/>
        <v>0</v>
      </c>
      <c r="AJ158" s="19">
        <f t="shared" si="12"/>
        <v>360</v>
      </c>
      <c r="AK158" s="20">
        <f t="shared" si="13"/>
        <v>48</v>
      </c>
      <c r="AL158" s="21">
        <f t="shared" si="10"/>
        <v>0.13333333333333333</v>
      </c>
    </row>
    <row r="159" spans="1:38" x14ac:dyDescent="0.25">
      <c r="A159" s="1" t="s">
        <v>345</v>
      </c>
      <c r="B159" s="1" t="s">
        <v>346</v>
      </c>
      <c r="C159" s="1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6">
        <v>0</v>
      </c>
      <c r="R159" s="6">
        <v>0</v>
      </c>
      <c r="S159" s="6">
        <v>0</v>
      </c>
      <c r="T159" s="6">
        <v>0</v>
      </c>
      <c r="U159" s="6">
        <v>0</v>
      </c>
      <c r="V159" s="6">
        <v>0</v>
      </c>
      <c r="W159" s="6">
        <v>0</v>
      </c>
      <c r="X159" s="6">
        <v>0</v>
      </c>
      <c r="Y159" s="6">
        <v>0</v>
      </c>
      <c r="Z159" s="6">
        <v>0</v>
      </c>
      <c r="AA159" s="6">
        <v>0</v>
      </c>
      <c r="AB159" s="6">
        <v>0</v>
      </c>
      <c r="AC159" s="7">
        <v>0</v>
      </c>
      <c r="AE159" s="5">
        <f t="shared" si="9"/>
        <v>0</v>
      </c>
      <c r="AF159" s="1" t="s">
        <v>34</v>
      </c>
      <c r="AG159" s="19" cm="1">
        <f t="array" ref="AG159">DIASQUIEBRE(Q159:AB159)</f>
        <v>0</v>
      </c>
      <c r="AH159" s="19" cm="1">
        <f t="array" ref="AH159">DiasMesesGris(Q159:AB159)</f>
        <v>360</v>
      </c>
      <c r="AI159" s="19">
        <f t="shared" si="11"/>
        <v>360</v>
      </c>
      <c r="AJ159" s="19">
        <f t="shared" si="12"/>
        <v>0</v>
      </c>
      <c r="AK159" s="20">
        <f t="shared" si="13"/>
        <v>0</v>
      </c>
      <c r="AL159" s="21">
        <f t="shared" si="10"/>
        <v>0</v>
      </c>
    </row>
    <row r="160" spans="1:38" x14ac:dyDescent="0.25">
      <c r="A160" s="1" t="s">
        <v>347</v>
      </c>
      <c r="B160" s="1" t="s">
        <v>348</v>
      </c>
      <c r="C160" s="1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6">
        <v>0</v>
      </c>
      <c r="R160" s="6">
        <v>0</v>
      </c>
      <c r="S160" s="6">
        <v>0</v>
      </c>
      <c r="T160" s="6">
        <v>0</v>
      </c>
      <c r="U160" s="6">
        <v>0</v>
      </c>
      <c r="V160" s="6">
        <v>0</v>
      </c>
      <c r="W160" s="6">
        <v>0</v>
      </c>
      <c r="X160" s="6">
        <v>0</v>
      </c>
      <c r="Y160" s="6">
        <v>0</v>
      </c>
      <c r="Z160" s="6">
        <v>0</v>
      </c>
      <c r="AA160" s="6">
        <v>0</v>
      </c>
      <c r="AB160" s="6">
        <v>0</v>
      </c>
      <c r="AC160" s="7">
        <v>0</v>
      </c>
      <c r="AE160" s="5">
        <f t="shared" si="9"/>
        <v>0</v>
      </c>
      <c r="AF160" s="1" t="s">
        <v>34</v>
      </c>
      <c r="AG160" s="19" cm="1">
        <f t="array" ref="AG160">DIASQUIEBRE(Q160:AB160)</f>
        <v>0</v>
      </c>
      <c r="AH160" s="19" cm="1">
        <f t="array" ref="AH160">DiasMesesGris(Q160:AB160)</f>
        <v>360</v>
      </c>
      <c r="AI160" s="19">
        <f t="shared" si="11"/>
        <v>360</v>
      </c>
      <c r="AJ160" s="19">
        <f t="shared" si="12"/>
        <v>0</v>
      </c>
      <c r="AK160" s="20">
        <f t="shared" si="13"/>
        <v>0</v>
      </c>
      <c r="AL160" s="21">
        <f t="shared" si="10"/>
        <v>0</v>
      </c>
    </row>
    <row r="161" spans="1:38" x14ac:dyDescent="0.25">
      <c r="A161" s="1" t="s">
        <v>349</v>
      </c>
      <c r="B161" s="1" t="s">
        <v>350</v>
      </c>
      <c r="C161" s="1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6">
        <v>0</v>
      </c>
      <c r="R161" s="6">
        <v>0</v>
      </c>
      <c r="S161" s="6">
        <v>0</v>
      </c>
      <c r="T161" s="6">
        <v>0</v>
      </c>
      <c r="U161" s="6">
        <v>0</v>
      </c>
      <c r="V161" s="6">
        <v>0</v>
      </c>
      <c r="W161" s="6">
        <v>0</v>
      </c>
      <c r="X161" s="6">
        <v>0</v>
      </c>
      <c r="Y161" s="6">
        <v>0</v>
      </c>
      <c r="Z161" s="6">
        <v>0</v>
      </c>
      <c r="AA161" s="6">
        <v>0</v>
      </c>
      <c r="AB161" s="6">
        <v>0</v>
      </c>
      <c r="AC161" s="7">
        <v>0</v>
      </c>
      <c r="AE161" s="5">
        <f t="shared" si="9"/>
        <v>0</v>
      </c>
      <c r="AF161" s="1" t="s">
        <v>34</v>
      </c>
      <c r="AG161" s="19" cm="1">
        <f t="array" ref="AG161">DIASQUIEBRE(Q161:AB161)</f>
        <v>0</v>
      </c>
      <c r="AH161" s="19" cm="1">
        <f t="array" ref="AH161">DiasMesesGris(Q161:AB161)</f>
        <v>360</v>
      </c>
      <c r="AI161" s="19">
        <f t="shared" si="11"/>
        <v>360</v>
      </c>
      <c r="AJ161" s="19">
        <f t="shared" si="12"/>
        <v>0</v>
      </c>
      <c r="AK161" s="20">
        <f t="shared" si="13"/>
        <v>0</v>
      </c>
      <c r="AL161" s="21">
        <f t="shared" si="10"/>
        <v>0</v>
      </c>
    </row>
    <row r="162" spans="1:38" x14ac:dyDescent="0.25">
      <c r="A162" s="1" t="s">
        <v>351</v>
      </c>
      <c r="B162" s="1" t="s">
        <v>352</v>
      </c>
      <c r="C162" s="1"/>
      <c r="D162" s="11">
        <v>10</v>
      </c>
      <c r="E162" s="11">
        <v>11</v>
      </c>
      <c r="F162" s="11">
        <v>7</v>
      </c>
      <c r="G162" s="11">
        <v>9</v>
      </c>
      <c r="H162" s="11">
        <v>3</v>
      </c>
      <c r="I162" s="11">
        <v>25</v>
      </c>
      <c r="J162" s="11">
        <v>17</v>
      </c>
      <c r="K162" s="11">
        <v>5</v>
      </c>
      <c r="L162" s="11">
        <v>2</v>
      </c>
      <c r="M162" s="11">
        <v>6</v>
      </c>
      <c r="N162" s="11">
        <v>4</v>
      </c>
      <c r="O162" s="11">
        <v>4</v>
      </c>
      <c r="P162" s="11">
        <v>10</v>
      </c>
      <c r="Q162" s="5">
        <v>0.1792</v>
      </c>
      <c r="R162" s="5">
        <v>0.3548</v>
      </c>
      <c r="S162" s="5">
        <v>0.33329999999999999</v>
      </c>
      <c r="T162" s="5">
        <v>0.2903</v>
      </c>
      <c r="U162" s="5">
        <v>9.0899999999999995E-2</v>
      </c>
      <c r="V162" s="5">
        <v>0.57599999999999996</v>
      </c>
      <c r="W162" s="5">
        <v>0.6855</v>
      </c>
      <c r="X162" s="5">
        <v>0.25509999999999999</v>
      </c>
      <c r="Y162" s="5">
        <v>7.17E-2</v>
      </c>
      <c r="Z162" s="5">
        <v>0.25</v>
      </c>
      <c r="AA162" s="5">
        <v>0.129</v>
      </c>
      <c r="AB162" s="5">
        <v>0.1333</v>
      </c>
      <c r="AC162" s="8">
        <v>0.1792</v>
      </c>
      <c r="AD162" s="5">
        <v>0.27910000000000001</v>
      </c>
      <c r="AE162" s="5">
        <f t="shared" si="9"/>
        <v>0.30008571428571429</v>
      </c>
      <c r="AF162" s="1" t="s">
        <v>34</v>
      </c>
      <c r="AG162" s="19" cm="1">
        <f t="array" ref="AG162">DIASQUIEBRE(Q162:AB162)</f>
        <v>0</v>
      </c>
      <c r="AH162" s="19" cm="1">
        <f t="array" ref="AH162">DiasMesesGris(Q162:AB162)</f>
        <v>0</v>
      </c>
      <c r="AI162" s="19">
        <f t="shared" si="11"/>
        <v>0</v>
      </c>
      <c r="AJ162" s="19">
        <f t="shared" si="12"/>
        <v>360</v>
      </c>
      <c r="AK162" s="20">
        <f t="shared" si="13"/>
        <v>103</v>
      </c>
      <c r="AL162" s="21">
        <f t="shared" si="10"/>
        <v>0.28611111111111109</v>
      </c>
    </row>
    <row r="163" spans="1:38" x14ac:dyDescent="0.25">
      <c r="A163" s="1" t="s">
        <v>353</v>
      </c>
      <c r="B163" s="1" t="s">
        <v>354</v>
      </c>
      <c r="C163" s="1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6">
        <v>0</v>
      </c>
      <c r="R163" s="6">
        <v>0</v>
      </c>
      <c r="S163" s="6">
        <v>0</v>
      </c>
      <c r="T163" s="6">
        <v>0</v>
      </c>
      <c r="U163" s="6">
        <v>0</v>
      </c>
      <c r="V163" s="6">
        <v>0</v>
      </c>
      <c r="W163" s="6">
        <v>0</v>
      </c>
      <c r="X163" s="6">
        <v>0</v>
      </c>
      <c r="Y163" s="6">
        <v>0</v>
      </c>
      <c r="Z163" s="6">
        <v>0</v>
      </c>
      <c r="AA163" s="6">
        <v>0</v>
      </c>
      <c r="AB163" s="6">
        <v>0</v>
      </c>
      <c r="AC163" s="7">
        <v>0</v>
      </c>
      <c r="AE163" s="5">
        <f t="shared" si="9"/>
        <v>0</v>
      </c>
      <c r="AF163" s="1" t="s">
        <v>34</v>
      </c>
      <c r="AG163" s="19" cm="1">
        <f t="array" ref="AG163">DIASQUIEBRE(Q163:AB163)</f>
        <v>0</v>
      </c>
      <c r="AH163" s="19" cm="1">
        <f t="array" ref="AH163">DiasMesesGris(Q163:AB163)</f>
        <v>360</v>
      </c>
      <c r="AI163" s="19">
        <f t="shared" si="11"/>
        <v>360</v>
      </c>
      <c r="AJ163" s="19">
        <f t="shared" si="12"/>
        <v>0</v>
      </c>
      <c r="AK163" s="20">
        <f t="shared" si="13"/>
        <v>0</v>
      </c>
      <c r="AL163" s="21">
        <f t="shared" si="10"/>
        <v>0</v>
      </c>
    </row>
    <row r="164" spans="1:38" x14ac:dyDescent="0.25">
      <c r="A164" s="1" t="s">
        <v>355</v>
      </c>
      <c r="B164" s="1" t="s">
        <v>356</v>
      </c>
      <c r="C164" s="1"/>
      <c r="D164" s="11">
        <v>14</v>
      </c>
      <c r="E164" s="11">
        <v>22</v>
      </c>
      <c r="F164" s="11">
        <v>16</v>
      </c>
      <c r="G164" s="11">
        <v>8</v>
      </c>
      <c r="H164" s="11">
        <v>8</v>
      </c>
      <c r="I164" s="11">
        <v>12</v>
      </c>
      <c r="J164" s="11">
        <v>12</v>
      </c>
      <c r="K164" s="11">
        <v>3</v>
      </c>
      <c r="L164" s="11">
        <v>4</v>
      </c>
      <c r="M164" s="11">
        <v>2</v>
      </c>
      <c r="N164" s="11">
        <v>1</v>
      </c>
      <c r="O164" s="11">
        <v>9</v>
      </c>
      <c r="P164" s="4"/>
      <c r="Q164" s="5">
        <v>0.25090000000000001</v>
      </c>
      <c r="R164" s="5">
        <v>0.7097</v>
      </c>
      <c r="S164" s="5">
        <v>0.76190000000000002</v>
      </c>
      <c r="T164" s="5">
        <v>0.2581</v>
      </c>
      <c r="U164" s="5">
        <v>0.2424</v>
      </c>
      <c r="V164" s="5">
        <v>0.27650000000000002</v>
      </c>
      <c r="W164" s="5">
        <v>0.4839</v>
      </c>
      <c r="X164" s="5">
        <v>0.15310000000000001</v>
      </c>
      <c r="Y164" s="5">
        <v>0.1434</v>
      </c>
      <c r="Z164" s="5">
        <v>8.3299999999999999E-2</v>
      </c>
      <c r="AA164" s="5">
        <v>3.2300000000000002E-2</v>
      </c>
      <c r="AB164" s="5">
        <v>0.3</v>
      </c>
      <c r="AC164" s="8">
        <v>0</v>
      </c>
      <c r="AD164" s="5">
        <v>0.308</v>
      </c>
      <c r="AE164" s="5">
        <f t="shared" si="9"/>
        <v>0.21035714285714285</v>
      </c>
      <c r="AF164" s="1" t="s">
        <v>34</v>
      </c>
      <c r="AG164" s="19" cm="1">
        <f t="array" ref="AG164">DIASQUIEBRE(Q164:AB164)</f>
        <v>0</v>
      </c>
      <c r="AH164" s="19" cm="1">
        <f t="array" ref="AH164">DiasMesesGris(Q164:AB164)</f>
        <v>0</v>
      </c>
      <c r="AI164" s="19">
        <f t="shared" si="11"/>
        <v>0</v>
      </c>
      <c r="AJ164" s="19">
        <f t="shared" si="12"/>
        <v>360</v>
      </c>
      <c r="AK164" s="20">
        <f t="shared" si="13"/>
        <v>111</v>
      </c>
      <c r="AL164" s="21">
        <f t="shared" si="10"/>
        <v>0.30833333333333335</v>
      </c>
    </row>
    <row r="165" spans="1:38" x14ac:dyDescent="0.25">
      <c r="A165" s="1" t="s">
        <v>357</v>
      </c>
      <c r="B165" s="1" t="s">
        <v>358</v>
      </c>
      <c r="C165" s="1"/>
      <c r="D165" s="11">
        <v>9</v>
      </c>
      <c r="E165" s="11">
        <v>10</v>
      </c>
      <c r="F165" s="11">
        <v>5</v>
      </c>
      <c r="G165" s="11">
        <v>3</v>
      </c>
      <c r="H165" s="11">
        <v>15</v>
      </c>
      <c r="I165" s="11">
        <v>21</v>
      </c>
      <c r="J165" s="11">
        <v>9</v>
      </c>
      <c r="K165" s="11">
        <v>3</v>
      </c>
      <c r="L165" s="11">
        <v>1</v>
      </c>
      <c r="M165" s="11">
        <v>2</v>
      </c>
      <c r="N165" s="4"/>
      <c r="O165" s="11">
        <v>5</v>
      </c>
      <c r="P165" s="4"/>
      <c r="Q165" s="5">
        <v>0.1613</v>
      </c>
      <c r="R165" s="5">
        <v>0.3226</v>
      </c>
      <c r="S165" s="5">
        <v>0.23810000000000001</v>
      </c>
      <c r="T165" s="5">
        <v>9.6799999999999997E-2</v>
      </c>
      <c r="U165" s="5">
        <v>0.45450000000000002</v>
      </c>
      <c r="V165" s="5">
        <v>0.4839</v>
      </c>
      <c r="W165" s="5">
        <v>0.3629</v>
      </c>
      <c r="X165" s="5">
        <v>0.15310000000000001</v>
      </c>
      <c r="Y165" s="5">
        <v>3.5799999999999998E-2</v>
      </c>
      <c r="Z165" s="5">
        <v>8.3299999999999999E-2</v>
      </c>
      <c r="AA165" s="5">
        <v>0</v>
      </c>
      <c r="AB165" s="5">
        <v>0.16669999999999999</v>
      </c>
      <c r="AC165" s="8">
        <v>0</v>
      </c>
      <c r="AD165" s="5">
        <v>0.21329999999999999</v>
      </c>
      <c r="AE165" s="5">
        <f t="shared" si="9"/>
        <v>0.18367142857142857</v>
      </c>
      <c r="AF165" s="1" t="s">
        <v>34</v>
      </c>
      <c r="AG165" s="19" cm="1">
        <f t="array" ref="AG165">DIASQUIEBRE(Q165:AB165)</f>
        <v>0</v>
      </c>
      <c r="AH165" s="19" cm="1">
        <f t="array" ref="AH165">DiasMesesGris(Q165:AB165)</f>
        <v>0</v>
      </c>
      <c r="AI165" s="19">
        <f t="shared" si="11"/>
        <v>0</v>
      </c>
      <c r="AJ165" s="19">
        <f t="shared" si="12"/>
        <v>360</v>
      </c>
      <c r="AK165" s="20">
        <f t="shared" si="13"/>
        <v>83</v>
      </c>
      <c r="AL165" s="21">
        <f t="shared" si="10"/>
        <v>0.23055555555555557</v>
      </c>
    </row>
    <row r="166" spans="1:38" x14ac:dyDescent="0.25">
      <c r="A166" s="1" t="s">
        <v>359</v>
      </c>
      <c r="B166" s="1" t="s">
        <v>360</v>
      </c>
      <c r="C166" s="1"/>
      <c r="D166" s="4"/>
      <c r="E166" s="11">
        <v>4</v>
      </c>
      <c r="F166" s="4"/>
      <c r="G166" s="11">
        <v>4</v>
      </c>
      <c r="H166" s="11">
        <v>2</v>
      </c>
      <c r="I166" s="11">
        <v>8</v>
      </c>
      <c r="J166" s="4"/>
      <c r="K166" s="11">
        <v>3</v>
      </c>
      <c r="L166" s="11">
        <v>8</v>
      </c>
      <c r="M166" s="11">
        <v>4</v>
      </c>
      <c r="N166" s="4"/>
      <c r="O166" s="4"/>
      <c r="P166" s="4"/>
      <c r="Q166" s="5">
        <v>0</v>
      </c>
      <c r="R166" s="5">
        <v>0.129</v>
      </c>
      <c r="S166" s="5">
        <v>0</v>
      </c>
      <c r="T166" s="5">
        <v>0.129</v>
      </c>
      <c r="U166" s="5">
        <v>6.0600000000000001E-2</v>
      </c>
      <c r="V166" s="5">
        <v>0.18429999999999999</v>
      </c>
      <c r="W166" s="5">
        <v>0</v>
      </c>
      <c r="X166" s="5">
        <v>0.15310000000000001</v>
      </c>
      <c r="Y166" s="5">
        <v>0.28670000000000001</v>
      </c>
      <c r="Z166" s="9">
        <v>0.33329999999999999</v>
      </c>
      <c r="AA166" s="6">
        <v>0</v>
      </c>
      <c r="AB166" s="6">
        <v>0</v>
      </c>
      <c r="AC166" s="7">
        <v>0</v>
      </c>
      <c r="AD166" s="5">
        <v>0.1047</v>
      </c>
      <c r="AE166" s="5">
        <v>0.12</v>
      </c>
      <c r="AF166" s="1" t="s">
        <v>34</v>
      </c>
      <c r="AG166" s="19" cm="1">
        <f t="array" ref="AG166">DIASQUIEBRE(Q166:AB166)</f>
        <v>15</v>
      </c>
      <c r="AH166" s="19" cm="1">
        <f t="array" ref="AH166">DiasMesesGris(Q166:AB166)</f>
        <v>60</v>
      </c>
      <c r="AI166" s="19">
        <f t="shared" si="11"/>
        <v>75</v>
      </c>
      <c r="AJ166" s="19">
        <f t="shared" si="12"/>
        <v>285</v>
      </c>
      <c r="AK166" s="20">
        <f t="shared" si="13"/>
        <v>33</v>
      </c>
      <c r="AL166" s="21">
        <f t="shared" si="10"/>
        <v>0.11578947368421053</v>
      </c>
    </row>
    <row r="167" spans="1:38" x14ac:dyDescent="0.25">
      <c r="A167" s="1" t="s">
        <v>361</v>
      </c>
      <c r="B167" s="1" t="s">
        <v>362</v>
      </c>
      <c r="C167" s="1"/>
      <c r="D167" s="11">
        <v>8</v>
      </c>
      <c r="E167" s="11">
        <v>11</v>
      </c>
      <c r="F167" s="11">
        <v>10</v>
      </c>
      <c r="G167" s="11">
        <v>14</v>
      </c>
      <c r="H167" s="11">
        <v>15</v>
      </c>
      <c r="I167" s="11">
        <v>18</v>
      </c>
      <c r="J167" s="11">
        <v>11</v>
      </c>
      <c r="K167" s="11">
        <v>7</v>
      </c>
      <c r="L167" s="4"/>
      <c r="M167" s="4"/>
      <c r="N167" s="4"/>
      <c r="O167" s="4"/>
      <c r="P167" s="11">
        <v>2</v>
      </c>
      <c r="Q167" s="5">
        <v>0.1434</v>
      </c>
      <c r="R167" s="5">
        <v>0.3548</v>
      </c>
      <c r="S167" s="5">
        <v>0.47620000000000001</v>
      </c>
      <c r="T167" s="5">
        <v>0.4516</v>
      </c>
      <c r="U167" s="5">
        <v>0.45450000000000002</v>
      </c>
      <c r="V167" s="5">
        <v>0.41470000000000001</v>
      </c>
      <c r="W167" s="5">
        <v>0.44350000000000001</v>
      </c>
      <c r="X167" s="9">
        <v>5</v>
      </c>
      <c r="Y167" s="6">
        <v>0</v>
      </c>
      <c r="Z167" s="6">
        <v>0</v>
      </c>
      <c r="AA167" s="6">
        <v>0</v>
      </c>
      <c r="AB167" s="6">
        <v>0</v>
      </c>
      <c r="AC167" s="7">
        <v>1.1111</v>
      </c>
      <c r="AD167" s="5">
        <v>0.39119999999999999</v>
      </c>
      <c r="AE167" s="5">
        <v>0.39</v>
      </c>
      <c r="AF167" s="1" t="s">
        <v>34</v>
      </c>
      <c r="AG167" s="19" cm="1">
        <f t="array" ref="AG167">DIASQUIEBRE(Q167:AB167)</f>
        <v>26</v>
      </c>
      <c r="AH167" s="19" cm="1">
        <f t="array" ref="AH167">DiasMesesGris(Q167:AB167)</f>
        <v>120</v>
      </c>
      <c r="AI167" s="19">
        <f t="shared" si="11"/>
        <v>146</v>
      </c>
      <c r="AJ167" s="19">
        <f t="shared" si="12"/>
        <v>214</v>
      </c>
      <c r="AK167" s="20">
        <f t="shared" si="13"/>
        <v>94</v>
      </c>
      <c r="AL167" s="21">
        <f t="shared" si="10"/>
        <v>0.43925233644859812</v>
      </c>
    </row>
    <row r="168" spans="1:38" x14ac:dyDescent="0.25">
      <c r="A168" s="1" t="s">
        <v>363</v>
      </c>
      <c r="B168" s="1" t="s">
        <v>364</v>
      </c>
      <c r="C168" s="1"/>
      <c r="D168" s="11">
        <v>9</v>
      </c>
      <c r="E168" s="11">
        <v>14</v>
      </c>
      <c r="F168" s="11">
        <v>12</v>
      </c>
      <c r="G168" s="11">
        <v>12</v>
      </c>
      <c r="H168" s="11">
        <v>16</v>
      </c>
      <c r="I168" s="11">
        <v>26</v>
      </c>
      <c r="J168" s="11">
        <v>10</v>
      </c>
      <c r="K168" s="4"/>
      <c r="L168" s="4"/>
      <c r="M168" s="4"/>
      <c r="N168" s="4"/>
      <c r="O168" s="4"/>
      <c r="P168" s="4"/>
      <c r="Q168" s="5">
        <v>0.1613</v>
      </c>
      <c r="R168" s="5">
        <v>0.4516</v>
      </c>
      <c r="S168" s="5">
        <v>0.57140000000000002</v>
      </c>
      <c r="T168" s="5">
        <v>0.3871</v>
      </c>
      <c r="U168" s="5">
        <v>0.48480000000000001</v>
      </c>
      <c r="V168" s="5">
        <v>0.59909999999999997</v>
      </c>
      <c r="W168" s="9">
        <v>0.48080000000000001</v>
      </c>
      <c r="X168" s="6">
        <v>0</v>
      </c>
      <c r="Y168" s="6">
        <v>0</v>
      </c>
      <c r="Z168" s="6">
        <v>0</v>
      </c>
      <c r="AA168" s="6">
        <v>0</v>
      </c>
      <c r="AB168" s="6">
        <v>0</v>
      </c>
      <c r="AC168" s="7">
        <v>0</v>
      </c>
      <c r="AD168" s="5">
        <v>0.44259999999999999</v>
      </c>
      <c r="AE168" s="5">
        <v>0.44</v>
      </c>
      <c r="AF168" s="1" t="s">
        <v>34</v>
      </c>
      <c r="AG168" s="19" cm="1">
        <f t="array" ref="AG168">DIASQUIEBRE(Q168:AB168)</f>
        <v>5</v>
      </c>
      <c r="AH168" s="19" cm="1">
        <f t="array" ref="AH168">DiasMesesGris(Q168:AB168)</f>
        <v>150</v>
      </c>
      <c r="AI168" s="19">
        <f t="shared" si="11"/>
        <v>155</v>
      </c>
      <c r="AJ168" s="19">
        <f t="shared" si="12"/>
        <v>205</v>
      </c>
      <c r="AK168" s="20">
        <f t="shared" si="13"/>
        <v>99</v>
      </c>
      <c r="AL168" s="21">
        <f t="shared" si="10"/>
        <v>0.48292682926829267</v>
      </c>
    </row>
    <row r="169" spans="1:38" x14ac:dyDescent="0.25">
      <c r="A169" s="1" t="s">
        <v>365</v>
      </c>
      <c r="B169" s="1" t="s">
        <v>366</v>
      </c>
      <c r="C169" s="1"/>
      <c r="D169" s="4"/>
      <c r="E169" s="4"/>
      <c r="F169" s="11">
        <v>1</v>
      </c>
      <c r="G169" s="11">
        <v>1</v>
      </c>
      <c r="H169" s="4"/>
      <c r="I169" s="11">
        <v>1</v>
      </c>
      <c r="J169" s="4"/>
      <c r="K169" s="11">
        <v>1</v>
      </c>
      <c r="L169" s="11">
        <v>1</v>
      </c>
      <c r="M169" s="4"/>
      <c r="N169" s="4"/>
      <c r="O169" s="11">
        <v>1</v>
      </c>
      <c r="P169" s="4"/>
      <c r="Q169" s="5">
        <v>0</v>
      </c>
      <c r="R169" s="5">
        <v>0</v>
      </c>
      <c r="S169" s="5">
        <v>4.7600000000000003E-2</v>
      </c>
      <c r="T169" s="5">
        <v>3.2300000000000002E-2</v>
      </c>
      <c r="U169" s="5">
        <v>0</v>
      </c>
      <c r="V169" s="5">
        <v>2.3E-2</v>
      </c>
      <c r="W169" s="5">
        <v>0</v>
      </c>
      <c r="X169" s="5">
        <v>5.0999999999999997E-2</v>
      </c>
      <c r="Y169" s="5">
        <v>3.5799999999999998E-2</v>
      </c>
      <c r="Z169" s="5">
        <v>0</v>
      </c>
      <c r="AA169" s="5">
        <v>0</v>
      </c>
      <c r="AB169" s="5">
        <v>3.3300000000000003E-2</v>
      </c>
      <c r="AC169" s="8">
        <v>0</v>
      </c>
      <c r="AD169" s="5">
        <v>1.8599999999999998E-2</v>
      </c>
      <c r="AE169" s="5">
        <f t="shared" si="9"/>
        <v>2.0442857142857145E-2</v>
      </c>
      <c r="AF169" s="1" t="s">
        <v>34</v>
      </c>
      <c r="AG169" s="19" cm="1">
        <f t="array" ref="AG169">DIASQUIEBRE(Q169:AB169)</f>
        <v>0</v>
      </c>
      <c r="AH169" s="19" cm="1">
        <f t="array" ref="AH169">DiasMesesGris(Q169:AB169)</f>
        <v>0</v>
      </c>
      <c r="AI169" s="19">
        <f t="shared" si="11"/>
        <v>0</v>
      </c>
      <c r="AJ169" s="19">
        <f t="shared" si="12"/>
        <v>360</v>
      </c>
      <c r="AK169" s="20">
        <f t="shared" si="13"/>
        <v>6</v>
      </c>
      <c r="AL169" s="21">
        <f t="shared" si="10"/>
        <v>1.6666666666666666E-2</v>
      </c>
    </row>
    <row r="170" spans="1:38" x14ac:dyDescent="0.25">
      <c r="A170" s="1" t="s">
        <v>367</v>
      </c>
      <c r="B170" s="1" t="s">
        <v>368</v>
      </c>
      <c r="C170" s="1"/>
      <c r="D170" s="11">
        <v>1</v>
      </c>
      <c r="E170" s="4"/>
      <c r="F170" s="4"/>
      <c r="G170" s="11">
        <v>1</v>
      </c>
      <c r="H170" s="4"/>
      <c r="I170" s="11">
        <v>1</v>
      </c>
      <c r="J170" s="4"/>
      <c r="K170" s="4"/>
      <c r="L170" s="4"/>
      <c r="M170" s="11">
        <v>1</v>
      </c>
      <c r="N170" s="4"/>
      <c r="O170" s="4"/>
      <c r="P170" s="11">
        <v>1</v>
      </c>
      <c r="Q170" s="5">
        <v>1.7899999999999999E-2</v>
      </c>
      <c r="R170" s="5">
        <v>0</v>
      </c>
      <c r="S170" s="5">
        <v>0</v>
      </c>
      <c r="T170" s="5">
        <v>3.2300000000000002E-2</v>
      </c>
      <c r="U170" s="5">
        <v>0</v>
      </c>
      <c r="V170" s="5">
        <v>2.3E-2</v>
      </c>
      <c r="W170" s="5">
        <v>0</v>
      </c>
      <c r="X170" s="5">
        <v>0</v>
      </c>
      <c r="Y170" s="5">
        <v>0</v>
      </c>
      <c r="Z170" s="5">
        <v>4.1700000000000001E-2</v>
      </c>
      <c r="AA170" s="5">
        <v>0</v>
      </c>
      <c r="AB170" s="5">
        <v>0</v>
      </c>
      <c r="AC170" s="8">
        <v>1.7899999999999999E-2</v>
      </c>
      <c r="AD170" s="5">
        <v>9.5999999999999992E-3</v>
      </c>
      <c r="AE170" s="5">
        <f t="shared" si="9"/>
        <v>9.2428571428571447E-3</v>
      </c>
      <c r="AF170" s="1" t="s">
        <v>34</v>
      </c>
      <c r="AG170" s="19" cm="1">
        <f t="array" ref="AG170">DIASQUIEBRE(Q170:AB170)</f>
        <v>0</v>
      </c>
      <c r="AH170" s="19" cm="1">
        <f t="array" ref="AH170">DiasMesesGris(Q170:AB170)</f>
        <v>0</v>
      </c>
      <c r="AI170" s="19">
        <f t="shared" si="11"/>
        <v>0</v>
      </c>
      <c r="AJ170" s="19">
        <f t="shared" si="12"/>
        <v>360</v>
      </c>
      <c r="AK170" s="20">
        <f t="shared" si="13"/>
        <v>4</v>
      </c>
      <c r="AL170" s="21">
        <f t="shared" si="10"/>
        <v>1.1111111111111112E-2</v>
      </c>
    </row>
    <row r="171" spans="1:38" x14ac:dyDescent="0.25">
      <c r="A171" s="1" t="s">
        <v>369</v>
      </c>
      <c r="B171" s="1" t="s">
        <v>157</v>
      </c>
      <c r="C171" s="1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6">
        <v>0</v>
      </c>
      <c r="R171" s="6">
        <v>0</v>
      </c>
      <c r="S171" s="6">
        <v>0</v>
      </c>
      <c r="T171" s="6">
        <v>0</v>
      </c>
      <c r="U171" s="6">
        <v>0</v>
      </c>
      <c r="V171" s="6">
        <v>0</v>
      </c>
      <c r="W171" s="6">
        <v>0</v>
      </c>
      <c r="X171" s="6">
        <v>0</v>
      </c>
      <c r="Y171" s="6">
        <v>0</v>
      </c>
      <c r="Z171" s="6">
        <v>0</v>
      </c>
      <c r="AA171" s="6">
        <v>0</v>
      </c>
      <c r="AB171" s="6">
        <v>0</v>
      </c>
      <c r="AC171" s="7">
        <v>0</v>
      </c>
      <c r="AE171" s="5">
        <f t="shared" si="9"/>
        <v>0</v>
      </c>
      <c r="AF171" s="1" t="s">
        <v>34</v>
      </c>
      <c r="AG171" s="19" cm="1">
        <f t="array" ref="AG171">DIASQUIEBRE(Q171:AB171)</f>
        <v>0</v>
      </c>
      <c r="AH171" s="19" cm="1">
        <f t="array" ref="AH171">DiasMesesGris(Q171:AB171)</f>
        <v>360</v>
      </c>
      <c r="AI171" s="19">
        <f t="shared" si="11"/>
        <v>360</v>
      </c>
      <c r="AJ171" s="19">
        <f t="shared" si="12"/>
        <v>0</v>
      </c>
      <c r="AK171" s="20">
        <f t="shared" si="13"/>
        <v>0</v>
      </c>
      <c r="AL171" s="21">
        <f t="shared" si="10"/>
        <v>0</v>
      </c>
    </row>
    <row r="172" spans="1:38" x14ac:dyDescent="0.25">
      <c r="A172" s="1" t="s">
        <v>370</v>
      </c>
      <c r="B172" s="1" t="s">
        <v>371</v>
      </c>
      <c r="C172" s="1"/>
      <c r="D172" s="11">
        <v>4</v>
      </c>
      <c r="E172" s="4"/>
      <c r="F172" s="11">
        <v>2</v>
      </c>
      <c r="G172" s="4"/>
      <c r="H172" s="11">
        <v>1</v>
      </c>
      <c r="I172" s="11">
        <v>2</v>
      </c>
      <c r="J172" s="4"/>
      <c r="K172" s="4"/>
      <c r="L172" s="4"/>
      <c r="M172" s="11">
        <v>1</v>
      </c>
      <c r="N172" s="11">
        <v>1</v>
      </c>
      <c r="O172" s="11">
        <v>3</v>
      </c>
      <c r="P172" s="4"/>
      <c r="Q172" s="5">
        <v>7.17E-2</v>
      </c>
      <c r="R172" s="5">
        <v>0</v>
      </c>
      <c r="S172" s="5">
        <v>9.5200000000000007E-2</v>
      </c>
      <c r="T172" s="5">
        <v>0</v>
      </c>
      <c r="U172" s="5">
        <v>3.0300000000000001E-2</v>
      </c>
      <c r="V172" s="5">
        <v>4.6100000000000002E-2</v>
      </c>
      <c r="W172" s="5">
        <v>0</v>
      </c>
      <c r="X172" s="5">
        <v>0</v>
      </c>
      <c r="Y172" s="5">
        <v>0</v>
      </c>
      <c r="Z172" s="5">
        <v>4.1700000000000001E-2</v>
      </c>
      <c r="AA172" s="5">
        <v>3.2300000000000002E-2</v>
      </c>
      <c r="AB172" s="5">
        <v>0.1</v>
      </c>
      <c r="AC172" s="8">
        <v>0</v>
      </c>
      <c r="AD172" s="5">
        <v>3.4799999999999998E-2</v>
      </c>
      <c r="AE172" s="5">
        <f t="shared" si="9"/>
        <v>3.1442857142857147E-2</v>
      </c>
      <c r="AF172" s="1" t="s">
        <v>34</v>
      </c>
      <c r="AG172" s="19" cm="1">
        <f t="array" ref="AG172">DIASQUIEBRE(Q172:AB172)</f>
        <v>0</v>
      </c>
      <c r="AH172" s="19" cm="1">
        <f t="array" ref="AH172">DiasMesesGris(Q172:AB172)</f>
        <v>0</v>
      </c>
      <c r="AI172" s="19">
        <f t="shared" si="11"/>
        <v>0</v>
      </c>
      <c r="AJ172" s="19">
        <f t="shared" si="12"/>
        <v>360</v>
      </c>
      <c r="AK172" s="20">
        <f t="shared" si="13"/>
        <v>14</v>
      </c>
      <c r="AL172" s="21">
        <f t="shared" si="10"/>
        <v>3.888888888888889E-2</v>
      </c>
    </row>
    <row r="173" spans="1:38" x14ac:dyDescent="0.25">
      <c r="A173" s="1" t="s">
        <v>372</v>
      </c>
      <c r="B173" s="1" t="s">
        <v>373</v>
      </c>
      <c r="C173" s="1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6">
        <v>0</v>
      </c>
      <c r="R173" s="6">
        <v>0</v>
      </c>
      <c r="S173" s="6">
        <v>0</v>
      </c>
      <c r="T173" s="6">
        <v>0</v>
      </c>
      <c r="U173" s="6">
        <v>0</v>
      </c>
      <c r="V173" s="6">
        <v>0</v>
      </c>
      <c r="W173" s="6">
        <v>0</v>
      </c>
      <c r="X173" s="6">
        <v>0</v>
      </c>
      <c r="Y173" s="6">
        <v>0</v>
      </c>
      <c r="Z173" s="6">
        <v>0</v>
      </c>
      <c r="AA173" s="6">
        <v>0</v>
      </c>
      <c r="AB173" s="6">
        <v>0</v>
      </c>
      <c r="AC173" s="7">
        <v>0</v>
      </c>
      <c r="AE173" s="5">
        <f t="shared" ref="AE173:AE236" si="14">AVERAGE(V173:AB173)</f>
        <v>0</v>
      </c>
      <c r="AF173" s="1" t="s">
        <v>107</v>
      </c>
      <c r="AG173" s="19" cm="1">
        <f t="array" ref="AG173">DIASQUIEBRE(Q173:AB173)</f>
        <v>0</v>
      </c>
      <c r="AH173" s="19" cm="1">
        <f t="array" ref="AH173">DiasMesesGris(Q173:AB173)</f>
        <v>360</v>
      </c>
      <c r="AI173" s="19">
        <f t="shared" si="11"/>
        <v>360</v>
      </c>
      <c r="AJ173" s="19">
        <f t="shared" si="12"/>
        <v>0</v>
      </c>
      <c r="AK173" s="20">
        <f t="shared" si="13"/>
        <v>0</v>
      </c>
      <c r="AL173" s="21">
        <f t="shared" si="10"/>
        <v>0</v>
      </c>
    </row>
    <row r="174" spans="1:38" x14ac:dyDescent="0.25">
      <c r="A174" s="1" t="s">
        <v>374</v>
      </c>
      <c r="B174" s="1" t="s">
        <v>375</v>
      </c>
      <c r="C174" s="1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6">
        <v>0</v>
      </c>
      <c r="R174" s="6">
        <v>0</v>
      </c>
      <c r="S174" s="6">
        <v>0</v>
      </c>
      <c r="T174" s="6">
        <v>0</v>
      </c>
      <c r="U174" s="6">
        <v>0</v>
      </c>
      <c r="V174" s="6">
        <v>0</v>
      </c>
      <c r="W174" s="6">
        <v>0</v>
      </c>
      <c r="X174" s="6">
        <v>0</v>
      </c>
      <c r="Y174" s="6">
        <v>0</v>
      </c>
      <c r="Z174" s="6">
        <v>0</v>
      </c>
      <c r="AA174" s="6">
        <v>0</v>
      </c>
      <c r="AB174" s="6">
        <v>0</v>
      </c>
      <c r="AC174" s="7">
        <v>0</v>
      </c>
      <c r="AE174" s="5">
        <f t="shared" si="14"/>
        <v>0</v>
      </c>
      <c r="AF174" s="1" t="s">
        <v>107</v>
      </c>
      <c r="AG174" s="19" cm="1">
        <f t="array" ref="AG174">DIASQUIEBRE(Q174:AB174)</f>
        <v>0</v>
      </c>
      <c r="AH174" s="19" cm="1">
        <f t="array" ref="AH174">DiasMesesGris(Q174:AB174)</f>
        <v>360</v>
      </c>
      <c r="AI174" s="19">
        <f t="shared" si="11"/>
        <v>360</v>
      </c>
      <c r="AJ174" s="19">
        <f t="shared" si="12"/>
        <v>0</v>
      </c>
      <c r="AK174" s="20">
        <f t="shared" si="13"/>
        <v>0</v>
      </c>
      <c r="AL174" s="21">
        <f t="shared" si="10"/>
        <v>0</v>
      </c>
    </row>
    <row r="175" spans="1:38" x14ac:dyDescent="0.25">
      <c r="A175" s="1" t="s">
        <v>376</v>
      </c>
      <c r="B175" s="1" t="s">
        <v>377</v>
      </c>
      <c r="C175" s="1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6">
        <v>0</v>
      </c>
      <c r="R175" s="6">
        <v>0</v>
      </c>
      <c r="S175" s="6">
        <v>0</v>
      </c>
      <c r="T175" s="6">
        <v>0</v>
      </c>
      <c r="U175" s="6">
        <v>0</v>
      </c>
      <c r="V175" s="6">
        <v>0</v>
      </c>
      <c r="W175" s="6">
        <v>0</v>
      </c>
      <c r="X175" s="6">
        <v>0</v>
      </c>
      <c r="Y175" s="6">
        <v>0</v>
      </c>
      <c r="Z175" s="6">
        <v>0</v>
      </c>
      <c r="AA175" s="6">
        <v>0</v>
      </c>
      <c r="AB175" s="6">
        <v>0</v>
      </c>
      <c r="AC175" s="7">
        <v>0</v>
      </c>
      <c r="AE175" s="5">
        <f t="shared" si="14"/>
        <v>0</v>
      </c>
      <c r="AF175" s="1" t="s">
        <v>107</v>
      </c>
      <c r="AG175" s="19" cm="1">
        <f t="array" ref="AG175">DIASQUIEBRE(Q175:AB175)</f>
        <v>0</v>
      </c>
      <c r="AH175" s="19" cm="1">
        <f t="array" ref="AH175">DiasMesesGris(Q175:AB175)</f>
        <v>360</v>
      </c>
      <c r="AI175" s="19">
        <f t="shared" si="11"/>
        <v>360</v>
      </c>
      <c r="AJ175" s="19">
        <f t="shared" si="12"/>
        <v>0</v>
      </c>
      <c r="AK175" s="20">
        <f t="shared" si="13"/>
        <v>0</v>
      </c>
      <c r="AL175" s="21">
        <f t="shared" si="10"/>
        <v>0</v>
      </c>
    </row>
    <row r="176" spans="1:38" x14ac:dyDescent="0.25">
      <c r="A176" s="1" t="s">
        <v>378</v>
      </c>
      <c r="B176" s="1" t="s">
        <v>379</v>
      </c>
      <c r="C176" s="1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6">
        <v>0</v>
      </c>
      <c r="R176" s="6">
        <v>0</v>
      </c>
      <c r="S176" s="6">
        <v>0</v>
      </c>
      <c r="T176" s="6">
        <v>0</v>
      </c>
      <c r="U176" s="6">
        <v>0</v>
      </c>
      <c r="V176" s="6">
        <v>0</v>
      </c>
      <c r="W176" s="6">
        <v>0</v>
      </c>
      <c r="X176" s="6">
        <v>0</v>
      </c>
      <c r="Y176" s="6">
        <v>0</v>
      </c>
      <c r="Z176" s="6">
        <v>0</v>
      </c>
      <c r="AA176" s="6">
        <v>0</v>
      </c>
      <c r="AB176" s="6">
        <v>0</v>
      </c>
      <c r="AC176" s="7">
        <v>0</v>
      </c>
      <c r="AE176" s="5">
        <f t="shared" si="14"/>
        <v>0</v>
      </c>
      <c r="AF176" s="1" t="s">
        <v>107</v>
      </c>
      <c r="AG176" s="19" cm="1">
        <f t="array" ref="AG176">DIASQUIEBRE(Q176:AB176)</f>
        <v>0</v>
      </c>
      <c r="AH176" s="19" cm="1">
        <f t="array" ref="AH176">DiasMesesGris(Q176:AB176)</f>
        <v>360</v>
      </c>
      <c r="AI176" s="19">
        <f t="shared" si="11"/>
        <v>360</v>
      </c>
      <c r="AJ176" s="19">
        <f t="shared" si="12"/>
        <v>0</v>
      </c>
      <c r="AK176" s="20">
        <f t="shared" si="13"/>
        <v>0</v>
      </c>
      <c r="AL176" s="21">
        <f t="shared" si="10"/>
        <v>0</v>
      </c>
    </row>
    <row r="177" spans="1:38" x14ac:dyDescent="0.25">
      <c r="A177" s="1" t="s">
        <v>380</v>
      </c>
      <c r="B177" s="1" t="s">
        <v>381</v>
      </c>
      <c r="C177" s="1"/>
      <c r="D177" s="11">
        <v>16</v>
      </c>
      <c r="E177" s="11">
        <v>2</v>
      </c>
      <c r="F177" s="11">
        <v>-2</v>
      </c>
      <c r="G177" s="4"/>
      <c r="H177" s="4"/>
      <c r="I177" s="11">
        <v>50</v>
      </c>
      <c r="J177" s="4"/>
      <c r="K177" s="4"/>
      <c r="L177" s="4"/>
      <c r="M177" s="4"/>
      <c r="N177" s="4"/>
      <c r="O177" s="11">
        <v>1</v>
      </c>
      <c r="P177" s="11">
        <v>1</v>
      </c>
      <c r="Q177" s="5">
        <v>0.28670000000000001</v>
      </c>
      <c r="R177" s="5">
        <v>6.4500000000000002E-2</v>
      </c>
      <c r="S177" s="5">
        <v>-9.5200000000000007E-2</v>
      </c>
      <c r="T177" s="5">
        <v>0</v>
      </c>
      <c r="U177" s="5">
        <v>0</v>
      </c>
      <c r="V177" s="5">
        <v>1.1520999999999999</v>
      </c>
      <c r="W177" s="5">
        <v>0</v>
      </c>
      <c r="X177" s="5">
        <v>0</v>
      </c>
      <c r="Y177" s="5">
        <v>0</v>
      </c>
      <c r="Z177" s="5">
        <v>0</v>
      </c>
      <c r="AA177" s="5">
        <v>0</v>
      </c>
      <c r="AB177" s="5">
        <v>3.3300000000000003E-2</v>
      </c>
      <c r="AC177" s="8">
        <v>1.7899999999999999E-2</v>
      </c>
      <c r="AD177" s="5">
        <v>0.1201</v>
      </c>
      <c r="AE177" s="5">
        <f t="shared" si="14"/>
        <v>0.16934285714285716</v>
      </c>
      <c r="AF177" s="1" t="s">
        <v>34</v>
      </c>
      <c r="AG177" s="19" cm="1">
        <f t="array" ref="AG177">DIASQUIEBRE(Q177:AB177)</f>
        <v>0</v>
      </c>
      <c r="AH177" s="19" cm="1">
        <f t="array" ref="AH177">DiasMesesGris(Q177:AB177)</f>
        <v>0</v>
      </c>
      <c r="AI177" s="19">
        <f t="shared" si="11"/>
        <v>0</v>
      </c>
      <c r="AJ177" s="19">
        <f t="shared" si="12"/>
        <v>360</v>
      </c>
      <c r="AK177" s="20">
        <f t="shared" si="13"/>
        <v>67</v>
      </c>
      <c r="AL177" s="21">
        <f t="shared" si="10"/>
        <v>0.18611111111111112</v>
      </c>
    </row>
    <row r="178" spans="1:38" x14ac:dyDescent="0.25">
      <c r="A178" s="1" t="s">
        <v>382</v>
      </c>
      <c r="B178" s="1" t="s">
        <v>383</v>
      </c>
      <c r="C178" s="1"/>
      <c r="D178" s="11">
        <v>56</v>
      </c>
      <c r="E178" s="11">
        <v>3</v>
      </c>
      <c r="F178" s="4"/>
      <c r="G178" s="4"/>
      <c r="H178" s="4"/>
      <c r="I178" s="4"/>
      <c r="J178" s="4"/>
      <c r="K178" s="4"/>
      <c r="L178" s="4"/>
      <c r="M178" s="11">
        <v>50</v>
      </c>
      <c r="N178" s="4"/>
      <c r="O178" s="4"/>
      <c r="P178" s="11">
        <v>1</v>
      </c>
      <c r="Q178" s="9">
        <v>1.0728</v>
      </c>
      <c r="R178" s="5">
        <v>9.6799999999999997E-2</v>
      </c>
      <c r="S178" s="5">
        <v>0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Z178" s="5">
        <v>2.0832999999999999</v>
      </c>
      <c r="AA178" s="5">
        <v>0</v>
      </c>
      <c r="AB178" s="5">
        <v>0</v>
      </c>
      <c r="AC178" s="8">
        <v>1.7899999999999999E-2</v>
      </c>
      <c r="AD178" s="5">
        <v>0.19819999999999999</v>
      </c>
      <c r="AE178" s="5">
        <f t="shared" si="14"/>
        <v>0.29761428571428572</v>
      </c>
      <c r="AF178" s="1" t="s">
        <v>34</v>
      </c>
      <c r="AG178" s="19" cm="1">
        <f t="array" ref="AG178">DIASQUIEBRE(Q178:AB178)</f>
        <v>2</v>
      </c>
      <c r="AH178" s="19" cm="1">
        <f t="array" ref="AH178">DiasMesesGris(Q178:AB178)</f>
        <v>0</v>
      </c>
      <c r="AI178" s="19">
        <f t="shared" si="11"/>
        <v>2</v>
      </c>
      <c r="AJ178" s="19">
        <f t="shared" si="12"/>
        <v>358</v>
      </c>
      <c r="AK178" s="20">
        <f t="shared" si="13"/>
        <v>109</v>
      </c>
      <c r="AL178" s="21">
        <f t="shared" si="10"/>
        <v>0.30446927374301674</v>
      </c>
    </row>
    <row r="179" spans="1:38" x14ac:dyDescent="0.25">
      <c r="A179" s="1" t="s">
        <v>384</v>
      </c>
      <c r="B179" s="1" t="s">
        <v>385</v>
      </c>
      <c r="C179" s="1"/>
      <c r="D179" s="11">
        <v>11</v>
      </c>
      <c r="E179" s="11">
        <v>12</v>
      </c>
      <c r="F179" s="11">
        <v>8</v>
      </c>
      <c r="G179" s="11">
        <v>7</v>
      </c>
      <c r="H179" s="11">
        <v>6</v>
      </c>
      <c r="I179" s="11">
        <v>7</v>
      </c>
      <c r="J179" s="11">
        <v>3</v>
      </c>
      <c r="K179" s="11">
        <v>3</v>
      </c>
      <c r="L179" s="11">
        <v>3</v>
      </c>
      <c r="M179" s="11">
        <v>10</v>
      </c>
      <c r="N179" s="4"/>
      <c r="O179" s="11">
        <v>5</v>
      </c>
      <c r="P179" s="11">
        <v>5</v>
      </c>
      <c r="Q179" s="5">
        <v>0.1971</v>
      </c>
      <c r="R179" s="5">
        <v>0.3871</v>
      </c>
      <c r="S179" s="5">
        <v>0.38100000000000001</v>
      </c>
      <c r="T179" s="5">
        <v>0.2258</v>
      </c>
      <c r="U179" s="5">
        <v>0.18179999999999999</v>
      </c>
      <c r="V179" s="5">
        <v>0.1613</v>
      </c>
      <c r="W179" s="5">
        <v>0.121</v>
      </c>
      <c r="X179" s="5">
        <v>0.15310000000000001</v>
      </c>
      <c r="Y179" s="5">
        <v>0.1075</v>
      </c>
      <c r="Z179" s="5">
        <v>0.41670000000000001</v>
      </c>
      <c r="AA179" s="5">
        <v>0</v>
      </c>
      <c r="AB179" s="5">
        <v>0.16669999999999999</v>
      </c>
      <c r="AC179" s="8">
        <v>8.9599999999999999E-2</v>
      </c>
      <c r="AD179" s="5">
        <v>0.20830000000000001</v>
      </c>
      <c r="AE179" s="5">
        <f t="shared" si="14"/>
        <v>0.16090000000000002</v>
      </c>
      <c r="AF179" s="1" t="s">
        <v>34</v>
      </c>
      <c r="AG179" s="19" cm="1">
        <f t="array" ref="AG179">DIASQUIEBRE(Q179:AB179)</f>
        <v>0</v>
      </c>
      <c r="AH179" s="19" cm="1">
        <f t="array" ref="AH179">DiasMesesGris(Q179:AB179)</f>
        <v>0</v>
      </c>
      <c r="AI179" s="19">
        <f t="shared" si="11"/>
        <v>0</v>
      </c>
      <c r="AJ179" s="19">
        <f t="shared" si="12"/>
        <v>360</v>
      </c>
      <c r="AK179" s="20">
        <f t="shared" si="13"/>
        <v>75</v>
      </c>
      <c r="AL179" s="21">
        <f t="shared" si="10"/>
        <v>0.20833333333333334</v>
      </c>
    </row>
    <row r="180" spans="1:38" x14ac:dyDescent="0.25">
      <c r="A180" s="1" t="s">
        <v>386</v>
      </c>
      <c r="B180" s="1" t="s">
        <v>387</v>
      </c>
      <c r="C180" s="1"/>
      <c r="D180" s="11">
        <v>12</v>
      </c>
      <c r="E180" s="11">
        <v>5</v>
      </c>
      <c r="F180" s="11">
        <v>6</v>
      </c>
      <c r="G180" s="11">
        <v>3</v>
      </c>
      <c r="H180" s="11">
        <v>3</v>
      </c>
      <c r="I180" s="11">
        <v>7</v>
      </c>
      <c r="J180" s="11">
        <v>3</v>
      </c>
      <c r="K180" s="11">
        <v>3</v>
      </c>
      <c r="L180" s="11">
        <v>4</v>
      </c>
      <c r="M180" s="11">
        <v>15</v>
      </c>
      <c r="N180" s="4"/>
      <c r="O180" s="11">
        <v>3</v>
      </c>
      <c r="P180" s="11">
        <v>1</v>
      </c>
      <c r="Q180" s="9">
        <v>0.22989999999999999</v>
      </c>
      <c r="R180" s="5">
        <v>0.1613</v>
      </c>
      <c r="S180" s="5">
        <v>0.28570000000000001</v>
      </c>
      <c r="T180" s="5">
        <v>9.6799999999999997E-2</v>
      </c>
      <c r="U180" s="5">
        <v>9.0899999999999995E-2</v>
      </c>
      <c r="V180" s="5">
        <v>0.1613</v>
      </c>
      <c r="W180" s="5">
        <v>0.121</v>
      </c>
      <c r="X180" s="5">
        <v>0.15310000000000001</v>
      </c>
      <c r="Y180" s="5">
        <v>0.1434</v>
      </c>
      <c r="Z180" s="5">
        <v>0.625</v>
      </c>
      <c r="AA180" s="5">
        <v>0</v>
      </c>
      <c r="AB180" s="5">
        <v>0.1</v>
      </c>
      <c r="AC180" s="8">
        <v>1.7899999999999999E-2</v>
      </c>
      <c r="AD180" s="5">
        <v>0.1762</v>
      </c>
      <c r="AE180" s="5">
        <f t="shared" si="14"/>
        <v>0.18625714285714287</v>
      </c>
      <c r="AF180" s="1" t="s">
        <v>34</v>
      </c>
      <c r="AG180" s="19" cm="1">
        <f t="array" ref="AG180">DIASQUIEBRE(Q180:AB180)</f>
        <v>2</v>
      </c>
      <c r="AH180" s="19" cm="1">
        <f t="array" ref="AH180">DiasMesesGris(Q180:AB180)</f>
        <v>0</v>
      </c>
      <c r="AI180" s="19">
        <f t="shared" si="11"/>
        <v>2</v>
      </c>
      <c r="AJ180" s="19">
        <f t="shared" si="12"/>
        <v>358</v>
      </c>
      <c r="AK180" s="20">
        <f t="shared" si="13"/>
        <v>64</v>
      </c>
      <c r="AL180" s="21">
        <f t="shared" si="10"/>
        <v>0.1787709497206704</v>
      </c>
    </row>
    <row r="181" spans="1:38" x14ac:dyDescent="0.25">
      <c r="A181" s="1" t="s">
        <v>388</v>
      </c>
      <c r="B181" s="1" t="s">
        <v>389</v>
      </c>
      <c r="C181" s="1"/>
      <c r="D181" s="11">
        <v>5</v>
      </c>
      <c r="E181" s="11">
        <v>1</v>
      </c>
      <c r="F181" s="11">
        <v>39</v>
      </c>
      <c r="G181" s="11">
        <v>15</v>
      </c>
      <c r="H181" s="11">
        <v>12</v>
      </c>
      <c r="I181" s="11">
        <v>7</v>
      </c>
      <c r="J181" s="11">
        <v>1</v>
      </c>
      <c r="K181" s="11">
        <v>7</v>
      </c>
      <c r="L181" s="11">
        <v>5</v>
      </c>
      <c r="M181" s="11">
        <v>18</v>
      </c>
      <c r="N181" s="11">
        <v>2</v>
      </c>
      <c r="O181" s="11">
        <v>4</v>
      </c>
      <c r="P181" s="4"/>
      <c r="Q181" s="5">
        <v>8.9599999999999999E-2</v>
      </c>
      <c r="R181" s="5">
        <v>3.2300000000000002E-2</v>
      </c>
      <c r="S181" s="5">
        <v>1.8571</v>
      </c>
      <c r="T181" s="5">
        <v>0.4839</v>
      </c>
      <c r="U181" s="5">
        <v>0.36359999999999998</v>
      </c>
      <c r="V181" s="5">
        <v>0.1613</v>
      </c>
      <c r="W181" s="5">
        <v>4.0300000000000002E-2</v>
      </c>
      <c r="X181" s="5">
        <v>0.35709999999999997</v>
      </c>
      <c r="Y181" s="5">
        <v>0.1792</v>
      </c>
      <c r="Z181" s="5">
        <v>0.75</v>
      </c>
      <c r="AA181" s="5">
        <v>6.4500000000000002E-2</v>
      </c>
      <c r="AB181" s="9">
        <v>0.44440000000000002</v>
      </c>
      <c r="AC181" s="7">
        <v>0</v>
      </c>
      <c r="AD181" s="5">
        <v>0.39810000000000001</v>
      </c>
      <c r="AE181" s="5">
        <v>0.32</v>
      </c>
      <c r="AF181" s="1" t="s">
        <v>34</v>
      </c>
      <c r="AG181" s="19" cm="1">
        <f t="array" ref="AG181">DIASQUIEBRE(Q181:AB181)</f>
        <v>21</v>
      </c>
      <c r="AH181" s="19" cm="1">
        <f t="array" ref="AH181">DiasMesesGris(Q181:AB181)</f>
        <v>0</v>
      </c>
      <c r="AI181" s="19">
        <f t="shared" si="11"/>
        <v>21</v>
      </c>
      <c r="AJ181" s="19">
        <f t="shared" si="12"/>
        <v>339</v>
      </c>
      <c r="AK181" s="20">
        <f t="shared" si="13"/>
        <v>116</v>
      </c>
      <c r="AL181" s="21">
        <f t="shared" si="10"/>
        <v>0.34218289085545722</v>
      </c>
    </row>
    <row r="182" spans="1:38" x14ac:dyDescent="0.25">
      <c r="A182" s="1" t="s">
        <v>390</v>
      </c>
      <c r="B182" s="1" t="s">
        <v>391</v>
      </c>
      <c r="C182" s="1"/>
      <c r="D182" s="11">
        <v>7</v>
      </c>
      <c r="E182" s="11">
        <v>11</v>
      </c>
      <c r="F182" s="11">
        <v>2</v>
      </c>
      <c r="G182" s="11">
        <v>4</v>
      </c>
      <c r="H182" s="4"/>
      <c r="I182" s="11">
        <v>3</v>
      </c>
      <c r="J182" s="11">
        <v>6</v>
      </c>
      <c r="K182" s="11">
        <v>5</v>
      </c>
      <c r="L182" s="11">
        <v>3</v>
      </c>
      <c r="M182" s="11">
        <v>6</v>
      </c>
      <c r="N182" s="4"/>
      <c r="O182" s="11">
        <v>37</v>
      </c>
      <c r="P182" s="11">
        <v>7</v>
      </c>
      <c r="Q182" s="5">
        <v>0.12540000000000001</v>
      </c>
      <c r="R182" s="5">
        <v>0.3548</v>
      </c>
      <c r="S182" s="5">
        <v>9.5200000000000007E-2</v>
      </c>
      <c r="T182" s="5">
        <v>0.129</v>
      </c>
      <c r="U182" s="5">
        <v>0</v>
      </c>
      <c r="V182" s="5">
        <v>6.9099999999999995E-2</v>
      </c>
      <c r="W182" s="5">
        <v>0.2419</v>
      </c>
      <c r="X182" s="5">
        <v>0.25509999999999999</v>
      </c>
      <c r="Y182" s="5">
        <v>0.1075</v>
      </c>
      <c r="Z182" s="5">
        <v>0.25</v>
      </c>
      <c r="AA182" s="5">
        <v>0</v>
      </c>
      <c r="AB182" s="9">
        <v>1.2759</v>
      </c>
      <c r="AC182" s="7">
        <v>0.15559999999999999</v>
      </c>
      <c r="AD182" s="5">
        <v>0.14799999999999999</v>
      </c>
      <c r="AE182" s="5">
        <v>0.31</v>
      </c>
      <c r="AF182" s="1" t="s">
        <v>34</v>
      </c>
      <c r="AG182" s="19" cm="1">
        <f t="array" ref="AG182">DIASQUIEBRE(Q182:AB182)</f>
        <v>1</v>
      </c>
      <c r="AH182" s="19" cm="1">
        <f t="array" ref="AH182">DiasMesesGris(Q182:AB182)</f>
        <v>0</v>
      </c>
      <c r="AI182" s="19">
        <f t="shared" si="11"/>
        <v>1</v>
      </c>
      <c r="AJ182" s="19">
        <f t="shared" si="12"/>
        <v>359</v>
      </c>
      <c r="AK182" s="20">
        <f t="shared" si="13"/>
        <v>84</v>
      </c>
      <c r="AL182" s="21">
        <f t="shared" si="10"/>
        <v>0.23398328690807799</v>
      </c>
    </row>
    <row r="183" spans="1:38" x14ac:dyDescent="0.25">
      <c r="A183" s="1" t="s">
        <v>392</v>
      </c>
      <c r="B183" s="1" t="s">
        <v>393</v>
      </c>
      <c r="C183" s="1"/>
      <c r="D183" s="11">
        <v>9</v>
      </c>
      <c r="E183" s="11">
        <v>3</v>
      </c>
      <c r="F183" s="11">
        <v>-3</v>
      </c>
      <c r="G183" s="11">
        <v>3</v>
      </c>
      <c r="H183" s="11">
        <v>-1</v>
      </c>
      <c r="I183" s="11">
        <v>6</v>
      </c>
      <c r="J183" s="11">
        <v>1</v>
      </c>
      <c r="K183" s="11">
        <v>3</v>
      </c>
      <c r="L183" s="11">
        <v>4</v>
      </c>
      <c r="M183" s="11">
        <v>3</v>
      </c>
      <c r="N183" s="11">
        <v>1</v>
      </c>
      <c r="O183" s="11">
        <v>5</v>
      </c>
      <c r="P183" s="11">
        <v>4</v>
      </c>
      <c r="Q183" s="5">
        <v>0.1613</v>
      </c>
      <c r="R183" s="5">
        <v>9.6799999999999997E-2</v>
      </c>
      <c r="S183" s="5">
        <v>-0.1429</v>
      </c>
      <c r="T183" s="5">
        <v>9.6799999999999997E-2</v>
      </c>
      <c r="U183" s="5">
        <v>-3.0300000000000001E-2</v>
      </c>
      <c r="V183" s="5">
        <v>0.13819999999999999</v>
      </c>
      <c r="W183" s="5">
        <v>4.0300000000000002E-2</v>
      </c>
      <c r="X183" s="5">
        <v>0.15310000000000001</v>
      </c>
      <c r="Y183" s="5">
        <v>0.1434</v>
      </c>
      <c r="Z183" s="5">
        <v>0.125</v>
      </c>
      <c r="AA183" s="5">
        <v>3.2300000000000002E-2</v>
      </c>
      <c r="AB183" s="5">
        <v>0.16669999999999999</v>
      </c>
      <c r="AC183" s="8">
        <v>7.17E-2</v>
      </c>
      <c r="AD183" s="5">
        <v>8.1699999999999995E-2</v>
      </c>
      <c r="AE183" s="5">
        <f t="shared" si="14"/>
        <v>0.11414285714285713</v>
      </c>
      <c r="AF183" s="1" t="s">
        <v>34</v>
      </c>
      <c r="AG183" s="19" cm="1">
        <f t="array" ref="AG183">DIASQUIEBRE(Q183:AB183)</f>
        <v>0</v>
      </c>
      <c r="AH183" s="19" cm="1">
        <f t="array" ref="AH183">DiasMesesGris(Q183:AB183)</f>
        <v>0</v>
      </c>
      <c r="AI183" s="19">
        <f t="shared" si="11"/>
        <v>0</v>
      </c>
      <c r="AJ183" s="19">
        <f t="shared" si="12"/>
        <v>360</v>
      </c>
      <c r="AK183" s="20">
        <f t="shared" si="13"/>
        <v>34</v>
      </c>
      <c r="AL183" s="21">
        <f t="shared" si="10"/>
        <v>9.4444444444444442E-2</v>
      </c>
    </row>
    <row r="184" spans="1:38" x14ac:dyDescent="0.25">
      <c r="A184" s="1" t="s">
        <v>394</v>
      </c>
      <c r="B184" s="1" t="s">
        <v>395</v>
      </c>
      <c r="C184" s="1"/>
      <c r="D184" s="11">
        <v>4</v>
      </c>
      <c r="E184" s="4"/>
      <c r="F184" s="11">
        <v>6</v>
      </c>
      <c r="G184" s="11">
        <v>1</v>
      </c>
      <c r="H184" s="11">
        <v>-1</v>
      </c>
      <c r="I184" s="11">
        <v>2</v>
      </c>
      <c r="J184" s="11">
        <v>5</v>
      </c>
      <c r="K184" s="4"/>
      <c r="L184" s="11">
        <v>3</v>
      </c>
      <c r="M184" s="11">
        <v>3</v>
      </c>
      <c r="N184" s="11">
        <v>2</v>
      </c>
      <c r="O184" s="11">
        <v>4</v>
      </c>
      <c r="P184" s="4"/>
      <c r="Q184" s="5">
        <v>7.17E-2</v>
      </c>
      <c r="R184" s="5">
        <v>0</v>
      </c>
      <c r="S184" s="5">
        <v>0.28570000000000001</v>
      </c>
      <c r="T184" s="5">
        <v>3.2300000000000002E-2</v>
      </c>
      <c r="U184" s="5">
        <v>-3.0300000000000001E-2</v>
      </c>
      <c r="V184" s="5">
        <v>4.6100000000000002E-2</v>
      </c>
      <c r="W184" s="5">
        <v>0.2016</v>
      </c>
      <c r="X184" s="5">
        <v>0</v>
      </c>
      <c r="Y184" s="5">
        <v>0.1075</v>
      </c>
      <c r="Z184" s="5">
        <v>0.125</v>
      </c>
      <c r="AA184" s="5">
        <v>6.4500000000000002E-2</v>
      </c>
      <c r="AB184" s="5">
        <v>0.1333</v>
      </c>
      <c r="AC184" s="8">
        <v>0</v>
      </c>
      <c r="AD184" s="5">
        <v>8.6499999999999994E-2</v>
      </c>
      <c r="AE184" s="5">
        <f t="shared" si="14"/>
        <v>9.685714285714285E-2</v>
      </c>
      <c r="AF184" s="1" t="s">
        <v>34</v>
      </c>
      <c r="AG184" s="19" cm="1">
        <f t="array" ref="AG184">DIASQUIEBRE(Q184:AB184)</f>
        <v>0</v>
      </c>
      <c r="AH184" s="19" cm="1">
        <f t="array" ref="AH184">DiasMesesGris(Q184:AB184)</f>
        <v>0</v>
      </c>
      <c r="AI184" s="19">
        <f t="shared" si="11"/>
        <v>0</v>
      </c>
      <c r="AJ184" s="19">
        <f t="shared" si="12"/>
        <v>360</v>
      </c>
      <c r="AK184" s="20">
        <f t="shared" si="13"/>
        <v>29</v>
      </c>
      <c r="AL184" s="21">
        <f t="shared" si="10"/>
        <v>8.0555555555555561E-2</v>
      </c>
    </row>
    <row r="185" spans="1:38" x14ac:dyDescent="0.25">
      <c r="A185" s="1" t="s">
        <v>396</v>
      </c>
      <c r="B185" s="1" t="s">
        <v>397</v>
      </c>
      <c r="C185" s="1"/>
      <c r="D185" s="11">
        <v>3</v>
      </c>
      <c r="E185" s="11">
        <v>1</v>
      </c>
      <c r="F185" s="11">
        <v>-1</v>
      </c>
      <c r="G185" s="11">
        <v>1</v>
      </c>
      <c r="H185" s="4"/>
      <c r="I185" s="4"/>
      <c r="J185" s="4"/>
      <c r="K185" s="11">
        <v>2</v>
      </c>
      <c r="L185" s="4"/>
      <c r="M185" s="4"/>
      <c r="N185" s="4"/>
      <c r="O185" s="11">
        <v>1</v>
      </c>
      <c r="P185" s="4"/>
      <c r="Q185" s="5">
        <v>5.3800000000000001E-2</v>
      </c>
      <c r="R185" s="5">
        <v>3.2300000000000002E-2</v>
      </c>
      <c r="S185" s="5">
        <v>-4.7600000000000003E-2</v>
      </c>
      <c r="T185" s="5">
        <v>3.2300000000000002E-2</v>
      </c>
      <c r="U185" s="5">
        <v>0</v>
      </c>
      <c r="V185" s="5">
        <v>0</v>
      </c>
      <c r="W185" s="5">
        <v>0</v>
      </c>
      <c r="X185" s="5">
        <v>0.10199999999999999</v>
      </c>
      <c r="Y185" s="5">
        <v>0</v>
      </c>
      <c r="Z185" s="5">
        <v>0</v>
      </c>
      <c r="AA185" s="5">
        <v>0</v>
      </c>
      <c r="AB185" s="5">
        <v>3.3300000000000003E-2</v>
      </c>
      <c r="AC185" s="8">
        <v>0</v>
      </c>
      <c r="AD185" s="5">
        <v>1.72E-2</v>
      </c>
      <c r="AE185" s="5">
        <f t="shared" si="14"/>
        <v>1.9328571428571428E-2</v>
      </c>
      <c r="AF185" s="1" t="s">
        <v>34</v>
      </c>
      <c r="AG185" s="19" cm="1">
        <f t="array" ref="AG185">DIASQUIEBRE(Q185:AB185)</f>
        <v>0</v>
      </c>
      <c r="AH185" s="19" cm="1">
        <f t="array" ref="AH185">DiasMesesGris(Q185:AB185)</f>
        <v>0</v>
      </c>
      <c r="AI185" s="19">
        <f t="shared" si="11"/>
        <v>0</v>
      </c>
      <c r="AJ185" s="19">
        <f t="shared" si="12"/>
        <v>360</v>
      </c>
      <c r="AK185" s="20">
        <f t="shared" si="13"/>
        <v>7</v>
      </c>
      <c r="AL185" s="21">
        <f t="shared" si="10"/>
        <v>1.9444444444444445E-2</v>
      </c>
    </row>
    <row r="186" spans="1:38" x14ac:dyDescent="0.25">
      <c r="A186" s="1" t="s">
        <v>398</v>
      </c>
      <c r="B186" s="1" t="s">
        <v>399</v>
      </c>
      <c r="C186" s="1"/>
      <c r="D186" s="11">
        <v>11</v>
      </c>
      <c r="E186" s="11">
        <v>5</v>
      </c>
      <c r="F186" s="11">
        <v>16</v>
      </c>
      <c r="G186" s="11">
        <v>6</v>
      </c>
      <c r="H186" s="11">
        <v>1</v>
      </c>
      <c r="I186" s="11">
        <v>7</v>
      </c>
      <c r="J186" s="11">
        <v>12</v>
      </c>
      <c r="K186" s="11">
        <v>3</v>
      </c>
      <c r="L186" s="11">
        <v>6</v>
      </c>
      <c r="M186" s="11">
        <v>7</v>
      </c>
      <c r="N186" s="11">
        <v>2</v>
      </c>
      <c r="O186" s="11">
        <v>3</v>
      </c>
      <c r="P186" s="11">
        <v>1</v>
      </c>
      <c r="Q186" s="5">
        <v>0.1971</v>
      </c>
      <c r="R186" s="5">
        <v>0.1613</v>
      </c>
      <c r="S186" s="5">
        <v>0.76190000000000002</v>
      </c>
      <c r="T186" s="9">
        <v>0.75</v>
      </c>
      <c r="U186" s="6">
        <v>0</v>
      </c>
      <c r="V186" s="9">
        <v>0.17860000000000001</v>
      </c>
      <c r="W186" s="5">
        <v>0.4839</v>
      </c>
      <c r="X186" s="5">
        <v>0.15310000000000001</v>
      </c>
      <c r="Y186" s="5">
        <v>0.21510000000000001</v>
      </c>
      <c r="Z186" s="5">
        <v>0.29170000000000001</v>
      </c>
      <c r="AA186" s="5">
        <v>6.4500000000000002E-2</v>
      </c>
      <c r="AB186" s="5">
        <v>0.1</v>
      </c>
      <c r="AC186" s="8">
        <v>1.7899999999999999E-2</v>
      </c>
      <c r="AD186" s="5">
        <v>0.26979999999999998</v>
      </c>
      <c r="AE186" s="5">
        <f t="shared" si="14"/>
        <v>0.21241428571428572</v>
      </c>
      <c r="AF186" s="1" t="s">
        <v>34</v>
      </c>
      <c r="AG186" s="19" cm="1">
        <f t="array" ref="AG186">DIASQUIEBRE(Q186:AB186)</f>
        <v>26</v>
      </c>
      <c r="AH186" s="19" cm="1">
        <f t="array" ref="AH186">DiasMesesGris(Q186:AB186)</f>
        <v>30</v>
      </c>
      <c r="AI186" s="19">
        <f t="shared" si="11"/>
        <v>56</v>
      </c>
      <c r="AJ186" s="19">
        <f t="shared" si="12"/>
        <v>304</v>
      </c>
      <c r="AK186" s="20">
        <f t="shared" si="13"/>
        <v>79</v>
      </c>
      <c r="AL186" s="21">
        <f t="shared" si="10"/>
        <v>0.25986842105263158</v>
      </c>
    </row>
    <row r="187" spans="1:38" x14ac:dyDescent="0.25">
      <c r="A187" s="1" t="s">
        <v>400</v>
      </c>
      <c r="B187" s="1" t="s">
        <v>401</v>
      </c>
      <c r="C187" s="1"/>
      <c r="D187" s="11">
        <v>113</v>
      </c>
      <c r="E187" s="11">
        <v>53</v>
      </c>
      <c r="F187" s="11">
        <v>2</v>
      </c>
      <c r="G187" s="11">
        <v>2</v>
      </c>
      <c r="H187" s="4"/>
      <c r="I187" s="11">
        <v>54</v>
      </c>
      <c r="J187" s="11">
        <v>28</v>
      </c>
      <c r="K187" s="11">
        <v>9</v>
      </c>
      <c r="L187" s="11">
        <v>14</v>
      </c>
      <c r="M187" s="11">
        <v>16</v>
      </c>
      <c r="N187" s="11">
        <v>16</v>
      </c>
      <c r="O187" s="11">
        <v>27</v>
      </c>
      <c r="P187" s="11">
        <v>29</v>
      </c>
      <c r="Q187" s="5">
        <v>2.0251000000000001</v>
      </c>
      <c r="R187" s="9">
        <v>2.0385</v>
      </c>
      <c r="S187" s="9">
        <v>0.40820000000000001</v>
      </c>
      <c r="T187" s="6">
        <v>0</v>
      </c>
      <c r="U187" s="6">
        <v>0</v>
      </c>
      <c r="V187" s="9">
        <v>1.3775999999999999</v>
      </c>
      <c r="W187" s="5">
        <v>1.129</v>
      </c>
      <c r="X187" s="5">
        <v>0.4592</v>
      </c>
      <c r="Y187" s="5">
        <v>0.50180000000000002</v>
      </c>
      <c r="Z187" s="5">
        <v>0.66669999999999996</v>
      </c>
      <c r="AA187" s="5">
        <v>0.5161</v>
      </c>
      <c r="AB187" s="5">
        <v>0.9</v>
      </c>
      <c r="AC187" s="8">
        <v>0.51970000000000005</v>
      </c>
      <c r="AD187" s="5">
        <v>0.88539999999999996</v>
      </c>
      <c r="AE187" s="5">
        <v>0.7</v>
      </c>
      <c r="AF187" s="1" t="s">
        <v>34</v>
      </c>
      <c r="AG187" s="19" cm="1">
        <f t="array" ref="AG187">DIASQUIEBRE(Q187:AB187)</f>
        <v>31</v>
      </c>
      <c r="AH187" s="19" cm="1">
        <f t="array" ref="AH187">DiasMesesGris(Q187:AB187)</f>
        <v>60</v>
      </c>
      <c r="AI187" s="19">
        <f t="shared" si="11"/>
        <v>91</v>
      </c>
      <c r="AJ187" s="19">
        <f t="shared" si="12"/>
        <v>269</v>
      </c>
      <c r="AK187" s="20">
        <f t="shared" si="13"/>
        <v>334</v>
      </c>
      <c r="AL187" s="21">
        <f t="shared" si="10"/>
        <v>1.241635687732342</v>
      </c>
    </row>
    <row r="188" spans="1:38" x14ac:dyDescent="0.25">
      <c r="A188" s="1" t="s">
        <v>402</v>
      </c>
      <c r="B188" s="1" t="s">
        <v>403</v>
      </c>
      <c r="C188" s="1"/>
      <c r="D188" s="11">
        <v>5</v>
      </c>
      <c r="E188" s="11">
        <v>9</v>
      </c>
      <c r="F188" s="11">
        <v>-2</v>
      </c>
      <c r="G188" s="11">
        <v>3</v>
      </c>
      <c r="H188" s="4"/>
      <c r="I188" s="11">
        <v>3</v>
      </c>
      <c r="J188" s="11">
        <v>2</v>
      </c>
      <c r="K188" s="11">
        <v>4</v>
      </c>
      <c r="L188" s="11">
        <v>3</v>
      </c>
      <c r="M188" s="11">
        <v>4</v>
      </c>
      <c r="N188" s="11">
        <v>2</v>
      </c>
      <c r="O188" s="4"/>
      <c r="P188" s="4"/>
      <c r="Q188" s="5">
        <v>8.9599999999999999E-2</v>
      </c>
      <c r="R188" s="5">
        <v>0.2903</v>
      </c>
      <c r="S188" s="5">
        <v>-9.5200000000000007E-2</v>
      </c>
      <c r="T188" s="5">
        <v>9.6799999999999997E-2</v>
      </c>
      <c r="U188" s="5">
        <v>0</v>
      </c>
      <c r="V188" s="5">
        <v>6.9099999999999995E-2</v>
      </c>
      <c r="W188" s="5">
        <v>8.0600000000000005E-2</v>
      </c>
      <c r="X188" s="5">
        <v>0.2041</v>
      </c>
      <c r="Y188" s="5">
        <v>0.1075</v>
      </c>
      <c r="Z188" s="5">
        <v>0.16669999999999999</v>
      </c>
      <c r="AA188" s="5">
        <v>6.4500000000000002E-2</v>
      </c>
      <c r="AB188" s="5">
        <v>0</v>
      </c>
      <c r="AC188" s="8">
        <v>0</v>
      </c>
      <c r="AD188" s="5">
        <v>8.9499999999999996E-2</v>
      </c>
      <c r="AE188" s="5">
        <f t="shared" si="14"/>
        <v>9.8928571428571435E-2</v>
      </c>
      <c r="AF188" s="1" t="s">
        <v>34</v>
      </c>
      <c r="AG188" s="19" cm="1">
        <f t="array" ref="AG188">DIASQUIEBRE(Q188:AB188)</f>
        <v>0</v>
      </c>
      <c r="AH188" s="19" cm="1">
        <f t="array" ref="AH188">DiasMesesGris(Q188:AB188)</f>
        <v>0</v>
      </c>
      <c r="AI188" s="19">
        <f t="shared" si="11"/>
        <v>0</v>
      </c>
      <c r="AJ188" s="19">
        <f t="shared" si="12"/>
        <v>360</v>
      </c>
      <c r="AK188" s="20">
        <f t="shared" si="13"/>
        <v>33</v>
      </c>
      <c r="AL188" s="21">
        <f t="shared" si="10"/>
        <v>9.166666666666666E-2</v>
      </c>
    </row>
    <row r="189" spans="1:38" x14ac:dyDescent="0.25">
      <c r="A189" s="1" t="s">
        <v>404</v>
      </c>
      <c r="B189" s="1" t="s">
        <v>405</v>
      </c>
      <c r="C189" s="1"/>
      <c r="D189" s="11">
        <v>17</v>
      </c>
      <c r="E189" s="11">
        <v>15</v>
      </c>
      <c r="F189" s="11">
        <v>5</v>
      </c>
      <c r="G189" s="11">
        <v>15</v>
      </c>
      <c r="H189" s="11">
        <v>21</v>
      </c>
      <c r="I189" s="11">
        <v>8</v>
      </c>
      <c r="J189" s="11">
        <v>12</v>
      </c>
      <c r="K189" s="11">
        <v>8</v>
      </c>
      <c r="L189" s="11">
        <v>9</v>
      </c>
      <c r="M189" s="11">
        <v>11</v>
      </c>
      <c r="N189" s="11">
        <v>22</v>
      </c>
      <c r="O189" s="11">
        <v>17</v>
      </c>
      <c r="P189" s="4"/>
      <c r="Q189" s="5">
        <v>0.30470000000000003</v>
      </c>
      <c r="R189" s="5">
        <v>0.4839</v>
      </c>
      <c r="S189" s="5">
        <v>0.23810000000000001</v>
      </c>
      <c r="T189" s="5">
        <v>0.4839</v>
      </c>
      <c r="U189" s="5">
        <v>0.63639999999999997</v>
      </c>
      <c r="V189" s="9">
        <v>0.57140000000000002</v>
      </c>
      <c r="W189" s="9">
        <v>0.6522</v>
      </c>
      <c r="X189" s="9">
        <v>11.428599999999999</v>
      </c>
      <c r="Y189" s="9">
        <v>0.45450000000000002</v>
      </c>
      <c r="Z189" s="9">
        <v>1.0577000000000001</v>
      </c>
      <c r="AA189" s="5">
        <v>0.7097</v>
      </c>
      <c r="AB189" s="9">
        <v>1.1333</v>
      </c>
      <c r="AC189" s="7">
        <v>0</v>
      </c>
      <c r="AD189" s="5">
        <v>0.47610000000000002</v>
      </c>
      <c r="AE189" s="5">
        <v>0.61</v>
      </c>
      <c r="AF189" s="1" t="s">
        <v>34</v>
      </c>
      <c r="AG189" s="19" cm="1">
        <f t="array" ref="AG189">DIASQUIEBRE(Q189:AB189)</f>
        <v>97</v>
      </c>
      <c r="AH189" s="19" cm="1">
        <f t="array" ref="AH189">DiasMesesGris(Q189:AB189)</f>
        <v>0</v>
      </c>
      <c r="AI189" s="19">
        <f t="shared" si="11"/>
        <v>97</v>
      </c>
      <c r="AJ189" s="19">
        <f t="shared" si="12"/>
        <v>263</v>
      </c>
      <c r="AK189" s="20">
        <f t="shared" si="13"/>
        <v>160</v>
      </c>
      <c r="AL189" s="21">
        <f t="shared" si="10"/>
        <v>0.60836501901140683</v>
      </c>
    </row>
    <row r="190" spans="1:38" x14ac:dyDescent="0.25">
      <c r="A190" s="1" t="s">
        <v>406</v>
      </c>
      <c r="B190" s="1" t="s">
        <v>407</v>
      </c>
      <c r="C190" s="1"/>
      <c r="D190" s="11">
        <v>1</v>
      </c>
      <c r="E190" s="4"/>
      <c r="F190" s="11">
        <v>16</v>
      </c>
      <c r="G190" s="11">
        <v>5</v>
      </c>
      <c r="H190" s="11">
        <v>6</v>
      </c>
      <c r="I190" s="11">
        <v>4</v>
      </c>
      <c r="J190" s="11">
        <v>11</v>
      </c>
      <c r="K190" s="11">
        <v>4</v>
      </c>
      <c r="L190" s="11">
        <v>18</v>
      </c>
      <c r="M190" s="11">
        <v>6</v>
      </c>
      <c r="N190" s="4"/>
      <c r="O190" s="11">
        <v>17</v>
      </c>
      <c r="P190" s="11">
        <v>1</v>
      </c>
      <c r="Q190" s="9">
        <v>7.9399999999999998E-2</v>
      </c>
      <c r="R190" s="6">
        <v>0</v>
      </c>
      <c r="S190" s="9">
        <v>0.81630000000000003</v>
      </c>
      <c r="T190" s="5">
        <v>0.1613</v>
      </c>
      <c r="U190" s="5">
        <v>0.18179999999999999</v>
      </c>
      <c r="V190" s="5">
        <v>9.2200000000000004E-2</v>
      </c>
      <c r="W190" s="5">
        <v>0.44350000000000001</v>
      </c>
      <c r="X190" s="5">
        <v>0.2041</v>
      </c>
      <c r="Y190" s="5">
        <v>0.6452</v>
      </c>
      <c r="Z190" s="5">
        <v>0.25</v>
      </c>
      <c r="AA190" s="5">
        <v>0</v>
      </c>
      <c r="AB190" s="5">
        <v>0.56669999999999998</v>
      </c>
      <c r="AC190" s="8">
        <v>1.7899999999999999E-2</v>
      </c>
      <c r="AD190" s="5">
        <v>0.2828</v>
      </c>
      <c r="AE190" s="5">
        <f t="shared" si="14"/>
        <v>0.31452857142857138</v>
      </c>
      <c r="AF190" s="1" t="s">
        <v>34</v>
      </c>
      <c r="AG190" s="19" cm="1">
        <f t="array" ref="AG190">DIASQUIEBRE(Q190:AB190)</f>
        <v>26</v>
      </c>
      <c r="AH190" s="19" cm="1">
        <f t="array" ref="AH190">DiasMesesGris(Q190:AB190)</f>
        <v>30</v>
      </c>
      <c r="AI190" s="19">
        <f t="shared" si="11"/>
        <v>56</v>
      </c>
      <c r="AJ190" s="19">
        <f t="shared" si="12"/>
        <v>304</v>
      </c>
      <c r="AK190" s="20">
        <f t="shared" si="13"/>
        <v>88</v>
      </c>
      <c r="AL190" s="21">
        <f t="shared" si="10"/>
        <v>0.28947368421052633</v>
      </c>
    </row>
    <row r="191" spans="1:38" x14ac:dyDescent="0.25">
      <c r="A191" s="1" t="s">
        <v>408</v>
      </c>
      <c r="B191" s="1" t="s">
        <v>409</v>
      </c>
      <c r="C191" s="1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6">
        <v>0</v>
      </c>
      <c r="R191" s="6">
        <v>0</v>
      </c>
      <c r="S191" s="6">
        <v>0</v>
      </c>
      <c r="T191" s="6">
        <v>0</v>
      </c>
      <c r="U191" s="6">
        <v>0</v>
      </c>
      <c r="V191" s="6">
        <v>0</v>
      </c>
      <c r="W191" s="6">
        <v>0</v>
      </c>
      <c r="X191" s="6">
        <v>0</v>
      </c>
      <c r="Y191" s="6">
        <v>0</v>
      </c>
      <c r="Z191" s="6">
        <v>0</v>
      </c>
      <c r="AA191" s="6">
        <v>0</v>
      </c>
      <c r="AB191" s="6">
        <v>0</v>
      </c>
      <c r="AC191" s="7">
        <v>0</v>
      </c>
      <c r="AE191" s="5">
        <f t="shared" si="14"/>
        <v>0</v>
      </c>
      <c r="AF191" s="1" t="s">
        <v>34</v>
      </c>
      <c r="AG191" s="19" cm="1">
        <f t="array" ref="AG191">DIASQUIEBRE(Q191:AB191)</f>
        <v>0</v>
      </c>
      <c r="AH191" s="19" cm="1">
        <f t="array" ref="AH191">DiasMesesGris(Q191:AB191)</f>
        <v>360</v>
      </c>
      <c r="AI191" s="19">
        <f t="shared" si="11"/>
        <v>360</v>
      </c>
      <c r="AJ191" s="19">
        <f t="shared" si="12"/>
        <v>0</v>
      </c>
      <c r="AK191" s="20">
        <f t="shared" si="13"/>
        <v>0</v>
      </c>
      <c r="AL191" s="21">
        <f t="shared" si="10"/>
        <v>0</v>
      </c>
    </row>
    <row r="192" spans="1:38" x14ac:dyDescent="0.25">
      <c r="A192" s="1" t="s">
        <v>410</v>
      </c>
      <c r="B192" s="1" t="s">
        <v>411</v>
      </c>
      <c r="C192" s="1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6">
        <v>0</v>
      </c>
      <c r="R192" s="6">
        <v>0</v>
      </c>
      <c r="S192" s="6">
        <v>0</v>
      </c>
      <c r="T192" s="6">
        <v>0</v>
      </c>
      <c r="U192" s="6">
        <v>0</v>
      </c>
      <c r="V192" s="6">
        <v>0</v>
      </c>
      <c r="W192" s="6">
        <v>0</v>
      </c>
      <c r="X192" s="6">
        <v>0</v>
      </c>
      <c r="Y192" s="6">
        <v>0</v>
      </c>
      <c r="Z192" s="6">
        <v>0</v>
      </c>
      <c r="AA192" s="6">
        <v>0</v>
      </c>
      <c r="AB192" s="6">
        <v>0</v>
      </c>
      <c r="AC192" s="7">
        <v>0</v>
      </c>
      <c r="AE192" s="5">
        <f t="shared" si="14"/>
        <v>0</v>
      </c>
      <c r="AF192" s="1" t="s">
        <v>34</v>
      </c>
      <c r="AG192" s="19" cm="1">
        <f t="array" ref="AG192">DIASQUIEBRE(Q192:AB192)</f>
        <v>0</v>
      </c>
      <c r="AH192" s="19" cm="1">
        <f t="array" ref="AH192">DiasMesesGris(Q192:AB192)</f>
        <v>360</v>
      </c>
      <c r="AI192" s="19">
        <f t="shared" si="11"/>
        <v>360</v>
      </c>
      <c r="AJ192" s="19">
        <f t="shared" si="12"/>
        <v>0</v>
      </c>
      <c r="AK192" s="20">
        <f t="shared" si="13"/>
        <v>0</v>
      </c>
      <c r="AL192" s="21">
        <f t="shared" si="10"/>
        <v>0</v>
      </c>
    </row>
    <row r="193" spans="1:38" x14ac:dyDescent="0.25">
      <c r="A193" s="1" t="s">
        <v>412</v>
      </c>
      <c r="B193" s="1" t="s">
        <v>413</v>
      </c>
      <c r="C193" s="1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6">
        <v>0</v>
      </c>
      <c r="R193" s="6">
        <v>0</v>
      </c>
      <c r="S193" s="6">
        <v>0</v>
      </c>
      <c r="T193" s="6">
        <v>0</v>
      </c>
      <c r="U193" s="6">
        <v>0</v>
      </c>
      <c r="V193" s="6">
        <v>0</v>
      </c>
      <c r="W193" s="6">
        <v>0</v>
      </c>
      <c r="X193" s="6">
        <v>0</v>
      </c>
      <c r="Y193" s="6">
        <v>0</v>
      </c>
      <c r="Z193" s="6">
        <v>0</v>
      </c>
      <c r="AA193" s="6">
        <v>0</v>
      </c>
      <c r="AB193" s="6">
        <v>0</v>
      </c>
      <c r="AC193" s="7">
        <v>0</v>
      </c>
      <c r="AE193" s="5">
        <f t="shared" si="14"/>
        <v>0</v>
      </c>
      <c r="AF193" s="1" t="s">
        <v>34</v>
      </c>
      <c r="AG193" s="19" cm="1">
        <f t="array" ref="AG193">DIASQUIEBRE(Q193:AB193)</f>
        <v>0</v>
      </c>
      <c r="AH193" s="19" cm="1">
        <f t="array" ref="AH193">DiasMesesGris(Q193:AB193)</f>
        <v>360</v>
      </c>
      <c r="AI193" s="19">
        <f t="shared" si="11"/>
        <v>360</v>
      </c>
      <c r="AJ193" s="19">
        <f t="shared" si="12"/>
        <v>0</v>
      </c>
      <c r="AK193" s="20">
        <f t="shared" si="13"/>
        <v>0</v>
      </c>
      <c r="AL193" s="21">
        <f t="shared" si="10"/>
        <v>0</v>
      </c>
    </row>
    <row r="194" spans="1:38" x14ac:dyDescent="0.25">
      <c r="A194" s="1" t="s">
        <v>414</v>
      </c>
      <c r="B194" s="1" t="s">
        <v>415</v>
      </c>
      <c r="C194" s="1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6">
        <v>0</v>
      </c>
      <c r="R194" s="6">
        <v>0</v>
      </c>
      <c r="S194" s="6">
        <v>0</v>
      </c>
      <c r="T194" s="6">
        <v>0</v>
      </c>
      <c r="U194" s="6">
        <v>0</v>
      </c>
      <c r="V194" s="6">
        <v>0</v>
      </c>
      <c r="W194" s="6">
        <v>0</v>
      </c>
      <c r="X194" s="6">
        <v>0</v>
      </c>
      <c r="Y194" s="6">
        <v>0</v>
      </c>
      <c r="Z194" s="6">
        <v>0</v>
      </c>
      <c r="AA194" s="6">
        <v>0</v>
      </c>
      <c r="AB194" s="6">
        <v>0</v>
      </c>
      <c r="AC194" s="7">
        <v>0</v>
      </c>
      <c r="AE194" s="5">
        <f t="shared" si="14"/>
        <v>0</v>
      </c>
      <c r="AF194" s="1" t="s">
        <v>34</v>
      </c>
      <c r="AG194" s="19" cm="1">
        <f t="array" ref="AG194">DIASQUIEBRE(Q194:AB194)</f>
        <v>0</v>
      </c>
      <c r="AH194" s="19" cm="1">
        <f t="array" ref="AH194">DiasMesesGris(Q194:AB194)</f>
        <v>360</v>
      </c>
      <c r="AI194" s="19">
        <f t="shared" si="11"/>
        <v>360</v>
      </c>
      <c r="AJ194" s="19">
        <f t="shared" si="12"/>
        <v>0</v>
      </c>
      <c r="AK194" s="20">
        <f t="shared" si="13"/>
        <v>0</v>
      </c>
      <c r="AL194" s="21">
        <f t="shared" si="10"/>
        <v>0</v>
      </c>
    </row>
    <row r="195" spans="1:38" x14ac:dyDescent="0.25">
      <c r="A195" s="1" t="s">
        <v>416</v>
      </c>
      <c r="B195" s="1" t="s">
        <v>417</v>
      </c>
      <c r="C195" s="1"/>
      <c r="D195" s="11">
        <v>39</v>
      </c>
      <c r="E195" s="11">
        <v>44</v>
      </c>
      <c r="F195" s="4"/>
      <c r="G195" s="11">
        <v>7</v>
      </c>
      <c r="H195" s="11">
        <v>12</v>
      </c>
      <c r="I195" s="11">
        <v>32</v>
      </c>
      <c r="J195" s="11">
        <v>17</v>
      </c>
      <c r="K195" s="11">
        <v>17</v>
      </c>
      <c r="L195" s="11">
        <v>33</v>
      </c>
      <c r="M195" s="11">
        <v>4</v>
      </c>
      <c r="N195" s="11">
        <v>-3</v>
      </c>
      <c r="O195" s="11">
        <v>16</v>
      </c>
      <c r="P195" s="11">
        <v>21</v>
      </c>
      <c r="Q195" s="9">
        <v>0.74709999999999999</v>
      </c>
      <c r="R195" s="5">
        <v>1.4194</v>
      </c>
      <c r="S195" s="5">
        <v>0</v>
      </c>
      <c r="T195" s="5">
        <v>0.2258</v>
      </c>
      <c r="U195" s="5">
        <v>0.36359999999999998</v>
      </c>
      <c r="V195" s="5">
        <v>0.73729999999999996</v>
      </c>
      <c r="W195" s="5">
        <v>0.6855</v>
      </c>
      <c r="X195" s="5">
        <v>0.86729999999999996</v>
      </c>
      <c r="Y195" s="5">
        <v>1.1828000000000001</v>
      </c>
      <c r="Z195" s="5">
        <v>0.16669999999999999</v>
      </c>
      <c r="AA195" s="5">
        <v>-9.6799999999999997E-2</v>
      </c>
      <c r="AB195" s="5">
        <v>0.5333</v>
      </c>
      <c r="AC195" s="8">
        <v>0.37630000000000002</v>
      </c>
      <c r="AD195" s="5">
        <v>0.55320000000000003</v>
      </c>
      <c r="AE195" s="5">
        <f t="shared" si="14"/>
        <v>0.58230000000000004</v>
      </c>
      <c r="AF195" s="1" t="s">
        <v>34</v>
      </c>
      <c r="AG195" s="19" cm="1">
        <f t="array" ref="AG195">DIASQUIEBRE(Q195:AB195)</f>
        <v>2</v>
      </c>
      <c r="AH195" s="19" cm="1">
        <f t="array" ref="AH195">DiasMesesGris(Q195:AB195)</f>
        <v>0</v>
      </c>
      <c r="AI195" s="19">
        <f t="shared" si="11"/>
        <v>2</v>
      </c>
      <c r="AJ195" s="19">
        <f t="shared" si="12"/>
        <v>358</v>
      </c>
      <c r="AK195" s="20">
        <f t="shared" si="13"/>
        <v>218</v>
      </c>
      <c r="AL195" s="21">
        <f t="shared" ref="AL195:AL258" si="15">IFERROR(AK195/AJ195,0)</f>
        <v>0.60893854748603349</v>
      </c>
    </row>
    <row r="196" spans="1:38" x14ac:dyDescent="0.25">
      <c r="A196" s="1" t="s">
        <v>418</v>
      </c>
      <c r="B196" s="1" t="s">
        <v>419</v>
      </c>
      <c r="C196" s="1"/>
      <c r="D196" s="11">
        <v>85</v>
      </c>
      <c r="E196" s="11">
        <v>26</v>
      </c>
      <c r="F196" s="11">
        <v>28</v>
      </c>
      <c r="G196" s="11">
        <v>15</v>
      </c>
      <c r="H196" s="11">
        <v>55</v>
      </c>
      <c r="I196" s="11">
        <v>117</v>
      </c>
      <c r="J196" s="11">
        <v>22</v>
      </c>
      <c r="K196" s="11">
        <v>49</v>
      </c>
      <c r="L196" s="11">
        <v>33</v>
      </c>
      <c r="M196" s="11">
        <v>3</v>
      </c>
      <c r="N196" s="11">
        <v>11</v>
      </c>
      <c r="O196" s="11">
        <v>36</v>
      </c>
      <c r="P196" s="11">
        <v>24</v>
      </c>
      <c r="Q196" s="5">
        <v>1.5233000000000001</v>
      </c>
      <c r="R196" s="5">
        <v>0.8387</v>
      </c>
      <c r="S196" s="5">
        <v>1.3332999999999999</v>
      </c>
      <c r="T196" s="5">
        <v>0.4839</v>
      </c>
      <c r="U196" s="5">
        <v>1.6667000000000001</v>
      </c>
      <c r="V196" s="5">
        <v>2.6959</v>
      </c>
      <c r="W196" s="5">
        <v>0.8871</v>
      </c>
      <c r="X196" s="5">
        <v>2.5</v>
      </c>
      <c r="Y196" s="5">
        <v>1.1828000000000001</v>
      </c>
      <c r="Z196" s="9">
        <v>0.2344</v>
      </c>
      <c r="AA196" s="5">
        <v>0.3548</v>
      </c>
      <c r="AB196" s="5">
        <v>1.2</v>
      </c>
      <c r="AC196" s="8">
        <v>0.43009999999999998</v>
      </c>
      <c r="AD196" s="5">
        <v>1.3332999999999999</v>
      </c>
      <c r="AE196" s="5">
        <f t="shared" si="14"/>
        <v>1.2935714285714286</v>
      </c>
      <c r="AF196" s="1" t="s">
        <v>34</v>
      </c>
      <c r="AG196" s="19" cm="1">
        <f t="array" ref="AG196">DIASQUIEBRE(Q196:AB196)</f>
        <v>14</v>
      </c>
      <c r="AH196" s="19" cm="1">
        <f t="array" ref="AH196">DiasMesesGris(Q196:AB196)</f>
        <v>0</v>
      </c>
      <c r="AI196" s="19">
        <f t="shared" ref="AI196:AI259" si="16">AG196+AH196</f>
        <v>14</v>
      </c>
      <c r="AJ196" s="19">
        <f t="shared" ref="AJ196:AJ259" si="17">360-AI196</f>
        <v>346</v>
      </c>
      <c r="AK196" s="20">
        <f t="shared" ref="AK196:AK259" si="18">SUM(D196:O196)</f>
        <v>480</v>
      </c>
      <c r="AL196" s="21">
        <f t="shared" si="15"/>
        <v>1.3872832369942196</v>
      </c>
    </row>
    <row r="197" spans="1:38" x14ac:dyDescent="0.25">
      <c r="A197" s="1" t="s">
        <v>420</v>
      </c>
      <c r="B197" s="1" t="s">
        <v>421</v>
      </c>
      <c r="C197" s="1"/>
      <c r="D197" s="11">
        <v>3</v>
      </c>
      <c r="E197" s="11">
        <v>2</v>
      </c>
      <c r="F197" s="11">
        <v>1</v>
      </c>
      <c r="G197" s="11">
        <v>1</v>
      </c>
      <c r="H197" s="11">
        <v>3</v>
      </c>
      <c r="I197" s="11">
        <v>7</v>
      </c>
      <c r="J197" s="11">
        <v>1</v>
      </c>
      <c r="K197" s="4"/>
      <c r="L197" s="11">
        <v>7</v>
      </c>
      <c r="M197" s="11">
        <v>1</v>
      </c>
      <c r="N197" s="11">
        <v>1</v>
      </c>
      <c r="O197" s="11">
        <v>1</v>
      </c>
      <c r="P197" s="11">
        <v>2</v>
      </c>
      <c r="Q197" s="5">
        <v>5.3800000000000001E-2</v>
      </c>
      <c r="R197" s="5">
        <v>6.4500000000000002E-2</v>
      </c>
      <c r="S197" s="5">
        <v>4.7600000000000003E-2</v>
      </c>
      <c r="T197" s="5">
        <v>3.2300000000000002E-2</v>
      </c>
      <c r="U197" s="5">
        <v>9.0899999999999995E-2</v>
      </c>
      <c r="V197" s="5">
        <v>0.1613</v>
      </c>
      <c r="W197" s="5">
        <v>4.0300000000000002E-2</v>
      </c>
      <c r="X197" s="5">
        <v>0</v>
      </c>
      <c r="Y197" s="5">
        <v>0.25090000000000001</v>
      </c>
      <c r="Z197" s="5">
        <v>4.1700000000000001E-2</v>
      </c>
      <c r="AA197" s="5">
        <v>3.2300000000000002E-2</v>
      </c>
      <c r="AB197" s="5">
        <v>3.3300000000000003E-2</v>
      </c>
      <c r="AC197" s="8">
        <v>3.5799999999999998E-2</v>
      </c>
      <c r="AD197" s="5">
        <v>7.0699999999999999E-2</v>
      </c>
      <c r="AE197" s="5">
        <f t="shared" si="14"/>
        <v>7.9971428571428582E-2</v>
      </c>
      <c r="AF197" s="1" t="s">
        <v>34</v>
      </c>
      <c r="AG197" s="19" cm="1">
        <f t="array" ref="AG197">DIASQUIEBRE(Q197:AB197)</f>
        <v>0</v>
      </c>
      <c r="AH197" s="19" cm="1">
        <f t="array" ref="AH197">DiasMesesGris(Q197:AB197)</f>
        <v>0</v>
      </c>
      <c r="AI197" s="19">
        <f t="shared" si="16"/>
        <v>0</v>
      </c>
      <c r="AJ197" s="19">
        <f t="shared" si="17"/>
        <v>360</v>
      </c>
      <c r="AK197" s="20">
        <f t="shared" si="18"/>
        <v>28</v>
      </c>
      <c r="AL197" s="21">
        <f t="shared" si="15"/>
        <v>7.7777777777777779E-2</v>
      </c>
    </row>
    <row r="198" spans="1:38" x14ac:dyDescent="0.25">
      <c r="A198" s="1" t="s">
        <v>422</v>
      </c>
      <c r="B198" s="1" t="s">
        <v>423</v>
      </c>
      <c r="C198" s="1"/>
      <c r="D198" s="11">
        <v>11</v>
      </c>
      <c r="E198" s="11">
        <v>3</v>
      </c>
      <c r="F198" s="11">
        <v>33</v>
      </c>
      <c r="G198" s="11">
        <v>10</v>
      </c>
      <c r="H198" s="11">
        <v>15</v>
      </c>
      <c r="I198" s="11">
        <v>2</v>
      </c>
      <c r="J198" s="11">
        <v>3</v>
      </c>
      <c r="K198" s="11">
        <v>5</v>
      </c>
      <c r="L198" s="11">
        <v>2</v>
      </c>
      <c r="M198" s="11">
        <v>4</v>
      </c>
      <c r="N198" s="11">
        <v>2</v>
      </c>
      <c r="O198" s="11">
        <v>5</v>
      </c>
      <c r="P198" s="11">
        <v>4</v>
      </c>
      <c r="Q198" s="5">
        <v>0.1971</v>
      </c>
      <c r="R198" s="5">
        <v>9.6799999999999997E-2</v>
      </c>
      <c r="S198" s="5">
        <v>1.5713999999999999</v>
      </c>
      <c r="T198" s="5">
        <v>0.3226</v>
      </c>
      <c r="U198" s="5">
        <v>0.45450000000000002</v>
      </c>
      <c r="V198" s="5">
        <v>4.6100000000000002E-2</v>
      </c>
      <c r="W198" s="5">
        <v>0.121</v>
      </c>
      <c r="X198" s="5">
        <v>0.25509999999999999</v>
      </c>
      <c r="Y198" s="5">
        <v>7.17E-2</v>
      </c>
      <c r="Z198" s="5">
        <v>0.16669999999999999</v>
      </c>
      <c r="AA198" s="5">
        <v>6.4500000000000002E-2</v>
      </c>
      <c r="AB198" s="5">
        <v>0.16669999999999999</v>
      </c>
      <c r="AC198" s="8">
        <v>7.17E-2</v>
      </c>
      <c r="AD198" s="5">
        <v>0.29449999999999998</v>
      </c>
      <c r="AE198" s="5">
        <f t="shared" si="14"/>
        <v>0.12739999999999999</v>
      </c>
      <c r="AF198" s="1" t="s">
        <v>34</v>
      </c>
      <c r="AG198" s="19" cm="1">
        <f t="array" ref="AG198">DIASQUIEBRE(Q198:AB198)</f>
        <v>0</v>
      </c>
      <c r="AH198" s="19" cm="1">
        <f t="array" ref="AH198">DiasMesesGris(Q198:AB198)</f>
        <v>0</v>
      </c>
      <c r="AI198" s="19">
        <f t="shared" si="16"/>
        <v>0</v>
      </c>
      <c r="AJ198" s="19">
        <f t="shared" si="17"/>
        <v>360</v>
      </c>
      <c r="AK198" s="20">
        <f t="shared" si="18"/>
        <v>95</v>
      </c>
      <c r="AL198" s="21">
        <f t="shared" si="15"/>
        <v>0.2638888888888889</v>
      </c>
    </row>
    <row r="199" spans="1:38" x14ac:dyDescent="0.25">
      <c r="A199" s="1" t="s">
        <v>424</v>
      </c>
      <c r="B199" s="1" t="s">
        <v>425</v>
      </c>
      <c r="C199" s="1"/>
      <c r="D199" s="11">
        <v>5</v>
      </c>
      <c r="E199" s="4"/>
      <c r="F199" s="11">
        <v>2</v>
      </c>
      <c r="G199" s="11">
        <v>7</v>
      </c>
      <c r="H199" s="11">
        <v>4</v>
      </c>
      <c r="I199" s="11">
        <v>1</v>
      </c>
      <c r="J199" s="11">
        <v>1</v>
      </c>
      <c r="K199" s="11">
        <v>1</v>
      </c>
      <c r="L199" s="4"/>
      <c r="M199" s="11">
        <v>4</v>
      </c>
      <c r="N199" s="11">
        <v>4</v>
      </c>
      <c r="O199" s="11">
        <v>1</v>
      </c>
      <c r="P199" s="11">
        <v>1</v>
      </c>
      <c r="Q199" s="5">
        <v>8.9599999999999999E-2</v>
      </c>
      <c r="R199" s="5">
        <v>0</v>
      </c>
      <c r="S199" s="5">
        <v>9.5200000000000007E-2</v>
      </c>
      <c r="T199" s="5">
        <v>0.2258</v>
      </c>
      <c r="U199" s="5">
        <v>0.1212</v>
      </c>
      <c r="V199" s="5">
        <v>2.3E-2</v>
      </c>
      <c r="W199" s="5">
        <v>4.0300000000000002E-2</v>
      </c>
      <c r="X199" s="5">
        <v>5.0999999999999997E-2</v>
      </c>
      <c r="Y199" s="5">
        <v>0</v>
      </c>
      <c r="Z199" s="5">
        <v>0.16669999999999999</v>
      </c>
      <c r="AA199" s="5">
        <v>0.129</v>
      </c>
      <c r="AB199" s="5">
        <v>3.3300000000000003E-2</v>
      </c>
      <c r="AC199" s="8">
        <v>1.7899999999999999E-2</v>
      </c>
      <c r="AD199" s="5">
        <v>8.1299999999999997E-2</v>
      </c>
      <c r="AE199" s="5">
        <f t="shared" si="14"/>
        <v>6.3328571428571429E-2</v>
      </c>
      <c r="AF199" s="1" t="s">
        <v>34</v>
      </c>
      <c r="AG199" s="19" cm="1">
        <f t="array" ref="AG199">DIASQUIEBRE(Q199:AB199)</f>
        <v>0</v>
      </c>
      <c r="AH199" s="19" cm="1">
        <f t="array" ref="AH199">DiasMesesGris(Q199:AB199)</f>
        <v>0</v>
      </c>
      <c r="AI199" s="19">
        <f t="shared" si="16"/>
        <v>0</v>
      </c>
      <c r="AJ199" s="19">
        <f t="shared" si="17"/>
        <v>360</v>
      </c>
      <c r="AK199" s="20">
        <f t="shared" si="18"/>
        <v>30</v>
      </c>
      <c r="AL199" s="21">
        <f t="shared" si="15"/>
        <v>8.3333333333333329E-2</v>
      </c>
    </row>
    <row r="200" spans="1:38" x14ac:dyDescent="0.25">
      <c r="A200" s="1" t="s">
        <v>426</v>
      </c>
      <c r="B200" s="1" t="s">
        <v>427</v>
      </c>
      <c r="C200" s="1"/>
      <c r="D200" s="11">
        <v>4</v>
      </c>
      <c r="E200" s="11">
        <v>3</v>
      </c>
      <c r="F200" s="11">
        <v>12</v>
      </c>
      <c r="G200" s="11">
        <v>3</v>
      </c>
      <c r="H200" s="11">
        <v>1</v>
      </c>
      <c r="I200" s="11">
        <v>1</v>
      </c>
      <c r="J200" s="11">
        <v>4</v>
      </c>
      <c r="K200" s="11">
        <v>1</v>
      </c>
      <c r="L200" s="11">
        <v>3</v>
      </c>
      <c r="M200" s="4"/>
      <c r="N200" s="11">
        <v>1</v>
      </c>
      <c r="O200" s="4"/>
      <c r="P200" s="4"/>
      <c r="Q200" s="5">
        <v>7.17E-2</v>
      </c>
      <c r="R200" s="5">
        <v>9.6799999999999997E-2</v>
      </c>
      <c r="S200" s="5">
        <v>0.57140000000000002</v>
      </c>
      <c r="T200" s="5">
        <v>9.6799999999999997E-2</v>
      </c>
      <c r="U200" s="5">
        <v>3.0300000000000001E-2</v>
      </c>
      <c r="V200" s="5">
        <v>2.3E-2</v>
      </c>
      <c r="W200" s="5">
        <v>0.1613</v>
      </c>
      <c r="X200" s="5">
        <v>5.0999999999999997E-2</v>
      </c>
      <c r="Y200" s="5">
        <v>0.1075</v>
      </c>
      <c r="Z200" s="5">
        <v>0</v>
      </c>
      <c r="AA200" s="5">
        <v>3.2300000000000002E-2</v>
      </c>
      <c r="AB200" s="5">
        <v>0</v>
      </c>
      <c r="AC200" s="8">
        <v>0</v>
      </c>
      <c r="AD200" s="5">
        <v>0.10349999999999999</v>
      </c>
      <c r="AE200" s="5">
        <f t="shared" si="14"/>
        <v>5.3585714285714285E-2</v>
      </c>
      <c r="AF200" s="1" t="s">
        <v>34</v>
      </c>
      <c r="AG200" s="19" cm="1">
        <f t="array" ref="AG200">DIASQUIEBRE(Q200:AB200)</f>
        <v>0</v>
      </c>
      <c r="AH200" s="19" cm="1">
        <f t="array" ref="AH200">DiasMesesGris(Q200:AB200)</f>
        <v>0</v>
      </c>
      <c r="AI200" s="19">
        <f t="shared" si="16"/>
        <v>0</v>
      </c>
      <c r="AJ200" s="19">
        <f t="shared" si="17"/>
        <v>360</v>
      </c>
      <c r="AK200" s="20">
        <f t="shared" si="18"/>
        <v>33</v>
      </c>
      <c r="AL200" s="21">
        <f t="shared" si="15"/>
        <v>9.166666666666666E-2</v>
      </c>
    </row>
    <row r="201" spans="1:38" x14ac:dyDescent="0.25">
      <c r="A201" s="1" t="s">
        <v>428</v>
      </c>
      <c r="B201" s="1" t="s">
        <v>429</v>
      </c>
      <c r="C201" s="1"/>
      <c r="D201" s="11">
        <v>27</v>
      </c>
      <c r="E201" s="11">
        <v>1</v>
      </c>
      <c r="F201" s="11">
        <v>2</v>
      </c>
      <c r="G201" s="11">
        <v>6</v>
      </c>
      <c r="H201" s="11">
        <v>4</v>
      </c>
      <c r="I201" s="11">
        <v>9</v>
      </c>
      <c r="J201" s="11">
        <v>7</v>
      </c>
      <c r="K201" s="11">
        <v>15</v>
      </c>
      <c r="L201" s="11">
        <v>9</v>
      </c>
      <c r="M201" s="11">
        <v>6</v>
      </c>
      <c r="N201" s="11">
        <v>5</v>
      </c>
      <c r="O201" s="11">
        <v>2</v>
      </c>
      <c r="P201" s="11">
        <v>6</v>
      </c>
      <c r="Q201" s="9">
        <v>0.5</v>
      </c>
      <c r="R201" s="6">
        <v>0</v>
      </c>
      <c r="S201" s="9">
        <v>0.10199999999999999</v>
      </c>
      <c r="T201" s="5">
        <v>0.19350000000000001</v>
      </c>
      <c r="U201" s="5">
        <v>0.1212</v>
      </c>
      <c r="V201" s="5">
        <v>0.2074</v>
      </c>
      <c r="W201" s="5">
        <v>0.2823</v>
      </c>
      <c r="X201" s="5">
        <v>0.76529999999999998</v>
      </c>
      <c r="Y201" s="5">
        <v>0.3226</v>
      </c>
      <c r="Z201" s="5">
        <v>0.25</v>
      </c>
      <c r="AA201" s="5">
        <v>0.1613</v>
      </c>
      <c r="AB201" s="5">
        <v>6.6699999999999995E-2</v>
      </c>
      <c r="AC201" s="8">
        <v>0.1075</v>
      </c>
      <c r="AD201" s="5">
        <v>0.26340000000000002</v>
      </c>
      <c r="AE201" s="5">
        <f t="shared" si="14"/>
        <v>0.29365714285714289</v>
      </c>
      <c r="AF201" s="1" t="s">
        <v>107</v>
      </c>
      <c r="AG201" s="19" cm="1">
        <f t="array" ref="AG201">DIASQUIEBRE(Q201:AB201)</f>
        <v>3</v>
      </c>
      <c r="AH201" s="19" cm="1">
        <f t="array" ref="AH201">DiasMesesGris(Q201:AB201)</f>
        <v>30</v>
      </c>
      <c r="AI201" s="19">
        <f t="shared" si="16"/>
        <v>33</v>
      </c>
      <c r="AJ201" s="19">
        <f t="shared" si="17"/>
        <v>327</v>
      </c>
      <c r="AK201" s="20">
        <f t="shared" si="18"/>
        <v>93</v>
      </c>
      <c r="AL201" s="21">
        <f t="shared" si="15"/>
        <v>0.28440366972477066</v>
      </c>
    </row>
    <row r="202" spans="1:38" x14ac:dyDescent="0.25">
      <c r="A202" s="1" t="s">
        <v>430</v>
      </c>
      <c r="B202" s="1" t="s">
        <v>431</v>
      </c>
      <c r="C202" s="1"/>
      <c r="D202" s="11">
        <v>36</v>
      </c>
      <c r="E202" s="11">
        <v>1</v>
      </c>
      <c r="F202" s="11">
        <v>5</v>
      </c>
      <c r="G202" s="11">
        <v>1</v>
      </c>
      <c r="H202" s="11">
        <v>1</v>
      </c>
      <c r="I202" s="11">
        <v>5</v>
      </c>
      <c r="J202" s="11">
        <v>2</v>
      </c>
      <c r="K202" s="11">
        <v>15</v>
      </c>
      <c r="L202" s="11">
        <v>2</v>
      </c>
      <c r="M202" s="11">
        <v>4</v>
      </c>
      <c r="N202" s="11">
        <v>2</v>
      </c>
      <c r="O202" s="11">
        <v>1</v>
      </c>
      <c r="P202" s="11">
        <v>1</v>
      </c>
      <c r="Q202" s="5">
        <v>0.6452</v>
      </c>
      <c r="R202" s="5">
        <v>3.2300000000000002E-2</v>
      </c>
      <c r="S202" s="5">
        <v>0.23810000000000001</v>
      </c>
      <c r="T202" s="5">
        <v>3.2300000000000002E-2</v>
      </c>
      <c r="U202" s="5">
        <v>3.0300000000000001E-2</v>
      </c>
      <c r="V202" s="5">
        <v>0.1152</v>
      </c>
      <c r="W202" s="5">
        <v>8.0600000000000005E-2</v>
      </c>
      <c r="X202" s="5">
        <v>0.76529999999999998</v>
      </c>
      <c r="Y202" s="5">
        <v>7.17E-2</v>
      </c>
      <c r="Z202" s="5">
        <v>0.16669999999999999</v>
      </c>
      <c r="AA202" s="5">
        <v>6.4500000000000002E-2</v>
      </c>
      <c r="AB202" s="5">
        <v>3.3300000000000003E-2</v>
      </c>
      <c r="AC202" s="8">
        <v>1.7899999999999999E-2</v>
      </c>
      <c r="AD202" s="5">
        <v>0.18959999999999999</v>
      </c>
      <c r="AE202" s="5">
        <f t="shared" si="14"/>
        <v>0.18532857142857145</v>
      </c>
      <c r="AF202" s="1" t="s">
        <v>107</v>
      </c>
      <c r="AG202" s="19" cm="1">
        <f t="array" ref="AG202">DIASQUIEBRE(Q202:AB202)</f>
        <v>0</v>
      </c>
      <c r="AH202" s="19" cm="1">
        <f t="array" ref="AH202">DiasMesesGris(Q202:AB202)</f>
        <v>0</v>
      </c>
      <c r="AI202" s="19">
        <f t="shared" si="16"/>
        <v>0</v>
      </c>
      <c r="AJ202" s="19">
        <f t="shared" si="17"/>
        <v>360</v>
      </c>
      <c r="AK202" s="20">
        <f t="shared" si="18"/>
        <v>75</v>
      </c>
      <c r="AL202" s="21">
        <f t="shared" si="15"/>
        <v>0.20833333333333334</v>
      </c>
    </row>
    <row r="203" spans="1:38" x14ac:dyDescent="0.25">
      <c r="A203" s="1" t="s">
        <v>432</v>
      </c>
      <c r="B203" s="1" t="s">
        <v>433</v>
      </c>
      <c r="C203" s="1"/>
      <c r="D203" s="11">
        <v>6</v>
      </c>
      <c r="E203" s="11">
        <v>2</v>
      </c>
      <c r="F203" s="11">
        <v>4</v>
      </c>
      <c r="G203" s="11">
        <v>8</v>
      </c>
      <c r="H203" s="11">
        <v>6</v>
      </c>
      <c r="I203" s="11">
        <v>15</v>
      </c>
      <c r="J203" s="11">
        <v>7</v>
      </c>
      <c r="K203" s="11">
        <v>6</v>
      </c>
      <c r="L203" s="11">
        <v>19</v>
      </c>
      <c r="M203" s="11">
        <v>9</v>
      </c>
      <c r="N203" s="11">
        <v>3</v>
      </c>
      <c r="O203" s="11">
        <v>8</v>
      </c>
      <c r="P203" s="11">
        <v>1</v>
      </c>
      <c r="Q203" s="9">
        <v>0.1111</v>
      </c>
      <c r="R203" s="6">
        <v>0</v>
      </c>
      <c r="S203" s="9">
        <v>0.2041</v>
      </c>
      <c r="T203" s="5">
        <v>0.2581</v>
      </c>
      <c r="U203" s="5">
        <v>0.18179999999999999</v>
      </c>
      <c r="V203" s="5">
        <v>0.34560000000000002</v>
      </c>
      <c r="W203" s="5">
        <v>0.2823</v>
      </c>
      <c r="X203" s="5">
        <v>0.30609999999999998</v>
      </c>
      <c r="Y203" s="5">
        <v>0.68100000000000005</v>
      </c>
      <c r="Z203" s="5">
        <v>0.375</v>
      </c>
      <c r="AA203" s="5">
        <v>9.6799999999999997E-2</v>
      </c>
      <c r="AB203" s="5">
        <v>0.26669999999999999</v>
      </c>
      <c r="AC203" s="8">
        <v>1.7899999999999999E-2</v>
      </c>
      <c r="AD203" s="5">
        <v>0.31040000000000001</v>
      </c>
      <c r="AE203" s="5">
        <f t="shared" si="14"/>
        <v>0.33621428571428574</v>
      </c>
      <c r="AF203" s="1" t="s">
        <v>34</v>
      </c>
      <c r="AG203" s="19" cm="1">
        <f t="array" ref="AG203">DIASQUIEBRE(Q203:AB203)</f>
        <v>3</v>
      </c>
      <c r="AH203" s="19" cm="1">
        <f t="array" ref="AH203">DiasMesesGris(Q203:AB203)</f>
        <v>30</v>
      </c>
      <c r="AI203" s="19">
        <f t="shared" si="16"/>
        <v>33</v>
      </c>
      <c r="AJ203" s="19">
        <f t="shared" si="17"/>
        <v>327</v>
      </c>
      <c r="AK203" s="20">
        <f t="shared" si="18"/>
        <v>93</v>
      </c>
      <c r="AL203" s="21">
        <f t="shared" si="15"/>
        <v>0.28440366972477066</v>
      </c>
    </row>
    <row r="204" spans="1:38" x14ac:dyDescent="0.25">
      <c r="A204" s="1" t="s">
        <v>434</v>
      </c>
      <c r="B204" s="1" t="s">
        <v>435</v>
      </c>
      <c r="C204" s="1"/>
      <c r="D204" s="11">
        <v>8</v>
      </c>
      <c r="E204" s="4"/>
      <c r="F204" s="11">
        <v>39</v>
      </c>
      <c r="G204" s="11">
        <v>11</v>
      </c>
      <c r="H204" s="11">
        <v>9</v>
      </c>
      <c r="I204" s="11">
        <v>51</v>
      </c>
      <c r="J204" s="11">
        <v>7</v>
      </c>
      <c r="K204" s="11">
        <v>16</v>
      </c>
      <c r="L204" s="11">
        <v>9</v>
      </c>
      <c r="M204" s="11">
        <v>13</v>
      </c>
      <c r="N204" s="11">
        <v>11</v>
      </c>
      <c r="O204" s="11">
        <v>9</v>
      </c>
      <c r="P204" s="11">
        <v>3</v>
      </c>
      <c r="Q204" s="9">
        <v>0.21160000000000001</v>
      </c>
      <c r="R204" s="6">
        <v>0</v>
      </c>
      <c r="S204" s="9">
        <v>1.9898</v>
      </c>
      <c r="T204" s="5">
        <v>0.3548</v>
      </c>
      <c r="U204" s="9">
        <v>0.32729999999999998</v>
      </c>
      <c r="V204" s="9">
        <v>1.3009999999999999</v>
      </c>
      <c r="W204" s="5">
        <v>0.2823</v>
      </c>
      <c r="X204" s="5">
        <v>0.81630000000000003</v>
      </c>
      <c r="Y204" s="5">
        <v>0.3226</v>
      </c>
      <c r="Z204" s="5">
        <v>0.54169999999999996</v>
      </c>
      <c r="AA204" s="5">
        <v>0.3548</v>
      </c>
      <c r="AB204" s="5">
        <v>0.3</v>
      </c>
      <c r="AC204" s="8">
        <v>5.3800000000000001E-2</v>
      </c>
      <c r="AD204" s="5">
        <v>0.42459999999999998</v>
      </c>
      <c r="AE204" s="5">
        <f t="shared" si="14"/>
        <v>0.55981428571428571</v>
      </c>
      <c r="AF204" s="1" t="s">
        <v>34</v>
      </c>
      <c r="AG204" s="19" cm="1">
        <f t="array" ref="AG204">DIASQUIEBRE(Q204:AB204)</f>
        <v>20</v>
      </c>
      <c r="AH204" s="19" cm="1">
        <f t="array" ref="AH204">DiasMesesGris(Q204:AB204)</f>
        <v>30</v>
      </c>
      <c r="AI204" s="19">
        <f t="shared" si="16"/>
        <v>50</v>
      </c>
      <c r="AJ204" s="19">
        <f t="shared" si="17"/>
        <v>310</v>
      </c>
      <c r="AK204" s="20">
        <f t="shared" si="18"/>
        <v>183</v>
      </c>
      <c r="AL204" s="21">
        <f t="shared" si="15"/>
        <v>0.5903225806451613</v>
      </c>
    </row>
    <row r="205" spans="1:38" x14ac:dyDescent="0.25">
      <c r="A205" s="1" t="s">
        <v>436</v>
      </c>
      <c r="B205" s="1" t="s">
        <v>437</v>
      </c>
      <c r="C205" s="1"/>
      <c r="D205" s="11">
        <v>48</v>
      </c>
      <c r="E205" s="11">
        <v>27</v>
      </c>
      <c r="F205" s="11">
        <v>4</v>
      </c>
      <c r="G205" s="11">
        <v>2</v>
      </c>
      <c r="H205" s="11">
        <v>12</v>
      </c>
      <c r="I205" s="11">
        <v>53</v>
      </c>
      <c r="J205" s="11">
        <v>8</v>
      </c>
      <c r="K205" s="11">
        <v>9</v>
      </c>
      <c r="L205" s="11">
        <v>-2</v>
      </c>
      <c r="M205" s="11">
        <v>11</v>
      </c>
      <c r="N205" s="11">
        <v>5</v>
      </c>
      <c r="O205" s="11">
        <v>4</v>
      </c>
      <c r="P205" s="4"/>
      <c r="Q205" s="5">
        <v>0.86019999999999996</v>
      </c>
      <c r="R205" s="9">
        <v>2.7</v>
      </c>
      <c r="S205" s="9">
        <v>0.2041</v>
      </c>
      <c r="T205" s="5">
        <v>6.4500000000000002E-2</v>
      </c>
      <c r="U205" s="5">
        <v>0.36359999999999998</v>
      </c>
      <c r="V205" s="5">
        <v>1.2212000000000001</v>
      </c>
      <c r="W205" s="5">
        <v>0.3226</v>
      </c>
      <c r="X205" s="5">
        <v>0.4592</v>
      </c>
      <c r="Y205" s="5">
        <v>-7.17E-2</v>
      </c>
      <c r="Z205" s="5">
        <v>0.45829999999999999</v>
      </c>
      <c r="AA205" s="5">
        <v>0.1613</v>
      </c>
      <c r="AB205" s="5">
        <v>0.1333</v>
      </c>
      <c r="AC205" s="8">
        <v>0</v>
      </c>
      <c r="AD205" s="5">
        <v>0.39729999999999999</v>
      </c>
      <c r="AE205" s="5">
        <f t="shared" si="14"/>
        <v>0.38345714285714294</v>
      </c>
      <c r="AF205" s="1" t="s">
        <v>34</v>
      </c>
      <c r="AG205" s="19" cm="1">
        <f t="array" ref="AG205">DIASQUIEBRE(Q205:AB205)</f>
        <v>23</v>
      </c>
      <c r="AH205" s="19" cm="1">
        <f t="array" ref="AH205">DiasMesesGris(Q205:AB205)</f>
        <v>0</v>
      </c>
      <c r="AI205" s="19">
        <f t="shared" si="16"/>
        <v>23</v>
      </c>
      <c r="AJ205" s="19">
        <f t="shared" si="17"/>
        <v>337</v>
      </c>
      <c r="AK205" s="20">
        <f t="shared" si="18"/>
        <v>181</v>
      </c>
      <c r="AL205" s="21">
        <f t="shared" si="15"/>
        <v>0.5370919881305638</v>
      </c>
    </row>
    <row r="206" spans="1:38" x14ac:dyDescent="0.25">
      <c r="A206" s="1" t="s">
        <v>438</v>
      </c>
      <c r="B206" s="1" t="s">
        <v>439</v>
      </c>
      <c r="C206" s="1"/>
      <c r="D206" s="11">
        <v>35</v>
      </c>
      <c r="E206" s="11">
        <v>12</v>
      </c>
      <c r="F206" s="11">
        <v>12</v>
      </c>
      <c r="G206" s="11">
        <v>7</v>
      </c>
      <c r="H206" s="11">
        <v>6</v>
      </c>
      <c r="I206" s="11">
        <v>2</v>
      </c>
      <c r="J206" s="11">
        <v>6</v>
      </c>
      <c r="K206" s="11">
        <v>2</v>
      </c>
      <c r="L206" s="4"/>
      <c r="M206" s="11">
        <v>6</v>
      </c>
      <c r="N206" s="4"/>
      <c r="O206" s="11">
        <v>4</v>
      </c>
      <c r="P206" s="11">
        <v>1</v>
      </c>
      <c r="Q206" s="5">
        <v>0.62719999999999998</v>
      </c>
      <c r="R206" s="5">
        <v>0.3871</v>
      </c>
      <c r="S206" s="5">
        <v>0.57140000000000002</v>
      </c>
      <c r="T206" s="5">
        <v>0.2258</v>
      </c>
      <c r="U206" s="5">
        <v>0.18179999999999999</v>
      </c>
      <c r="V206" s="5">
        <v>4.6100000000000002E-2</v>
      </c>
      <c r="W206" s="5">
        <v>0.2419</v>
      </c>
      <c r="X206" s="5">
        <v>0.10199999999999999</v>
      </c>
      <c r="Y206" s="5">
        <v>0</v>
      </c>
      <c r="Z206" s="5">
        <v>0.25</v>
      </c>
      <c r="AA206" s="5">
        <v>0</v>
      </c>
      <c r="AB206" s="5">
        <v>0.1333</v>
      </c>
      <c r="AC206" s="8">
        <v>1.7899999999999999E-2</v>
      </c>
      <c r="AD206" s="5">
        <v>0.2306</v>
      </c>
      <c r="AE206" s="5">
        <f t="shared" si="14"/>
        <v>0.11047142857142857</v>
      </c>
      <c r="AF206" s="1" t="s">
        <v>34</v>
      </c>
      <c r="AG206" s="19" cm="1">
        <f t="array" ref="AG206">DIASQUIEBRE(Q206:AB206)</f>
        <v>0</v>
      </c>
      <c r="AH206" s="19" cm="1">
        <f t="array" ref="AH206">DiasMesesGris(Q206:AB206)</f>
        <v>0</v>
      </c>
      <c r="AI206" s="19">
        <f t="shared" si="16"/>
        <v>0</v>
      </c>
      <c r="AJ206" s="19">
        <f t="shared" si="17"/>
        <v>360</v>
      </c>
      <c r="AK206" s="20">
        <f t="shared" si="18"/>
        <v>92</v>
      </c>
      <c r="AL206" s="21">
        <f t="shared" si="15"/>
        <v>0.25555555555555554</v>
      </c>
    </row>
    <row r="207" spans="1:38" x14ac:dyDescent="0.25">
      <c r="A207" s="1" t="s">
        <v>440</v>
      </c>
      <c r="B207" s="1" t="s">
        <v>441</v>
      </c>
      <c r="C207" s="1"/>
      <c r="D207" s="11">
        <v>34</v>
      </c>
      <c r="E207" s="11">
        <v>9</v>
      </c>
      <c r="F207" s="11">
        <v>5</v>
      </c>
      <c r="G207" s="11">
        <v>9</v>
      </c>
      <c r="H207" s="11">
        <v>3</v>
      </c>
      <c r="I207" s="11">
        <v>3</v>
      </c>
      <c r="J207" s="11">
        <v>5</v>
      </c>
      <c r="K207" s="11">
        <v>2</v>
      </c>
      <c r="L207" s="11">
        <v>2</v>
      </c>
      <c r="M207" s="11">
        <v>4</v>
      </c>
      <c r="N207" s="11">
        <v>1</v>
      </c>
      <c r="O207" s="11">
        <v>24</v>
      </c>
      <c r="P207" s="11">
        <v>2</v>
      </c>
      <c r="Q207" s="5">
        <v>0.60929999999999995</v>
      </c>
      <c r="R207" s="5">
        <v>0.2903</v>
      </c>
      <c r="S207" s="5">
        <v>0.23810000000000001</v>
      </c>
      <c r="T207" s="5">
        <v>0.2903</v>
      </c>
      <c r="U207" s="5">
        <v>9.0899999999999995E-2</v>
      </c>
      <c r="V207" s="5">
        <v>6.9099999999999995E-2</v>
      </c>
      <c r="W207" s="5">
        <v>0.2016</v>
      </c>
      <c r="X207" s="5">
        <v>0.10199999999999999</v>
      </c>
      <c r="Y207" s="5">
        <v>7.17E-2</v>
      </c>
      <c r="Z207" s="5">
        <v>0.16669999999999999</v>
      </c>
      <c r="AA207" s="5">
        <v>3.2300000000000002E-2</v>
      </c>
      <c r="AB207" s="5">
        <v>0.8</v>
      </c>
      <c r="AC207" s="8">
        <v>3.5799999999999998E-2</v>
      </c>
      <c r="AD207" s="5">
        <v>0.24690000000000001</v>
      </c>
      <c r="AE207" s="5">
        <f t="shared" si="14"/>
        <v>0.20619999999999999</v>
      </c>
      <c r="AF207" s="1" t="s">
        <v>34</v>
      </c>
      <c r="AG207" s="19" cm="1">
        <f t="array" ref="AG207">DIASQUIEBRE(Q207:AB207)</f>
        <v>0</v>
      </c>
      <c r="AH207" s="19" cm="1">
        <f t="array" ref="AH207">DiasMesesGris(Q207:AB207)</f>
        <v>0</v>
      </c>
      <c r="AI207" s="19">
        <f t="shared" si="16"/>
        <v>0</v>
      </c>
      <c r="AJ207" s="19">
        <f t="shared" si="17"/>
        <v>360</v>
      </c>
      <c r="AK207" s="20">
        <f t="shared" si="18"/>
        <v>101</v>
      </c>
      <c r="AL207" s="21">
        <f t="shared" si="15"/>
        <v>0.28055555555555556</v>
      </c>
    </row>
    <row r="208" spans="1:38" x14ac:dyDescent="0.25">
      <c r="A208" s="1" t="s">
        <v>442</v>
      </c>
      <c r="B208" s="1" t="s">
        <v>443</v>
      </c>
      <c r="C208" s="1"/>
      <c r="D208" s="11">
        <v>34</v>
      </c>
      <c r="E208" s="11">
        <v>7</v>
      </c>
      <c r="F208" s="11">
        <v>6</v>
      </c>
      <c r="G208" s="11">
        <v>10</v>
      </c>
      <c r="H208" s="11">
        <v>2</v>
      </c>
      <c r="I208" s="11">
        <v>2</v>
      </c>
      <c r="J208" s="11">
        <v>6</v>
      </c>
      <c r="K208" s="11">
        <v>1</v>
      </c>
      <c r="L208" s="4"/>
      <c r="M208" s="11">
        <v>5</v>
      </c>
      <c r="N208" s="11">
        <v>-2</v>
      </c>
      <c r="O208" s="11">
        <v>22</v>
      </c>
      <c r="P208" s="4"/>
      <c r="Q208" s="5">
        <v>0.60929999999999995</v>
      </c>
      <c r="R208" s="5">
        <v>0.2258</v>
      </c>
      <c r="S208" s="5">
        <v>0.28570000000000001</v>
      </c>
      <c r="T208" s="5">
        <v>0.3226</v>
      </c>
      <c r="U208" s="5">
        <v>6.0600000000000001E-2</v>
      </c>
      <c r="V208" s="5">
        <v>4.6100000000000002E-2</v>
      </c>
      <c r="W208" s="5">
        <v>0.2419</v>
      </c>
      <c r="X208" s="5">
        <v>5.0999999999999997E-2</v>
      </c>
      <c r="Y208" s="5">
        <v>0</v>
      </c>
      <c r="Z208" s="5">
        <v>0.20830000000000001</v>
      </c>
      <c r="AA208" s="5">
        <v>-6.4500000000000002E-2</v>
      </c>
      <c r="AB208" s="5">
        <v>0.73329999999999995</v>
      </c>
      <c r="AC208" s="8">
        <v>0</v>
      </c>
      <c r="AD208" s="5">
        <v>0.22670000000000001</v>
      </c>
      <c r="AE208" s="5">
        <f t="shared" si="14"/>
        <v>0.17372857142857143</v>
      </c>
      <c r="AF208" s="1" t="s">
        <v>34</v>
      </c>
      <c r="AG208" s="19" cm="1">
        <f t="array" ref="AG208">DIASQUIEBRE(Q208:AB208)</f>
        <v>0</v>
      </c>
      <c r="AH208" s="19" cm="1">
        <f t="array" ref="AH208">DiasMesesGris(Q208:AB208)</f>
        <v>0</v>
      </c>
      <c r="AI208" s="19">
        <f t="shared" si="16"/>
        <v>0</v>
      </c>
      <c r="AJ208" s="19">
        <f t="shared" si="17"/>
        <v>360</v>
      </c>
      <c r="AK208" s="20">
        <f t="shared" si="18"/>
        <v>93</v>
      </c>
      <c r="AL208" s="21">
        <f t="shared" si="15"/>
        <v>0.25833333333333336</v>
      </c>
    </row>
    <row r="209" spans="1:38" x14ac:dyDescent="0.25">
      <c r="A209" s="1" t="s">
        <v>444</v>
      </c>
      <c r="B209" s="1" t="s">
        <v>445</v>
      </c>
      <c r="C209" s="1"/>
      <c r="D209" s="11">
        <v>36</v>
      </c>
      <c r="E209" s="11">
        <v>5</v>
      </c>
      <c r="F209" s="11">
        <v>5</v>
      </c>
      <c r="G209" s="11">
        <v>8</v>
      </c>
      <c r="H209" s="11">
        <v>3</v>
      </c>
      <c r="I209" s="11">
        <v>1</v>
      </c>
      <c r="J209" s="11">
        <v>10</v>
      </c>
      <c r="K209" s="11">
        <v>3</v>
      </c>
      <c r="L209" s="4"/>
      <c r="M209" s="11">
        <v>1</v>
      </c>
      <c r="N209" s="11">
        <v>3</v>
      </c>
      <c r="O209" s="11">
        <v>2</v>
      </c>
      <c r="P209" s="11">
        <v>2</v>
      </c>
      <c r="Q209" s="5">
        <v>0.6452</v>
      </c>
      <c r="R209" s="5">
        <v>0.1613</v>
      </c>
      <c r="S209" s="5">
        <v>0.23810000000000001</v>
      </c>
      <c r="T209" s="5">
        <v>0.2581</v>
      </c>
      <c r="U209" s="5">
        <v>9.0899999999999995E-2</v>
      </c>
      <c r="V209" s="5">
        <v>2.3E-2</v>
      </c>
      <c r="W209" s="5">
        <v>0.4032</v>
      </c>
      <c r="X209" s="5">
        <v>0.15310000000000001</v>
      </c>
      <c r="Y209" s="5">
        <v>0</v>
      </c>
      <c r="Z209" s="5">
        <v>4.1700000000000001E-2</v>
      </c>
      <c r="AA209" s="5">
        <v>9.6799999999999997E-2</v>
      </c>
      <c r="AB209" s="5">
        <v>6.6699999999999995E-2</v>
      </c>
      <c r="AC209" s="8">
        <v>3.5799999999999998E-2</v>
      </c>
      <c r="AD209" s="5">
        <v>0.18149999999999999</v>
      </c>
      <c r="AE209" s="5">
        <f t="shared" si="14"/>
        <v>0.11207142857142857</v>
      </c>
      <c r="AF209" s="1" t="s">
        <v>34</v>
      </c>
      <c r="AG209" s="19" cm="1">
        <f t="array" ref="AG209">DIASQUIEBRE(Q209:AB209)</f>
        <v>0</v>
      </c>
      <c r="AH209" s="19" cm="1">
        <f t="array" ref="AH209">DiasMesesGris(Q209:AB209)</f>
        <v>0</v>
      </c>
      <c r="AI209" s="19">
        <f t="shared" si="16"/>
        <v>0</v>
      </c>
      <c r="AJ209" s="19">
        <f t="shared" si="17"/>
        <v>360</v>
      </c>
      <c r="AK209" s="20">
        <f t="shared" si="18"/>
        <v>77</v>
      </c>
      <c r="AL209" s="21">
        <f t="shared" si="15"/>
        <v>0.21388888888888888</v>
      </c>
    </row>
    <row r="210" spans="1:38" x14ac:dyDescent="0.25">
      <c r="A210" s="1" t="s">
        <v>446</v>
      </c>
      <c r="B210" s="1" t="s">
        <v>447</v>
      </c>
      <c r="C210" s="1"/>
      <c r="D210" s="4"/>
      <c r="E210" s="4"/>
      <c r="F210" s="11">
        <v>-1</v>
      </c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6">
        <v>0</v>
      </c>
      <c r="R210" s="6">
        <v>0</v>
      </c>
      <c r="S210" s="6">
        <v>0</v>
      </c>
      <c r="T210" s="6">
        <v>0</v>
      </c>
      <c r="U210" s="6">
        <v>0</v>
      </c>
      <c r="V210" s="6">
        <v>0</v>
      </c>
      <c r="W210" s="6">
        <v>0</v>
      </c>
      <c r="X210" s="6">
        <v>0</v>
      </c>
      <c r="Y210" s="6">
        <v>0</v>
      </c>
      <c r="Z210" s="6">
        <v>0</v>
      </c>
      <c r="AA210" s="6">
        <v>0</v>
      </c>
      <c r="AB210" s="6">
        <v>0</v>
      </c>
      <c r="AC210" s="7">
        <v>0</v>
      </c>
      <c r="AE210" s="5">
        <f t="shared" si="14"/>
        <v>0</v>
      </c>
      <c r="AF210" s="1" t="s">
        <v>107</v>
      </c>
      <c r="AG210" s="19" cm="1">
        <f t="array" ref="AG210">DIASQUIEBRE(Q210:AB210)</f>
        <v>0</v>
      </c>
      <c r="AH210" s="19" cm="1">
        <f t="array" ref="AH210">DiasMesesGris(Q210:AB210)</f>
        <v>360</v>
      </c>
      <c r="AI210" s="19">
        <f t="shared" si="16"/>
        <v>360</v>
      </c>
      <c r="AJ210" s="19">
        <f t="shared" si="17"/>
        <v>0</v>
      </c>
      <c r="AK210" s="20">
        <f t="shared" si="18"/>
        <v>-1</v>
      </c>
      <c r="AL210" s="21">
        <f t="shared" si="15"/>
        <v>0</v>
      </c>
    </row>
    <row r="211" spans="1:38" x14ac:dyDescent="0.25">
      <c r="A211" s="1" t="s">
        <v>448</v>
      </c>
      <c r="B211" s="1" t="s">
        <v>449</v>
      </c>
      <c r="C211" s="1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5">
        <v>0</v>
      </c>
      <c r="R211" s="5">
        <v>0</v>
      </c>
      <c r="S211" s="5">
        <v>0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Z211" s="5">
        <v>0</v>
      </c>
      <c r="AA211" s="5">
        <v>0</v>
      </c>
      <c r="AB211" s="5">
        <v>0</v>
      </c>
      <c r="AC211" s="8">
        <v>0</v>
      </c>
      <c r="AE211" s="5">
        <f t="shared" si="14"/>
        <v>0</v>
      </c>
      <c r="AF211" s="1" t="s">
        <v>34</v>
      </c>
      <c r="AG211" s="19" cm="1">
        <f t="array" ref="AG211">DIASQUIEBRE(Q211:AB211)</f>
        <v>0</v>
      </c>
      <c r="AH211" s="19" cm="1">
        <f t="array" ref="AH211">DiasMesesGris(Q211:AB211)</f>
        <v>0</v>
      </c>
      <c r="AI211" s="19">
        <f t="shared" si="16"/>
        <v>0</v>
      </c>
      <c r="AJ211" s="19">
        <f t="shared" si="17"/>
        <v>360</v>
      </c>
      <c r="AK211" s="20">
        <f t="shared" si="18"/>
        <v>0</v>
      </c>
      <c r="AL211" s="21">
        <f t="shared" si="15"/>
        <v>0</v>
      </c>
    </row>
    <row r="212" spans="1:38" x14ac:dyDescent="0.25">
      <c r="A212" s="1" t="s">
        <v>450</v>
      </c>
      <c r="B212" s="1" t="s">
        <v>451</v>
      </c>
      <c r="C212" s="1"/>
      <c r="D212" s="11">
        <v>3</v>
      </c>
      <c r="E212" s="4"/>
      <c r="F212" s="11">
        <v>3</v>
      </c>
      <c r="G212" s="4"/>
      <c r="H212" s="11">
        <v>3</v>
      </c>
      <c r="I212" s="11">
        <v>3</v>
      </c>
      <c r="J212" s="11">
        <v>1</v>
      </c>
      <c r="K212" s="11">
        <v>4</v>
      </c>
      <c r="L212" s="11">
        <v>3</v>
      </c>
      <c r="M212" s="11">
        <v>3</v>
      </c>
      <c r="N212" s="11">
        <v>3</v>
      </c>
      <c r="O212" s="4"/>
      <c r="P212" s="4"/>
      <c r="Q212" s="9">
        <v>5.7500000000000002E-2</v>
      </c>
      <c r="R212" s="5">
        <v>0</v>
      </c>
      <c r="S212" s="5">
        <v>0.1429</v>
      </c>
      <c r="T212" s="5">
        <v>0</v>
      </c>
      <c r="U212" s="5">
        <v>9.0899999999999995E-2</v>
      </c>
      <c r="V212" s="5">
        <v>6.9099999999999995E-2</v>
      </c>
      <c r="W212" s="5">
        <v>4.0300000000000002E-2</v>
      </c>
      <c r="X212" s="5">
        <v>0.2041</v>
      </c>
      <c r="Y212" s="5">
        <v>0.1075</v>
      </c>
      <c r="Z212" s="5">
        <v>0.125</v>
      </c>
      <c r="AA212" s="5">
        <v>9.6799999999999997E-2</v>
      </c>
      <c r="AB212" s="5">
        <v>0</v>
      </c>
      <c r="AC212" s="8">
        <v>0</v>
      </c>
      <c r="AD212" s="5">
        <v>7.9699999999999993E-2</v>
      </c>
      <c r="AE212" s="5">
        <f t="shared" si="14"/>
        <v>9.182857142857144E-2</v>
      </c>
      <c r="AF212" s="1" t="s">
        <v>34</v>
      </c>
      <c r="AG212" s="19" cm="1">
        <f t="array" ref="AG212">DIASQUIEBRE(Q212:AB212)</f>
        <v>2</v>
      </c>
      <c r="AH212" s="19" cm="1">
        <f t="array" ref="AH212">DiasMesesGris(Q212:AB212)</f>
        <v>0</v>
      </c>
      <c r="AI212" s="19">
        <f t="shared" si="16"/>
        <v>2</v>
      </c>
      <c r="AJ212" s="19">
        <f t="shared" si="17"/>
        <v>358</v>
      </c>
      <c r="AK212" s="20">
        <f t="shared" si="18"/>
        <v>26</v>
      </c>
      <c r="AL212" s="21">
        <f t="shared" si="15"/>
        <v>7.2625698324022353E-2</v>
      </c>
    </row>
    <row r="213" spans="1:38" x14ac:dyDescent="0.25">
      <c r="A213" s="1" t="s">
        <v>452</v>
      </c>
      <c r="B213" s="1" t="s">
        <v>453</v>
      </c>
      <c r="C213" s="1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6">
        <v>0</v>
      </c>
      <c r="R213" s="6">
        <v>0</v>
      </c>
      <c r="S213" s="6">
        <v>0</v>
      </c>
      <c r="T213" s="6">
        <v>0</v>
      </c>
      <c r="U213" s="6">
        <v>0</v>
      </c>
      <c r="V213" s="6">
        <v>0</v>
      </c>
      <c r="W213" s="6">
        <v>0</v>
      </c>
      <c r="X213" s="6">
        <v>0</v>
      </c>
      <c r="Y213" s="6">
        <v>0</v>
      </c>
      <c r="Z213" s="6">
        <v>0</v>
      </c>
      <c r="AA213" s="6">
        <v>0</v>
      </c>
      <c r="AB213" s="6">
        <v>0</v>
      </c>
      <c r="AC213" s="7">
        <v>0</v>
      </c>
      <c r="AE213" s="5">
        <f t="shared" si="14"/>
        <v>0</v>
      </c>
      <c r="AF213" s="1" t="s">
        <v>34</v>
      </c>
      <c r="AG213" s="19" cm="1">
        <f t="array" ref="AG213">DIASQUIEBRE(Q213:AB213)</f>
        <v>0</v>
      </c>
      <c r="AH213" s="19" cm="1">
        <f t="array" ref="AH213">DiasMesesGris(Q213:AB213)</f>
        <v>360</v>
      </c>
      <c r="AI213" s="19">
        <f t="shared" si="16"/>
        <v>360</v>
      </c>
      <c r="AJ213" s="19">
        <f t="shared" si="17"/>
        <v>0</v>
      </c>
      <c r="AK213" s="20">
        <f t="shared" si="18"/>
        <v>0</v>
      </c>
      <c r="AL213" s="21">
        <f t="shared" si="15"/>
        <v>0</v>
      </c>
    </row>
    <row r="214" spans="1:38" x14ac:dyDescent="0.25">
      <c r="A214" s="1" t="s">
        <v>454</v>
      </c>
      <c r="B214" s="1" t="s">
        <v>455</v>
      </c>
      <c r="C214" s="1"/>
      <c r="D214" s="11">
        <v>29</v>
      </c>
      <c r="E214" s="4"/>
      <c r="F214" s="4"/>
      <c r="G214" s="11">
        <v>-2</v>
      </c>
      <c r="H214" s="11">
        <v>2</v>
      </c>
      <c r="I214" s="11">
        <v>9</v>
      </c>
      <c r="J214" s="11">
        <v>6</v>
      </c>
      <c r="K214" s="11">
        <v>3</v>
      </c>
      <c r="L214" s="11">
        <v>2</v>
      </c>
      <c r="M214" s="11">
        <v>3</v>
      </c>
      <c r="N214" s="11">
        <v>1</v>
      </c>
      <c r="O214" s="4"/>
      <c r="P214" s="11">
        <v>2</v>
      </c>
      <c r="Q214" s="9">
        <v>1.0741000000000001</v>
      </c>
      <c r="R214" s="6">
        <v>0</v>
      </c>
      <c r="S214" s="6">
        <v>0</v>
      </c>
      <c r="T214" s="6">
        <v>0</v>
      </c>
      <c r="U214" s="6">
        <v>0</v>
      </c>
      <c r="V214" s="9">
        <v>0.2296</v>
      </c>
      <c r="W214" s="5">
        <v>0.2419</v>
      </c>
      <c r="X214" s="5">
        <v>0.15310000000000001</v>
      </c>
      <c r="Y214" s="5">
        <v>7.17E-2</v>
      </c>
      <c r="Z214" s="5">
        <v>0.125</v>
      </c>
      <c r="AA214" s="5">
        <v>3.2300000000000002E-2</v>
      </c>
      <c r="AB214" s="5">
        <v>0</v>
      </c>
      <c r="AC214" s="8">
        <v>3.5799999999999998E-2</v>
      </c>
      <c r="AD214" s="5">
        <v>0.104</v>
      </c>
      <c r="AE214" s="5">
        <f t="shared" si="14"/>
        <v>0.12194285714285714</v>
      </c>
      <c r="AF214" s="1" t="s">
        <v>34</v>
      </c>
      <c r="AG214" s="19" cm="1">
        <f t="array" ref="AG214">DIASQUIEBRE(Q214:AB214)</f>
        <v>19</v>
      </c>
      <c r="AH214" s="19" cm="1">
        <f t="array" ref="AH214">DiasMesesGris(Q214:AB214)</f>
        <v>120</v>
      </c>
      <c r="AI214" s="19">
        <f t="shared" si="16"/>
        <v>139</v>
      </c>
      <c r="AJ214" s="19">
        <f t="shared" si="17"/>
        <v>221</v>
      </c>
      <c r="AK214" s="20">
        <f t="shared" si="18"/>
        <v>53</v>
      </c>
      <c r="AL214" s="21">
        <f t="shared" si="15"/>
        <v>0.23981900452488689</v>
      </c>
    </row>
    <row r="215" spans="1:38" x14ac:dyDescent="0.25">
      <c r="A215" s="1" t="s">
        <v>456</v>
      </c>
      <c r="B215" s="1" t="s">
        <v>457</v>
      </c>
      <c r="C215" s="1"/>
      <c r="D215" s="11">
        <v>8</v>
      </c>
      <c r="E215" s="11">
        <v>19</v>
      </c>
      <c r="F215" s="11">
        <v>2</v>
      </c>
      <c r="G215" s="11">
        <v>2</v>
      </c>
      <c r="H215" s="11">
        <v>2</v>
      </c>
      <c r="I215" s="11">
        <v>5</v>
      </c>
      <c r="J215" s="11">
        <v>2</v>
      </c>
      <c r="K215" s="11">
        <v>6</v>
      </c>
      <c r="L215" s="11">
        <v>5</v>
      </c>
      <c r="M215" s="11">
        <v>10</v>
      </c>
      <c r="N215" s="11">
        <v>4</v>
      </c>
      <c r="O215" s="11">
        <v>3</v>
      </c>
      <c r="P215" s="11">
        <v>4</v>
      </c>
      <c r="Q215" s="9">
        <v>0.15329999999999999</v>
      </c>
      <c r="R215" s="5">
        <v>0.6129</v>
      </c>
      <c r="S215" s="5">
        <v>9.5200000000000007E-2</v>
      </c>
      <c r="T215" s="5">
        <v>6.4500000000000002E-2</v>
      </c>
      <c r="U215" s="5">
        <v>6.0600000000000001E-2</v>
      </c>
      <c r="V215" s="5">
        <v>0.1152</v>
      </c>
      <c r="W215" s="5">
        <v>8.0600000000000005E-2</v>
      </c>
      <c r="X215" s="5">
        <v>0.30609999999999998</v>
      </c>
      <c r="Y215" s="5">
        <v>0.1792</v>
      </c>
      <c r="Z215" s="5">
        <v>0.41670000000000001</v>
      </c>
      <c r="AA215" s="5">
        <v>0.129</v>
      </c>
      <c r="AB215" s="5">
        <v>0.1</v>
      </c>
      <c r="AC215" s="8">
        <v>7.17E-2</v>
      </c>
      <c r="AD215" s="5">
        <v>0.19639999999999999</v>
      </c>
      <c r="AE215" s="5">
        <f t="shared" si="14"/>
        <v>0.18954285714285718</v>
      </c>
      <c r="AF215" s="1" t="s">
        <v>34</v>
      </c>
      <c r="AG215" s="19" cm="1">
        <f t="array" ref="AG215">DIASQUIEBRE(Q215:AB215)</f>
        <v>2</v>
      </c>
      <c r="AH215" s="19" cm="1">
        <f t="array" ref="AH215">DiasMesesGris(Q215:AB215)</f>
        <v>0</v>
      </c>
      <c r="AI215" s="19">
        <f t="shared" si="16"/>
        <v>2</v>
      </c>
      <c r="AJ215" s="19">
        <f t="shared" si="17"/>
        <v>358</v>
      </c>
      <c r="AK215" s="20">
        <f t="shared" si="18"/>
        <v>68</v>
      </c>
      <c r="AL215" s="21">
        <f t="shared" si="15"/>
        <v>0.18994413407821228</v>
      </c>
    </row>
    <row r="216" spans="1:38" x14ac:dyDescent="0.25">
      <c r="A216" s="1" t="s">
        <v>458</v>
      </c>
      <c r="B216" s="1" t="s">
        <v>459</v>
      </c>
      <c r="C216" s="1"/>
      <c r="D216" s="11">
        <v>10</v>
      </c>
      <c r="E216" s="11">
        <v>12</v>
      </c>
      <c r="F216" s="11">
        <v>47</v>
      </c>
      <c r="G216" s="11">
        <v>1</v>
      </c>
      <c r="H216" s="11">
        <v>2</v>
      </c>
      <c r="I216" s="11">
        <v>12</v>
      </c>
      <c r="J216" s="11">
        <v>8</v>
      </c>
      <c r="K216" s="11">
        <v>4</v>
      </c>
      <c r="L216" s="11">
        <v>6</v>
      </c>
      <c r="M216" s="11">
        <v>6</v>
      </c>
      <c r="N216" s="11">
        <v>4</v>
      </c>
      <c r="O216" s="11">
        <v>6</v>
      </c>
      <c r="P216" s="11">
        <v>6</v>
      </c>
      <c r="Q216" s="9">
        <v>0.19159999999999999</v>
      </c>
      <c r="R216" s="5">
        <v>0.3871</v>
      </c>
      <c r="S216" s="5">
        <v>2.2381000000000002</v>
      </c>
      <c r="T216" s="5">
        <v>3.2300000000000002E-2</v>
      </c>
      <c r="U216" s="5">
        <v>6.0600000000000001E-2</v>
      </c>
      <c r="V216" s="5">
        <v>0.27650000000000002</v>
      </c>
      <c r="W216" s="5">
        <v>0.3226</v>
      </c>
      <c r="X216" s="5">
        <v>0.2041</v>
      </c>
      <c r="Y216" s="5">
        <v>0.21510000000000001</v>
      </c>
      <c r="Z216" s="5">
        <v>0.25</v>
      </c>
      <c r="AA216" s="5">
        <v>0.129</v>
      </c>
      <c r="AB216" s="5">
        <v>0.2</v>
      </c>
      <c r="AC216" s="8">
        <v>0.1075</v>
      </c>
      <c r="AD216" s="5">
        <v>0.39229999999999998</v>
      </c>
      <c r="AE216" s="5">
        <f t="shared" si="14"/>
        <v>0.22818571428571427</v>
      </c>
      <c r="AF216" s="1" t="s">
        <v>34</v>
      </c>
      <c r="AG216" s="19" cm="1">
        <f t="array" ref="AG216">DIASQUIEBRE(Q216:AB216)</f>
        <v>2</v>
      </c>
      <c r="AH216" s="19" cm="1">
        <f t="array" ref="AH216">DiasMesesGris(Q216:AB216)</f>
        <v>0</v>
      </c>
      <c r="AI216" s="19">
        <f t="shared" si="16"/>
        <v>2</v>
      </c>
      <c r="AJ216" s="19">
        <f t="shared" si="17"/>
        <v>358</v>
      </c>
      <c r="AK216" s="20">
        <f t="shared" si="18"/>
        <v>118</v>
      </c>
      <c r="AL216" s="21">
        <f t="shared" si="15"/>
        <v>0.32960893854748602</v>
      </c>
    </row>
    <row r="217" spans="1:38" x14ac:dyDescent="0.25">
      <c r="A217" s="1" t="s">
        <v>460</v>
      </c>
      <c r="B217" s="1" t="s">
        <v>461</v>
      </c>
      <c r="C217" s="1"/>
      <c r="D217" s="11">
        <v>11</v>
      </c>
      <c r="E217" s="11">
        <v>11</v>
      </c>
      <c r="F217" s="11">
        <v>-2</v>
      </c>
      <c r="G217" s="11">
        <v>5</v>
      </c>
      <c r="H217" s="11">
        <v>8</v>
      </c>
      <c r="I217" s="11">
        <v>5</v>
      </c>
      <c r="J217" s="11">
        <v>3</v>
      </c>
      <c r="K217" s="11">
        <v>2</v>
      </c>
      <c r="L217" s="11">
        <v>3</v>
      </c>
      <c r="M217" s="11">
        <v>8</v>
      </c>
      <c r="N217" s="11">
        <v>6</v>
      </c>
      <c r="O217" s="11">
        <v>8</v>
      </c>
      <c r="P217" s="11">
        <v>3</v>
      </c>
      <c r="Q217" s="9">
        <v>0.2107</v>
      </c>
      <c r="R217" s="5">
        <v>0.3548</v>
      </c>
      <c r="S217" s="5">
        <v>-9.5200000000000007E-2</v>
      </c>
      <c r="T217" s="5">
        <v>0.1613</v>
      </c>
      <c r="U217" s="5">
        <v>0.2424</v>
      </c>
      <c r="V217" s="5">
        <v>0.1152</v>
      </c>
      <c r="W217" s="5">
        <v>0.121</v>
      </c>
      <c r="X217" s="5">
        <v>0.10199999999999999</v>
      </c>
      <c r="Y217" s="5">
        <v>0.1075</v>
      </c>
      <c r="Z217" s="5">
        <v>0.33329999999999999</v>
      </c>
      <c r="AA217" s="5">
        <v>0.19350000000000001</v>
      </c>
      <c r="AB217" s="5">
        <v>0.26669999999999999</v>
      </c>
      <c r="AC217" s="8">
        <v>5.3800000000000001E-2</v>
      </c>
      <c r="AD217" s="5">
        <v>0.17299999999999999</v>
      </c>
      <c r="AE217" s="5">
        <f t="shared" si="14"/>
        <v>0.1770285714285714</v>
      </c>
      <c r="AF217" s="1" t="s">
        <v>34</v>
      </c>
      <c r="AG217" s="19" cm="1">
        <f t="array" ref="AG217">DIASQUIEBRE(Q217:AB217)</f>
        <v>2</v>
      </c>
      <c r="AH217" s="19" cm="1">
        <f t="array" ref="AH217">DiasMesesGris(Q217:AB217)</f>
        <v>0</v>
      </c>
      <c r="AI217" s="19">
        <f t="shared" si="16"/>
        <v>2</v>
      </c>
      <c r="AJ217" s="19">
        <f t="shared" si="17"/>
        <v>358</v>
      </c>
      <c r="AK217" s="20">
        <f t="shared" si="18"/>
        <v>68</v>
      </c>
      <c r="AL217" s="21">
        <f t="shared" si="15"/>
        <v>0.18994413407821228</v>
      </c>
    </row>
    <row r="218" spans="1:38" x14ac:dyDescent="0.25">
      <c r="A218" s="1" t="s">
        <v>462</v>
      </c>
      <c r="B218" s="1" t="s">
        <v>463</v>
      </c>
      <c r="C218" s="1"/>
      <c r="D218" s="11">
        <v>9</v>
      </c>
      <c r="E218" s="11">
        <v>9</v>
      </c>
      <c r="F218" s="11">
        <v>4</v>
      </c>
      <c r="G218" s="11">
        <v>3</v>
      </c>
      <c r="H218" s="11">
        <v>13</v>
      </c>
      <c r="I218" s="11">
        <v>8</v>
      </c>
      <c r="J218" s="4"/>
      <c r="K218" s="11">
        <v>3</v>
      </c>
      <c r="L218" s="11">
        <v>2</v>
      </c>
      <c r="M218" s="11">
        <v>1</v>
      </c>
      <c r="N218" s="4"/>
      <c r="O218" s="4"/>
      <c r="P218" s="11">
        <v>4</v>
      </c>
      <c r="Q218" s="9">
        <v>0.1724</v>
      </c>
      <c r="R218" s="5">
        <v>0.2903</v>
      </c>
      <c r="S218" s="5">
        <v>0.1905</v>
      </c>
      <c r="T218" s="5">
        <v>9.6799999999999997E-2</v>
      </c>
      <c r="U218" s="5">
        <v>0.39389999999999997</v>
      </c>
      <c r="V218" s="5">
        <v>0.18429999999999999</v>
      </c>
      <c r="W218" s="5">
        <v>0</v>
      </c>
      <c r="X218" s="5">
        <v>0.15310000000000001</v>
      </c>
      <c r="Y218" s="5">
        <v>7.17E-2</v>
      </c>
      <c r="Z218" s="5">
        <v>4.1700000000000001E-2</v>
      </c>
      <c r="AA218" s="5">
        <v>0</v>
      </c>
      <c r="AB218" s="5">
        <v>0</v>
      </c>
      <c r="AC218" s="8">
        <v>7.17E-2</v>
      </c>
      <c r="AD218" s="5">
        <v>0.1293</v>
      </c>
      <c r="AE218" s="5">
        <f t="shared" si="14"/>
        <v>6.4399999999999999E-2</v>
      </c>
      <c r="AF218" s="1" t="s">
        <v>34</v>
      </c>
      <c r="AG218" s="19" cm="1">
        <f t="array" ref="AG218">DIASQUIEBRE(Q218:AB218)</f>
        <v>2</v>
      </c>
      <c r="AH218" s="19" cm="1">
        <f t="array" ref="AH218">DiasMesesGris(Q218:AB218)</f>
        <v>0</v>
      </c>
      <c r="AI218" s="19">
        <f t="shared" si="16"/>
        <v>2</v>
      </c>
      <c r="AJ218" s="19">
        <f t="shared" si="17"/>
        <v>358</v>
      </c>
      <c r="AK218" s="20">
        <f t="shared" si="18"/>
        <v>52</v>
      </c>
      <c r="AL218" s="21">
        <f t="shared" si="15"/>
        <v>0.14525139664804471</v>
      </c>
    </row>
    <row r="219" spans="1:38" x14ac:dyDescent="0.25">
      <c r="A219" s="1" t="s">
        <v>464</v>
      </c>
      <c r="B219" s="1" t="s">
        <v>465</v>
      </c>
      <c r="C219" s="1"/>
      <c r="D219" s="11">
        <v>25</v>
      </c>
      <c r="E219" s="11">
        <v>18</v>
      </c>
      <c r="F219" s="11">
        <v>-2</v>
      </c>
      <c r="G219" s="11">
        <v>8</v>
      </c>
      <c r="H219" s="11">
        <v>1</v>
      </c>
      <c r="I219" s="4"/>
      <c r="J219" s="4"/>
      <c r="K219" s="4"/>
      <c r="L219" s="4"/>
      <c r="M219" s="4"/>
      <c r="N219" s="4"/>
      <c r="O219" s="4"/>
      <c r="P219" s="4"/>
      <c r="Q219" s="9">
        <v>0.47889999999999999</v>
      </c>
      <c r="R219" s="5">
        <v>0.5806</v>
      </c>
      <c r="S219" s="5">
        <v>-9.5200000000000007E-2</v>
      </c>
      <c r="T219" s="9">
        <v>0.28570000000000001</v>
      </c>
      <c r="U219" s="6">
        <v>0</v>
      </c>
      <c r="V219" s="6">
        <v>0</v>
      </c>
      <c r="W219" s="6">
        <v>0</v>
      </c>
      <c r="X219" s="6">
        <v>0</v>
      </c>
      <c r="Y219" s="6">
        <v>0</v>
      </c>
      <c r="Z219" s="6">
        <v>0</v>
      </c>
      <c r="AA219" s="6">
        <v>0</v>
      </c>
      <c r="AB219" s="6">
        <v>0</v>
      </c>
      <c r="AC219" s="7">
        <v>0</v>
      </c>
      <c r="AD219" s="5">
        <v>0.2427</v>
      </c>
      <c r="AE219" s="5">
        <f t="shared" si="14"/>
        <v>0</v>
      </c>
      <c r="AF219" s="1" t="s">
        <v>34</v>
      </c>
      <c r="AG219" s="19" cm="1">
        <f t="array" ref="AG219">DIASQUIEBRE(Q219:AB219)</f>
        <v>5</v>
      </c>
      <c r="AH219" s="19" cm="1">
        <f t="array" ref="AH219">DiasMesesGris(Q219:AB219)</f>
        <v>240</v>
      </c>
      <c r="AI219" s="19">
        <f t="shared" si="16"/>
        <v>245</v>
      </c>
      <c r="AJ219" s="19">
        <f t="shared" si="17"/>
        <v>115</v>
      </c>
      <c r="AK219" s="20">
        <f t="shared" si="18"/>
        <v>50</v>
      </c>
      <c r="AL219" s="21">
        <f t="shared" si="15"/>
        <v>0.43478260869565216</v>
      </c>
    </row>
    <row r="220" spans="1:38" x14ac:dyDescent="0.25">
      <c r="A220" s="1" t="s">
        <v>466</v>
      </c>
      <c r="B220" s="1" t="s">
        <v>467</v>
      </c>
      <c r="C220" s="1"/>
      <c r="D220" s="11">
        <v>20</v>
      </c>
      <c r="E220" s="11">
        <v>11</v>
      </c>
      <c r="F220" s="11">
        <v>2</v>
      </c>
      <c r="G220" s="11">
        <v>5</v>
      </c>
      <c r="H220" s="11">
        <v>3</v>
      </c>
      <c r="I220" s="11">
        <v>6</v>
      </c>
      <c r="J220" s="11">
        <v>2</v>
      </c>
      <c r="K220" s="4"/>
      <c r="L220" s="4"/>
      <c r="M220" s="4"/>
      <c r="N220" s="4"/>
      <c r="O220" s="4"/>
      <c r="P220" s="4"/>
      <c r="Q220" s="9">
        <v>0.3831</v>
      </c>
      <c r="R220" s="5">
        <v>0.3548</v>
      </c>
      <c r="S220" s="5">
        <v>9.5200000000000007E-2</v>
      </c>
      <c r="T220" s="5">
        <v>0.1613</v>
      </c>
      <c r="U220" s="5">
        <v>9.0899999999999995E-2</v>
      </c>
      <c r="V220" s="9">
        <v>0.30609999999999998</v>
      </c>
      <c r="W220" s="6">
        <v>0</v>
      </c>
      <c r="X220" s="6">
        <v>0</v>
      </c>
      <c r="Y220" s="6">
        <v>0</v>
      </c>
      <c r="Z220" s="6">
        <v>0</v>
      </c>
      <c r="AA220" s="6">
        <v>0</v>
      </c>
      <c r="AB220" s="6">
        <v>0</v>
      </c>
      <c r="AC220" s="7">
        <v>0</v>
      </c>
      <c r="AD220" s="5">
        <v>0.17560000000000001</v>
      </c>
      <c r="AE220" s="5">
        <v>0.3</v>
      </c>
      <c r="AF220" s="1" t="s">
        <v>34</v>
      </c>
      <c r="AG220" s="19" cm="1">
        <f t="array" ref="AG220">DIASQUIEBRE(Q220:AB220)</f>
        <v>19</v>
      </c>
      <c r="AH220" s="19" cm="1">
        <f t="array" ref="AH220">DiasMesesGris(Q220:AB220)</f>
        <v>180</v>
      </c>
      <c r="AI220" s="19">
        <f t="shared" si="16"/>
        <v>199</v>
      </c>
      <c r="AJ220" s="19">
        <f t="shared" si="17"/>
        <v>161</v>
      </c>
      <c r="AK220" s="20">
        <f t="shared" si="18"/>
        <v>49</v>
      </c>
      <c r="AL220" s="21">
        <f t="shared" si="15"/>
        <v>0.30434782608695654</v>
      </c>
    </row>
    <row r="221" spans="1:38" x14ac:dyDescent="0.25">
      <c r="A221" s="1" t="s">
        <v>468</v>
      </c>
      <c r="B221" s="1" t="s">
        <v>469</v>
      </c>
      <c r="C221" s="1"/>
      <c r="D221" s="11">
        <v>30</v>
      </c>
      <c r="E221" s="11">
        <v>7</v>
      </c>
      <c r="F221" s="11">
        <v>4</v>
      </c>
      <c r="G221" s="11">
        <v>10</v>
      </c>
      <c r="H221" s="11">
        <v>7</v>
      </c>
      <c r="I221" s="11">
        <v>2</v>
      </c>
      <c r="J221" s="11">
        <v>8</v>
      </c>
      <c r="K221" s="11">
        <v>3</v>
      </c>
      <c r="L221" s="11">
        <v>3</v>
      </c>
      <c r="M221" s="11">
        <v>3</v>
      </c>
      <c r="N221" s="11">
        <v>6</v>
      </c>
      <c r="O221" s="11">
        <v>17</v>
      </c>
      <c r="P221" s="11">
        <v>2</v>
      </c>
      <c r="Q221" s="9">
        <v>0.57469999999999999</v>
      </c>
      <c r="R221" s="5">
        <v>0.2258</v>
      </c>
      <c r="S221" s="5">
        <v>0.1905</v>
      </c>
      <c r="T221" s="5">
        <v>0.3226</v>
      </c>
      <c r="U221" s="9">
        <v>0.26519999999999999</v>
      </c>
      <c r="V221" s="9">
        <v>5.0999999999999997E-2</v>
      </c>
      <c r="W221" s="5">
        <v>0.3226</v>
      </c>
      <c r="X221" s="5">
        <v>0.15310000000000001</v>
      </c>
      <c r="Y221" s="5">
        <v>0.1075</v>
      </c>
      <c r="Z221" s="5">
        <v>0.125</v>
      </c>
      <c r="AA221" s="5">
        <v>0.19350000000000001</v>
      </c>
      <c r="AB221" s="5">
        <v>0.56669999999999998</v>
      </c>
      <c r="AC221" s="8">
        <v>3.5799999999999998E-2</v>
      </c>
      <c r="AD221" s="5">
        <v>0.24529999999999999</v>
      </c>
      <c r="AE221" s="5">
        <f>AVERAGE(W221:AB221)</f>
        <v>0.24473333333333333</v>
      </c>
      <c r="AF221" s="1" t="s">
        <v>34</v>
      </c>
      <c r="AG221" s="19" cm="1">
        <f t="array" ref="AG221">DIASQUIEBRE(Q221:AB221)</f>
        <v>11</v>
      </c>
      <c r="AH221" s="19" cm="1">
        <f t="array" ref="AH221">DiasMesesGris(Q221:AB221)</f>
        <v>0</v>
      </c>
      <c r="AI221" s="19">
        <f t="shared" si="16"/>
        <v>11</v>
      </c>
      <c r="AJ221" s="19">
        <f t="shared" si="17"/>
        <v>349</v>
      </c>
      <c r="AK221" s="20">
        <f t="shared" si="18"/>
        <v>100</v>
      </c>
      <c r="AL221" s="21">
        <f t="shared" si="15"/>
        <v>0.28653295128939826</v>
      </c>
    </row>
    <row r="222" spans="1:38" x14ac:dyDescent="0.25">
      <c r="A222" s="1" t="s">
        <v>470</v>
      </c>
      <c r="B222" s="1" t="s">
        <v>471</v>
      </c>
      <c r="C222" s="1"/>
      <c r="D222" s="11">
        <v>30</v>
      </c>
      <c r="E222" s="11">
        <v>5</v>
      </c>
      <c r="F222" s="11">
        <v>6</v>
      </c>
      <c r="G222" s="11">
        <v>13</v>
      </c>
      <c r="H222" s="11">
        <v>5</v>
      </c>
      <c r="I222" s="11">
        <v>2</v>
      </c>
      <c r="J222" s="11">
        <v>6</v>
      </c>
      <c r="K222" s="11">
        <v>4</v>
      </c>
      <c r="L222" s="11">
        <v>6</v>
      </c>
      <c r="M222" s="11">
        <v>4</v>
      </c>
      <c r="N222" s="11">
        <v>4</v>
      </c>
      <c r="O222" s="11">
        <v>16</v>
      </c>
      <c r="P222" s="11">
        <v>1</v>
      </c>
      <c r="Q222" s="9">
        <v>0.57469999999999999</v>
      </c>
      <c r="R222" s="5">
        <v>0.1613</v>
      </c>
      <c r="S222" s="5">
        <v>0.28570000000000001</v>
      </c>
      <c r="T222" s="5">
        <v>0.4194</v>
      </c>
      <c r="U222" s="9">
        <v>0.34970000000000001</v>
      </c>
      <c r="V222" s="9">
        <v>5.0999999999999997E-2</v>
      </c>
      <c r="W222" s="5">
        <v>0.2419</v>
      </c>
      <c r="X222" s="5">
        <v>0.2041</v>
      </c>
      <c r="Y222" s="5">
        <v>0.21510000000000001</v>
      </c>
      <c r="Z222" s="5">
        <v>0.16669999999999999</v>
      </c>
      <c r="AA222" s="5">
        <v>0.129</v>
      </c>
      <c r="AB222" s="5">
        <v>0.5333</v>
      </c>
      <c r="AC222" s="8">
        <v>1.7899999999999999E-2</v>
      </c>
      <c r="AD222" s="5">
        <v>0.26179999999999998</v>
      </c>
      <c r="AE222" s="5">
        <f t="shared" ref="AE222:AE228" si="19">AVERAGE(W222:AB222)</f>
        <v>0.24834999999999999</v>
      </c>
      <c r="AF222" s="1" t="s">
        <v>34</v>
      </c>
      <c r="AG222" s="19" cm="1">
        <f t="array" ref="AG222">DIASQUIEBRE(Q222:AB222)</f>
        <v>22</v>
      </c>
      <c r="AH222" s="19" cm="1">
        <f t="array" ref="AH222">DiasMesesGris(Q222:AB222)</f>
        <v>0</v>
      </c>
      <c r="AI222" s="19">
        <f t="shared" si="16"/>
        <v>22</v>
      </c>
      <c r="AJ222" s="19">
        <f t="shared" si="17"/>
        <v>338</v>
      </c>
      <c r="AK222" s="20">
        <f t="shared" si="18"/>
        <v>101</v>
      </c>
      <c r="AL222" s="21">
        <f t="shared" si="15"/>
        <v>0.29881656804733731</v>
      </c>
    </row>
    <row r="223" spans="1:38" x14ac:dyDescent="0.25">
      <c r="A223" s="1" t="s">
        <v>472</v>
      </c>
      <c r="B223" s="1" t="s">
        <v>473</v>
      </c>
      <c r="C223" s="1"/>
      <c r="D223" s="11">
        <v>26</v>
      </c>
      <c r="E223" s="11">
        <v>6</v>
      </c>
      <c r="F223" s="11">
        <v>5</v>
      </c>
      <c r="G223" s="11">
        <v>10</v>
      </c>
      <c r="H223" s="11">
        <v>7</v>
      </c>
      <c r="I223" s="11">
        <v>3</v>
      </c>
      <c r="J223" s="11">
        <v>6</v>
      </c>
      <c r="K223" s="11">
        <v>3</v>
      </c>
      <c r="L223" s="11">
        <v>2</v>
      </c>
      <c r="M223" s="11">
        <v>4</v>
      </c>
      <c r="N223" s="4"/>
      <c r="O223" s="11">
        <v>4</v>
      </c>
      <c r="P223" s="4"/>
      <c r="Q223" s="9">
        <v>0.49809999999999999</v>
      </c>
      <c r="R223" s="5">
        <v>0.19350000000000001</v>
      </c>
      <c r="S223" s="5">
        <v>0.23810000000000001</v>
      </c>
      <c r="T223" s="5">
        <v>0.3226</v>
      </c>
      <c r="U223" s="5">
        <v>0.21210000000000001</v>
      </c>
      <c r="V223" s="5">
        <v>6.9099999999999995E-2</v>
      </c>
      <c r="W223" s="5">
        <v>0.2419</v>
      </c>
      <c r="X223" s="5">
        <v>0.15310000000000001</v>
      </c>
      <c r="Y223" s="5">
        <v>7.17E-2</v>
      </c>
      <c r="Z223" s="5">
        <v>0.16669999999999999</v>
      </c>
      <c r="AA223" s="5">
        <v>0</v>
      </c>
      <c r="AB223" s="5">
        <v>0.1333</v>
      </c>
      <c r="AC223" s="8">
        <v>0</v>
      </c>
      <c r="AD223" s="5">
        <v>0.1638</v>
      </c>
      <c r="AE223" s="5">
        <f t="shared" si="19"/>
        <v>0.12778333333333333</v>
      </c>
      <c r="AF223" s="1" t="s">
        <v>34</v>
      </c>
      <c r="AG223" s="19" cm="1">
        <f t="array" ref="AG223">DIASQUIEBRE(Q223:AB223)</f>
        <v>2</v>
      </c>
      <c r="AH223" s="19" cm="1">
        <f t="array" ref="AH223">DiasMesesGris(Q223:AB223)</f>
        <v>0</v>
      </c>
      <c r="AI223" s="19">
        <f t="shared" si="16"/>
        <v>2</v>
      </c>
      <c r="AJ223" s="19">
        <f t="shared" si="17"/>
        <v>358</v>
      </c>
      <c r="AK223" s="20">
        <f t="shared" si="18"/>
        <v>76</v>
      </c>
      <c r="AL223" s="21">
        <f t="shared" si="15"/>
        <v>0.21229050279329609</v>
      </c>
    </row>
    <row r="224" spans="1:38" x14ac:dyDescent="0.25">
      <c r="A224" s="1" t="s">
        <v>474</v>
      </c>
      <c r="B224" s="1" t="s">
        <v>475</v>
      </c>
      <c r="C224" s="1"/>
      <c r="D224" s="11">
        <v>29</v>
      </c>
      <c r="E224" s="11">
        <v>1</v>
      </c>
      <c r="F224" s="4"/>
      <c r="G224" s="4"/>
      <c r="H224" s="4"/>
      <c r="I224" s="11">
        <v>2</v>
      </c>
      <c r="J224" s="4"/>
      <c r="K224" s="11">
        <v>4</v>
      </c>
      <c r="L224" s="11">
        <v>3</v>
      </c>
      <c r="M224" s="11">
        <v>3</v>
      </c>
      <c r="N224" s="11">
        <v>2</v>
      </c>
      <c r="O224" s="11">
        <v>1</v>
      </c>
      <c r="P224" s="11">
        <v>2</v>
      </c>
      <c r="Q224" s="9">
        <v>0.80559999999999998</v>
      </c>
      <c r="R224" s="6">
        <v>0</v>
      </c>
      <c r="S224" s="9">
        <v>0</v>
      </c>
      <c r="T224" s="6">
        <v>0</v>
      </c>
      <c r="U224" s="6">
        <v>0</v>
      </c>
      <c r="V224" s="9">
        <v>5.0999999999999997E-2</v>
      </c>
      <c r="W224" s="5">
        <v>0</v>
      </c>
      <c r="X224" s="5">
        <v>0.2041</v>
      </c>
      <c r="Y224" s="5">
        <v>0.1075</v>
      </c>
      <c r="Z224" s="5">
        <v>0.125</v>
      </c>
      <c r="AA224" s="5">
        <v>6.4500000000000002E-2</v>
      </c>
      <c r="AB224" s="5">
        <v>3.3300000000000003E-2</v>
      </c>
      <c r="AC224" s="8">
        <v>3.5799999999999998E-2</v>
      </c>
      <c r="AD224" s="5">
        <v>8.9099999999999999E-2</v>
      </c>
      <c r="AE224" s="5">
        <f t="shared" si="19"/>
        <v>8.9066666666666669E-2</v>
      </c>
      <c r="AF224" s="1" t="s">
        <v>34</v>
      </c>
      <c r="AG224" s="19" cm="1">
        <f t="array" ref="AG224">DIASQUIEBRE(Q224:AB224)</f>
        <v>43</v>
      </c>
      <c r="AH224" s="19" cm="1">
        <f t="array" ref="AH224">DiasMesesGris(Q224:AB224)</f>
        <v>90</v>
      </c>
      <c r="AI224" s="19">
        <f t="shared" si="16"/>
        <v>133</v>
      </c>
      <c r="AJ224" s="19">
        <f t="shared" si="17"/>
        <v>227</v>
      </c>
      <c r="AK224" s="20">
        <f t="shared" si="18"/>
        <v>45</v>
      </c>
      <c r="AL224" s="21">
        <f t="shared" si="15"/>
        <v>0.19823788546255505</v>
      </c>
    </row>
    <row r="225" spans="1:38" x14ac:dyDescent="0.25">
      <c r="A225" s="1" t="s">
        <v>476</v>
      </c>
      <c r="B225" s="1" t="s">
        <v>477</v>
      </c>
      <c r="C225" s="1"/>
      <c r="D225" s="11">
        <v>54</v>
      </c>
      <c r="E225" s="11">
        <v>4</v>
      </c>
      <c r="F225" s="4"/>
      <c r="G225" s="4"/>
      <c r="H225" s="4"/>
      <c r="I225" s="11">
        <v>10</v>
      </c>
      <c r="J225" s="11">
        <v>16</v>
      </c>
      <c r="K225" s="11">
        <v>8</v>
      </c>
      <c r="L225" s="11">
        <v>18</v>
      </c>
      <c r="M225" s="11">
        <v>17</v>
      </c>
      <c r="N225" s="11">
        <v>12</v>
      </c>
      <c r="O225" s="11">
        <v>10</v>
      </c>
      <c r="P225" s="11">
        <v>2</v>
      </c>
      <c r="Q225" s="9">
        <v>1.0345</v>
      </c>
      <c r="R225" s="9">
        <v>1</v>
      </c>
      <c r="S225" s="6">
        <v>0</v>
      </c>
      <c r="T225" s="6">
        <v>0</v>
      </c>
      <c r="U225" s="6">
        <v>0</v>
      </c>
      <c r="V225" s="9">
        <v>0.25509999999999999</v>
      </c>
      <c r="W225" s="5">
        <v>0.6452</v>
      </c>
      <c r="X225" s="5">
        <v>0.40820000000000001</v>
      </c>
      <c r="Y225" s="5">
        <v>0.6452</v>
      </c>
      <c r="Z225" s="5">
        <v>0.70830000000000004</v>
      </c>
      <c r="AA225" s="5">
        <v>0.3871</v>
      </c>
      <c r="AB225" s="5">
        <v>0.33329999999999999</v>
      </c>
      <c r="AC225" s="8">
        <v>3.5799999999999998E-2</v>
      </c>
      <c r="AD225" s="5">
        <v>0.5212</v>
      </c>
      <c r="AE225" s="5">
        <f t="shared" si="19"/>
        <v>0.52121666666666655</v>
      </c>
      <c r="AF225" s="1" t="s">
        <v>34</v>
      </c>
      <c r="AG225" s="19" cm="1">
        <f t="array" ref="AG225">DIASQUIEBRE(Q225:AB225)</f>
        <v>32</v>
      </c>
      <c r="AH225" s="19" cm="1">
        <f t="array" ref="AH225">DiasMesesGris(Q225:AB225)</f>
        <v>90</v>
      </c>
      <c r="AI225" s="19">
        <f t="shared" si="16"/>
        <v>122</v>
      </c>
      <c r="AJ225" s="19">
        <f t="shared" si="17"/>
        <v>238</v>
      </c>
      <c r="AK225" s="20">
        <f t="shared" si="18"/>
        <v>149</v>
      </c>
      <c r="AL225" s="21">
        <f t="shared" si="15"/>
        <v>0.62605042016806722</v>
      </c>
    </row>
    <row r="226" spans="1:38" x14ac:dyDescent="0.25">
      <c r="A226" s="1" t="s">
        <v>478</v>
      </c>
      <c r="B226" s="1" t="s">
        <v>479</v>
      </c>
      <c r="C226" s="1"/>
      <c r="D226" s="11">
        <v>33</v>
      </c>
      <c r="E226" s="11">
        <v>7</v>
      </c>
      <c r="F226" s="4"/>
      <c r="G226" s="4"/>
      <c r="H226" s="4"/>
      <c r="I226" s="11">
        <v>7</v>
      </c>
      <c r="J226" s="11">
        <v>3</v>
      </c>
      <c r="K226" s="4"/>
      <c r="L226" s="11">
        <v>12</v>
      </c>
      <c r="M226" s="11">
        <v>5</v>
      </c>
      <c r="N226" s="11">
        <v>8</v>
      </c>
      <c r="O226" s="11">
        <v>1</v>
      </c>
      <c r="P226" s="11">
        <v>1</v>
      </c>
      <c r="Q226" s="9">
        <v>0.63219999999999998</v>
      </c>
      <c r="R226" s="9">
        <v>1.75</v>
      </c>
      <c r="S226" s="6">
        <v>0</v>
      </c>
      <c r="T226" s="6">
        <v>0</v>
      </c>
      <c r="U226" s="6">
        <v>0</v>
      </c>
      <c r="V226" s="9">
        <v>0.17860000000000001</v>
      </c>
      <c r="W226" s="5">
        <v>0.121</v>
      </c>
      <c r="X226" s="5">
        <v>0</v>
      </c>
      <c r="Y226" s="5">
        <v>0.43009999999999998</v>
      </c>
      <c r="Z226" s="5">
        <v>0.20830000000000001</v>
      </c>
      <c r="AA226" s="5">
        <v>0.2581</v>
      </c>
      <c r="AB226" s="5">
        <v>3.3300000000000003E-2</v>
      </c>
      <c r="AC226" s="8">
        <v>1.7899999999999999E-2</v>
      </c>
      <c r="AD226" s="5">
        <v>0.17510000000000001</v>
      </c>
      <c r="AE226" s="5">
        <f t="shared" si="19"/>
        <v>0.17513333333333336</v>
      </c>
      <c r="AF226" s="1" t="s">
        <v>34</v>
      </c>
      <c r="AG226" s="19" cm="1">
        <f t="array" ref="AG226">DIASQUIEBRE(Q226:AB226)</f>
        <v>32</v>
      </c>
      <c r="AH226" s="19" cm="1">
        <f t="array" ref="AH226">DiasMesesGris(Q226:AB226)</f>
        <v>90</v>
      </c>
      <c r="AI226" s="19">
        <f t="shared" si="16"/>
        <v>122</v>
      </c>
      <c r="AJ226" s="19">
        <f t="shared" si="17"/>
        <v>238</v>
      </c>
      <c r="AK226" s="20">
        <f t="shared" si="18"/>
        <v>76</v>
      </c>
      <c r="AL226" s="21">
        <f t="shared" si="15"/>
        <v>0.31932773109243695</v>
      </c>
    </row>
    <row r="227" spans="1:38" x14ac:dyDescent="0.25">
      <c r="A227" s="1" t="s">
        <v>480</v>
      </c>
      <c r="B227" s="1" t="s">
        <v>481</v>
      </c>
      <c r="C227" s="1"/>
      <c r="D227" s="11">
        <v>1</v>
      </c>
      <c r="E227" s="11">
        <v>67</v>
      </c>
      <c r="F227" s="11">
        <v>20</v>
      </c>
      <c r="G227" s="11">
        <v>9</v>
      </c>
      <c r="H227" s="4"/>
      <c r="I227" s="4"/>
      <c r="J227" s="4"/>
      <c r="K227" s="4"/>
      <c r="L227" s="11">
        <v>-1</v>
      </c>
      <c r="M227" s="4"/>
      <c r="N227" s="4"/>
      <c r="O227" s="4"/>
      <c r="P227" s="4"/>
      <c r="Q227" s="9">
        <v>1.9199999999999998E-2</v>
      </c>
      <c r="R227" s="5">
        <v>2.1613000000000002</v>
      </c>
      <c r="S227" s="5">
        <v>0.95240000000000002</v>
      </c>
      <c r="T227" s="9">
        <v>0.69230000000000003</v>
      </c>
      <c r="U227" s="6">
        <v>0</v>
      </c>
      <c r="V227" s="6">
        <v>0</v>
      </c>
      <c r="W227" s="6">
        <v>0</v>
      </c>
      <c r="X227" s="6">
        <v>0</v>
      </c>
      <c r="Y227" s="6">
        <v>0</v>
      </c>
      <c r="Z227" s="6">
        <v>0</v>
      </c>
      <c r="AA227" s="6">
        <v>0</v>
      </c>
      <c r="AB227" s="6">
        <v>0</v>
      </c>
      <c r="AC227" s="7">
        <v>0</v>
      </c>
      <c r="AD227" s="5">
        <v>1.5569</v>
      </c>
      <c r="AE227" s="5">
        <f t="shared" si="19"/>
        <v>0</v>
      </c>
      <c r="AF227" s="1" t="s">
        <v>34</v>
      </c>
      <c r="AG227" s="19" cm="1">
        <f t="array" ref="AG227">DIASQUIEBRE(Q227:AB227)</f>
        <v>20</v>
      </c>
      <c r="AH227" s="19" cm="1">
        <f t="array" ref="AH227">DiasMesesGris(Q227:AB227)</f>
        <v>240</v>
      </c>
      <c r="AI227" s="19">
        <f t="shared" si="16"/>
        <v>260</v>
      </c>
      <c r="AJ227" s="19">
        <f t="shared" si="17"/>
        <v>100</v>
      </c>
      <c r="AK227" s="20">
        <f t="shared" si="18"/>
        <v>96</v>
      </c>
      <c r="AL227" s="21">
        <f t="shared" si="15"/>
        <v>0.96</v>
      </c>
    </row>
    <row r="228" spans="1:38" x14ac:dyDescent="0.25">
      <c r="A228" s="3" t="s">
        <v>482</v>
      </c>
      <c r="B228" s="1" t="s">
        <v>157</v>
      </c>
      <c r="C228" s="1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6">
        <v>0</v>
      </c>
      <c r="R228" s="6">
        <v>0</v>
      </c>
      <c r="S228" s="6">
        <v>0</v>
      </c>
      <c r="T228" s="6">
        <v>0</v>
      </c>
      <c r="U228" s="6">
        <v>0</v>
      </c>
      <c r="V228" s="6">
        <v>0</v>
      </c>
      <c r="W228" s="6">
        <v>0</v>
      </c>
      <c r="X228" s="6">
        <v>0</v>
      </c>
      <c r="Y228" s="6">
        <v>0</v>
      </c>
      <c r="Z228" s="6">
        <v>0</v>
      </c>
      <c r="AA228" s="6">
        <v>0</v>
      </c>
      <c r="AB228" s="6">
        <v>0</v>
      </c>
      <c r="AC228" s="7">
        <v>0</v>
      </c>
      <c r="AE228" s="5">
        <f t="shared" si="19"/>
        <v>0</v>
      </c>
      <c r="AF228" s="1" t="s">
        <v>34</v>
      </c>
      <c r="AG228" s="19" cm="1">
        <f t="array" ref="AG228">DIASQUIEBRE(Q228:AB228)</f>
        <v>0</v>
      </c>
      <c r="AH228" s="19" cm="1">
        <f t="array" ref="AH228">DiasMesesGris(Q228:AB228)</f>
        <v>360</v>
      </c>
      <c r="AI228" s="19">
        <f t="shared" si="16"/>
        <v>360</v>
      </c>
      <c r="AJ228" s="19">
        <f t="shared" si="17"/>
        <v>0</v>
      </c>
      <c r="AK228" s="20">
        <f t="shared" si="18"/>
        <v>0</v>
      </c>
      <c r="AL228" s="21">
        <f t="shared" si="15"/>
        <v>0</v>
      </c>
    </row>
    <row r="229" spans="1:38" x14ac:dyDescent="0.25">
      <c r="A229" s="1" t="s">
        <v>483</v>
      </c>
      <c r="B229" s="1" t="s">
        <v>484</v>
      </c>
      <c r="C229" s="1"/>
      <c r="D229" s="11">
        <v>39</v>
      </c>
      <c r="E229" s="11">
        <v>1</v>
      </c>
      <c r="F229" s="4"/>
      <c r="G229" s="4"/>
      <c r="H229" s="4"/>
      <c r="I229" s="11">
        <v>9</v>
      </c>
      <c r="J229" s="11">
        <v>9</v>
      </c>
      <c r="K229" s="4"/>
      <c r="L229" s="11">
        <v>8</v>
      </c>
      <c r="M229" s="11">
        <v>3</v>
      </c>
      <c r="N229" s="11">
        <v>3</v>
      </c>
      <c r="O229" s="11">
        <v>2</v>
      </c>
      <c r="P229" s="11">
        <v>6</v>
      </c>
      <c r="Q229" s="9">
        <v>1.6667000000000001</v>
      </c>
      <c r="R229" s="6">
        <v>0</v>
      </c>
      <c r="S229" s="6">
        <v>0</v>
      </c>
      <c r="T229" s="6">
        <v>0</v>
      </c>
      <c r="U229" s="6">
        <v>0</v>
      </c>
      <c r="V229" s="9">
        <v>0.2296</v>
      </c>
      <c r="W229" s="5">
        <v>0.3629</v>
      </c>
      <c r="X229" s="5">
        <v>0</v>
      </c>
      <c r="Y229" s="5">
        <v>0.28670000000000001</v>
      </c>
      <c r="Z229" s="5">
        <v>0.125</v>
      </c>
      <c r="AA229" s="5">
        <v>9.6799999999999997E-2</v>
      </c>
      <c r="AB229" s="5">
        <v>6.6699999999999995E-2</v>
      </c>
      <c r="AC229" s="8">
        <v>0.1075</v>
      </c>
      <c r="AD229" s="5">
        <v>0.15640000000000001</v>
      </c>
      <c r="AE229" s="5">
        <f>AVERAGE(V229:AB229)</f>
        <v>0.16681428571428572</v>
      </c>
      <c r="AF229" s="1" t="s">
        <v>34</v>
      </c>
      <c r="AG229" s="19" cm="1">
        <f t="array" ref="AG229">DIASQUIEBRE(Q229:AB229)</f>
        <v>21</v>
      </c>
      <c r="AH229" s="19" cm="1">
        <f t="array" ref="AH229">DiasMesesGris(Q229:AB229)</f>
        <v>120</v>
      </c>
      <c r="AI229" s="19">
        <f t="shared" si="16"/>
        <v>141</v>
      </c>
      <c r="AJ229" s="19">
        <f t="shared" si="17"/>
        <v>219</v>
      </c>
      <c r="AK229" s="20">
        <f t="shared" si="18"/>
        <v>74</v>
      </c>
      <c r="AL229" s="21">
        <f t="shared" si="15"/>
        <v>0.33789954337899542</v>
      </c>
    </row>
    <row r="230" spans="1:38" x14ac:dyDescent="0.25">
      <c r="A230" s="1" t="s">
        <v>485</v>
      </c>
      <c r="B230" s="1" t="s">
        <v>486</v>
      </c>
      <c r="C230" s="1"/>
      <c r="D230" s="11">
        <v>29</v>
      </c>
      <c r="E230" s="4"/>
      <c r="F230" s="4"/>
      <c r="G230" s="11">
        <v>1</v>
      </c>
      <c r="H230" s="4"/>
      <c r="I230" s="11">
        <v>19</v>
      </c>
      <c r="J230" s="11">
        <v>5</v>
      </c>
      <c r="K230" s="11">
        <v>7</v>
      </c>
      <c r="L230" s="11">
        <v>7</v>
      </c>
      <c r="M230" s="11">
        <v>6</v>
      </c>
      <c r="N230" s="11">
        <v>1</v>
      </c>
      <c r="O230" s="11">
        <v>1</v>
      </c>
      <c r="P230" s="11">
        <v>2</v>
      </c>
      <c r="Q230" s="9">
        <v>1.2393000000000001</v>
      </c>
      <c r="R230" s="6">
        <v>0</v>
      </c>
      <c r="S230" s="6">
        <v>0</v>
      </c>
      <c r="T230" s="6">
        <v>0</v>
      </c>
      <c r="U230" s="6">
        <v>0</v>
      </c>
      <c r="V230" s="9">
        <v>0.48470000000000002</v>
      </c>
      <c r="W230" s="5">
        <v>0.2016</v>
      </c>
      <c r="X230" s="5">
        <v>0.35709999999999997</v>
      </c>
      <c r="Y230" s="5">
        <v>0.25090000000000001</v>
      </c>
      <c r="Z230" s="5">
        <v>0.25</v>
      </c>
      <c r="AA230" s="5">
        <v>3.2300000000000002E-2</v>
      </c>
      <c r="AB230" s="5">
        <v>3.3300000000000003E-2</v>
      </c>
      <c r="AC230" s="8">
        <v>3.5799999999999998E-2</v>
      </c>
      <c r="AD230" s="5">
        <v>0.1875</v>
      </c>
      <c r="AE230" s="5">
        <f>AVERAGE(V230:AB230)</f>
        <v>0.22998571428571432</v>
      </c>
      <c r="AF230" s="1" t="s">
        <v>34</v>
      </c>
      <c r="AG230" s="19" cm="1">
        <f t="array" ref="AG230">DIASQUIEBRE(Q230:AB230)</f>
        <v>21</v>
      </c>
      <c r="AH230" s="19" cm="1">
        <f t="array" ref="AH230">DiasMesesGris(Q230:AB230)</f>
        <v>120</v>
      </c>
      <c r="AI230" s="19">
        <f t="shared" si="16"/>
        <v>141</v>
      </c>
      <c r="AJ230" s="19">
        <f t="shared" si="17"/>
        <v>219</v>
      </c>
      <c r="AK230" s="20">
        <f t="shared" si="18"/>
        <v>76</v>
      </c>
      <c r="AL230" s="21">
        <f t="shared" si="15"/>
        <v>0.34703196347031962</v>
      </c>
    </row>
    <row r="231" spans="1:38" x14ac:dyDescent="0.25">
      <c r="A231" s="1" t="s">
        <v>487</v>
      </c>
      <c r="B231" s="1" t="s">
        <v>488</v>
      </c>
      <c r="C231" s="1"/>
      <c r="D231" s="11">
        <v>11</v>
      </c>
      <c r="E231" s="11">
        <v>29</v>
      </c>
      <c r="F231" s="11">
        <v>20</v>
      </c>
      <c r="G231" s="11">
        <v>7</v>
      </c>
      <c r="H231" s="11">
        <v>19</v>
      </c>
      <c r="I231" s="11">
        <v>14</v>
      </c>
      <c r="J231" s="11">
        <v>11</v>
      </c>
      <c r="K231" s="11">
        <v>1</v>
      </c>
      <c r="L231" s="11">
        <v>2</v>
      </c>
      <c r="M231" s="11">
        <v>2</v>
      </c>
      <c r="N231" s="4"/>
      <c r="O231" s="11">
        <v>12</v>
      </c>
      <c r="P231" s="11">
        <v>3</v>
      </c>
      <c r="Q231" s="5">
        <v>0.1971</v>
      </c>
      <c r="R231" s="5">
        <v>0.9355</v>
      </c>
      <c r="S231" s="5">
        <v>0.95240000000000002</v>
      </c>
      <c r="T231" s="5">
        <v>0.2258</v>
      </c>
      <c r="U231" s="5">
        <v>0.57579999999999998</v>
      </c>
      <c r="V231" s="5">
        <v>0.3226</v>
      </c>
      <c r="W231" s="5">
        <v>0.44350000000000001</v>
      </c>
      <c r="X231" s="5">
        <v>5.0999999999999997E-2</v>
      </c>
      <c r="Y231" s="5">
        <v>7.17E-2</v>
      </c>
      <c r="Z231" s="5">
        <v>8.3299999999999999E-2</v>
      </c>
      <c r="AA231" s="5">
        <v>0</v>
      </c>
      <c r="AB231" s="5">
        <v>0.4</v>
      </c>
      <c r="AC231" s="8">
        <v>5.3800000000000001E-2</v>
      </c>
      <c r="AD231" s="5">
        <v>0.35489999999999999</v>
      </c>
      <c r="AE231" s="5">
        <f t="shared" si="14"/>
        <v>0.19601428571428572</v>
      </c>
      <c r="AF231" s="1" t="s">
        <v>34</v>
      </c>
      <c r="AG231" s="19" cm="1">
        <f t="array" ref="AG231">DIASQUIEBRE(Q231:AB231)</f>
        <v>0</v>
      </c>
      <c r="AH231" s="19" cm="1">
        <f t="array" ref="AH231">DiasMesesGris(Q231:AB231)</f>
        <v>0</v>
      </c>
      <c r="AI231" s="19">
        <f t="shared" si="16"/>
        <v>0</v>
      </c>
      <c r="AJ231" s="19">
        <f t="shared" si="17"/>
        <v>360</v>
      </c>
      <c r="AK231" s="20">
        <f t="shared" si="18"/>
        <v>128</v>
      </c>
      <c r="AL231" s="21">
        <f t="shared" si="15"/>
        <v>0.35555555555555557</v>
      </c>
    </row>
    <row r="232" spans="1:38" x14ac:dyDescent="0.25">
      <c r="A232" s="1" t="s">
        <v>489</v>
      </c>
      <c r="B232" s="1" t="s">
        <v>490</v>
      </c>
      <c r="C232" s="1"/>
      <c r="D232" s="4"/>
      <c r="E232" s="4"/>
      <c r="F232" s="11">
        <v>20</v>
      </c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6">
        <v>0</v>
      </c>
      <c r="R232" s="6">
        <v>0</v>
      </c>
      <c r="S232" s="9">
        <v>5.7142999999999997</v>
      </c>
      <c r="T232" s="6">
        <v>0</v>
      </c>
      <c r="U232" s="6">
        <v>0</v>
      </c>
      <c r="V232" s="6">
        <v>0</v>
      </c>
      <c r="W232" s="6">
        <v>0</v>
      </c>
      <c r="X232" s="6">
        <v>0</v>
      </c>
      <c r="Y232" s="6">
        <v>0</v>
      </c>
      <c r="Z232" s="6">
        <v>0</v>
      </c>
      <c r="AA232" s="6">
        <v>0</v>
      </c>
      <c r="AB232" s="6">
        <v>0</v>
      </c>
      <c r="AC232" s="7">
        <v>0</v>
      </c>
      <c r="AE232" s="5">
        <f t="shared" si="14"/>
        <v>0</v>
      </c>
      <c r="AF232" s="1" t="s">
        <v>34</v>
      </c>
      <c r="AG232" s="19" cm="1">
        <f t="array" ref="AG232">DIASQUIEBRE(Q232:AB232)</f>
        <v>25</v>
      </c>
      <c r="AH232" s="19" cm="1">
        <f t="array" ref="AH232">DiasMesesGris(Q232:AB232)</f>
        <v>330</v>
      </c>
      <c r="AI232" s="19">
        <f t="shared" si="16"/>
        <v>355</v>
      </c>
      <c r="AJ232" s="19">
        <f t="shared" si="17"/>
        <v>5</v>
      </c>
      <c r="AK232" s="20">
        <f t="shared" si="18"/>
        <v>20</v>
      </c>
      <c r="AL232" s="21">
        <f t="shared" si="15"/>
        <v>4</v>
      </c>
    </row>
    <row r="233" spans="1:38" x14ac:dyDescent="0.25">
      <c r="A233" s="1" t="s">
        <v>491</v>
      </c>
      <c r="B233" s="1" t="s">
        <v>492</v>
      </c>
      <c r="C233" s="1"/>
      <c r="D233" s="4"/>
      <c r="E233" s="4"/>
      <c r="F233" s="11">
        <v>20</v>
      </c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6">
        <v>0</v>
      </c>
      <c r="R233" s="6">
        <v>0</v>
      </c>
      <c r="S233" s="9">
        <v>5.7142999999999997</v>
      </c>
      <c r="T233" s="6">
        <v>0</v>
      </c>
      <c r="U233" s="6">
        <v>0</v>
      </c>
      <c r="V233" s="6">
        <v>0</v>
      </c>
      <c r="W233" s="6">
        <v>0</v>
      </c>
      <c r="X233" s="6">
        <v>0</v>
      </c>
      <c r="Y233" s="6">
        <v>0</v>
      </c>
      <c r="Z233" s="6">
        <v>0</v>
      </c>
      <c r="AA233" s="6">
        <v>0</v>
      </c>
      <c r="AB233" s="6">
        <v>0</v>
      </c>
      <c r="AC233" s="7">
        <v>0</v>
      </c>
      <c r="AE233" s="5">
        <f t="shared" si="14"/>
        <v>0</v>
      </c>
      <c r="AF233" s="1" t="s">
        <v>34</v>
      </c>
      <c r="AG233" s="19" cm="1">
        <f t="array" ref="AG233">DIASQUIEBRE(Q233:AB233)</f>
        <v>25</v>
      </c>
      <c r="AH233" s="19" cm="1">
        <f t="array" ref="AH233">DiasMesesGris(Q233:AB233)</f>
        <v>330</v>
      </c>
      <c r="AI233" s="19">
        <f t="shared" si="16"/>
        <v>355</v>
      </c>
      <c r="AJ233" s="19">
        <f t="shared" si="17"/>
        <v>5</v>
      </c>
      <c r="AK233" s="20">
        <f t="shared" si="18"/>
        <v>20</v>
      </c>
      <c r="AL233" s="21">
        <f t="shared" si="15"/>
        <v>4</v>
      </c>
    </row>
    <row r="234" spans="1:38" x14ac:dyDescent="0.25">
      <c r="A234" s="1" t="s">
        <v>493</v>
      </c>
      <c r="B234" s="1" t="s">
        <v>494</v>
      </c>
      <c r="C234" s="1"/>
      <c r="D234" s="4"/>
      <c r="E234" s="4"/>
      <c r="F234" s="11">
        <v>30</v>
      </c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6">
        <v>0</v>
      </c>
      <c r="R234" s="6">
        <v>0</v>
      </c>
      <c r="S234" s="9">
        <v>8.5714000000000006</v>
      </c>
      <c r="T234" s="6">
        <v>0</v>
      </c>
      <c r="U234" s="6">
        <v>0</v>
      </c>
      <c r="V234" s="6">
        <v>0</v>
      </c>
      <c r="W234" s="6">
        <v>0</v>
      </c>
      <c r="X234" s="6">
        <v>0</v>
      </c>
      <c r="Y234" s="6">
        <v>0</v>
      </c>
      <c r="Z234" s="6">
        <v>0</v>
      </c>
      <c r="AA234" s="6">
        <v>0</v>
      </c>
      <c r="AB234" s="6">
        <v>0</v>
      </c>
      <c r="AC234" s="7">
        <v>0</v>
      </c>
      <c r="AE234" s="5">
        <f t="shared" si="14"/>
        <v>0</v>
      </c>
      <c r="AF234" s="1" t="s">
        <v>34</v>
      </c>
      <c r="AG234" s="19" cm="1">
        <f t="array" ref="AG234">DIASQUIEBRE(Q234:AB234)</f>
        <v>25</v>
      </c>
      <c r="AH234" s="19" cm="1">
        <f t="array" ref="AH234">DiasMesesGris(Q234:AB234)</f>
        <v>330</v>
      </c>
      <c r="AI234" s="19">
        <f t="shared" si="16"/>
        <v>355</v>
      </c>
      <c r="AJ234" s="19">
        <f t="shared" si="17"/>
        <v>5</v>
      </c>
      <c r="AK234" s="20">
        <f t="shared" si="18"/>
        <v>30</v>
      </c>
      <c r="AL234" s="21">
        <f t="shared" si="15"/>
        <v>6</v>
      </c>
    </row>
    <row r="235" spans="1:38" x14ac:dyDescent="0.25">
      <c r="A235" s="1" t="s">
        <v>495</v>
      </c>
      <c r="B235" s="1" t="s">
        <v>496</v>
      </c>
      <c r="C235" s="1"/>
      <c r="D235" s="4"/>
      <c r="E235" s="4"/>
      <c r="F235" s="4"/>
      <c r="G235" s="11">
        <v>15</v>
      </c>
      <c r="H235" s="4"/>
      <c r="I235" s="4"/>
      <c r="J235" s="4"/>
      <c r="K235" s="4"/>
      <c r="L235" s="4"/>
      <c r="M235" s="4"/>
      <c r="N235" s="4"/>
      <c r="O235" s="4"/>
      <c r="P235" s="4"/>
      <c r="Q235" s="6">
        <v>0</v>
      </c>
      <c r="R235" s="6">
        <v>0</v>
      </c>
      <c r="S235" s="9">
        <v>0</v>
      </c>
      <c r="T235" s="9">
        <v>2.1429</v>
      </c>
      <c r="U235" s="6">
        <v>0</v>
      </c>
      <c r="V235" s="6">
        <v>0</v>
      </c>
      <c r="W235" s="6">
        <v>0</v>
      </c>
      <c r="X235" s="6">
        <v>0</v>
      </c>
      <c r="Y235" s="6">
        <v>0</v>
      </c>
      <c r="Z235" s="6">
        <v>0</v>
      </c>
      <c r="AA235" s="6">
        <v>0</v>
      </c>
      <c r="AB235" s="6">
        <v>0</v>
      </c>
      <c r="AC235" s="7">
        <v>0</v>
      </c>
      <c r="AE235" s="5">
        <f t="shared" si="14"/>
        <v>0</v>
      </c>
      <c r="AF235" s="1" t="s">
        <v>34</v>
      </c>
      <c r="AG235" s="19" cm="1">
        <f t="array" ref="AG235">DIASQUIEBRE(Q235:AB235)</f>
        <v>26</v>
      </c>
      <c r="AH235" s="19" cm="1">
        <f t="array" ref="AH235">DiasMesesGris(Q235:AB235)</f>
        <v>300</v>
      </c>
      <c r="AI235" s="19">
        <f t="shared" si="16"/>
        <v>326</v>
      </c>
      <c r="AJ235" s="19">
        <f t="shared" si="17"/>
        <v>34</v>
      </c>
      <c r="AK235" s="20">
        <f t="shared" si="18"/>
        <v>15</v>
      </c>
      <c r="AL235" s="21">
        <f t="shared" si="15"/>
        <v>0.44117647058823528</v>
      </c>
    </row>
    <row r="236" spans="1:38" x14ac:dyDescent="0.25">
      <c r="A236" s="1" t="s">
        <v>497</v>
      </c>
      <c r="B236" s="1" t="s">
        <v>498</v>
      </c>
      <c r="C236" s="1"/>
      <c r="D236" s="4"/>
      <c r="E236" s="4"/>
      <c r="F236" s="11">
        <v>15</v>
      </c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6">
        <v>0</v>
      </c>
      <c r="R236" s="6">
        <v>0</v>
      </c>
      <c r="S236" s="9">
        <v>4.2857000000000003</v>
      </c>
      <c r="T236" s="6">
        <v>0</v>
      </c>
      <c r="U236" s="6">
        <v>0</v>
      </c>
      <c r="V236" s="6">
        <v>0</v>
      </c>
      <c r="W236" s="6">
        <v>0</v>
      </c>
      <c r="X236" s="6">
        <v>0</v>
      </c>
      <c r="Y236" s="6">
        <v>0</v>
      </c>
      <c r="Z236" s="6">
        <v>0</v>
      </c>
      <c r="AA236" s="6">
        <v>0</v>
      </c>
      <c r="AB236" s="6">
        <v>0</v>
      </c>
      <c r="AC236" s="7">
        <v>0</v>
      </c>
      <c r="AE236" s="5">
        <f t="shared" si="14"/>
        <v>0</v>
      </c>
      <c r="AF236" s="1" t="s">
        <v>34</v>
      </c>
      <c r="AG236" s="19" cm="1">
        <f t="array" ref="AG236">DIASQUIEBRE(Q236:AB236)</f>
        <v>25</v>
      </c>
      <c r="AH236" s="19" cm="1">
        <f t="array" ref="AH236">DiasMesesGris(Q236:AB236)</f>
        <v>330</v>
      </c>
      <c r="AI236" s="19">
        <f t="shared" si="16"/>
        <v>355</v>
      </c>
      <c r="AJ236" s="19">
        <f t="shared" si="17"/>
        <v>5</v>
      </c>
      <c r="AK236" s="20">
        <f t="shared" si="18"/>
        <v>15</v>
      </c>
      <c r="AL236" s="21">
        <f t="shared" si="15"/>
        <v>3</v>
      </c>
    </row>
    <row r="237" spans="1:38" x14ac:dyDescent="0.25">
      <c r="A237" s="1" t="s">
        <v>499</v>
      </c>
      <c r="B237" s="1" t="s">
        <v>500</v>
      </c>
      <c r="C237" s="1"/>
      <c r="D237" s="4"/>
      <c r="E237" s="4"/>
      <c r="F237" s="11">
        <v>15</v>
      </c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6">
        <v>0</v>
      </c>
      <c r="R237" s="6">
        <v>0</v>
      </c>
      <c r="S237" s="9">
        <v>4.2857000000000003</v>
      </c>
      <c r="T237" s="6">
        <v>0</v>
      </c>
      <c r="U237" s="6">
        <v>0</v>
      </c>
      <c r="V237" s="6">
        <v>0</v>
      </c>
      <c r="W237" s="6">
        <v>0</v>
      </c>
      <c r="X237" s="6">
        <v>0</v>
      </c>
      <c r="Y237" s="6">
        <v>0</v>
      </c>
      <c r="Z237" s="6">
        <v>0</v>
      </c>
      <c r="AA237" s="6">
        <v>0</v>
      </c>
      <c r="AB237" s="6">
        <v>0</v>
      </c>
      <c r="AC237" s="7">
        <v>0</v>
      </c>
      <c r="AE237" s="5">
        <f t="shared" ref="AE237:AE299" si="20">AVERAGE(V237:AB237)</f>
        <v>0</v>
      </c>
      <c r="AF237" s="1" t="s">
        <v>34</v>
      </c>
      <c r="AG237" s="19" cm="1">
        <f t="array" ref="AG237">DIASQUIEBRE(Q237:AB237)</f>
        <v>25</v>
      </c>
      <c r="AH237" s="19" cm="1">
        <f t="array" ref="AH237">DiasMesesGris(Q237:AB237)</f>
        <v>330</v>
      </c>
      <c r="AI237" s="19">
        <f t="shared" si="16"/>
        <v>355</v>
      </c>
      <c r="AJ237" s="19">
        <f t="shared" si="17"/>
        <v>5</v>
      </c>
      <c r="AK237" s="20">
        <f t="shared" si="18"/>
        <v>15</v>
      </c>
      <c r="AL237" s="21">
        <f t="shared" si="15"/>
        <v>3</v>
      </c>
    </row>
    <row r="238" spans="1:38" x14ac:dyDescent="0.25">
      <c r="A238" s="1" t="s">
        <v>501</v>
      </c>
      <c r="B238" s="1" t="s">
        <v>502</v>
      </c>
      <c r="C238" s="1"/>
      <c r="D238" s="4"/>
      <c r="E238" s="4"/>
      <c r="F238" s="11">
        <v>30</v>
      </c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6">
        <v>0</v>
      </c>
      <c r="R238" s="6">
        <v>0</v>
      </c>
      <c r="S238" s="9">
        <v>8.5714000000000006</v>
      </c>
      <c r="T238" s="6">
        <v>0</v>
      </c>
      <c r="U238" s="6">
        <v>0</v>
      </c>
      <c r="V238" s="6">
        <v>0</v>
      </c>
      <c r="W238" s="6">
        <v>0</v>
      </c>
      <c r="X238" s="6">
        <v>0</v>
      </c>
      <c r="Y238" s="6">
        <v>0</v>
      </c>
      <c r="Z238" s="6">
        <v>0</v>
      </c>
      <c r="AA238" s="6">
        <v>0</v>
      </c>
      <c r="AB238" s="6">
        <v>0</v>
      </c>
      <c r="AC238" s="7">
        <v>0</v>
      </c>
      <c r="AE238" s="5">
        <f t="shared" si="20"/>
        <v>0</v>
      </c>
      <c r="AF238" s="1" t="s">
        <v>34</v>
      </c>
      <c r="AG238" s="19" cm="1">
        <f t="array" ref="AG238">DIASQUIEBRE(Q238:AB238)</f>
        <v>25</v>
      </c>
      <c r="AH238" s="19" cm="1">
        <f t="array" ref="AH238">DiasMesesGris(Q238:AB238)</f>
        <v>330</v>
      </c>
      <c r="AI238" s="19">
        <f t="shared" si="16"/>
        <v>355</v>
      </c>
      <c r="AJ238" s="19">
        <f t="shared" si="17"/>
        <v>5</v>
      </c>
      <c r="AK238" s="20">
        <f t="shared" si="18"/>
        <v>30</v>
      </c>
      <c r="AL238" s="21">
        <f t="shared" si="15"/>
        <v>6</v>
      </c>
    </row>
    <row r="239" spans="1:38" x14ac:dyDescent="0.25">
      <c r="A239" s="1" t="s">
        <v>503</v>
      </c>
      <c r="B239" s="1" t="s">
        <v>504</v>
      </c>
      <c r="C239" s="1"/>
      <c r="D239" s="4"/>
      <c r="E239" s="4"/>
      <c r="F239" s="11">
        <v>20</v>
      </c>
      <c r="G239" s="4"/>
      <c r="H239" s="4"/>
      <c r="I239" s="4"/>
      <c r="J239" s="11">
        <v>-1</v>
      </c>
      <c r="K239" s="4"/>
      <c r="L239" s="4"/>
      <c r="M239" s="4"/>
      <c r="N239" s="4"/>
      <c r="O239" s="4"/>
      <c r="P239" s="4"/>
      <c r="Q239" s="6">
        <v>0</v>
      </c>
      <c r="R239" s="6">
        <v>0</v>
      </c>
      <c r="S239" s="9">
        <v>5.7142999999999997</v>
      </c>
      <c r="T239" s="6">
        <v>0</v>
      </c>
      <c r="U239" s="6">
        <v>0</v>
      </c>
      <c r="V239" s="6">
        <v>0</v>
      </c>
      <c r="W239" s="6">
        <v>0</v>
      </c>
      <c r="X239" s="6">
        <v>0</v>
      </c>
      <c r="Y239" s="6">
        <v>0</v>
      </c>
      <c r="Z239" s="6">
        <v>0</v>
      </c>
      <c r="AA239" s="6">
        <v>0</v>
      </c>
      <c r="AB239" s="6">
        <v>0</v>
      </c>
      <c r="AC239" s="7">
        <v>0</v>
      </c>
      <c r="AE239" s="5">
        <f t="shared" si="20"/>
        <v>0</v>
      </c>
      <c r="AF239" s="1" t="s">
        <v>34</v>
      </c>
      <c r="AG239" s="19" cm="1">
        <f t="array" ref="AG239">DIASQUIEBRE(Q239:AB239)</f>
        <v>25</v>
      </c>
      <c r="AH239" s="19" cm="1">
        <f t="array" ref="AH239">DiasMesesGris(Q239:AB239)</f>
        <v>330</v>
      </c>
      <c r="AI239" s="19">
        <f t="shared" si="16"/>
        <v>355</v>
      </c>
      <c r="AJ239" s="19">
        <f t="shared" si="17"/>
        <v>5</v>
      </c>
      <c r="AK239" s="20">
        <f t="shared" si="18"/>
        <v>19</v>
      </c>
      <c r="AL239" s="21">
        <f t="shared" si="15"/>
        <v>3.8</v>
      </c>
    </row>
    <row r="240" spans="1:38" x14ac:dyDescent="0.25">
      <c r="A240" s="1" t="s">
        <v>505</v>
      </c>
      <c r="B240" s="1" t="s">
        <v>506</v>
      </c>
      <c r="C240" s="1"/>
      <c r="D240" s="4"/>
      <c r="E240" s="4"/>
      <c r="F240" s="11">
        <v>20</v>
      </c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6">
        <v>0</v>
      </c>
      <c r="R240" s="6">
        <v>0</v>
      </c>
      <c r="S240" s="9">
        <v>5.7142999999999997</v>
      </c>
      <c r="T240" s="6">
        <v>0</v>
      </c>
      <c r="U240" s="6">
        <v>0</v>
      </c>
      <c r="V240" s="6">
        <v>0</v>
      </c>
      <c r="W240" s="6">
        <v>0</v>
      </c>
      <c r="X240" s="6">
        <v>0</v>
      </c>
      <c r="Y240" s="6">
        <v>0</v>
      </c>
      <c r="Z240" s="6">
        <v>0</v>
      </c>
      <c r="AA240" s="6">
        <v>0</v>
      </c>
      <c r="AB240" s="6">
        <v>0</v>
      </c>
      <c r="AC240" s="7">
        <v>0</v>
      </c>
      <c r="AE240" s="5">
        <f t="shared" si="20"/>
        <v>0</v>
      </c>
      <c r="AF240" s="1" t="s">
        <v>34</v>
      </c>
      <c r="AG240" s="19" cm="1">
        <f t="array" ref="AG240">DIASQUIEBRE(Q240:AB240)</f>
        <v>25</v>
      </c>
      <c r="AH240" s="19" cm="1">
        <f t="array" ref="AH240">DiasMesesGris(Q240:AB240)</f>
        <v>330</v>
      </c>
      <c r="AI240" s="19">
        <f t="shared" si="16"/>
        <v>355</v>
      </c>
      <c r="AJ240" s="19">
        <f t="shared" si="17"/>
        <v>5</v>
      </c>
      <c r="AK240" s="20">
        <f t="shared" si="18"/>
        <v>20</v>
      </c>
      <c r="AL240" s="21">
        <f t="shared" si="15"/>
        <v>4</v>
      </c>
    </row>
    <row r="241" spans="1:38" x14ac:dyDescent="0.25">
      <c r="A241" s="1" t="s">
        <v>507</v>
      </c>
      <c r="B241" s="1" t="s">
        <v>508</v>
      </c>
      <c r="C241" s="1"/>
      <c r="D241" s="4"/>
      <c r="E241" s="4"/>
      <c r="F241" s="11">
        <v>20</v>
      </c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6">
        <v>0</v>
      </c>
      <c r="R241" s="6">
        <v>0</v>
      </c>
      <c r="S241" s="9">
        <v>5.7142999999999997</v>
      </c>
      <c r="T241" s="6">
        <v>0</v>
      </c>
      <c r="U241" s="6">
        <v>0</v>
      </c>
      <c r="V241" s="6">
        <v>0</v>
      </c>
      <c r="W241" s="6">
        <v>0</v>
      </c>
      <c r="X241" s="6">
        <v>0</v>
      </c>
      <c r="Y241" s="6">
        <v>0</v>
      </c>
      <c r="Z241" s="6">
        <v>0</v>
      </c>
      <c r="AA241" s="6">
        <v>0</v>
      </c>
      <c r="AB241" s="6">
        <v>0</v>
      </c>
      <c r="AC241" s="7">
        <v>0</v>
      </c>
      <c r="AE241" s="5">
        <f t="shared" si="20"/>
        <v>0</v>
      </c>
      <c r="AF241" s="1" t="s">
        <v>34</v>
      </c>
      <c r="AG241" s="19" cm="1">
        <f t="array" ref="AG241">DIASQUIEBRE(Q241:AB241)</f>
        <v>25</v>
      </c>
      <c r="AH241" s="19" cm="1">
        <f t="array" ref="AH241">DiasMesesGris(Q241:AB241)</f>
        <v>330</v>
      </c>
      <c r="AI241" s="19">
        <f t="shared" si="16"/>
        <v>355</v>
      </c>
      <c r="AJ241" s="19">
        <f t="shared" si="17"/>
        <v>5</v>
      </c>
      <c r="AK241" s="20">
        <f t="shared" si="18"/>
        <v>20</v>
      </c>
      <c r="AL241" s="21">
        <f t="shared" si="15"/>
        <v>4</v>
      </c>
    </row>
    <row r="242" spans="1:38" x14ac:dyDescent="0.25">
      <c r="A242" s="1" t="s">
        <v>509</v>
      </c>
      <c r="B242" s="1" t="s">
        <v>510</v>
      </c>
      <c r="C242" s="1"/>
      <c r="D242" s="4"/>
      <c r="E242" s="4"/>
      <c r="F242" s="11">
        <v>20</v>
      </c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6">
        <v>0</v>
      </c>
      <c r="R242" s="6">
        <v>0</v>
      </c>
      <c r="S242" s="9">
        <v>1.0204</v>
      </c>
      <c r="T242" s="9">
        <v>0</v>
      </c>
      <c r="U242" s="6">
        <v>0</v>
      </c>
      <c r="V242" s="6">
        <v>0</v>
      </c>
      <c r="W242" s="6">
        <v>0</v>
      </c>
      <c r="X242" s="6">
        <v>0</v>
      </c>
      <c r="Y242" s="6">
        <v>0</v>
      </c>
      <c r="Z242" s="6">
        <v>0</v>
      </c>
      <c r="AA242" s="6">
        <v>0</v>
      </c>
      <c r="AB242" s="6">
        <v>0</v>
      </c>
      <c r="AC242" s="7">
        <v>0</v>
      </c>
      <c r="AE242" s="5">
        <f t="shared" si="20"/>
        <v>0</v>
      </c>
      <c r="AF242" s="1" t="s">
        <v>34</v>
      </c>
      <c r="AG242" s="19" cm="1">
        <f t="array" ref="AG242">DIASQUIEBRE(Q242:AB242)</f>
        <v>26</v>
      </c>
      <c r="AH242" s="19" cm="1">
        <f t="array" ref="AH242">DiasMesesGris(Q242:AB242)</f>
        <v>300</v>
      </c>
      <c r="AI242" s="19">
        <f t="shared" si="16"/>
        <v>326</v>
      </c>
      <c r="AJ242" s="19">
        <f t="shared" si="17"/>
        <v>34</v>
      </c>
      <c r="AK242" s="20">
        <f t="shared" si="18"/>
        <v>20</v>
      </c>
      <c r="AL242" s="21">
        <f t="shared" si="15"/>
        <v>0.58823529411764708</v>
      </c>
    </row>
    <row r="243" spans="1:38" x14ac:dyDescent="0.25">
      <c r="A243" s="1" t="s">
        <v>511</v>
      </c>
      <c r="B243" s="1" t="s">
        <v>512</v>
      </c>
      <c r="C243" s="1"/>
      <c r="D243" s="4"/>
      <c r="E243" s="4"/>
      <c r="F243" s="11">
        <v>20</v>
      </c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6">
        <v>0</v>
      </c>
      <c r="R243" s="6">
        <v>0</v>
      </c>
      <c r="S243" s="9">
        <v>5.7142999999999997</v>
      </c>
      <c r="T243" s="6">
        <v>0</v>
      </c>
      <c r="U243" s="6">
        <v>0</v>
      </c>
      <c r="V243" s="6">
        <v>0</v>
      </c>
      <c r="W243" s="6">
        <v>0</v>
      </c>
      <c r="X243" s="6">
        <v>0</v>
      </c>
      <c r="Y243" s="6">
        <v>0</v>
      </c>
      <c r="Z243" s="6">
        <v>0</v>
      </c>
      <c r="AA243" s="6">
        <v>0</v>
      </c>
      <c r="AB243" s="6">
        <v>0</v>
      </c>
      <c r="AC243" s="7">
        <v>0</v>
      </c>
      <c r="AE243" s="5">
        <f t="shared" si="20"/>
        <v>0</v>
      </c>
      <c r="AF243" s="1" t="s">
        <v>34</v>
      </c>
      <c r="AG243" s="19" cm="1">
        <f t="array" ref="AG243">DIASQUIEBRE(Q243:AB243)</f>
        <v>25</v>
      </c>
      <c r="AH243" s="19" cm="1">
        <f t="array" ref="AH243">DiasMesesGris(Q243:AB243)</f>
        <v>330</v>
      </c>
      <c r="AI243" s="19">
        <f t="shared" si="16"/>
        <v>355</v>
      </c>
      <c r="AJ243" s="19">
        <f t="shared" si="17"/>
        <v>5</v>
      </c>
      <c r="AK243" s="20">
        <f t="shared" si="18"/>
        <v>20</v>
      </c>
      <c r="AL243" s="21">
        <f t="shared" si="15"/>
        <v>4</v>
      </c>
    </row>
    <row r="244" spans="1:38" x14ac:dyDescent="0.25">
      <c r="A244" s="1" t="s">
        <v>513</v>
      </c>
      <c r="B244" s="1" t="s">
        <v>514</v>
      </c>
      <c r="C244" s="1"/>
      <c r="D244" s="4"/>
      <c r="E244" s="4"/>
      <c r="F244" s="11">
        <v>20</v>
      </c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6">
        <v>0</v>
      </c>
      <c r="R244" s="6">
        <v>0</v>
      </c>
      <c r="S244" s="9">
        <v>5.7142999999999997</v>
      </c>
      <c r="T244" s="6">
        <v>0</v>
      </c>
      <c r="U244" s="6">
        <v>0</v>
      </c>
      <c r="V244" s="6">
        <v>0</v>
      </c>
      <c r="W244" s="6">
        <v>0</v>
      </c>
      <c r="X244" s="6">
        <v>0</v>
      </c>
      <c r="Y244" s="6">
        <v>0</v>
      </c>
      <c r="Z244" s="6">
        <v>0</v>
      </c>
      <c r="AA244" s="6">
        <v>0</v>
      </c>
      <c r="AB244" s="6">
        <v>0</v>
      </c>
      <c r="AC244" s="7">
        <v>0</v>
      </c>
      <c r="AE244" s="5">
        <f t="shared" si="20"/>
        <v>0</v>
      </c>
      <c r="AF244" s="1" t="s">
        <v>34</v>
      </c>
      <c r="AG244" s="19" cm="1">
        <f t="array" ref="AG244">DIASQUIEBRE(Q244:AB244)</f>
        <v>25</v>
      </c>
      <c r="AH244" s="19" cm="1">
        <f t="array" ref="AH244">DiasMesesGris(Q244:AB244)</f>
        <v>330</v>
      </c>
      <c r="AI244" s="19">
        <f t="shared" si="16"/>
        <v>355</v>
      </c>
      <c r="AJ244" s="19">
        <f t="shared" si="17"/>
        <v>5</v>
      </c>
      <c r="AK244" s="20">
        <f t="shared" si="18"/>
        <v>20</v>
      </c>
      <c r="AL244" s="21">
        <f t="shared" si="15"/>
        <v>4</v>
      </c>
    </row>
    <row r="245" spans="1:38" x14ac:dyDescent="0.25">
      <c r="A245" s="1" t="s">
        <v>515</v>
      </c>
      <c r="B245" s="1" t="s">
        <v>516</v>
      </c>
      <c r="C245" s="1"/>
      <c r="D245" s="4"/>
      <c r="E245" s="4"/>
      <c r="F245" s="11">
        <v>20</v>
      </c>
      <c r="G245" s="4"/>
      <c r="H245" s="4"/>
      <c r="I245" s="4"/>
      <c r="J245" s="11">
        <v>-1</v>
      </c>
      <c r="K245" s="4"/>
      <c r="L245" s="4"/>
      <c r="M245" s="4"/>
      <c r="N245" s="4"/>
      <c r="O245" s="4"/>
      <c r="P245" s="4"/>
      <c r="Q245" s="6">
        <v>0</v>
      </c>
      <c r="R245" s="6">
        <v>0</v>
      </c>
      <c r="S245" s="9">
        <v>5.7142999999999997</v>
      </c>
      <c r="T245" s="6">
        <v>0</v>
      </c>
      <c r="U245" s="6">
        <v>0</v>
      </c>
      <c r="V245" s="6">
        <v>0</v>
      </c>
      <c r="W245" s="6">
        <v>0</v>
      </c>
      <c r="X245" s="6">
        <v>0</v>
      </c>
      <c r="Y245" s="6">
        <v>0</v>
      </c>
      <c r="Z245" s="6">
        <v>0</v>
      </c>
      <c r="AA245" s="6">
        <v>0</v>
      </c>
      <c r="AB245" s="6">
        <v>0</v>
      </c>
      <c r="AC245" s="7">
        <v>0</v>
      </c>
      <c r="AE245" s="5">
        <f t="shared" si="20"/>
        <v>0</v>
      </c>
      <c r="AF245" s="1" t="s">
        <v>34</v>
      </c>
      <c r="AG245" s="19" cm="1">
        <f t="array" ref="AG245">DIASQUIEBRE(Q245:AB245)</f>
        <v>25</v>
      </c>
      <c r="AH245" s="19" cm="1">
        <f t="array" ref="AH245">DiasMesesGris(Q245:AB245)</f>
        <v>330</v>
      </c>
      <c r="AI245" s="19">
        <f t="shared" si="16"/>
        <v>355</v>
      </c>
      <c r="AJ245" s="19">
        <f t="shared" si="17"/>
        <v>5</v>
      </c>
      <c r="AK245" s="20">
        <f t="shared" si="18"/>
        <v>19</v>
      </c>
      <c r="AL245" s="21">
        <f t="shared" si="15"/>
        <v>3.8</v>
      </c>
    </row>
    <row r="246" spans="1:38" x14ac:dyDescent="0.25">
      <c r="A246" s="1" t="s">
        <v>517</v>
      </c>
      <c r="B246" s="1" t="s">
        <v>518</v>
      </c>
      <c r="C246" s="1"/>
      <c r="D246" s="4"/>
      <c r="E246" s="4"/>
      <c r="F246" s="11">
        <v>20</v>
      </c>
      <c r="G246" s="4"/>
      <c r="H246" s="4"/>
      <c r="I246" s="4"/>
      <c r="J246" s="4"/>
      <c r="K246" s="11">
        <v>-1</v>
      </c>
      <c r="L246" s="4"/>
      <c r="M246" s="4"/>
      <c r="N246" s="4"/>
      <c r="O246" s="4"/>
      <c r="P246" s="4"/>
      <c r="Q246" s="6">
        <v>0</v>
      </c>
      <c r="R246" s="6">
        <v>0</v>
      </c>
      <c r="S246" s="9">
        <v>5.7142999999999997</v>
      </c>
      <c r="T246" s="6">
        <v>0</v>
      </c>
      <c r="U246" s="6">
        <v>0</v>
      </c>
      <c r="V246" s="6">
        <v>0</v>
      </c>
      <c r="W246" s="6">
        <v>0</v>
      </c>
      <c r="X246" s="6">
        <v>0</v>
      </c>
      <c r="Y246" s="6">
        <v>0</v>
      </c>
      <c r="Z246" s="6">
        <v>0</v>
      </c>
      <c r="AA246" s="6">
        <v>0</v>
      </c>
      <c r="AB246" s="6">
        <v>0</v>
      </c>
      <c r="AC246" s="7">
        <v>0</v>
      </c>
      <c r="AE246" s="5">
        <f t="shared" si="20"/>
        <v>0</v>
      </c>
      <c r="AF246" s="1" t="s">
        <v>34</v>
      </c>
      <c r="AG246" s="19" cm="1">
        <f t="array" ref="AG246">DIASQUIEBRE(Q246:AB246)</f>
        <v>25</v>
      </c>
      <c r="AH246" s="19" cm="1">
        <f t="array" ref="AH246">DiasMesesGris(Q246:AB246)</f>
        <v>330</v>
      </c>
      <c r="AI246" s="19">
        <f t="shared" si="16"/>
        <v>355</v>
      </c>
      <c r="AJ246" s="19">
        <f t="shared" si="17"/>
        <v>5</v>
      </c>
      <c r="AK246" s="20">
        <f t="shared" si="18"/>
        <v>19</v>
      </c>
      <c r="AL246" s="21">
        <f t="shared" si="15"/>
        <v>3.8</v>
      </c>
    </row>
    <row r="247" spans="1:38" x14ac:dyDescent="0.25">
      <c r="A247" s="1" t="s">
        <v>519</v>
      </c>
      <c r="B247" s="1" t="s">
        <v>520</v>
      </c>
      <c r="C247" s="1"/>
      <c r="D247" s="4"/>
      <c r="E247" s="4"/>
      <c r="F247" s="11">
        <v>20</v>
      </c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6">
        <v>0</v>
      </c>
      <c r="R247" s="6">
        <v>0</v>
      </c>
      <c r="S247" s="9">
        <v>5.7142999999999997</v>
      </c>
      <c r="T247" s="6">
        <v>0</v>
      </c>
      <c r="U247" s="6">
        <v>0</v>
      </c>
      <c r="V247" s="6">
        <v>0</v>
      </c>
      <c r="W247" s="6">
        <v>0</v>
      </c>
      <c r="X247" s="6">
        <v>0</v>
      </c>
      <c r="Y247" s="6">
        <v>0</v>
      </c>
      <c r="Z247" s="6">
        <v>0</v>
      </c>
      <c r="AA247" s="6">
        <v>0</v>
      </c>
      <c r="AB247" s="6">
        <v>0</v>
      </c>
      <c r="AC247" s="7">
        <v>0</v>
      </c>
      <c r="AE247" s="5">
        <f t="shared" si="20"/>
        <v>0</v>
      </c>
      <c r="AF247" s="1" t="s">
        <v>34</v>
      </c>
      <c r="AG247" s="19" cm="1">
        <f t="array" ref="AG247">DIASQUIEBRE(Q247:AB247)</f>
        <v>25</v>
      </c>
      <c r="AH247" s="19" cm="1">
        <f t="array" ref="AH247">DiasMesesGris(Q247:AB247)</f>
        <v>330</v>
      </c>
      <c r="AI247" s="19">
        <f t="shared" si="16"/>
        <v>355</v>
      </c>
      <c r="AJ247" s="19">
        <f t="shared" si="17"/>
        <v>5</v>
      </c>
      <c r="AK247" s="20">
        <f t="shared" si="18"/>
        <v>20</v>
      </c>
      <c r="AL247" s="21">
        <f t="shared" si="15"/>
        <v>4</v>
      </c>
    </row>
    <row r="248" spans="1:38" x14ac:dyDescent="0.25">
      <c r="A248" s="1" t="s">
        <v>521</v>
      </c>
      <c r="B248" s="1" t="s">
        <v>522</v>
      </c>
      <c r="C248" s="1"/>
      <c r="D248" s="4"/>
      <c r="E248" s="4"/>
      <c r="F248" s="11">
        <v>50</v>
      </c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6">
        <v>0</v>
      </c>
      <c r="R248" s="6">
        <v>0</v>
      </c>
      <c r="S248" s="9">
        <v>14.2857</v>
      </c>
      <c r="T248" s="6">
        <v>0</v>
      </c>
      <c r="U248" s="6">
        <v>0</v>
      </c>
      <c r="V248" s="6">
        <v>0</v>
      </c>
      <c r="W248" s="6">
        <v>0</v>
      </c>
      <c r="X248" s="6">
        <v>0</v>
      </c>
      <c r="Y248" s="6">
        <v>0</v>
      </c>
      <c r="Z248" s="6">
        <v>0</v>
      </c>
      <c r="AA248" s="6">
        <v>0</v>
      </c>
      <c r="AB248" s="6">
        <v>0</v>
      </c>
      <c r="AC248" s="7">
        <v>0</v>
      </c>
      <c r="AE248" s="5">
        <f t="shared" si="20"/>
        <v>0</v>
      </c>
      <c r="AF248" s="1" t="s">
        <v>34</v>
      </c>
      <c r="AG248" s="19" cm="1">
        <f t="array" ref="AG248">DIASQUIEBRE(Q248:AB248)</f>
        <v>25</v>
      </c>
      <c r="AH248" s="19" cm="1">
        <f t="array" ref="AH248">DiasMesesGris(Q248:AB248)</f>
        <v>330</v>
      </c>
      <c r="AI248" s="19">
        <f t="shared" si="16"/>
        <v>355</v>
      </c>
      <c r="AJ248" s="19">
        <f t="shared" si="17"/>
        <v>5</v>
      </c>
      <c r="AK248" s="20">
        <f t="shared" si="18"/>
        <v>50</v>
      </c>
      <c r="AL248" s="21">
        <f t="shared" si="15"/>
        <v>10</v>
      </c>
    </row>
    <row r="249" spans="1:38" x14ac:dyDescent="0.25">
      <c r="A249" s="1" t="s">
        <v>523</v>
      </c>
      <c r="B249" s="1" t="s">
        <v>524</v>
      </c>
      <c r="C249" s="1"/>
      <c r="D249" s="4"/>
      <c r="E249" s="4"/>
      <c r="F249" s="11">
        <v>50</v>
      </c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6">
        <v>0</v>
      </c>
      <c r="R249" s="6">
        <v>0</v>
      </c>
      <c r="S249" s="9">
        <v>14.2857</v>
      </c>
      <c r="T249" s="6">
        <v>0</v>
      </c>
      <c r="U249" s="6">
        <v>0</v>
      </c>
      <c r="V249" s="6">
        <v>0</v>
      </c>
      <c r="W249" s="6">
        <v>0</v>
      </c>
      <c r="X249" s="6">
        <v>0</v>
      </c>
      <c r="Y249" s="6">
        <v>0</v>
      </c>
      <c r="Z249" s="6">
        <v>0</v>
      </c>
      <c r="AA249" s="6">
        <v>0</v>
      </c>
      <c r="AB249" s="6">
        <v>0</v>
      </c>
      <c r="AC249" s="7">
        <v>0</v>
      </c>
      <c r="AE249" s="5">
        <f t="shared" si="20"/>
        <v>0</v>
      </c>
      <c r="AF249" s="1" t="s">
        <v>34</v>
      </c>
      <c r="AG249" s="19" cm="1">
        <f t="array" ref="AG249">DIASQUIEBRE(Q249:AB249)</f>
        <v>25</v>
      </c>
      <c r="AH249" s="19" cm="1">
        <f t="array" ref="AH249">DiasMesesGris(Q249:AB249)</f>
        <v>330</v>
      </c>
      <c r="AI249" s="19">
        <f t="shared" si="16"/>
        <v>355</v>
      </c>
      <c r="AJ249" s="19">
        <f t="shared" si="17"/>
        <v>5</v>
      </c>
      <c r="AK249" s="20">
        <f t="shared" si="18"/>
        <v>50</v>
      </c>
      <c r="AL249" s="21">
        <f t="shared" si="15"/>
        <v>10</v>
      </c>
    </row>
    <row r="250" spans="1:38" x14ac:dyDescent="0.25">
      <c r="A250" s="1" t="s">
        <v>525</v>
      </c>
      <c r="B250" s="1" t="s">
        <v>526</v>
      </c>
      <c r="C250" s="1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6">
        <v>0</v>
      </c>
      <c r="R250" s="6">
        <v>0</v>
      </c>
      <c r="S250" s="9">
        <v>0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Z250" s="5">
        <v>0</v>
      </c>
      <c r="AA250" s="5">
        <v>0</v>
      </c>
      <c r="AB250" s="5">
        <v>0</v>
      </c>
      <c r="AC250" s="8">
        <v>0</v>
      </c>
      <c r="AE250" s="5">
        <f t="shared" si="20"/>
        <v>0</v>
      </c>
      <c r="AF250" s="1" t="s">
        <v>34</v>
      </c>
      <c r="AG250" s="19" cm="1">
        <f t="array" ref="AG250">DIASQUIEBRE(Q250:AB250)</f>
        <v>2</v>
      </c>
      <c r="AH250" s="19" cm="1">
        <f t="array" ref="AH250">DiasMesesGris(Q250:AB250)</f>
        <v>60</v>
      </c>
      <c r="AI250" s="19">
        <f t="shared" si="16"/>
        <v>62</v>
      </c>
      <c r="AJ250" s="19">
        <f t="shared" si="17"/>
        <v>298</v>
      </c>
      <c r="AK250" s="20">
        <f t="shared" si="18"/>
        <v>0</v>
      </c>
      <c r="AL250" s="21">
        <f t="shared" si="15"/>
        <v>0</v>
      </c>
    </row>
    <row r="251" spans="1:38" x14ac:dyDescent="0.25">
      <c r="A251" s="1" t="s">
        <v>527</v>
      </c>
      <c r="B251" s="1" t="s">
        <v>528</v>
      </c>
      <c r="C251" s="1"/>
      <c r="D251" s="4"/>
      <c r="E251" s="4"/>
      <c r="F251" s="4"/>
      <c r="G251" s="4"/>
      <c r="H251" s="4"/>
      <c r="I251" s="11">
        <v>77</v>
      </c>
      <c r="J251" s="11">
        <v>3</v>
      </c>
      <c r="K251" s="11">
        <v>3</v>
      </c>
      <c r="L251" s="11">
        <v>3</v>
      </c>
      <c r="M251" s="11">
        <v>16</v>
      </c>
      <c r="N251" s="11">
        <v>4</v>
      </c>
      <c r="O251" s="11">
        <v>11</v>
      </c>
      <c r="P251" s="11">
        <v>1</v>
      </c>
      <c r="Q251" s="6">
        <v>0</v>
      </c>
      <c r="R251" s="6">
        <v>0</v>
      </c>
      <c r="S251" s="6">
        <v>0</v>
      </c>
      <c r="T251" s="6">
        <v>0</v>
      </c>
      <c r="U251" s="6">
        <v>0</v>
      </c>
      <c r="V251" s="9">
        <v>1.9642999999999999</v>
      </c>
      <c r="W251" s="5">
        <v>0.121</v>
      </c>
      <c r="X251" s="5">
        <v>0.15310000000000001</v>
      </c>
      <c r="Y251" s="5">
        <v>0.1075</v>
      </c>
      <c r="Z251" s="5">
        <v>0.66669999999999996</v>
      </c>
      <c r="AA251" s="5">
        <v>0.129</v>
      </c>
      <c r="AB251" s="5">
        <v>0.36670000000000003</v>
      </c>
      <c r="AC251" s="8">
        <v>1.7899999999999999E-2</v>
      </c>
      <c r="AD251" s="5">
        <v>0.25729999999999997</v>
      </c>
      <c r="AE251" s="5">
        <f>AVERAGE(W251:AB251)</f>
        <v>0.25733333333333336</v>
      </c>
      <c r="AF251" s="1" t="s">
        <v>34</v>
      </c>
      <c r="AG251" s="19" cm="1">
        <f t="array" ref="AG251">DIASQUIEBRE(Q251:AB251)</f>
        <v>3</v>
      </c>
      <c r="AH251" s="19" cm="1">
        <f t="array" ref="AH251">DiasMesesGris(Q251:AB251)</f>
        <v>150</v>
      </c>
      <c r="AI251" s="19">
        <f t="shared" si="16"/>
        <v>153</v>
      </c>
      <c r="AJ251" s="19">
        <f t="shared" si="17"/>
        <v>207</v>
      </c>
      <c r="AK251" s="20">
        <f t="shared" si="18"/>
        <v>117</v>
      </c>
      <c r="AL251" s="21">
        <f t="shared" si="15"/>
        <v>0.56521739130434778</v>
      </c>
    </row>
    <row r="252" spans="1:38" x14ac:dyDescent="0.25">
      <c r="A252" s="1" t="s">
        <v>529</v>
      </c>
      <c r="B252" s="1" t="s">
        <v>530</v>
      </c>
      <c r="C252" s="1"/>
      <c r="D252" s="4"/>
      <c r="E252" s="4"/>
      <c r="F252" s="4"/>
      <c r="G252" s="4"/>
      <c r="H252" s="4"/>
      <c r="I252" s="11">
        <v>27</v>
      </c>
      <c r="J252" s="4"/>
      <c r="K252" s="4"/>
      <c r="L252" s="11">
        <v>13</v>
      </c>
      <c r="M252" s="11">
        <v>11</v>
      </c>
      <c r="N252" s="11">
        <v>1</v>
      </c>
      <c r="O252" s="11">
        <v>7</v>
      </c>
      <c r="P252" s="11">
        <v>4</v>
      </c>
      <c r="Q252" s="6">
        <v>0</v>
      </c>
      <c r="R252" s="6">
        <v>0</v>
      </c>
      <c r="S252" s="6">
        <v>0</v>
      </c>
      <c r="T252" s="6">
        <v>0</v>
      </c>
      <c r="U252" s="6">
        <v>0</v>
      </c>
      <c r="V252" s="9">
        <v>0.68879999999999997</v>
      </c>
      <c r="W252" s="5">
        <v>0</v>
      </c>
      <c r="X252" s="5">
        <v>0</v>
      </c>
      <c r="Y252" s="5">
        <v>0.46589999999999998</v>
      </c>
      <c r="Z252" s="5">
        <v>0.45829999999999999</v>
      </c>
      <c r="AA252" s="5">
        <v>3.2300000000000002E-2</v>
      </c>
      <c r="AB252" s="5">
        <v>0.23330000000000001</v>
      </c>
      <c r="AC252" s="8">
        <v>7.17E-2</v>
      </c>
      <c r="AD252" s="5">
        <v>0.1983</v>
      </c>
      <c r="AE252" s="5">
        <f t="shared" ref="AE252:AE258" si="21">AVERAGE(W252:AB252)</f>
        <v>0.1983</v>
      </c>
      <c r="AF252" s="1" t="s">
        <v>34</v>
      </c>
      <c r="AG252" s="19" cm="1">
        <f t="array" ref="AG252">DIASQUIEBRE(Q252:AB252)</f>
        <v>3</v>
      </c>
      <c r="AH252" s="19" cm="1">
        <f t="array" ref="AH252">DiasMesesGris(Q252:AB252)</f>
        <v>150</v>
      </c>
      <c r="AI252" s="19">
        <f t="shared" si="16"/>
        <v>153</v>
      </c>
      <c r="AJ252" s="19">
        <f t="shared" si="17"/>
        <v>207</v>
      </c>
      <c r="AK252" s="20">
        <f t="shared" si="18"/>
        <v>59</v>
      </c>
      <c r="AL252" s="21">
        <f t="shared" si="15"/>
        <v>0.28502415458937197</v>
      </c>
    </row>
    <row r="253" spans="1:38" x14ac:dyDescent="0.25">
      <c r="A253" s="1" t="s">
        <v>531</v>
      </c>
      <c r="B253" s="1" t="s">
        <v>532</v>
      </c>
      <c r="C253" s="1"/>
      <c r="D253" s="4"/>
      <c r="E253" s="4"/>
      <c r="F253" s="4"/>
      <c r="G253" s="4"/>
      <c r="H253" s="4"/>
      <c r="I253" s="11">
        <v>26</v>
      </c>
      <c r="J253" s="11">
        <v>4</v>
      </c>
      <c r="K253" s="11">
        <v>1</v>
      </c>
      <c r="L253" s="11">
        <v>1</v>
      </c>
      <c r="M253" s="4"/>
      <c r="N253" s="4"/>
      <c r="O253" s="11">
        <v>1</v>
      </c>
      <c r="P253" s="11">
        <v>1</v>
      </c>
      <c r="Q253" s="6">
        <v>0</v>
      </c>
      <c r="R253" s="6">
        <v>0</v>
      </c>
      <c r="S253" s="6">
        <v>0</v>
      </c>
      <c r="T253" s="6">
        <v>0</v>
      </c>
      <c r="U253" s="6">
        <v>0</v>
      </c>
      <c r="V253" s="9">
        <v>0.6633</v>
      </c>
      <c r="W253" s="5">
        <v>0.1613</v>
      </c>
      <c r="X253" s="5">
        <v>5.0999999999999997E-2</v>
      </c>
      <c r="Y253" s="5">
        <v>3.5799999999999998E-2</v>
      </c>
      <c r="Z253" s="5">
        <v>0</v>
      </c>
      <c r="AA253" s="5">
        <v>0</v>
      </c>
      <c r="AB253" s="5">
        <v>3.3300000000000003E-2</v>
      </c>
      <c r="AC253" s="8">
        <v>1.7899999999999999E-2</v>
      </c>
      <c r="AD253" s="5">
        <v>4.6899999999999997E-2</v>
      </c>
      <c r="AE253" s="5">
        <f t="shared" si="21"/>
        <v>4.6899999999999997E-2</v>
      </c>
      <c r="AF253" s="1" t="s">
        <v>34</v>
      </c>
      <c r="AG253" s="19" cm="1">
        <f t="array" ref="AG253">DIASQUIEBRE(Q253:AB253)</f>
        <v>3</v>
      </c>
      <c r="AH253" s="19" cm="1">
        <f t="array" ref="AH253">DiasMesesGris(Q253:AB253)</f>
        <v>150</v>
      </c>
      <c r="AI253" s="19">
        <f t="shared" si="16"/>
        <v>153</v>
      </c>
      <c r="AJ253" s="19">
        <f t="shared" si="17"/>
        <v>207</v>
      </c>
      <c r="AK253" s="20">
        <f t="shared" si="18"/>
        <v>33</v>
      </c>
      <c r="AL253" s="21">
        <f t="shared" si="15"/>
        <v>0.15942028985507245</v>
      </c>
    </row>
    <row r="254" spans="1:38" x14ac:dyDescent="0.25">
      <c r="A254" s="1" t="s">
        <v>533</v>
      </c>
      <c r="B254" s="1" t="s">
        <v>534</v>
      </c>
      <c r="C254" s="1"/>
      <c r="D254" s="4"/>
      <c r="E254" s="4"/>
      <c r="F254" s="4"/>
      <c r="G254" s="4"/>
      <c r="H254" s="4"/>
      <c r="I254" s="11">
        <v>31</v>
      </c>
      <c r="J254" s="11">
        <v>1</v>
      </c>
      <c r="K254" s="11">
        <v>1</v>
      </c>
      <c r="L254" s="11">
        <v>5</v>
      </c>
      <c r="M254" s="4"/>
      <c r="N254" s="4"/>
      <c r="O254" s="11">
        <v>1</v>
      </c>
      <c r="P254" s="4"/>
      <c r="Q254" s="6">
        <v>0</v>
      </c>
      <c r="R254" s="6">
        <v>0</v>
      </c>
      <c r="S254" s="6">
        <v>0</v>
      </c>
      <c r="T254" s="6">
        <v>0</v>
      </c>
      <c r="U254" s="6">
        <v>0</v>
      </c>
      <c r="V254" s="9">
        <v>0.79079999999999995</v>
      </c>
      <c r="W254" s="5">
        <v>4.0300000000000002E-2</v>
      </c>
      <c r="X254" s="5">
        <v>5.0999999999999997E-2</v>
      </c>
      <c r="Y254" s="5">
        <v>0.1792</v>
      </c>
      <c r="Z254" s="5">
        <v>0</v>
      </c>
      <c r="AA254" s="5">
        <v>0</v>
      </c>
      <c r="AB254" s="5">
        <v>3.3300000000000003E-2</v>
      </c>
      <c r="AC254" s="8">
        <v>0</v>
      </c>
      <c r="AD254" s="5">
        <v>5.0599999999999999E-2</v>
      </c>
      <c r="AE254" s="5">
        <f t="shared" si="21"/>
        <v>5.0633333333333329E-2</v>
      </c>
      <c r="AF254" s="1" t="s">
        <v>34</v>
      </c>
      <c r="AG254" s="19" cm="1">
        <f t="array" ref="AG254">DIASQUIEBRE(Q254:AB254)</f>
        <v>3</v>
      </c>
      <c r="AH254" s="19" cm="1">
        <f t="array" ref="AH254">DiasMesesGris(Q254:AB254)</f>
        <v>150</v>
      </c>
      <c r="AI254" s="19">
        <f t="shared" si="16"/>
        <v>153</v>
      </c>
      <c r="AJ254" s="19">
        <f t="shared" si="17"/>
        <v>207</v>
      </c>
      <c r="AK254" s="20">
        <f t="shared" si="18"/>
        <v>39</v>
      </c>
      <c r="AL254" s="21">
        <f t="shared" si="15"/>
        <v>0.18840579710144928</v>
      </c>
    </row>
    <row r="255" spans="1:38" x14ac:dyDescent="0.25">
      <c r="A255" s="1" t="s">
        <v>535</v>
      </c>
      <c r="B255" s="1" t="s">
        <v>536</v>
      </c>
      <c r="C255" s="1"/>
      <c r="D255" s="4"/>
      <c r="E255" s="4"/>
      <c r="F255" s="4"/>
      <c r="G255" s="4"/>
      <c r="H255" s="4"/>
      <c r="I255" s="11">
        <v>38</v>
      </c>
      <c r="J255" s="11">
        <v>8</v>
      </c>
      <c r="K255" s="11">
        <v>11</v>
      </c>
      <c r="L255" s="4"/>
      <c r="M255" s="4"/>
      <c r="N255" s="4"/>
      <c r="O255" s="11">
        <v>1</v>
      </c>
      <c r="P255" s="11">
        <v>2</v>
      </c>
      <c r="Q255" s="6">
        <v>0</v>
      </c>
      <c r="R255" s="6">
        <v>0</v>
      </c>
      <c r="S255" s="6">
        <v>0</v>
      </c>
      <c r="T255" s="6">
        <v>0</v>
      </c>
      <c r="U255" s="6">
        <v>0</v>
      </c>
      <c r="V255" s="9">
        <v>0.96940000000000004</v>
      </c>
      <c r="W255" s="5">
        <v>0.3226</v>
      </c>
      <c r="X255" s="9">
        <v>0.60440000000000005</v>
      </c>
      <c r="Y255" s="6">
        <v>0</v>
      </c>
      <c r="Z255" s="9">
        <v>0</v>
      </c>
      <c r="AA255" s="5">
        <v>0</v>
      </c>
      <c r="AB255" s="5">
        <v>3.3300000000000003E-2</v>
      </c>
      <c r="AC255" s="8">
        <v>3.5799999999999998E-2</v>
      </c>
      <c r="AD255" s="5">
        <v>0.1186</v>
      </c>
      <c r="AE255" s="5">
        <v>0.25</v>
      </c>
      <c r="AF255" s="1" t="s">
        <v>34</v>
      </c>
      <c r="AG255" s="19" cm="1">
        <f t="array" ref="AG255">DIASQUIEBRE(Q255:AB255)</f>
        <v>34</v>
      </c>
      <c r="AH255" s="19" cm="1">
        <f t="array" ref="AH255">DiasMesesGris(Q255:AB255)</f>
        <v>180</v>
      </c>
      <c r="AI255" s="19">
        <f t="shared" si="16"/>
        <v>214</v>
      </c>
      <c r="AJ255" s="19">
        <f t="shared" si="17"/>
        <v>146</v>
      </c>
      <c r="AK255" s="20">
        <f t="shared" si="18"/>
        <v>58</v>
      </c>
      <c r="AL255" s="21">
        <f t="shared" si="15"/>
        <v>0.39726027397260272</v>
      </c>
    </row>
    <row r="256" spans="1:38" x14ac:dyDescent="0.25">
      <c r="A256" s="1" t="s">
        <v>537</v>
      </c>
      <c r="B256" s="1" t="s">
        <v>538</v>
      </c>
      <c r="C256" s="1"/>
      <c r="D256" s="4"/>
      <c r="E256" s="4"/>
      <c r="F256" s="4"/>
      <c r="G256" s="4"/>
      <c r="H256" s="4"/>
      <c r="I256" s="11">
        <v>32</v>
      </c>
      <c r="J256" s="11">
        <v>2</v>
      </c>
      <c r="K256" s="11">
        <v>4</v>
      </c>
      <c r="L256" s="11">
        <v>1</v>
      </c>
      <c r="M256" s="11">
        <v>7</v>
      </c>
      <c r="N256" s="11">
        <v>1</v>
      </c>
      <c r="O256" s="4"/>
      <c r="P256" s="4"/>
      <c r="Q256" s="6">
        <v>0</v>
      </c>
      <c r="R256" s="6">
        <v>0</v>
      </c>
      <c r="S256" s="6">
        <v>0</v>
      </c>
      <c r="T256" s="6">
        <v>0</v>
      </c>
      <c r="U256" s="6">
        <v>0</v>
      </c>
      <c r="V256" s="9">
        <v>0.81630000000000003</v>
      </c>
      <c r="W256" s="5">
        <v>8.0600000000000005E-2</v>
      </c>
      <c r="X256" s="5">
        <v>0.2041</v>
      </c>
      <c r="Y256" s="5">
        <v>3.5799999999999998E-2</v>
      </c>
      <c r="Z256" s="5">
        <v>0.29170000000000001</v>
      </c>
      <c r="AA256" s="5">
        <v>3.2300000000000002E-2</v>
      </c>
      <c r="AB256" s="5">
        <v>0</v>
      </c>
      <c r="AC256" s="8">
        <v>0</v>
      </c>
      <c r="AD256" s="5">
        <v>0.1074</v>
      </c>
      <c r="AE256" s="5">
        <f t="shared" si="21"/>
        <v>0.10741666666666667</v>
      </c>
      <c r="AF256" s="1" t="s">
        <v>34</v>
      </c>
      <c r="AG256" s="19" cm="1">
        <f t="array" ref="AG256">DIASQUIEBRE(Q256:AB256)</f>
        <v>3</v>
      </c>
      <c r="AH256" s="19" cm="1">
        <f t="array" ref="AH256">DiasMesesGris(Q256:AB256)</f>
        <v>150</v>
      </c>
      <c r="AI256" s="19">
        <f t="shared" si="16"/>
        <v>153</v>
      </c>
      <c r="AJ256" s="19">
        <f t="shared" si="17"/>
        <v>207</v>
      </c>
      <c r="AK256" s="20">
        <f t="shared" si="18"/>
        <v>47</v>
      </c>
      <c r="AL256" s="21">
        <f t="shared" si="15"/>
        <v>0.22705314009661837</v>
      </c>
    </row>
    <row r="257" spans="1:38" x14ac:dyDescent="0.25">
      <c r="A257" s="1" t="s">
        <v>539</v>
      </c>
      <c r="B257" s="1" t="s">
        <v>540</v>
      </c>
      <c r="C257" s="1"/>
      <c r="D257" s="4"/>
      <c r="E257" s="4"/>
      <c r="F257" s="4"/>
      <c r="G257" s="4"/>
      <c r="H257" s="4"/>
      <c r="I257" s="11">
        <v>7</v>
      </c>
      <c r="J257" s="11">
        <v>2</v>
      </c>
      <c r="K257" s="11">
        <v>-2</v>
      </c>
      <c r="L257" s="11">
        <v>14</v>
      </c>
      <c r="M257" s="11">
        <v>2</v>
      </c>
      <c r="N257" s="11">
        <v>2</v>
      </c>
      <c r="O257" s="11">
        <v>2</v>
      </c>
      <c r="P257" s="4"/>
      <c r="Q257" s="6">
        <v>0</v>
      </c>
      <c r="R257" s="6">
        <v>0</v>
      </c>
      <c r="S257" s="6">
        <v>0</v>
      </c>
      <c r="T257" s="6">
        <v>0</v>
      </c>
      <c r="U257" s="6">
        <v>0</v>
      </c>
      <c r="V257" s="9">
        <v>0.17860000000000001</v>
      </c>
      <c r="W257" s="5">
        <v>8.0600000000000005E-2</v>
      </c>
      <c r="X257" s="5">
        <v>-0.10199999999999999</v>
      </c>
      <c r="Y257" s="5">
        <v>0.50180000000000002</v>
      </c>
      <c r="Z257" s="5">
        <v>8.3299999999999999E-2</v>
      </c>
      <c r="AA257" s="5">
        <v>6.4500000000000002E-2</v>
      </c>
      <c r="AB257" s="5">
        <v>6.6699999999999995E-2</v>
      </c>
      <c r="AC257" s="8">
        <v>0</v>
      </c>
      <c r="AD257" s="5">
        <v>0.1158</v>
      </c>
      <c r="AE257" s="5">
        <f t="shared" si="21"/>
        <v>0.11581666666666668</v>
      </c>
      <c r="AF257" s="1" t="s">
        <v>34</v>
      </c>
      <c r="AG257" s="19" cm="1">
        <f t="array" ref="AG257">DIASQUIEBRE(Q257:AB257)</f>
        <v>3</v>
      </c>
      <c r="AH257" s="19" cm="1">
        <f t="array" ref="AH257">DiasMesesGris(Q257:AB257)</f>
        <v>150</v>
      </c>
      <c r="AI257" s="19">
        <f t="shared" si="16"/>
        <v>153</v>
      </c>
      <c r="AJ257" s="19">
        <f t="shared" si="17"/>
        <v>207</v>
      </c>
      <c r="AK257" s="20">
        <f t="shared" si="18"/>
        <v>27</v>
      </c>
      <c r="AL257" s="21">
        <f t="shared" si="15"/>
        <v>0.13043478260869565</v>
      </c>
    </row>
    <row r="258" spans="1:38" x14ac:dyDescent="0.25">
      <c r="A258" s="1" t="s">
        <v>541</v>
      </c>
      <c r="B258" s="1" t="s">
        <v>542</v>
      </c>
      <c r="C258" s="1"/>
      <c r="D258" s="4"/>
      <c r="E258" s="4"/>
      <c r="F258" s="4"/>
      <c r="G258" s="4"/>
      <c r="H258" s="4"/>
      <c r="I258" s="11">
        <v>8</v>
      </c>
      <c r="J258" s="11">
        <v>1</v>
      </c>
      <c r="K258" s="11">
        <v>4</v>
      </c>
      <c r="L258" s="11">
        <v>8</v>
      </c>
      <c r="M258" s="4"/>
      <c r="N258" s="4"/>
      <c r="O258" s="4"/>
      <c r="P258" s="4"/>
      <c r="Q258" s="6">
        <v>0</v>
      </c>
      <c r="R258" s="6">
        <v>0</v>
      </c>
      <c r="S258" s="6">
        <v>0</v>
      </c>
      <c r="T258" s="6">
        <v>0</v>
      </c>
      <c r="U258" s="6">
        <v>0</v>
      </c>
      <c r="V258" s="9">
        <v>0.2041</v>
      </c>
      <c r="W258" s="5">
        <v>4.0300000000000002E-2</v>
      </c>
      <c r="X258" s="5">
        <v>0.2041</v>
      </c>
      <c r="Y258" s="5">
        <v>0.28670000000000001</v>
      </c>
      <c r="Z258" s="5">
        <v>0</v>
      </c>
      <c r="AA258" s="5">
        <v>0</v>
      </c>
      <c r="AB258" s="5">
        <v>0</v>
      </c>
      <c r="AC258" s="8">
        <v>0</v>
      </c>
      <c r="AD258" s="5">
        <v>8.8499999999999995E-2</v>
      </c>
      <c r="AE258" s="5">
        <f t="shared" si="21"/>
        <v>8.8516666666666674E-2</v>
      </c>
      <c r="AF258" s="1" t="s">
        <v>34</v>
      </c>
      <c r="AG258" s="19" cm="1">
        <f t="array" ref="AG258">DIASQUIEBRE(Q258:AB258)</f>
        <v>3</v>
      </c>
      <c r="AH258" s="19" cm="1">
        <f t="array" ref="AH258">DiasMesesGris(Q258:AB258)</f>
        <v>150</v>
      </c>
      <c r="AI258" s="19">
        <f t="shared" si="16"/>
        <v>153</v>
      </c>
      <c r="AJ258" s="19">
        <f t="shared" si="17"/>
        <v>207</v>
      </c>
      <c r="AK258" s="20">
        <f t="shared" si="18"/>
        <v>21</v>
      </c>
      <c r="AL258" s="21">
        <f t="shared" si="15"/>
        <v>0.10144927536231885</v>
      </c>
    </row>
    <row r="259" spans="1:38" x14ac:dyDescent="0.25">
      <c r="A259" s="1" t="s">
        <v>543</v>
      </c>
      <c r="B259" s="1" t="s">
        <v>544</v>
      </c>
      <c r="C259" s="1" t="s">
        <v>545</v>
      </c>
      <c r="D259" s="4"/>
      <c r="E259" s="4"/>
      <c r="F259" s="4"/>
      <c r="G259" s="4"/>
      <c r="H259" s="11">
        <v>2</v>
      </c>
      <c r="I259" s="11">
        <v>11</v>
      </c>
      <c r="J259" s="11">
        <v>5</v>
      </c>
      <c r="K259" s="11">
        <v>3</v>
      </c>
      <c r="L259" s="11">
        <v>3</v>
      </c>
      <c r="M259" s="11">
        <v>4</v>
      </c>
      <c r="N259" s="11">
        <v>2</v>
      </c>
      <c r="O259" s="4"/>
      <c r="P259" s="4"/>
      <c r="Q259" s="6">
        <v>0</v>
      </c>
      <c r="R259" s="6">
        <v>0</v>
      </c>
      <c r="S259" s="6">
        <v>0</v>
      </c>
      <c r="T259" s="9">
        <v>0</v>
      </c>
      <c r="U259" s="5">
        <v>6.0600000000000001E-2</v>
      </c>
      <c r="V259" s="5">
        <v>0.2535</v>
      </c>
      <c r="W259" s="5">
        <v>0.2016</v>
      </c>
      <c r="X259" s="5">
        <v>0.15310000000000001</v>
      </c>
      <c r="Y259" s="5">
        <v>0.1075</v>
      </c>
      <c r="Z259" s="9">
        <v>0.2273</v>
      </c>
      <c r="AA259" s="6">
        <v>0</v>
      </c>
      <c r="AB259" s="6">
        <v>0</v>
      </c>
      <c r="AC259" s="7">
        <v>0</v>
      </c>
      <c r="AD259" s="5">
        <v>0.15529999999999999</v>
      </c>
      <c r="AE259" s="5">
        <v>0.17</v>
      </c>
      <c r="AF259" s="1" t="s">
        <v>34</v>
      </c>
      <c r="AG259" s="19" cm="1">
        <f t="array" ref="AG259">DIASQUIEBRE(Q259:AB259)</f>
        <v>15</v>
      </c>
      <c r="AH259" s="19" cm="1">
        <f t="array" ref="AH259">DiasMesesGris(Q259:AB259)</f>
        <v>150</v>
      </c>
      <c r="AI259" s="19">
        <f t="shared" si="16"/>
        <v>165</v>
      </c>
      <c r="AJ259" s="19">
        <f t="shared" si="17"/>
        <v>195</v>
      </c>
      <c r="AK259" s="20">
        <f t="shared" si="18"/>
        <v>30</v>
      </c>
      <c r="AL259" s="21">
        <f t="shared" ref="AL259:AL322" si="22">IFERROR(AK259/AJ259,0)</f>
        <v>0.15384615384615385</v>
      </c>
    </row>
    <row r="260" spans="1:38" x14ac:dyDescent="0.25">
      <c r="A260" s="1" t="s">
        <v>546</v>
      </c>
      <c r="B260" s="1" t="s">
        <v>547</v>
      </c>
      <c r="C260" s="1"/>
      <c r="D260" s="4"/>
      <c r="E260" s="4"/>
      <c r="F260" s="4"/>
      <c r="G260" s="4"/>
      <c r="H260" s="4"/>
      <c r="I260" s="4"/>
      <c r="J260" s="11">
        <v>9</v>
      </c>
      <c r="K260" s="11">
        <v>17</v>
      </c>
      <c r="L260" s="11">
        <v>18</v>
      </c>
      <c r="M260" s="11">
        <v>13</v>
      </c>
      <c r="N260" s="11">
        <v>19</v>
      </c>
      <c r="O260" s="11">
        <v>17</v>
      </c>
      <c r="P260" s="11">
        <v>15</v>
      </c>
      <c r="Q260" s="6">
        <v>0</v>
      </c>
      <c r="R260" s="6">
        <v>0</v>
      </c>
      <c r="S260" s="6">
        <v>0</v>
      </c>
      <c r="T260" s="6">
        <v>0</v>
      </c>
      <c r="U260" s="6">
        <v>0</v>
      </c>
      <c r="V260" s="6">
        <v>0</v>
      </c>
      <c r="W260" s="9">
        <v>0.48909999999999998</v>
      </c>
      <c r="X260" s="5">
        <v>0.86729999999999996</v>
      </c>
      <c r="Y260" s="5">
        <v>0.6452</v>
      </c>
      <c r="Z260" s="5">
        <v>0.54169999999999996</v>
      </c>
      <c r="AA260" s="5">
        <v>0.6129</v>
      </c>
      <c r="AB260" s="5">
        <v>0.56669999999999998</v>
      </c>
      <c r="AC260" s="8">
        <v>0.26879999999999998</v>
      </c>
      <c r="AD260" s="5">
        <v>0.64680000000000004</v>
      </c>
      <c r="AE260" s="5">
        <f>AVERAGE(X260:AB260)</f>
        <v>0.64675999999999989</v>
      </c>
      <c r="AF260" s="1" t="s">
        <v>34</v>
      </c>
      <c r="AG260" s="19" cm="1">
        <f t="array" ref="AG260">DIASQUIEBRE(Q260:AB260)</f>
        <v>8</v>
      </c>
      <c r="AH260" s="19" cm="1">
        <f t="array" ref="AH260">DiasMesesGris(Q260:AB260)</f>
        <v>180</v>
      </c>
      <c r="AI260" s="19">
        <f t="shared" ref="AI260:AI323" si="23">AG260+AH260</f>
        <v>188</v>
      </c>
      <c r="AJ260" s="19">
        <f t="shared" ref="AJ260:AJ323" si="24">360-AI260</f>
        <v>172</v>
      </c>
      <c r="AK260" s="20">
        <f t="shared" ref="AK260:AK323" si="25">SUM(D260:O260)</f>
        <v>93</v>
      </c>
      <c r="AL260" s="21">
        <f t="shared" si="22"/>
        <v>0.54069767441860461</v>
      </c>
    </row>
    <row r="261" spans="1:38" x14ac:dyDescent="0.25">
      <c r="A261" s="1" t="s">
        <v>548</v>
      </c>
      <c r="B261" s="1" t="s">
        <v>549</v>
      </c>
      <c r="C261" s="1"/>
      <c r="D261" s="4"/>
      <c r="E261" s="4"/>
      <c r="F261" s="4"/>
      <c r="G261" s="4"/>
      <c r="H261" s="4"/>
      <c r="I261" s="4"/>
      <c r="J261" s="11">
        <v>3</v>
      </c>
      <c r="K261" s="11">
        <v>20</v>
      </c>
      <c r="L261" s="11">
        <v>10</v>
      </c>
      <c r="M261" s="11">
        <v>12</v>
      </c>
      <c r="N261" s="11">
        <v>14</v>
      </c>
      <c r="O261" s="11">
        <v>8</v>
      </c>
      <c r="P261" s="11">
        <v>9</v>
      </c>
      <c r="Q261" s="6">
        <v>0</v>
      </c>
      <c r="R261" s="6">
        <v>0</v>
      </c>
      <c r="S261" s="6">
        <v>0</v>
      </c>
      <c r="T261" s="6">
        <v>0</v>
      </c>
      <c r="U261" s="6">
        <v>0</v>
      </c>
      <c r="V261" s="6">
        <v>0</v>
      </c>
      <c r="W261" s="9">
        <v>0.16300000000000001</v>
      </c>
      <c r="X261" s="5">
        <v>1.0204</v>
      </c>
      <c r="Y261" s="5">
        <v>0.3584</v>
      </c>
      <c r="Z261" s="5">
        <v>0.5</v>
      </c>
      <c r="AA261" s="5">
        <v>0.4516</v>
      </c>
      <c r="AB261" s="5">
        <v>0.26669999999999999</v>
      </c>
      <c r="AC261" s="8">
        <v>0.1613</v>
      </c>
      <c r="AD261" s="5">
        <v>0.51939999999999997</v>
      </c>
      <c r="AE261" s="5">
        <f>AVERAGE(X261:AB261)</f>
        <v>0.51941999999999999</v>
      </c>
      <c r="AF261" s="1" t="s">
        <v>34</v>
      </c>
      <c r="AG261" s="19" cm="1">
        <f t="array" ref="AG261">DIASQUIEBRE(Q261:AB261)</f>
        <v>8</v>
      </c>
      <c r="AH261" s="19" cm="1">
        <f t="array" ref="AH261">DiasMesesGris(Q261:AB261)</f>
        <v>180</v>
      </c>
      <c r="AI261" s="19">
        <f t="shared" si="23"/>
        <v>188</v>
      </c>
      <c r="AJ261" s="19">
        <f t="shared" si="24"/>
        <v>172</v>
      </c>
      <c r="AK261" s="20">
        <f t="shared" si="25"/>
        <v>67</v>
      </c>
      <c r="AL261" s="21">
        <f t="shared" si="22"/>
        <v>0.38953488372093026</v>
      </c>
    </row>
    <row r="262" spans="1:38" x14ac:dyDescent="0.25">
      <c r="A262" s="1" t="s">
        <v>550</v>
      </c>
      <c r="B262" s="1" t="s">
        <v>551</v>
      </c>
      <c r="C262" s="1"/>
      <c r="D262" s="4"/>
      <c r="E262" s="4"/>
      <c r="F262" s="4"/>
      <c r="G262" s="4"/>
      <c r="H262" s="4"/>
      <c r="I262" s="4"/>
      <c r="J262" s="11">
        <v>4</v>
      </c>
      <c r="K262" s="11">
        <v>18</v>
      </c>
      <c r="L262" s="11">
        <v>30</v>
      </c>
      <c r="M262" s="11">
        <v>39</v>
      </c>
      <c r="N262" s="11">
        <v>28</v>
      </c>
      <c r="O262" s="4"/>
      <c r="P262" s="4"/>
      <c r="Q262" s="6">
        <v>0</v>
      </c>
      <c r="R262" s="6">
        <v>0</v>
      </c>
      <c r="S262" s="6">
        <v>0</v>
      </c>
      <c r="T262" s="6">
        <v>0</v>
      </c>
      <c r="U262" s="6">
        <v>0</v>
      </c>
      <c r="V262" s="6">
        <v>0</v>
      </c>
      <c r="W262" s="9">
        <v>0.21740000000000001</v>
      </c>
      <c r="X262" s="5">
        <v>0.91839999999999999</v>
      </c>
      <c r="Y262" s="5">
        <v>1.0752999999999999</v>
      </c>
      <c r="Z262" s="5">
        <v>1.625</v>
      </c>
      <c r="AA262" s="9">
        <v>1.4</v>
      </c>
      <c r="AB262" s="6">
        <v>0</v>
      </c>
      <c r="AC262" s="7">
        <v>0</v>
      </c>
      <c r="AD262" s="5">
        <v>1.2061999999999999</v>
      </c>
      <c r="AE262" s="5">
        <v>1.2</v>
      </c>
      <c r="AF262" s="1" t="s">
        <v>34</v>
      </c>
      <c r="AG262" s="19" cm="1">
        <f t="array" ref="AG262">DIASQUIEBRE(Q262:AB262)</f>
        <v>19</v>
      </c>
      <c r="AH262" s="19" cm="1">
        <f t="array" ref="AH262">DiasMesesGris(Q262:AB262)</f>
        <v>210</v>
      </c>
      <c r="AI262" s="19">
        <f t="shared" si="23"/>
        <v>229</v>
      </c>
      <c r="AJ262" s="19">
        <f t="shared" si="24"/>
        <v>131</v>
      </c>
      <c r="AK262" s="20">
        <f t="shared" si="25"/>
        <v>119</v>
      </c>
      <c r="AL262" s="21">
        <f t="shared" si="22"/>
        <v>0.90839694656488545</v>
      </c>
    </row>
    <row r="263" spans="1:38" x14ac:dyDescent="0.25">
      <c r="A263" s="1" t="s">
        <v>552</v>
      </c>
      <c r="B263" s="1" t="s">
        <v>553</v>
      </c>
      <c r="C263" s="1"/>
      <c r="D263" s="4"/>
      <c r="E263" s="4"/>
      <c r="F263" s="4"/>
      <c r="G263" s="4"/>
      <c r="H263" s="4"/>
      <c r="I263" s="4"/>
      <c r="J263" s="11">
        <v>11</v>
      </c>
      <c r="K263" s="11">
        <v>13</v>
      </c>
      <c r="L263" s="11">
        <v>2</v>
      </c>
      <c r="M263" s="11">
        <v>7</v>
      </c>
      <c r="N263" s="11">
        <v>12</v>
      </c>
      <c r="O263" s="11">
        <v>1</v>
      </c>
      <c r="P263" s="11">
        <v>-2</v>
      </c>
      <c r="Q263" s="6">
        <v>0</v>
      </c>
      <c r="R263" s="6">
        <v>0</v>
      </c>
      <c r="S263" s="6">
        <v>0</v>
      </c>
      <c r="T263" s="6">
        <v>0</v>
      </c>
      <c r="U263" s="6">
        <v>0</v>
      </c>
      <c r="V263" s="6">
        <v>0</v>
      </c>
      <c r="W263" s="9">
        <v>0.79710000000000003</v>
      </c>
      <c r="X263" s="5">
        <v>0.77380000000000004</v>
      </c>
      <c r="Y263" s="5">
        <v>6.4500000000000002E-2</v>
      </c>
      <c r="Z263" s="5">
        <v>0.27779999999999999</v>
      </c>
      <c r="AA263" s="5">
        <v>0.3871</v>
      </c>
      <c r="AB263" s="9">
        <v>4.4400000000000002E-2</v>
      </c>
      <c r="AC263" s="7">
        <v>-1.5385</v>
      </c>
      <c r="AD263" s="5">
        <v>0.37580000000000002</v>
      </c>
      <c r="AE263" s="5">
        <v>0.38</v>
      </c>
      <c r="AF263" s="1" t="s">
        <v>34</v>
      </c>
      <c r="AG263" s="19" cm="1">
        <f t="array" ref="AG263">DIASQUIEBRE(Q263:AB263)</f>
        <v>13</v>
      </c>
      <c r="AH263" s="19" cm="1">
        <f t="array" ref="AH263">DiasMesesGris(Q263:AB263)</f>
        <v>180</v>
      </c>
      <c r="AI263" s="19">
        <f t="shared" si="23"/>
        <v>193</v>
      </c>
      <c r="AJ263" s="19">
        <f t="shared" si="24"/>
        <v>167</v>
      </c>
      <c r="AK263" s="20">
        <f t="shared" si="25"/>
        <v>46</v>
      </c>
      <c r="AL263" s="21">
        <f t="shared" si="22"/>
        <v>0.27544910179640719</v>
      </c>
    </row>
    <row r="264" spans="1:38" x14ac:dyDescent="0.25">
      <c r="A264" s="1" t="s">
        <v>554</v>
      </c>
      <c r="B264" s="1" t="s">
        <v>555</v>
      </c>
      <c r="C264" s="1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6">
        <v>0</v>
      </c>
      <c r="R264" s="6">
        <v>0</v>
      </c>
      <c r="S264" s="6">
        <v>0</v>
      </c>
      <c r="T264" s="6">
        <v>0</v>
      </c>
      <c r="U264" s="6">
        <v>0</v>
      </c>
      <c r="V264" s="6">
        <v>0</v>
      </c>
      <c r="W264" s="6">
        <v>0</v>
      </c>
      <c r="X264" s="6">
        <v>0</v>
      </c>
      <c r="Y264" s="6">
        <v>0</v>
      </c>
      <c r="Z264" s="6">
        <v>0</v>
      </c>
      <c r="AA264" s="6">
        <v>0</v>
      </c>
      <c r="AB264" s="6">
        <v>0</v>
      </c>
      <c r="AC264" s="7">
        <v>0</v>
      </c>
      <c r="AE264" s="5">
        <f t="shared" si="20"/>
        <v>0</v>
      </c>
      <c r="AF264" s="1" t="s">
        <v>107</v>
      </c>
      <c r="AG264" s="19" cm="1">
        <f t="array" ref="AG264">DIASQUIEBRE(Q264:AB264)</f>
        <v>0</v>
      </c>
      <c r="AH264" s="19" cm="1">
        <f t="array" ref="AH264">DiasMesesGris(Q264:AB264)</f>
        <v>360</v>
      </c>
      <c r="AI264" s="19">
        <f t="shared" si="23"/>
        <v>360</v>
      </c>
      <c r="AJ264" s="19">
        <f t="shared" si="24"/>
        <v>0</v>
      </c>
      <c r="AK264" s="20">
        <f t="shared" si="25"/>
        <v>0</v>
      </c>
      <c r="AL264" s="21">
        <f t="shared" si="22"/>
        <v>0</v>
      </c>
    </row>
    <row r="265" spans="1:38" x14ac:dyDescent="0.25">
      <c r="A265" s="1" t="s">
        <v>556</v>
      </c>
      <c r="B265" s="1" t="s">
        <v>557</v>
      </c>
      <c r="C265" s="1"/>
      <c r="D265" s="4"/>
      <c r="E265" s="4"/>
      <c r="F265" s="4"/>
      <c r="G265" s="4"/>
      <c r="H265" s="4"/>
      <c r="I265" s="4"/>
      <c r="J265" s="11">
        <v>7</v>
      </c>
      <c r="K265" s="11">
        <v>10</v>
      </c>
      <c r="L265" s="11">
        <v>1</v>
      </c>
      <c r="M265" s="11">
        <v>5</v>
      </c>
      <c r="N265" s="11">
        <v>25</v>
      </c>
      <c r="O265" s="11">
        <v>5</v>
      </c>
      <c r="P265" s="11">
        <v>4</v>
      </c>
      <c r="Q265" s="6">
        <v>0</v>
      </c>
      <c r="R265" s="6">
        <v>0</v>
      </c>
      <c r="S265" s="6">
        <v>0</v>
      </c>
      <c r="T265" s="6">
        <v>0</v>
      </c>
      <c r="U265" s="6">
        <v>0</v>
      </c>
      <c r="V265" s="6">
        <v>0</v>
      </c>
      <c r="W265" s="9">
        <v>0.50719999999999998</v>
      </c>
      <c r="X265" s="5">
        <v>0.59519999999999995</v>
      </c>
      <c r="Y265" s="5">
        <v>3.2300000000000002E-2</v>
      </c>
      <c r="Z265" s="5">
        <v>0.19839999999999999</v>
      </c>
      <c r="AA265" s="5">
        <v>0.80649999999999999</v>
      </c>
      <c r="AB265" s="5">
        <v>0.1852</v>
      </c>
      <c r="AC265" s="8">
        <v>9.9299999999999999E-2</v>
      </c>
      <c r="AD265" s="5">
        <v>0.36349999999999999</v>
      </c>
      <c r="AE265" s="5">
        <f>AVERAGE(X265:AB265)</f>
        <v>0.36352000000000001</v>
      </c>
      <c r="AF265" s="1" t="s">
        <v>34</v>
      </c>
      <c r="AG265" s="19" cm="1">
        <f t="array" ref="AG265">DIASQUIEBRE(Q265:AB265)</f>
        <v>8</v>
      </c>
      <c r="AH265" s="19" cm="1">
        <f t="array" ref="AH265">DiasMesesGris(Q265:AB265)</f>
        <v>180</v>
      </c>
      <c r="AI265" s="19">
        <f t="shared" si="23"/>
        <v>188</v>
      </c>
      <c r="AJ265" s="19">
        <f t="shared" si="24"/>
        <v>172</v>
      </c>
      <c r="AK265" s="20">
        <f t="shared" si="25"/>
        <v>53</v>
      </c>
      <c r="AL265" s="21">
        <f t="shared" si="22"/>
        <v>0.30813953488372092</v>
      </c>
    </row>
    <row r="266" spans="1:38" x14ac:dyDescent="0.25">
      <c r="A266" s="1" t="s">
        <v>558</v>
      </c>
      <c r="B266" s="1" t="s">
        <v>559</v>
      </c>
      <c r="C266" s="1" t="s">
        <v>560</v>
      </c>
      <c r="D266" s="4"/>
      <c r="E266" s="4"/>
      <c r="F266" s="4"/>
      <c r="G266" s="4"/>
      <c r="H266" s="4"/>
      <c r="I266" s="4"/>
      <c r="J266" s="4"/>
      <c r="K266" s="4"/>
      <c r="L266" s="4"/>
      <c r="M266" s="11">
        <v>34</v>
      </c>
      <c r="N266" s="11">
        <v>5</v>
      </c>
      <c r="O266" s="11">
        <v>1</v>
      </c>
      <c r="P266" s="11">
        <v>12</v>
      </c>
      <c r="Q266" s="6">
        <v>0</v>
      </c>
      <c r="R266" s="6">
        <v>0</v>
      </c>
      <c r="S266" s="6">
        <v>0</v>
      </c>
      <c r="T266" s="6">
        <v>0</v>
      </c>
      <c r="U266" s="6">
        <v>0</v>
      </c>
      <c r="V266" s="6">
        <v>0</v>
      </c>
      <c r="W266" s="9">
        <v>0</v>
      </c>
      <c r="X266" s="5">
        <v>0</v>
      </c>
      <c r="Y266" s="5">
        <v>0</v>
      </c>
      <c r="Z266" s="5">
        <v>1.4167000000000001</v>
      </c>
      <c r="AA266" s="5">
        <v>0.1613</v>
      </c>
      <c r="AB266" s="5">
        <v>3.3300000000000003E-2</v>
      </c>
      <c r="AC266" s="8">
        <v>0.21510000000000001</v>
      </c>
      <c r="AD266" s="5">
        <v>0.32229999999999998</v>
      </c>
      <c r="AE266" s="5">
        <f t="shared" ref="AE266:AE268" si="26">AVERAGE(X266:AB266)</f>
        <v>0.32226000000000005</v>
      </c>
      <c r="AF266" s="1" t="s">
        <v>34</v>
      </c>
      <c r="AG266" s="19" cm="1">
        <f t="array" ref="AG266">DIASQUIEBRE(Q266:AB266)</f>
        <v>8</v>
      </c>
      <c r="AH266" s="19" cm="1">
        <f t="array" ref="AH266">DiasMesesGris(Q266:AB266)</f>
        <v>180</v>
      </c>
      <c r="AI266" s="19">
        <f t="shared" si="23"/>
        <v>188</v>
      </c>
      <c r="AJ266" s="19">
        <f t="shared" si="24"/>
        <v>172</v>
      </c>
      <c r="AK266" s="20">
        <f t="shared" si="25"/>
        <v>40</v>
      </c>
      <c r="AL266" s="21">
        <f t="shared" si="22"/>
        <v>0.23255813953488372</v>
      </c>
    </row>
    <row r="267" spans="1:38" x14ac:dyDescent="0.25">
      <c r="A267" s="1" t="s">
        <v>561</v>
      </c>
      <c r="B267" s="1" t="s">
        <v>562</v>
      </c>
      <c r="C267" s="1"/>
      <c r="D267" s="4"/>
      <c r="E267" s="4"/>
      <c r="F267" s="4"/>
      <c r="G267" s="4"/>
      <c r="H267" s="4"/>
      <c r="I267" s="4"/>
      <c r="J267" s="11">
        <v>3</v>
      </c>
      <c r="K267" s="11">
        <v>3</v>
      </c>
      <c r="L267" s="11">
        <v>11</v>
      </c>
      <c r="M267" s="11">
        <v>15</v>
      </c>
      <c r="N267" s="11">
        <v>3</v>
      </c>
      <c r="O267" s="11">
        <v>4</v>
      </c>
      <c r="P267" s="11">
        <v>1</v>
      </c>
      <c r="Q267" s="6">
        <v>0</v>
      </c>
      <c r="R267" s="6">
        <v>0</v>
      </c>
      <c r="S267" s="6">
        <v>0</v>
      </c>
      <c r="T267" s="6">
        <v>0</v>
      </c>
      <c r="U267" s="6">
        <v>0</v>
      </c>
      <c r="V267" s="6">
        <v>0</v>
      </c>
      <c r="W267" s="9">
        <v>0.16300000000000001</v>
      </c>
      <c r="X267" s="5">
        <v>0.15310000000000001</v>
      </c>
      <c r="Y267" s="5">
        <v>0.39429999999999998</v>
      </c>
      <c r="Z267" s="5">
        <v>0.625</v>
      </c>
      <c r="AA267" s="5">
        <v>9.6799999999999997E-2</v>
      </c>
      <c r="AB267" s="5">
        <v>0.1333</v>
      </c>
      <c r="AC267" s="8">
        <v>1.7899999999999999E-2</v>
      </c>
      <c r="AD267" s="5">
        <v>0.28050000000000003</v>
      </c>
      <c r="AE267" s="5">
        <f t="shared" si="26"/>
        <v>0.28050000000000003</v>
      </c>
      <c r="AF267" s="1" t="s">
        <v>107</v>
      </c>
      <c r="AG267" s="19" cm="1">
        <f t="array" ref="AG267">DIASQUIEBRE(Q267:AB267)</f>
        <v>8</v>
      </c>
      <c r="AH267" s="19" cm="1">
        <f t="array" ref="AH267">DiasMesesGris(Q267:AB267)</f>
        <v>180</v>
      </c>
      <c r="AI267" s="19">
        <f t="shared" si="23"/>
        <v>188</v>
      </c>
      <c r="AJ267" s="19">
        <f t="shared" si="24"/>
        <v>172</v>
      </c>
      <c r="AK267" s="20">
        <f t="shared" si="25"/>
        <v>39</v>
      </c>
      <c r="AL267" s="21">
        <f t="shared" si="22"/>
        <v>0.22674418604651161</v>
      </c>
    </row>
    <row r="268" spans="1:38" x14ac:dyDescent="0.25">
      <c r="A268" s="1" t="s">
        <v>563</v>
      </c>
      <c r="B268" s="1" t="s">
        <v>564</v>
      </c>
      <c r="C268" s="1" t="s">
        <v>565</v>
      </c>
      <c r="D268" s="4"/>
      <c r="E268" s="4"/>
      <c r="F268" s="4"/>
      <c r="G268" s="4"/>
      <c r="H268" s="4"/>
      <c r="I268" s="4"/>
      <c r="J268" s="11">
        <v>4</v>
      </c>
      <c r="K268" s="11">
        <v>3</v>
      </c>
      <c r="L268" s="11">
        <v>15</v>
      </c>
      <c r="M268" s="11">
        <v>10</v>
      </c>
      <c r="N268" s="11">
        <v>1</v>
      </c>
      <c r="O268" s="11">
        <v>3</v>
      </c>
      <c r="P268" s="4"/>
      <c r="Q268" s="6">
        <v>0</v>
      </c>
      <c r="R268" s="6">
        <v>0</v>
      </c>
      <c r="S268" s="6">
        <v>0</v>
      </c>
      <c r="T268" s="6">
        <v>0</v>
      </c>
      <c r="U268" s="6">
        <v>0</v>
      </c>
      <c r="V268" s="6">
        <v>0</v>
      </c>
      <c r="W268" s="9">
        <v>0.21740000000000001</v>
      </c>
      <c r="X268" s="5">
        <v>0.15310000000000001</v>
      </c>
      <c r="Y268" s="5">
        <v>0.53759999999999997</v>
      </c>
      <c r="Z268" s="5">
        <v>0.41670000000000001</v>
      </c>
      <c r="AA268" s="5">
        <v>3.2300000000000002E-2</v>
      </c>
      <c r="AB268" s="5">
        <v>0.1</v>
      </c>
      <c r="AC268" s="8">
        <v>0</v>
      </c>
      <c r="AD268" s="5">
        <v>0.24790000000000001</v>
      </c>
      <c r="AE268" s="5">
        <f t="shared" si="26"/>
        <v>0.24793999999999999</v>
      </c>
      <c r="AF268" s="1" t="s">
        <v>34</v>
      </c>
      <c r="AG268" s="19" cm="1">
        <f t="array" ref="AG268">DIASQUIEBRE(Q268:AB268)</f>
        <v>8</v>
      </c>
      <c r="AH268" s="19" cm="1">
        <f t="array" ref="AH268">DiasMesesGris(Q268:AB268)</f>
        <v>180</v>
      </c>
      <c r="AI268" s="19">
        <f t="shared" si="23"/>
        <v>188</v>
      </c>
      <c r="AJ268" s="19">
        <f t="shared" si="24"/>
        <v>172</v>
      </c>
      <c r="AK268" s="20">
        <f t="shared" si="25"/>
        <v>36</v>
      </c>
      <c r="AL268" s="21">
        <f t="shared" si="22"/>
        <v>0.20930232558139536</v>
      </c>
    </row>
    <row r="269" spans="1:38" x14ac:dyDescent="0.25">
      <c r="A269" s="1" t="s">
        <v>566</v>
      </c>
      <c r="B269" s="1" t="s">
        <v>567</v>
      </c>
      <c r="C269" s="1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6">
        <v>0</v>
      </c>
      <c r="R269" s="6">
        <v>0</v>
      </c>
      <c r="S269" s="6">
        <v>0</v>
      </c>
      <c r="T269" s="6">
        <v>0</v>
      </c>
      <c r="U269" s="6">
        <v>0</v>
      </c>
      <c r="V269" s="6">
        <v>0</v>
      </c>
      <c r="W269" s="6">
        <v>0</v>
      </c>
      <c r="X269" s="6">
        <v>0</v>
      </c>
      <c r="Y269" s="6">
        <v>0</v>
      </c>
      <c r="Z269" s="6">
        <v>0</v>
      </c>
      <c r="AA269" s="6">
        <v>0</v>
      </c>
      <c r="AB269" s="6">
        <v>0</v>
      </c>
      <c r="AC269" s="7">
        <v>0</v>
      </c>
      <c r="AE269" s="5">
        <f t="shared" si="20"/>
        <v>0</v>
      </c>
      <c r="AF269" s="1" t="s">
        <v>34</v>
      </c>
      <c r="AG269" s="19" cm="1">
        <f t="array" ref="AG269">DIASQUIEBRE(Q269:AB269)</f>
        <v>0</v>
      </c>
      <c r="AH269" s="19" cm="1">
        <f t="array" ref="AH269">DiasMesesGris(Q269:AB269)</f>
        <v>360</v>
      </c>
      <c r="AI269" s="19">
        <f t="shared" si="23"/>
        <v>360</v>
      </c>
      <c r="AJ269" s="19">
        <f t="shared" si="24"/>
        <v>0</v>
      </c>
      <c r="AK269" s="20">
        <f t="shared" si="25"/>
        <v>0</v>
      </c>
      <c r="AL269" s="21">
        <f t="shared" si="22"/>
        <v>0</v>
      </c>
    </row>
    <row r="270" spans="1:38" x14ac:dyDescent="0.25">
      <c r="A270" s="1" t="s">
        <v>568</v>
      </c>
      <c r="B270" s="1" t="s">
        <v>569</v>
      </c>
      <c r="C270" s="1" t="s">
        <v>570</v>
      </c>
      <c r="D270" s="4"/>
      <c r="E270" s="4"/>
      <c r="F270" s="4"/>
      <c r="G270" s="4"/>
      <c r="H270" s="4"/>
      <c r="I270" s="4"/>
      <c r="J270" s="11">
        <v>8</v>
      </c>
      <c r="K270" s="11">
        <v>17</v>
      </c>
      <c r="L270" s="11">
        <v>19</v>
      </c>
      <c r="M270" s="11">
        <v>13</v>
      </c>
      <c r="N270" s="11">
        <v>1</v>
      </c>
      <c r="O270" s="4"/>
      <c r="P270" s="11">
        <v>1</v>
      </c>
      <c r="Q270" s="6">
        <v>0</v>
      </c>
      <c r="R270" s="6">
        <v>0</v>
      </c>
      <c r="S270" s="6">
        <v>0</v>
      </c>
      <c r="T270" s="6">
        <v>0</v>
      </c>
      <c r="U270" s="6">
        <v>0</v>
      </c>
      <c r="V270" s="6">
        <v>0</v>
      </c>
      <c r="W270" s="9">
        <v>0.57969999999999999</v>
      </c>
      <c r="X270" s="5">
        <v>1.0119</v>
      </c>
      <c r="Y270" s="5">
        <v>0.6129</v>
      </c>
      <c r="Z270" s="9">
        <v>0.8145</v>
      </c>
      <c r="AA270" s="6">
        <v>0</v>
      </c>
      <c r="AB270" s="6">
        <v>0</v>
      </c>
      <c r="AC270" s="7">
        <v>0.76919999999999999</v>
      </c>
      <c r="AD270" s="5">
        <v>0.81240000000000001</v>
      </c>
      <c r="AE270" s="5">
        <v>0.81</v>
      </c>
      <c r="AF270" s="1" t="s">
        <v>34</v>
      </c>
      <c r="AG270" s="19" cm="1">
        <f t="array" ref="AG270">DIASQUIEBRE(Q270:AB270)</f>
        <v>19</v>
      </c>
      <c r="AH270" s="19" cm="1">
        <f t="array" ref="AH270">DiasMesesGris(Q270:AB270)</f>
        <v>240</v>
      </c>
      <c r="AI270" s="19">
        <f t="shared" si="23"/>
        <v>259</v>
      </c>
      <c r="AJ270" s="19">
        <f t="shared" si="24"/>
        <v>101</v>
      </c>
      <c r="AK270" s="20">
        <f t="shared" si="25"/>
        <v>58</v>
      </c>
      <c r="AL270" s="21">
        <f t="shared" si="22"/>
        <v>0.57425742574257421</v>
      </c>
    </row>
    <row r="271" spans="1:38" x14ac:dyDescent="0.25">
      <c r="A271" s="1" t="s">
        <v>571</v>
      </c>
      <c r="B271" s="1" t="s">
        <v>572</v>
      </c>
      <c r="C271" s="1" t="s">
        <v>573</v>
      </c>
      <c r="D271" s="4"/>
      <c r="E271" s="4"/>
      <c r="F271" s="4"/>
      <c r="G271" s="4"/>
      <c r="H271" s="4"/>
      <c r="I271" s="4"/>
      <c r="J271" s="11">
        <v>3</v>
      </c>
      <c r="K271" s="11">
        <v>8</v>
      </c>
      <c r="L271" s="11">
        <v>9</v>
      </c>
      <c r="M271" s="11">
        <v>3</v>
      </c>
      <c r="N271" s="11">
        <v>5</v>
      </c>
      <c r="O271" s="11">
        <v>12</v>
      </c>
      <c r="P271" s="11">
        <v>5</v>
      </c>
      <c r="Q271" s="6">
        <v>0</v>
      </c>
      <c r="R271" s="6">
        <v>0</v>
      </c>
      <c r="S271" s="6">
        <v>0</v>
      </c>
      <c r="T271" s="6">
        <v>0</v>
      </c>
      <c r="U271" s="6">
        <v>0</v>
      </c>
      <c r="V271" s="6">
        <v>0</v>
      </c>
      <c r="W271" s="9">
        <v>0.21740000000000001</v>
      </c>
      <c r="X271" s="5">
        <v>0.47620000000000001</v>
      </c>
      <c r="Y271" s="5">
        <v>0.2903</v>
      </c>
      <c r="Z271" s="5">
        <v>0.11899999999999999</v>
      </c>
      <c r="AA271" s="5">
        <v>0.1613</v>
      </c>
      <c r="AB271" s="5">
        <v>0.44440000000000002</v>
      </c>
      <c r="AC271" s="8">
        <v>0.1241</v>
      </c>
      <c r="AD271" s="5">
        <v>0.29820000000000002</v>
      </c>
      <c r="AE271" s="5">
        <f>AVERAGE(X271:AB271)</f>
        <v>0.29824000000000001</v>
      </c>
      <c r="AF271" s="1" t="s">
        <v>34</v>
      </c>
      <c r="AG271" s="19" cm="1">
        <f t="array" ref="AG271">DIASQUIEBRE(Q271:AB271)</f>
        <v>8</v>
      </c>
      <c r="AH271" s="19" cm="1">
        <f t="array" ref="AH271">DiasMesesGris(Q271:AB271)</f>
        <v>180</v>
      </c>
      <c r="AI271" s="19">
        <f t="shared" si="23"/>
        <v>188</v>
      </c>
      <c r="AJ271" s="19">
        <f t="shared" si="24"/>
        <v>172</v>
      </c>
      <c r="AK271" s="20">
        <f t="shared" si="25"/>
        <v>40</v>
      </c>
      <c r="AL271" s="21">
        <f t="shared" si="22"/>
        <v>0.23255813953488372</v>
      </c>
    </row>
    <row r="272" spans="1:38" x14ac:dyDescent="0.25">
      <c r="A272" s="1" t="s">
        <v>574</v>
      </c>
      <c r="B272" s="1" t="s">
        <v>575</v>
      </c>
      <c r="C272" s="1" t="s">
        <v>576</v>
      </c>
      <c r="D272" s="4"/>
      <c r="E272" s="4"/>
      <c r="F272" s="4"/>
      <c r="G272" s="4"/>
      <c r="H272" s="4"/>
      <c r="I272" s="4"/>
      <c r="J272" s="11">
        <v>12</v>
      </c>
      <c r="K272" s="11">
        <v>12</v>
      </c>
      <c r="L272" s="11">
        <v>10</v>
      </c>
      <c r="M272" s="11">
        <v>1</v>
      </c>
      <c r="N272" s="4"/>
      <c r="O272" s="11">
        <v>2</v>
      </c>
      <c r="P272" s="4"/>
      <c r="Q272" s="6">
        <v>0</v>
      </c>
      <c r="R272" s="6">
        <v>0</v>
      </c>
      <c r="S272" s="6">
        <v>0</v>
      </c>
      <c r="T272" s="6">
        <v>0</v>
      </c>
      <c r="U272" s="6">
        <v>0</v>
      </c>
      <c r="V272" s="6">
        <v>0</v>
      </c>
      <c r="W272" s="9">
        <v>1.0435000000000001</v>
      </c>
      <c r="X272" s="5">
        <v>0.85709999999999997</v>
      </c>
      <c r="Y272" s="5">
        <v>0.3584</v>
      </c>
      <c r="Z272" s="5">
        <v>4.1700000000000001E-2</v>
      </c>
      <c r="AA272" s="5">
        <v>0</v>
      </c>
      <c r="AB272" s="5">
        <v>8.3299999999999999E-2</v>
      </c>
      <c r="AC272" s="8">
        <v>0</v>
      </c>
      <c r="AD272" s="5">
        <v>0.2681</v>
      </c>
      <c r="AE272" s="5">
        <f t="shared" ref="AE272:AE289" si="27">AVERAGE(X272:AB272)</f>
        <v>0.2681</v>
      </c>
      <c r="AF272" s="1" t="s">
        <v>34</v>
      </c>
      <c r="AG272" s="19" cm="1">
        <f t="array" ref="AG272">DIASQUIEBRE(Q272:AB272)</f>
        <v>8</v>
      </c>
      <c r="AH272" s="19" cm="1">
        <f t="array" ref="AH272">DiasMesesGris(Q272:AB272)</f>
        <v>180</v>
      </c>
      <c r="AI272" s="19">
        <f t="shared" si="23"/>
        <v>188</v>
      </c>
      <c r="AJ272" s="19">
        <f t="shared" si="24"/>
        <v>172</v>
      </c>
      <c r="AK272" s="20">
        <f t="shared" si="25"/>
        <v>37</v>
      </c>
      <c r="AL272" s="21">
        <f t="shared" si="22"/>
        <v>0.21511627906976744</v>
      </c>
    </row>
    <row r="273" spans="1:38" x14ac:dyDescent="0.25">
      <c r="A273" s="1" t="s">
        <v>577</v>
      </c>
      <c r="B273" s="1" t="s">
        <v>578</v>
      </c>
      <c r="C273" s="1" t="s">
        <v>579</v>
      </c>
      <c r="D273" s="4"/>
      <c r="E273" s="4"/>
      <c r="F273" s="4"/>
      <c r="G273" s="4"/>
      <c r="H273" s="4"/>
      <c r="I273" s="4"/>
      <c r="J273" s="11">
        <v>9</v>
      </c>
      <c r="K273" s="11">
        <v>15</v>
      </c>
      <c r="L273" s="11">
        <v>8</v>
      </c>
      <c r="M273" s="4"/>
      <c r="N273" s="11">
        <v>4</v>
      </c>
      <c r="O273" s="4"/>
      <c r="P273" s="4"/>
      <c r="Q273" s="6">
        <v>0</v>
      </c>
      <c r="R273" s="6">
        <v>0</v>
      </c>
      <c r="S273" s="6">
        <v>0</v>
      </c>
      <c r="T273" s="6">
        <v>0</v>
      </c>
      <c r="U273" s="6">
        <v>0</v>
      </c>
      <c r="V273" s="6">
        <v>0</v>
      </c>
      <c r="W273" s="9">
        <v>0.78259999999999996</v>
      </c>
      <c r="X273" s="5">
        <v>1.0713999999999999</v>
      </c>
      <c r="Y273" s="5">
        <v>0.28670000000000001</v>
      </c>
      <c r="Z273" s="5">
        <v>0</v>
      </c>
      <c r="AA273" s="5">
        <v>0.1434</v>
      </c>
      <c r="AB273" s="5">
        <v>0</v>
      </c>
      <c r="AC273" s="8">
        <v>0</v>
      </c>
      <c r="AD273" s="5">
        <v>0.30030000000000001</v>
      </c>
      <c r="AE273" s="5">
        <f t="shared" si="27"/>
        <v>0.30029999999999996</v>
      </c>
      <c r="AF273" s="1" t="s">
        <v>34</v>
      </c>
      <c r="AG273" s="19" cm="1">
        <f t="array" ref="AG273">DIASQUIEBRE(Q273:AB273)</f>
        <v>8</v>
      </c>
      <c r="AH273" s="19" cm="1">
        <f t="array" ref="AH273">DiasMesesGris(Q273:AB273)</f>
        <v>180</v>
      </c>
      <c r="AI273" s="19">
        <f t="shared" si="23"/>
        <v>188</v>
      </c>
      <c r="AJ273" s="19">
        <f t="shared" si="24"/>
        <v>172</v>
      </c>
      <c r="AK273" s="20">
        <f t="shared" si="25"/>
        <v>36</v>
      </c>
      <c r="AL273" s="21">
        <f t="shared" si="22"/>
        <v>0.20930232558139536</v>
      </c>
    </row>
    <row r="274" spans="1:38" x14ac:dyDescent="0.25">
      <c r="A274" s="1" t="s">
        <v>580</v>
      </c>
      <c r="B274" s="1" t="s">
        <v>581</v>
      </c>
      <c r="C274" s="1" t="s">
        <v>582</v>
      </c>
      <c r="D274" s="4"/>
      <c r="E274" s="4"/>
      <c r="F274" s="4"/>
      <c r="G274" s="4"/>
      <c r="H274" s="4"/>
      <c r="I274" s="4"/>
      <c r="J274" s="11">
        <v>8</v>
      </c>
      <c r="K274" s="11">
        <v>14</v>
      </c>
      <c r="L274" s="11">
        <v>4</v>
      </c>
      <c r="M274" s="4"/>
      <c r="N274" s="11">
        <v>1</v>
      </c>
      <c r="O274" s="4"/>
      <c r="P274" s="4"/>
      <c r="Q274" s="6">
        <v>0</v>
      </c>
      <c r="R274" s="6">
        <v>0</v>
      </c>
      <c r="S274" s="6">
        <v>0</v>
      </c>
      <c r="T274" s="6">
        <v>0</v>
      </c>
      <c r="U274" s="6">
        <v>0</v>
      </c>
      <c r="V274" s="6">
        <v>0</v>
      </c>
      <c r="W274" s="9">
        <v>0.69569999999999999</v>
      </c>
      <c r="X274" s="5">
        <v>1</v>
      </c>
      <c r="Y274" s="5">
        <v>0.1434</v>
      </c>
      <c r="Z274" s="5">
        <v>0</v>
      </c>
      <c r="AA274" s="5">
        <v>3.5799999999999998E-2</v>
      </c>
      <c r="AB274" s="5">
        <v>0</v>
      </c>
      <c r="AC274" s="8">
        <v>0</v>
      </c>
      <c r="AD274" s="5">
        <v>0.23580000000000001</v>
      </c>
      <c r="AE274" s="5">
        <f t="shared" si="27"/>
        <v>0.23583999999999999</v>
      </c>
      <c r="AF274" s="1" t="s">
        <v>34</v>
      </c>
      <c r="AG274" s="19" cm="1">
        <f t="array" ref="AG274">DIASQUIEBRE(Q274:AB274)</f>
        <v>8</v>
      </c>
      <c r="AH274" s="19" cm="1">
        <f t="array" ref="AH274">DiasMesesGris(Q274:AB274)</f>
        <v>180</v>
      </c>
      <c r="AI274" s="19">
        <f t="shared" si="23"/>
        <v>188</v>
      </c>
      <c r="AJ274" s="19">
        <f t="shared" si="24"/>
        <v>172</v>
      </c>
      <c r="AK274" s="20">
        <f t="shared" si="25"/>
        <v>27</v>
      </c>
      <c r="AL274" s="21">
        <f t="shared" si="22"/>
        <v>0.15697674418604651</v>
      </c>
    </row>
    <row r="275" spans="1:38" x14ac:dyDescent="0.25">
      <c r="A275" s="1" t="s">
        <v>583</v>
      </c>
      <c r="B275" s="1" t="s">
        <v>584</v>
      </c>
      <c r="C275" s="1" t="s">
        <v>585</v>
      </c>
      <c r="D275" s="4"/>
      <c r="E275" s="4"/>
      <c r="F275" s="4"/>
      <c r="G275" s="4"/>
      <c r="H275" s="4"/>
      <c r="I275" s="4"/>
      <c r="J275" s="11">
        <v>8</v>
      </c>
      <c r="K275" s="11">
        <v>16</v>
      </c>
      <c r="L275" s="11">
        <v>9</v>
      </c>
      <c r="M275" s="11">
        <v>1</v>
      </c>
      <c r="N275" s="11">
        <v>1</v>
      </c>
      <c r="O275" s="11">
        <v>1</v>
      </c>
      <c r="P275" s="11">
        <v>1</v>
      </c>
      <c r="Q275" s="6">
        <v>0</v>
      </c>
      <c r="R275" s="6">
        <v>0</v>
      </c>
      <c r="S275" s="6">
        <v>0</v>
      </c>
      <c r="T275" s="6">
        <v>0</v>
      </c>
      <c r="U275" s="6">
        <v>0</v>
      </c>
      <c r="V275" s="6">
        <v>0</v>
      </c>
      <c r="W275" s="9">
        <v>0.69569999999999999</v>
      </c>
      <c r="X275" s="5">
        <v>1.1429</v>
      </c>
      <c r="Y275" s="5">
        <v>0.3226</v>
      </c>
      <c r="Z275" s="5">
        <v>4.1700000000000001E-2</v>
      </c>
      <c r="AA275" s="5">
        <v>3.5799999999999998E-2</v>
      </c>
      <c r="AB275" s="5">
        <v>4.1700000000000001E-2</v>
      </c>
      <c r="AC275" s="8">
        <v>2.93E-2</v>
      </c>
      <c r="AD275" s="5">
        <v>0.31690000000000002</v>
      </c>
      <c r="AE275" s="5">
        <f t="shared" si="27"/>
        <v>0.31694000000000006</v>
      </c>
      <c r="AF275" s="1" t="s">
        <v>34</v>
      </c>
      <c r="AG275" s="19" cm="1">
        <f t="array" ref="AG275">DIASQUIEBRE(Q275:AB275)</f>
        <v>8</v>
      </c>
      <c r="AH275" s="19" cm="1">
        <f t="array" ref="AH275">DiasMesesGris(Q275:AB275)</f>
        <v>180</v>
      </c>
      <c r="AI275" s="19">
        <f t="shared" si="23"/>
        <v>188</v>
      </c>
      <c r="AJ275" s="19">
        <f t="shared" si="24"/>
        <v>172</v>
      </c>
      <c r="AK275" s="20">
        <f t="shared" si="25"/>
        <v>36</v>
      </c>
      <c r="AL275" s="21">
        <f t="shared" si="22"/>
        <v>0.20930232558139536</v>
      </c>
    </row>
    <row r="276" spans="1:38" x14ac:dyDescent="0.25">
      <c r="A276" s="1" t="s">
        <v>586</v>
      </c>
      <c r="B276" s="1" t="s">
        <v>587</v>
      </c>
      <c r="C276" s="1" t="s">
        <v>588</v>
      </c>
      <c r="D276" s="4"/>
      <c r="E276" s="4"/>
      <c r="F276" s="4"/>
      <c r="G276" s="4"/>
      <c r="H276" s="4"/>
      <c r="I276" s="4"/>
      <c r="J276" s="11">
        <v>21</v>
      </c>
      <c r="K276" s="11">
        <v>16</v>
      </c>
      <c r="L276" s="11">
        <v>16</v>
      </c>
      <c r="M276" s="11">
        <v>4</v>
      </c>
      <c r="N276" s="11">
        <v>2</v>
      </c>
      <c r="O276" s="11">
        <v>2</v>
      </c>
      <c r="P276" s="11">
        <v>4</v>
      </c>
      <c r="Q276" s="6">
        <v>0</v>
      </c>
      <c r="R276" s="6">
        <v>0</v>
      </c>
      <c r="S276" s="6">
        <v>0</v>
      </c>
      <c r="T276" s="6">
        <v>0</v>
      </c>
      <c r="U276" s="6">
        <v>0</v>
      </c>
      <c r="V276" s="6">
        <v>0</v>
      </c>
      <c r="W276" s="9">
        <v>1.8261000000000001</v>
      </c>
      <c r="X276" s="5">
        <v>1.1429</v>
      </c>
      <c r="Y276" s="5">
        <v>0.57350000000000001</v>
      </c>
      <c r="Z276" s="5">
        <v>0.16669999999999999</v>
      </c>
      <c r="AA276" s="5">
        <v>7.17E-2</v>
      </c>
      <c r="AB276" s="5">
        <v>8.3299999999999999E-2</v>
      </c>
      <c r="AC276" s="8">
        <v>0.1173</v>
      </c>
      <c r="AD276" s="5">
        <v>0.40760000000000002</v>
      </c>
      <c r="AE276" s="5">
        <f t="shared" si="27"/>
        <v>0.40762000000000009</v>
      </c>
      <c r="AF276" s="1" t="s">
        <v>34</v>
      </c>
      <c r="AG276" s="19" cm="1">
        <f t="array" ref="AG276">DIASQUIEBRE(Q276:AB276)</f>
        <v>8</v>
      </c>
      <c r="AH276" s="19" cm="1">
        <f t="array" ref="AH276">DiasMesesGris(Q276:AB276)</f>
        <v>180</v>
      </c>
      <c r="AI276" s="19">
        <f t="shared" si="23"/>
        <v>188</v>
      </c>
      <c r="AJ276" s="19">
        <f t="shared" si="24"/>
        <v>172</v>
      </c>
      <c r="AK276" s="20">
        <f t="shared" si="25"/>
        <v>61</v>
      </c>
      <c r="AL276" s="21">
        <f t="shared" si="22"/>
        <v>0.35465116279069769</v>
      </c>
    </row>
    <row r="277" spans="1:38" x14ac:dyDescent="0.25">
      <c r="A277" s="1" t="s">
        <v>589</v>
      </c>
      <c r="B277" s="1" t="s">
        <v>590</v>
      </c>
      <c r="C277" s="1" t="s">
        <v>591</v>
      </c>
      <c r="D277" s="4"/>
      <c r="E277" s="4"/>
      <c r="F277" s="4"/>
      <c r="G277" s="4"/>
      <c r="H277" s="4"/>
      <c r="I277" s="4"/>
      <c r="J277" s="11">
        <v>3</v>
      </c>
      <c r="K277" s="11">
        <v>13</v>
      </c>
      <c r="L277" s="11">
        <v>3</v>
      </c>
      <c r="M277" s="11">
        <v>3</v>
      </c>
      <c r="N277" s="4"/>
      <c r="O277" s="4"/>
      <c r="P277" s="11">
        <v>1</v>
      </c>
      <c r="Q277" s="6">
        <v>0</v>
      </c>
      <c r="R277" s="6">
        <v>0</v>
      </c>
      <c r="S277" s="6">
        <v>0</v>
      </c>
      <c r="T277" s="6">
        <v>0</v>
      </c>
      <c r="U277" s="6">
        <v>0</v>
      </c>
      <c r="V277" s="6">
        <v>0</v>
      </c>
      <c r="W277" s="9">
        <v>0.26090000000000002</v>
      </c>
      <c r="X277" s="5">
        <v>0.92859999999999998</v>
      </c>
      <c r="Y277" s="5">
        <v>0.1075</v>
      </c>
      <c r="Z277" s="5">
        <v>0.125</v>
      </c>
      <c r="AA277" s="5">
        <v>0</v>
      </c>
      <c r="AB277" s="5">
        <v>0</v>
      </c>
      <c r="AC277" s="8">
        <v>2.93E-2</v>
      </c>
      <c r="AD277" s="5">
        <v>0.23219999999999999</v>
      </c>
      <c r="AE277" s="5">
        <f t="shared" si="27"/>
        <v>0.23222000000000001</v>
      </c>
      <c r="AF277" s="1" t="s">
        <v>34</v>
      </c>
      <c r="AG277" s="19" cm="1">
        <f t="array" ref="AG277">DIASQUIEBRE(Q277:AB277)</f>
        <v>8</v>
      </c>
      <c r="AH277" s="19" cm="1">
        <f t="array" ref="AH277">DiasMesesGris(Q277:AB277)</f>
        <v>180</v>
      </c>
      <c r="AI277" s="19">
        <f t="shared" si="23"/>
        <v>188</v>
      </c>
      <c r="AJ277" s="19">
        <f t="shared" si="24"/>
        <v>172</v>
      </c>
      <c r="AK277" s="20">
        <f t="shared" si="25"/>
        <v>22</v>
      </c>
      <c r="AL277" s="21">
        <f t="shared" si="22"/>
        <v>0.12790697674418605</v>
      </c>
    </row>
    <row r="278" spans="1:38" x14ac:dyDescent="0.25">
      <c r="A278" s="1" t="s">
        <v>592</v>
      </c>
      <c r="B278" s="1" t="s">
        <v>593</v>
      </c>
      <c r="C278" s="1" t="s">
        <v>594</v>
      </c>
      <c r="D278" s="4"/>
      <c r="E278" s="4"/>
      <c r="F278" s="4"/>
      <c r="G278" s="4"/>
      <c r="H278" s="4"/>
      <c r="I278" s="4"/>
      <c r="J278" s="11">
        <v>3</v>
      </c>
      <c r="K278" s="11">
        <v>20</v>
      </c>
      <c r="L278" s="11">
        <v>8</v>
      </c>
      <c r="M278" s="11">
        <v>6</v>
      </c>
      <c r="N278" s="11">
        <v>2</v>
      </c>
      <c r="O278" s="4"/>
      <c r="P278" s="11">
        <v>1</v>
      </c>
      <c r="Q278" s="6">
        <v>0</v>
      </c>
      <c r="R278" s="6">
        <v>0</v>
      </c>
      <c r="S278" s="6">
        <v>0</v>
      </c>
      <c r="T278" s="6">
        <v>0</v>
      </c>
      <c r="U278" s="6">
        <v>0</v>
      </c>
      <c r="V278" s="6">
        <v>0</v>
      </c>
      <c r="W278" s="9">
        <v>0.26090000000000002</v>
      </c>
      <c r="X278" s="5">
        <v>1.4286000000000001</v>
      </c>
      <c r="Y278" s="5">
        <v>0.28670000000000001</v>
      </c>
      <c r="Z278" s="5">
        <v>0.25</v>
      </c>
      <c r="AA278" s="5">
        <v>7.17E-2</v>
      </c>
      <c r="AB278" s="5">
        <v>0</v>
      </c>
      <c r="AC278" s="8">
        <v>2.93E-2</v>
      </c>
      <c r="AD278" s="5">
        <v>0.40739999999999998</v>
      </c>
      <c r="AE278" s="5">
        <f t="shared" si="27"/>
        <v>0.40739999999999998</v>
      </c>
      <c r="AF278" s="1" t="s">
        <v>34</v>
      </c>
      <c r="AG278" s="19" cm="1">
        <f t="array" ref="AG278">DIASQUIEBRE(Q278:AB278)</f>
        <v>8</v>
      </c>
      <c r="AH278" s="19" cm="1">
        <f t="array" ref="AH278">DiasMesesGris(Q278:AB278)</f>
        <v>180</v>
      </c>
      <c r="AI278" s="19">
        <f t="shared" si="23"/>
        <v>188</v>
      </c>
      <c r="AJ278" s="19">
        <f t="shared" si="24"/>
        <v>172</v>
      </c>
      <c r="AK278" s="20">
        <f t="shared" si="25"/>
        <v>39</v>
      </c>
      <c r="AL278" s="21">
        <f t="shared" si="22"/>
        <v>0.22674418604651161</v>
      </c>
    </row>
    <row r="279" spans="1:38" x14ac:dyDescent="0.25">
      <c r="A279" s="1" t="s">
        <v>595</v>
      </c>
      <c r="B279" s="1" t="s">
        <v>596</v>
      </c>
      <c r="C279" s="1" t="s">
        <v>597</v>
      </c>
      <c r="D279" s="4"/>
      <c r="E279" s="4"/>
      <c r="F279" s="4"/>
      <c r="G279" s="4"/>
      <c r="H279" s="4"/>
      <c r="I279" s="4"/>
      <c r="J279" s="11">
        <v>6</v>
      </c>
      <c r="K279" s="11">
        <v>17</v>
      </c>
      <c r="L279" s="11">
        <v>3</v>
      </c>
      <c r="M279" s="11">
        <v>3</v>
      </c>
      <c r="N279" s="4"/>
      <c r="O279" s="4"/>
      <c r="P279" s="11">
        <v>1</v>
      </c>
      <c r="Q279" s="6">
        <v>0</v>
      </c>
      <c r="R279" s="6">
        <v>0</v>
      </c>
      <c r="S279" s="6">
        <v>0</v>
      </c>
      <c r="T279" s="6">
        <v>0</v>
      </c>
      <c r="U279" s="6">
        <v>0</v>
      </c>
      <c r="V279" s="6">
        <v>0</v>
      </c>
      <c r="W279" s="9">
        <v>0.52170000000000005</v>
      </c>
      <c r="X279" s="5">
        <v>1.2142999999999999</v>
      </c>
      <c r="Y279" s="5">
        <v>0.1075</v>
      </c>
      <c r="Z279" s="5">
        <v>0.125</v>
      </c>
      <c r="AA279" s="5">
        <v>0</v>
      </c>
      <c r="AB279" s="5">
        <v>0</v>
      </c>
      <c r="AC279" s="8">
        <v>2.93E-2</v>
      </c>
      <c r="AD279" s="5">
        <v>0.28939999999999999</v>
      </c>
      <c r="AE279" s="5">
        <f t="shared" si="27"/>
        <v>0.28935999999999995</v>
      </c>
      <c r="AF279" s="1" t="s">
        <v>34</v>
      </c>
      <c r="AG279" s="19" cm="1">
        <f t="array" ref="AG279">DIASQUIEBRE(Q279:AB279)</f>
        <v>8</v>
      </c>
      <c r="AH279" s="19" cm="1">
        <f t="array" ref="AH279">DiasMesesGris(Q279:AB279)</f>
        <v>180</v>
      </c>
      <c r="AI279" s="19">
        <f t="shared" si="23"/>
        <v>188</v>
      </c>
      <c r="AJ279" s="19">
        <f t="shared" si="24"/>
        <v>172</v>
      </c>
      <c r="AK279" s="20">
        <f t="shared" si="25"/>
        <v>29</v>
      </c>
      <c r="AL279" s="21">
        <f t="shared" si="22"/>
        <v>0.16860465116279069</v>
      </c>
    </row>
    <row r="280" spans="1:38" x14ac:dyDescent="0.25">
      <c r="A280" s="1" t="s">
        <v>598</v>
      </c>
      <c r="B280" s="1" t="s">
        <v>599</v>
      </c>
      <c r="C280" s="1" t="s">
        <v>600</v>
      </c>
      <c r="D280" s="4"/>
      <c r="E280" s="4"/>
      <c r="F280" s="4"/>
      <c r="G280" s="4"/>
      <c r="H280" s="4"/>
      <c r="I280" s="4"/>
      <c r="J280" s="11">
        <v>4</v>
      </c>
      <c r="K280" s="4"/>
      <c r="L280" s="11">
        <v>2</v>
      </c>
      <c r="M280" s="11">
        <v>2</v>
      </c>
      <c r="N280" s="4"/>
      <c r="O280" s="4"/>
      <c r="P280" s="11">
        <v>1</v>
      </c>
      <c r="Q280" s="6">
        <v>0</v>
      </c>
      <c r="R280" s="6">
        <v>0</v>
      </c>
      <c r="S280" s="6">
        <v>0</v>
      </c>
      <c r="T280" s="6">
        <v>0</v>
      </c>
      <c r="U280" s="6">
        <v>0</v>
      </c>
      <c r="V280" s="6">
        <v>0</v>
      </c>
      <c r="W280" s="9">
        <v>0.3478</v>
      </c>
      <c r="X280" s="5">
        <v>0</v>
      </c>
      <c r="Y280" s="5">
        <v>7.17E-2</v>
      </c>
      <c r="Z280" s="5">
        <v>8.3299999999999999E-2</v>
      </c>
      <c r="AA280" s="5">
        <v>0</v>
      </c>
      <c r="AB280" s="5">
        <v>0</v>
      </c>
      <c r="AC280" s="8">
        <v>2.93E-2</v>
      </c>
      <c r="AD280" s="5">
        <v>3.1E-2</v>
      </c>
      <c r="AE280" s="5">
        <f t="shared" si="27"/>
        <v>3.1E-2</v>
      </c>
      <c r="AF280" s="1" t="s">
        <v>34</v>
      </c>
      <c r="AG280" s="19" cm="1">
        <f t="array" ref="AG280">DIASQUIEBRE(Q280:AB280)</f>
        <v>8</v>
      </c>
      <c r="AH280" s="19" cm="1">
        <f t="array" ref="AH280">DiasMesesGris(Q280:AB280)</f>
        <v>180</v>
      </c>
      <c r="AI280" s="19">
        <f t="shared" si="23"/>
        <v>188</v>
      </c>
      <c r="AJ280" s="19">
        <f t="shared" si="24"/>
        <v>172</v>
      </c>
      <c r="AK280" s="20">
        <f t="shared" si="25"/>
        <v>8</v>
      </c>
      <c r="AL280" s="21">
        <f t="shared" si="22"/>
        <v>4.6511627906976744E-2</v>
      </c>
    </row>
    <row r="281" spans="1:38" x14ac:dyDescent="0.25">
      <c r="A281" s="1" t="s">
        <v>601</v>
      </c>
      <c r="B281" s="1" t="s">
        <v>602</v>
      </c>
      <c r="C281" s="1" t="s">
        <v>603</v>
      </c>
      <c r="D281" s="4"/>
      <c r="E281" s="4"/>
      <c r="F281" s="4"/>
      <c r="G281" s="4"/>
      <c r="H281" s="4"/>
      <c r="I281" s="4"/>
      <c r="J281" s="11">
        <v>4</v>
      </c>
      <c r="K281" s="4"/>
      <c r="L281" s="4"/>
      <c r="M281" s="11">
        <v>2</v>
      </c>
      <c r="N281" s="11">
        <v>1</v>
      </c>
      <c r="O281" s="4"/>
      <c r="P281" s="4"/>
      <c r="Q281" s="6">
        <v>0</v>
      </c>
      <c r="R281" s="6">
        <v>0</v>
      </c>
      <c r="S281" s="6">
        <v>0</v>
      </c>
      <c r="T281" s="6">
        <v>0</v>
      </c>
      <c r="U281" s="6">
        <v>0</v>
      </c>
      <c r="V281" s="6">
        <v>0</v>
      </c>
      <c r="W281" s="9">
        <v>0.3478</v>
      </c>
      <c r="X281" s="5">
        <v>0</v>
      </c>
      <c r="Y281" s="5">
        <v>0</v>
      </c>
      <c r="Z281" s="5">
        <v>8.3299999999999999E-2</v>
      </c>
      <c r="AA281" s="5">
        <v>3.5799999999999998E-2</v>
      </c>
      <c r="AB281" s="5">
        <v>0</v>
      </c>
      <c r="AC281" s="8">
        <v>0</v>
      </c>
      <c r="AD281" s="5">
        <v>2.3800000000000002E-2</v>
      </c>
      <c r="AE281" s="5">
        <f t="shared" si="27"/>
        <v>2.3820000000000001E-2</v>
      </c>
      <c r="AF281" s="1" t="s">
        <v>34</v>
      </c>
      <c r="AG281" s="19" cm="1">
        <f t="array" ref="AG281">DIASQUIEBRE(Q281:AB281)</f>
        <v>8</v>
      </c>
      <c r="AH281" s="19" cm="1">
        <f t="array" ref="AH281">DiasMesesGris(Q281:AB281)</f>
        <v>180</v>
      </c>
      <c r="AI281" s="19">
        <f t="shared" si="23"/>
        <v>188</v>
      </c>
      <c r="AJ281" s="19">
        <f t="shared" si="24"/>
        <v>172</v>
      </c>
      <c r="AK281" s="20">
        <f t="shared" si="25"/>
        <v>7</v>
      </c>
      <c r="AL281" s="21">
        <f t="shared" si="22"/>
        <v>4.0697674418604654E-2</v>
      </c>
    </row>
    <row r="282" spans="1:38" x14ac:dyDescent="0.25">
      <c r="A282" s="1" t="s">
        <v>604</v>
      </c>
      <c r="B282" s="1" t="s">
        <v>605</v>
      </c>
      <c r="C282" s="1" t="s">
        <v>606</v>
      </c>
      <c r="D282" s="4"/>
      <c r="E282" s="4"/>
      <c r="F282" s="4"/>
      <c r="G282" s="4"/>
      <c r="H282" s="4"/>
      <c r="I282" s="4"/>
      <c r="J282" s="11">
        <v>2</v>
      </c>
      <c r="K282" s="11">
        <v>7</v>
      </c>
      <c r="L282" s="11">
        <v>15</v>
      </c>
      <c r="M282" s="4"/>
      <c r="N282" s="4"/>
      <c r="O282" s="11">
        <v>1</v>
      </c>
      <c r="P282" s="4"/>
      <c r="Q282" s="6">
        <v>0</v>
      </c>
      <c r="R282" s="6">
        <v>0</v>
      </c>
      <c r="S282" s="6">
        <v>0</v>
      </c>
      <c r="T282" s="6">
        <v>0</v>
      </c>
      <c r="U282" s="6">
        <v>0</v>
      </c>
      <c r="V282" s="6">
        <v>0</v>
      </c>
      <c r="W282" s="9">
        <v>0.1087</v>
      </c>
      <c r="X282" s="5">
        <v>0.35709999999999997</v>
      </c>
      <c r="Y282" s="5">
        <v>0.53759999999999997</v>
      </c>
      <c r="Z282" s="5">
        <v>0</v>
      </c>
      <c r="AA282" s="5">
        <v>0</v>
      </c>
      <c r="AB282" s="5">
        <v>3.3300000000000003E-2</v>
      </c>
      <c r="AC282" s="8">
        <v>0</v>
      </c>
      <c r="AD282" s="5">
        <v>0.18559999999999999</v>
      </c>
      <c r="AE282" s="5">
        <f t="shared" si="27"/>
        <v>0.18559999999999999</v>
      </c>
      <c r="AF282" s="1" t="s">
        <v>34</v>
      </c>
      <c r="AG282" s="19" cm="1">
        <f t="array" ref="AG282">DIASQUIEBRE(Q282:AB282)</f>
        <v>8</v>
      </c>
      <c r="AH282" s="19" cm="1">
        <f t="array" ref="AH282">DiasMesesGris(Q282:AB282)</f>
        <v>180</v>
      </c>
      <c r="AI282" s="19">
        <f t="shared" si="23"/>
        <v>188</v>
      </c>
      <c r="AJ282" s="19">
        <f t="shared" si="24"/>
        <v>172</v>
      </c>
      <c r="AK282" s="20">
        <f t="shared" si="25"/>
        <v>25</v>
      </c>
      <c r="AL282" s="21">
        <f t="shared" si="22"/>
        <v>0.14534883720930233</v>
      </c>
    </row>
    <row r="283" spans="1:38" x14ac:dyDescent="0.25">
      <c r="A283" s="1" t="s">
        <v>607</v>
      </c>
      <c r="B283" s="1" t="s">
        <v>608</v>
      </c>
      <c r="C283" s="1" t="s">
        <v>609</v>
      </c>
      <c r="D283" s="4"/>
      <c r="E283" s="4"/>
      <c r="F283" s="4"/>
      <c r="G283" s="4"/>
      <c r="H283" s="4"/>
      <c r="I283" s="4"/>
      <c r="J283" s="11">
        <v>3</v>
      </c>
      <c r="K283" s="4"/>
      <c r="L283" s="11">
        <v>5</v>
      </c>
      <c r="M283" s="11">
        <v>9</v>
      </c>
      <c r="N283" s="11">
        <v>3</v>
      </c>
      <c r="O283" s="11">
        <v>13</v>
      </c>
      <c r="P283" s="11">
        <v>1</v>
      </c>
      <c r="Q283" s="6">
        <v>0</v>
      </c>
      <c r="R283" s="6">
        <v>0</v>
      </c>
      <c r="S283" s="6">
        <v>0</v>
      </c>
      <c r="T283" s="6">
        <v>0</v>
      </c>
      <c r="U283" s="6">
        <v>0</v>
      </c>
      <c r="V283" s="6">
        <v>0</v>
      </c>
      <c r="W283" s="9">
        <v>0.16300000000000001</v>
      </c>
      <c r="X283" s="5">
        <v>0</v>
      </c>
      <c r="Y283" s="5">
        <v>0.1792</v>
      </c>
      <c r="Z283" s="5">
        <v>0.375</v>
      </c>
      <c r="AA283" s="5">
        <v>9.6799999999999997E-2</v>
      </c>
      <c r="AB283" s="5">
        <v>0.43330000000000002</v>
      </c>
      <c r="AC283" s="8">
        <v>1.7899999999999999E-2</v>
      </c>
      <c r="AD283" s="5">
        <v>0.21690000000000001</v>
      </c>
      <c r="AE283" s="5">
        <f t="shared" si="27"/>
        <v>0.21686</v>
      </c>
      <c r="AF283" s="1" t="s">
        <v>34</v>
      </c>
      <c r="AG283" s="19" cm="1">
        <f t="array" ref="AG283">DIASQUIEBRE(Q283:AB283)</f>
        <v>8</v>
      </c>
      <c r="AH283" s="19" cm="1">
        <f t="array" ref="AH283">DiasMesesGris(Q283:AB283)</f>
        <v>180</v>
      </c>
      <c r="AI283" s="19">
        <f t="shared" si="23"/>
        <v>188</v>
      </c>
      <c r="AJ283" s="19">
        <f t="shared" si="24"/>
        <v>172</v>
      </c>
      <c r="AK283" s="20">
        <f t="shared" si="25"/>
        <v>33</v>
      </c>
      <c r="AL283" s="21">
        <f t="shared" si="22"/>
        <v>0.19186046511627908</v>
      </c>
    </row>
    <row r="284" spans="1:38" x14ac:dyDescent="0.25">
      <c r="A284" s="1" t="s">
        <v>610</v>
      </c>
      <c r="B284" s="1" t="s">
        <v>611</v>
      </c>
      <c r="C284" s="1" t="s">
        <v>612</v>
      </c>
      <c r="D284" s="4"/>
      <c r="E284" s="4"/>
      <c r="F284" s="4"/>
      <c r="G284" s="4"/>
      <c r="H284" s="4"/>
      <c r="I284" s="4"/>
      <c r="J284" s="11">
        <v>6</v>
      </c>
      <c r="K284" s="11">
        <v>1</v>
      </c>
      <c r="L284" s="11">
        <v>10</v>
      </c>
      <c r="M284" s="11">
        <v>6</v>
      </c>
      <c r="N284" s="11">
        <v>1</v>
      </c>
      <c r="O284" s="11">
        <v>10</v>
      </c>
      <c r="P284" s="4"/>
      <c r="Q284" s="6">
        <v>0</v>
      </c>
      <c r="R284" s="6">
        <v>0</v>
      </c>
      <c r="S284" s="6">
        <v>0</v>
      </c>
      <c r="T284" s="6">
        <v>0</v>
      </c>
      <c r="U284" s="6">
        <v>0</v>
      </c>
      <c r="V284" s="6">
        <v>0</v>
      </c>
      <c r="W284" s="9">
        <v>0.3261</v>
      </c>
      <c r="X284" s="5">
        <v>5.0999999999999997E-2</v>
      </c>
      <c r="Y284" s="5">
        <v>0.3584</v>
      </c>
      <c r="Z284" s="5">
        <v>0.25</v>
      </c>
      <c r="AA284" s="5">
        <v>3.2300000000000002E-2</v>
      </c>
      <c r="AB284" s="5">
        <v>0.33329999999999999</v>
      </c>
      <c r="AC284" s="8">
        <v>0</v>
      </c>
      <c r="AD284" s="5">
        <v>0.20499999999999999</v>
      </c>
      <c r="AE284" s="5">
        <f t="shared" si="27"/>
        <v>0.20499999999999999</v>
      </c>
      <c r="AF284" s="1" t="s">
        <v>34</v>
      </c>
      <c r="AG284" s="19" cm="1">
        <f t="array" ref="AG284">DIASQUIEBRE(Q284:AB284)</f>
        <v>8</v>
      </c>
      <c r="AH284" s="19" cm="1">
        <f t="array" ref="AH284">DiasMesesGris(Q284:AB284)</f>
        <v>180</v>
      </c>
      <c r="AI284" s="19">
        <f t="shared" si="23"/>
        <v>188</v>
      </c>
      <c r="AJ284" s="19">
        <f t="shared" si="24"/>
        <v>172</v>
      </c>
      <c r="AK284" s="20">
        <f t="shared" si="25"/>
        <v>34</v>
      </c>
      <c r="AL284" s="21">
        <f t="shared" si="22"/>
        <v>0.19767441860465115</v>
      </c>
    </row>
    <row r="285" spans="1:38" x14ac:dyDescent="0.25">
      <c r="A285" s="1" t="s">
        <v>613</v>
      </c>
      <c r="B285" s="1" t="s">
        <v>614</v>
      </c>
      <c r="C285" s="1" t="s">
        <v>615</v>
      </c>
      <c r="D285" s="4"/>
      <c r="E285" s="4"/>
      <c r="F285" s="4"/>
      <c r="G285" s="4"/>
      <c r="H285" s="4"/>
      <c r="I285" s="4"/>
      <c r="J285" s="11">
        <v>2</v>
      </c>
      <c r="K285" s="11">
        <v>2</v>
      </c>
      <c r="L285" s="4"/>
      <c r="M285" s="11">
        <v>5</v>
      </c>
      <c r="N285" s="11">
        <v>4</v>
      </c>
      <c r="O285" s="11">
        <v>7</v>
      </c>
      <c r="P285" s="11">
        <v>1</v>
      </c>
      <c r="Q285" s="6">
        <v>0</v>
      </c>
      <c r="R285" s="6">
        <v>0</v>
      </c>
      <c r="S285" s="6">
        <v>0</v>
      </c>
      <c r="T285" s="6">
        <v>0</v>
      </c>
      <c r="U285" s="6">
        <v>0</v>
      </c>
      <c r="V285" s="6">
        <v>0</v>
      </c>
      <c r="W285" s="9">
        <v>0.1087</v>
      </c>
      <c r="X285" s="5">
        <v>0.10199999999999999</v>
      </c>
      <c r="Y285" s="5">
        <v>0</v>
      </c>
      <c r="Z285" s="5">
        <v>0.20830000000000001</v>
      </c>
      <c r="AA285" s="5">
        <v>0.129</v>
      </c>
      <c r="AB285" s="5">
        <v>0.23330000000000001</v>
      </c>
      <c r="AC285" s="8">
        <v>1.7899999999999999E-2</v>
      </c>
      <c r="AD285" s="5">
        <v>0.13450000000000001</v>
      </c>
      <c r="AE285" s="5">
        <f t="shared" si="27"/>
        <v>0.13452000000000003</v>
      </c>
      <c r="AF285" s="1" t="s">
        <v>34</v>
      </c>
      <c r="AG285" s="19" cm="1">
        <f t="array" ref="AG285">DIASQUIEBRE(Q285:AB285)</f>
        <v>8</v>
      </c>
      <c r="AH285" s="19" cm="1">
        <f t="array" ref="AH285">DiasMesesGris(Q285:AB285)</f>
        <v>180</v>
      </c>
      <c r="AI285" s="19">
        <f t="shared" si="23"/>
        <v>188</v>
      </c>
      <c r="AJ285" s="19">
        <f t="shared" si="24"/>
        <v>172</v>
      </c>
      <c r="AK285" s="20">
        <f t="shared" si="25"/>
        <v>20</v>
      </c>
      <c r="AL285" s="21">
        <f t="shared" si="22"/>
        <v>0.11627906976744186</v>
      </c>
    </row>
    <row r="286" spans="1:38" x14ac:dyDescent="0.25">
      <c r="A286" s="1" t="s">
        <v>616</v>
      </c>
      <c r="B286" s="1" t="s">
        <v>617</v>
      </c>
      <c r="C286" s="1" t="s">
        <v>618</v>
      </c>
      <c r="D286" s="4"/>
      <c r="E286" s="4"/>
      <c r="F286" s="4"/>
      <c r="G286" s="4"/>
      <c r="H286" s="4"/>
      <c r="I286" s="4"/>
      <c r="J286" s="11">
        <v>1</v>
      </c>
      <c r="K286" s="11">
        <v>1</v>
      </c>
      <c r="L286" s="4"/>
      <c r="M286" s="11">
        <v>7</v>
      </c>
      <c r="N286" s="11">
        <v>3</v>
      </c>
      <c r="O286" s="11">
        <v>6</v>
      </c>
      <c r="P286" s="11">
        <v>5</v>
      </c>
      <c r="Q286" s="6">
        <v>0</v>
      </c>
      <c r="R286" s="6">
        <v>0</v>
      </c>
      <c r="S286" s="6">
        <v>0</v>
      </c>
      <c r="T286" s="6">
        <v>0</v>
      </c>
      <c r="U286" s="6">
        <v>0</v>
      </c>
      <c r="V286" s="6">
        <v>0</v>
      </c>
      <c r="W286" s="9">
        <v>5.4300000000000001E-2</v>
      </c>
      <c r="X286" s="5">
        <v>5.0999999999999997E-2</v>
      </c>
      <c r="Y286" s="5">
        <v>0</v>
      </c>
      <c r="Z286" s="5">
        <v>0.29170000000000001</v>
      </c>
      <c r="AA286" s="5">
        <v>9.6799999999999997E-2</v>
      </c>
      <c r="AB286" s="5">
        <v>0.2</v>
      </c>
      <c r="AC286" s="8">
        <v>8.9599999999999999E-2</v>
      </c>
      <c r="AD286" s="5">
        <v>0.12790000000000001</v>
      </c>
      <c r="AE286" s="5">
        <f t="shared" si="27"/>
        <v>0.12789999999999999</v>
      </c>
      <c r="AF286" s="1" t="s">
        <v>34</v>
      </c>
      <c r="AG286" s="19" cm="1">
        <f t="array" ref="AG286">DIASQUIEBRE(Q286:AB286)</f>
        <v>8</v>
      </c>
      <c r="AH286" s="19" cm="1">
        <f t="array" ref="AH286">DiasMesesGris(Q286:AB286)</f>
        <v>180</v>
      </c>
      <c r="AI286" s="19">
        <f t="shared" si="23"/>
        <v>188</v>
      </c>
      <c r="AJ286" s="19">
        <f t="shared" si="24"/>
        <v>172</v>
      </c>
      <c r="AK286" s="20">
        <f t="shared" si="25"/>
        <v>18</v>
      </c>
      <c r="AL286" s="21">
        <f t="shared" si="22"/>
        <v>0.10465116279069768</v>
      </c>
    </row>
    <row r="287" spans="1:38" x14ac:dyDescent="0.25">
      <c r="A287" s="1" t="s">
        <v>619</v>
      </c>
      <c r="B287" s="1" t="s">
        <v>620</v>
      </c>
      <c r="C287" s="1" t="s">
        <v>621</v>
      </c>
      <c r="D287" s="4"/>
      <c r="E287" s="4"/>
      <c r="F287" s="4"/>
      <c r="G287" s="4"/>
      <c r="H287" s="4"/>
      <c r="I287" s="4"/>
      <c r="J287" s="11">
        <v>2</v>
      </c>
      <c r="K287" s="11">
        <v>3</v>
      </c>
      <c r="L287" s="11">
        <v>4</v>
      </c>
      <c r="M287" s="11">
        <v>2</v>
      </c>
      <c r="N287" s="11">
        <v>2</v>
      </c>
      <c r="O287" s="11">
        <v>5</v>
      </c>
      <c r="P287" s="4"/>
      <c r="Q287" s="6">
        <v>0</v>
      </c>
      <c r="R287" s="6">
        <v>0</v>
      </c>
      <c r="S287" s="6">
        <v>0</v>
      </c>
      <c r="T287" s="6">
        <v>0</v>
      </c>
      <c r="U287" s="6">
        <v>0</v>
      </c>
      <c r="V287" s="6">
        <v>0</v>
      </c>
      <c r="W287" s="9">
        <v>0.1087</v>
      </c>
      <c r="X287" s="5">
        <v>0.15310000000000001</v>
      </c>
      <c r="Y287" s="5">
        <v>0.1434</v>
      </c>
      <c r="Z287" s="5">
        <v>8.3299999999999999E-2</v>
      </c>
      <c r="AA287" s="5">
        <v>6.4500000000000002E-2</v>
      </c>
      <c r="AB287" s="5">
        <v>0.16669999999999999</v>
      </c>
      <c r="AC287" s="8">
        <v>0</v>
      </c>
      <c r="AD287" s="5">
        <v>0.1222</v>
      </c>
      <c r="AE287" s="5">
        <f t="shared" si="27"/>
        <v>0.1222</v>
      </c>
      <c r="AF287" s="1" t="s">
        <v>34</v>
      </c>
      <c r="AG287" s="19" cm="1">
        <f t="array" ref="AG287">DIASQUIEBRE(Q287:AB287)</f>
        <v>8</v>
      </c>
      <c r="AH287" s="19" cm="1">
        <f t="array" ref="AH287">DiasMesesGris(Q287:AB287)</f>
        <v>180</v>
      </c>
      <c r="AI287" s="19">
        <f t="shared" si="23"/>
        <v>188</v>
      </c>
      <c r="AJ287" s="19">
        <f t="shared" si="24"/>
        <v>172</v>
      </c>
      <c r="AK287" s="20">
        <f t="shared" si="25"/>
        <v>18</v>
      </c>
      <c r="AL287" s="21">
        <f t="shared" si="22"/>
        <v>0.10465116279069768</v>
      </c>
    </row>
    <row r="288" spans="1:38" x14ac:dyDescent="0.25">
      <c r="A288" s="1" t="s">
        <v>622</v>
      </c>
      <c r="B288" s="1" t="s">
        <v>623</v>
      </c>
      <c r="C288" s="1" t="s">
        <v>624</v>
      </c>
      <c r="D288" s="4"/>
      <c r="E288" s="4"/>
      <c r="F288" s="4"/>
      <c r="G288" s="4"/>
      <c r="H288" s="4"/>
      <c r="I288" s="4"/>
      <c r="J288" s="11">
        <v>3</v>
      </c>
      <c r="K288" s="11">
        <v>22</v>
      </c>
      <c r="L288" s="11">
        <v>4</v>
      </c>
      <c r="M288" s="11">
        <v>2</v>
      </c>
      <c r="N288" s="11">
        <v>1</v>
      </c>
      <c r="O288" s="11">
        <v>3</v>
      </c>
      <c r="P288" s="11">
        <v>1</v>
      </c>
      <c r="Q288" s="6">
        <v>0</v>
      </c>
      <c r="R288" s="6">
        <v>0</v>
      </c>
      <c r="S288" s="6">
        <v>0</v>
      </c>
      <c r="T288" s="6">
        <v>0</v>
      </c>
      <c r="U288" s="6">
        <v>0</v>
      </c>
      <c r="V288" s="6">
        <v>0</v>
      </c>
      <c r="W288" s="9">
        <v>0.16300000000000001</v>
      </c>
      <c r="X288" s="5">
        <v>1.1224000000000001</v>
      </c>
      <c r="Y288" s="5">
        <v>0.1434</v>
      </c>
      <c r="Z288" s="5">
        <v>8.3299999999999999E-2</v>
      </c>
      <c r="AA288" s="5">
        <v>3.2300000000000002E-2</v>
      </c>
      <c r="AB288" s="5">
        <v>0.1</v>
      </c>
      <c r="AC288" s="8">
        <v>1.7899999999999999E-2</v>
      </c>
      <c r="AD288" s="5">
        <v>0.29630000000000001</v>
      </c>
      <c r="AE288" s="5">
        <f t="shared" si="27"/>
        <v>0.29627999999999999</v>
      </c>
      <c r="AF288" s="1" t="s">
        <v>34</v>
      </c>
      <c r="AG288" s="19" cm="1">
        <f t="array" ref="AG288">DIASQUIEBRE(Q288:AB288)</f>
        <v>8</v>
      </c>
      <c r="AH288" s="19" cm="1">
        <f t="array" ref="AH288">DiasMesesGris(Q288:AB288)</f>
        <v>180</v>
      </c>
      <c r="AI288" s="19">
        <f t="shared" si="23"/>
        <v>188</v>
      </c>
      <c r="AJ288" s="19">
        <f t="shared" si="24"/>
        <v>172</v>
      </c>
      <c r="AK288" s="20">
        <f t="shared" si="25"/>
        <v>35</v>
      </c>
      <c r="AL288" s="21">
        <f t="shared" si="22"/>
        <v>0.20348837209302326</v>
      </c>
    </row>
    <row r="289" spans="1:38" x14ac:dyDescent="0.25">
      <c r="A289" s="1" t="s">
        <v>625</v>
      </c>
      <c r="B289" s="1" t="s">
        <v>626</v>
      </c>
      <c r="C289" s="1" t="s">
        <v>627</v>
      </c>
      <c r="D289" s="4"/>
      <c r="E289" s="4"/>
      <c r="F289" s="4"/>
      <c r="G289" s="4"/>
      <c r="H289" s="4"/>
      <c r="I289" s="4"/>
      <c r="J289" s="4"/>
      <c r="K289" s="11">
        <v>13</v>
      </c>
      <c r="L289" s="11">
        <v>4</v>
      </c>
      <c r="M289" s="11">
        <v>2</v>
      </c>
      <c r="N289" s="4"/>
      <c r="O289" s="11">
        <v>3</v>
      </c>
      <c r="P289" s="11">
        <v>1</v>
      </c>
      <c r="Q289" s="6">
        <v>0</v>
      </c>
      <c r="R289" s="6">
        <v>0</v>
      </c>
      <c r="S289" s="6">
        <v>0</v>
      </c>
      <c r="T289" s="6">
        <v>0</v>
      </c>
      <c r="U289" s="6">
        <v>0</v>
      </c>
      <c r="V289" s="6">
        <v>0</v>
      </c>
      <c r="W289" s="9">
        <v>0</v>
      </c>
      <c r="X289" s="5">
        <v>0.6633</v>
      </c>
      <c r="Y289" s="5">
        <v>0.1434</v>
      </c>
      <c r="Z289" s="5">
        <v>8.3299999999999999E-2</v>
      </c>
      <c r="AA289" s="5">
        <v>0</v>
      </c>
      <c r="AB289" s="5">
        <v>0.1</v>
      </c>
      <c r="AC289" s="8">
        <v>1.7899999999999999E-2</v>
      </c>
      <c r="AD289" s="5">
        <v>0.19800000000000001</v>
      </c>
      <c r="AE289" s="5">
        <f t="shared" si="27"/>
        <v>0.19800000000000001</v>
      </c>
      <c r="AF289" s="1" t="s">
        <v>34</v>
      </c>
      <c r="AG289" s="19" cm="1">
        <f t="array" ref="AG289">DIASQUIEBRE(Q289:AB289)</f>
        <v>8</v>
      </c>
      <c r="AH289" s="19" cm="1">
        <f t="array" ref="AH289">DiasMesesGris(Q289:AB289)</f>
        <v>180</v>
      </c>
      <c r="AI289" s="19">
        <f t="shared" si="23"/>
        <v>188</v>
      </c>
      <c r="AJ289" s="19">
        <f t="shared" si="24"/>
        <v>172</v>
      </c>
      <c r="AK289" s="20">
        <f t="shared" si="25"/>
        <v>22</v>
      </c>
      <c r="AL289" s="21">
        <f t="shared" si="22"/>
        <v>0.12790697674418605</v>
      </c>
    </row>
    <row r="290" spans="1:38" x14ac:dyDescent="0.25">
      <c r="A290" s="1" t="s">
        <v>628</v>
      </c>
      <c r="B290" s="1" t="s">
        <v>629</v>
      </c>
      <c r="C290" s="1" t="s">
        <v>630</v>
      </c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6">
        <v>0</v>
      </c>
      <c r="R290" s="6">
        <v>0</v>
      </c>
      <c r="S290" s="6">
        <v>0</v>
      </c>
      <c r="T290" s="6">
        <v>0</v>
      </c>
      <c r="U290" s="6">
        <v>0</v>
      </c>
      <c r="V290" s="6">
        <v>0</v>
      </c>
      <c r="W290" s="6">
        <v>0</v>
      </c>
      <c r="X290" s="6">
        <v>0</v>
      </c>
      <c r="Y290" s="6">
        <v>0</v>
      </c>
      <c r="Z290" s="6">
        <v>0</v>
      </c>
      <c r="AA290" s="6">
        <v>0</v>
      </c>
      <c r="AB290" s="6">
        <v>0</v>
      </c>
      <c r="AC290" s="7">
        <v>0</v>
      </c>
      <c r="AE290" s="5">
        <f t="shared" si="20"/>
        <v>0</v>
      </c>
      <c r="AF290" s="1" t="s">
        <v>34</v>
      </c>
      <c r="AG290" s="19" cm="1">
        <f t="array" ref="AG290">DIASQUIEBRE(Q290:AB290)</f>
        <v>0</v>
      </c>
      <c r="AH290" s="19" cm="1">
        <f t="array" ref="AH290">DiasMesesGris(Q290:AB290)</f>
        <v>360</v>
      </c>
      <c r="AI290" s="19">
        <f t="shared" si="23"/>
        <v>360</v>
      </c>
      <c r="AJ290" s="19">
        <f t="shared" si="24"/>
        <v>0</v>
      </c>
      <c r="AK290" s="20">
        <f t="shared" si="25"/>
        <v>0</v>
      </c>
      <c r="AL290" s="21">
        <f t="shared" si="22"/>
        <v>0</v>
      </c>
    </row>
    <row r="291" spans="1:38" x14ac:dyDescent="0.25">
      <c r="A291" s="1" t="s">
        <v>631</v>
      </c>
      <c r="B291" s="1" t="s">
        <v>632</v>
      </c>
      <c r="C291" s="1" t="s">
        <v>633</v>
      </c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6">
        <v>0</v>
      </c>
      <c r="R291" s="6">
        <v>0</v>
      </c>
      <c r="S291" s="6">
        <v>0</v>
      </c>
      <c r="T291" s="6">
        <v>0</v>
      </c>
      <c r="U291" s="6">
        <v>0</v>
      </c>
      <c r="V291" s="6">
        <v>0</v>
      </c>
      <c r="W291" s="6">
        <v>0</v>
      </c>
      <c r="X291" s="6">
        <v>0</v>
      </c>
      <c r="Y291" s="6">
        <v>0</v>
      </c>
      <c r="Z291" s="6">
        <v>0</v>
      </c>
      <c r="AA291" s="6">
        <v>0</v>
      </c>
      <c r="AB291" s="6">
        <v>0</v>
      </c>
      <c r="AC291" s="7">
        <v>0</v>
      </c>
      <c r="AE291" s="5">
        <f t="shared" si="20"/>
        <v>0</v>
      </c>
      <c r="AF291" s="1" t="s">
        <v>34</v>
      </c>
      <c r="AG291" s="19" cm="1">
        <f t="array" ref="AG291">DIASQUIEBRE(Q291:AB291)</f>
        <v>0</v>
      </c>
      <c r="AH291" s="19" cm="1">
        <f t="array" ref="AH291">DiasMesesGris(Q291:AB291)</f>
        <v>360</v>
      </c>
      <c r="AI291" s="19">
        <f t="shared" si="23"/>
        <v>360</v>
      </c>
      <c r="AJ291" s="19">
        <f t="shared" si="24"/>
        <v>0</v>
      </c>
      <c r="AK291" s="20">
        <f t="shared" si="25"/>
        <v>0</v>
      </c>
      <c r="AL291" s="21">
        <f t="shared" si="22"/>
        <v>0</v>
      </c>
    </row>
    <row r="292" spans="1:38" x14ac:dyDescent="0.25">
      <c r="A292" s="1" t="s">
        <v>634</v>
      </c>
      <c r="B292" s="1" t="s">
        <v>635</v>
      </c>
      <c r="C292" s="1" t="s">
        <v>636</v>
      </c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6">
        <v>0</v>
      </c>
      <c r="R292" s="6">
        <v>0</v>
      </c>
      <c r="S292" s="6">
        <v>0</v>
      </c>
      <c r="T292" s="6">
        <v>0</v>
      </c>
      <c r="U292" s="6">
        <v>0</v>
      </c>
      <c r="V292" s="6">
        <v>0</v>
      </c>
      <c r="W292" s="6">
        <v>0</v>
      </c>
      <c r="X292" s="6">
        <v>0</v>
      </c>
      <c r="Y292" s="6">
        <v>0</v>
      </c>
      <c r="Z292" s="6">
        <v>0</v>
      </c>
      <c r="AA292" s="6">
        <v>0</v>
      </c>
      <c r="AB292" s="6">
        <v>0</v>
      </c>
      <c r="AC292" s="7">
        <v>0</v>
      </c>
      <c r="AE292" s="5">
        <f t="shared" si="20"/>
        <v>0</v>
      </c>
      <c r="AF292" s="1" t="s">
        <v>34</v>
      </c>
      <c r="AG292" s="19" cm="1">
        <f t="array" ref="AG292">DIASQUIEBRE(Q292:AB292)</f>
        <v>0</v>
      </c>
      <c r="AH292" s="19" cm="1">
        <f t="array" ref="AH292">DiasMesesGris(Q292:AB292)</f>
        <v>360</v>
      </c>
      <c r="AI292" s="19">
        <f t="shared" si="23"/>
        <v>360</v>
      </c>
      <c r="AJ292" s="19">
        <f t="shared" si="24"/>
        <v>0</v>
      </c>
      <c r="AK292" s="20">
        <f t="shared" si="25"/>
        <v>0</v>
      </c>
      <c r="AL292" s="21">
        <f t="shared" si="22"/>
        <v>0</v>
      </c>
    </row>
    <row r="293" spans="1:38" x14ac:dyDescent="0.25">
      <c r="A293" s="1" t="s">
        <v>637</v>
      </c>
      <c r="B293" s="1" t="s">
        <v>638</v>
      </c>
      <c r="C293" s="1" t="s">
        <v>639</v>
      </c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6">
        <v>0</v>
      </c>
      <c r="R293" s="6">
        <v>0</v>
      </c>
      <c r="S293" s="6">
        <v>0</v>
      </c>
      <c r="T293" s="6">
        <v>0</v>
      </c>
      <c r="U293" s="6">
        <v>0</v>
      </c>
      <c r="V293" s="6">
        <v>0</v>
      </c>
      <c r="W293" s="6">
        <v>0</v>
      </c>
      <c r="X293" s="6">
        <v>0</v>
      </c>
      <c r="Y293" s="6">
        <v>0</v>
      </c>
      <c r="Z293" s="6">
        <v>0</v>
      </c>
      <c r="AA293" s="6">
        <v>0</v>
      </c>
      <c r="AB293" s="6">
        <v>0</v>
      </c>
      <c r="AC293" s="7">
        <v>0</v>
      </c>
      <c r="AE293" s="5">
        <f t="shared" si="20"/>
        <v>0</v>
      </c>
      <c r="AF293" s="1" t="s">
        <v>34</v>
      </c>
      <c r="AG293" s="19" cm="1">
        <f t="array" ref="AG293">DIASQUIEBRE(Q293:AB293)</f>
        <v>0</v>
      </c>
      <c r="AH293" s="19" cm="1">
        <f t="array" ref="AH293">DiasMesesGris(Q293:AB293)</f>
        <v>360</v>
      </c>
      <c r="AI293" s="19">
        <f t="shared" si="23"/>
        <v>360</v>
      </c>
      <c r="AJ293" s="19">
        <f t="shared" si="24"/>
        <v>0</v>
      </c>
      <c r="AK293" s="20">
        <f t="shared" si="25"/>
        <v>0</v>
      </c>
      <c r="AL293" s="21">
        <f t="shared" si="22"/>
        <v>0</v>
      </c>
    </row>
    <row r="294" spans="1:38" x14ac:dyDescent="0.25">
      <c r="A294" s="1" t="s">
        <v>640</v>
      </c>
      <c r="B294" s="1" t="s">
        <v>641</v>
      </c>
      <c r="C294" s="1" t="s">
        <v>642</v>
      </c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6">
        <v>0</v>
      </c>
      <c r="R294" s="6">
        <v>0</v>
      </c>
      <c r="S294" s="6">
        <v>0</v>
      </c>
      <c r="T294" s="6">
        <v>0</v>
      </c>
      <c r="U294" s="6">
        <v>0</v>
      </c>
      <c r="V294" s="6">
        <v>0</v>
      </c>
      <c r="W294" s="6">
        <v>0</v>
      </c>
      <c r="X294" s="6">
        <v>0</v>
      </c>
      <c r="Y294" s="6">
        <v>0</v>
      </c>
      <c r="Z294" s="6">
        <v>0</v>
      </c>
      <c r="AA294" s="6">
        <v>0</v>
      </c>
      <c r="AB294" s="6">
        <v>0</v>
      </c>
      <c r="AC294" s="7">
        <v>0</v>
      </c>
      <c r="AE294" s="5">
        <f t="shared" si="20"/>
        <v>0</v>
      </c>
      <c r="AF294" s="1" t="s">
        <v>34</v>
      </c>
      <c r="AG294" s="19" cm="1">
        <f t="array" ref="AG294">DIASQUIEBRE(Q294:AB294)</f>
        <v>0</v>
      </c>
      <c r="AH294" s="19" cm="1">
        <f t="array" ref="AH294">DiasMesesGris(Q294:AB294)</f>
        <v>360</v>
      </c>
      <c r="AI294" s="19">
        <f t="shared" si="23"/>
        <v>360</v>
      </c>
      <c r="AJ294" s="19">
        <f t="shared" si="24"/>
        <v>0</v>
      </c>
      <c r="AK294" s="20">
        <f t="shared" si="25"/>
        <v>0</v>
      </c>
      <c r="AL294" s="21">
        <f t="shared" si="22"/>
        <v>0</v>
      </c>
    </row>
    <row r="295" spans="1:38" x14ac:dyDescent="0.25">
      <c r="A295" s="1" t="s">
        <v>643</v>
      </c>
      <c r="B295" s="1" t="s">
        <v>644</v>
      </c>
      <c r="C295" s="1" t="s">
        <v>645</v>
      </c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6">
        <v>0</v>
      </c>
      <c r="R295" s="6">
        <v>0</v>
      </c>
      <c r="S295" s="6">
        <v>0</v>
      </c>
      <c r="T295" s="6">
        <v>0</v>
      </c>
      <c r="U295" s="6">
        <v>0</v>
      </c>
      <c r="V295" s="6">
        <v>0</v>
      </c>
      <c r="W295" s="6">
        <v>0</v>
      </c>
      <c r="X295" s="6">
        <v>0</v>
      </c>
      <c r="Y295" s="6">
        <v>0</v>
      </c>
      <c r="Z295" s="6">
        <v>0</v>
      </c>
      <c r="AA295" s="6">
        <v>0</v>
      </c>
      <c r="AB295" s="6">
        <v>0</v>
      </c>
      <c r="AC295" s="7">
        <v>0</v>
      </c>
      <c r="AE295" s="5">
        <f t="shared" si="20"/>
        <v>0</v>
      </c>
      <c r="AF295" s="1" t="s">
        <v>34</v>
      </c>
      <c r="AG295" s="19" cm="1">
        <f t="array" ref="AG295">DIASQUIEBRE(Q295:AB295)</f>
        <v>0</v>
      </c>
      <c r="AH295" s="19" cm="1">
        <f t="array" ref="AH295">DiasMesesGris(Q295:AB295)</f>
        <v>360</v>
      </c>
      <c r="AI295" s="19">
        <f t="shared" si="23"/>
        <v>360</v>
      </c>
      <c r="AJ295" s="19">
        <f t="shared" si="24"/>
        <v>0</v>
      </c>
      <c r="AK295" s="20">
        <f t="shared" si="25"/>
        <v>0</v>
      </c>
      <c r="AL295" s="21">
        <f t="shared" si="22"/>
        <v>0</v>
      </c>
    </row>
    <row r="296" spans="1:38" x14ac:dyDescent="0.25">
      <c r="A296" s="1" t="s">
        <v>646</v>
      </c>
      <c r="B296" s="1" t="s">
        <v>647</v>
      </c>
      <c r="C296" s="1" t="s">
        <v>648</v>
      </c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6">
        <v>0</v>
      </c>
      <c r="R296" s="6">
        <v>0</v>
      </c>
      <c r="S296" s="6">
        <v>0</v>
      </c>
      <c r="T296" s="6">
        <v>0</v>
      </c>
      <c r="U296" s="6">
        <v>0</v>
      </c>
      <c r="V296" s="6">
        <v>0</v>
      </c>
      <c r="W296" s="6">
        <v>0</v>
      </c>
      <c r="X296" s="6">
        <v>0</v>
      </c>
      <c r="Y296" s="6">
        <v>0</v>
      </c>
      <c r="Z296" s="6">
        <v>0</v>
      </c>
      <c r="AA296" s="6">
        <v>0</v>
      </c>
      <c r="AB296" s="6">
        <v>0</v>
      </c>
      <c r="AC296" s="7">
        <v>0</v>
      </c>
      <c r="AE296" s="5">
        <f t="shared" si="20"/>
        <v>0</v>
      </c>
      <c r="AF296" s="1" t="s">
        <v>34</v>
      </c>
      <c r="AG296" s="19" cm="1">
        <f t="array" ref="AG296">DIASQUIEBRE(Q296:AB296)</f>
        <v>0</v>
      </c>
      <c r="AH296" s="19" cm="1">
        <f t="array" ref="AH296">DiasMesesGris(Q296:AB296)</f>
        <v>360</v>
      </c>
      <c r="AI296" s="19">
        <f t="shared" si="23"/>
        <v>360</v>
      </c>
      <c r="AJ296" s="19">
        <f t="shared" si="24"/>
        <v>0</v>
      </c>
      <c r="AK296" s="20">
        <f t="shared" si="25"/>
        <v>0</v>
      </c>
      <c r="AL296" s="21">
        <f t="shared" si="22"/>
        <v>0</v>
      </c>
    </row>
    <row r="297" spans="1:38" x14ac:dyDescent="0.25">
      <c r="A297" s="1" t="s">
        <v>649</v>
      </c>
      <c r="B297" s="1" t="s">
        <v>650</v>
      </c>
      <c r="C297" s="1" t="s">
        <v>651</v>
      </c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6">
        <v>0</v>
      </c>
      <c r="R297" s="6">
        <v>0</v>
      </c>
      <c r="S297" s="6">
        <v>0</v>
      </c>
      <c r="T297" s="6">
        <v>0</v>
      </c>
      <c r="U297" s="6">
        <v>0</v>
      </c>
      <c r="V297" s="6">
        <v>0</v>
      </c>
      <c r="W297" s="6">
        <v>0</v>
      </c>
      <c r="X297" s="6">
        <v>0</v>
      </c>
      <c r="Y297" s="6">
        <v>0</v>
      </c>
      <c r="Z297" s="6">
        <v>0</v>
      </c>
      <c r="AA297" s="6">
        <v>0</v>
      </c>
      <c r="AB297" s="6">
        <v>0</v>
      </c>
      <c r="AC297" s="7">
        <v>0</v>
      </c>
      <c r="AE297" s="5">
        <f t="shared" si="20"/>
        <v>0</v>
      </c>
      <c r="AF297" s="1" t="s">
        <v>34</v>
      </c>
      <c r="AG297" s="19" cm="1">
        <f t="array" ref="AG297">DIASQUIEBRE(Q297:AB297)</f>
        <v>0</v>
      </c>
      <c r="AH297" s="19" cm="1">
        <f t="array" ref="AH297">DiasMesesGris(Q297:AB297)</f>
        <v>360</v>
      </c>
      <c r="AI297" s="19">
        <f t="shared" si="23"/>
        <v>360</v>
      </c>
      <c r="AJ297" s="19">
        <f t="shared" si="24"/>
        <v>0</v>
      </c>
      <c r="AK297" s="20">
        <f t="shared" si="25"/>
        <v>0</v>
      </c>
      <c r="AL297" s="21">
        <f t="shared" si="22"/>
        <v>0</v>
      </c>
    </row>
    <row r="298" spans="1:38" x14ac:dyDescent="0.25">
      <c r="A298" s="1" t="s">
        <v>652</v>
      </c>
      <c r="B298" s="1" t="s">
        <v>653</v>
      </c>
      <c r="C298" s="1" t="s">
        <v>654</v>
      </c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6">
        <v>0</v>
      </c>
      <c r="R298" s="6">
        <v>0</v>
      </c>
      <c r="S298" s="6">
        <v>0</v>
      </c>
      <c r="T298" s="6">
        <v>0</v>
      </c>
      <c r="U298" s="6">
        <v>0</v>
      </c>
      <c r="V298" s="6">
        <v>0</v>
      </c>
      <c r="W298" s="6">
        <v>0</v>
      </c>
      <c r="X298" s="6">
        <v>0</v>
      </c>
      <c r="Y298" s="6">
        <v>0</v>
      </c>
      <c r="Z298" s="6">
        <v>0</v>
      </c>
      <c r="AA298" s="6">
        <v>0</v>
      </c>
      <c r="AB298" s="6">
        <v>0</v>
      </c>
      <c r="AC298" s="7">
        <v>0</v>
      </c>
      <c r="AE298" s="5">
        <f t="shared" si="20"/>
        <v>0</v>
      </c>
      <c r="AF298" s="1" t="s">
        <v>34</v>
      </c>
      <c r="AG298" s="19" cm="1">
        <f t="array" ref="AG298">DIASQUIEBRE(Q298:AB298)</f>
        <v>0</v>
      </c>
      <c r="AH298" s="19" cm="1">
        <f t="array" ref="AH298">DiasMesesGris(Q298:AB298)</f>
        <v>360</v>
      </c>
      <c r="AI298" s="19">
        <f t="shared" si="23"/>
        <v>360</v>
      </c>
      <c r="AJ298" s="19">
        <f t="shared" si="24"/>
        <v>0</v>
      </c>
      <c r="AK298" s="20">
        <f t="shared" si="25"/>
        <v>0</v>
      </c>
      <c r="AL298" s="21">
        <f t="shared" si="22"/>
        <v>0</v>
      </c>
    </row>
    <row r="299" spans="1:38" x14ac:dyDescent="0.25">
      <c r="A299" s="1" t="s">
        <v>655</v>
      </c>
      <c r="B299" s="1" t="s">
        <v>656</v>
      </c>
      <c r="C299" s="1" t="s">
        <v>657</v>
      </c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6">
        <v>0</v>
      </c>
      <c r="R299" s="6">
        <v>0</v>
      </c>
      <c r="S299" s="6">
        <v>0</v>
      </c>
      <c r="T299" s="6">
        <v>0</v>
      </c>
      <c r="U299" s="6">
        <v>0</v>
      </c>
      <c r="V299" s="6">
        <v>0</v>
      </c>
      <c r="W299" s="6">
        <v>0</v>
      </c>
      <c r="X299" s="6">
        <v>0</v>
      </c>
      <c r="Y299" s="6">
        <v>0</v>
      </c>
      <c r="Z299" s="6">
        <v>0</v>
      </c>
      <c r="AA299" s="6">
        <v>0</v>
      </c>
      <c r="AB299" s="6">
        <v>0</v>
      </c>
      <c r="AC299" s="7">
        <v>0</v>
      </c>
      <c r="AE299" s="5">
        <f t="shared" si="20"/>
        <v>0</v>
      </c>
      <c r="AF299" s="1" t="s">
        <v>34</v>
      </c>
      <c r="AG299" s="19" cm="1">
        <f t="array" ref="AG299">DIASQUIEBRE(Q299:AB299)</f>
        <v>0</v>
      </c>
      <c r="AH299" s="19" cm="1">
        <f t="array" ref="AH299">DiasMesesGris(Q299:AB299)</f>
        <v>360</v>
      </c>
      <c r="AI299" s="19">
        <f t="shared" si="23"/>
        <v>360</v>
      </c>
      <c r="AJ299" s="19">
        <f t="shared" si="24"/>
        <v>0</v>
      </c>
      <c r="AK299" s="20">
        <f t="shared" si="25"/>
        <v>0</v>
      </c>
      <c r="AL299" s="21">
        <f t="shared" si="22"/>
        <v>0</v>
      </c>
    </row>
    <row r="300" spans="1:38" x14ac:dyDescent="0.25">
      <c r="A300" s="1" t="s">
        <v>658</v>
      </c>
      <c r="B300" s="1" t="s">
        <v>659</v>
      </c>
      <c r="C300" s="1" t="s">
        <v>660</v>
      </c>
      <c r="D300" s="4"/>
      <c r="E300" s="4"/>
      <c r="F300" s="4"/>
      <c r="G300" s="4"/>
      <c r="H300" s="4"/>
      <c r="I300" s="4"/>
      <c r="J300" s="4"/>
      <c r="K300" s="4"/>
      <c r="L300" s="11">
        <v>14</v>
      </c>
      <c r="M300" s="11">
        <v>35</v>
      </c>
      <c r="N300" s="11">
        <v>59</v>
      </c>
      <c r="O300" s="11">
        <v>45</v>
      </c>
      <c r="P300" s="11">
        <v>2</v>
      </c>
      <c r="Q300" s="6">
        <v>0</v>
      </c>
      <c r="R300" s="6">
        <v>0</v>
      </c>
      <c r="S300" s="6">
        <v>0</v>
      </c>
      <c r="T300" s="6">
        <v>0</v>
      </c>
      <c r="U300" s="6">
        <v>0</v>
      </c>
      <c r="V300" s="6">
        <v>0</v>
      </c>
      <c r="W300" s="6">
        <v>0</v>
      </c>
      <c r="X300" s="6">
        <v>0</v>
      </c>
      <c r="Y300" s="9">
        <v>0.70709999999999995</v>
      </c>
      <c r="Z300" s="5">
        <v>1.4582999999999999</v>
      </c>
      <c r="AA300" s="5">
        <v>1.9032</v>
      </c>
      <c r="AB300" s="9">
        <v>2.8125</v>
      </c>
      <c r="AC300" s="7">
        <v>1.1111</v>
      </c>
      <c r="AD300" s="5">
        <v>1.6808000000000001</v>
      </c>
      <c r="AE300" s="5">
        <v>1.58</v>
      </c>
      <c r="AF300" s="1" t="s">
        <v>34</v>
      </c>
      <c r="AG300" s="19" cm="1">
        <f t="array" ref="AG300">DIASQUIEBRE(Q300:AB300)</f>
        <v>23</v>
      </c>
      <c r="AH300" s="19" cm="1">
        <f t="array" ref="AH300">DiasMesesGris(Q300:AB300)</f>
        <v>240</v>
      </c>
      <c r="AI300" s="19">
        <f t="shared" si="23"/>
        <v>263</v>
      </c>
      <c r="AJ300" s="19">
        <f t="shared" si="24"/>
        <v>97</v>
      </c>
      <c r="AK300" s="20">
        <f t="shared" si="25"/>
        <v>153</v>
      </c>
      <c r="AL300" s="21">
        <f t="shared" si="22"/>
        <v>1.5773195876288659</v>
      </c>
    </row>
    <row r="301" spans="1:38" x14ac:dyDescent="0.25">
      <c r="A301" s="1" t="s">
        <v>661</v>
      </c>
      <c r="B301" s="1" t="s">
        <v>662</v>
      </c>
      <c r="C301" s="1" t="s">
        <v>663</v>
      </c>
      <c r="D301" s="4"/>
      <c r="E301" s="4"/>
      <c r="F301" s="4"/>
      <c r="G301" s="4"/>
      <c r="H301" s="4"/>
      <c r="I301" s="4"/>
      <c r="J301" s="4"/>
      <c r="K301" s="4"/>
      <c r="L301" s="11">
        <v>14</v>
      </c>
      <c r="M301" s="11">
        <v>20</v>
      </c>
      <c r="N301" s="11">
        <v>8</v>
      </c>
      <c r="O301" s="11">
        <v>25</v>
      </c>
      <c r="P301" s="11">
        <v>37</v>
      </c>
      <c r="Q301" s="6">
        <v>0</v>
      </c>
      <c r="R301" s="6">
        <v>0</v>
      </c>
      <c r="S301" s="6">
        <v>0</v>
      </c>
      <c r="T301" s="6">
        <v>0</v>
      </c>
      <c r="U301" s="6">
        <v>0</v>
      </c>
      <c r="V301" s="6">
        <v>0</v>
      </c>
      <c r="W301" s="6">
        <v>0</v>
      </c>
      <c r="X301" s="6">
        <v>0</v>
      </c>
      <c r="Y301" s="9">
        <v>0.70709999999999995</v>
      </c>
      <c r="Z301" s="5">
        <v>0.83330000000000004</v>
      </c>
      <c r="AA301" s="5">
        <v>0.2581</v>
      </c>
      <c r="AB301" s="5">
        <v>0.83330000000000004</v>
      </c>
      <c r="AC301" s="8">
        <v>0.66310000000000002</v>
      </c>
      <c r="AD301" s="5">
        <v>0.64159999999999995</v>
      </c>
      <c r="AE301" s="5">
        <v>0.6</v>
      </c>
      <c r="AF301" s="1" t="s">
        <v>34</v>
      </c>
      <c r="AG301" s="19" cm="1">
        <f t="array" ref="AG301">DIASQUIEBRE(Q301:AB301)</f>
        <v>9</v>
      </c>
      <c r="AH301" s="19" cm="1">
        <f t="array" ref="AH301">DiasMesesGris(Q301:AB301)</f>
        <v>240</v>
      </c>
      <c r="AI301" s="19">
        <f t="shared" si="23"/>
        <v>249</v>
      </c>
      <c r="AJ301" s="19">
        <f t="shared" si="24"/>
        <v>111</v>
      </c>
      <c r="AK301" s="20">
        <f t="shared" si="25"/>
        <v>67</v>
      </c>
      <c r="AL301" s="21">
        <f t="shared" si="22"/>
        <v>0.60360360360360366</v>
      </c>
    </row>
    <row r="302" spans="1:38" x14ac:dyDescent="0.25">
      <c r="A302" s="1" t="s">
        <v>664</v>
      </c>
      <c r="B302" s="1" t="s">
        <v>665</v>
      </c>
      <c r="C302" s="1" t="s">
        <v>666</v>
      </c>
      <c r="D302" s="4"/>
      <c r="E302" s="4"/>
      <c r="F302" s="4"/>
      <c r="G302" s="4"/>
      <c r="H302" s="4"/>
      <c r="I302" s="4"/>
      <c r="J302" s="4"/>
      <c r="K302" s="4"/>
      <c r="L302" s="11">
        <v>7</v>
      </c>
      <c r="M302" s="11">
        <v>44</v>
      </c>
      <c r="N302" s="11">
        <v>24</v>
      </c>
      <c r="O302" s="11">
        <v>10</v>
      </c>
      <c r="P302" s="11">
        <v>12</v>
      </c>
      <c r="Q302" s="6">
        <v>0</v>
      </c>
      <c r="R302" s="6">
        <v>0</v>
      </c>
      <c r="S302" s="6">
        <v>0</v>
      </c>
      <c r="T302" s="6">
        <v>0</v>
      </c>
      <c r="U302" s="6">
        <v>0</v>
      </c>
      <c r="V302" s="6">
        <v>0</v>
      </c>
      <c r="W302" s="6">
        <v>0</v>
      </c>
      <c r="X302" s="6">
        <v>0</v>
      </c>
      <c r="Y302" s="9">
        <v>0.35349999999999998</v>
      </c>
      <c r="Z302" s="5">
        <v>1.8332999999999999</v>
      </c>
      <c r="AA302" s="5">
        <v>0.7742</v>
      </c>
      <c r="AB302" s="5">
        <v>0.33329999999999999</v>
      </c>
      <c r="AC302" s="7">
        <v>3.3332999999999999</v>
      </c>
      <c r="AD302" s="5">
        <v>0.98029999999999995</v>
      </c>
      <c r="AE302" s="5">
        <v>0.77</v>
      </c>
      <c r="AF302" s="1" t="s">
        <v>34</v>
      </c>
      <c r="AG302" s="19" cm="1">
        <f t="array" ref="AG302">DIASQUIEBRE(Q302:AB302)</f>
        <v>9</v>
      </c>
      <c r="AH302" s="19" cm="1">
        <f t="array" ref="AH302">DiasMesesGris(Q302:AB302)</f>
        <v>240</v>
      </c>
      <c r="AI302" s="19">
        <f t="shared" si="23"/>
        <v>249</v>
      </c>
      <c r="AJ302" s="19">
        <f t="shared" si="24"/>
        <v>111</v>
      </c>
      <c r="AK302" s="20">
        <f t="shared" si="25"/>
        <v>85</v>
      </c>
      <c r="AL302" s="21">
        <f t="shared" si="22"/>
        <v>0.76576576576576572</v>
      </c>
    </row>
    <row r="303" spans="1:38" x14ac:dyDescent="0.25">
      <c r="A303" s="1" t="s">
        <v>667</v>
      </c>
      <c r="B303" s="1" t="s">
        <v>668</v>
      </c>
      <c r="C303" s="1" t="s">
        <v>669</v>
      </c>
      <c r="D303" s="4"/>
      <c r="E303" s="4"/>
      <c r="F303" s="4"/>
      <c r="G303" s="4"/>
      <c r="H303" s="4"/>
      <c r="I303" s="4"/>
      <c r="J303" s="4"/>
      <c r="K303" s="4"/>
      <c r="L303" s="11">
        <v>4</v>
      </c>
      <c r="M303" s="11">
        <v>28</v>
      </c>
      <c r="N303" s="11">
        <v>21</v>
      </c>
      <c r="O303" s="11">
        <v>14</v>
      </c>
      <c r="P303" s="11">
        <v>32</v>
      </c>
      <c r="Q303" s="6">
        <v>0</v>
      </c>
      <c r="R303" s="6">
        <v>0</v>
      </c>
      <c r="S303" s="6">
        <v>0</v>
      </c>
      <c r="T303" s="6">
        <v>0</v>
      </c>
      <c r="U303" s="6">
        <v>0</v>
      </c>
      <c r="V303" s="6">
        <v>0</v>
      </c>
      <c r="W303" s="6">
        <v>0</v>
      </c>
      <c r="X303" s="6">
        <v>0</v>
      </c>
      <c r="Y303" s="9">
        <v>0.20200000000000001</v>
      </c>
      <c r="Z303" s="5">
        <v>1.1667000000000001</v>
      </c>
      <c r="AA303" s="5">
        <v>0.6774</v>
      </c>
      <c r="AB303" s="5">
        <v>0.4667</v>
      </c>
      <c r="AC303" s="7">
        <v>8.8888999999999996</v>
      </c>
      <c r="AD303" s="5">
        <v>0.77029999999999998</v>
      </c>
      <c r="AE303" s="5">
        <v>0.6</v>
      </c>
      <c r="AF303" s="1" t="s">
        <v>34</v>
      </c>
      <c r="AG303" s="19" cm="1">
        <f t="array" ref="AG303">DIASQUIEBRE(Q303:AB303)</f>
        <v>9</v>
      </c>
      <c r="AH303" s="19" cm="1">
        <f t="array" ref="AH303">DiasMesesGris(Q303:AB303)</f>
        <v>240</v>
      </c>
      <c r="AI303" s="19">
        <f t="shared" si="23"/>
        <v>249</v>
      </c>
      <c r="AJ303" s="19">
        <f t="shared" si="24"/>
        <v>111</v>
      </c>
      <c r="AK303" s="20">
        <f t="shared" si="25"/>
        <v>67</v>
      </c>
      <c r="AL303" s="21">
        <f t="shared" si="22"/>
        <v>0.60360360360360366</v>
      </c>
    </row>
    <row r="304" spans="1:38" x14ac:dyDescent="0.25">
      <c r="A304" s="1" t="s">
        <v>670</v>
      </c>
      <c r="B304" s="1" t="s">
        <v>671</v>
      </c>
      <c r="C304" s="1" t="s">
        <v>672</v>
      </c>
      <c r="D304" s="4"/>
      <c r="E304" s="4"/>
      <c r="F304" s="4"/>
      <c r="G304" s="4"/>
      <c r="H304" s="4"/>
      <c r="I304" s="4"/>
      <c r="J304" s="4"/>
      <c r="K304" s="4"/>
      <c r="L304" s="11">
        <v>4</v>
      </c>
      <c r="M304" s="11">
        <v>33</v>
      </c>
      <c r="N304" s="11">
        <v>12</v>
      </c>
      <c r="O304" s="11">
        <v>10</v>
      </c>
      <c r="P304" s="11">
        <v>28</v>
      </c>
      <c r="Q304" s="6">
        <v>0</v>
      </c>
      <c r="R304" s="6">
        <v>0</v>
      </c>
      <c r="S304" s="6">
        <v>0</v>
      </c>
      <c r="T304" s="6">
        <v>0</v>
      </c>
      <c r="U304" s="6">
        <v>0</v>
      </c>
      <c r="V304" s="6">
        <v>0</v>
      </c>
      <c r="W304" s="6">
        <v>0</v>
      </c>
      <c r="X304" s="6">
        <v>0</v>
      </c>
      <c r="Y304" s="9">
        <v>0.20200000000000001</v>
      </c>
      <c r="Z304" s="5">
        <v>1.375</v>
      </c>
      <c r="AA304" s="5">
        <v>0.3871</v>
      </c>
      <c r="AB304" s="5">
        <v>0.33329999999999999</v>
      </c>
      <c r="AC304" s="8">
        <v>0.50180000000000002</v>
      </c>
      <c r="AD304" s="5">
        <v>0.69850000000000001</v>
      </c>
      <c r="AE304" s="5">
        <v>0.53</v>
      </c>
      <c r="AF304" s="1" t="s">
        <v>34</v>
      </c>
      <c r="AG304" s="19" cm="1">
        <f t="array" ref="AG304">DIASQUIEBRE(Q304:AB304)</f>
        <v>9</v>
      </c>
      <c r="AH304" s="19" cm="1">
        <f t="array" ref="AH304">DiasMesesGris(Q304:AB304)</f>
        <v>240</v>
      </c>
      <c r="AI304" s="19">
        <f t="shared" si="23"/>
        <v>249</v>
      </c>
      <c r="AJ304" s="19">
        <f t="shared" si="24"/>
        <v>111</v>
      </c>
      <c r="AK304" s="20">
        <f t="shared" si="25"/>
        <v>59</v>
      </c>
      <c r="AL304" s="21">
        <f t="shared" si="22"/>
        <v>0.53153153153153154</v>
      </c>
    </row>
    <row r="305" spans="1:38" x14ac:dyDescent="0.25">
      <c r="A305" s="1" t="s">
        <v>673</v>
      </c>
      <c r="B305" s="1" t="s">
        <v>674</v>
      </c>
      <c r="C305" s="1" t="s">
        <v>675</v>
      </c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6">
        <v>0</v>
      </c>
      <c r="R305" s="6">
        <v>0</v>
      </c>
      <c r="S305" s="6">
        <v>0</v>
      </c>
      <c r="T305" s="6">
        <v>0</v>
      </c>
      <c r="U305" s="6">
        <v>0</v>
      </c>
      <c r="V305" s="6">
        <v>0</v>
      </c>
      <c r="W305" s="6">
        <v>0</v>
      </c>
      <c r="X305" s="6">
        <v>0</v>
      </c>
      <c r="Y305" s="6">
        <v>0</v>
      </c>
      <c r="Z305" s="6">
        <v>0</v>
      </c>
      <c r="AA305" s="6">
        <v>0</v>
      </c>
      <c r="AB305" s="6">
        <v>0</v>
      </c>
      <c r="AC305" s="7">
        <v>0</v>
      </c>
      <c r="AE305" s="5">
        <f t="shared" ref="AE305:AE364" si="28">AVERAGE(V305:AB305)</f>
        <v>0</v>
      </c>
      <c r="AF305" s="1" t="s">
        <v>34</v>
      </c>
      <c r="AG305" s="19" cm="1">
        <f t="array" ref="AG305">DIASQUIEBRE(Q305:AB305)</f>
        <v>0</v>
      </c>
      <c r="AH305" s="19" cm="1">
        <f t="array" ref="AH305">DiasMesesGris(Q305:AB305)</f>
        <v>360</v>
      </c>
      <c r="AI305" s="19">
        <f t="shared" si="23"/>
        <v>360</v>
      </c>
      <c r="AJ305" s="19">
        <f t="shared" si="24"/>
        <v>0</v>
      </c>
      <c r="AK305" s="20">
        <f t="shared" si="25"/>
        <v>0</v>
      </c>
      <c r="AL305" s="21">
        <f t="shared" si="22"/>
        <v>0</v>
      </c>
    </row>
    <row r="306" spans="1:38" x14ac:dyDescent="0.25">
      <c r="A306" s="1" t="s">
        <v>676</v>
      </c>
      <c r="B306" s="1" t="s">
        <v>677</v>
      </c>
      <c r="C306" s="1" t="s">
        <v>678</v>
      </c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6">
        <v>0</v>
      </c>
      <c r="R306" s="6">
        <v>0</v>
      </c>
      <c r="S306" s="6">
        <v>0</v>
      </c>
      <c r="T306" s="6">
        <v>0</v>
      </c>
      <c r="U306" s="6">
        <v>0</v>
      </c>
      <c r="V306" s="6">
        <v>0</v>
      </c>
      <c r="W306" s="6">
        <v>0</v>
      </c>
      <c r="X306" s="6">
        <v>0</v>
      </c>
      <c r="Y306" s="6">
        <v>0</v>
      </c>
      <c r="Z306" s="6">
        <v>0</v>
      </c>
      <c r="AA306" s="6">
        <v>0</v>
      </c>
      <c r="AB306" s="6">
        <v>0</v>
      </c>
      <c r="AC306" s="7">
        <v>0</v>
      </c>
      <c r="AE306" s="5">
        <f t="shared" si="28"/>
        <v>0</v>
      </c>
      <c r="AF306" s="1" t="s">
        <v>34</v>
      </c>
      <c r="AG306" s="19" cm="1">
        <f t="array" ref="AG306">DIASQUIEBRE(Q306:AB306)</f>
        <v>0</v>
      </c>
      <c r="AH306" s="19" cm="1">
        <f t="array" ref="AH306">DiasMesesGris(Q306:AB306)</f>
        <v>360</v>
      </c>
      <c r="AI306" s="19">
        <f t="shared" si="23"/>
        <v>360</v>
      </c>
      <c r="AJ306" s="19">
        <f t="shared" si="24"/>
        <v>0</v>
      </c>
      <c r="AK306" s="20">
        <f t="shared" si="25"/>
        <v>0</v>
      </c>
      <c r="AL306" s="21">
        <f t="shared" si="22"/>
        <v>0</v>
      </c>
    </row>
    <row r="307" spans="1:38" x14ac:dyDescent="0.25">
      <c r="A307" s="1" t="s">
        <v>679</v>
      </c>
      <c r="B307" s="1" t="s">
        <v>680</v>
      </c>
      <c r="C307" s="1" t="s">
        <v>681</v>
      </c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6">
        <v>0</v>
      </c>
      <c r="R307" s="6">
        <v>0</v>
      </c>
      <c r="S307" s="6">
        <v>0</v>
      </c>
      <c r="T307" s="6">
        <v>0</v>
      </c>
      <c r="U307" s="6">
        <v>0</v>
      </c>
      <c r="V307" s="6">
        <v>0</v>
      </c>
      <c r="W307" s="6">
        <v>0</v>
      </c>
      <c r="X307" s="6">
        <v>0</v>
      </c>
      <c r="Y307" s="6">
        <v>0</v>
      </c>
      <c r="Z307" s="6">
        <v>0</v>
      </c>
      <c r="AA307" s="6">
        <v>0</v>
      </c>
      <c r="AB307" s="6">
        <v>0</v>
      </c>
      <c r="AC307" s="7">
        <v>0</v>
      </c>
      <c r="AE307" s="5">
        <f t="shared" si="28"/>
        <v>0</v>
      </c>
      <c r="AF307" s="1" t="s">
        <v>34</v>
      </c>
      <c r="AG307" s="19" cm="1">
        <f t="array" ref="AG307">DIASQUIEBRE(Q307:AB307)</f>
        <v>0</v>
      </c>
      <c r="AH307" s="19" cm="1">
        <f t="array" ref="AH307">DiasMesesGris(Q307:AB307)</f>
        <v>360</v>
      </c>
      <c r="AI307" s="19">
        <f t="shared" si="23"/>
        <v>360</v>
      </c>
      <c r="AJ307" s="19">
        <f t="shared" si="24"/>
        <v>0</v>
      </c>
      <c r="AK307" s="20">
        <f t="shared" si="25"/>
        <v>0</v>
      </c>
      <c r="AL307" s="21">
        <f t="shared" si="22"/>
        <v>0</v>
      </c>
    </row>
    <row r="308" spans="1:38" x14ac:dyDescent="0.25">
      <c r="A308" s="1" t="s">
        <v>682</v>
      </c>
      <c r="B308" s="1" t="s">
        <v>683</v>
      </c>
      <c r="C308" s="1" t="s">
        <v>684</v>
      </c>
      <c r="D308" s="4"/>
      <c r="E308" s="4"/>
      <c r="F308" s="4"/>
      <c r="G308" s="4"/>
      <c r="H308" s="4"/>
      <c r="I308" s="4"/>
      <c r="J308" s="4"/>
      <c r="K308" s="4"/>
      <c r="L308" s="4"/>
      <c r="M308" s="11">
        <v>20</v>
      </c>
      <c r="N308" s="11">
        <v>5</v>
      </c>
      <c r="O308" s="11">
        <v>1</v>
      </c>
      <c r="P308" s="11">
        <v>2</v>
      </c>
      <c r="Q308" s="6">
        <v>0</v>
      </c>
      <c r="R308" s="6">
        <v>0</v>
      </c>
      <c r="S308" s="6">
        <v>0</v>
      </c>
      <c r="T308" s="6">
        <v>0</v>
      </c>
      <c r="U308" s="6">
        <v>0</v>
      </c>
      <c r="V308" s="6">
        <v>0</v>
      </c>
      <c r="W308" s="6">
        <v>0</v>
      </c>
      <c r="X308" s="6">
        <v>0</v>
      </c>
      <c r="Y308" s="6">
        <v>0</v>
      </c>
      <c r="Z308" s="9">
        <v>25</v>
      </c>
      <c r="AA308" s="5">
        <v>0.1613</v>
      </c>
      <c r="AB308" s="5">
        <v>3.3300000000000003E-2</v>
      </c>
      <c r="AC308" s="8">
        <v>3.5799999999999998E-2</v>
      </c>
      <c r="AD308" s="5">
        <v>9.7299999999999998E-2</v>
      </c>
      <c r="AE308" s="5">
        <v>0.42622950819672129</v>
      </c>
      <c r="AF308" s="1" t="s">
        <v>34</v>
      </c>
      <c r="AG308" s="19" cm="1">
        <f t="array" ref="AG308">DIASQUIEBRE(Q308:AB308)</f>
        <v>29</v>
      </c>
      <c r="AH308" s="19" cm="1">
        <f t="array" ref="AH308">DiasMesesGris(Q308:AB308)</f>
        <v>270</v>
      </c>
      <c r="AI308" s="19">
        <f t="shared" si="23"/>
        <v>299</v>
      </c>
      <c r="AJ308" s="19">
        <f t="shared" si="24"/>
        <v>61</v>
      </c>
      <c r="AK308" s="20">
        <f t="shared" si="25"/>
        <v>26</v>
      </c>
      <c r="AL308" s="21">
        <f t="shared" si="22"/>
        <v>0.42622950819672129</v>
      </c>
    </row>
    <row r="309" spans="1:38" x14ac:dyDescent="0.25">
      <c r="A309" s="1" t="s">
        <v>685</v>
      </c>
      <c r="B309" s="1" t="s">
        <v>686</v>
      </c>
      <c r="C309" s="1" t="s">
        <v>687</v>
      </c>
      <c r="D309" s="4"/>
      <c r="E309" s="4"/>
      <c r="F309" s="4"/>
      <c r="G309" s="4"/>
      <c r="H309" s="4"/>
      <c r="I309" s="4"/>
      <c r="J309" s="4"/>
      <c r="K309" s="4"/>
      <c r="L309" s="4"/>
      <c r="M309" s="11">
        <v>20</v>
      </c>
      <c r="N309" s="11">
        <v>10</v>
      </c>
      <c r="O309" s="11">
        <v>5</v>
      </c>
      <c r="P309" s="11">
        <v>2</v>
      </c>
      <c r="Q309" s="6">
        <v>0</v>
      </c>
      <c r="R309" s="6">
        <v>0</v>
      </c>
      <c r="S309" s="6">
        <v>0</v>
      </c>
      <c r="T309" s="6">
        <v>0</v>
      </c>
      <c r="U309" s="6">
        <v>0</v>
      </c>
      <c r="V309" s="6">
        <v>0</v>
      </c>
      <c r="W309" s="6">
        <v>0</v>
      </c>
      <c r="X309" s="6">
        <v>0</v>
      </c>
      <c r="Y309" s="6">
        <v>0</v>
      </c>
      <c r="Z309" s="9">
        <v>25</v>
      </c>
      <c r="AA309" s="5">
        <v>0.3226</v>
      </c>
      <c r="AB309" s="5">
        <v>0.16669999999999999</v>
      </c>
      <c r="AC309" s="8">
        <v>3.5799999999999998E-2</v>
      </c>
      <c r="AD309" s="5">
        <v>0.2447</v>
      </c>
      <c r="AE309" s="5">
        <v>0.57377049180327866</v>
      </c>
      <c r="AF309" s="1" t="s">
        <v>34</v>
      </c>
      <c r="AG309" s="19" cm="1">
        <f t="array" ref="AG309">DIASQUIEBRE(Q309:AB309)</f>
        <v>29</v>
      </c>
      <c r="AH309" s="19" cm="1">
        <f t="array" ref="AH309">DiasMesesGris(Q309:AB309)</f>
        <v>270</v>
      </c>
      <c r="AI309" s="19">
        <f t="shared" si="23"/>
        <v>299</v>
      </c>
      <c r="AJ309" s="19">
        <f t="shared" si="24"/>
        <v>61</v>
      </c>
      <c r="AK309" s="20">
        <f t="shared" si="25"/>
        <v>35</v>
      </c>
      <c r="AL309" s="21">
        <f t="shared" si="22"/>
        <v>0.57377049180327866</v>
      </c>
    </row>
    <row r="310" spans="1:38" x14ac:dyDescent="0.25">
      <c r="A310" s="1" t="s">
        <v>688</v>
      </c>
      <c r="B310" s="1" t="s">
        <v>689</v>
      </c>
      <c r="C310" s="1" t="s">
        <v>690</v>
      </c>
      <c r="D310" s="4"/>
      <c r="E310" s="4"/>
      <c r="F310" s="4"/>
      <c r="G310" s="4"/>
      <c r="H310" s="4"/>
      <c r="I310" s="4"/>
      <c r="J310" s="4"/>
      <c r="K310" s="4"/>
      <c r="L310" s="4"/>
      <c r="M310" s="11">
        <v>30</v>
      </c>
      <c r="N310" s="11">
        <v>10</v>
      </c>
      <c r="O310" s="11">
        <v>5</v>
      </c>
      <c r="P310" s="11">
        <v>1</v>
      </c>
      <c r="Q310" s="6">
        <v>0</v>
      </c>
      <c r="R310" s="6">
        <v>0</v>
      </c>
      <c r="S310" s="6">
        <v>0</v>
      </c>
      <c r="T310" s="6">
        <v>0</v>
      </c>
      <c r="U310" s="6">
        <v>0</v>
      </c>
      <c r="V310" s="6">
        <v>0</v>
      </c>
      <c r="W310" s="6">
        <v>0</v>
      </c>
      <c r="X310" s="6">
        <v>0</v>
      </c>
      <c r="Y310" s="6">
        <v>0</v>
      </c>
      <c r="Z310" s="9">
        <v>37.5</v>
      </c>
      <c r="AA310" s="5">
        <v>0.3226</v>
      </c>
      <c r="AB310" s="5">
        <v>0.16669999999999999</v>
      </c>
      <c r="AC310" s="8">
        <v>1.7899999999999999E-2</v>
      </c>
      <c r="AD310" s="5">
        <v>0.2447</v>
      </c>
      <c r="AE310" s="5">
        <v>0.73770491803278693</v>
      </c>
      <c r="AF310" s="1" t="s">
        <v>34</v>
      </c>
      <c r="AG310" s="19" cm="1">
        <f t="array" ref="AG310">DIASQUIEBRE(Q310:AB310)</f>
        <v>29</v>
      </c>
      <c r="AH310" s="19" cm="1">
        <f t="array" ref="AH310">DiasMesesGris(Q310:AB310)</f>
        <v>270</v>
      </c>
      <c r="AI310" s="19">
        <f t="shared" si="23"/>
        <v>299</v>
      </c>
      <c r="AJ310" s="19">
        <f t="shared" si="24"/>
        <v>61</v>
      </c>
      <c r="AK310" s="20">
        <f t="shared" si="25"/>
        <v>45</v>
      </c>
      <c r="AL310" s="21">
        <f t="shared" si="22"/>
        <v>0.73770491803278693</v>
      </c>
    </row>
    <row r="311" spans="1:38" x14ac:dyDescent="0.25">
      <c r="A311" s="1" t="s">
        <v>691</v>
      </c>
      <c r="B311" s="1" t="s">
        <v>692</v>
      </c>
      <c r="C311" s="1" t="s">
        <v>693</v>
      </c>
      <c r="D311" s="4"/>
      <c r="E311" s="4"/>
      <c r="F311" s="4"/>
      <c r="G311" s="4"/>
      <c r="H311" s="4"/>
      <c r="I311" s="4"/>
      <c r="J311" s="4"/>
      <c r="K311" s="4"/>
      <c r="L311" s="4"/>
      <c r="M311" s="11">
        <v>15</v>
      </c>
      <c r="N311" s="11">
        <v>6</v>
      </c>
      <c r="O311" s="11">
        <v>8</v>
      </c>
      <c r="P311" s="4"/>
      <c r="Q311" s="6">
        <v>0</v>
      </c>
      <c r="R311" s="6">
        <v>0</v>
      </c>
      <c r="S311" s="6">
        <v>0</v>
      </c>
      <c r="T311" s="6">
        <v>0</v>
      </c>
      <c r="U311" s="6">
        <v>0</v>
      </c>
      <c r="V311" s="6">
        <v>0</v>
      </c>
      <c r="W311" s="6">
        <v>0</v>
      </c>
      <c r="X311" s="6">
        <v>0</v>
      </c>
      <c r="Y311" s="6">
        <v>0</v>
      </c>
      <c r="Z311" s="9">
        <v>18.75</v>
      </c>
      <c r="AA311" s="5">
        <v>0.19350000000000001</v>
      </c>
      <c r="AB311" s="5">
        <v>0.26669999999999999</v>
      </c>
      <c r="AC311" s="8">
        <v>0</v>
      </c>
      <c r="AD311" s="5">
        <v>0.2301</v>
      </c>
      <c r="AE311" s="5">
        <v>0.47540983606557374</v>
      </c>
      <c r="AF311" s="1" t="s">
        <v>34</v>
      </c>
      <c r="AG311" s="19" cm="1">
        <f t="array" ref="AG311">DIASQUIEBRE(Q311:AB311)</f>
        <v>29</v>
      </c>
      <c r="AH311" s="19" cm="1">
        <f t="array" ref="AH311">DiasMesesGris(Q311:AB311)</f>
        <v>270</v>
      </c>
      <c r="AI311" s="19">
        <f t="shared" si="23"/>
        <v>299</v>
      </c>
      <c r="AJ311" s="19">
        <f t="shared" si="24"/>
        <v>61</v>
      </c>
      <c r="AK311" s="20">
        <f t="shared" si="25"/>
        <v>29</v>
      </c>
      <c r="AL311" s="21">
        <f t="shared" si="22"/>
        <v>0.47540983606557374</v>
      </c>
    </row>
    <row r="312" spans="1:38" x14ac:dyDescent="0.25">
      <c r="A312" s="1" t="s">
        <v>694</v>
      </c>
      <c r="B312" s="1" t="s">
        <v>695</v>
      </c>
      <c r="C312" s="1" t="s">
        <v>696</v>
      </c>
      <c r="D312" s="4"/>
      <c r="E312" s="4"/>
      <c r="F312" s="4"/>
      <c r="G312" s="4"/>
      <c r="H312" s="4"/>
      <c r="I312" s="4"/>
      <c r="J312" s="4"/>
      <c r="K312" s="4"/>
      <c r="L312" s="4"/>
      <c r="M312" s="11">
        <v>15</v>
      </c>
      <c r="N312" s="11">
        <v>6</v>
      </c>
      <c r="O312" s="11">
        <v>3</v>
      </c>
      <c r="P312" s="4"/>
      <c r="Q312" s="6">
        <v>0</v>
      </c>
      <c r="R312" s="6">
        <v>0</v>
      </c>
      <c r="S312" s="6">
        <v>0</v>
      </c>
      <c r="T312" s="6">
        <v>0</v>
      </c>
      <c r="U312" s="6">
        <v>0</v>
      </c>
      <c r="V312" s="6">
        <v>0</v>
      </c>
      <c r="W312" s="6">
        <v>0</v>
      </c>
      <c r="X312" s="6">
        <v>0</v>
      </c>
      <c r="Y312" s="6">
        <v>0</v>
      </c>
      <c r="Z312" s="9">
        <v>18.75</v>
      </c>
      <c r="AA312" s="5">
        <v>0.19350000000000001</v>
      </c>
      <c r="AB312" s="5">
        <v>0.1</v>
      </c>
      <c r="AC312" s="8">
        <v>0</v>
      </c>
      <c r="AD312" s="5">
        <v>0.14680000000000001</v>
      </c>
      <c r="AE312" s="5">
        <v>0.39344262295081966</v>
      </c>
      <c r="AF312" s="1" t="s">
        <v>34</v>
      </c>
      <c r="AG312" s="19" cm="1">
        <f t="array" ref="AG312">DIASQUIEBRE(Q312:AB312)</f>
        <v>29</v>
      </c>
      <c r="AH312" s="19" cm="1">
        <f t="array" ref="AH312">DiasMesesGris(Q312:AB312)</f>
        <v>270</v>
      </c>
      <c r="AI312" s="19">
        <f t="shared" si="23"/>
        <v>299</v>
      </c>
      <c r="AJ312" s="19">
        <f t="shared" si="24"/>
        <v>61</v>
      </c>
      <c r="AK312" s="20">
        <f t="shared" si="25"/>
        <v>24</v>
      </c>
      <c r="AL312" s="21">
        <f t="shared" si="22"/>
        <v>0.39344262295081966</v>
      </c>
    </row>
    <row r="313" spans="1:38" x14ac:dyDescent="0.25">
      <c r="A313" s="1" t="s">
        <v>697</v>
      </c>
      <c r="B313" s="1" t="s">
        <v>698</v>
      </c>
      <c r="C313" s="1" t="s">
        <v>699</v>
      </c>
      <c r="D313" s="4"/>
      <c r="E313" s="4"/>
      <c r="F313" s="4"/>
      <c r="G313" s="4"/>
      <c r="H313" s="4"/>
      <c r="I313" s="4"/>
      <c r="J313" s="4"/>
      <c r="K313" s="4"/>
      <c r="L313" s="4"/>
      <c r="M313" s="11">
        <v>10</v>
      </c>
      <c r="N313" s="11">
        <v>5</v>
      </c>
      <c r="O313" s="11">
        <v>1</v>
      </c>
      <c r="P313" s="4"/>
      <c r="Q313" s="6">
        <v>0</v>
      </c>
      <c r="R313" s="6">
        <v>0</v>
      </c>
      <c r="S313" s="6">
        <v>0</v>
      </c>
      <c r="T313" s="6">
        <v>0</v>
      </c>
      <c r="U313" s="6">
        <v>0</v>
      </c>
      <c r="V313" s="6">
        <v>0</v>
      </c>
      <c r="W313" s="6">
        <v>0</v>
      </c>
      <c r="X313" s="6">
        <v>0</v>
      </c>
      <c r="Y313" s="6">
        <v>0</v>
      </c>
      <c r="Z313" s="9">
        <v>12.5</v>
      </c>
      <c r="AA313" s="5">
        <v>0.1613</v>
      </c>
      <c r="AB313" s="5">
        <v>3.3300000000000003E-2</v>
      </c>
      <c r="AC313" s="8">
        <v>0</v>
      </c>
      <c r="AD313" s="5">
        <v>9.7299999999999998E-2</v>
      </c>
      <c r="AE313" s="5">
        <v>0.26229508196721313</v>
      </c>
      <c r="AF313" s="1" t="s">
        <v>34</v>
      </c>
      <c r="AG313" s="19" cm="1">
        <f t="array" ref="AG313">DIASQUIEBRE(Q313:AB313)</f>
        <v>29</v>
      </c>
      <c r="AH313" s="19" cm="1">
        <f t="array" ref="AH313">DiasMesesGris(Q313:AB313)</f>
        <v>270</v>
      </c>
      <c r="AI313" s="19">
        <f t="shared" si="23"/>
        <v>299</v>
      </c>
      <c r="AJ313" s="19">
        <f t="shared" si="24"/>
        <v>61</v>
      </c>
      <c r="AK313" s="20">
        <f t="shared" si="25"/>
        <v>16</v>
      </c>
      <c r="AL313" s="21">
        <f t="shared" si="22"/>
        <v>0.26229508196721313</v>
      </c>
    </row>
    <row r="314" spans="1:38" x14ac:dyDescent="0.25">
      <c r="A314" s="1" t="s">
        <v>700</v>
      </c>
      <c r="B314" s="1" t="s">
        <v>701</v>
      </c>
      <c r="C314" s="1" t="s">
        <v>702</v>
      </c>
      <c r="D314" s="4"/>
      <c r="E314" s="4"/>
      <c r="F314" s="4"/>
      <c r="G314" s="4"/>
      <c r="H314" s="4"/>
      <c r="I314" s="4"/>
      <c r="J314" s="4"/>
      <c r="K314" s="4"/>
      <c r="L314" s="4"/>
      <c r="M314" s="11">
        <v>10</v>
      </c>
      <c r="N314" s="11">
        <v>2</v>
      </c>
      <c r="O314" s="4"/>
      <c r="P314" s="11">
        <v>1</v>
      </c>
      <c r="Q314" s="6">
        <v>0</v>
      </c>
      <c r="R314" s="6">
        <v>0</v>
      </c>
      <c r="S314" s="6">
        <v>0</v>
      </c>
      <c r="T314" s="6">
        <v>0</v>
      </c>
      <c r="U314" s="6">
        <v>0</v>
      </c>
      <c r="V314" s="6">
        <v>0</v>
      </c>
      <c r="W314" s="6">
        <v>0</v>
      </c>
      <c r="X314" s="6">
        <v>0</v>
      </c>
      <c r="Y314" s="6">
        <v>0</v>
      </c>
      <c r="Z314" s="9">
        <v>12.5</v>
      </c>
      <c r="AA314" s="5">
        <v>6.4500000000000002E-2</v>
      </c>
      <c r="AB314" s="5">
        <v>0</v>
      </c>
      <c r="AC314" s="8">
        <v>1.7899999999999999E-2</v>
      </c>
      <c r="AD314" s="5">
        <v>3.2300000000000002E-2</v>
      </c>
      <c r="AE314" s="5">
        <v>0.19672131147540983</v>
      </c>
      <c r="AF314" s="1" t="s">
        <v>34</v>
      </c>
      <c r="AG314" s="19" cm="1">
        <f t="array" ref="AG314">DIASQUIEBRE(Q314:AB314)</f>
        <v>29</v>
      </c>
      <c r="AH314" s="19" cm="1">
        <f t="array" ref="AH314">DiasMesesGris(Q314:AB314)</f>
        <v>270</v>
      </c>
      <c r="AI314" s="19">
        <f t="shared" si="23"/>
        <v>299</v>
      </c>
      <c r="AJ314" s="19">
        <f t="shared" si="24"/>
        <v>61</v>
      </c>
      <c r="AK314" s="20">
        <f t="shared" si="25"/>
        <v>12</v>
      </c>
      <c r="AL314" s="21">
        <f t="shared" si="22"/>
        <v>0.19672131147540983</v>
      </c>
    </row>
    <row r="315" spans="1:38" x14ac:dyDescent="0.25">
      <c r="A315" s="1" t="s">
        <v>703</v>
      </c>
      <c r="B315" s="1" t="s">
        <v>704</v>
      </c>
      <c r="C315" s="1" t="s">
        <v>705</v>
      </c>
      <c r="D315" s="4"/>
      <c r="E315" s="4"/>
      <c r="F315" s="4"/>
      <c r="G315" s="4"/>
      <c r="H315" s="4"/>
      <c r="I315" s="4"/>
      <c r="J315" s="4"/>
      <c r="K315" s="4"/>
      <c r="L315" s="4"/>
      <c r="M315" s="11">
        <v>25</v>
      </c>
      <c r="N315" s="11">
        <v>4</v>
      </c>
      <c r="O315" s="11">
        <v>2</v>
      </c>
      <c r="P315" s="4"/>
      <c r="Q315" s="6">
        <v>0</v>
      </c>
      <c r="R315" s="6">
        <v>0</v>
      </c>
      <c r="S315" s="6">
        <v>0</v>
      </c>
      <c r="T315" s="6">
        <v>0</v>
      </c>
      <c r="U315" s="6">
        <v>0</v>
      </c>
      <c r="V315" s="6">
        <v>0</v>
      </c>
      <c r="W315" s="6">
        <v>0</v>
      </c>
      <c r="X315" s="6">
        <v>0</v>
      </c>
      <c r="Y315" s="6">
        <v>0</v>
      </c>
      <c r="Z315" s="9">
        <v>31.25</v>
      </c>
      <c r="AA315" s="5">
        <v>0.129</v>
      </c>
      <c r="AB315" s="5">
        <v>6.6699999999999995E-2</v>
      </c>
      <c r="AC315" s="8">
        <v>0</v>
      </c>
      <c r="AD315" s="5">
        <v>9.7900000000000001E-2</v>
      </c>
      <c r="AE315" s="5">
        <v>0.50819672131147542</v>
      </c>
      <c r="AF315" s="1" t="s">
        <v>34</v>
      </c>
      <c r="AG315" s="19" cm="1">
        <f t="array" ref="AG315">DIASQUIEBRE(Q315:AB315)</f>
        <v>29</v>
      </c>
      <c r="AH315" s="19" cm="1">
        <f t="array" ref="AH315">DiasMesesGris(Q315:AB315)</f>
        <v>270</v>
      </c>
      <c r="AI315" s="19">
        <f t="shared" si="23"/>
        <v>299</v>
      </c>
      <c r="AJ315" s="19">
        <f t="shared" si="24"/>
        <v>61</v>
      </c>
      <c r="AK315" s="20">
        <f t="shared" si="25"/>
        <v>31</v>
      </c>
      <c r="AL315" s="21">
        <f t="shared" si="22"/>
        <v>0.50819672131147542</v>
      </c>
    </row>
    <row r="316" spans="1:38" x14ac:dyDescent="0.25">
      <c r="A316" s="1" t="s">
        <v>706</v>
      </c>
      <c r="B316" s="1" t="s">
        <v>707</v>
      </c>
      <c r="C316" s="1" t="s">
        <v>708</v>
      </c>
      <c r="D316" s="4"/>
      <c r="E316" s="4"/>
      <c r="F316" s="4"/>
      <c r="G316" s="4"/>
      <c r="H316" s="4"/>
      <c r="I316" s="4"/>
      <c r="J316" s="4"/>
      <c r="K316" s="4"/>
      <c r="L316" s="4"/>
      <c r="M316" s="11">
        <v>10</v>
      </c>
      <c r="N316" s="11">
        <v>8</v>
      </c>
      <c r="O316" s="4"/>
      <c r="P316" s="11">
        <v>1</v>
      </c>
      <c r="Q316" s="6">
        <v>0</v>
      </c>
      <c r="R316" s="6">
        <v>0</v>
      </c>
      <c r="S316" s="6">
        <v>0</v>
      </c>
      <c r="T316" s="6">
        <v>0</v>
      </c>
      <c r="U316" s="6">
        <v>0</v>
      </c>
      <c r="V316" s="6">
        <v>0</v>
      </c>
      <c r="W316" s="6">
        <v>0</v>
      </c>
      <c r="X316" s="6">
        <v>0</v>
      </c>
      <c r="Y316" s="6">
        <v>0</v>
      </c>
      <c r="Z316" s="9">
        <v>12.5</v>
      </c>
      <c r="AA316" s="5">
        <v>0.2581</v>
      </c>
      <c r="AB316" s="5">
        <v>0</v>
      </c>
      <c r="AC316" s="8">
        <v>1.7899999999999999E-2</v>
      </c>
      <c r="AD316" s="5">
        <v>0.12909999999999999</v>
      </c>
      <c r="AE316" s="5">
        <v>0.29508196721311475</v>
      </c>
      <c r="AF316" s="1" t="s">
        <v>34</v>
      </c>
      <c r="AG316" s="19" cm="1">
        <f t="array" ref="AG316">DIASQUIEBRE(Q316:AB316)</f>
        <v>29</v>
      </c>
      <c r="AH316" s="19" cm="1">
        <f t="array" ref="AH316">DiasMesesGris(Q316:AB316)</f>
        <v>270</v>
      </c>
      <c r="AI316" s="19">
        <f t="shared" si="23"/>
        <v>299</v>
      </c>
      <c r="AJ316" s="19">
        <f t="shared" si="24"/>
        <v>61</v>
      </c>
      <c r="AK316" s="20">
        <f t="shared" si="25"/>
        <v>18</v>
      </c>
      <c r="AL316" s="21">
        <f t="shared" si="22"/>
        <v>0.29508196721311475</v>
      </c>
    </row>
    <row r="317" spans="1:38" x14ac:dyDescent="0.25">
      <c r="A317" s="1" t="s">
        <v>709</v>
      </c>
      <c r="B317" s="1" t="s">
        <v>710</v>
      </c>
      <c r="C317" s="1" t="s">
        <v>711</v>
      </c>
      <c r="D317" s="4"/>
      <c r="E317" s="4"/>
      <c r="F317" s="4"/>
      <c r="G317" s="4"/>
      <c r="H317" s="4"/>
      <c r="I317" s="4"/>
      <c r="J317" s="4"/>
      <c r="K317" s="4"/>
      <c r="L317" s="4"/>
      <c r="M317" s="11">
        <v>20</v>
      </c>
      <c r="N317" s="4"/>
      <c r="O317" s="4"/>
      <c r="P317" s="4"/>
      <c r="Q317" s="6">
        <v>0</v>
      </c>
      <c r="R317" s="6">
        <v>0</v>
      </c>
      <c r="S317" s="6">
        <v>0</v>
      </c>
      <c r="T317" s="6">
        <v>0</v>
      </c>
      <c r="U317" s="6">
        <v>0</v>
      </c>
      <c r="V317" s="6">
        <v>0</v>
      </c>
      <c r="W317" s="6">
        <v>0</v>
      </c>
      <c r="X317" s="6">
        <v>0</v>
      </c>
      <c r="Y317" s="6">
        <v>0</v>
      </c>
      <c r="Z317" s="6">
        <v>0</v>
      </c>
      <c r="AA317" s="6">
        <v>0</v>
      </c>
      <c r="AB317" s="6">
        <v>0</v>
      </c>
      <c r="AC317" s="7">
        <v>0</v>
      </c>
      <c r="AE317" s="5">
        <f t="shared" si="28"/>
        <v>0</v>
      </c>
      <c r="AF317" s="1" t="s">
        <v>34</v>
      </c>
      <c r="AG317" s="19" cm="1">
        <f t="array" ref="AG317">DIASQUIEBRE(Q317:AB317)</f>
        <v>0</v>
      </c>
      <c r="AH317" s="19" cm="1">
        <f t="array" ref="AH317">DiasMesesGris(Q317:AB317)</f>
        <v>360</v>
      </c>
      <c r="AI317" s="19">
        <f t="shared" si="23"/>
        <v>360</v>
      </c>
      <c r="AJ317" s="19">
        <f t="shared" si="24"/>
        <v>0</v>
      </c>
      <c r="AK317" s="20">
        <f t="shared" si="25"/>
        <v>20</v>
      </c>
      <c r="AL317" s="21">
        <f t="shared" si="22"/>
        <v>0</v>
      </c>
    </row>
    <row r="318" spans="1:38" x14ac:dyDescent="0.25">
      <c r="A318" s="1" t="s">
        <v>712</v>
      </c>
      <c r="B318" s="1" t="s">
        <v>713</v>
      </c>
      <c r="C318" s="1" t="s">
        <v>711</v>
      </c>
      <c r="D318" s="4"/>
      <c r="E318" s="4"/>
      <c r="F318" s="4"/>
      <c r="G318" s="4"/>
      <c r="H318" s="4"/>
      <c r="I318" s="4"/>
      <c r="J318" s="4"/>
      <c r="K318" s="4"/>
      <c r="L318" s="4"/>
      <c r="M318" s="11">
        <v>20</v>
      </c>
      <c r="N318" s="4"/>
      <c r="O318" s="4"/>
      <c r="P318" s="4"/>
      <c r="Q318" s="6">
        <v>0</v>
      </c>
      <c r="R318" s="6">
        <v>0</v>
      </c>
      <c r="S318" s="6">
        <v>0</v>
      </c>
      <c r="T318" s="6">
        <v>0</v>
      </c>
      <c r="U318" s="6">
        <v>0</v>
      </c>
      <c r="V318" s="6">
        <v>0</v>
      </c>
      <c r="W318" s="6">
        <v>0</v>
      </c>
      <c r="X318" s="6">
        <v>0</v>
      </c>
      <c r="Y318" s="6">
        <v>0</v>
      </c>
      <c r="Z318" s="6">
        <v>0</v>
      </c>
      <c r="AA318" s="6">
        <v>0</v>
      </c>
      <c r="AB318" s="6">
        <v>0</v>
      </c>
      <c r="AC318" s="7">
        <v>0</v>
      </c>
      <c r="AE318" s="5">
        <f t="shared" si="28"/>
        <v>0</v>
      </c>
      <c r="AF318" s="1" t="s">
        <v>34</v>
      </c>
      <c r="AG318" s="19" cm="1">
        <f t="array" ref="AG318">DIASQUIEBRE(Q318:AB318)</f>
        <v>0</v>
      </c>
      <c r="AH318" s="19" cm="1">
        <f t="array" ref="AH318">DiasMesesGris(Q318:AB318)</f>
        <v>360</v>
      </c>
      <c r="AI318" s="19">
        <f t="shared" si="23"/>
        <v>360</v>
      </c>
      <c r="AJ318" s="19">
        <f t="shared" si="24"/>
        <v>0</v>
      </c>
      <c r="AK318" s="20">
        <f t="shared" si="25"/>
        <v>20</v>
      </c>
      <c r="AL318" s="21">
        <f t="shared" si="22"/>
        <v>0</v>
      </c>
    </row>
    <row r="319" spans="1:38" x14ac:dyDescent="0.25">
      <c r="A319" s="1" t="s">
        <v>714</v>
      </c>
      <c r="B319" s="1" t="s">
        <v>715</v>
      </c>
      <c r="C319" s="1" t="s">
        <v>716</v>
      </c>
      <c r="D319" s="4"/>
      <c r="E319" s="4"/>
      <c r="F319" s="4"/>
      <c r="G319" s="4"/>
      <c r="H319" s="4"/>
      <c r="I319" s="4"/>
      <c r="J319" s="4"/>
      <c r="K319" s="4"/>
      <c r="L319" s="4"/>
      <c r="M319" s="11">
        <v>20</v>
      </c>
      <c r="N319" s="4"/>
      <c r="O319" s="4"/>
      <c r="P319" s="4"/>
      <c r="Q319" s="6">
        <v>0</v>
      </c>
      <c r="R319" s="6">
        <v>0</v>
      </c>
      <c r="S319" s="6">
        <v>0</v>
      </c>
      <c r="T319" s="6">
        <v>0</v>
      </c>
      <c r="U319" s="6">
        <v>0</v>
      </c>
      <c r="V319" s="6">
        <v>0</v>
      </c>
      <c r="W319" s="6">
        <v>0</v>
      </c>
      <c r="X319" s="6">
        <v>0</v>
      </c>
      <c r="Y319" s="6">
        <v>0</v>
      </c>
      <c r="Z319" s="6">
        <v>0</v>
      </c>
      <c r="AA319" s="6">
        <v>0</v>
      </c>
      <c r="AB319" s="6">
        <v>0</v>
      </c>
      <c r="AC319" s="7">
        <v>0</v>
      </c>
      <c r="AE319" s="5">
        <f t="shared" si="28"/>
        <v>0</v>
      </c>
      <c r="AF319" s="1" t="s">
        <v>34</v>
      </c>
      <c r="AG319" s="19" cm="1">
        <f t="array" ref="AG319">DIASQUIEBRE(Q319:AB319)</f>
        <v>0</v>
      </c>
      <c r="AH319" s="19" cm="1">
        <f t="array" ref="AH319">DiasMesesGris(Q319:AB319)</f>
        <v>360</v>
      </c>
      <c r="AI319" s="19">
        <f t="shared" si="23"/>
        <v>360</v>
      </c>
      <c r="AJ319" s="19">
        <f t="shared" si="24"/>
        <v>0</v>
      </c>
      <c r="AK319" s="20">
        <f t="shared" si="25"/>
        <v>20</v>
      </c>
      <c r="AL319" s="21">
        <f t="shared" si="22"/>
        <v>0</v>
      </c>
    </row>
    <row r="320" spans="1:38" x14ac:dyDescent="0.25">
      <c r="A320" s="1" t="s">
        <v>717</v>
      </c>
      <c r="B320" s="1" t="s">
        <v>718</v>
      </c>
      <c r="C320" s="1" t="s">
        <v>719</v>
      </c>
      <c r="D320" s="4"/>
      <c r="E320" s="4"/>
      <c r="F320" s="4"/>
      <c r="G320" s="4"/>
      <c r="H320" s="4"/>
      <c r="I320" s="4"/>
      <c r="J320" s="4"/>
      <c r="K320" s="4"/>
      <c r="L320" s="4"/>
      <c r="M320" s="11">
        <v>20</v>
      </c>
      <c r="N320" s="4"/>
      <c r="O320" s="4"/>
      <c r="P320" s="4"/>
      <c r="Q320" s="6">
        <v>0</v>
      </c>
      <c r="R320" s="6">
        <v>0</v>
      </c>
      <c r="S320" s="6">
        <v>0</v>
      </c>
      <c r="T320" s="6">
        <v>0</v>
      </c>
      <c r="U320" s="6">
        <v>0</v>
      </c>
      <c r="V320" s="6">
        <v>0</v>
      </c>
      <c r="W320" s="6">
        <v>0</v>
      </c>
      <c r="X320" s="6">
        <v>0</v>
      </c>
      <c r="Y320" s="6">
        <v>0</v>
      </c>
      <c r="Z320" s="6">
        <v>0</v>
      </c>
      <c r="AA320" s="6">
        <v>0</v>
      </c>
      <c r="AB320" s="6">
        <v>0</v>
      </c>
      <c r="AC320" s="7">
        <v>0</v>
      </c>
      <c r="AE320" s="5">
        <f t="shared" si="28"/>
        <v>0</v>
      </c>
      <c r="AF320" s="1" t="s">
        <v>34</v>
      </c>
      <c r="AG320" s="19" cm="1">
        <f t="array" ref="AG320">DIASQUIEBRE(Q320:AB320)</f>
        <v>0</v>
      </c>
      <c r="AH320" s="19" cm="1">
        <f t="array" ref="AH320">DiasMesesGris(Q320:AB320)</f>
        <v>360</v>
      </c>
      <c r="AI320" s="19">
        <f t="shared" si="23"/>
        <v>360</v>
      </c>
      <c r="AJ320" s="19">
        <f t="shared" si="24"/>
        <v>0</v>
      </c>
      <c r="AK320" s="20">
        <f t="shared" si="25"/>
        <v>20</v>
      </c>
      <c r="AL320" s="21">
        <f t="shared" si="22"/>
        <v>0</v>
      </c>
    </row>
    <row r="321" spans="1:38" x14ac:dyDescent="0.25">
      <c r="A321" s="1" t="s">
        <v>720</v>
      </c>
      <c r="B321" s="1" t="s">
        <v>721</v>
      </c>
      <c r="C321" s="1" t="s">
        <v>722</v>
      </c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11">
        <v>7</v>
      </c>
      <c r="O321" s="4"/>
      <c r="P321" s="4"/>
      <c r="Q321" s="6">
        <v>0</v>
      </c>
      <c r="R321" s="6">
        <v>0</v>
      </c>
      <c r="S321" s="6">
        <v>0</v>
      </c>
      <c r="T321" s="6">
        <v>0</v>
      </c>
      <c r="U321" s="6">
        <v>0</v>
      </c>
      <c r="V321" s="6">
        <v>0</v>
      </c>
      <c r="W321" s="6">
        <v>0</v>
      </c>
      <c r="X321" s="6">
        <v>0</v>
      </c>
      <c r="Y321" s="6">
        <v>0</v>
      </c>
      <c r="Z321" s="9">
        <v>0</v>
      </c>
      <c r="AA321" s="5">
        <v>0.25090000000000001</v>
      </c>
      <c r="AB321" s="5">
        <v>0</v>
      </c>
      <c r="AC321" s="8">
        <v>0</v>
      </c>
      <c r="AD321" s="5">
        <v>0.1255</v>
      </c>
      <c r="AE321" s="5">
        <v>0.11475409836065574</v>
      </c>
      <c r="AF321" s="1" t="s">
        <v>34</v>
      </c>
      <c r="AG321" s="19" cm="1">
        <f t="array" ref="AG321">DIASQUIEBRE(Q321:AB321)</f>
        <v>29</v>
      </c>
      <c r="AH321" s="19" cm="1">
        <f t="array" ref="AH321">DiasMesesGris(Q321:AB321)</f>
        <v>270</v>
      </c>
      <c r="AI321" s="19">
        <f t="shared" si="23"/>
        <v>299</v>
      </c>
      <c r="AJ321" s="19">
        <f t="shared" si="24"/>
        <v>61</v>
      </c>
      <c r="AK321" s="20">
        <f t="shared" si="25"/>
        <v>7</v>
      </c>
      <c r="AL321" s="21">
        <f t="shared" si="22"/>
        <v>0.11475409836065574</v>
      </c>
    </row>
    <row r="322" spans="1:38" x14ac:dyDescent="0.25">
      <c r="A322" s="1" t="s">
        <v>723</v>
      </c>
      <c r="B322" s="1" t="s">
        <v>724</v>
      </c>
      <c r="C322" s="1" t="s">
        <v>725</v>
      </c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11">
        <v>4</v>
      </c>
      <c r="O322" s="11">
        <v>2</v>
      </c>
      <c r="P322" s="11">
        <v>1</v>
      </c>
      <c r="Q322" s="6">
        <v>0</v>
      </c>
      <c r="R322" s="6">
        <v>0</v>
      </c>
      <c r="S322" s="6">
        <v>0</v>
      </c>
      <c r="T322" s="6">
        <v>0</v>
      </c>
      <c r="U322" s="6">
        <v>0</v>
      </c>
      <c r="V322" s="6">
        <v>0</v>
      </c>
      <c r="W322" s="6">
        <v>0</v>
      </c>
      <c r="X322" s="6">
        <v>0</v>
      </c>
      <c r="Y322" s="6">
        <v>0</v>
      </c>
      <c r="Z322" s="9">
        <v>0</v>
      </c>
      <c r="AA322" s="5">
        <v>0.1434</v>
      </c>
      <c r="AB322" s="5">
        <v>8.3299999999999999E-2</v>
      </c>
      <c r="AC322" s="8">
        <v>2.93E-2</v>
      </c>
      <c r="AD322" s="5">
        <v>0.1134</v>
      </c>
      <c r="AE322" s="5">
        <v>9.8360655737704916E-2</v>
      </c>
      <c r="AF322" s="1" t="s">
        <v>34</v>
      </c>
      <c r="AG322" s="19" cm="1">
        <f t="array" ref="AG322">DIASQUIEBRE(Q322:AB322)</f>
        <v>29</v>
      </c>
      <c r="AH322" s="19" cm="1">
        <f t="array" ref="AH322">DiasMesesGris(Q322:AB322)</f>
        <v>270</v>
      </c>
      <c r="AI322" s="19">
        <f t="shared" si="23"/>
        <v>299</v>
      </c>
      <c r="AJ322" s="19">
        <f t="shared" si="24"/>
        <v>61</v>
      </c>
      <c r="AK322" s="20">
        <f t="shared" si="25"/>
        <v>6</v>
      </c>
      <c r="AL322" s="21">
        <f t="shared" si="22"/>
        <v>9.8360655737704916E-2</v>
      </c>
    </row>
    <row r="323" spans="1:38" x14ac:dyDescent="0.25">
      <c r="A323" s="1" t="s">
        <v>726</v>
      </c>
      <c r="B323" s="1" t="s">
        <v>727</v>
      </c>
      <c r="C323" s="1" t="s">
        <v>728</v>
      </c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11">
        <v>6</v>
      </c>
      <c r="O323" s="11">
        <v>1</v>
      </c>
      <c r="P323" s="4"/>
      <c r="Q323" s="6">
        <v>0</v>
      </c>
      <c r="R323" s="6">
        <v>0</v>
      </c>
      <c r="S323" s="6">
        <v>0</v>
      </c>
      <c r="T323" s="6">
        <v>0</v>
      </c>
      <c r="U323" s="6">
        <v>0</v>
      </c>
      <c r="V323" s="6">
        <v>0</v>
      </c>
      <c r="W323" s="6">
        <v>0</v>
      </c>
      <c r="X323" s="6">
        <v>0</v>
      </c>
      <c r="Y323" s="6">
        <v>0</v>
      </c>
      <c r="Z323" s="9">
        <v>0</v>
      </c>
      <c r="AA323" s="5">
        <v>0.21510000000000001</v>
      </c>
      <c r="AB323" s="5">
        <v>4.1700000000000001E-2</v>
      </c>
      <c r="AC323" s="8">
        <v>0</v>
      </c>
      <c r="AD323" s="5">
        <v>0.12839999999999999</v>
      </c>
      <c r="AE323" s="5">
        <v>0.11475409836065574</v>
      </c>
      <c r="AF323" s="1" t="s">
        <v>34</v>
      </c>
      <c r="AG323" s="19" cm="1">
        <f t="array" ref="AG323">DIASQUIEBRE(Q323:AB323)</f>
        <v>29</v>
      </c>
      <c r="AH323" s="19" cm="1">
        <f t="array" ref="AH323">DiasMesesGris(Q323:AB323)</f>
        <v>270</v>
      </c>
      <c r="AI323" s="19">
        <f t="shared" si="23"/>
        <v>299</v>
      </c>
      <c r="AJ323" s="19">
        <f t="shared" si="24"/>
        <v>61</v>
      </c>
      <c r="AK323" s="20">
        <f t="shared" si="25"/>
        <v>7</v>
      </c>
      <c r="AL323" s="21">
        <f t="shared" ref="AL323:AL386" si="29">IFERROR(AK323/AJ323,0)</f>
        <v>0.11475409836065574</v>
      </c>
    </row>
    <row r="324" spans="1:38" x14ac:dyDescent="0.25">
      <c r="A324" s="1" t="s">
        <v>729</v>
      </c>
      <c r="B324" s="1" t="s">
        <v>730</v>
      </c>
      <c r="C324" s="1" t="s">
        <v>731</v>
      </c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11">
        <v>2</v>
      </c>
      <c r="O324" s="11">
        <v>1</v>
      </c>
      <c r="P324" s="11">
        <v>1</v>
      </c>
      <c r="Q324" s="6">
        <v>0</v>
      </c>
      <c r="R324" s="6">
        <v>0</v>
      </c>
      <c r="S324" s="6">
        <v>0</v>
      </c>
      <c r="T324" s="6">
        <v>0</v>
      </c>
      <c r="U324" s="6">
        <v>0</v>
      </c>
      <c r="V324" s="6">
        <v>0</v>
      </c>
      <c r="W324" s="6">
        <v>0</v>
      </c>
      <c r="X324" s="6">
        <v>0</v>
      </c>
      <c r="Y324" s="6">
        <v>0</v>
      </c>
      <c r="Z324" s="9">
        <v>0</v>
      </c>
      <c r="AA324" s="5">
        <v>7.17E-2</v>
      </c>
      <c r="AB324" s="5">
        <v>4.1700000000000001E-2</v>
      </c>
      <c r="AC324" s="8">
        <v>2.93E-2</v>
      </c>
      <c r="AD324" s="5">
        <v>5.67E-2</v>
      </c>
      <c r="AE324" s="5">
        <v>4.9180327868852458E-2</v>
      </c>
      <c r="AF324" s="1" t="s">
        <v>34</v>
      </c>
      <c r="AG324" s="19" cm="1">
        <f t="array" ref="AG324">DIASQUIEBRE(Q324:AB324)</f>
        <v>29</v>
      </c>
      <c r="AH324" s="19" cm="1">
        <f t="array" ref="AH324">DiasMesesGris(Q324:AB324)</f>
        <v>270</v>
      </c>
      <c r="AI324" s="19">
        <f t="shared" ref="AI324:AI387" si="30">AG324+AH324</f>
        <v>299</v>
      </c>
      <c r="AJ324" s="19">
        <f t="shared" ref="AJ324:AJ387" si="31">360-AI324</f>
        <v>61</v>
      </c>
      <c r="AK324" s="20">
        <f t="shared" ref="AK324:AK387" si="32">SUM(D324:O324)</f>
        <v>3</v>
      </c>
      <c r="AL324" s="21">
        <f t="shared" si="29"/>
        <v>4.9180327868852458E-2</v>
      </c>
    </row>
    <row r="325" spans="1:38" x14ac:dyDescent="0.25">
      <c r="A325" s="1" t="s">
        <v>732</v>
      </c>
      <c r="B325" s="1" t="s">
        <v>733</v>
      </c>
      <c r="C325" s="1" t="s">
        <v>734</v>
      </c>
      <c r="D325" s="4"/>
      <c r="E325" s="4"/>
      <c r="F325" s="4"/>
      <c r="G325" s="4"/>
      <c r="H325" s="4"/>
      <c r="I325" s="4"/>
      <c r="J325" s="4"/>
      <c r="K325" s="4"/>
      <c r="L325" s="4"/>
      <c r="M325" s="11">
        <v>25</v>
      </c>
      <c r="N325" s="11">
        <v>11</v>
      </c>
      <c r="O325" s="11">
        <v>42</v>
      </c>
      <c r="P325" s="11">
        <v>5</v>
      </c>
      <c r="Q325" s="6">
        <v>0</v>
      </c>
      <c r="R325" s="6">
        <v>0</v>
      </c>
      <c r="S325" s="6">
        <v>0</v>
      </c>
      <c r="T325" s="6">
        <v>0</v>
      </c>
      <c r="U325" s="6">
        <v>0</v>
      </c>
      <c r="V325" s="6">
        <v>0</v>
      </c>
      <c r="W325" s="6">
        <v>0</v>
      </c>
      <c r="X325" s="6">
        <v>0</v>
      </c>
      <c r="Y325" s="6">
        <v>0</v>
      </c>
      <c r="Z325" s="9">
        <v>31.25</v>
      </c>
      <c r="AA325" s="5">
        <v>0.3548</v>
      </c>
      <c r="AB325" s="5">
        <v>1.4</v>
      </c>
      <c r="AC325" s="8">
        <v>8.9599999999999999E-2</v>
      </c>
      <c r="AD325" s="5">
        <v>0.87739999999999996</v>
      </c>
      <c r="AE325" s="5">
        <v>1.278688524590164</v>
      </c>
      <c r="AF325" s="1" t="s">
        <v>34</v>
      </c>
      <c r="AG325" s="19" cm="1">
        <f t="array" ref="AG325">DIASQUIEBRE(Q325:AB325)</f>
        <v>29</v>
      </c>
      <c r="AH325" s="19" cm="1">
        <f t="array" ref="AH325">DiasMesesGris(Q325:AB325)</f>
        <v>270</v>
      </c>
      <c r="AI325" s="19">
        <f t="shared" si="30"/>
        <v>299</v>
      </c>
      <c r="AJ325" s="19">
        <f t="shared" si="31"/>
        <v>61</v>
      </c>
      <c r="AK325" s="20">
        <f t="shared" si="32"/>
        <v>78</v>
      </c>
      <c r="AL325" s="21">
        <f t="shared" si="29"/>
        <v>1.278688524590164</v>
      </c>
    </row>
    <row r="326" spans="1:38" x14ac:dyDescent="0.25">
      <c r="A326" s="1" t="s">
        <v>735</v>
      </c>
      <c r="B326" s="1" t="s">
        <v>736</v>
      </c>
      <c r="C326" s="1" t="s">
        <v>737</v>
      </c>
      <c r="D326" s="4"/>
      <c r="E326" s="4"/>
      <c r="F326" s="4"/>
      <c r="G326" s="4"/>
      <c r="H326" s="4"/>
      <c r="I326" s="4"/>
      <c r="J326" s="4"/>
      <c r="K326" s="4"/>
      <c r="L326" s="4"/>
      <c r="M326" s="11">
        <v>25</v>
      </c>
      <c r="N326" s="11">
        <v>10</v>
      </c>
      <c r="O326" s="11">
        <v>40</v>
      </c>
      <c r="P326" s="11">
        <v>4</v>
      </c>
      <c r="Q326" s="6">
        <v>0</v>
      </c>
      <c r="R326" s="6">
        <v>0</v>
      </c>
      <c r="S326" s="6">
        <v>0</v>
      </c>
      <c r="T326" s="6">
        <v>0</v>
      </c>
      <c r="U326" s="6">
        <v>0</v>
      </c>
      <c r="V326" s="6">
        <v>0</v>
      </c>
      <c r="W326" s="6">
        <v>0</v>
      </c>
      <c r="X326" s="6">
        <v>0</v>
      </c>
      <c r="Y326" s="6">
        <v>0</v>
      </c>
      <c r="Z326" s="9">
        <v>31.25</v>
      </c>
      <c r="AA326" s="5">
        <v>0.3226</v>
      </c>
      <c r="AB326" s="5">
        <v>1.3332999999999999</v>
      </c>
      <c r="AC326" s="8">
        <v>7.17E-2</v>
      </c>
      <c r="AD326" s="5">
        <v>0.82799999999999996</v>
      </c>
      <c r="AE326" s="5">
        <v>1.22950819672131</v>
      </c>
      <c r="AF326" s="1" t="s">
        <v>34</v>
      </c>
      <c r="AG326" s="19" cm="1">
        <f t="array" ref="AG326">DIASQUIEBRE(Q326:AB326)</f>
        <v>29</v>
      </c>
      <c r="AH326" s="19" cm="1">
        <f t="array" ref="AH326">DiasMesesGris(Q326:AB326)</f>
        <v>270</v>
      </c>
      <c r="AI326" s="19">
        <f t="shared" si="30"/>
        <v>299</v>
      </c>
      <c r="AJ326" s="19">
        <f t="shared" si="31"/>
        <v>61</v>
      </c>
      <c r="AK326" s="20">
        <f t="shared" si="32"/>
        <v>75</v>
      </c>
      <c r="AL326" s="21">
        <f t="shared" si="29"/>
        <v>1.2295081967213115</v>
      </c>
    </row>
    <row r="327" spans="1:38" x14ac:dyDescent="0.25">
      <c r="A327" s="1" t="s">
        <v>738</v>
      </c>
      <c r="B327" s="1" t="s">
        <v>739</v>
      </c>
      <c r="C327" s="1" t="s">
        <v>740</v>
      </c>
      <c r="D327" s="4"/>
      <c r="E327" s="4"/>
      <c r="F327" s="4"/>
      <c r="G327" s="4"/>
      <c r="H327" s="4"/>
      <c r="I327" s="4"/>
      <c r="J327" s="4"/>
      <c r="K327" s="4"/>
      <c r="L327" s="4"/>
      <c r="M327" s="11">
        <v>15</v>
      </c>
      <c r="N327" s="11">
        <v>11</v>
      </c>
      <c r="O327" s="11">
        <v>46</v>
      </c>
      <c r="P327" s="11">
        <v>8</v>
      </c>
      <c r="Q327" s="6">
        <v>0</v>
      </c>
      <c r="R327" s="6">
        <v>0</v>
      </c>
      <c r="S327" s="6">
        <v>0</v>
      </c>
      <c r="T327" s="6">
        <v>0</v>
      </c>
      <c r="U327" s="6">
        <v>0</v>
      </c>
      <c r="V327" s="6">
        <v>0</v>
      </c>
      <c r="W327" s="6">
        <v>0</v>
      </c>
      <c r="X327" s="6">
        <v>0</v>
      </c>
      <c r="Y327" s="6">
        <v>0</v>
      </c>
      <c r="Z327" s="9">
        <v>18.75</v>
      </c>
      <c r="AA327" s="5">
        <v>0.3548</v>
      </c>
      <c r="AB327" s="5">
        <v>1.5333000000000001</v>
      </c>
      <c r="AC327" s="8">
        <v>0.1434</v>
      </c>
      <c r="AD327" s="5">
        <v>0.94410000000000005</v>
      </c>
      <c r="AE327" s="5">
        <v>1.180327868852459</v>
      </c>
      <c r="AF327" s="1" t="s">
        <v>34</v>
      </c>
      <c r="AG327" s="19" cm="1">
        <f t="array" ref="AG327">DIASQUIEBRE(Q327:AB327)</f>
        <v>29</v>
      </c>
      <c r="AH327" s="19" cm="1">
        <f t="array" ref="AH327">DiasMesesGris(Q327:AB327)</f>
        <v>270</v>
      </c>
      <c r="AI327" s="19">
        <f t="shared" si="30"/>
        <v>299</v>
      </c>
      <c r="AJ327" s="19">
        <f t="shared" si="31"/>
        <v>61</v>
      </c>
      <c r="AK327" s="20">
        <f t="shared" si="32"/>
        <v>72</v>
      </c>
      <c r="AL327" s="21">
        <f t="shared" si="29"/>
        <v>1.180327868852459</v>
      </c>
    </row>
    <row r="328" spans="1:38" x14ac:dyDescent="0.25">
      <c r="A328" s="1" t="s">
        <v>741</v>
      </c>
      <c r="B328" s="1" t="s">
        <v>742</v>
      </c>
      <c r="C328" s="1" t="s">
        <v>743</v>
      </c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6">
        <v>0</v>
      </c>
      <c r="R328" s="6">
        <v>0</v>
      </c>
      <c r="S328" s="6">
        <v>0</v>
      </c>
      <c r="T328" s="6">
        <v>0</v>
      </c>
      <c r="U328" s="6">
        <v>0</v>
      </c>
      <c r="V328" s="6">
        <v>0</v>
      </c>
      <c r="W328" s="6">
        <v>0</v>
      </c>
      <c r="X328" s="6">
        <v>0</v>
      </c>
      <c r="Y328" s="6">
        <v>0</v>
      </c>
      <c r="Z328" s="6">
        <v>0</v>
      </c>
      <c r="AA328" s="6">
        <v>0</v>
      </c>
      <c r="AB328" s="6">
        <v>0</v>
      </c>
      <c r="AC328" s="7">
        <v>0</v>
      </c>
      <c r="AE328" s="5">
        <f t="shared" si="28"/>
        <v>0</v>
      </c>
      <c r="AF328" s="1" t="s">
        <v>34</v>
      </c>
      <c r="AG328" s="19" cm="1">
        <f t="array" ref="AG328">DIASQUIEBRE(Q328:AB328)</f>
        <v>0</v>
      </c>
      <c r="AH328" s="19" cm="1">
        <f t="array" ref="AH328">DiasMesesGris(Q328:AB328)</f>
        <v>360</v>
      </c>
      <c r="AI328" s="19">
        <f t="shared" si="30"/>
        <v>360</v>
      </c>
      <c r="AJ328" s="19">
        <f t="shared" si="31"/>
        <v>0</v>
      </c>
      <c r="AK328" s="20">
        <f t="shared" si="32"/>
        <v>0</v>
      </c>
      <c r="AL328" s="21">
        <f t="shared" si="29"/>
        <v>0</v>
      </c>
    </row>
    <row r="329" spans="1:38" x14ac:dyDescent="0.25">
      <c r="A329" s="1" t="s">
        <v>744</v>
      </c>
      <c r="B329" s="1" t="s">
        <v>745</v>
      </c>
      <c r="C329" s="1" t="s">
        <v>746</v>
      </c>
      <c r="D329" s="4"/>
      <c r="E329" s="4"/>
      <c r="F329" s="4"/>
      <c r="G329" s="4"/>
      <c r="H329" s="4"/>
      <c r="I329" s="4"/>
      <c r="J329" s="4"/>
      <c r="K329" s="4"/>
      <c r="L329" s="11">
        <v>2</v>
      </c>
      <c r="M329" s="11">
        <v>4</v>
      </c>
      <c r="N329" s="11">
        <v>2</v>
      </c>
      <c r="O329" s="4"/>
      <c r="P329" s="11">
        <v>7</v>
      </c>
      <c r="Q329" s="6">
        <v>0</v>
      </c>
      <c r="R329" s="6">
        <v>0</v>
      </c>
      <c r="S329" s="6">
        <v>0</v>
      </c>
      <c r="T329" s="6">
        <v>0</v>
      </c>
      <c r="U329" s="6">
        <v>0</v>
      </c>
      <c r="V329" s="6">
        <v>0</v>
      </c>
      <c r="W329" s="6">
        <v>0</v>
      </c>
      <c r="X329" s="6">
        <v>0</v>
      </c>
      <c r="Y329" s="9">
        <v>0.10100000000000001</v>
      </c>
      <c r="Z329" s="5">
        <v>0.16669999999999999</v>
      </c>
      <c r="AA329" s="5">
        <v>6.4500000000000002E-2</v>
      </c>
      <c r="AB329" s="5">
        <v>0</v>
      </c>
      <c r="AC329" s="8">
        <v>0.12540000000000001</v>
      </c>
      <c r="AD329" s="5">
        <v>7.7100000000000002E-2</v>
      </c>
      <c r="AE329" s="5">
        <v>7.2072072072072071E-2</v>
      </c>
      <c r="AF329" s="1" t="s">
        <v>34</v>
      </c>
      <c r="AG329" s="19" cm="1">
        <f t="array" ref="AG329">DIASQUIEBRE(Q329:AB329)</f>
        <v>9</v>
      </c>
      <c r="AH329" s="19" cm="1">
        <f t="array" ref="AH329">DiasMesesGris(Q329:AB329)</f>
        <v>240</v>
      </c>
      <c r="AI329" s="19">
        <f t="shared" si="30"/>
        <v>249</v>
      </c>
      <c r="AJ329" s="19">
        <f t="shared" si="31"/>
        <v>111</v>
      </c>
      <c r="AK329" s="20">
        <f t="shared" si="32"/>
        <v>8</v>
      </c>
      <c r="AL329" s="21">
        <f t="shared" si="29"/>
        <v>7.2072072072072071E-2</v>
      </c>
    </row>
    <row r="330" spans="1:38" x14ac:dyDescent="0.25">
      <c r="A330" s="1" t="s">
        <v>747</v>
      </c>
      <c r="B330" s="1" t="s">
        <v>748</v>
      </c>
      <c r="C330" s="1" t="s">
        <v>749</v>
      </c>
      <c r="D330" s="4"/>
      <c r="E330" s="4"/>
      <c r="F330" s="4"/>
      <c r="G330" s="4"/>
      <c r="H330" s="4"/>
      <c r="I330" s="4"/>
      <c r="J330" s="4"/>
      <c r="K330" s="4"/>
      <c r="L330" s="11">
        <v>1</v>
      </c>
      <c r="M330" s="11">
        <v>1</v>
      </c>
      <c r="N330" s="11">
        <v>2</v>
      </c>
      <c r="O330" s="4"/>
      <c r="P330" s="11">
        <v>5</v>
      </c>
      <c r="Q330" s="6">
        <v>0</v>
      </c>
      <c r="R330" s="6">
        <v>0</v>
      </c>
      <c r="S330" s="6">
        <v>0</v>
      </c>
      <c r="T330" s="6">
        <v>0</v>
      </c>
      <c r="U330" s="6">
        <v>0</v>
      </c>
      <c r="V330" s="6">
        <v>0</v>
      </c>
      <c r="W330" s="6">
        <v>0</v>
      </c>
      <c r="X330" s="6">
        <v>0</v>
      </c>
      <c r="Y330" s="9">
        <v>5.0500000000000003E-2</v>
      </c>
      <c r="Z330" s="5">
        <v>4.1700000000000001E-2</v>
      </c>
      <c r="AA330" s="5">
        <v>6.4500000000000002E-2</v>
      </c>
      <c r="AB330" s="5">
        <v>0</v>
      </c>
      <c r="AC330" s="8">
        <v>8.9599999999999999E-2</v>
      </c>
      <c r="AD330" s="5">
        <v>3.5400000000000001E-2</v>
      </c>
      <c r="AE330" s="5">
        <v>3.6036036036036036E-2</v>
      </c>
      <c r="AF330" s="1" t="s">
        <v>34</v>
      </c>
      <c r="AG330" s="19" cm="1">
        <f t="array" ref="AG330">DIASQUIEBRE(Q330:AB330)</f>
        <v>9</v>
      </c>
      <c r="AH330" s="19" cm="1">
        <f t="array" ref="AH330">DiasMesesGris(Q330:AB330)</f>
        <v>240</v>
      </c>
      <c r="AI330" s="19">
        <f t="shared" si="30"/>
        <v>249</v>
      </c>
      <c r="AJ330" s="19">
        <f t="shared" si="31"/>
        <v>111</v>
      </c>
      <c r="AK330" s="20">
        <f t="shared" si="32"/>
        <v>4</v>
      </c>
      <c r="AL330" s="21">
        <f t="shared" si="29"/>
        <v>3.6036036036036036E-2</v>
      </c>
    </row>
    <row r="331" spans="1:38" x14ac:dyDescent="0.25">
      <c r="A331" s="1" t="s">
        <v>750</v>
      </c>
      <c r="B331" s="1" t="s">
        <v>751</v>
      </c>
      <c r="C331" s="1" t="s">
        <v>752</v>
      </c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11">
        <v>3</v>
      </c>
      <c r="O331" s="4"/>
      <c r="P331" s="4"/>
      <c r="Q331" s="6">
        <v>0</v>
      </c>
      <c r="R331" s="6">
        <v>0</v>
      </c>
      <c r="S331" s="6">
        <v>0</v>
      </c>
      <c r="T331" s="6">
        <v>0</v>
      </c>
      <c r="U331" s="6">
        <v>0</v>
      </c>
      <c r="V331" s="6">
        <v>0</v>
      </c>
      <c r="W331" s="6">
        <v>0</v>
      </c>
      <c r="X331" s="6">
        <v>0</v>
      </c>
      <c r="Y331" s="6">
        <v>0</v>
      </c>
      <c r="Z331" s="9">
        <v>0</v>
      </c>
      <c r="AA331" s="5">
        <v>9.6799999999999997E-2</v>
      </c>
      <c r="AB331" s="5">
        <v>0</v>
      </c>
      <c r="AC331" s="8">
        <v>0</v>
      </c>
      <c r="AD331" s="5">
        <v>4.8399999999999999E-2</v>
      </c>
      <c r="AE331" s="5">
        <v>4.9180327868852458E-2</v>
      </c>
      <c r="AF331" s="1" t="s">
        <v>34</v>
      </c>
      <c r="AG331" s="19" cm="1">
        <f t="array" ref="AG331">DIASQUIEBRE(Q331:AB331)</f>
        <v>29</v>
      </c>
      <c r="AH331" s="19" cm="1">
        <f t="array" ref="AH331">DiasMesesGris(Q331:AB331)</f>
        <v>270</v>
      </c>
      <c r="AI331" s="19">
        <f t="shared" si="30"/>
        <v>299</v>
      </c>
      <c r="AJ331" s="19">
        <f t="shared" si="31"/>
        <v>61</v>
      </c>
      <c r="AK331" s="20">
        <f t="shared" si="32"/>
        <v>3</v>
      </c>
      <c r="AL331" s="21">
        <f t="shared" si="29"/>
        <v>4.9180327868852458E-2</v>
      </c>
    </row>
    <row r="332" spans="1:38" x14ac:dyDescent="0.25">
      <c r="A332" s="1" t="s">
        <v>753</v>
      </c>
      <c r="B332" s="1" t="s">
        <v>754</v>
      </c>
      <c r="C332" s="1" t="s">
        <v>755</v>
      </c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11">
        <v>3</v>
      </c>
      <c r="O332" s="11">
        <v>1</v>
      </c>
      <c r="P332" s="4"/>
      <c r="Q332" s="6">
        <v>0</v>
      </c>
      <c r="R332" s="6">
        <v>0</v>
      </c>
      <c r="S332" s="6">
        <v>0</v>
      </c>
      <c r="T332" s="6">
        <v>0</v>
      </c>
      <c r="U332" s="6">
        <v>0</v>
      </c>
      <c r="V332" s="6">
        <v>0</v>
      </c>
      <c r="W332" s="6">
        <v>0</v>
      </c>
      <c r="X332" s="6">
        <v>0</v>
      </c>
      <c r="Y332" s="6">
        <v>0</v>
      </c>
      <c r="Z332" s="9">
        <v>0</v>
      </c>
      <c r="AA332" s="5">
        <v>9.6799999999999997E-2</v>
      </c>
      <c r="AB332" s="5">
        <v>3.3300000000000003E-2</v>
      </c>
      <c r="AC332" s="8">
        <v>0</v>
      </c>
      <c r="AD332" s="5">
        <v>6.5100000000000005E-2</v>
      </c>
      <c r="AE332" s="5">
        <v>6.5573770491803282E-2</v>
      </c>
      <c r="AF332" s="1" t="s">
        <v>34</v>
      </c>
      <c r="AG332" s="19" cm="1">
        <f t="array" ref="AG332">DIASQUIEBRE(Q332:AB332)</f>
        <v>29</v>
      </c>
      <c r="AH332" s="19" cm="1">
        <f t="array" ref="AH332">DiasMesesGris(Q332:AB332)</f>
        <v>270</v>
      </c>
      <c r="AI332" s="19">
        <f t="shared" si="30"/>
        <v>299</v>
      </c>
      <c r="AJ332" s="19">
        <f t="shared" si="31"/>
        <v>61</v>
      </c>
      <c r="AK332" s="20">
        <f t="shared" si="32"/>
        <v>4</v>
      </c>
      <c r="AL332" s="21">
        <f t="shared" si="29"/>
        <v>6.5573770491803282E-2</v>
      </c>
    </row>
    <row r="333" spans="1:38" x14ac:dyDescent="0.25">
      <c r="A333" s="1" t="s">
        <v>756</v>
      </c>
      <c r="B333" s="1" t="s">
        <v>757</v>
      </c>
      <c r="C333" s="1" t="s">
        <v>758</v>
      </c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11">
        <v>3</v>
      </c>
      <c r="O333" s="4"/>
      <c r="P333" s="4"/>
      <c r="Q333" s="6">
        <v>0</v>
      </c>
      <c r="R333" s="6">
        <v>0</v>
      </c>
      <c r="S333" s="6">
        <v>0</v>
      </c>
      <c r="T333" s="6">
        <v>0</v>
      </c>
      <c r="U333" s="6">
        <v>0</v>
      </c>
      <c r="V333" s="6">
        <v>0</v>
      </c>
      <c r="W333" s="6">
        <v>0</v>
      </c>
      <c r="X333" s="6">
        <v>0</v>
      </c>
      <c r="Y333" s="6">
        <v>0</v>
      </c>
      <c r="Z333" s="9">
        <v>0</v>
      </c>
      <c r="AA333" s="5">
        <v>9.6799999999999997E-2</v>
      </c>
      <c r="AB333" s="5">
        <v>0</v>
      </c>
      <c r="AC333" s="8">
        <v>0</v>
      </c>
      <c r="AD333" s="5">
        <v>4.8399999999999999E-2</v>
      </c>
      <c r="AE333" s="5">
        <v>4.9180327868852458E-2</v>
      </c>
      <c r="AF333" s="1" t="s">
        <v>34</v>
      </c>
      <c r="AG333" s="19" cm="1">
        <f t="array" ref="AG333">DIASQUIEBRE(Q333:AB333)</f>
        <v>29</v>
      </c>
      <c r="AH333" s="19" cm="1">
        <f t="array" ref="AH333">DiasMesesGris(Q333:AB333)</f>
        <v>270</v>
      </c>
      <c r="AI333" s="19">
        <f t="shared" si="30"/>
        <v>299</v>
      </c>
      <c r="AJ333" s="19">
        <f t="shared" si="31"/>
        <v>61</v>
      </c>
      <c r="AK333" s="20">
        <f t="shared" si="32"/>
        <v>3</v>
      </c>
      <c r="AL333" s="21">
        <f t="shared" si="29"/>
        <v>4.9180327868852458E-2</v>
      </c>
    </row>
    <row r="334" spans="1:38" x14ac:dyDescent="0.25">
      <c r="A334" s="1" t="s">
        <v>759</v>
      </c>
      <c r="B334" s="1" t="s">
        <v>760</v>
      </c>
      <c r="C334" s="1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11">
        <v>2</v>
      </c>
      <c r="O334" s="4"/>
      <c r="P334" s="11">
        <v>1</v>
      </c>
      <c r="Q334" s="6">
        <v>0</v>
      </c>
      <c r="R334" s="6">
        <v>0</v>
      </c>
      <c r="S334" s="6">
        <v>0</v>
      </c>
      <c r="T334" s="6">
        <v>0</v>
      </c>
      <c r="U334" s="6">
        <v>0</v>
      </c>
      <c r="V334" s="6">
        <v>0</v>
      </c>
      <c r="W334" s="6">
        <v>0</v>
      </c>
      <c r="X334" s="6">
        <v>0</v>
      </c>
      <c r="Y334" s="6">
        <v>0</v>
      </c>
      <c r="Z334" s="9">
        <v>0</v>
      </c>
      <c r="AA334" s="5">
        <v>6.4500000000000002E-2</v>
      </c>
      <c r="AB334" s="5">
        <v>0</v>
      </c>
      <c r="AC334" s="8">
        <v>1.7899999999999999E-2</v>
      </c>
      <c r="AD334" s="5">
        <v>3.2300000000000002E-2</v>
      </c>
      <c r="AE334" s="5">
        <v>3.2786885245901641E-2</v>
      </c>
      <c r="AF334" s="1" t="s">
        <v>34</v>
      </c>
      <c r="AG334" s="19" cm="1">
        <f t="array" ref="AG334">DIASQUIEBRE(Q334:AB334)</f>
        <v>29</v>
      </c>
      <c r="AH334" s="19" cm="1">
        <f t="array" ref="AH334">DiasMesesGris(Q334:AB334)</f>
        <v>270</v>
      </c>
      <c r="AI334" s="19">
        <f t="shared" si="30"/>
        <v>299</v>
      </c>
      <c r="AJ334" s="19">
        <f t="shared" si="31"/>
        <v>61</v>
      </c>
      <c r="AK334" s="20">
        <f t="shared" si="32"/>
        <v>2</v>
      </c>
      <c r="AL334" s="21">
        <f t="shared" si="29"/>
        <v>3.2786885245901641E-2</v>
      </c>
    </row>
    <row r="335" spans="1:38" x14ac:dyDescent="0.25">
      <c r="A335" s="1" t="s">
        <v>761</v>
      </c>
      <c r="B335" s="1" t="s">
        <v>762</v>
      </c>
      <c r="C335" s="1" t="s">
        <v>763</v>
      </c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11">
        <v>23</v>
      </c>
      <c r="O335" s="11">
        <v>25</v>
      </c>
      <c r="P335" s="11">
        <v>11</v>
      </c>
      <c r="Q335" s="6">
        <v>0</v>
      </c>
      <c r="R335" s="6">
        <v>0</v>
      </c>
      <c r="S335" s="6">
        <v>0</v>
      </c>
      <c r="T335" s="6">
        <v>0</v>
      </c>
      <c r="U335" s="6">
        <v>0</v>
      </c>
      <c r="V335" s="6">
        <v>0</v>
      </c>
      <c r="W335" s="6">
        <v>0</v>
      </c>
      <c r="X335" s="6">
        <v>0</v>
      </c>
      <c r="Y335" s="6">
        <v>0</v>
      </c>
      <c r="Z335" s="9">
        <v>0</v>
      </c>
      <c r="AA335" s="5">
        <v>0.7419</v>
      </c>
      <c r="AB335" s="5">
        <v>0.83330000000000004</v>
      </c>
      <c r="AC335" s="8">
        <v>0.1971</v>
      </c>
      <c r="AD335" s="5">
        <v>0.78759999999999997</v>
      </c>
      <c r="AE335" s="5">
        <v>0.78688524590163933</v>
      </c>
      <c r="AF335" s="1" t="s">
        <v>34</v>
      </c>
      <c r="AG335" s="19" cm="1">
        <f t="array" ref="AG335">DIASQUIEBRE(Q335:AB335)</f>
        <v>29</v>
      </c>
      <c r="AH335" s="19" cm="1">
        <f t="array" ref="AH335">DiasMesesGris(Q335:AB335)</f>
        <v>270</v>
      </c>
      <c r="AI335" s="19">
        <f t="shared" si="30"/>
        <v>299</v>
      </c>
      <c r="AJ335" s="19">
        <f t="shared" si="31"/>
        <v>61</v>
      </c>
      <c r="AK335" s="20">
        <f t="shared" si="32"/>
        <v>48</v>
      </c>
      <c r="AL335" s="21">
        <f t="shared" si="29"/>
        <v>0.78688524590163933</v>
      </c>
    </row>
    <row r="336" spans="1:38" x14ac:dyDescent="0.25">
      <c r="A336" s="1" t="s">
        <v>764</v>
      </c>
      <c r="B336" s="1" t="s">
        <v>765</v>
      </c>
      <c r="C336" s="1" t="s">
        <v>766</v>
      </c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11">
        <v>15</v>
      </c>
      <c r="O336" s="11">
        <v>21</v>
      </c>
      <c r="P336" s="11">
        <v>10</v>
      </c>
      <c r="Q336" s="6">
        <v>0</v>
      </c>
      <c r="R336" s="6">
        <v>0</v>
      </c>
      <c r="S336" s="6">
        <v>0</v>
      </c>
      <c r="T336" s="6">
        <v>0</v>
      </c>
      <c r="U336" s="6">
        <v>0</v>
      </c>
      <c r="V336" s="6">
        <v>0</v>
      </c>
      <c r="W336" s="6">
        <v>0</v>
      </c>
      <c r="X336" s="6">
        <v>0</v>
      </c>
      <c r="Y336" s="6">
        <v>0</v>
      </c>
      <c r="Z336" s="9">
        <v>0</v>
      </c>
      <c r="AA336" s="5">
        <v>0.4839</v>
      </c>
      <c r="AB336" s="5">
        <v>0.7</v>
      </c>
      <c r="AC336" s="8">
        <v>0.1792</v>
      </c>
      <c r="AD336" s="5">
        <v>0.59199999999999997</v>
      </c>
      <c r="AE336" s="5">
        <v>0.5901639344262295</v>
      </c>
      <c r="AF336" s="1" t="s">
        <v>34</v>
      </c>
      <c r="AG336" s="19" cm="1">
        <f t="array" ref="AG336">DIASQUIEBRE(Q336:AB336)</f>
        <v>29</v>
      </c>
      <c r="AH336" s="19" cm="1">
        <f t="array" ref="AH336">DiasMesesGris(Q336:AB336)</f>
        <v>270</v>
      </c>
      <c r="AI336" s="19">
        <f t="shared" si="30"/>
        <v>299</v>
      </c>
      <c r="AJ336" s="19">
        <f t="shared" si="31"/>
        <v>61</v>
      </c>
      <c r="AK336" s="20">
        <f t="shared" si="32"/>
        <v>36</v>
      </c>
      <c r="AL336" s="21">
        <f t="shared" si="29"/>
        <v>0.5901639344262295</v>
      </c>
    </row>
    <row r="337" spans="1:38" x14ac:dyDescent="0.25">
      <c r="A337" s="1" t="s">
        <v>767</v>
      </c>
      <c r="B337" s="1" t="s">
        <v>768</v>
      </c>
      <c r="C337" s="1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11">
        <v>2</v>
      </c>
      <c r="O337" s="4"/>
      <c r="P337" s="11">
        <v>1</v>
      </c>
      <c r="Q337" s="6">
        <v>0</v>
      </c>
      <c r="R337" s="6">
        <v>0</v>
      </c>
      <c r="S337" s="6">
        <v>0</v>
      </c>
      <c r="T337" s="6">
        <v>0</v>
      </c>
      <c r="U337" s="6">
        <v>0</v>
      </c>
      <c r="V337" s="6">
        <v>0</v>
      </c>
      <c r="W337" s="6">
        <v>0</v>
      </c>
      <c r="X337" s="6">
        <v>0</v>
      </c>
      <c r="Y337" s="6">
        <v>0</v>
      </c>
      <c r="Z337" s="9">
        <v>0</v>
      </c>
      <c r="AA337" s="5">
        <v>6.4500000000000002E-2</v>
      </c>
      <c r="AB337" s="5">
        <v>0</v>
      </c>
      <c r="AC337" s="8">
        <v>1.7899999999999999E-2</v>
      </c>
      <c r="AD337" s="5">
        <v>3.2300000000000002E-2</v>
      </c>
      <c r="AE337" s="5">
        <v>3.2786885245901641E-2</v>
      </c>
      <c r="AF337" s="1" t="s">
        <v>34</v>
      </c>
      <c r="AG337" s="19" cm="1">
        <f t="array" ref="AG337">DIASQUIEBRE(Q337:AB337)</f>
        <v>29</v>
      </c>
      <c r="AH337" s="19" cm="1">
        <f t="array" ref="AH337">DiasMesesGris(Q337:AB337)</f>
        <v>270</v>
      </c>
      <c r="AI337" s="19">
        <f t="shared" si="30"/>
        <v>299</v>
      </c>
      <c r="AJ337" s="19">
        <f t="shared" si="31"/>
        <v>61</v>
      </c>
      <c r="AK337" s="20">
        <f t="shared" si="32"/>
        <v>2</v>
      </c>
      <c r="AL337" s="21">
        <f t="shared" si="29"/>
        <v>3.2786885245901641E-2</v>
      </c>
    </row>
    <row r="338" spans="1:38" x14ac:dyDescent="0.25">
      <c r="A338" s="1" t="s">
        <v>769</v>
      </c>
      <c r="B338" s="1" t="s">
        <v>770</v>
      </c>
      <c r="C338" s="1"/>
      <c r="D338" s="4"/>
      <c r="E338" s="4"/>
      <c r="F338" s="4"/>
      <c r="G338" s="4"/>
      <c r="H338" s="4"/>
      <c r="I338" s="4"/>
      <c r="J338" s="4"/>
      <c r="K338" s="4"/>
      <c r="L338" s="4"/>
      <c r="M338" s="11">
        <v>20</v>
      </c>
      <c r="N338" s="4"/>
      <c r="O338" s="4"/>
      <c r="P338" s="4"/>
      <c r="Q338" s="6">
        <v>0</v>
      </c>
      <c r="R338" s="6">
        <v>0</v>
      </c>
      <c r="S338" s="6">
        <v>0</v>
      </c>
      <c r="T338" s="6">
        <v>0</v>
      </c>
      <c r="U338" s="6">
        <v>0</v>
      </c>
      <c r="V338" s="6">
        <v>0</v>
      </c>
      <c r="W338" s="6">
        <v>0</v>
      </c>
      <c r="X338" s="6">
        <v>0</v>
      </c>
      <c r="Y338" s="6">
        <v>0</v>
      </c>
      <c r="Z338" s="6">
        <v>0</v>
      </c>
      <c r="AA338" s="6">
        <v>0</v>
      </c>
      <c r="AB338" s="6">
        <v>0</v>
      </c>
      <c r="AC338" s="7">
        <v>0</v>
      </c>
      <c r="AE338" s="5">
        <v>0</v>
      </c>
      <c r="AF338" s="1" t="s">
        <v>34</v>
      </c>
      <c r="AG338" s="19" cm="1">
        <f t="array" ref="AG338">DIASQUIEBRE(Q338:AB338)</f>
        <v>0</v>
      </c>
      <c r="AH338" s="19" cm="1">
        <f t="array" ref="AH338">DiasMesesGris(Q338:AB338)</f>
        <v>360</v>
      </c>
      <c r="AI338" s="19">
        <f t="shared" si="30"/>
        <v>360</v>
      </c>
      <c r="AJ338" s="19">
        <f t="shared" si="31"/>
        <v>0</v>
      </c>
      <c r="AK338" s="20">
        <f t="shared" si="32"/>
        <v>20</v>
      </c>
      <c r="AL338" s="21">
        <f t="shared" si="29"/>
        <v>0</v>
      </c>
    </row>
    <row r="339" spans="1:38" x14ac:dyDescent="0.25">
      <c r="A339" s="1" t="s">
        <v>771</v>
      </c>
      <c r="B339" s="1" t="s">
        <v>772</v>
      </c>
      <c r="C339" s="1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11">
        <v>8</v>
      </c>
      <c r="O339" s="4"/>
      <c r="P339" s="11">
        <v>12</v>
      </c>
      <c r="Q339" s="6">
        <v>0</v>
      </c>
      <c r="R339" s="6">
        <v>0</v>
      </c>
      <c r="S339" s="6">
        <v>0</v>
      </c>
      <c r="T339" s="6">
        <v>0</v>
      </c>
      <c r="U339" s="6">
        <v>0</v>
      </c>
      <c r="V339" s="6">
        <v>0</v>
      </c>
      <c r="W339" s="6">
        <v>0</v>
      </c>
      <c r="X339" s="6">
        <v>0</v>
      </c>
      <c r="Y339" s="6">
        <v>0</v>
      </c>
      <c r="Z339" s="9">
        <v>0</v>
      </c>
      <c r="AA339" s="5">
        <v>0.2581</v>
      </c>
      <c r="AB339" s="5">
        <v>0</v>
      </c>
      <c r="AC339" s="7">
        <v>3.3332999999999999</v>
      </c>
      <c r="AD339" s="5">
        <v>0.12909999999999999</v>
      </c>
      <c r="AE339" s="5">
        <v>0.13114754098360656</v>
      </c>
      <c r="AF339" s="1" t="s">
        <v>34</v>
      </c>
      <c r="AG339" s="19" cm="1">
        <f t="array" ref="AG339">DIASQUIEBRE(Q339:AB339)</f>
        <v>29</v>
      </c>
      <c r="AH339" s="19" cm="1">
        <f t="array" ref="AH339">DiasMesesGris(Q339:AB339)</f>
        <v>270</v>
      </c>
      <c r="AI339" s="19">
        <f t="shared" si="30"/>
        <v>299</v>
      </c>
      <c r="AJ339" s="19">
        <f t="shared" si="31"/>
        <v>61</v>
      </c>
      <c r="AK339" s="20">
        <f t="shared" si="32"/>
        <v>8</v>
      </c>
      <c r="AL339" s="21">
        <f t="shared" si="29"/>
        <v>0.13114754098360656</v>
      </c>
    </row>
    <row r="340" spans="1:38" x14ac:dyDescent="0.25">
      <c r="A340" s="1" t="s">
        <v>773</v>
      </c>
      <c r="B340" s="1" t="s">
        <v>774</v>
      </c>
      <c r="C340" s="1"/>
      <c r="D340" s="4"/>
      <c r="E340" s="4"/>
      <c r="F340" s="4"/>
      <c r="G340" s="4"/>
      <c r="H340" s="4"/>
      <c r="I340" s="4"/>
      <c r="J340" s="4"/>
      <c r="K340" s="4"/>
      <c r="L340" s="4"/>
      <c r="M340" s="11">
        <v>10</v>
      </c>
      <c r="N340" s="4"/>
      <c r="O340" s="4"/>
      <c r="P340" s="4"/>
      <c r="Q340" s="6">
        <v>0</v>
      </c>
      <c r="R340" s="6">
        <v>0</v>
      </c>
      <c r="S340" s="6">
        <v>0</v>
      </c>
      <c r="T340" s="6">
        <v>0</v>
      </c>
      <c r="U340" s="6">
        <v>0</v>
      </c>
      <c r="V340" s="6">
        <v>0</v>
      </c>
      <c r="W340" s="6">
        <v>0</v>
      </c>
      <c r="X340" s="6">
        <v>0</v>
      </c>
      <c r="Y340" s="6">
        <v>0</v>
      </c>
      <c r="Z340" s="6">
        <v>0</v>
      </c>
      <c r="AA340" s="6">
        <v>0</v>
      </c>
      <c r="AB340" s="6">
        <v>0</v>
      </c>
      <c r="AC340" s="12">
        <v>0</v>
      </c>
      <c r="AE340" s="5">
        <f t="shared" si="28"/>
        <v>0</v>
      </c>
      <c r="AF340" s="1" t="s">
        <v>34</v>
      </c>
      <c r="AG340" s="19" cm="1">
        <f t="array" ref="AG340">DIASQUIEBRE(Q340:AB340)</f>
        <v>0</v>
      </c>
      <c r="AH340" s="19" cm="1">
        <f t="array" ref="AH340">DiasMesesGris(Q340:AB340)</f>
        <v>360</v>
      </c>
      <c r="AI340" s="19">
        <f t="shared" si="30"/>
        <v>360</v>
      </c>
      <c r="AJ340" s="19">
        <f t="shared" si="31"/>
        <v>0</v>
      </c>
      <c r="AK340" s="20">
        <f t="shared" si="32"/>
        <v>10</v>
      </c>
      <c r="AL340" s="21">
        <f t="shared" si="29"/>
        <v>0</v>
      </c>
    </row>
    <row r="341" spans="1:38" x14ac:dyDescent="0.25">
      <c r="A341" s="1" t="s">
        <v>775</v>
      </c>
      <c r="B341" s="1" t="s">
        <v>776</v>
      </c>
      <c r="C341" s="1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6">
        <v>0</v>
      </c>
      <c r="R341" s="6">
        <v>0</v>
      </c>
      <c r="S341" s="6">
        <v>0</v>
      </c>
      <c r="T341" s="6">
        <v>0</v>
      </c>
      <c r="U341" s="6">
        <v>0</v>
      </c>
      <c r="V341" s="6">
        <v>0</v>
      </c>
      <c r="W341" s="6">
        <v>0</v>
      </c>
      <c r="X341" s="6">
        <v>0</v>
      </c>
      <c r="Y341" s="6">
        <v>0</v>
      </c>
      <c r="Z341" s="6">
        <v>0</v>
      </c>
      <c r="AA341" s="6">
        <v>0</v>
      </c>
      <c r="AB341" s="6">
        <v>0</v>
      </c>
      <c r="AC341" s="12">
        <v>0</v>
      </c>
      <c r="AE341" s="5">
        <f t="shared" si="28"/>
        <v>0</v>
      </c>
      <c r="AF341" s="1" t="s">
        <v>34</v>
      </c>
      <c r="AG341" s="19" cm="1">
        <f t="array" ref="AG341">DIASQUIEBRE(Q341:AB341)</f>
        <v>0</v>
      </c>
      <c r="AH341" s="19" cm="1">
        <f t="array" ref="AH341">DiasMesesGris(Q341:AB341)</f>
        <v>360</v>
      </c>
      <c r="AI341" s="19">
        <f t="shared" si="30"/>
        <v>360</v>
      </c>
      <c r="AJ341" s="19">
        <f t="shared" si="31"/>
        <v>0</v>
      </c>
      <c r="AK341" s="20">
        <f t="shared" si="32"/>
        <v>0</v>
      </c>
      <c r="AL341" s="21">
        <f t="shared" si="29"/>
        <v>0</v>
      </c>
    </row>
    <row r="342" spans="1:38" x14ac:dyDescent="0.25">
      <c r="A342" s="1" t="s">
        <v>777</v>
      </c>
      <c r="B342" s="1" t="s">
        <v>778</v>
      </c>
      <c r="C342" s="1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6">
        <v>0</v>
      </c>
      <c r="R342" s="6">
        <v>0</v>
      </c>
      <c r="S342" s="6">
        <v>0</v>
      </c>
      <c r="T342" s="6">
        <v>0</v>
      </c>
      <c r="U342" s="6">
        <v>0</v>
      </c>
      <c r="V342" s="6">
        <v>0</v>
      </c>
      <c r="W342" s="6">
        <v>0</v>
      </c>
      <c r="X342" s="6">
        <v>0</v>
      </c>
      <c r="Y342" s="6">
        <v>0</v>
      </c>
      <c r="Z342" s="6">
        <v>0</v>
      </c>
      <c r="AA342" s="6">
        <v>0</v>
      </c>
      <c r="AB342" s="6">
        <v>0</v>
      </c>
      <c r="AC342" s="12">
        <v>0</v>
      </c>
      <c r="AE342" s="5">
        <f t="shared" si="28"/>
        <v>0</v>
      </c>
      <c r="AF342" s="1" t="s">
        <v>34</v>
      </c>
      <c r="AG342" s="19" cm="1">
        <f t="array" ref="AG342">DIASQUIEBRE(Q342:AB342)</f>
        <v>0</v>
      </c>
      <c r="AH342" s="19" cm="1">
        <f t="array" ref="AH342">DiasMesesGris(Q342:AB342)</f>
        <v>360</v>
      </c>
      <c r="AI342" s="19">
        <f t="shared" si="30"/>
        <v>360</v>
      </c>
      <c r="AJ342" s="19">
        <f t="shared" si="31"/>
        <v>0</v>
      </c>
      <c r="AK342" s="20">
        <f t="shared" si="32"/>
        <v>0</v>
      </c>
      <c r="AL342" s="21">
        <f t="shared" si="29"/>
        <v>0</v>
      </c>
    </row>
    <row r="343" spans="1:38" x14ac:dyDescent="0.25">
      <c r="A343" s="1" t="s">
        <v>779</v>
      </c>
      <c r="B343" s="1" t="s">
        <v>780</v>
      </c>
      <c r="C343" s="1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6">
        <v>0</v>
      </c>
      <c r="R343" s="6">
        <v>0</v>
      </c>
      <c r="S343" s="6">
        <v>0</v>
      </c>
      <c r="T343" s="6">
        <v>0</v>
      </c>
      <c r="U343" s="6">
        <v>0</v>
      </c>
      <c r="V343" s="6">
        <v>0</v>
      </c>
      <c r="W343" s="6">
        <v>0</v>
      </c>
      <c r="X343" s="6">
        <v>0</v>
      </c>
      <c r="Y343" s="6">
        <v>0</v>
      </c>
      <c r="Z343" s="6">
        <v>0</v>
      </c>
      <c r="AA343" s="6">
        <v>0</v>
      </c>
      <c r="AB343" s="6">
        <v>0</v>
      </c>
      <c r="AC343" s="12">
        <v>0</v>
      </c>
      <c r="AE343" s="5">
        <f t="shared" si="28"/>
        <v>0</v>
      </c>
      <c r="AF343" s="1" t="s">
        <v>34</v>
      </c>
      <c r="AG343" s="19" cm="1">
        <f t="array" ref="AG343">DIASQUIEBRE(Q343:AB343)</f>
        <v>0</v>
      </c>
      <c r="AH343" s="19" cm="1">
        <f t="array" ref="AH343">DiasMesesGris(Q343:AB343)</f>
        <v>360</v>
      </c>
      <c r="AI343" s="19">
        <f t="shared" si="30"/>
        <v>360</v>
      </c>
      <c r="AJ343" s="19">
        <f t="shared" si="31"/>
        <v>0</v>
      </c>
      <c r="AK343" s="20">
        <f t="shared" si="32"/>
        <v>0</v>
      </c>
      <c r="AL343" s="21">
        <f t="shared" si="29"/>
        <v>0</v>
      </c>
    </row>
    <row r="344" spans="1:38" x14ac:dyDescent="0.25">
      <c r="A344" s="1" t="s">
        <v>781</v>
      </c>
      <c r="B344" s="1" t="s">
        <v>782</v>
      </c>
      <c r="C344" s="1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6">
        <v>0</v>
      </c>
      <c r="R344" s="6">
        <v>0</v>
      </c>
      <c r="S344" s="6">
        <v>0</v>
      </c>
      <c r="T344" s="6">
        <v>0</v>
      </c>
      <c r="U344" s="6">
        <v>0</v>
      </c>
      <c r="V344" s="6">
        <v>0</v>
      </c>
      <c r="W344" s="6">
        <v>0</v>
      </c>
      <c r="X344" s="6">
        <v>0</v>
      </c>
      <c r="Y344" s="6">
        <v>0</v>
      </c>
      <c r="Z344" s="6">
        <v>0</v>
      </c>
      <c r="AA344" s="6">
        <v>0</v>
      </c>
      <c r="AB344" s="6">
        <v>0</v>
      </c>
      <c r="AC344" s="12">
        <v>0</v>
      </c>
      <c r="AE344" s="5">
        <f t="shared" si="28"/>
        <v>0</v>
      </c>
      <c r="AF344" s="1" t="s">
        <v>34</v>
      </c>
      <c r="AG344" s="19" cm="1">
        <f t="array" ref="AG344">DIASQUIEBRE(Q344:AB344)</f>
        <v>0</v>
      </c>
      <c r="AH344" s="19" cm="1">
        <f t="array" ref="AH344">DiasMesesGris(Q344:AB344)</f>
        <v>360</v>
      </c>
      <c r="AI344" s="19">
        <f t="shared" si="30"/>
        <v>360</v>
      </c>
      <c r="AJ344" s="19">
        <f t="shared" si="31"/>
        <v>0</v>
      </c>
      <c r="AK344" s="20">
        <f t="shared" si="32"/>
        <v>0</v>
      </c>
      <c r="AL344" s="21">
        <f t="shared" si="29"/>
        <v>0</v>
      </c>
    </row>
    <row r="345" spans="1:38" x14ac:dyDescent="0.25">
      <c r="A345" s="1" t="s">
        <v>783</v>
      </c>
      <c r="B345" s="1" t="s">
        <v>784</v>
      </c>
      <c r="C345" s="1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6">
        <v>0</v>
      </c>
      <c r="R345" s="6">
        <v>0</v>
      </c>
      <c r="S345" s="6">
        <v>0</v>
      </c>
      <c r="T345" s="6">
        <v>0</v>
      </c>
      <c r="U345" s="6">
        <v>0</v>
      </c>
      <c r="V345" s="6">
        <v>0</v>
      </c>
      <c r="W345" s="6">
        <v>0</v>
      </c>
      <c r="X345" s="6">
        <v>0</v>
      </c>
      <c r="Y345" s="6">
        <v>0</v>
      </c>
      <c r="Z345" s="6">
        <v>0</v>
      </c>
      <c r="AA345" s="6">
        <v>0</v>
      </c>
      <c r="AB345" s="6">
        <v>0</v>
      </c>
      <c r="AC345" s="12">
        <v>0</v>
      </c>
      <c r="AE345" s="5">
        <f t="shared" si="28"/>
        <v>0</v>
      </c>
      <c r="AF345" s="1" t="s">
        <v>34</v>
      </c>
      <c r="AG345" s="19" cm="1">
        <f t="array" ref="AG345">DIASQUIEBRE(Q345:AB345)</f>
        <v>0</v>
      </c>
      <c r="AH345" s="19" cm="1">
        <f t="array" ref="AH345">DiasMesesGris(Q345:AB345)</f>
        <v>360</v>
      </c>
      <c r="AI345" s="19">
        <f t="shared" si="30"/>
        <v>360</v>
      </c>
      <c r="AJ345" s="19">
        <f t="shared" si="31"/>
        <v>0</v>
      </c>
      <c r="AK345" s="20">
        <f t="shared" si="32"/>
        <v>0</v>
      </c>
      <c r="AL345" s="21">
        <f t="shared" si="29"/>
        <v>0</v>
      </c>
    </row>
    <row r="346" spans="1:38" x14ac:dyDescent="0.25">
      <c r="A346" s="1" t="s">
        <v>785</v>
      </c>
      <c r="B346" s="1" t="s">
        <v>786</v>
      </c>
      <c r="C346" s="1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6">
        <v>0</v>
      </c>
      <c r="R346" s="6">
        <v>0</v>
      </c>
      <c r="S346" s="6">
        <v>0</v>
      </c>
      <c r="T346" s="6">
        <v>0</v>
      </c>
      <c r="U346" s="6">
        <v>0</v>
      </c>
      <c r="V346" s="6">
        <v>0</v>
      </c>
      <c r="W346" s="6">
        <v>0</v>
      </c>
      <c r="X346" s="6">
        <v>0</v>
      </c>
      <c r="Y346" s="6">
        <v>0</v>
      </c>
      <c r="Z346" s="6">
        <v>0</v>
      </c>
      <c r="AA346" s="6">
        <v>0</v>
      </c>
      <c r="AB346" s="6">
        <v>0</v>
      </c>
      <c r="AC346" s="12">
        <v>0</v>
      </c>
      <c r="AE346" s="5">
        <f t="shared" si="28"/>
        <v>0</v>
      </c>
      <c r="AF346" s="1" t="s">
        <v>34</v>
      </c>
      <c r="AG346" s="19" cm="1">
        <f t="array" ref="AG346">DIASQUIEBRE(Q346:AB346)</f>
        <v>0</v>
      </c>
      <c r="AH346" s="19" cm="1">
        <f t="array" ref="AH346">DiasMesesGris(Q346:AB346)</f>
        <v>360</v>
      </c>
      <c r="AI346" s="19">
        <f t="shared" si="30"/>
        <v>360</v>
      </c>
      <c r="AJ346" s="19">
        <f t="shared" si="31"/>
        <v>0</v>
      </c>
      <c r="AK346" s="20">
        <f t="shared" si="32"/>
        <v>0</v>
      </c>
      <c r="AL346" s="21">
        <f t="shared" si="29"/>
        <v>0</v>
      </c>
    </row>
    <row r="347" spans="1:38" x14ac:dyDescent="0.25">
      <c r="A347" s="1" t="s">
        <v>787</v>
      </c>
      <c r="B347" s="1" t="s">
        <v>788</v>
      </c>
      <c r="C347" s="1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6">
        <v>0</v>
      </c>
      <c r="R347" s="6">
        <v>0</v>
      </c>
      <c r="S347" s="6">
        <v>0</v>
      </c>
      <c r="T347" s="6">
        <v>0</v>
      </c>
      <c r="U347" s="6">
        <v>0</v>
      </c>
      <c r="V347" s="6">
        <v>0</v>
      </c>
      <c r="W347" s="6">
        <v>0</v>
      </c>
      <c r="X347" s="6">
        <v>0</v>
      </c>
      <c r="Y347" s="6">
        <v>0</v>
      </c>
      <c r="Z347" s="6">
        <v>0</v>
      </c>
      <c r="AA347" s="6">
        <v>0</v>
      </c>
      <c r="AB347" s="6">
        <v>0</v>
      </c>
      <c r="AC347" s="12">
        <v>0</v>
      </c>
      <c r="AE347" s="5">
        <f t="shared" si="28"/>
        <v>0</v>
      </c>
      <c r="AF347" s="1" t="s">
        <v>34</v>
      </c>
      <c r="AG347" s="19" cm="1">
        <f t="array" ref="AG347">DIASQUIEBRE(Q347:AB347)</f>
        <v>0</v>
      </c>
      <c r="AH347" s="19" cm="1">
        <f t="array" ref="AH347">DiasMesesGris(Q347:AB347)</f>
        <v>360</v>
      </c>
      <c r="AI347" s="19">
        <f t="shared" si="30"/>
        <v>360</v>
      </c>
      <c r="AJ347" s="19">
        <f t="shared" si="31"/>
        <v>0</v>
      </c>
      <c r="AK347" s="20">
        <f t="shared" si="32"/>
        <v>0</v>
      </c>
      <c r="AL347" s="21">
        <f t="shared" si="29"/>
        <v>0</v>
      </c>
    </row>
    <row r="348" spans="1:38" x14ac:dyDescent="0.25">
      <c r="A348" s="1" t="s">
        <v>789</v>
      </c>
      <c r="B348" s="1" t="s">
        <v>790</v>
      </c>
      <c r="C348" s="1" t="s">
        <v>791</v>
      </c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6">
        <v>0</v>
      </c>
      <c r="R348" s="6">
        <v>0</v>
      </c>
      <c r="S348" s="6">
        <v>0</v>
      </c>
      <c r="T348" s="6">
        <v>0</v>
      </c>
      <c r="U348" s="6">
        <v>0</v>
      </c>
      <c r="V348" s="6">
        <v>0</v>
      </c>
      <c r="W348" s="6">
        <v>0</v>
      </c>
      <c r="X348" s="6">
        <v>0</v>
      </c>
      <c r="Y348" s="6">
        <v>0</v>
      </c>
      <c r="Z348" s="6">
        <v>0</v>
      </c>
      <c r="AA348" s="6">
        <v>0</v>
      </c>
      <c r="AB348" s="6">
        <v>0</v>
      </c>
      <c r="AC348" s="12">
        <v>0</v>
      </c>
      <c r="AE348" s="5">
        <f t="shared" si="28"/>
        <v>0</v>
      </c>
      <c r="AF348" s="1" t="s">
        <v>34</v>
      </c>
      <c r="AG348" s="19" cm="1">
        <f t="array" ref="AG348">DIASQUIEBRE(Q348:AB348)</f>
        <v>0</v>
      </c>
      <c r="AH348" s="19" cm="1">
        <f t="array" ref="AH348">DiasMesesGris(Q348:AB348)</f>
        <v>360</v>
      </c>
      <c r="AI348" s="19">
        <f t="shared" si="30"/>
        <v>360</v>
      </c>
      <c r="AJ348" s="19">
        <f t="shared" si="31"/>
        <v>0</v>
      </c>
      <c r="AK348" s="20">
        <f t="shared" si="32"/>
        <v>0</v>
      </c>
      <c r="AL348" s="21">
        <f t="shared" si="29"/>
        <v>0</v>
      </c>
    </row>
    <row r="349" spans="1:38" x14ac:dyDescent="0.25">
      <c r="A349" s="1" t="s">
        <v>792</v>
      </c>
      <c r="B349" s="1" t="s">
        <v>793</v>
      </c>
      <c r="C349" s="1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6">
        <v>0</v>
      </c>
      <c r="R349" s="6">
        <v>0</v>
      </c>
      <c r="S349" s="6">
        <v>0</v>
      </c>
      <c r="T349" s="6">
        <v>0</v>
      </c>
      <c r="U349" s="6">
        <v>0</v>
      </c>
      <c r="V349" s="6">
        <v>0</v>
      </c>
      <c r="W349" s="6">
        <v>0</v>
      </c>
      <c r="X349" s="6">
        <v>0</v>
      </c>
      <c r="Y349" s="6">
        <v>0</v>
      </c>
      <c r="Z349" s="6">
        <v>0</v>
      </c>
      <c r="AA349" s="6">
        <v>0</v>
      </c>
      <c r="AB349" s="6">
        <v>0</v>
      </c>
      <c r="AC349" s="12">
        <v>0</v>
      </c>
      <c r="AE349" s="5">
        <f t="shared" si="28"/>
        <v>0</v>
      </c>
      <c r="AF349" s="1" t="s">
        <v>34</v>
      </c>
      <c r="AG349" s="19" cm="1">
        <f t="array" ref="AG349">DIASQUIEBRE(Q349:AB349)</f>
        <v>0</v>
      </c>
      <c r="AH349" s="19" cm="1">
        <f t="array" ref="AH349">DiasMesesGris(Q349:AB349)</f>
        <v>360</v>
      </c>
      <c r="AI349" s="19">
        <f t="shared" si="30"/>
        <v>360</v>
      </c>
      <c r="AJ349" s="19">
        <f t="shared" si="31"/>
        <v>0</v>
      </c>
      <c r="AK349" s="20">
        <f t="shared" si="32"/>
        <v>0</v>
      </c>
      <c r="AL349" s="21">
        <f t="shared" si="29"/>
        <v>0</v>
      </c>
    </row>
    <row r="350" spans="1:38" x14ac:dyDescent="0.25">
      <c r="A350" s="1" t="s">
        <v>794</v>
      </c>
      <c r="B350" s="1" t="s">
        <v>795</v>
      </c>
      <c r="C350" s="1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6">
        <v>0</v>
      </c>
      <c r="R350" s="6">
        <v>0</v>
      </c>
      <c r="S350" s="6">
        <v>0</v>
      </c>
      <c r="T350" s="6">
        <v>0</v>
      </c>
      <c r="U350" s="6">
        <v>0</v>
      </c>
      <c r="V350" s="6">
        <v>0</v>
      </c>
      <c r="W350" s="6">
        <v>0</v>
      </c>
      <c r="X350" s="6">
        <v>0</v>
      </c>
      <c r="Y350" s="6">
        <v>0</v>
      </c>
      <c r="Z350" s="6">
        <v>0</v>
      </c>
      <c r="AA350" s="6">
        <v>0</v>
      </c>
      <c r="AB350" s="6">
        <v>0</v>
      </c>
      <c r="AC350" s="12">
        <v>0</v>
      </c>
      <c r="AE350" s="5">
        <f t="shared" si="28"/>
        <v>0</v>
      </c>
      <c r="AF350" s="1" t="s">
        <v>34</v>
      </c>
      <c r="AG350" s="19" cm="1">
        <f t="array" ref="AG350">DIASQUIEBRE(Q350:AB350)</f>
        <v>0</v>
      </c>
      <c r="AH350" s="19" cm="1">
        <f t="array" ref="AH350">DiasMesesGris(Q350:AB350)</f>
        <v>360</v>
      </c>
      <c r="AI350" s="19">
        <f t="shared" si="30"/>
        <v>360</v>
      </c>
      <c r="AJ350" s="19">
        <f t="shared" si="31"/>
        <v>0</v>
      </c>
      <c r="AK350" s="20">
        <f t="shared" si="32"/>
        <v>0</v>
      </c>
      <c r="AL350" s="21">
        <f t="shared" si="29"/>
        <v>0</v>
      </c>
    </row>
    <row r="351" spans="1:38" x14ac:dyDescent="0.25">
      <c r="A351" s="1" t="s">
        <v>796</v>
      </c>
      <c r="B351" s="1" t="s">
        <v>797</v>
      </c>
      <c r="C351" s="1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6">
        <v>0</v>
      </c>
      <c r="R351" s="6">
        <v>0</v>
      </c>
      <c r="S351" s="6">
        <v>0</v>
      </c>
      <c r="T351" s="6">
        <v>0</v>
      </c>
      <c r="U351" s="6">
        <v>0</v>
      </c>
      <c r="V351" s="6">
        <v>0</v>
      </c>
      <c r="W351" s="6">
        <v>0</v>
      </c>
      <c r="X351" s="6">
        <v>0</v>
      </c>
      <c r="Y351" s="6">
        <v>0</v>
      </c>
      <c r="Z351" s="6">
        <v>0</v>
      </c>
      <c r="AA351" s="6">
        <v>0</v>
      </c>
      <c r="AB351" s="6">
        <v>0</v>
      </c>
      <c r="AC351" s="12">
        <v>0</v>
      </c>
      <c r="AE351" s="5">
        <f t="shared" si="28"/>
        <v>0</v>
      </c>
      <c r="AF351" s="1" t="s">
        <v>34</v>
      </c>
      <c r="AG351" s="19" cm="1">
        <f t="array" ref="AG351">DIASQUIEBRE(Q351:AB351)</f>
        <v>0</v>
      </c>
      <c r="AH351" s="19" cm="1">
        <f t="array" ref="AH351">DiasMesesGris(Q351:AB351)</f>
        <v>360</v>
      </c>
      <c r="AI351" s="19">
        <f t="shared" si="30"/>
        <v>360</v>
      </c>
      <c r="AJ351" s="19">
        <f t="shared" si="31"/>
        <v>0</v>
      </c>
      <c r="AK351" s="20">
        <f t="shared" si="32"/>
        <v>0</v>
      </c>
      <c r="AL351" s="21">
        <f t="shared" si="29"/>
        <v>0</v>
      </c>
    </row>
    <row r="352" spans="1:38" x14ac:dyDescent="0.25">
      <c r="A352" s="1" t="s">
        <v>798</v>
      </c>
      <c r="B352" s="1" t="s">
        <v>799</v>
      </c>
      <c r="C352" s="1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6">
        <v>0</v>
      </c>
      <c r="R352" s="6">
        <v>0</v>
      </c>
      <c r="S352" s="6">
        <v>0</v>
      </c>
      <c r="T352" s="6">
        <v>0</v>
      </c>
      <c r="U352" s="6">
        <v>0</v>
      </c>
      <c r="V352" s="6">
        <v>0</v>
      </c>
      <c r="W352" s="6">
        <v>0</v>
      </c>
      <c r="X352" s="6">
        <v>0</v>
      </c>
      <c r="Y352" s="6">
        <v>0</v>
      </c>
      <c r="Z352" s="6">
        <v>0</v>
      </c>
      <c r="AA352" s="6">
        <v>0</v>
      </c>
      <c r="AB352" s="6">
        <v>0</v>
      </c>
      <c r="AC352" s="12">
        <v>0</v>
      </c>
      <c r="AE352" s="5">
        <f t="shared" si="28"/>
        <v>0</v>
      </c>
      <c r="AF352" s="1" t="s">
        <v>34</v>
      </c>
      <c r="AG352" s="19" cm="1">
        <f t="array" ref="AG352">DIASQUIEBRE(Q352:AB352)</f>
        <v>0</v>
      </c>
      <c r="AH352" s="19" cm="1">
        <f t="array" ref="AH352">DiasMesesGris(Q352:AB352)</f>
        <v>360</v>
      </c>
      <c r="AI352" s="19">
        <f t="shared" si="30"/>
        <v>360</v>
      </c>
      <c r="AJ352" s="19">
        <f t="shared" si="31"/>
        <v>0</v>
      </c>
      <c r="AK352" s="20">
        <f t="shared" si="32"/>
        <v>0</v>
      </c>
      <c r="AL352" s="21">
        <f t="shared" si="29"/>
        <v>0</v>
      </c>
    </row>
    <row r="353" spans="1:38" x14ac:dyDescent="0.25">
      <c r="A353" s="1" t="s">
        <v>800</v>
      </c>
      <c r="B353" s="1" t="s">
        <v>801</v>
      </c>
      <c r="C353" s="1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6">
        <v>0</v>
      </c>
      <c r="R353" s="6">
        <v>0</v>
      </c>
      <c r="S353" s="6">
        <v>0</v>
      </c>
      <c r="T353" s="6">
        <v>0</v>
      </c>
      <c r="U353" s="6">
        <v>0</v>
      </c>
      <c r="V353" s="6">
        <v>0</v>
      </c>
      <c r="W353" s="6">
        <v>0</v>
      </c>
      <c r="X353" s="6">
        <v>0</v>
      </c>
      <c r="Y353" s="6">
        <v>0</v>
      </c>
      <c r="Z353" s="6">
        <v>0</v>
      </c>
      <c r="AA353" s="6">
        <v>0</v>
      </c>
      <c r="AB353" s="6">
        <v>0</v>
      </c>
      <c r="AC353" s="12">
        <v>0</v>
      </c>
      <c r="AE353" s="5">
        <f t="shared" si="28"/>
        <v>0</v>
      </c>
      <c r="AF353" s="1" t="s">
        <v>34</v>
      </c>
      <c r="AG353" s="19" cm="1">
        <f t="array" ref="AG353">DIASQUIEBRE(Q353:AB353)</f>
        <v>0</v>
      </c>
      <c r="AH353" s="19" cm="1">
        <f t="array" ref="AH353">DiasMesesGris(Q353:AB353)</f>
        <v>360</v>
      </c>
      <c r="AI353" s="19">
        <f t="shared" si="30"/>
        <v>360</v>
      </c>
      <c r="AJ353" s="19">
        <f t="shared" si="31"/>
        <v>0</v>
      </c>
      <c r="AK353" s="20">
        <f t="shared" si="32"/>
        <v>0</v>
      </c>
      <c r="AL353" s="21">
        <f t="shared" si="29"/>
        <v>0</v>
      </c>
    </row>
    <row r="354" spans="1:38" x14ac:dyDescent="0.25">
      <c r="A354" s="1" t="s">
        <v>802</v>
      </c>
      <c r="B354" s="1" t="s">
        <v>803</v>
      </c>
      <c r="C354" s="1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6">
        <v>0</v>
      </c>
      <c r="R354" s="6">
        <v>0</v>
      </c>
      <c r="S354" s="6">
        <v>0</v>
      </c>
      <c r="T354" s="6">
        <v>0</v>
      </c>
      <c r="U354" s="6">
        <v>0</v>
      </c>
      <c r="V354" s="6">
        <v>0</v>
      </c>
      <c r="W354" s="6">
        <v>0</v>
      </c>
      <c r="X354" s="6">
        <v>0</v>
      </c>
      <c r="Y354" s="6">
        <v>0</v>
      </c>
      <c r="Z354" s="6">
        <v>0</v>
      </c>
      <c r="AA354" s="6">
        <v>0</v>
      </c>
      <c r="AB354" s="6">
        <v>0</v>
      </c>
      <c r="AC354" s="12">
        <v>0</v>
      </c>
      <c r="AE354" s="5">
        <f t="shared" si="28"/>
        <v>0</v>
      </c>
      <c r="AF354" s="1" t="s">
        <v>34</v>
      </c>
      <c r="AG354" s="19" cm="1">
        <f t="array" ref="AG354">DIASQUIEBRE(Q354:AB354)</f>
        <v>0</v>
      </c>
      <c r="AH354" s="19" cm="1">
        <f t="array" ref="AH354">DiasMesesGris(Q354:AB354)</f>
        <v>360</v>
      </c>
      <c r="AI354" s="19">
        <f t="shared" si="30"/>
        <v>360</v>
      </c>
      <c r="AJ354" s="19">
        <f t="shared" si="31"/>
        <v>0</v>
      </c>
      <c r="AK354" s="20">
        <f t="shared" si="32"/>
        <v>0</v>
      </c>
      <c r="AL354" s="21">
        <f t="shared" si="29"/>
        <v>0</v>
      </c>
    </row>
    <row r="355" spans="1:38" x14ac:dyDescent="0.25">
      <c r="A355" s="1" t="s">
        <v>804</v>
      </c>
      <c r="B355" s="1" t="s">
        <v>805</v>
      </c>
      <c r="C355" s="1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6">
        <v>0</v>
      </c>
      <c r="R355" s="6">
        <v>0</v>
      </c>
      <c r="S355" s="6">
        <v>0</v>
      </c>
      <c r="T355" s="6">
        <v>0</v>
      </c>
      <c r="U355" s="6">
        <v>0</v>
      </c>
      <c r="V355" s="6">
        <v>0</v>
      </c>
      <c r="W355" s="6">
        <v>0</v>
      </c>
      <c r="X355" s="6">
        <v>0</v>
      </c>
      <c r="Y355" s="6">
        <v>0</v>
      </c>
      <c r="Z355" s="6">
        <v>0</v>
      </c>
      <c r="AA355" s="6">
        <v>0</v>
      </c>
      <c r="AB355" s="6">
        <v>0</v>
      </c>
      <c r="AC355" s="12">
        <v>0</v>
      </c>
      <c r="AE355" s="5">
        <f t="shared" si="28"/>
        <v>0</v>
      </c>
      <c r="AF355" s="1" t="s">
        <v>34</v>
      </c>
      <c r="AG355" s="19" cm="1">
        <f t="array" ref="AG355">DIASQUIEBRE(Q355:AB355)</f>
        <v>0</v>
      </c>
      <c r="AH355" s="19" cm="1">
        <f t="array" ref="AH355">DiasMesesGris(Q355:AB355)</f>
        <v>360</v>
      </c>
      <c r="AI355" s="19">
        <f t="shared" si="30"/>
        <v>360</v>
      </c>
      <c r="AJ355" s="19">
        <f t="shared" si="31"/>
        <v>0</v>
      </c>
      <c r="AK355" s="20">
        <f t="shared" si="32"/>
        <v>0</v>
      </c>
      <c r="AL355" s="21">
        <f t="shared" si="29"/>
        <v>0</v>
      </c>
    </row>
    <row r="356" spans="1:38" x14ac:dyDescent="0.25">
      <c r="A356" s="1" t="s">
        <v>806</v>
      </c>
      <c r="B356" s="1" t="s">
        <v>807</v>
      </c>
      <c r="C356" s="1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6">
        <v>0</v>
      </c>
      <c r="R356" s="6">
        <v>0</v>
      </c>
      <c r="S356" s="6">
        <v>0</v>
      </c>
      <c r="T356" s="6">
        <v>0</v>
      </c>
      <c r="U356" s="6">
        <v>0</v>
      </c>
      <c r="V356" s="6">
        <v>0</v>
      </c>
      <c r="W356" s="6">
        <v>0</v>
      </c>
      <c r="X356" s="6">
        <v>0</v>
      </c>
      <c r="Y356" s="6">
        <v>0</v>
      </c>
      <c r="Z356" s="6">
        <v>0</v>
      </c>
      <c r="AA356" s="6">
        <v>0</v>
      </c>
      <c r="AB356" s="6">
        <v>0</v>
      </c>
      <c r="AC356" s="12">
        <v>0</v>
      </c>
      <c r="AE356" s="5">
        <f t="shared" si="28"/>
        <v>0</v>
      </c>
      <c r="AF356" s="1" t="s">
        <v>34</v>
      </c>
      <c r="AG356" s="19" cm="1">
        <f t="array" ref="AG356">DIASQUIEBRE(Q356:AB356)</f>
        <v>0</v>
      </c>
      <c r="AH356" s="19" cm="1">
        <f t="array" ref="AH356">DiasMesesGris(Q356:AB356)</f>
        <v>360</v>
      </c>
      <c r="AI356" s="19">
        <f t="shared" si="30"/>
        <v>360</v>
      </c>
      <c r="AJ356" s="19">
        <f t="shared" si="31"/>
        <v>0</v>
      </c>
      <c r="AK356" s="20">
        <f t="shared" si="32"/>
        <v>0</v>
      </c>
      <c r="AL356" s="21">
        <f t="shared" si="29"/>
        <v>0</v>
      </c>
    </row>
    <row r="357" spans="1:38" x14ac:dyDescent="0.25">
      <c r="A357" s="1" t="s">
        <v>808</v>
      </c>
      <c r="B357" s="1" t="s">
        <v>809</v>
      </c>
      <c r="C357" s="1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6">
        <v>0</v>
      </c>
      <c r="R357" s="6">
        <v>0</v>
      </c>
      <c r="S357" s="6">
        <v>0</v>
      </c>
      <c r="T357" s="6">
        <v>0</v>
      </c>
      <c r="U357" s="6">
        <v>0</v>
      </c>
      <c r="V357" s="6">
        <v>0</v>
      </c>
      <c r="W357" s="6">
        <v>0</v>
      </c>
      <c r="X357" s="6">
        <v>0</v>
      </c>
      <c r="Y357" s="6">
        <v>0</v>
      </c>
      <c r="Z357" s="6">
        <v>0</v>
      </c>
      <c r="AA357" s="6">
        <v>0</v>
      </c>
      <c r="AB357" s="6">
        <v>0</v>
      </c>
      <c r="AC357" s="12">
        <v>0</v>
      </c>
      <c r="AE357" s="5">
        <f t="shared" si="28"/>
        <v>0</v>
      </c>
      <c r="AF357" s="1" t="s">
        <v>34</v>
      </c>
      <c r="AG357" s="19" cm="1">
        <f t="array" ref="AG357">DIASQUIEBRE(Q357:AB357)</f>
        <v>0</v>
      </c>
      <c r="AH357" s="19" cm="1">
        <f t="array" ref="AH357">DiasMesesGris(Q357:AB357)</f>
        <v>360</v>
      </c>
      <c r="AI357" s="19">
        <f t="shared" si="30"/>
        <v>360</v>
      </c>
      <c r="AJ357" s="19">
        <f t="shared" si="31"/>
        <v>0</v>
      </c>
      <c r="AK357" s="20">
        <f t="shared" si="32"/>
        <v>0</v>
      </c>
      <c r="AL357" s="21">
        <f t="shared" si="29"/>
        <v>0</v>
      </c>
    </row>
    <row r="358" spans="1:38" x14ac:dyDescent="0.25">
      <c r="A358" s="1" t="s">
        <v>810</v>
      </c>
      <c r="B358" s="1" t="s">
        <v>811</v>
      </c>
      <c r="C358" s="1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6">
        <v>0</v>
      </c>
      <c r="R358" s="6">
        <v>0</v>
      </c>
      <c r="S358" s="6">
        <v>0</v>
      </c>
      <c r="T358" s="6">
        <v>0</v>
      </c>
      <c r="U358" s="6">
        <v>0</v>
      </c>
      <c r="V358" s="6">
        <v>0</v>
      </c>
      <c r="W358" s="6">
        <v>0</v>
      </c>
      <c r="X358" s="6">
        <v>0</v>
      </c>
      <c r="Y358" s="6">
        <v>0</v>
      </c>
      <c r="Z358" s="6">
        <v>0</v>
      </c>
      <c r="AA358" s="6">
        <v>0</v>
      </c>
      <c r="AB358" s="6">
        <v>0</v>
      </c>
      <c r="AC358" s="12">
        <v>0</v>
      </c>
      <c r="AE358" s="5">
        <f t="shared" si="28"/>
        <v>0</v>
      </c>
      <c r="AF358" s="1" t="s">
        <v>34</v>
      </c>
      <c r="AG358" s="19" cm="1">
        <f t="array" ref="AG358">DIASQUIEBRE(Q358:AB358)</f>
        <v>0</v>
      </c>
      <c r="AH358" s="19" cm="1">
        <f t="array" ref="AH358">DiasMesesGris(Q358:AB358)</f>
        <v>360</v>
      </c>
      <c r="AI358" s="19">
        <f t="shared" si="30"/>
        <v>360</v>
      </c>
      <c r="AJ358" s="19">
        <f t="shared" si="31"/>
        <v>0</v>
      </c>
      <c r="AK358" s="20">
        <f t="shared" si="32"/>
        <v>0</v>
      </c>
      <c r="AL358" s="21">
        <f t="shared" si="29"/>
        <v>0</v>
      </c>
    </row>
    <row r="359" spans="1:38" x14ac:dyDescent="0.25">
      <c r="A359" s="1" t="s">
        <v>812</v>
      </c>
      <c r="B359" s="1" t="s">
        <v>813</v>
      </c>
      <c r="C359" s="1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6">
        <v>0</v>
      </c>
      <c r="R359" s="6">
        <v>0</v>
      </c>
      <c r="S359" s="6">
        <v>0</v>
      </c>
      <c r="T359" s="6">
        <v>0</v>
      </c>
      <c r="U359" s="6">
        <v>0</v>
      </c>
      <c r="V359" s="6">
        <v>0</v>
      </c>
      <c r="W359" s="6">
        <v>0</v>
      </c>
      <c r="X359" s="6">
        <v>0</v>
      </c>
      <c r="Y359" s="6">
        <v>0</v>
      </c>
      <c r="Z359" s="6">
        <v>0</v>
      </c>
      <c r="AA359" s="6">
        <v>0</v>
      </c>
      <c r="AB359" s="6">
        <v>0</v>
      </c>
      <c r="AC359" s="12">
        <v>0</v>
      </c>
      <c r="AE359" s="5">
        <f t="shared" si="28"/>
        <v>0</v>
      </c>
      <c r="AF359" s="1" t="s">
        <v>34</v>
      </c>
      <c r="AG359" s="19" cm="1">
        <f t="array" ref="AG359">DIASQUIEBRE(Q359:AB359)</f>
        <v>0</v>
      </c>
      <c r="AH359" s="19" cm="1">
        <f t="array" ref="AH359">DiasMesesGris(Q359:AB359)</f>
        <v>360</v>
      </c>
      <c r="AI359" s="19">
        <f t="shared" si="30"/>
        <v>360</v>
      </c>
      <c r="AJ359" s="19">
        <f t="shared" si="31"/>
        <v>0</v>
      </c>
      <c r="AK359" s="20">
        <f t="shared" si="32"/>
        <v>0</v>
      </c>
      <c r="AL359" s="21">
        <f t="shared" si="29"/>
        <v>0</v>
      </c>
    </row>
    <row r="360" spans="1:38" x14ac:dyDescent="0.25">
      <c r="A360" s="1" t="s">
        <v>814</v>
      </c>
      <c r="B360" s="1" t="s">
        <v>815</v>
      </c>
      <c r="C360" s="1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6">
        <v>0</v>
      </c>
      <c r="R360" s="6">
        <v>0</v>
      </c>
      <c r="S360" s="6">
        <v>0</v>
      </c>
      <c r="T360" s="6">
        <v>0</v>
      </c>
      <c r="U360" s="6">
        <v>0</v>
      </c>
      <c r="V360" s="6">
        <v>0</v>
      </c>
      <c r="W360" s="6">
        <v>0</v>
      </c>
      <c r="X360" s="6">
        <v>0</v>
      </c>
      <c r="Y360" s="6">
        <v>0</v>
      </c>
      <c r="Z360" s="6">
        <v>0</v>
      </c>
      <c r="AA360" s="6">
        <v>0</v>
      </c>
      <c r="AB360" s="6">
        <v>0</v>
      </c>
      <c r="AC360" s="12">
        <v>0</v>
      </c>
      <c r="AE360" s="5">
        <f t="shared" si="28"/>
        <v>0</v>
      </c>
      <c r="AF360" s="1" t="s">
        <v>34</v>
      </c>
      <c r="AG360" s="19" cm="1">
        <f t="array" ref="AG360">DIASQUIEBRE(Q360:AB360)</f>
        <v>0</v>
      </c>
      <c r="AH360" s="19" cm="1">
        <f t="array" ref="AH360">DiasMesesGris(Q360:AB360)</f>
        <v>360</v>
      </c>
      <c r="AI360" s="19">
        <f t="shared" si="30"/>
        <v>360</v>
      </c>
      <c r="AJ360" s="19">
        <f t="shared" si="31"/>
        <v>0</v>
      </c>
      <c r="AK360" s="20">
        <f t="shared" si="32"/>
        <v>0</v>
      </c>
      <c r="AL360" s="21">
        <f t="shared" si="29"/>
        <v>0</v>
      </c>
    </row>
    <row r="361" spans="1:38" x14ac:dyDescent="0.25">
      <c r="A361" s="1" t="s">
        <v>816</v>
      </c>
      <c r="B361" s="1" t="s">
        <v>817</v>
      </c>
      <c r="C361" s="1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6">
        <v>0</v>
      </c>
      <c r="R361" s="6">
        <v>0</v>
      </c>
      <c r="S361" s="6">
        <v>0</v>
      </c>
      <c r="T361" s="6">
        <v>0</v>
      </c>
      <c r="U361" s="6">
        <v>0</v>
      </c>
      <c r="V361" s="6">
        <v>0</v>
      </c>
      <c r="W361" s="6">
        <v>0</v>
      </c>
      <c r="X361" s="6">
        <v>0</v>
      </c>
      <c r="Y361" s="6">
        <v>0</v>
      </c>
      <c r="Z361" s="6">
        <v>0</v>
      </c>
      <c r="AA361" s="6">
        <v>0</v>
      </c>
      <c r="AB361" s="6">
        <v>0</v>
      </c>
      <c r="AC361" s="12">
        <v>0</v>
      </c>
      <c r="AE361" s="5">
        <f t="shared" si="28"/>
        <v>0</v>
      </c>
      <c r="AF361" s="1" t="s">
        <v>34</v>
      </c>
      <c r="AG361" s="19" cm="1">
        <f t="array" ref="AG361">DIASQUIEBRE(Q361:AB361)</f>
        <v>0</v>
      </c>
      <c r="AH361" s="19" cm="1">
        <f t="array" ref="AH361">DiasMesesGris(Q361:AB361)</f>
        <v>360</v>
      </c>
      <c r="AI361" s="19">
        <f t="shared" si="30"/>
        <v>360</v>
      </c>
      <c r="AJ361" s="19">
        <f t="shared" si="31"/>
        <v>0</v>
      </c>
      <c r="AK361" s="20">
        <f t="shared" si="32"/>
        <v>0</v>
      </c>
      <c r="AL361" s="21">
        <f t="shared" si="29"/>
        <v>0</v>
      </c>
    </row>
    <row r="362" spans="1:38" x14ac:dyDescent="0.25">
      <c r="A362" s="1" t="s">
        <v>818</v>
      </c>
      <c r="B362" s="1" t="s">
        <v>819</v>
      </c>
      <c r="C362" s="1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6">
        <v>0</v>
      </c>
      <c r="R362" s="6">
        <v>0</v>
      </c>
      <c r="S362" s="6">
        <v>0</v>
      </c>
      <c r="T362" s="6">
        <v>0</v>
      </c>
      <c r="U362" s="6">
        <v>0</v>
      </c>
      <c r="V362" s="6">
        <v>0</v>
      </c>
      <c r="W362" s="6">
        <v>0</v>
      </c>
      <c r="X362" s="6">
        <v>0</v>
      </c>
      <c r="Y362" s="6">
        <v>0</v>
      </c>
      <c r="Z362" s="6">
        <v>0</v>
      </c>
      <c r="AA362" s="6">
        <v>0</v>
      </c>
      <c r="AB362" s="6">
        <v>0</v>
      </c>
      <c r="AC362" s="12">
        <v>0</v>
      </c>
      <c r="AE362" s="5">
        <f t="shared" si="28"/>
        <v>0</v>
      </c>
      <c r="AF362" s="1" t="s">
        <v>34</v>
      </c>
      <c r="AG362" s="19" cm="1">
        <f t="array" ref="AG362">DIASQUIEBRE(Q362:AB362)</f>
        <v>0</v>
      </c>
      <c r="AH362" s="19" cm="1">
        <f t="array" ref="AH362">DiasMesesGris(Q362:AB362)</f>
        <v>360</v>
      </c>
      <c r="AI362" s="19">
        <f t="shared" si="30"/>
        <v>360</v>
      </c>
      <c r="AJ362" s="19">
        <f t="shared" si="31"/>
        <v>0</v>
      </c>
      <c r="AK362" s="20">
        <f t="shared" si="32"/>
        <v>0</v>
      </c>
      <c r="AL362" s="21">
        <f t="shared" si="29"/>
        <v>0</v>
      </c>
    </row>
    <row r="363" spans="1:38" x14ac:dyDescent="0.25">
      <c r="A363" s="3" t="s">
        <v>820</v>
      </c>
      <c r="B363" s="1" t="s">
        <v>821</v>
      </c>
      <c r="C363" s="1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6">
        <v>0</v>
      </c>
      <c r="R363" s="6">
        <v>0</v>
      </c>
      <c r="S363" s="6">
        <v>0</v>
      </c>
      <c r="T363" s="6">
        <v>0</v>
      </c>
      <c r="U363" s="6">
        <v>0</v>
      </c>
      <c r="V363" s="6">
        <v>0</v>
      </c>
      <c r="W363" s="6">
        <v>0</v>
      </c>
      <c r="X363" s="6">
        <v>0</v>
      </c>
      <c r="Y363" s="6">
        <v>0</v>
      </c>
      <c r="Z363" s="6">
        <v>0</v>
      </c>
      <c r="AA363" s="6">
        <v>0</v>
      </c>
      <c r="AB363" s="6">
        <v>0</v>
      </c>
      <c r="AC363" s="12">
        <v>0</v>
      </c>
      <c r="AE363" s="5">
        <f t="shared" si="28"/>
        <v>0</v>
      </c>
      <c r="AF363" s="1" t="s">
        <v>34</v>
      </c>
      <c r="AG363" s="19" cm="1">
        <f t="array" ref="AG363">DIASQUIEBRE(Q363:AB363)</f>
        <v>0</v>
      </c>
      <c r="AH363" s="19" cm="1">
        <f t="array" ref="AH363">DiasMesesGris(Q363:AB363)</f>
        <v>360</v>
      </c>
      <c r="AI363" s="19">
        <f t="shared" si="30"/>
        <v>360</v>
      </c>
      <c r="AJ363" s="19">
        <f t="shared" si="31"/>
        <v>0</v>
      </c>
      <c r="AK363" s="20">
        <f t="shared" si="32"/>
        <v>0</v>
      </c>
      <c r="AL363" s="21">
        <f t="shared" si="29"/>
        <v>0</v>
      </c>
    </row>
    <row r="364" spans="1:38" x14ac:dyDescent="0.25">
      <c r="A364" s="3" t="s">
        <v>822</v>
      </c>
      <c r="B364" s="1" t="s">
        <v>823</v>
      </c>
      <c r="C364" s="1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6">
        <v>0</v>
      </c>
      <c r="R364" s="6">
        <v>0</v>
      </c>
      <c r="S364" s="6">
        <v>0</v>
      </c>
      <c r="T364" s="6">
        <v>0</v>
      </c>
      <c r="U364" s="6">
        <v>0</v>
      </c>
      <c r="V364" s="6">
        <v>0</v>
      </c>
      <c r="W364" s="6">
        <v>0</v>
      </c>
      <c r="X364" s="6">
        <v>0</v>
      </c>
      <c r="Y364" s="6">
        <v>0</v>
      </c>
      <c r="Z364" s="6">
        <v>0</v>
      </c>
      <c r="AA364" s="6">
        <v>0</v>
      </c>
      <c r="AB364" s="6">
        <v>0</v>
      </c>
      <c r="AC364" s="12">
        <v>0</v>
      </c>
      <c r="AE364" s="5">
        <f t="shared" si="28"/>
        <v>0</v>
      </c>
      <c r="AF364" s="1" t="s">
        <v>34</v>
      </c>
      <c r="AG364" s="19" cm="1">
        <f t="array" ref="AG364">DIASQUIEBRE(Q364:AB364)</f>
        <v>0</v>
      </c>
      <c r="AH364" s="19" cm="1">
        <f t="array" ref="AH364">DiasMesesGris(Q364:AB364)</f>
        <v>360</v>
      </c>
      <c r="AI364" s="19">
        <f t="shared" si="30"/>
        <v>360</v>
      </c>
      <c r="AJ364" s="19">
        <f t="shared" si="31"/>
        <v>0</v>
      </c>
      <c r="AK364" s="20">
        <f t="shared" si="32"/>
        <v>0</v>
      </c>
      <c r="AL364" s="21">
        <f t="shared" si="29"/>
        <v>0</v>
      </c>
    </row>
    <row r="365" spans="1:38" x14ac:dyDescent="0.25">
      <c r="A365" s="1" t="s">
        <v>824</v>
      </c>
      <c r="B365" s="1" t="s">
        <v>825</v>
      </c>
      <c r="C365" s="1" t="s">
        <v>826</v>
      </c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6">
        <v>0</v>
      </c>
      <c r="R365" s="6">
        <v>0</v>
      </c>
      <c r="S365" s="6">
        <v>0</v>
      </c>
      <c r="T365" s="6">
        <v>0</v>
      </c>
      <c r="U365" s="6">
        <v>0</v>
      </c>
      <c r="V365" s="6">
        <v>0</v>
      </c>
      <c r="W365" s="6">
        <v>0</v>
      </c>
      <c r="X365" s="6">
        <v>0</v>
      </c>
      <c r="Y365" s="6">
        <v>0</v>
      </c>
      <c r="Z365" s="6">
        <v>0</v>
      </c>
      <c r="AA365" s="6">
        <v>0</v>
      </c>
      <c r="AB365" s="6">
        <v>0</v>
      </c>
      <c r="AC365" s="12">
        <v>0</v>
      </c>
      <c r="AE365" s="5">
        <f t="shared" ref="AE365:AE415" si="33">AVERAGE(V365:AB365)</f>
        <v>0</v>
      </c>
      <c r="AF365" s="1" t="s">
        <v>34</v>
      </c>
      <c r="AG365" s="19" cm="1">
        <f t="array" ref="AG365">DIASQUIEBRE(Q365:AB365)</f>
        <v>0</v>
      </c>
      <c r="AH365" s="19" cm="1">
        <f t="array" ref="AH365">DiasMesesGris(Q365:AB365)</f>
        <v>360</v>
      </c>
      <c r="AI365" s="19">
        <f t="shared" si="30"/>
        <v>360</v>
      </c>
      <c r="AJ365" s="19">
        <f t="shared" si="31"/>
        <v>0</v>
      </c>
      <c r="AK365" s="20">
        <f t="shared" si="32"/>
        <v>0</v>
      </c>
      <c r="AL365" s="21">
        <f t="shared" si="29"/>
        <v>0</v>
      </c>
    </row>
    <row r="366" spans="1:38" x14ac:dyDescent="0.25">
      <c r="A366" s="1" t="s">
        <v>827</v>
      </c>
      <c r="B366" s="1" t="s">
        <v>828</v>
      </c>
      <c r="C366" s="1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6">
        <v>0</v>
      </c>
      <c r="R366" s="6">
        <v>0</v>
      </c>
      <c r="S366" s="6">
        <v>0</v>
      </c>
      <c r="T366" s="6">
        <v>0</v>
      </c>
      <c r="U366" s="6">
        <v>0</v>
      </c>
      <c r="V366" s="6">
        <v>0</v>
      </c>
      <c r="W366" s="6">
        <v>0</v>
      </c>
      <c r="X366" s="6">
        <v>0</v>
      </c>
      <c r="Y366" s="6">
        <v>0</v>
      </c>
      <c r="Z366" s="6">
        <v>0</v>
      </c>
      <c r="AA366" s="6">
        <v>0</v>
      </c>
      <c r="AB366" s="6">
        <v>0</v>
      </c>
      <c r="AC366" s="12">
        <v>0</v>
      </c>
      <c r="AE366" s="5">
        <f t="shared" si="33"/>
        <v>0</v>
      </c>
      <c r="AF366" s="1" t="s">
        <v>34</v>
      </c>
      <c r="AG366" s="19" cm="1">
        <f t="array" ref="AG366">DIASQUIEBRE(Q366:AB366)</f>
        <v>0</v>
      </c>
      <c r="AH366" s="19" cm="1">
        <f t="array" ref="AH366">DiasMesesGris(Q366:AB366)</f>
        <v>360</v>
      </c>
      <c r="AI366" s="19">
        <f t="shared" si="30"/>
        <v>360</v>
      </c>
      <c r="AJ366" s="19">
        <f t="shared" si="31"/>
        <v>0</v>
      </c>
      <c r="AK366" s="20">
        <f t="shared" si="32"/>
        <v>0</v>
      </c>
      <c r="AL366" s="21">
        <f t="shared" si="29"/>
        <v>0</v>
      </c>
    </row>
    <row r="367" spans="1:38" x14ac:dyDescent="0.25">
      <c r="A367" s="3" t="s">
        <v>829</v>
      </c>
      <c r="B367" s="1" t="s">
        <v>830</v>
      </c>
      <c r="C367" s="1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6">
        <v>0</v>
      </c>
      <c r="R367" s="6">
        <v>0</v>
      </c>
      <c r="S367" s="6">
        <v>0</v>
      </c>
      <c r="T367" s="6">
        <v>0</v>
      </c>
      <c r="U367" s="6">
        <v>0</v>
      </c>
      <c r="V367" s="6">
        <v>0</v>
      </c>
      <c r="W367" s="6">
        <v>0</v>
      </c>
      <c r="X367" s="6">
        <v>0</v>
      </c>
      <c r="Y367" s="6">
        <v>0</v>
      </c>
      <c r="Z367" s="6">
        <v>0</v>
      </c>
      <c r="AA367" s="6">
        <v>0</v>
      </c>
      <c r="AB367" s="6">
        <v>0</v>
      </c>
      <c r="AC367" s="7">
        <v>0</v>
      </c>
      <c r="AE367" s="5">
        <f t="shared" si="33"/>
        <v>0</v>
      </c>
      <c r="AF367" s="1" t="s">
        <v>34</v>
      </c>
      <c r="AG367" s="19" cm="1">
        <f t="array" ref="AG367">DIASQUIEBRE(Q367:AB367)</f>
        <v>0</v>
      </c>
      <c r="AH367" s="19" cm="1">
        <f t="array" ref="AH367">DiasMesesGris(Q367:AB367)</f>
        <v>360</v>
      </c>
      <c r="AI367" s="19">
        <f t="shared" si="30"/>
        <v>360</v>
      </c>
      <c r="AJ367" s="19">
        <f t="shared" si="31"/>
        <v>0</v>
      </c>
      <c r="AK367" s="20">
        <f t="shared" si="32"/>
        <v>0</v>
      </c>
      <c r="AL367" s="21">
        <f t="shared" si="29"/>
        <v>0</v>
      </c>
    </row>
    <row r="368" spans="1:38" x14ac:dyDescent="0.25">
      <c r="A368" s="3" t="s">
        <v>831</v>
      </c>
      <c r="B368" s="1" t="s">
        <v>832</v>
      </c>
      <c r="C368" s="1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6">
        <v>0</v>
      </c>
      <c r="R368" s="6">
        <v>0</v>
      </c>
      <c r="S368" s="6">
        <v>0</v>
      </c>
      <c r="T368" s="6">
        <v>0</v>
      </c>
      <c r="U368" s="6">
        <v>0</v>
      </c>
      <c r="V368" s="6">
        <v>0</v>
      </c>
      <c r="W368" s="6">
        <v>0</v>
      </c>
      <c r="X368" s="6">
        <v>0</v>
      </c>
      <c r="Y368" s="6">
        <v>0</v>
      </c>
      <c r="Z368" s="6">
        <v>0</v>
      </c>
      <c r="AA368" s="6">
        <v>0</v>
      </c>
      <c r="AB368" s="6">
        <v>0</v>
      </c>
      <c r="AC368" s="7">
        <v>0</v>
      </c>
      <c r="AE368" s="5">
        <f t="shared" si="33"/>
        <v>0</v>
      </c>
      <c r="AF368" s="1" t="s">
        <v>34</v>
      </c>
      <c r="AG368" s="19" cm="1">
        <f t="array" ref="AG368">DIASQUIEBRE(Q368:AB368)</f>
        <v>0</v>
      </c>
      <c r="AH368" s="19" cm="1">
        <f t="array" ref="AH368">DiasMesesGris(Q368:AB368)</f>
        <v>360</v>
      </c>
      <c r="AI368" s="19">
        <f t="shared" si="30"/>
        <v>360</v>
      </c>
      <c r="AJ368" s="19">
        <f t="shared" si="31"/>
        <v>0</v>
      </c>
      <c r="AK368" s="20">
        <f t="shared" si="32"/>
        <v>0</v>
      </c>
      <c r="AL368" s="21">
        <f t="shared" si="29"/>
        <v>0</v>
      </c>
    </row>
    <row r="369" spans="1:38" x14ac:dyDescent="0.25">
      <c r="A369" s="3" t="s">
        <v>833</v>
      </c>
      <c r="B369" s="1" t="s">
        <v>834</v>
      </c>
      <c r="C369" s="1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6">
        <v>0</v>
      </c>
      <c r="R369" s="6">
        <v>0</v>
      </c>
      <c r="S369" s="6">
        <v>0</v>
      </c>
      <c r="T369" s="6">
        <v>0</v>
      </c>
      <c r="U369" s="6">
        <v>0</v>
      </c>
      <c r="V369" s="6">
        <v>0</v>
      </c>
      <c r="W369" s="6">
        <v>0</v>
      </c>
      <c r="X369" s="6">
        <v>0</v>
      </c>
      <c r="Y369" s="6">
        <v>0</v>
      </c>
      <c r="Z369" s="6">
        <v>0</v>
      </c>
      <c r="AA369" s="6">
        <v>0</v>
      </c>
      <c r="AB369" s="6">
        <v>0</v>
      </c>
      <c r="AC369" s="7">
        <v>0</v>
      </c>
      <c r="AE369" s="5">
        <f t="shared" si="33"/>
        <v>0</v>
      </c>
      <c r="AF369" s="1" t="s">
        <v>34</v>
      </c>
      <c r="AG369" s="19" cm="1">
        <f t="array" ref="AG369">DIASQUIEBRE(Q369:AB369)</f>
        <v>0</v>
      </c>
      <c r="AH369" s="19" cm="1">
        <f t="array" ref="AH369">DiasMesesGris(Q369:AB369)</f>
        <v>360</v>
      </c>
      <c r="AI369" s="19">
        <f t="shared" si="30"/>
        <v>360</v>
      </c>
      <c r="AJ369" s="19">
        <f t="shared" si="31"/>
        <v>0</v>
      </c>
      <c r="AK369" s="20">
        <f t="shared" si="32"/>
        <v>0</v>
      </c>
      <c r="AL369" s="21">
        <f t="shared" si="29"/>
        <v>0</v>
      </c>
    </row>
    <row r="370" spans="1:38" x14ac:dyDescent="0.25">
      <c r="A370" s="3" t="s">
        <v>835</v>
      </c>
      <c r="B370" s="1" t="s">
        <v>836</v>
      </c>
      <c r="C370" s="1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6">
        <v>0</v>
      </c>
      <c r="R370" s="6">
        <v>0</v>
      </c>
      <c r="S370" s="6">
        <v>0</v>
      </c>
      <c r="T370" s="6">
        <v>0</v>
      </c>
      <c r="U370" s="6">
        <v>0</v>
      </c>
      <c r="V370" s="6">
        <v>0</v>
      </c>
      <c r="W370" s="6">
        <v>0</v>
      </c>
      <c r="X370" s="6">
        <v>0</v>
      </c>
      <c r="Y370" s="6">
        <v>0</v>
      </c>
      <c r="Z370" s="6">
        <v>0</v>
      </c>
      <c r="AA370" s="6">
        <v>0</v>
      </c>
      <c r="AB370" s="6">
        <v>0</v>
      </c>
      <c r="AC370" s="7">
        <v>0</v>
      </c>
      <c r="AE370" s="5">
        <f t="shared" si="33"/>
        <v>0</v>
      </c>
      <c r="AF370" s="1" t="s">
        <v>34</v>
      </c>
      <c r="AG370" s="19" cm="1">
        <f t="array" ref="AG370">DIASQUIEBRE(Q370:AB370)</f>
        <v>0</v>
      </c>
      <c r="AH370" s="19" cm="1">
        <f t="array" ref="AH370">DiasMesesGris(Q370:AB370)</f>
        <v>360</v>
      </c>
      <c r="AI370" s="19">
        <f t="shared" si="30"/>
        <v>360</v>
      </c>
      <c r="AJ370" s="19">
        <f t="shared" si="31"/>
        <v>0</v>
      </c>
      <c r="AK370" s="20">
        <f t="shared" si="32"/>
        <v>0</v>
      </c>
      <c r="AL370" s="21">
        <f t="shared" si="29"/>
        <v>0</v>
      </c>
    </row>
    <row r="371" spans="1:38" x14ac:dyDescent="0.25">
      <c r="A371" s="1" t="s">
        <v>837</v>
      </c>
      <c r="B371" s="1" t="s">
        <v>838</v>
      </c>
      <c r="C371" s="1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6">
        <v>0</v>
      </c>
      <c r="R371" s="6">
        <v>0</v>
      </c>
      <c r="S371" s="6">
        <v>0</v>
      </c>
      <c r="T371" s="6">
        <v>0</v>
      </c>
      <c r="U371" s="6">
        <v>0</v>
      </c>
      <c r="V371" s="6">
        <v>0</v>
      </c>
      <c r="W371" s="6">
        <v>0</v>
      </c>
      <c r="X371" s="6">
        <v>0</v>
      </c>
      <c r="Y371" s="6">
        <v>0</v>
      </c>
      <c r="Z371" s="6">
        <v>0</v>
      </c>
      <c r="AA371" s="6">
        <v>0</v>
      </c>
      <c r="AB371" s="6">
        <v>0</v>
      </c>
      <c r="AC371" s="12">
        <v>0</v>
      </c>
      <c r="AE371" s="5">
        <f t="shared" si="33"/>
        <v>0</v>
      </c>
      <c r="AF371" s="1" t="s">
        <v>107</v>
      </c>
      <c r="AG371" s="19" cm="1">
        <f t="array" ref="AG371">DIASQUIEBRE(Q371:AB371)</f>
        <v>0</v>
      </c>
      <c r="AH371" s="19" cm="1">
        <f t="array" ref="AH371">DiasMesesGris(Q371:AB371)</f>
        <v>360</v>
      </c>
      <c r="AI371" s="19">
        <f t="shared" si="30"/>
        <v>360</v>
      </c>
      <c r="AJ371" s="19">
        <f t="shared" si="31"/>
        <v>0</v>
      </c>
      <c r="AK371" s="20">
        <f t="shared" si="32"/>
        <v>0</v>
      </c>
      <c r="AL371" s="21">
        <f t="shared" si="29"/>
        <v>0</v>
      </c>
    </row>
    <row r="372" spans="1:38" x14ac:dyDescent="0.25">
      <c r="A372" s="1" t="s">
        <v>839</v>
      </c>
      <c r="B372" s="1" t="s">
        <v>840</v>
      </c>
      <c r="C372" s="1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6">
        <v>0</v>
      </c>
      <c r="R372" s="6">
        <v>0</v>
      </c>
      <c r="S372" s="6">
        <v>0</v>
      </c>
      <c r="T372" s="6">
        <v>0</v>
      </c>
      <c r="U372" s="6">
        <v>0</v>
      </c>
      <c r="V372" s="6">
        <v>0</v>
      </c>
      <c r="W372" s="6">
        <v>0</v>
      </c>
      <c r="X372" s="6">
        <v>0</v>
      </c>
      <c r="Y372" s="6">
        <v>0</v>
      </c>
      <c r="Z372" s="6">
        <v>0</v>
      </c>
      <c r="AA372" s="6">
        <v>0</v>
      </c>
      <c r="AB372" s="6">
        <v>0</v>
      </c>
      <c r="AC372" s="12">
        <v>0</v>
      </c>
      <c r="AE372" s="5">
        <f t="shared" si="33"/>
        <v>0</v>
      </c>
      <c r="AF372" s="1" t="s">
        <v>107</v>
      </c>
      <c r="AG372" s="19" cm="1">
        <f t="array" ref="AG372">DIASQUIEBRE(Q372:AB372)</f>
        <v>0</v>
      </c>
      <c r="AH372" s="19" cm="1">
        <f t="array" ref="AH372">DiasMesesGris(Q372:AB372)</f>
        <v>360</v>
      </c>
      <c r="AI372" s="19">
        <f t="shared" si="30"/>
        <v>360</v>
      </c>
      <c r="AJ372" s="19">
        <f t="shared" si="31"/>
        <v>0</v>
      </c>
      <c r="AK372" s="20">
        <f t="shared" si="32"/>
        <v>0</v>
      </c>
      <c r="AL372" s="21">
        <f t="shared" si="29"/>
        <v>0</v>
      </c>
    </row>
    <row r="373" spans="1:38" x14ac:dyDescent="0.25">
      <c r="A373" s="1" t="s">
        <v>841</v>
      </c>
      <c r="B373" s="1" t="s">
        <v>842</v>
      </c>
      <c r="C373" s="1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6">
        <v>0</v>
      </c>
      <c r="R373" s="6">
        <v>0</v>
      </c>
      <c r="S373" s="6">
        <v>0</v>
      </c>
      <c r="T373" s="6">
        <v>0</v>
      </c>
      <c r="U373" s="6">
        <v>0</v>
      </c>
      <c r="V373" s="6">
        <v>0</v>
      </c>
      <c r="W373" s="6">
        <v>0</v>
      </c>
      <c r="X373" s="6">
        <v>0</v>
      </c>
      <c r="Y373" s="6">
        <v>0</v>
      </c>
      <c r="Z373" s="6">
        <v>0</v>
      </c>
      <c r="AA373" s="6">
        <v>0</v>
      </c>
      <c r="AB373" s="6">
        <v>0</v>
      </c>
      <c r="AC373" s="7">
        <v>0</v>
      </c>
      <c r="AE373" s="5">
        <f t="shared" si="33"/>
        <v>0</v>
      </c>
      <c r="AF373" s="1" t="s">
        <v>107</v>
      </c>
      <c r="AG373" s="19" cm="1">
        <f t="array" ref="AG373">DIASQUIEBRE(Q373:AB373)</f>
        <v>0</v>
      </c>
      <c r="AH373" s="19" cm="1">
        <f t="array" ref="AH373">DiasMesesGris(Q373:AB373)</f>
        <v>360</v>
      </c>
      <c r="AI373" s="19">
        <f t="shared" si="30"/>
        <v>360</v>
      </c>
      <c r="AJ373" s="19">
        <f t="shared" si="31"/>
        <v>0</v>
      </c>
      <c r="AK373" s="20">
        <f t="shared" si="32"/>
        <v>0</v>
      </c>
      <c r="AL373" s="21">
        <f t="shared" si="29"/>
        <v>0</v>
      </c>
    </row>
    <row r="374" spans="1:38" x14ac:dyDescent="0.25">
      <c r="A374" s="1" t="s">
        <v>843</v>
      </c>
      <c r="B374" s="1" t="s">
        <v>844</v>
      </c>
      <c r="C374" s="1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6">
        <v>0</v>
      </c>
      <c r="R374" s="6">
        <v>0</v>
      </c>
      <c r="S374" s="6">
        <v>0</v>
      </c>
      <c r="T374" s="6">
        <v>0</v>
      </c>
      <c r="U374" s="6">
        <v>0</v>
      </c>
      <c r="V374" s="6">
        <v>0</v>
      </c>
      <c r="W374" s="6">
        <v>0</v>
      </c>
      <c r="X374" s="6">
        <v>0</v>
      </c>
      <c r="Y374" s="6">
        <v>0</v>
      </c>
      <c r="Z374" s="6">
        <v>0</v>
      </c>
      <c r="AA374" s="6">
        <v>0</v>
      </c>
      <c r="AB374" s="6">
        <v>0</v>
      </c>
      <c r="AC374" s="7">
        <v>0</v>
      </c>
      <c r="AE374" s="5">
        <f t="shared" si="33"/>
        <v>0</v>
      </c>
      <c r="AF374" s="1" t="s">
        <v>107</v>
      </c>
      <c r="AG374" s="19" cm="1">
        <f t="array" ref="AG374">DIASQUIEBRE(Q374:AB374)</f>
        <v>0</v>
      </c>
      <c r="AH374" s="19" cm="1">
        <f t="array" ref="AH374">DiasMesesGris(Q374:AB374)</f>
        <v>360</v>
      </c>
      <c r="AI374" s="19">
        <f t="shared" si="30"/>
        <v>360</v>
      </c>
      <c r="AJ374" s="19">
        <f t="shared" si="31"/>
        <v>0</v>
      </c>
      <c r="AK374" s="20">
        <f t="shared" si="32"/>
        <v>0</v>
      </c>
      <c r="AL374" s="21">
        <f t="shared" si="29"/>
        <v>0</v>
      </c>
    </row>
    <row r="375" spans="1:38" x14ac:dyDescent="0.25">
      <c r="A375" s="1" t="s">
        <v>845</v>
      </c>
      <c r="B375" s="1" t="s">
        <v>846</v>
      </c>
      <c r="C375" s="1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6">
        <v>0</v>
      </c>
      <c r="R375" s="6">
        <v>0</v>
      </c>
      <c r="S375" s="6">
        <v>0</v>
      </c>
      <c r="T375" s="6">
        <v>0</v>
      </c>
      <c r="U375" s="6">
        <v>0</v>
      </c>
      <c r="V375" s="6">
        <v>0</v>
      </c>
      <c r="W375" s="6">
        <v>0</v>
      </c>
      <c r="X375" s="6">
        <v>0</v>
      </c>
      <c r="Y375" s="6">
        <v>0</v>
      </c>
      <c r="Z375" s="6">
        <v>0</v>
      </c>
      <c r="AA375" s="6">
        <v>0</v>
      </c>
      <c r="AB375" s="6">
        <v>0</v>
      </c>
      <c r="AC375" s="7">
        <v>0</v>
      </c>
      <c r="AE375" s="5">
        <f t="shared" si="33"/>
        <v>0</v>
      </c>
      <c r="AF375" s="1" t="s">
        <v>107</v>
      </c>
      <c r="AG375" s="19" cm="1">
        <f t="array" ref="AG375">DIASQUIEBRE(Q375:AB375)</f>
        <v>0</v>
      </c>
      <c r="AH375" s="19" cm="1">
        <f t="array" ref="AH375">DiasMesesGris(Q375:AB375)</f>
        <v>360</v>
      </c>
      <c r="AI375" s="19">
        <f t="shared" si="30"/>
        <v>360</v>
      </c>
      <c r="AJ375" s="19">
        <f t="shared" si="31"/>
        <v>0</v>
      </c>
      <c r="AK375" s="20">
        <f t="shared" si="32"/>
        <v>0</v>
      </c>
      <c r="AL375" s="21">
        <f t="shared" si="29"/>
        <v>0</v>
      </c>
    </row>
    <row r="376" spans="1:38" x14ac:dyDescent="0.25">
      <c r="A376" s="1" t="s">
        <v>847</v>
      </c>
      <c r="B376" s="1" t="s">
        <v>848</v>
      </c>
      <c r="C376" s="1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6">
        <v>0</v>
      </c>
      <c r="R376" s="6">
        <v>0</v>
      </c>
      <c r="S376" s="6">
        <v>0</v>
      </c>
      <c r="T376" s="6">
        <v>0</v>
      </c>
      <c r="U376" s="6">
        <v>0</v>
      </c>
      <c r="V376" s="6">
        <v>0</v>
      </c>
      <c r="W376" s="6">
        <v>0</v>
      </c>
      <c r="X376" s="6">
        <v>0</v>
      </c>
      <c r="Y376" s="6">
        <v>0</v>
      </c>
      <c r="Z376" s="6">
        <v>0</v>
      </c>
      <c r="AA376" s="6">
        <v>0</v>
      </c>
      <c r="AB376" s="6">
        <v>0</v>
      </c>
      <c r="AC376" s="7">
        <v>0</v>
      </c>
      <c r="AE376" s="5">
        <f t="shared" si="33"/>
        <v>0</v>
      </c>
      <c r="AF376" s="1" t="s">
        <v>34</v>
      </c>
      <c r="AG376" s="19" cm="1">
        <f t="array" ref="AG376">DIASQUIEBRE(Q376:AB376)</f>
        <v>0</v>
      </c>
      <c r="AH376" s="19" cm="1">
        <f t="array" ref="AH376">DiasMesesGris(Q376:AB376)</f>
        <v>360</v>
      </c>
      <c r="AI376" s="19">
        <f t="shared" si="30"/>
        <v>360</v>
      </c>
      <c r="AJ376" s="19">
        <f t="shared" si="31"/>
        <v>0</v>
      </c>
      <c r="AK376" s="20">
        <f t="shared" si="32"/>
        <v>0</v>
      </c>
      <c r="AL376" s="21">
        <f t="shared" si="29"/>
        <v>0</v>
      </c>
    </row>
    <row r="377" spans="1:38" x14ac:dyDescent="0.25">
      <c r="A377" s="1" t="s">
        <v>849</v>
      </c>
      <c r="B377" s="1" t="s">
        <v>850</v>
      </c>
      <c r="C377" s="1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6">
        <v>0</v>
      </c>
      <c r="R377" s="6">
        <v>0</v>
      </c>
      <c r="S377" s="6">
        <v>0</v>
      </c>
      <c r="T377" s="6">
        <v>0</v>
      </c>
      <c r="U377" s="6">
        <v>0</v>
      </c>
      <c r="V377" s="6">
        <v>0</v>
      </c>
      <c r="W377" s="6">
        <v>0</v>
      </c>
      <c r="X377" s="6">
        <v>0</v>
      </c>
      <c r="Y377" s="6">
        <v>0</v>
      </c>
      <c r="Z377" s="6">
        <v>0</v>
      </c>
      <c r="AA377" s="6">
        <v>0</v>
      </c>
      <c r="AB377" s="6">
        <v>0</v>
      </c>
      <c r="AC377" s="7">
        <v>0</v>
      </c>
      <c r="AE377" s="5">
        <f t="shared" si="33"/>
        <v>0</v>
      </c>
      <c r="AF377" s="1" t="s">
        <v>34</v>
      </c>
      <c r="AG377" s="19" cm="1">
        <f t="array" ref="AG377">DIASQUIEBRE(Q377:AB377)</f>
        <v>0</v>
      </c>
      <c r="AH377" s="19" cm="1">
        <f t="array" ref="AH377">DiasMesesGris(Q377:AB377)</f>
        <v>360</v>
      </c>
      <c r="AI377" s="19">
        <f t="shared" si="30"/>
        <v>360</v>
      </c>
      <c r="AJ377" s="19">
        <f t="shared" si="31"/>
        <v>0</v>
      </c>
      <c r="AK377" s="20">
        <f t="shared" si="32"/>
        <v>0</v>
      </c>
      <c r="AL377" s="21">
        <f t="shared" si="29"/>
        <v>0</v>
      </c>
    </row>
    <row r="378" spans="1:38" x14ac:dyDescent="0.25">
      <c r="A378" s="1" t="s">
        <v>851</v>
      </c>
      <c r="B378" s="1" t="s">
        <v>852</v>
      </c>
      <c r="C378" s="1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6">
        <v>0</v>
      </c>
      <c r="R378" s="6">
        <v>0</v>
      </c>
      <c r="S378" s="6">
        <v>0</v>
      </c>
      <c r="T378" s="6">
        <v>0</v>
      </c>
      <c r="U378" s="6">
        <v>0</v>
      </c>
      <c r="V378" s="6">
        <v>0</v>
      </c>
      <c r="W378" s="6">
        <v>0</v>
      </c>
      <c r="X378" s="6">
        <v>0</v>
      </c>
      <c r="Y378" s="6">
        <v>0</v>
      </c>
      <c r="Z378" s="6">
        <v>0</v>
      </c>
      <c r="AA378" s="6">
        <v>0</v>
      </c>
      <c r="AB378" s="6">
        <v>0</v>
      </c>
      <c r="AC378" s="7">
        <v>0</v>
      </c>
      <c r="AE378" s="5">
        <f t="shared" si="33"/>
        <v>0</v>
      </c>
      <c r="AF378" s="1" t="s">
        <v>34</v>
      </c>
      <c r="AG378" s="19" cm="1">
        <f t="array" ref="AG378">DIASQUIEBRE(Q378:AB378)</f>
        <v>0</v>
      </c>
      <c r="AH378" s="19" cm="1">
        <f t="array" ref="AH378">DiasMesesGris(Q378:AB378)</f>
        <v>360</v>
      </c>
      <c r="AI378" s="19">
        <f t="shared" si="30"/>
        <v>360</v>
      </c>
      <c r="AJ378" s="19">
        <f t="shared" si="31"/>
        <v>0</v>
      </c>
      <c r="AK378" s="20">
        <f t="shared" si="32"/>
        <v>0</v>
      </c>
      <c r="AL378" s="21">
        <f t="shared" si="29"/>
        <v>0</v>
      </c>
    </row>
    <row r="379" spans="1:38" x14ac:dyDescent="0.25">
      <c r="A379" s="1" t="s">
        <v>853</v>
      </c>
      <c r="B379" s="1" t="s">
        <v>854</v>
      </c>
      <c r="C379" s="1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6">
        <v>0</v>
      </c>
      <c r="R379" s="6">
        <v>0</v>
      </c>
      <c r="S379" s="6">
        <v>0</v>
      </c>
      <c r="T379" s="6">
        <v>0</v>
      </c>
      <c r="U379" s="6">
        <v>0</v>
      </c>
      <c r="V379" s="6">
        <v>0</v>
      </c>
      <c r="W379" s="6">
        <v>0</v>
      </c>
      <c r="X379" s="6">
        <v>0</v>
      </c>
      <c r="Y379" s="6">
        <v>0</v>
      </c>
      <c r="Z379" s="6">
        <v>0</v>
      </c>
      <c r="AA379" s="6">
        <v>0</v>
      </c>
      <c r="AB379" s="6">
        <v>0</v>
      </c>
      <c r="AC379" s="7">
        <v>0</v>
      </c>
      <c r="AE379" s="5">
        <f t="shared" si="33"/>
        <v>0</v>
      </c>
      <c r="AF379" s="1" t="s">
        <v>34</v>
      </c>
      <c r="AG379" s="19" cm="1">
        <f t="array" ref="AG379">DIASQUIEBRE(Q379:AB379)</f>
        <v>0</v>
      </c>
      <c r="AH379" s="19" cm="1">
        <f t="array" ref="AH379">DiasMesesGris(Q379:AB379)</f>
        <v>360</v>
      </c>
      <c r="AI379" s="19">
        <f t="shared" si="30"/>
        <v>360</v>
      </c>
      <c r="AJ379" s="19">
        <f t="shared" si="31"/>
        <v>0</v>
      </c>
      <c r="AK379" s="20">
        <f t="shared" si="32"/>
        <v>0</v>
      </c>
      <c r="AL379" s="21">
        <f t="shared" si="29"/>
        <v>0</v>
      </c>
    </row>
    <row r="380" spans="1:38" x14ac:dyDescent="0.25">
      <c r="A380" s="1" t="s">
        <v>855</v>
      </c>
      <c r="B380" s="1" t="s">
        <v>856</v>
      </c>
      <c r="C380" s="1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6">
        <v>0</v>
      </c>
      <c r="R380" s="6">
        <v>0</v>
      </c>
      <c r="S380" s="6">
        <v>0</v>
      </c>
      <c r="T380" s="6">
        <v>0</v>
      </c>
      <c r="U380" s="6">
        <v>0</v>
      </c>
      <c r="V380" s="6">
        <v>0</v>
      </c>
      <c r="W380" s="6">
        <v>0</v>
      </c>
      <c r="X380" s="6">
        <v>0</v>
      </c>
      <c r="Y380" s="6">
        <v>0</v>
      </c>
      <c r="Z380" s="6">
        <v>0</v>
      </c>
      <c r="AA380" s="6">
        <v>0</v>
      </c>
      <c r="AB380" s="6">
        <v>0</v>
      </c>
      <c r="AC380" s="7">
        <v>0</v>
      </c>
      <c r="AE380" s="5">
        <f t="shared" si="33"/>
        <v>0</v>
      </c>
      <c r="AF380" s="1" t="s">
        <v>34</v>
      </c>
      <c r="AG380" s="19" cm="1">
        <f t="array" ref="AG380">DIASQUIEBRE(Q380:AB380)</f>
        <v>0</v>
      </c>
      <c r="AH380" s="19" cm="1">
        <f t="array" ref="AH380">DiasMesesGris(Q380:AB380)</f>
        <v>360</v>
      </c>
      <c r="AI380" s="19">
        <f t="shared" si="30"/>
        <v>360</v>
      </c>
      <c r="AJ380" s="19">
        <f t="shared" si="31"/>
        <v>0</v>
      </c>
      <c r="AK380" s="20">
        <f t="shared" si="32"/>
        <v>0</v>
      </c>
      <c r="AL380" s="21">
        <f t="shared" si="29"/>
        <v>0</v>
      </c>
    </row>
    <row r="381" spans="1:38" x14ac:dyDescent="0.25">
      <c r="A381" s="1" t="s">
        <v>857</v>
      </c>
      <c r="B381" s="1" t="s">
        <v>858</v>
      </c>
      <c r="C381" s="1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11">
        <v>1</v>
      </c>
      <c r="P381" s="4"/>
      <c r="Q381" s="6">
        <v>0</v>
      </c>
      <c r="R381" s="6">
        <v>0</v>
      </c>
      <c r="S381" s="6">
        <v>0</v>
      </c>
      <c r="T381" s="6">
        <v>0</v>
      </c>
      <c r="U381" s="6">
        <v>0</v>
      </c>
      <c r="V381" s="6">
        <v>0</v>
      </c>
      <c r="W381" s="6">
        <v>0</v>
      </c>
      <c r="X381" s="6">
        <v>0</v>
      </c>
      <c r="Y381" s="6">
        <v>0</v>
      </c>
      <c r="Z381" s="6">
        <v>0</v>
      </c>
      <c r="AA381" s="6">
        <v>0</v>
      </c>
      <c r="AB381" s="6">
        <v>0</v>
      </c>
      <c r="AC381" s="7">
        <v>0</v>
      </c>
      <c r="AE381" s="5">
        <f t="shared" si="33"/>
        <v>0</v>
      </c>
      <c r="AF381" s="1" t="s">
        <v>34</v>
      </c>
      <c r="AG381" s="19" cm="1">
        <f t="array" ref="AG381">DIASQUIEBRE(Q381:AB381)</f>
        <v>0</v>
      </c>
      <c r="AH381" s="19" cm="1">
        <f t="array" ref="AH381">DiasMesesGris(Q381:AB381)</f>
        <v>360</v>
      </c>
      <c r="AI381" s="19">
        <f t="shared" si="30"/>
        <v>360</v>
      </c>
      <c r="AJ381" s="19">
        <f t="shared" si="31"/>
        <v>0</v>
      </c>
      <c r="AK381" s="20">
        <f t="shared" si="32"/>
        <v>1</v>
      </c>
      <c r="AL381" s="21">
        <f t="shared" si="29"/>
        <v>0</v>
      </c>
    </row>
    <row r="382" spans="1:38" x14ac:dyDescent="0.25">
      <c r="A382" s="1" t="s">
        <v>859</v>
      </c>
      <c r="B382" s="1" t="s">
        <v>860</v>
      </c>
      <c r="C382" s="1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6">
        <v>0</v>
      </c>
      <c r="R382" s="6">
        <v>0</v>
      </c>
      <c r="S382" s="9">
        <v>0</v>
      </c>
      <c r="T382" s="6">
        <v>0</v>
      </c>
      <c r="U382" s="6">
        <v>0</v>
      </c>
      <c r="V382" s="6">
        <v>0</v>
      </c>
      <c r="W382" s="6">
        <v>0</v>
      </c>
      <c r="X382" s="6">
        <v>0</v>
      </c>
      <c r="Y382" s="6">
        <v>0</v>
      </c>
      <c r="Z382" s="6">
        <v>0</v>
      </c>
      <c r="AA382" s="6">
        <v>0</v>
      </c>
      <c r="AB382" s="6">
        <v>0</v>
      </c>
      <c r="AC382" s="7">
        <v>0</v>
      </c>
      <c r="AE382" s="5">
        <f t="shared" si="33"/>
        <v>0</v>
      </c>
      <c r="AF382" s="1" t="s">
        <v>34</v>
      </c>
      <c r="AG382" s="19" cm="1">
        <f t="array" ref="AG382">DIASQUIEBRE(Q382:AB382)</f>
        <v>14</v>
      </c>
      <c r="AH382" s="19" cm="1">
        <f t="array" ref="AH382">DiasMesesGris(Q382:AB382)</f>
        <v>330</v>
      </c>
      <c r="AI382" s="19">
        <f t="shared" si="30"/>
        <v>344</v>
      </c>
      <c r="AJ382" s="19">
        <f t="shared" si="31"/>
        <v>16</v>
      </c>
      <c r="AK382" s="20">
        <f t="shared" si="32"/>
        <v>0</v>
      </c>
      <c r="AL382" s="21">
        <f t="shared" si="29"/>
        <v>0</v>
      </c>
    </row>
    <row r="383" spans="1:38" x14ac:dyDescent="0.25">
      <c r="A383" s="1" t="s">
        <v>861</v>
      </c>
      <c r="B383" s="1" t="s">
        <v>862</v>
      </c>
      <c r="C383" s="1"/>
      <c r="D383" s="4"/>
      <c r="E383" s="4"/>
      <c r="F383" s="11">
        <v>1</v>
      </c>
      <c r="G383" s="11">
        <v>2</v>
      </c>
      <c r="H383" s="11">
        <v>1</v>
      </c>
      <c r="I383" s="11">
        <v>1</v>
      </c>
      <c r="J383" s="11">
        <v>1</v>
      </c>
      <c r="K383" s="4"/>
      <c r="L383" s="4"/>
      <c r="M383" s="4"/>
      <c r="N383" s="4"/>
      <c r="O383" s="11">
        <v>1</v>
      </c>
      <c r="P383" s="11">
        <v>1</v>
      </c>
      <c r="Q383" s="6">
        <v>0</v>
      </c>
      <c r="R383" s="6">
        <v>0</v>
      </c>
      <c r="S383" s="9">
        <v>3.5700000000000003E-2</v>
      </c>
      <c r="T383" s="5">
        <v>6.4500000000000002E-2</v>
      </c>
      <c r="U383" s="5">
        <v>3.3300000000000003E-2</v>
      </c>
      <c r="V383" s="5">
        <v>2.4799999999999999E-2</v>
      </c>
      <c r="W383" s="5">
        <v>4.6100000000000002E-2</v>
      </c>
      <c r="X383" s="5">
        <v>0</v>
      </c>
      <c r="Y383" s="5">
        <v>0</v>
      </c>
      <c r="Z383" s="5">
        <v>0</v>
      </c>
      <c r="AA383" s="5">
        <v>0</v>
      </c>
      <c r="AB383" s="5">
        <v>3.3300000000000003E-2</v>
      </c>
      <c r="AC383" s="8">
        <v>3.2300000000000002E-2</v>
      </c>
      <c r="AD383" s="5">
        <v>2.24E-2</v>
      </c>
      <c r="AE383" s="5">
        <f t="shared" si="33"/>
        <v>1.4885714285714289E-2</v>
      </c>
      <c r="AF383" s="1" t="s">
        <v>34</v>
      </c>
      <c r="AG383" s="19" cm="1">
        <f t="array" ref="AG383">DIASQUIEBRE(Q383:AB383)</f>
        <v>2</v>
      </c>
      <c r="AH383" s="19" cm="1">
        <f t="array" ref="AH383">DiasMesesGris(Q383:AB383)</f>
        <v>60</v>
      </c>
      <c r="AI383" s="19">
        <f t="shared" si="30"/>
        <v>62</v>
      </c>
      <c r="AJ383" s="19">
        <f t="shared" si="31"/>
        <v>298</v>
      </c>
      <c r="AK383" s="20">
        <f t="shared" si="32"/>
        <v>7</v>
      </c>
      <c r="AL383" s="21">
        <f t="shared" si="29"/>
        <v>2.3489932885906041E-2</v>
      </c>
    </row>
    <row r="384" spans="1:38" x14ac:dyDescent="0.25">
      <c r="A384" s="1" t="s">
        <v>863</v>
      </c>
      <c r="B384" s="1" t="s">
        <v>864</v>
      </c>
      <c r="C384" s="1"/>
      <c r="D384" s="4"/>
      <c r="E384" s="4"/>
      <c r="F384" s="11">
        <v>1</v>
      </c>
      <c r="G384" s="11">
        <v>2</v>
      </c>
      <c r="H384" s="11">
        <v>3</v>
      </c>
      <c r="I384" s="11">
        <v>5</v>
      </c>
      <c r="J384" s="11">
        <v>1</v>
      </c>
      <c r="K384" s="4"/>
      <c r="L384" s="4"/>
      <c r="M384" s="11">
        <v>3</v>
      </c>
      <c r="N384" s="11">
        <v>1</v>
      </c>
      <c r="O384" s="4"/>
      <c r="P384" s="11">
        <v>3</v>
      </c>
      <c r="Q384" s="6">
        <v>0</v>
      </c>
      <c r="R384" s="6">
        <v>0</v>
      </c>
      <c r="S384" s="9">
        <v>8.3299999999999999E-2</v>
      </c>
      <c r="T384" s="5">
        <v>6.4500000000000002E-2</v>
      </c>
      <c r="U384" s="5">
        <v>0.1</v>
      </c>
      <c r="V384" s="5">
        <v>0.1241</v>
      </c>
      <c r="W384" s="5">
        <v>4.6100000000000002E-2</v>
      </c>
      <c r="X384" s="5">
        <v>0</v>
      </c>
      <c r="Y384" s="5">
        <v>0</v>
      </c>
      <c r="Z384" s="5">
        <v>0.1</v>
      </c>
      <c r="AA384" s="5">
        <v>3.2300000000000002E-2</v>
      </c>
      <c r="AB384" s="5">
        <v>0</v>
      </c>
      <c r="AC384" s="8">
        <v>9.6799999999999997E-2</v>
      </c>
      <c r="AD384" s="5">
        <v>5.1900000000000002E-2</v>
      </c>
      <c r="AE384" s="5">
        <f t="shared" si="33"/>
        <v>4.3214285714285712E-2</v>
      </c>
      <c r="AF384" s="1" t="s">
        <v>34</v>
      </c>
      <c r="AG384" s="19" cm="1">
        <f t="array" ref="AG384">DIASQUIEBRE(Q384:AB384)</f>
        <v>18</v>
      </c>
      <c r="AH384" s="19" cm="1">
        <f t="array" ref="AH384">DiasMesesGris(Q384:AB384)</f>
        <v>60</v>
      </c>
      <c r="AI384" s="19">
        <f t="shared" si="30"/>
        <v>78</v>
      </c>
      <c r="AJ384" s="19">
        <f t="shared" si="31"/>
        <v>282</v>
      </c>
      <c r="AK384" s="20">
        <f t="shared" si="32"/>
        <v>16</v>
      </c>
      <c r="AL384" s="21">
        <f t="shared" si="29"/>
        <v>5.6737588652482268E-2</v>
      </c>
    </row>
    <row r="385" spans="1:38" x14ac:dyDescent="0.25">
      <c r="A385" s="1" t="s">
        <v>865</v>
      </c>
      <c r="B385" s="1" t="s">
        <v>866</v>
      </c>
      <c r="C385" s="1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6">
        <v>0</v>
      </c>
      <c r="R385" s="6">
        <v>0</v>
      </c>
      <c r="S385" s="6">
        <v>0</v>
      </c>
      <c r="T385" s="6">
        <v>0</v>
      </c>
      <c r="U385" s="6">
        <v>0</v>
      </c>
      <c r="V385" s="6">
        <v>0</v>
      </c>
      <c r="W385" s="6">
        <v>0</v>
      </c>
      <c r="X385" s="6">
        <v>0</v>
      </c>
      <c r="Y385" s="6">
        <v>0</v>
      </c>
      <c r="Z385" s="6">
        <v>0</v>
      </c>
      <c r="AA385" s="6">
        <v>0</v>
      </c>
      <c r="AB385" s="6">
        <v>0</v>
      </c>
      <c r="AC385" s="7">
        <v>0</v>
      </c>
      <c r="AE385" s="5">
        <f t="shared" si="33"/>
        <v>0</v>
      </c>
      <c r="AF385" s="1" t="s">
        <v>107</v>
      </c>
      <c r="AG385" s="19" cm="1">
        <f t="array" ref="AG385">DIASQUIEBRE(Q385:AB385)</f>
        <v>0</v>
      </c>
      <c r="AH385" s="19" cm="1">
        <f t="array" ref="AH385">DiasMesesGris(Q385:AB385)</f>
        <v>360</v>
      </c>
      <c r="AI385" s="19">
        <f t="shared" si="30"/>
        <v>360</v>
      </c>
      <c r="AJ385" s="19">
        <f t="shared" si="31"/>
        <v>0</v>
      </c>
      <c r="AK385" s="20">
        <f t="shared" si="32"/>
        <v>0</v>
      </c>
      <c r="AL385" s="21">
        <f t="shared" si="29"/>
        <v>0</v>
      </c>
    </row>
    <row r="386" spans="1:38" x14ac:dyDescent="0.25">
      <c r="A386" s="1" t="s">
        <v>867</v>
      </c>
      <c r="B386" s="1" t="s">
        <v>868</v>
      </c>
      <c r="C386" s="1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6">
        <v>0</v>
      </c>
      <c r="R386" s="6">
        <v>0</v>
      </c>
      <c r="S386" s="6">
        <v>0</v>
      </c>
      <c r="T386" s="6">
        <v>0</v>
      </c>
      <c r="U386" s="6">
        <v>0</v>
      </c>
      <c r="V386" s="6">
        <v>0</v>
      </c>
      <c r="W386" s="6">
        <v>0</v>
      </c>
      <c r="X386" s="6">
        <v>0</v>
      </c>
      <c r="Y386" s="6">
        <v>0</v>
      </c>
      <c r="Z386" s="6">
        <v>0</v>
      </c>
      <c r="AA386" s="6">
        <v>0</v>
      </c>
      <c r="AB386" s="6">
        <v>0</v>
      </c>
      <c r="AC386" s="7">
        <v>0</v>
      </c>
      <c r="AE386" s="5">
        <f t="shared" si="33"/>
        <v>0</v>
      </c>
      <c r="AF386" s="1" t="s">
        <v>107</v>
      </c>
      <c r="AG386" s="19" cm="1">
        <f t="array" ref="AG386">DIASQUIEBRE(Q386:AB386)</f>
        <v>0</v>
      </c>
      <c r="AH386" s="19" cm="1">
        <f t="array" ref="AH386">DiasMesesGris(Q386:AB386)</f>
        <v>360</v>
      </c>
      <c r="AI386" s="19">
        <f t="shared" si="30"/>
        <v>360</v>
      </c>
      <c r="AJ386" s="19">
        <f t="shared" si="31"/>
        <v>0</v>
      </c>
      <c r="AK386" s="20">
        <f t="shared" si="32"/>
        <v>0</v>
      </c>
      <c r="AL386" s="21">
        <f t="shared" si="29"/>
        <v>0</v>
      </c>
    </row>
    <row r="387" spans="1:38" x14ac:dyDescent="0.25">
      <c r="A387" s="1" t="s">
        <v>869</v>
      </c>
      <c r="B387" s="1" t="s">
        <v>870</v>
      </c>
      <c r="C387" s="1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6">
        <v>0</v>
      </c>
      <c r="R387" s="6">
        <v>0</v>
      </c>
      <c r="S387" s="6">
        <v>0</v>
      </c>
      <c r="T387" s="6">
        <v>0</v>
      </c>
      <c r="U387" s="6">
        <v>0</v>
      </c>
      <c r="V387" s="6">
        <v>0</v>
      </c>
      <c r="W387" s="6">
        <v>0</v>
      </c>
      <c r="X387" s="6">
        <v>0</v>
      </c>
      <c r="Y387" s="6">
        <v>0</v>
      </c>
      <c r="Z387" s="6">
        <v>0</v>
      </c>
      <c r="AA387" s="6">
        <v>0</v>
      </c>
      <c r="AB387" s="6">
        <v>0</v>
      </c>
      <c r="AC387" s="7">
        <v>0</v>
      </c>
      <c r="AE387" s="5">
        <f t="shared" si="33"/>
        <v>0</v>
      </c>
      <c r="AF387" s="1" t="s">
        <v>34</v>
      </c>
      <c r="AG387" s="19" cm="1">
        <f t="array" ref="AG387">DIASQUIEBRE(Q387:AB387)</f>
        <v>0</v>
      </c>
      <c r="AH387" s="19" cm="1">
        <f t="array" ref="AH387">DiasMesesGris(Q387:AB387)</f>
        <v>360</v>
      </c>
      <c r="AI387" s="19">
        <f t="shared" si="30"/>
        <v>360</v>
      </c>
      <c r="AJ387" s="19">
        <f t="shared" si="31"/>
        <v>0</v>
      </c>
      <c r="AK387" s="20">
        <f t="shared" si="32"/>
        <v>0</v>
      </c>
      <c r="AL387" s="21">
        <f t="shared" ref="AL387:AL450" si="34">IFERROR(AK387/AJ387,0)</f>
        <v>0</v>
      </c>
    </row>
    <row r="388" spans="1:38" x14ac:dyDescent="0.25">
      <c r="A388" s="1" t="s">
        <v>871</v>
      </c>
      <c r="B388" s="1" t="s">
        <v>872</v>
      </c>
      <c r="C388" s="1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6">
        <v>0</v>
      </c>
      <c r="R388" s="6">
        <v>0</v>
      </c>
      <c r="S388" s="6">
        <v>0</v>
      </c>
      <c r="T388" s="6">
        <v>0</v>
      </c>
      <c r="U388" s="6">
        <v>0</v>
      </c>
      <c r="V388" s="6">
        <v>0</v>
      </c>
      <c r="W388" s="6">
        <v>0</v>
      </c>
      <c r="X388" s="6">
        <v>0</v>
      </c>
      <c r="Y388" s="6">
        <v>0</v>
      </c>
      <c r="Z388" s="6">
        <v>0</v>
      </c>
      <c r="AA388" s="6">
        <v>0</v>
      </c>
      <c r="AB388" s="6">
        <v>0</v>
      </c>
      <c r="AC388" s="7">
        <v>0</v>
      </c>
      <c r="AE388" s="5">
        <f t="shared" si="33"/>
        <v>0</v>
      </c>
      <c r="AF388" s="1" t="s">
        <v>107</v>
      </c>
      <c r="AG388" s="19" cm="1">
        <f t="array" ref="AG388">DIASQUIEBRE(Q388:AB388)</f>
        <v>0</v>
      </c>
      <c r="AH388" s="19" cm="1">
        <f t="array" ref="AH388">DiasMesesGris(Q388:AB388)</f>
        <v>360</v>
      </c>
      <c r="AI388" s="19">
        <f t="shared" ref="AI388:AI451" si="35">AG388+AH388</f>
        <v>360</v>
      </c>
      <c r="AJ388" s="19">
        <f t="shared" ref="AJ388:AJ451" si="36">360-AI388</f>
        <v>0</v>
      </c>
      <c r="AK388" s="20">
        <f t="shared" ref="AK388:AK451" si="37">SUM(D388:O388)</f>
        <v>0</v>
      </c>
      <c r="AL388" s="21">
        <f t="shared" si="34"/>
        <v>0</v>
      </c>
    </row>
    <row r="389" spans="1:38" x14ac:dyDescent="0.25">
      <c r="A389" s="1" t="s">
        <v>873</v>
      </c>
      <c r="B389" s="1" t="s">
        <v>874</v>
      </c>
      <c r="C389" s="1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6">
        <v>0</v>
      </c>
      <c r="R389" s="6">
        <v>0</v>
      </c>
      <c r="S389" s="6">
        <v>0</v>
      </c>
      <c r="T389" s="6">
        <v>0</v>
      </c>
      <c r="U389" s="6">
        <v>0</v>
      </c>
      <c r="V389" s="6">
        <v>0</v>
      </c>
      <c r="W389" s="6">
        <v>0</v>
      </c>
      <c r="X389" s="6">
        <v>0</v>
      </c>
      <c r="Y389" s="6">
        <v>0</v>
      </c>
      <c r="Z389" s="6">
        <v>0</v>
      </c>
      <c r="AA389" s="6">
        <v>0</v>
      </c>
      <c r="AB389" s="6">
        <v>0</v>
      </c>
      <c r="AC389" s="7">
        <v>0</v>
      </c>
      <c r="AE389" s="5">
        <f t="shared" si="33"/>
        <v>0</v>
      </c>
      <c r="AF389" s="1" t="s">
        <v>34</v>
      </c>
      <c r="AG389" s="19" cm="1">
        <f t="array" ref="AG389">DIASQUIEBRE(Q389:AB389)</f>
        <v>0</v>
      </c>
      <c r="AH389" s="19" cm="1">
        <f t="array" ref="AH389">DiasMesesGris(Q389:AB389)</f>
        <v>360</v>
      </c>
      <c r="AI389" s="19">
        <f t="shared" si="35"/>
        <v>360</v>
      </c>
      <c r="AJ389" s="19">
        <f t="shared" si="36"/>
        <v>0</v>
      </c>
      <c r="AK389" s="20">
        <f t="shared" si="37"/>
        <v>0</v>
      </c>
      <c r="AL389" s="21">
        <f t="shared" si="34"/>
        <v>0</v>
      </c>
    </row>
    <row r="390" spans="1:38" x14ac:dyDescent="0.25">
      <c r="A390" s="1" t="s">
        <v>875</v>
      </c>
      <c r="B390" s="1" t="s">
        <v>876</v>
      </c>
      <c r="C390" s="1" t="s">
        <v>877</v>
      </c>
      <c r="D390" s="11">
        <v>1</v>
      </c>
      <c r="E390" s="11">
        <v>2</v>
      </c>
      <c r="F390" s="11">
        <v>-27</v>
      </c>
      <c r="G390" s="11">
        <v>5</v>
      </c>
      <c r="H390" s="11">
        <v>9</v>
      </c>
      <c r="I390" s="11">
        <v>24</v>
      </c>
      <c r="J390" s="11">
        <v>14</v>
      </c>
      <c r="K390" s="11">
        <v>1</v>
      </c>
      <c r="L390" s="11">
        <v>3</v>
      </c>
      <c r="M390" s="11">
        <v>1</v>
      </c>
      <c r="N390" s="11">
        <v>2</v>
      </c>
      <c r="O390" s="4"/>
      <c r="P390" s="4"/>
      <c r="Q390" s="5">
        <v>2.93E-2</v>
      </c>
      <c r="R390" s="5">
        <v>5.6099999999999997E-2</v>
      </c>
      <c r="S390" s="5">
        <v>-1.2857000000000001</v>
      </c>
      <c r="T390" s="5">
        <v>0.1613</v>
      </c>
      <c r="U390" s="5">
        <v>0.2727</v>
      </c>
      <c r="V390" s="5">
        <v>0.4839</v>
      </c>
      <c r="W390" s="5">
        <v>0.75270000000000004</v>
      </c>
      <c r="X390" s="5">
        <v>5.9499999999999997E-2</v>
      </c>
      <c r="Y390" s="5">
        <v>9.6799999999999997E-2</v>
      </c>
      <c r="Z390" s="5">
        <v>3.9199999999999999E-2</v>
      </c>
      <c r="AA390" s="9">
        <v>0.66669999999999996</v>
      </c>
      <c r="AB390" s="6">
        <v>0</v>
      </c>
      <c r="AC390" s="7">
        <v>0</v>
      </c>
      <c r="AD390" s="5">
        <v>6.6600000000000006E-2</v>
      </c>
      <c r="AE390" s="5">
        <f>AVERAGE(T390:Z390)</f>
        <v>0.26658571428571426</v>
      </c>
      <c r="AF390" s="1" t="s">
        <v>34</v>
      </c>
      <c r="AG390" s="19" cm="1">
        <f t="array" ref="AG390">DIASQUIEBRE(Q390:AB390)</f>
        <v>28</v>
      </c>
      <c r="AH390" s="19" cm="1">
        <f t="array" ref="AH390">DiasMesesGris(Q390:AB390)</f>
        <v>30</v>
      </c>
      <c r="AI390" s="19">
        <f t="shared" si="35"/>
        <v>58</v>
      </c>
      <c r="AJ390" s="19">
        <f t="shared" si="36"/>
        <v>302</v>
      </c>
      <c r="AK390" s="20">
        <f t="shared" si="37"/>
        <v>35</v>
      </c>
      <c r="AL390" s="21">
        <f t="shared" si="34"/>
        <v>0.11589403973509933</v>
      </c>
    </row>
    <row r="391" spans="1:38" x14ac:dyDescent="0.25">
      <c r="A391" s="1" t="s">
        <v>878</v>
      </c>
      <c r="B391" s="1" t="s">
        <v>879</v>
      </c>
      <c r="C391" s="1" t="s">
        <v>880</v>
      </c>
      <c r="D391" s="11">
        <v>3</v>
      </c>
      <c r="E391" s="11">
        <v>-1</v>
      </c>
      <c r="F391" s="11">
        <v>-3</v>
      </c>
      <c r="G391" s="11">
        <v>1</v>
      </c>
      <c r="H391" s="11">
        <v>2</v>
      </c>
      <c r="I391" s="11">
        <v>10</v>
      </c>
      <c r="J391" s="11">
        <v>3</v>
      </c>
      <c r="K391" s="11">
        <v>3</v>
      </c>
      <c r="L391" s="11">
        <v>2</v>
      </c>
      <c r="M391" s="11">
        <v>2</v>
      </c>
      <c r="N391" s="11">
        <v>3</v>
      </c>
      <c r="O391" s="11">
        <v>1</v>
      </c>
      <c r="P391" s="11">
        <v>1</v>
      </c>
      <c r="Q391" s="5">
        <v>8.7999999999999995E-2</v>
      </c>
      <c r="R391" s="5">
        <v>-2.81E-2</v>
      </c>
      <c r="S391" s="5">
        <v>-0.1429</v>
      </c>
      <c r="T391" s="5">
        <v>3.2300000000000002E-2</v>
      </c>
      <c r="U391" s="5">
        <v>6.0600000000000001E-2</v>
      </c>
      <c r="V391" s="5">
        <v>0.2016</v>
      </c>
      <c r="W391" s="5">
        <v>0.1613</v>
      </c>
      <c r="X391" s="5">
        <v>0.17860000000000001</v>
      </c>
      <c r="Y391" s="5">
        <v>6.4500000000000002E-2</v>
      </c>
      <c r="Z391" s="5">
        <v>7.8399999999999997E-2</v>
      </c>
      <c r="AA391" s="5">
        <v>9.6799999999999997E-2</v>
      </c>
      <c r="AB391" s="5">
        <v>3.3300000000000003E-2</v>
      </c>
      <c r="AC391" s="8">
        <v>2.93E-2</v>
      </c>
      <c r="AD391" s="5">
        <v>6.8699999999999997E-2</v>
      </c>
      <c r="AE391" s="5">
        <f t="shared" si="33"/>
        <v>0.11635714285714285</v>
      </c>
      <c r="AF391" s="1" t="s">
        <v>34</v>
      </c>
      <c r="AG391" s="19" cm="1">
        <f t="array" ref="AG391">DIASQUIEBRE(Q391:AB391)</f>
        <v>0</v>
      </c>
      <c r="AH391" s="19" cm="1">
        <f t="array" ref="AH391">DiasMesesGris(Q391:AB391)</f>
        <v>0</v>
      </c>
      <c r="AI391" s="19">
        <f t="shared" si="35"/>
        <v>0</v>
      </c>
      <c r="AJ391" s="19">
        <f t="shared" si="36"/>
        <v>360</v>
      </c>
      <c r="AK391" s="20">
        <f t="shared" si="37"/>
        <v>26</v>
      </c>
      <c r="AL391" s="21">
        <f t="shared" si="34"/>
        <v>7.2222222222222215E-2</v>
      </c>
    </row>
    <row r="392" spans="1:38" x14ac:dyDescent="0.25">
      <c r="A392" s="1" t="s">
        <v>881</v>
      </c>
      <c r="B392" s="1" t="s">
        <v>882</v>
      </c>
      <c r="C392" s="1" t="s">
        <v>883</v>
      </c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6">
        <v>0</v>
      </c>
      <c r="R392" s="6">
        <v>0</v>
      </c>
      <c r="S392" s="6">
        <v>0</v>
      </c>
      <c r="T392" s="6">
        <v>0</v>
      </c>
      <c r="U392" s="6">
        <v>0</v>
      </c>
      <c r="V392" s="6">
        <v>0</v>
      </c>
      <c r="W392" s="6">
        <v>0</v>
      </c>
      <c r="X392" s="6">
        <v>0</v>
      </c>
      <c r="Y392" s="6">
        <v>0</v>
      </c>
      <c r="Z392" s="6">
        <v>0</v>
      </c>
      <c r="AA392" s="6">
        <v>0</v>
      </c>
      <c r="AB392" s="6">
        <v>0</v>
      </c>
      <c r="AC392" s="7">
        <v>0</v>
      </c>
      <c r="AE392" s="5">
        <f t="shared" si="33"/>
        <v>0</v>
      </c>
      <c r="AF392" s="1" t="s">
        <v>34</v>
      </c>
      <c r="AG392" s="19" cm="1">
        <f t="array" ref="AG392">DIASQUIEBRE(Q392:AB392)</f>
        <v>0</v>
      </c>
      <c r="AH392" s="19" cm="1">
        <f t="array" ref="AH392">DiasMesesGris(Q392:AB392)</f>
        <v>360</v>
      </c>
      <c r="AI392" s="19">
        <f t="shared" si="35"/>
        <v>360</v>
      </c>
      <c r="AJ392" s="19">
        <f t="shared" si="36"/>
        <v>0</v>
      </c>
      <c r="AK392" s="20">
        <f t="shared" si="37"/>
        <v>0</v>
      </c>
      <c r="AL392" s="21">
        <f t="shared" si="34"/>
        <v>0</v>
      </c>
    </row>
    <row r="393" spans="1:38" x14ac:dyDescent="0.25">
      <c r="A393" s="1" t="s">
        <v>884</v>
      </c>
      <c r="B393" s="1" t="s">
        <v>885</v>
      </c>
      <c r="C393" s="1" t="s">
        <v>886</v>
      </c>
      <c r="D393" s="4"/>
      <c r="E393" s="4"/>
      <c r="F393" s="4"/>
      <c r="G393" s="4"/>
      <c r="H393" s="4"/>
      <c r="I393" s="4"/>
      <c r="J393" s="4"/>
      <c r="K393" s="4"/>
      <c r="L393" s="11">
        <v>13</v>
      </c>
      <c r="M393" s="11">
        <v>12</v>
      </c>
      <c r="N393" s="11">
        <v>7</v>
      </c>
      <c r="O393" s="11">
        <v>3</v>
      </c>
      <c r="P393" s="11">
        <v>1</v>
      </c>
      <c r="Q393" s="6">
        <v>0</v>
      </c>
      <c r="R393" s="6">
        <v>0</v>
      </c>
      <c r="S393" s="6">
        <v>0</v>
      </c>
      <c r="T393" s="6">
        <v>0</v>
      </c>
      <c r="U393" s="6">
        <v>0</v>
      </c>
      <c r="V393" s="6">
        <v>0</v>
      </c>
      <c r="W393" s="6">
        <v>0</v>
      </c>
      <c r="X393" s="6">
        <v>0</v>
      </c>
      <c r="Y393" s="9">
        <v>0.59089999999999998</v>
      </c>
      <c r="Z393" s="5">
        <v>0.47060000000000002</v>
      </c>
      <c r="AA393" s="5">
        <v>0.2258</v>
      </c>
      <c r="AB393" s="5">
        <v>0.1</v>
      </c>
      <c r="AC393" s="8">
        <v>2.93E-2</v>
      </c>
      <c r="AD393" s="5">
        <v>0.26550000000000001</v>
      </c>
      <c r="AE393" s="5">
        <f>AVERAGE(Z393:AB393)</f>
        <v>0.26546666666666668</v>
      </c>
      <c r="AF393" s="1" t="s">
        <v>34</v>
      </c>
      <c r="AG393" s="19" cm="1">
        <f t="array" ref="AG393">DIASQUIEBRE(Q393:AB393)</f>
        <v>9</v>
      </c>
      <c r="AH393" s="19" cm="1">
        <f t="array" ref="AH393">DiasMesesGris(Q393:AB393)</f>
        <v>240</v>
      </c>
      <c r="AI393" s="19">
        <f t="shared" si="35"/>
        <v>249</v>
      </c>
      <c r="AJ393" s="19">
        <f t="shared" si="36"/>
        <v>111</v>
      </c>
      <c r="AK393" s="20">
        <f t="shared" si="37"/>
        <v>35</v>
      </c>
      <c r="AL393" s="21">
        <f t="shared" si="34"/>
        <v>0.31531531531531531</v>
      </c>
    </row>
    <row r="394" spans="1:38" x14ac:dyDescent="0.25">
      <c r="A394" s="1" t="s">
        <v>887</v>
      </c>
      <c r="B394" s="1" t="s">
        <v>888</v>
      </c>
      <c r="C394" s="1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6">
        <v>0</v>
      </c>
      <c r="R394" s="6">
        <v>0</v>
      </c>
      <c r="S394" s="6">
        <v>0</v>
      </c>
      <c r="T394" s="6">
        <v>0</v>
      </c>
      <c r="U394" s="6">
        <v>0</v>
      </c>
      <c r="V394" s="6">
        <v>0</v>
      </c>
      <c r="W394" s="6">
        <v>0</v>
      </c>
      <c r="X394" s="6">
        <v>0</v>
      </c>
      <c r="Y394" s="6">
        <v>0</v>
      </c>
      <c r="Z394" s="6">
        <v>0</v>
      </c>
      <c r="AA394" s="6">
        <v>0</v>
      </c>
      <c r="AB394" s="6">
        <v>0</v>
      </c>
      <c r="AC394" s="7">
        <v>0</v>
      </c>
      <c r="AE394" s="5">
        <f t="shared" si="33"/>
        <v>0</v>
      </c>
      <c r="AF394" s="1" t="s">
        <v>34</v>
      </c>
      <c r="AG394" s="19" cm="1">
        <f t="array" ref="AG394">DIASQUIEBRE(Q394:AB394)</f>
        <v>0</v>
      </c>
      <c r="AH394" s="19" cm="1">
        <f t="array" ref="AH394">DiasMesesGris(Q394:AB394)</f>
        <v>360</v>
      </c>
      <c r="AI394" s="19">
        <f t="shared" si="35"/>
        <v>360</v>
      </c>
      <c r="AJ394" s="19">
        <f t="shared" si="36"/>
        <v>0</v>
      </c>
      <c r="AK394" s="20">
        <f t="shared" si="37"/>
        <v>0</v>
      </c>
      <c r="AL394" s="21">
        <f t="shared" si="34"/>
        <v>0</v>
      </c>
    </row>
    <row r="395" spans="1:38" x14ac:dyDescent="0.25">
      <c r="A395" s="1" t="s">
        <v>889</v>
      </c>
      <c r="B395" s="1" t="s">
        <v>890</v>
      </c>
      <c r="C395" s="1"/>
      <c r="D395" s="4"/>
      <c r="E395" s="4"/>
      <c r="F395" s="4"/>
      <c r="G395" s="4"/>
      <c r="H395" s="4"/>
      <c r="I395" s="4"/>
      <c r="J395" s="4"/>
      <c r="K395" s="4"/>
      <c r="L395" s="4"/>
      <c r="M395" s="11">
        <v>1</v>
      </c>
      <c r="N395" s="4"/>
      <c r="O395" s="11">
        <v>2</v>
      </c>
      <c r="P395" s="11">
        <v>2</v>
      </c>
      <c r="Q395" s="6">
        <v>0</v>
      </c>
      <c r="R395" s="6">
        <v>0</v>
      </c>
      <c r="S395" s="6">
        <v>0</v>
      </c>
      <c r="T395" s="6">
        <v>0</v>
      </c>
      <c r="U395" s="6">
        <v>0</v>
      </c>
      <c r="V395" s="6">
        <v>0</v>
      </c>
      <c r="W395" s="6">
        <v>0</v>
      </c>
      <c r="X395" s="6">
        <v>0</v>
      </c>
      <c r="Y395" s="9">
        <v>0</v>
      </c>
      <c r="Z395" s="5">
        <v>3.9199999999999999E-2</v>
      </c>
      <c r="AA395" s="5">
        <v>0</v>
      </c>
      <c r="AB395" s="5">
        <v>6.6699999999999995E-2</v>
      </c>
      <c r="AC395" s="8">
        <v>5.8700000000000002E-2</v>
      </c>
      <c r="AD395" s="5">
        <v>3.5299999999999998E-2</v>
      </c>
      <c r="AE395" s="5">
        <f>AVERAGE(Z395:AB395)</f>
        <v>3.5299999999999998E-2</v>
      </c>
      <c r="AF395" s="1" t="s">
        <v>34</v>
      </c>
      <c r="AG395" s="19" cm="1">
        <f t="array" ref="AG395">DIASQUIEBRE(Q395:AB395)</f>
        <v>9</v>
      </c>
      <c r="AH395" s="19" cm="1">
        <f t="array" ref="AH395">DiasMesesGris(Q395:AB395)</f>
        <v>240</v>
      </c>
      <c r="AI395" s="19">
        <f t="shared" si="35"/>
        <v>249</v>
      </c>
      <c r="AJ395" s="19">
        <f t="shared" si="36"/>
        <v>111</v>
      </c>
      <c r="AK395" s="20">
        <f t="shared" si="37"/>
        <v>3</v>
      </c>
      <c r="AL395" s="21">
        <f t="shared" si="34"/>
        <v>2.7027027027027029E-2</v>
      </c>
    </row>
    <row r="396" spans="1:38" x14ac:dyDescent="0.25">
      <c r="A396" s="1" t="s">
        <v>891</v>
      </c>
      <c r="B396" s="1" t="s">
        <v>892</v>
      </c>
      <c r="C396" s="1"/>
      <c r="D396" s="4"/>
      <c r="E396" s="4"/>
      <c r="F396" s="4"/>
      <c r="G396" s="4"/>
      <c r="H396" s="4"/>
      <c r="I396" s="11">
        <v>4</v>
      </c>
      <c r="J396" s="11">
        <v>3</v>
      </c>
      <c r="K396" s="4"/>
      <c r="L396" s="11">
        <v>18</v>
      </c>
      <c r="M396" s="11">
        <v>1</v>
      </c>
      <c r="N396" s="11">
        <v>3</v>
      </c>
      <c r="O396" s="11">
        <v>2</v>
      </c>
      <c r="P396" s="11">
        <v>1</v>
      </c>
      <c r="Q396" s="6">
        <v>0</v>
      </c>
      <c r="R396" s="6">
        <v>0</v>
      </c>
      <c r="S396" s="6">
        <v>0</v>
      </c>
      <c r="T396" s="6">
        <v>0</v>
      </c>
      <c r="U396" s="6">
        <v>0</v>
      </c>
      <c r="V396" s="9">
        <v>8.9300000000000004E-2</v>
      </c>
      <c r="W396" s="5">
        <v>0.1613</v>
      </c>
      <c r="X396" s="5">
        <v>0</v>
      </c>
      <c r="Y396" s="5">
        <v>0.5806</v>
      </c>
      <c r="Z396" s="5">
        <v>3.9199999999999999E-2</v>
      </c>
      <c r="AA396" s="5">
        <v>9.6799999999999997E-2</v>
      </c>
      <c r="AB396" s="5">
        <v>6.6699999999999995E-2</v>
      </c>
      <c r="AC396" s="8">
        <v>2.93E-2</v>
      </c>
      <c r="AD396" s="5">
        <v>0.15740000000000001</v>
      </c>
      <c r="AE396" s="5">
        <f>AVERAGE(W396:AB396)</f>
        <v>0.15743333333333334</v>
      </c>
      <c r="AF396" s="1" t="s">
        <v>34</v>
      </c>
      <c r="AG396" s="19" cm="1">
        <f t="array" ref="AG396">DIASQUIEBRE(Q396:AB396)</f>
        <v>3</v>
      </c>
      <c r="AH396" s="19" cm="1">
        <f t="array" ref="AH396">DiasMesesGris(Q396:AB396)</f>
        <v>150</v>
      </c>
      <c r="AI396" s="19">
        <f t="shared" si="35"/>
        <v>153</v>
      </c>
      <c r="AJ396" s="19">
        <f t="shared" si="36"/>
        <v>207</v>
      </c>
      <c r="AK396" s="20">
        <f t="shared" si="37"/>
        <v>31</v>
      </c>
      <c r="AL396" s="21">
        <f t="shared" si="34"/>
        <v>0.14975845410628019</v>
      </c>
    </row>
    <row r="397" spans="1:38" x14ac:dyDescent="0.25">
      <c r="A397" s="1" t="s">
        <v>893</v>
      </c>
      <c r="B397" s="1" t="s">
        <v>894</v>
      </c>
      <c r="C397" s="1"/>
      <c r="D397" s="4"/>
      <c r="E397" s="4"/>
      <c r="F397" s="4"/>
      <c r="G397" s="4"/>
      <c r="H397" s="4"/>
      <c r="I397" s="11">
        <v>6</v>
      </c>
      <c r="J397" s="11">
        <v>1</v>
      </c>
      <c r="K397" s="11">
        <v>2</v>
      </c>
      <c r="L397" s="11">
        <v>16</v>
      </c>
      <c r="M397" s="4"/>
      <c r="N397" s="4"/>
      <c r="O397" s="4"/>
      <c r="P397" s="4"/>
      <c r="Q397" s="6">
        <v>0</v>
      </c>
      <c r="R397" s="6">
        <v>0</v>
      </c>
      <c r="S397" s="6">
        <v>0</v>
      </c>
      <c r="T397" s="6">
        <v>0</v>
      </c>
      <c r="U397" s="6">
        <v>0</v>
      </c>
      <c r="V397" s="9">
        <v>0.13389999999999999</v>
      </c>
      <c r="W397" s="5">
        <v>5.3800000000000001E-2</v>
      </c>
      <c r="X397" s="5">
        <v>0.11899999999999999</v>
      </c>
      <c r="Y397" s="5">
        <v>0.5161</v>
      </c>
      <c r="Z397" s="5">
        <v>0</v>
      </c>
      <c r="AA397" s="5">
        <v>0</v>
      </c>
      <c r="AB397" s="5">
        <v>0</v>
      </c>
      <c r="AC397" s="8">
        <v>0</v>
      </c>
      <c r="AD397" s="5">
        <v>0.1148</v>
      </c>
      <c r="AE397" s="5">
        <f t="shared" ref="AE397" si="38">AVERAGE(W397:AB397)</f>
        <v>0.11481666666666668</v>
      </c>
      <c r="AF397" s="1" t="s">
        <v>34</v>
      </c>
      <c r="AG397" s="19" cm="1">
        <f t="array" ref="AG397">DIASQUIEBRE(Q397:AB397)</f>
        <v>3</v>
      </c>
      <c r="AH397" s="19" cm="1">
        <f t="array" ref="AH397">DiasMesesGris(Q397:AB397)</f>
        <v>150</v>
      </c>
      <c r="AI397" s="19">
        <f t="shared" si="35"/>
        <v>153</v>
      </c>
      <c r="AJ397" s="19">
        <f t="shared" si="36"/>
        <v>207</v>
      </c>
      <c r="AK397" s="20">
        <f t="shared" si="37"/>
        <v>25</v>
      </c>
      <c r="AL397" s="21">
        <f t="shared" si="34"/>
        <v>0.12077294685990338</v>
      </c>
    </row>
    <row r="398" spans="1:38" x14ac:dyDescent="0.25">
      <c r="A398" s="1" t="s">
        <v>895</v>
      </c>
      <c r="B398" s="1" t="s">
        <v>896</v>
      </c>
      <c r="C398" s="1"/>
      <c r="D398" s="4"/>
      <c r="E398" s="4"/>
      <c r="F398" s="4"/>
      <c r="G398" s="4"/>
      <c r="H398" s="4"/>
      <c r="I398" s="11">
        <v>5</v>
      </c>
      <c r="J398" s="4"/>
      <c r="K398" s="11">
        <v>1</v>
      </c>
      <c r="L398" s="11">
        <v>13</v>
      </c>
      <c r="M398" s="4"/>
      <c r="N398" s="11">
        <v>3</v>
      </c>
      <c r="O398" s="11">
        <v>2</v>
      </c>
      <c r="P398" s="11">
        <v>1</v>
      </c>
      <c r="Q398" s="6">
        <v>0</v>
      </c>
      <c r="R398" s="6">
        <v>0</v>
      </c>
      <c r="S398" s="6">
        <v>0</v>
      </c>
      <c r="T398" s="6">
        <v>0</v>
      </c>
      <c r="U398" s="6">
        <v>0</v>
      </c>
      <c r="V398" s="9">
        <v>0.1116</v>
      </c>
      <c r="W398" s="5">
        <v>0</v>
      </c>
      <c r="X398" s="5">
        <v>5.9499999999999997E-2</v>
      </c>
      <c r="Y398" s="5">
        <v>0.4194</v>
      </c>
      <c r="Z398" s="5">
        <v>0</v>
      </c>
      <c r="AA398" s="9">
        <v>0.15790000000000001</v>
      </c>
      <c r="AB398" s="6">
        <v>0</v>
      </c>
      <c r="AC398" s="7">
        <v>0.90910000000000002</v>
      </c>
      <c r="AD398" s="5">
        <v>0.1197</v>
      </c>
      <c r="AE398" s="5">
        <v>0.15</v>
      </c>
      <c r="AF398" s="1" t="s">
        <v>34</v>
      </c>
      <c r="AG398" s="19" cm="1">
        <f t="array" ref="AG398">DIASQUIEBRE(Q398:AB398)</f>
        <v>15</v>
      </c>
      <c r="AH398" s="19" cm="1">
        <f t="array" ref="AH398">DiasMesesGris(Q398:AB398)</f>
        <v>180</v>
      </c>
      <c r="AI398" s="19">
        <f t="shared" si="35"/>
        <v>195</v>
      </c>
      <c r="AJ398" s="19">
        <f t="shared" si="36"/>
        <v>165</v>
      </c>
      <c r="AK398" s="20">
        <f t="shared" si="37"/>
        <v>24</v>
      </c>
      <c r="AL398" s="21">
        <f t="shared" si="34"/>
        <v>0.14545454545454545</v>
      </c>
    </row>
    <row r="399" spans="1:38" x14ac:dyDescent="0.25">
      <c r="A399" s="1" t="s">
        <v>897</v>
      </c>
      <c r="B399" s="1" t="s">
        <v>898</v>
      </c>
      <c r="C399" s="1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6">
        <v>0</v>
      </c>
      <c r="R399" s="6">
        <v>0</v>
      </c>
      <c r="S399" s="6">
        <v>0</v>
      </c>
      <c r="T399" s="6">
        <v>0</v>
      </c>
      <c r="U399" s="6">
        <v>0</v>
      </c>
      <c r="V399" s="6">
        <v>0</v>
      </c>
      <c r="W399" s="6">
        <v>0</v>
      </c>
      <c r="X399" s="6">
        <v>0</v>
      </c>
      <c r="Y399" s="6">
        <v>0</v>
      </c>
      <c r="Z399" s="6">
        <v>0</v>
      </c>
      <c r="AA399" s="6">
        <v>0</v>
      </c>
      <c r="AB399" s="6">
        <v>0</v>
      </c>
      <c r="AC399" s="12">
        <v>0</v>
      </c>
      <c r="AE399" s="5">
        <f t="shared" si="33"/>
        <v>0</v>
      </c>
      <c r="AF399" s="1" t="s">
        <v>34</v>
      </c>
      <c r="AG399" s="19" cm="1">
        <f t="array" ref="AG399">DIASQUIEBRE(Q399:AB399)</f>
        <v>0</v>
      </c>
      <c r="AH399" s="19" cm="1">
        <f t="array" ref="AH399">DiasMesesGris(Q399:AB399)</f>
        <v>360</v>
      </c>
      <c r="AI399" s="19">
        <f t="shared" si="35"/>
        <v>360</v>
      </c>
      <c r="AJ399" s="19">
        <f t="shared" si="36"/>
        <v>0</v>
      </c>
      <c r="AK399" s="20">
        <f t="shared" si="37"/>
        <v>0</v>
      </c>
      <c r="AL399" s="21">
        <f t="shared" si="34"/>
        <v>0</v>
      </c>
    </row>
    <row r="400" spans="1:38" x14ac:dyDescent="0.25">
      <c r="A400" s="1" t="s">
        <v>899</v>
      </c>
      <c r="B400" s="1" t="s">
        <v>900</v>
      </c>
      <c r="C400" s="1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6">
        <v>0</v>
      </c>
      <c r="R400" s="6">
        <v>0</v>
      </c>
      <c r="S400" s="6">
        <v>0</v>
      </c>
      <c r="T400" s="6">
        <v>0</v>
      </c>
      <c r="U400" s="6">
        <v>0</v>
      </c>
      <c r="V400" s="6">
        <v>0</v>
      </c>
      <c r="W400" s="6">
        <v>0</v>
      </c>
      <c r="X400" s="6">
        <v>0</v>
      </c>
      <c r="Y400" s="6">
        <v>0</v>
      </c>
      <c r="Z400" s="6">
        <v>0</v>
      </c>
      <c r="AA400" s="6">
        <v>0</v>
      </c>
      <c r="AB400" s="6">
        <v>0</v>
      </c>
      <c r="AC400" s="12">
        <v>0</v>
      </c>
      <c r="AE400" s="5">
        <f t="shared" si="33"/>
        <v>0</v>
      </c>
      <c r="AF400" s="1" t="s">
        <v>34</v>
      </c>
      <c r="AG400" s="19" cm="1">
        <f t="array" ref="AG400">DIASQUIEBRE(Q400:AB400)</f>
        <v>0</v>
      </c>
      <c r="AH400" s="19" cm="1">
        <f t="array" ref="AH400">DiasMesesGris(Q400:AB400)</f>
        <v>360</v>
      </c>
      <c r="AI400" s="19">
        <f t="shared" si="35"/>
        <v>360</v>
      </c>
      <c r="AJ400" s="19">
        <f t="shared" si="36"/>
        <v>0</v>
      </c>
      <c r="AK400" s="20">
        <f t="shared" si="37"/>
        <v>0</v>
      </c>
      <c r="AL400" s="21">
        <f t="shared" si="34"/>
        <v>0</v>
      </c>
    </row>
    <row r="401" spans="1:38" x14ac:dyDescent="0.25">
      <c r="A401" s="1" t="s">
        <v>901</v>
      </c>
      <c r="B401" s="1" t="s">
        <v>902</v>
      </c>
      <c r="C401" s="1"/>
      <c r="D401" s="11">
        <v>17</v>
      </c>
      <c r="E401" s="11">
        <v>17</v>
      </c>
      <c r="F401" s="11">
        <v>44</v>
      </c>
      <c r="G401" s="11">
        <v>23</v>
      </c>
      <c r="H401" s="11">
        <v>16</v>
      </c>
      <c r="I401" s="11">
        <v>13</v>
      </c>
      <c r="J401" s="11">
        <v>37</v>
      </c>
      <c r="K401" s="11">
        <v>8</v>
      </c>
      <c r="L401" s="11">
        <v>19</v>
      </c>
      <c r="M401" s="11">
        <v>34</v>
      </c>
      <c r="N401" s="11">
        <v>7</v>
      </c>
      <c r="O401" s="11">
        <v>26</v>
      </c>
      <c r="P401" s="11">
        <v>26</v>
      </c>
      <c r="Q401" s="9">
        <v>0.58620000000000005</v>
      </c>
      <c r="R401" s="5">
        <v>0.5484</v>
      </c>
      <c r="S401" s="5">
        <v>1.4666999999999999</v>
      </c>
      <c r="T401" s="5">
        <v>0.7419</v>
      </c>
      <c r="U401" s="5">
        <v>0.5333</v>
      </c>
      <c r="V401" s="5">
        <v>0.4194</v>
      </c>
      <c r="W401" s="5">
        <v>1.1935</v>
      </c>
      <c r="X401" s="5">
        <v>0.28570000000000001</v>
      </c>
      <c r="Y401" s="5">
        <v>0.6129</v>
      </c>
      <c r="Z401" s="5">
        <v>1.1333</v>
      </c>
      <c r="AA401" s="5">
        <v>0.2258</v>
      </c>
      <c r="AB401" s="5">
        <v>0.86670000000000003</v>
      </c>
      <c r="AC401" s="8">
        <v>0.8387</v>
      </c>
      <c r="AD401" s="5">
        <v>0.7298</v>
      </c>
      <c r="AE401" s="5">
        <f t="shared" si="33"/>
        <v>0.67675714285714295</v>
      </c>
      <c r="AF401" s="1" t="s">
        <v>34</v>
      </c>
      <c r="AG401" s="19" cm="1">
        <f t="array" ref="AG401">DIASQUIEBRE(Q401:AB401)</f>
        <v>2</v>
      </c>
      <c r="AH401" s="19" cm="1">
        <f t="array" ref="AH401">DiasMesesGris(Q401:AB401)</f>
        <v>0</v>
      </c>
      <c r="AI401" s="19">
        <f t="shared" si="35"/>
        <v>2</v>
      </c>
      <c r="AJ401" s="19">
        <f t="shared" si="36"/>
        <v>358</v>
      </c>
      <c r="AK401" s="20">
        <f t="shared" si="37"/>
        <v>261</v>
      </c>
      <c r="AL401" s="21">
        <f t="shared" si="34"/>
        <v>0.72905027932960897</v>
      </c>
    </row>
    <row r="402" spans="1:38" x14ac:dyDescent="0.25">
      <c r="A402" s="1" t="s">
        <v>903</v>
      </c>
      <c r="B402" s="1" t="s">
        <v>904</v>
      </c>
      <c r="C402" s="1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11">
        <v>3</v>
      </c>
      <c r="O402" s="4"/>
      <c r="P402" s="11">
        <v>3</v>
      </c>
      <c r="Q402" s="6">
        <v>0</v>
      </c>
      <c r="R402" s="6">
        <v>0</v>
      </c>
      <c r="S402" s="6">
        <v>0</v>
      </c>
      <c r="T402" s="6">
        <v>0</v>
      </c>
      <c r="U402" s="6">
        <v>0</v>
      </c>
      <c r="V402" s="6">
        <v>0</v>
      </c>
      <c r="W402" s="6">
        <v>0</v>
      </c>
      <c r="X402" s="6">
        <v>0</v>
      </c>
      <c r="Y402" s="6">
        <v>0</v>
      </c>
      <c r="Z402" s="9">
        <v>0</v>
      </c>
      <c r="AA402" s="5">
        <v>9.6799999999999997E-2</v>
      </c>
      <c r="AB402" s="5">
        <v>0</v>
      </c>
      <c r="AC402" s="8">
        <v>9.6799999999999997E-2</v>
      </c>
      <c r="AD402" s="5">
        <v>4.8399999999999999E-2</v>
      </c>
      <c r="AE402" s="5">
        <v>0.05</v>
      </c>
      <c r="AF402" s="1" t="s">
        <v>34</v>
      </c>
      <c r="AG402" s="19" cm="1">
        <f t="array" ref="AG402">DIASQUIEBRE(Q402:AB402)</f>
        <v>29</v>
      </c>
      <c r="AH402" s="19" cm="1">
        <f t="array" ref="AH402">DiasMesesGris(Q402:AB402)</f>
        <v>270</v>
      </c>
      <c r="AI402" s="19">
        <f t="shared" si="35"/>
        <v>299</v>
      </c>
      <c r="AJ402" s="19">
        <f t="shared" si="36"/>
        <v>61</v>
      </c>
      <c r="AK402" s="20">
        <f t="shared" si="37"/>
        <v>3</v>
      </c>
      <c r="AL402" s="21">
        <f t="shared" si="34"/>
        <v>4.9180327868852458E-2</v>
      </c>
    </row>
    <row r="403" spans="1:38" x14ac:dyDescent="0.25">
      <c r="A403" s="3" t="s">
        <v>905</v>
      </c>
      <c r="B403" s="1" t="s">
        <v>906</v>
      </c>
      <c r="C403" s="1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6">
        <v>0</v>
      </c>
      <c r="R403" s="6">
        <v>0</v>
      </c>
      <c r="S403" s="6">
        <v>0</v>
      </c>
      <c r="T403" s="6">
        <v>0</v>
      </c>
      <c r="U403" s="6">
        <v>0</v>
      </c>
      <c r="V403" s="6">
        <v>0</v>
      </c>
      <c r="W403" s="6">
        <v>0</v>
      </c>
      <c r="X403" s="6">
        <v>0</v>
      </c>
      <c r="Y403" s="6">
        <v>0</v>
      </c>
      <c r="Z403" s="6">
        <v>0</v>
      </c>
      <c r="AA403" s="6">
        <v>0</v>
      </c>
      <c r="AB403" s="6">
        <v>0</v>
      </c>
      <c r="AC403" s="12">
        <v>0</v>
      </c>
      <c r="AE403" s="5">
        <f t="shared" si="33"/>
        <v>0</v>
      </c>
      <c r="AF403" s="1" t="s">
        <v>34</v>
      </c>
      <c r="AG403" s="19" cm="1">
        <f t="array" ref="AG403">DIASQUIEBRE(Q403:AB403)</f>
        <v>0</v>
      </c>
      <c r="AH403" s="19" cm="1">
        <f t="array" ref="AH403">DiasMesesGris(Q403:AB403)</f>
        <v>360</v>
      </c>
      <c r="AI403" s="19">
        <f t="shared" si="35"/>
        <v>360</v>
      </c>
      <c r="AJ403" s="19">
        <f t="shared" si="36"/>
        <v>0</v>
      </c>
      <c r="AK403" s="20">
        <f t="shared" si="37"/>
        <v>0</v>
      </c>
      <c r="AL403" s="21">
        <f t="shared" si="34"/>
        <v>0</v>
      </c>
    </row>
    <row r="404" spans="1:38" x14ac:dyDescent="0.25">
      <c r="A404" s="3" t="s">
        <v>907</v>
      </c>
      <c r="B404" s="1" t="s">
        <v>908</v>
      </c>
      <c r="C404" s="1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6">
        <v>0</v>
      </c>
      <c r="R404" s="6">
        <v>0</v>
      </c>
      <c r="S404" s="6">
        <v>0</v>
      </c>
      <c r="T404" s="6">
        <v>0</v>
      </c>
      <c r="U404" s="6">
        <v>0</v>
      </c>
      <c r="V404" s="6">
        <v>0</v>
      </c>
      <c r="W404" s="6">
        <v>0</v>
      </c>
      <c r="X404" s="6">
        <v>0</v>
      </c>
      <c r="Y404" s="6">
        <v>0</v>
      </c>
      <c r="Z404" s="6">
        <v>0</v>
      </c>
      <c r="AA404" s="6">
        <v>0</v>
      </c>
      <c r="AB404" s="6">
        <v>0</v>
      </c>
      <c r="AC404" s="12">
        <v>0</v>
      </c>
      <c r="AE404" s="5">
        <f t="shared" si="33"/>
        <v>0</v>
      </c>
      <c r="AF404" s="1" t="s">
        <v>34</v>
      </c>
      <c r="AG404" s="19" cm="1">
        <f t="array" ref="AG404">DIASQUIEBRE(Q404:AB404)</f>
        <v>0</v>
      </c>
      <c r="AH404" s="19" cm="1">
        <f t="array" ref="AH404">DiasMesesGris(Q404:AB404)</f>
        <v>360</v>
      </c>
      <c r="AI404" s="19">
        <f t="shared" si="35"/>
        <v>360</v>
      </c>
      <c r="AJ404" s="19">
        <f t="shared" si="36"/>
        <v>0</v>
      </c>
      <c r="AK404" s="20">
        <f t="shared" si="37"/>
        <v>0</v>
      </c>
      <c r="AL404" s="21">
        <f t="shared" si="34"/>
        <v>0</v>
      </c>
    </row>
    <row r="405" spans="1:38" x14ac:dyDescent="0.25">
      <c r="A405" s="3" t="s">
        <v>909</v>
      </c>
      <c r="B405" s="1" t="s">
        <v>910</v>
      </c>
      <c r="C405" s="1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6">
        <v>0</v>
      </c>
      <c r="R405" s="6">
        <v>0</v>
      </c>
      <c r="S405" s="6">
        <v>0</v>
      </c>
      <c r="T405" s="6">
        <v>0</v>
      </c>
      <c r="U405" s="6">
        <v>0</v>
      </c>
      <c r="V405" s="6">
        <v>0</v>
      </c>
      <c r="W405" s="6">
        <v>0</v>
      </c>
      <c r="X405" s="6">
        <v>0</v>
      </c>
      <c r="Y405" s="6">
        <v>0</v>
      </c>
      <c r="Z405" s="6">
        <v>0</v>
      </c>
      <c r="AA405" s="6">
        <v>0</v>
      </c>
      <c r="AB405" s="6">
        <v>0</v>
      </c>
      <c r="AC405" s="12">
        <v>0</v>
      </c>
      <c r="AE405" s="5">
        <f t="shared" si="33"/>
        <v>0</v>
      </c>
      <c r="AF405" s="1" t="s">
        <v>34</v>
      </c>
      <c r="AG405" s="19" cm="1">
        <f t="array" ref="AG405">DIASQUIEBRE(Q405:AB405)</f>
        <v>0</v>
      </c>
      <c r="AH405" s="19" cm="1">
        <f t="array" ref="AH405">DiasMesesGris(Q405:AB405)</f>
        <v>360</v>
      </c>
      <c r="AI405" s="19">
        <f t="shared" si="35"/>
        <v>360</v>
      </c>
      <c r="AJ405" s="19">
        <f t="shared" si="36"/>
        <v>0</v>
      </c>
      <c r="AK405" s="20">
        <f t="shared" si="37"/>
        <v>0</v>
      </c>
      <c r="AL405" s="21">
        <f t="shared" si="34"/>
        <v>0</v>
      </c>
    </row>
    <row r="406" spans="1:38" x14ac:dyDescent="0.25">
      <c r="A406" s="1" t="s">
        <v>911</v>
      </c>
      <c r="B406" s="1" t="s">
        <v>912</v>
      </c>
      <c r="C406" s="1"/>
      <c r="D406" s="11">
        <v>19</v>
      </c>
      <c r="E406" s="11">
        <v>19</v>
      </c>
      <c r="F406" s="11">
        <v>13</v>
      </c>
      <c r="G406" s="11">
        <v>22</v>
      </c>
      <c r="H406" s="11">
        <v>47</v>
      </c>
      <c r="I406" s="11">
        <v>115</v>
      </c>
      <c r="J406" s="11">
        <v>16</v>
      </c>
      <c r="K406" s="11">
        <v>22</v>
      </c>
      <c r="L406" s="11">
        <v>20</v>
      </c>
      <c r="M406" s="11">
        <v>12</v>
      </c>
      <c r="N406" s="11">
        <v>17</v>
      </c>
      <c r="O406" s="11">
        <v>13</v>
      </c>
      <c r="P406" s="4"/>
      <c r="Q406" s="9">
        <v>0.504</v>
      </c>
      <c r="R406" s="9">
        <v>0.73080000000000001</v>
      </c>
      <c r="S406" s="9">
        <v>0.6633</v>
      </c>
      <c r="T406" s="5">
        <v>0.7097</v>
      </c>
      <c r="U406" s="9">
        <v>1.28</v>
      </c>
      <c r="V406" s="9">
        <v>2.4159999999999999</v>
      </c>
      <c r="W406" s="5">
        <v>0.86019999999999996</v>
      </c>
      <c r="X406" s="5">
        <v>1.3095000000000001</v>
      </c>
      <c r="Y406" s="5">
        <v>0.6452</v>
      </c>
      <c r="Z406" s="5">
        <v>0.47620000000000001</v>
      </c>
      <c r="AA406" s="5">
        <v>0.5484</v>
      </c>
      <c r="AB406" s="9">
        <v>0.84970000000000001</v>
      </c>
      <c r="AC406" s="7">
        <v>0</v>
      </c>
      <c r="AD406" s="5">
        <v>0.75819999999999999</v>
      </c>
      <c r="AE406" s="5">
        <f t="shared" si="33"/>
        <v>1.0150285714285716</v>
      </c>
      <c r="AF406" s="1" t="s">
        <v>34</v>
      </c>
      <c r="AG406" s="19" cm="1">
        <f t="array" ref="AG406">DIASQUIEBRE(Q406:AB406)</f>
        <v>28</v>
      </c>
      <c r="AH406" s="19" cm="1">
        <f t="array" ref="AH406">DiasMesesGris(Q406:AB406)</f>
        <v>0</v>
      </c>
      <c r="AI406" s="19">
        <f t="shared" si="35"/>
        <v>28</v>
      </c>
      <c r="AJ406" s="19">
        <f t="shared" si="36"/>
        <v>332</v>
      </c>
      <c r="AK406" s="20">
        <f t="shared" si="37"/>
        <v>335</v>
      </c>
      <c r="AL406" s="21">
        <f t="shared" si="34"/>
        <v>1.0090361445783131</v>
      </c>
    </row>
    <row r="407" spans="1:38" x14ac:dyDescent="0.25">
      <c r="A407" s="1" t="s">
        <v>913</v>
      </c>
      <c r="B407" s="1" t="s">
        <v>914</v>
      </c>
      <c r="C407" s="1"/>
      <c r="D407" s="11">
        <v>13</v>
      </c>
      <c r="E407" s="11">
        <v>23</v>
      </c>
      <c r="F407" s="11">
        <v>4</v>
      </c>
      <c r="G407" s="11">
        <v>15</v>
      </c>
      <c r="H407" s="11">
        <v>24</v>
      </c>
      <c r="I407" s="11">
        <v>12</v>
      </c>
      <c r="J407" s="11">
        <v>5</v>
      </c>
      <c r="K407" s="11">
        <v>11</v>
      </c>
      <c r="L407" s="11">
        <v>12</v>
      </c>
      <c r="M407" s="11">
        <v>1</v>
      </c>
      <c r="N407" s="11">
        <v>12</v>
      </c>
      <c r="O407" s="11">
        <v>16</v>
      </c>
      <c r="P407" s="11">
        <v>6</v>
      </c>
      <c r="Q407" s="9">
        <v>0.3448</v>
      </c>
      <c r="R407" s="5">
        <v>0.7419</v>
      </c>
      <c r="S407" s="5">
        <v>0.1905</v>
      </c>
      <c r="T407" s="5">
        <v>0.4839</v>
      </c>
      <c r="U407" s="9">
        <v>0.67869999999999997</v>
      </c>
      <c r="V407" s="9">
        <v>0.25209999999999999</v>
      </c>
      <c r="W407" s="5">
        <v>0.26879999999999998</v>
      </c>
      <c r="X407" s="5">
        <v>0.65480000000000005</v>
      </c>
      <c r="Y407" s="5">
        <v>0.3871</v>
      </c>
      <c r="Z407" s="5">
        <v>3.9699999999999999E-2</v>
      </c>
      <c r="AA407" s="5">
        <v>0.3871</v>
      </c>
      <c r="AB407" s="5">
        <v>0.59260000000000002</v>
      </c>
      <c r="AC407" s="8">
        <v>0.1489</v>
      </c>
      <c r="AD407" s="5">
        <v>0.4163</v>
      </c>
      <c r="AE407" s="5">
        <f t="shared" si="33"/>
        <v>0.36888571428571432</v>
      </c>
      <c r="AF407" s="1" t="s">
        <v>34</v>
      </c>
      <c r="AG407" s="19" cm="1">
        <f t="array" ref="AG407">DIASQUIEBRE(Q407:AB407)</f>
        <v>9</v>
      </c>
      <c r="AH407" s="19" cm="1">
        <f t="array" ref="AH407">DiasMesesGris(Q407:AB407)</f>
        <v>0</v>
      </c>
      <c r="AI407" s="19">
        <f t="shared" si="35"/>
        <v>9</v>
      </c>
      <c r="AJ407" s="19">
        <f t="shared" si="36"/>
        <v>351</v>
      </c>
      <c r="AK407" s="20">
        <f t="shared" si="37"/>
        <v>148</v>
      </c>
      <c r="AL407" s="21">
        <f t="shared" si="34"/>
        <v>0.42165242165242167</v>
      </c>
    </row>
    <row r="408" spans="1:38" x14ac:dyDescent="0.25">
      <c r="A408" s="1" t="s">
        <v>915</v>
      </c>
      <c r="B408" s="1" t="s">
        <v>916</v>
      </c>
      <c r="C408" s="1"/>
      <c r="D408" s="11">
        <v>13</v>
      </c>
      <c r="E408" s="11">
        <v>20</v>
      </c>
      <c r="F408" s="11">
        <v>10</v>
      </c>
      <c r="G408" s="4"/>
      <c r="H408" s="11">
        <v>-1</v>
      </c>
      <c r="I408" s="11">
        <v>1</v>
      </c>
      <c r="J408" s="4"/>
      <c r="K408" s="4"/>
      <c r="L408" s="4"/>
      <c r="M408" s="4"/>
      <c r="N408" s="4"/>
      <c r="O408" s="4"/>
      <c r="P408" s="4"/>
      <c r="Q408" s="5">
        <v>0.3226</v>
      </c>
      <c r="R408" s="5">
        <v>0.6452</v>
      </c>
      <c r="S408" s="9">
        <v>0.59519999999999995</v>
      </c>
      <c r="T408" s="6">
        <v>0</v>
      </c>
      <c r="U408" s="6">
        <v>0</v>
      </c>
      <c r="V408" s="6">
        <v>0</v>
      </c>
      <c r="W408" s="6">
        <v>0</v>
      </c>
      <c r="X408" s="6">
        <v>0</v>
      </c>
      <c r="Y408" s="6">
        <v>0</v>
      </c>
      <c r="Z408" s="6">
        <v>0</v>
      </c>
      <c r="AA408" s="6">
        <v>0</v>
      </c>
      <c r="AB408" s="6">
        <v>0</v>
      </c>
      <c r="AC408" s="7">
        <v>0</v>
      </c>
      <c r="AD408" s="5">
        <v>0.4839</v>
      </c>
      <c r="AE408" s="5">
        <f t="shared" si="33"/>
        <v>0</v>
      </c>
      <c r="AF408" s="1" t="s">
        <v>34</v>
      </c>
      <c r="AG408" s="19" cm="1">
        <f t="array" ref="AG408">DIASQUIEBRE(Q408:AB408)</f>
        <v>6</v>
      </c>
      <c r="AH408" s="19" cm="1">
        <f t="array" ref="AH408">DiasMesesGris(Q408:AB408)</f>
        <v>270</v>
      </c>
      <c r="AI408" s="19">
        <f t="shared" si="35"/>
        <v>276</v>
      </c>
      <c r="AJ408" s="19">
        <f t="shared" si="36"/>
        <v>84</v>
      </c>
      <c r="AK408" s="20">
        <f t="shared" si="37"/>
        <v>43</v>
      </c>
      <c r="AL408" s="21">
        <f t="shared" si="34"/>
        <v>0.51190476190476186</v>
      </c>
    </row>
    <row r="409" spans="1:38" x14ac:dyDescent="0.25">
      <c r="A409" s="1" t="s">
        <v>917</v>
      </c>
      <c r="B409" s="1" t="s">
        <v>918</v>
      </c>
      <c r="C409" s="1"/>
      <c r="D409" s="11">
        <v>1</v>
      </c>
      <c r="E409" s="11">
        <v>1</v>
      </c>
      <c r="F409" s="11">
        <v>3</v>
      </c>
      <c r="G409" s="11">
        <v>17</v>
      </c>
      <c r="H409" s="11">
        <v>19</v>
      </c>
      <c r="I409" s="11">
        <v>116</v>
      </c>
      <c r="J409" s="11">
        <v>8</v>
      </c>
      <c r="K409" s="11">
        <v>8</v>
      </c>
      <c r="L409" s="11">
        <v>4</v>
      </c>
      <c r="M409" s="11">
        <v>11</v>
      </c>
      <c r="N409" s="11">
        <v>11</v>
      </c>
      <c r="O409" s="11">
        <v>1</v>
      </c>
      <c r="P409" s="4"/>
      <c r="Q409" s="6">
        <v>0</v>
      </c>
      <c r="R409" s="6">
        <v>0</v>
      </c>
      <c r="S409" s="9">
        <v>0.15310000000000001</v>
      </c>
      <c r="T409" s="5">
        <v>0.5484</v>
      </c>
      <c r="U409" s="9">
        <v>0.55879999999999996</v>
      </c>
      <c r="V409" s="9">
        <v>2.4369999999999998</v>
      </c>
      <c r="W409" s="5">
        <v>0.43009999999999998</v>
      </c>
      <c r="X409" s="5">
        <v>0.47620000000000001</v>
      </c>
      <c r="Y409" s="5">
        <v>0.129</v>
      </c>
      <c r="Z409" s="5">
        <v>0.4365</v>
      </c>
      <c r="AA409" s="9">
        <v>0.42309999999999998</v>
      </c>
      <c r="AB409" s="6">
        <v>0</v>
      </c>
      <c r="AC409" s="7">
        <v>0</v>
      </c>
      <c r="AD409" s="5">
        <v>0.40400000000000003</v>
      </c>
      <c r="AE409" s="5">
        <f>AVERAGE(U409:AA409)</f>
        <v>0.6986714285714285</v>
      </c>
      <c r="AF409" s="1" t="s">
        <v>34</v>
      </c>
      <c r="AG409" s="19" cm="1">
        <f t="array" ref="AG409">DIASQUIEBRE(Q409:AB409)</f>
        <v>15</v>
      </c>
      <c r="AH409" s="19" cm="1">
        <f t="array" ref="AH409">DiasMesesGris(Q409:AB409)</f>
        <v>90</v>
      </c>
      <c r="AI409" s="19">
        <f t="shared" si="35"/>
        <v>105</v>
      </c>
      <c r="AJ409" s="19">
        <f t="shared" si="36"/>
        <v>255</v>
      </c>
      <c r="AK409" s="20">
        <f t="shared" si="37"/>
        <v>200</v>
      </c>
      <c r="AL409" s="21">
        <f t="shared" si="34"/>
        <v>0.78431372549019607</v>
      </c>
    </row>
    <row r="410" spans="1:38" x14ac:dyDescent="0.25">
      <c r="A410" s="1" t="s">
        <v>919</v>
      </c>
      <c r="B410" s="1" t="s">
        <v>920</v>
      </c>
      <c r="C410" s="1"/>
      <c r="D410" s="4"/>
      <c r="E410" s="4"/>
      <c r="F410" s="11">
        <v>3</v>
      </c>
      <c r="G410" s="11">
        <v>7</v>
      </c>
      <c r="H410" s="11">
        <v>19</v>
      </c>
      <c r="I410" s="11">
        <v>15</v>
      </c>
      <c r="J410" s="11">
        <v>3</v>
      </c>
      <c r="K410" s="11">
        <v>10</v>
      </c>
      <c r="L410" s="11">
        <v>9</v>
      </c>
      <c r="M410" s="11">
        <v>6</v>
      </c>
      <c r="N410" s="11">
        <v>5</v>
      </c>
      <c r="O410" s="11">
        <v>3</v>
      </c>
      <c r="P410" s="11">
        <v>9</v>
      </c>
      <c r="Q410" s="6">
        <v>0</v>
      </c>
      <c r="R410" s="6">
        <v>0</v>
      </c>
      <c r="S410" s="9">
        <v>0.15310000000000001</v>
      </c>
      <c r="T410" s="5">
        <v>0.2258</v>
      </c>
      <c r="U410" s="5">
        <v>0.4657</v>
      </c>
      <c r="V410" s="5">
        <v>0.28460000000000002</v>
      </c>
      <c r="W410" s="5">
        <v>0.1613</v>
      </c>
      <c r="X410" s="5">
        <v>0.59519999999999995</v>
      </c>
      <c r="Y410" s="5">
        <v>0.2903</v>
      </c>
      <c r="Z410" s="5">
        <v>0.23810000000000001</v>
      </c>
      <c r="AA410" s="5">
        <v>0.1613</v>
      </c>
      <c r="AB410" s="5">
        <v>0.1111</v>
      </c>
      <c r="AC410" s="8">
        <v>0.2233</v>
      </c>
      <c r="AD410" s="5">
        <v>0.28149999999999997</v>
      </c>
      <c r="AE410" s="5">
        <f t="shared" si="33"/>
        <v>0.26312857142857143</v>
      </c>
      <c r="AF410" s="1" t="s">
        <v>34</v>
      </c>
      <c r="AG410" s="19" cm="1">
        <f t="array" ref="AG410">DIASQUIEBRE(Q410:AB410)</f>
        <v>2</v>
      </c>
      <c r="AH410" s="19" cm="1">
        <f t="array" ref="AH410">DiasMesesGris(Q410:AB410)</f>
        <v>60</v>
      </c>
      <c r="AI410" s="19">
        <f t="shared" si="35"/>
        <v>62</v>
      </c>
      <c r="AJ410" s="19">
        <f t="shared" si="36"/>
        <v>298</v>
      </c>
      <c r="AK410" s="20">
        <f t="shared" si="37"/>
        <v>80</v>
      </c>
      <c r="AL410" s="21">
        <f t="shared" si="34"/>
        <v>0.26845637583892618</v>
      </c>
    </row>
    <row r="411" spans="1:38" x14ac:dyDescent="0.25">
      <c r="A411" s="1" t="s">
        <v>921</v>
      </c>
      <c r="B411" s="1" t="s">
        <v>922</v>
      </c>
      <c r="C411" s="1"/>
      <c r="D411" s="4"/>
      <c r="E411" s="4"/>
      <c r="F411" s="11">
        <v>1</v>
      </c>
      <c r="G411" s="11">
        <v>6</v>
      </c>
      <c r="H411" s="11">
        <v>12</v>
      </c>
      <c r="I411" s="11">
        <v>8</v>
      </c>
      <c r="J411" s="11">
        <v>5</v>
      </c>
      <c r="K411" s="11">
        <v>9</v>
      </c>
      <c r="L411" s="11">
        <v>3</v>
      </c>
      <c r="M411" s="11">
        <v>1</v>
      </c>
      <c r="N411" s="11">
        <v>2</v>
      </c>
      <c r="O411" s="11">
        <v>2</v>
      </c>
      <c r="P411" s="11">
        <v>5</v>
      </c>
      <c r="Q411" s="6">
        <v>0</v>
      </c>
      <c r="R411" s="6">
        <v>0</v>
      </c>
      <c r="S411" s="9">
        <v>5.0999999999999997E-2</v>
      </c>
      <c r="T411" s="5">
        <v>0.19350000000000001</v>
      </c>
      <c r="U411" s="5">
        <v>0.29409999999999997</v>
      </c>
      <c r="V411" s="5">
        <v>0.15179999999999999</v>
      </c>
      <c r="W411" s="5">
        <v>0.26879999999999998</v>
      </c>
      <c r="X411" s="5">
        <v>0.53569999999999995</v>
      </c>
      <c r="Y411" s="5">
        <v>9.6799999999999997E-2</v>
      </c>
      <c r="Z411" s="5">
        <v>3.9699999999999999E-2</v>
      </c>
      <c r="AA411" s="5">
        <v>6.4500000000000002E-2</v>
      </c>
      <c r="AB411" s="5">
        <v>7.4099999999999999E-2</v>
      </c>
      <c r="AC411" s="8">
        <v>0.1241</v>
      </c>
      <c r="AD411" s="5">
        <v>0.191</v>
      </c>
      <c r="AE411" s="5">
        <f t="shared" si="33"/>
        <v>0.17591428571428572</v>
      </c>
      <c r="AF411" s="1" t="s">
        <v>34</v>
      </c>
      <c r="AG411" s="19" cm="1">
        <f t="array" ref="AG411">DIASQUIEBRE(Q411:AB411)</f>
        <v>2</v>
      </c>
      <c r="AH411" s="19" cm="1">
        <f t="array" ref="AH411">DiasMesesGris(Q411:AB411)</f>
        <v>60</v>
      </c>
      <c r="AI411" s="19">
        <f t="shared" si="35"/>
        <v>62</v>
      </c>
      <c r="AJ411" s="19">
        <f t="shared" si="36"/>
        <v>298</v>
      </c>
      <c r="AK411" s="20">
        <f t="shared" si="37"/>
        <v>49</v>
      </c>
      <c r="AL411" s="21">
        <f t="shared" si="34"/>
        <v>0.16442953020134229</v>
      </c>
    </row>
    <row r="412" spans="1:38" x14ac:dyDescent="0.25">
      <c r="A412" s="1" t="s">
        <v>923</v>
      </c>
      <c r="B412" s="1" t="s">
        <v>924</v>
      </c>
      <c r="C412" s="1"/>
      <c r="D412" s="11">
        <v>3</v>
      </c>
      <c r="E412" s="11">
        <v>1</v>
      </c>
      <c r="F412" s="4"/>
      <c r="G412" s="4"/>
      <c r="H412" s="4"/>
      <c r="I412" s="4"/>
      <c r="J412" s="4"/>
      <c r="K412" s="4"/>
      <c r="L412" s="4"/>
      <c r="M412" s="11">
        <v>-1</v>
      </c>
      <c r="N412" s="4"/>
      <c r="O412" s="4"/>
      <c r="P412" s="4"/>
      <c r="Q412" s="9">
        <v>0.17749999999999999</v>
      </c>
      <c r="R412" s="6">
        <v>0</v>
      </c>
      <c r="S412" s="6">
        <v>0</v>
      </c>
      <c r="T412" s="6">
        <v>0</v>
      </c>
      <c r="U412" s="6">
        <v>0</v>
      </c>
      <c r="V412" s="6">
        <v>0</v>
      </c>
      <c r="W412" s="6">
        <v>0</v>
      </c>
      <c r="X412" s="6">
        <v>0</v>
      </c>
      <c r="Y412" s="6">
        <v>0</v>
      </c>
      <c r="Z412" s="6">
        <v>0</v>
      </c>
      <c r="AA412" s="6">
        <v>0</v>
      </c>
      <c r="AB412" s="6">
        <v>0</v>
      </c>
      <c r="AC412" s="7">
        <v>0</v>
      </c>
      <c r="AE412" s="5">
        <f t="shared" si="33"/>
        <v>0</v>
      </c>
      <c r="AF412" s="1" t="s">
        <v>34</v>
      </c>
      <c r="AG412" s="19" cm="1">
        <f t="array" ref="AG412">DIASQUIEBRE(Q412:AB412)</f>
        <v>18</v>
      </c>
      <c r="AH412" s="19" cm="1">
        <f t="array" ref="AH412">DiasMesesGris(Q412:AB412)</f>
        <v>330</v>
      </c>
      <c r="AI412" s="19">
        <f t="shared" si="35"/>
        <v>348</v>
      </c>
      <c r="AJ412" s="19">
        <f t="shared" si="36"/>
        <v>12</v>
      </c>
      <c r="AK412" s="20">
        <f t="shared" si="37"/>
        <v>3</v>
      </c>
      <c r="AL412" s="21">
        <f t="shared" si="34"/>
        <v>0.25</v>
      </c>
    </row>
    <row r="413" spans="1:38" x14ac:dyDescent="0.25">
      <c r="A413" s="1" t="s">
        <v>925</v>
      </c>
      <c r="B413" s="1" t="s">
        <v>926</v>
      </c>
      <c r="C413" s="1"/>
      <c r="D413" s="11">
        <v>6</v>
      </c>
      <c r="E413" s="11">
        <v>14</v>
      </c>
      <c r="F413" s="11">
        <v>3</v>
      </c>
      <c r="G413" s="11">
        <v>5</v>
      </c>
      <c r="H413" s="11">
        <v>15</v>
      </c>
      <c r="I413" s="11">
        <v>15</v>
      </c>
      <c r="J413" s="11">
        <v>7</v>
      </c>
      <c r="K413" s="11">
        <v>9</v>
      </c>
      <c r="L413" s="11">
        <v>5</v>
      </c>
      <c r="M413" s="11">
        <v>9</v>
      </c>
      <c r="N413" s="11">
        <v>1</v>
      </c>
      <c r="O413" s="4"/>
      <c r="P413" s="4"/>
      <c r="Q413" s="5">
        <v>0.1489</v>
      </c>
      <c r="R413" s="5">
        <v>0.4516</v>
      </c>
      <c r="S413" s="5">
        <v>0.1429</v>
      </c>
      <c r="T413" s="5">
        <v>0.1613</v>
      </c>
      <c r="U413" s="5">
        <v>0.36759999999999998</v>
      </c>
      <c r="V413" s="5">
        <v>0.28460000000000002</v>
      </c>
      <c r="W413" s="5">
        <v>0.37630000000000002</v>
      </c>
      <c r="X413" s="5">
        <v>0.53569999999999995</v>
      </c>
      <c r="Y413" s="5">
        <v>0.1613</v>
      </c>
      <c r="Z413" s="9">
        <v>0.46579999999999999</v>
      </c>
      <c r="AA413" s="6">
        <v>0</v>
      </c>
      <c r="AB413" s="6">
        <v>0</v>
      </c>
      <c r="AC413" s="7">
        <v>0</v>
      </c>
      <c r="AD413" s="5">
        <v>0.29220000000000002</v>
      </c>
      <c r="AE413" s="5">
        <f>AVERAGE(T413:Y413)</f>
        <v>0.31446666666666662</v>
      </c>
      <c r="AF413" s="1" t="s">
        <v>34</v>
      </c>
      <c r="AG413" s="19" cm="1">
        <f t="array" ref="AG413">DIASQUIEBRE(Q413:AB413)</f>
        <v>7</v>
      </c>
      <c r="AH413" s="19" cm="1">
        <f t="array" ref="AH413">DiasMesesGris(Q413:AB413)</f>
        <v>60</v>
      </c>
      <c r="AI413" s="19">
        <f t="shared" si="35"/>
        <v>67</v>
      </c>
      <c r="AJ413" s="19">
        <f t="shared" si="36"/>
        <v>293</v>
      </c>
      <c r="AK413" s="20">
        <f t="shared" si="37"/>
        <v>89</v>
      </c>
      <c r="AL413" s="21">
        <f t="shared" si="34"/>
        <v>0.30375426621160412</v>
      </c>
    </row>
    <row r="414" spans="1:38" x14ac:dyDescent="0.25">
      <c r="A414" s="1" t="s">
        <v>927</v>
      </c>
      <c r="B414" s="1" t="s">
        <v>928</v>
      </c>
      <c r="C414" s="1"/>
      <c r="D414" s="4"/>
      <c r="E414" s="11">
        <v>-1</v>
      </c>
      <c r="F414" s="11">
        <v>7</v>
      </c>
      <c r="G414" s="11">
        <v>6</v>
      </c>
      <c r="H414" s="11">
        <v>12</v>
      </c>
      <c r="I414" s="11">
        <v>14</v>
      </c>
      <c r="J414" s="11">
        <v>4</v>
      </c>
      <c r="K414" s="11">
        <v>5</v>
      </c>
      <c r="L414" s="11">
        <v>1</v>
      </c>
      <c r="M414" s="11">
        <v>4</v>
      </c>
      <c r="N414" s="4"/>
      <c r="O414" s="11">
        <v>10</v>
      </c>
      <c r="P414" s="11">
        <v>4</v>
      </c>
      <c r="Q414" s="6">
        <v>0</v>
      </c>
      <c r="R414" s="6">
        <v>0</v>
      </c>
      <c r="S414" s="9">
        <v>0.35709999999999997</v>
      </c>
      <c r="T414" s="5">
        <v>0.19350000000000001</v>
      </c>
      <c r="U414" s="5">
        <v>0.29409999999999997</v>
      </c>
      <c r="V414" s="5">
        <v>0.26569999999999999</v>
      </c>
      <c r="W414" s="5">
        <v>0.21510000000000001</v>
      </c>
      <c r="X414" s="5">
        <v>0.29759999999999998</v>
      </c>
      <c r="Y414" s="5">
        <v>3.2300000000000002E-2</v>
      </c>
      <c r="Z414" s="5">
        <v>0.15870000000000001</v>
      </c>
      <c r="AA414" s="5">
        <v>0</v>
      </c>
      <c r="AB414" s="5">
        <v>0.37040000000000001</v>
      </c>
      <c r="AC414" s="8">
        <v>9.9299999999999999E-2</v>
      </c>
      <c r="AD414" s="5">
        <v>0.20300000000000001</v>
      </c>
      <c r="AE414" s="5">
        <f t="shared" si="33"/>
        <v>0.19140000000000001</v>
      </c>
      <c r="AF414" s="1" t="s">
        <v>34</v>
      </c>
      <c r="AG414" s="19" cm="1">
        <f t="array" ref="AG414">DIASQUIEBRE(Q414:AB414)</f>
        <v>2</v>
      </c>
      <c r="AH414" s="19" cm="1">
        <f t="array" ref="AH414">DiasMesesGris(Q414:AB414)</f>
        <v>60</v>
      </c>
      <c r="AI414" s="19">
        <f t="shared" si="35"/>
        <v>62</v>
      </c>
      <c r="AJ414" s="19">
        <f t="shared" si="36"/>
        <v>298</v>
      </c>
      <c r="AK414" s="20">
        <f t="shared" si="37"/>
        <v>62</v>
      </c>
      <c r="AL414" s="21">
        <f t="shared" si="34"/>
        <v>0.20805369127516779</v>
      </c>
    </row>
    <row r="415" spans="1:38" x14ac:dyDescent="0.25">
      <c r="A415" s="1" t="s">
        <v>929</v>
      </c>
      <c r="B415" s="1" t="s">
        <v>930</v>
      </c>
      <c r="C415" s="1"/>
      <c r="D415" s="4"/>
      <c r="E415" s="4"/>
      <c r="F415" s="11">
        <v>6</v>
      </c>
      <c r="G415" s="11">
        <v>7</v>
      </c>
      <c r="H415" s="11">
        <v>8</v>
      </c>
      <c r="I415" s="11">
        <v>11</v>
      </c>
      <c r="J415" s="11">
        <v>6</v>
      </c>
      <c r="K415" s="11">
        <v>1</v>
      </c>
      <c r="L415" s="4"/>
      <c r="M415" s="4"/>
      <c r="N415" s="4"/>
      <c r="O415" s="11">
        <v>5</v>
      </c>
      <c r="P415" s="11">
        <v>1</v>
      </c>
      <c r="Q415" s="6">
        <v>0</v>
      </c>
      <c r="R415" s="6">
        <v>0</v>
      </c>
      <c r="S415" s="9">
        <v>0.30609999999999998</v>
      </c>
      <c r="T415" s="5">
        <v>0.2258</v>
      </c>
      <c r="U415" s="5">
        <v>0.1961</v>
      </c>
      <c r="V415" s="5">
        <v>0.2087</v>
      </c>
      <c r="W415" s="5">
        <v>0.3226</v>
      </c>
      <c r="X415" s="5">
        <v>5.9499999999999997E-2</v>
      </c>
      <c r="Y415" s="5">
        <v>0</v>
      </c>
      <c r="Z415" s="5">
        <v>0</v>
      </c>
      <c r="AA415" s="5">
        <v>0</v>
      </c>
      <c r="AB415" s="5">
        <v>0.1852</v>
      </c>
      <c r="AC415" s="8">
        <v>2.4799999999999999E-2</v>
      </c>
      <c r="AD415" s="5">
        <v>0.1331</v>
      </c>
      <c r="AE415" s="5">
        <f t="shared" si="33"/>
        <v>0.11085714285714286</v>
      </c>
      <c r="AF415" s="1" t="s">
        <v>34</v>
      </c>
      <c r="AG415" s="19" cm="1">
        <f t="array" ref="AG415">DIASQUIEBRE(Q415:AB415)</f>
        <v>2</v>
      </c>
      <c r="AH415" s="19" cm="1">
        <f t="array" ref="AH415">DiasMesesGris(Q415:AB415)</f>
        <v>60</v>
      </c>
      <c r="AI415" s="19">
        <f t="shared" si="35"/>
        <v>62</v>
      </c>
      <c r="AJ415" s="19">
        <f t="shared" si="36"/>
        <v>298</v>
      </c>
      <c r="AK415" s="20">
        <f t="shared" si="37"/>
        <v>44</v>
      </c>
      <c r="AL415" s="21">
        <f t="shared" si="34"/>
        <v>0.1476510067114094</v>
      </c>
    </row>
    <row r="416" spans="1:38" x14ac:dyDescent="0.25">
      <c r="A416" s="1" t="s">
        <v>931</v>
      </c>
      <c r="B416" s="1" t="s">
        <v>932</v>
      </c>
      <c r="C416" s="1" t="s">
        <v>933</v>
      </c>
      <c r="D416" s="4"/>
      <c r="E416" s="4"/>
      <c r="F416" s="4"/>
      <c r="G416" s="4"/>
      <c r="H416" s="4"/>
      <c r="I416" s="4"/>
      <c r="J416" s="11">
        <v>4</v>
      </c>
      <c r="K416" s="11">
        <v>7</v>
      </c>
      <c r="L416" s="11">
        <v>25</v>
      </c>
      <c r="M416" s="11">
        <v>10</v>
      </c>
      <c r="N416" s="11">
        <v>3</v>
      </c>
      <c r="O416" s="4"/>
      <c r="P416" s="4"/>
      <c r="Q416" s="6">
        <v>0</v>
      </c>
      <c r="R416" s="6">
        <v>0</v>
      </c>
      <c r="S416" s="6">
        <v>0</v>
      </c>
      <c r="T416" s="6">
        <v>0</v>
      </c>
      <c r="U416" s="6">
        <v>0</v>
      </c>
      <c r="V416" s="6">
        <v>0</v>
      </c>
      <c r="W416" s="9">
        <v>0.21740000000000001</v>
      </c>
      <c r="X416" s="5">
        <v>0.35709999999999997</v>
      </c>
      <c r="Y416" s="5">
        <v>0.89610000000000001</v>
      </c>
      <c r="Z416" s="5">
        <v>0.41670000000000001</v>
      </c>
      <c r="AA416" s="9">
        <v>1</v>
      </c>
      <c r="AB416" s="6">
        <v>0</v>
      </c>
      <c r="AC416" s="7">
        <v>0</v>
      </c>
      <c r="AD416" s="5">
        <v>0.55659999999999998</v>
      </c>
      <c r="AE416" s="5">
        <v>0.43</v>
      </c>
      <c r="AF416" s="1" t="s">
        <v>34</v>
      </c>
      <c r="AG416" s="19" cm="1">
        <f t="array" ref="AG416">DIASQUIEBRE(Q416:AB416)</f>
        <v>36</v>
      </c>
      <c r="AH416" s="19" cm="1">
        <f t="array" ref="AH416">DiasMesesGris(Q416:AB416)</f>
        <v>210</v>
      </c>
      <c r="AI416" s="19">
        <f t="shared" si="35"/>
        <v>246</v>
      </c>
      <c r="AJ416" s="19">
        <f t="shared" si="36"/>
        <v>114</v>
      </c>
      <c r="AK416" s="20">
        <f t="shared" si="37"/>
        <v>49</v>
      </c>
      <c r="AL416" s="21">
        <f t="shared" si="34"/>
        <v>0.42982456140350878</v>
      </c>
    </row>
    <row r="417" spans="1:38" x14ac:dyDescent="0.25">
      <c r="A417" s="1" t="s">
        <v>934</v>
      </c>
      <c r="B417" s="1" t="s">
        <v>935</v>
      </c>
      <c r="C417" s="1" t="s">
        <v>936</v>
      </c>
      <c r="D417" s="4"/>
      <c r="E417" s="4"/>
      <c r="F417" s="4"/>
      <c r="G417" s="4"/>
      <c r="H417" s="4"/>
      <c r="I417" s="4"/>
      <c r="J417" s="11">
        <v>1</v>
      </c>
      <c r="K417" s="11">
        <v>7</v>
      </c>
      <c r="L417" s="11">
        <v>11</v>
      </c>
      <c r="M417" s="11">
        <v>6</v>
      </c>
      <c r="N417" s="11">
        <v>3</v>
      </c>
      <c r="O417" s="11">
        <v>5</v>
      </c>
      <c r="P417" s="11">
        <v>3</v>
      </c>
      <c r="Q417" s="6">
        <v>0</v>
      </c>
      <c r="R417" s="6">
        <v>0</v>
      </c>
      <c r="S417" s="6">
        <v>0</v>
      </c>
      <c r="T417" s="6">
        <v>0</v>
      </c>
      <c r="U417" s="6">
        <v>0</v>
      </c>
      <c r="V417" s="6">
        <v>0</v>
      </c>
      <c r="W417" s="9">
        <v>5.4300000000000001E-2</v>
      </c>
      <c r="X417" s="5">
        <v>0.35709999999999997</v>
      </c>
      <c r="Y417" s="5">
        <v>0.39429999999999998</v>
      </c>
      <c r="Z417" s="5">
        <v>0.25</v>
      </c>
      <c r="AA417" s="5">
        <v>9.6799999999999997E-2</v>
      </c>
      <c r="AB417" s="5">
        <v>0.16669999999999999</v>
      </c>
      <c r="AC417" s="8">
        <v>5.3800000000000001E-2</v>
      </c>
      <c r="AD417" s="5">
        <v>0.253</v>
      </c>
      <c r="AE417" s="5">
        <v>0.19</v>
      </c>
      <c r="AF417" s="1" t="s">
        <v>34</v>
      </c>
      <c r="AG417" s="19" cm="1">
        <f t="array" ref="AG417">DIASQUIEBRE(Q417:AB417)</f>
        <v>8</v>
      </c>
      <c r="AH417" s="19" cm="1">
        <f t="array" ref="AH417">DiasMesesGris(Q417:AB417)</f>
        <v>180</v>
      </c>
      <c r="AI417" s="19">
        <f t="shared" si="35"/>
        <v>188</v>
      </c>
      <c r="AJ417" s="19">
        <f t="shared" si="36"/>
        <v>172</v>
      </c>
      <c r="AK417" s="20">
        <f t="shared" si="37"/>
        <v>33</v>
      </c>
      <c r="AL417" s="21">
        <f t="shared" si="34"/>
        <v>0.19186046511627908</v>
      </c>
    </row>
    <row r="418" spans="1:38" x14ac:dyDescent="0.25">
      <c r="AG418" s="19" cm="1">
        <f t="array" ref="AG418">DIASQUIEBRE(Q418:AB418)</f>
        <v>0</v>
      </c>
      <c r="AH418" s="19" cm="1">
        <f t="array" ref="AH418">DiasMesesGris(Q418:AB418)</f>
        <v>0</v>
      </c>
      <c r="AI418" s="19">
        <f t="shared" si="35"/>
        <v>0</v>
      </c>
      <c r="AJ418" s="19">
        <f t="shared" si="36"/>
        <v>360</v>
      </c>
      <c r="AK418" s="20">
        <f t="shared" si="37"/>
        <v>0</v>
      </c>
      <c r="AL418" s="21">
        <f t="shared" si="34"/>
        <v>0</v>
      </c>
    </row>
    <row r="419" spans="1:38" x14ac:dyDescent="0.25">
      <c r="AG419" s="19" cm="1">
        <f t="array" ref="AG419">DIASQUIEBRE(Q419:AB419)</f>
        <v>0</v>
      </c>
      <c r="AH419" s="19" cm="1">
        <f t="array" ref="AH419">DiasMesesGris(Q419:AB419)</f>
        <v>0</v>
      </c>
      <c r="AI419" s="19">
        <f t="shared" si="35"/>
        <v>0</v>
      </c>
      <c r="AJ419" s="19">
        <f t="shared" si="36"/>
        <v>360</v>
      </c>
      <c r="AK419" s="20">
        <f t="shared" si="37"/>
        <v>0</v>
      </c>
      <c r="AL419" s="21">
        <f t="shared" si="34"/>
        <v>0</v>
      </c>
    </row>
    <row r="420" spans="1:38" x14ac:dyDescent="0.25">
      <c r="AG420" s="19" cm="1">
        <f t="array" ref="AG420">DIASQUIEBRE(Q420:AB420)</f>
        <v>0</v>
      </c>
      <c r="AH420" s="19" cm="1">
        <f t="array" ref="AH420">DiasMesesGris(Q420:AB420)</f>
        <v>0</v>
      </c>
      <c r="AI420" s="19">
        <f t="shared" si="35"/>
        <v>0</v>
      </c>
      <c r="AJ420" s="19">
        <f t="shared" si="36"/>
        <v>360</v>
      </c>
      <c r="AK420" s="20">
        <f t="shared" si="37"/>
        <v>0</v>
      </c>
      <c r="AL420" s="21">
        <f t="shared" si="34"/>
        <v>0</v>
      </c>
    </row>
    <row r="421" spans="1:38" x14ac:dyDescent="0.25">
      <c r="AG421" s="19" cm="1">
        <f t="array" ref="AG421">DIASQUIEBRE(Q421:AB421)</f>
        <v>0</v>
      </c>
      <c r="AH421" s="19" cm="1">
        <f t="array" ref="AH421">DiasMesesGris(Q421:AB421)</f>
        <v>0</v>
      </c>
      <c r="AI421" s="19">
        <f t="shared" si="35"/>
        <v>0</v>
      </c>
      <c r="AJ421" s="19">
        <f t="shared" si="36"/>
        <v>360</v>
      </c>
      <c r="AK421" s="20">
        <f t="shared" si="37"/>
        <v>0</v>
      </c>
      <c r="AL421" s="21">
        <f t="shared" si="34"/>
        <v>0</v>
      </c>
    </row>
    <row r="422" spans="1:38" x14ac:dyDescent="0.25">
      <c r="AG422" s="19" cm="1">
        <f t="array" ref="AG422">DIASQUIEBRE(Q422:AB422)</f>
        <v>0</v>
      </c>
      <c r="AH422" s="19" cm="1">
        <f t="array" ref="AH422">DiasMesesGris(Q422:AB422)</f>
        <v>0</v>
      </c>
      <c r="AI422" s="19">
        <f t="shared" si="35"/>
        <v>0</v>
      </c>
      <c r="AJ422" s="19">
        <f t="shared" si="36"/>
        <v>360</v>
      </c>
      <c r="AK422" s="20">
        <f t="shared" si="37"/>
        <v>0</v>
      </c>
      <c r="AL422" s="21">
        <f t="shared" si="34"/>
        <v>0</v>
      </c>
    </row>
    <row r="423" spans="1:38" x14ac:dyDescent="0.25">
      <c r="AG423" s="19" cm="1">
        <f t="array" ref="AG423">DIASQUIEBRE(Q423:AB423)</f>
        <v>0</v>
      </c>
      <c r="AH423" s="19" cm="1">
        <f t="array" ref="AH423">DiasMesesGris(Q423:AB423)</f>
        <v>0</v>
      </c>
      <c r="AI423" s="19">
        <f t="shared" si="35"/>
        <v>0</v>
      </c>
      <c r="AJ423" s="19">
        <f t="shared" si="36"/>
        <v>360</v>
      </c>
      <c r="AK423" s="20">
        <f t="shared" si="37"/>
        <v>0</v>
      </c>
      <c r="AL423" s="21">
        <f t="shared" si="34"/>
        <v>0</v>
      </c>
    </row>
    <row r="424" spans="1:38" x14ac:dyDescent="0.25">
      <c r="AG424" s="19" cm="1">
        <f t="array" ref="AG424">DIASQUIEBRE(Q424:AB424)</f>
        <v>0</v>
      </c>
      <c r="AH424" s="19" cm="1">
        <f t="array" ref="AH424">DiasMesesGris(Q424:AB424)</f>
        <v>0</v>
      </c>
      <c r="AI424" s="19">
        <f t="shared" si="35"/>
        <v>0</v>
      </c>
      <c r="AJ424" s="19">
        <f t="shared" si="36"/>
        <v>360</v>
      </c>
      <c r="AK424" s="20">
        <f t="shared" si="37"/>
        <v>0</v>
      </c>
      <c r="AL424" s="21">
        <f t="shared" si="34"/>
        <v>0</v>
      </c>
    </row>
    <row r="425" spans="1:38" x14ac:dyDescent="0.25">
      <c r="AG425" s="19" cm="1">
        <f t="array" ref="AG425">DIASQUIEBRE(Q425:AB425)</f>
        <v>0</v>
      </c>
      <c r="AH425" s="19" cm="1">
        <f t="array" ref="AH425">DiasMesesGris(Q425:AB425)</f>
        <v>0</v>
      </c>
      <c r="AI425" s="19">
        <f t="shared" si="35"/>
        <v>0</v>
      </c>
      <c r="AJ425" s="19">
        <f t="shared" si="36"/>
        <v>360</v>
      </c>
      <c r="AK425" s="20">
        <f t="shared" si="37"/>
        <v>0</v>
      </c>
      <c r="AL425" s="21">
        <f t="shared" si="34"/>
        <v>0</v>
      </c>
    </row>
    <row r="426" spans="1:38" x14ac:dyDescent="0.25">
      <c r="AG426" s="19" cm="1">
        <f t="array" ref="AG426">DIASQUIEBRE(Q426:AB426)</f>
        <v>0</v>
      </c>
      <c r="AH426" s="19" cm="1">
        <f t="array" ref="AH426">DiasMesesGris(Q426:AB426)</f>
        <v>0</v>
      </c>
      <c r="AI426" s="19">
        <f t="shared" si="35"/>
        <v>0</v>
      </c>
      <c r="AJ426" s="19">
        <f t="shared" si="36"/>
        <v>360</v>
      </c>
      <c r="AK426" s="20">
        <f t="shared" si="37"/>
        <v>0</v>
      </c>
      <c r="AL426" s="21">
        <f t="shared" si="34"/>
        <v>0</v>
      </c>
    </row>
    <row r="427" spans="1:38" x14ac:dyDescent="0.25">
      <c r="AG427" s="19" cm="1">
        <f t="array" ref="AG427">DIASQUIEBRE(Q427:AB427)</f>
        <v>0</v>
      </c>
      <c r="AH427" s="19" cm="1">
        <f t="array" ref="AH427">DiasMesesGris(Q427:AB427)</f>
        <v>0</v>
      </c>
      <c r="AI427" s="19">
        <f t="shared" si="35"/>
        <v>0</v>
      </c>
      <c r="AJ427" s="19">
        <f t="shared" si="36"/>
        <v>360</v>
      </c>
      <c r="AK427" s="20">
        <f t="shared" si="37"/>
        <v>0</v>
      </c>
      <c r="AL427" s="21">
        <f t="shared" si="34"/>
        <v>0</v>
      </c>
    </row>
    <row r="428" spans="1:38" x14ac:dyDescent="0.25">
      <c r="AG428" s="19" cm="1">
        <f t="array" ref="AG428">DIASQUIEBRE(Q428:AB428)</f>
        <v>0</v>
      </c>
      <c r="AH428" s="19" cm="1">
        <f t="array" ref="AH428">DiasMesesGris(Q428:AB428)</f>
        <v>0</v>
      </c>
      <c r="AI428" s="19">
        <f t="shared" si="35"/>
        <v>0</v>
      </c>
      <c r="AJ428" s="19">
        <f t="shared" si="36"/>
        <v>360</v>
      </c>
      <c r="AK428" s="20">
        <f t="shared" si="37"/>
        <v>0</v>
      </c>
      <c r="AL428" s="21">
        <f t="shared" si="34"/>
        <v>0</v>
      </c>
    </row>
    <row r="429" spans="1:38" x14ac:dyDescent="0.25">
      <c r="AG429" s="19" cm="1">
        <f t="array" ref="AG429">DIASQUIEBRE(Q429:AB429)</f>
        <v>0</v>
      </c>
      <c r="AH429" s="19" cm="1">
        <f t="array" ref="AH429">DiasMesesGris(Q429:AB429)</f>
        <v>0</v>
      </c>
      <c r="AI429" s="19">
        <f t="shared" si="35"/>
        <v>0</v>
      </c>
      <c r="AJ429" s="19">
        <f t="shared" si="36"/>
        <v>360</v>
      </c>
      <c r="AK429" s="20">
        <f t="shared" si="37"/>
        <v>0</v>
      </c>
      <c r="AL429" s="21">
        <f t="shared" si="34"/>
        <v>0</v>
      </c>
    </row>
    <row r="430" spans="1:38" x14ac:dyDescent="0.25">
      <c r="AG430" s="19" cm="1">
        <f t="array" ref="AG430">DIASQUIEBRE(Q430:AB430)</f>
        <v>0</v>
      </c>
      <c r="AH430" s="19" cm="1">
        <f t="array" ref="AH430">DiasMesesGris(Q430:AB430)</f>
        <v>0</v>
      </c>
      <c r="AI430" s="19">
        <f t="shared" si="35"/>
        <v>0</v>
      </c>
      <c r="AJ430" s="19">
        <f t="shared" si="36"/>
        <v>360</v>
      </c>
      <c r="AK430" s="20">
        <f t="shared" si="37"/>
        <v>0</v>
      </c>
      <c r="AL430" s="21">
        <f t="shared" si="34"/>
        <v>0</v>
      </c>
    </row>
    <row r="431" spans="1:38" x14ac:dyDescent="0.25">
      <c r="AG431" s="19" cm="1">
        <f t="array" ref="AG431">DIASQUIEBRE(Q431:AB431)</f>
        <v>0</v>
      </c>
      <c r="AH431" s="19" cm="1">
        <f t="array" ref="AH431">DiasMesesGris(Q431:AB431)</f>
        <v>0</v>
      </c>
      <c r="AI431" s="19">
        <f t="shared" si="35"/>
        <v>0</v>
      </c>
      <c r="AJ431" s="19">
        <f t="shared" si="36"/>
        <v>360</v>
      </c>
      <c r="AK431" s="20">
        <f t="shared" si="37"/>
        <v>0</v>
      </c>
      <c r="AL431" s="21">
        <f t="shared" si="34"/>
        <v>0</v>
      </c>
    </row>
    <row r="432" spans="1:38" x14ac:dyDescent="0.25">
      <c r="AG432" s="19" cm="1">
        <f t="array" ref="AG432">DIASQUIEBRE(Q432:AB432)</f>
        <v>0</v>
      </c>
      <c r="AH432" s="19" cm="1">
        <f t="array" ref="AH432">DiasMesesGris(Q432:AB432)</f>
        <v>0</v>
      </c>
      <c r="AI432" s="19">
        <f t="shared" si="35"/>
        <v>0</v>
      </c>
      <c r="AJ432" s="19">
        <f t="shared" si="36"/>
        <v>360</v>
      </c>
      <c r="AK432" s="20">
        <f t="shared" si="37"/>
        <v>0</v>
      </c>
      <c r="AL432" s="21">
        <f t="shared" si="34"/>
        <v>0</v>
      </c>
    </row>
    <row r="433" spans="33:38" x14ac:dyDescent="0.25">
      <c r="AG433" s="19" cm="1">
        <f t="array" ref="AG433">DIASQUIEBRE(Q433:AB433)</f>
        <v>0</v>
      </c>
      <c r="AH433" s="19" cm="1">
        <f t="array" ref="AH433">DiasMesesGris(Q433:AB433)</f>
        <v>0</v>
      </c>
      <c r="AI433" s="19">
        <f t="shared" si="35"/>
        <v>0</v>
      </c>
      <c r="AJ433" s="19">
        <f t="shared" si="36"/>
        <v>360</v>
      </c>
      <c r="AK433" s="20">
        <f t="shared" si="37"/>
        <v>0</v>
      </c>
      <c r="AL433" s="21">
        <f t="shared" si="34"/>
        <v>0</v>
      </c>
    </row>
    <row r="434" spans="33:38" x14ac:dyDescent="0.25">
      <c r="AG434" s="19" cm="1">
        <f t="array" ref="AG434">DIASQUIEBRE(Q434:AB434)</f>
        <v>0</v>
      </c>
      <c r="AH434" s="19" cm="1">
        <f t="array" ref="AH434">DiasMesesGris(Q434:AB434)</f>
        <v>0</v>
      </c>
      <c r="AI434" s="19">
        <f t="shared" si="35"/>
        <v>0</v>
      </c>
      <c r="AJ434" s="19">
        <f t="shared" si="36"/>
        <v>360</v>
      </c>
      <c r="AK434" s="20">
        <f t="shared" si="37"/>
        <v>0</v>
      </c>
      <c r="AL434" s="21">
        <f t="shared" si="34"/>
        <v>0</v>
      </c>
    </row>
    <row r="435" spans="33:38" x14ac:dyDescent="0.25">
      <c r="AG435" s="19" cm="1">
        <f t="array" ref="AG435">DIASQUIEBRE(Q435:AB435)</f>
        <v>0</v>
      </c>
      <c r="AH435" s="19" cm="1">
        <f t="array" ref="AH435">DiasMesesGris(Q435:AB435)</f>
        <v>0</v>
      </c>
      <c r="AI435" s="19">
        <f t="shared" si="35"/>
        <v>0</v>
      </c>
      <c r="AJ435" s="19">
        <f t="shared" si="36"/>
        <v>360</v>
      </c>
      <c r="AK435" s="20">
        <f t="shared" si="37"/>
        <v>0</v>
      </c>
      <c r="AL435" s="21">
        <f t="shared" si="34"/>
        <v>0</v>
      </c>
    </row>
    <row r="436" spans="33:38" x14ac:dyDescent="0.25">
      <c r="AG436" s="19" cm="1">
        <f t="array" ref="AG436">DIASQUIEBRE(Q436:AB436)</f>
        <v>0</v>
      </c>
      <c r="AH436" s="19" cm="1">
        <f t="array" ref="AH436">DiasMesesGris(Q436:AB436)</f>
        <v>0</v>
      </c>
      <c r="AI436" s="19">
        <f t="shared" si="35"/>
        <v>0</v>
      </c>
      <c r="AJ436" s="19">
        <f t="shared" si="36"/>
        <v>360</v>
      </c>
      <c r="AK436" s="20">
        <f t="shared" si="37"/>
        <v>0</v>
      </c>
      <c r="AL436" s="21">
        <f t="shared" si="34"/>
        <v>0</v>
      </c>
    </row>
    <row r="437" spans="33:38" x14ac:dyDescent="0.25">
      <c r="AG437" s="19" cm="1">
        <f t="array" ref="AG437">DIASQUIEBRE(Q437:AB437)</f>
        <v>0</v>
      </c>
      <c r="AH437" s="19" cm="1">
        <f t="array" ref="AH437">DiasMesesGris(Q437:AB437)</f>
        <v>0</v>
      </c>
      <c r="AI437" s="19">
        <f t="shared" si="35"/>
        <v>0</v>
      </c>
      <c r="AJ437" s="19">
        <f t="shared" si="36"/>
        <v>360</v>
      </c>
      <c r="AK437" s="20">
        <f t="shared" si="37"/>
        <v>0</v>
      </c>
      <c r="AL437" s="21">
        <f t="shared" si="34"/>
        <v>0</v>
      </c>
    </row>
    <row r="438" spans="33:38" x14ac:dyDescent="0.25">
      <c r="AG438" s="19" cm="1">
        <f t="array" ref="AG438">DIASQUIEBRE(Q438:AB438)</f>
        <v>0</v>
      </c>
      <c r="AH438" s="19" cm="1">
        <f t="array" ref="AH438">DiasMesesGris(Q438:AB438)</f>
        <v>0</v>
      </c>
      <c r="AI438" s="19">
        <f t="shared" si="35"/>
        <v>0</v>
      </c>
      <c r="AJ438" s="19">
        <f t="shared" si="36"/>
        <v>360</v>
      </c>
      <c r="AK438" s="20">
        <f t="shared" si="37"/>
        <v>0</v>
      </c>
      <c r="AL438" s="21">
        <f t="shared" si="34"/>
        <v>0</v>
      </c>
    </row>
    <row r="439" spans="33:38" x14ac:dyDescent="0.25">
      <c r="AG439" s="19" cm="1">
        <f t="array" ref="AG439">DIASQUIEBRE(Q439:AB439)</f>
        <v>0</v>
      </c>
      <c r="AH439" s="19" cm="1">
        <f t="array" ref="AH439">DiasMesesGris(Q439:AB439)</f>
        <v>0</v>
      </c>
      <c r="AI439" s="19">
        <f t="shared" si="35"/>
        <v>0</v>
      </c>
      <c r="AJ439" s="19">
        <f t="shared" si="36"/>
        <v>360</v>
      </c>
      <c r="AK439" s="20">
        <f t="shared" si="37"/>
        <v>0</v>
      </c>
      <c r="AL439" s="21">
        <f t="shared" si="34"/>
        <v>0</v>
      </c>
    </row>
    <row r="440" spans="33:38" x14ac:dyDescent="0.25">
      <c r="AG440" s="19" cm="1">
        <f t="array" ref="AG440">DIASQUIEBRE(Q440:AB440)</f>
        <v>0</v>
      </c>
      <c r="AH440" s="19" cm="1">
        <f t="array" ref="AH440">DiasMesesGris(Q440:AB440)</f>
        <v>0</v>
      </c>
      <c r="AI440" s="19">
        <f t="shared" si="35"/>
        <v>0</v>
      </c>
      <c r="AJ440" s="19">
        <f t="shared" si="36"/>
        <v>360</v>
      </c>
      <c r="AK440" s="20">
        <f t="shared" si="37"/>
        <v>0</v>
      </c>
      <c r="AL440" s="21">
        <f t="shared" si="34"/>
        <v>0</v>
      </c>
    </row>
    <row r="441" spans="33:38" x14ac:dyDescent="0.25">
      <c r="AG441" s="19" cm="1">
        <f t="array" ref="AG441">DIASQUIEBRE(Q441:AB441)</f>
        <v>0</v>
      </c>
      <c r="AH441" s="19" cm="1">
        <f t="array" ref="AH441">DiasMesesGris(Q441:AB441)</f>
        <v>0</v>
      </c>
      <c r="AI441" s="19">
        <f t="shared" si="35"/>
        <v>0</v>
      </c>
      <c r="AJ441" s="19">
        <f t="shared" si="36"/>
        <v>360</v>
      </c>
      <c r="AK441" s="20">
        <f t="shared" si="37"/>
        <v>0</v>
      </c>
      <c r="AL441" s="21">
        <f t="shared" si="34"/>
        <v>0</v>
      </c>
    </row>
    <row r="442" spans="33:38" x14ac:dyDescent="0.25">
      <c r="AG442" s="19" cm="1">
        <f t="array" ref="AG442">DIASQUIEBRE(Q442:AB442)</f>
        <v>0</v>
      </c>
      <c r="AH442" s="19" cm="1">
        <f t="array" ref="AH442">DiasMesesGris(Q442:AB442)</f>
        <v>0</v>
      </c>
      <c r="AI442" s="19">
        <f t="shared" si="35"/>
        <v>0</v>
      </c>
      <c r="AJ442" s="19">
        <f t="shared" si="36"/>
        <v>360</v>
      </c>
      <c r="AK442" s="20">
        <f t="shared" si="37"/>
        <v>0</v>
      </c>
      <c r="AL442" s="21">
        <f t="shared" si="34"/>
        <v>0</v>
      </c>
    </row>
    <row r="443" spans="33:38" x14ac:dyDescent="0.25">
      <c r="AG443" s="19" cm="1">
        <f t="array" ref="AG443">DIASQUIEBRE(Q443:AB443)</f>
        <v>0</v>
      </c>
      <c r="AH443" s="19" cm="1">
        <f t="array" ref="AH443">DiasMesesGris(Q443:AB443)</f>
        <v>0</v>
      </c>
      <c r="AI443" s="19">
        <f t="shared" si="35"/>
        <v>0</v>
      </c>
      <c r="AJ443" s="19">
        <f t="shared" si="36"/>
        <v>360</v>
      </c>
      <c r="AK443" s="20">
        <f t="shared" si="37"/>
        <v>0</v>
      </c>
      <c r="AL443" s="21">
        <f t="shared" si="34"/>
        <v>0</v>
      </c>
    </row>
    <row r="444" spans="33:38" x14ac:dyDescent="0.25">
      <c r="AG444" s="19" cm="1">
        <f t="array" ref="AG444">DIASQUIEBRE(Q444:AB444)</f>
        <v>0</v>
      </c>
      <c r="AH444" s="19" cm="1">
        <f t="array" ref="AH444">DiasMesesGris(Q444:AB444)</f>
        <v>0</v>
      </c>
      <c r="AI444" s="19">
        <f t="shared" si="35"/>
        <v>0</v>
      </c>
      <c r="AJ444" s="19">
        <f t="shared" si="36"/>
        <v>360</v>
      </c>
      <c r="AK444" s="20">
        <f t="shared" si="37"/>
        <v>0</v>
      </c>
      <c r="AL444" s="21">
        <f t="shared" si="34"/>
        <v>0</v>
      </c>
    </row>
    <row r="445" spans="33:38" x14ac:dyDescent="0.25">
      <c r="AG445" s="19" cm="1">
        <f t="array" ref="AG445">DIASQUIEBRE(Q445:AB445)</f>
        <v>0</v>
      </c>
      <c r="AH445" s="19" cm="1">
        <f t="array" ref="AH445">DiasMesesGris(Q445:AB445)</f>
        <v>0</v>
      </c>
      <c r="AI445" s="19">
        <f t="shared" si="35"/>
        <v>0</v>
      </c>
      <c r="AJ445" s="19">
        <f t="shared" si="36"/>
        <v>360</v>
      </c>
      <c r="AK445" s="20">
        <f t="shared" si="37"/>
        <v>0</v>
      </c>
      <c r="AL445" s="21">
        <f t="shared" si="34"/>
        <v>0</v>
      </c>
    </row>
    <row r="446" spans="33:38" x14ac:dyDescent="0.25">
      <c r="AG446" s="19" cm="1">
        <f t="array" ref="AG446">DIASQUIEBRE(Q446:AB446)</f>
        <v>0</v>
      </c>
      <c r="AH446" s="19" cm="1">
        <f t="array" ref="AH446">DiasMesesGris(Q446:AB446)</f>
        <v>0</v>
      </c>
      <c r="AI446" s="19">
        <f t="shared" si="35"/>
        <v>0</v>
      </c>
      <c r="AJ446" s="19">
        <f t="shared" si="36"/>
        <v>360</v>
      </c>
      <c r="AK446" s="20">
        <f t="shared" si="37"/>
        <v>0</v>
      </c>
      <c r="AL446" s="21">
        <f t="shared" si="34"/>
        <v>0</v>
      </c>
    </row>
    <row r="447" spans="33:38" x14ac:dyDescent="0.25">
      <c r="AG447" s="19" cm="1">
        <f t="array" ref="AG447">DIASQUIEBRE(Q447:AB447)</f>
        <v>0</v>
      </c>
      <c r="AH447" s="19" cm="1">
        <f t="array" ref="AH447">DiasMesesGris(Q447:AB447)</f>
        <v>0</v>
      </c>
      <c r="AI447" s="19">
        <f t="shared" si="35"/>
        <v>0</v>
      </c>
      <c r="AJ447" s="19">
        <f t="shared" si="36"/>
        <v>360</v>
      </c>
      <c r="AK447" s="20">
        <f t="shared" si="37"/>
        <v>0</v>
      </c>
      <c r="AL447" s="21">
        <f t="shared" si="34"/>
        <v>0</v>
      </c>
    </row>
    <row r="448" spans="33:38" x14ac:dyDescent="0.25">
      <c r="AG448" s="19" cm="1">
        <f t="array" ref="AG448">DIASQUIEBRE(Q448:AB448)</f>
        <v>0</v>
      </c>
      <c r="AH448" s="19" cm="1">
        <f t="array" ref="AH448">DiasMesesGris(Q448:AB448)</f>
        <v>0</v>
      </c>
      <c r="AI448" s="19">
        <f t="shared" si="35"/>
        <v>0</v>
      </c>
      <c r="AJ448" s="19">
        <f t="shared" si="36"/>
        <v>360</v>
      </c>
      <c r="AK448" s="20">
        <f t="shared" si="37"/>
        <v>0</v>
      </c>
      <c r="AL448" s="21">
        <f t="shared" si="34"/>
        <v>0</v>
      </c>
    </row>
    <row r="449" spans="33:38" x14ac:dyDescent="0.25">
      <c r="AG449" s="19" cm="1">
        <f t="array" ref="AG449">DIASQUIEBRE(Q449:AB449)</f>
        <v>0</v>
      </c>
      <c r="AH449" s="19" cm="1">
        <f t="array" ref="AH449">DiasMesesGris(Q449:AB449)</f>
        <v>0</v>
      </c>
      <c r="AI449" s="19">
        <f t="shared" si="35"/>
        <v>0</v>
      </c>
      <c r="AJ449" s="19">
        <f t="shared" si="36"/>
        <v>360</v>
      </c>
      <c r="AK449" s="20">
        <f t="shared" si="37"/>
        <v>0</v>
      </c>
      <c r="AL449" s="21">
        <f t="shared" si="34"/>
        <v>0</v>
      </c>
    </row>
    <row r="450" spans="33:38" x14ac:dyDescent="0.25">
      <c r="AG450" s="19" cm="1">
        <f t="array" ref="AG450">DIASQUIEBRE(Q450:AB450)</f>
        <v>0</v>
      </c>
      <c r="AH450" s="19" cm="1">
        <f t="array" ref="AH450">DiasMesesGris(Q450:AB450)</f>
        <v>0</v>
      </c>
      <c r="AI450" s="19">
        <f t="shared" si="35"/>
        <v>0</v>
      </c>
      <c r="AJ450" s="19">
        <f t="shared" si="36"/>
        <v>360</v>
      </c>
      <c r="AK450" s="20">
        <f t="shared" si="37"/>
        <v>0</v>
      </c>
      <c r="AL450" s="21">
        <f t="shared" si="34"/>
        <v>0</v>
      </c>
    </row>
    <row r="451" spans="33:38" x14ac:dyDescent="0.25">
      <c r="AG451" s="19" cm="1">
        <f t="array" ref="AG451">DIASQUIEBRE(Q451:AB451)</f>
        <v>0</v>
      </c>
      <c r="AH451" s="19" cm="1">
        <f t="array" ref="AH451">DiasMesesGris(Q451:AB451)</f>
        <v>0</v>
      </c>
      <c r="AI451" s="19">
        <f t="shared" si="35"/>
        <v>0</v>
      </c>
      <c r="AJ451" s="19">
        <f t="shared" si="36"/>
        <v>360</v>
      </c>
      <c r="AK451" s="20">
        <f t="shared" si="37"/>
        <v>0</v>
      </c>
      <c r="AL451" s="21">
        <f t="shared" ref="AL451:AL514" si="39">IFERROR(AK451/AJ451,0)</f>
        <v>0</v>
      </c>
    </row>
    <row r="452" spans="33:38" x14ac:dyDescent="0.25">
      <c r="AG452" s="19" cm="1">
        <f t="array" ref="AG452">DIASQUIEBRE(Q452:AB452)</f>
        <v>0</v>
      </c>
      <c r="AH452" s="19" cm="1">
        <f t="array" ref="AH452">DiasMesesGris(Q452:AB452)</f>
        <v>0</v>
      </c>
      <c r="AI452" s="19">
        <f t="shared" ref="AI452:AI515" si="40">AG452+AH452</f>
        <v>0</v>
      </c>
      <c r="AJ452" s="19">
        <f t="shared" ref="AJ452:AJ515" si="41">360-AI452</f>
        <v>360</v>
      </c>
      <c r="AK452" s="20">
        <f t="shared" ref="AK452:AK515" si="42">SUM(D452:O452)</f>
        <v>0</v>
      </c>
      <c r="AL452" s="21">
        <f t="shared" si="39"/>
        <v>0</v>
      </c>
    </row>
    <row r="453" spans="33:38" x14ac:dyDescent="0.25">
      <c r="AG453" s="19" cm="1">
        <f t="array" ref="AG453">DIASQUIEBRE(Q453:AB453)</f>
        <v>0</v>
      </c>
      <c r="AH453" s="19" cm="1">
        <f t="array" ref="AH453">DiasMesesGris(Q453:AB453)</f>
        <v>0</v>
      </c>
      <c r="AI453" s="19">
        <f t="shared" si="40"/>
        <v>0</v>
      </c>
      <c r="AJ453" s="19">
        <f t="shared" si="41"/>
        <v>360</v>
      </c>
      <c r="AK453" s="20">
        <f t="shared" si="42"/>
        <v>0</v>
      </c>
      <c r="AL453" s="21">
        <f t="shared" si="39"/>
        <v>0</v>
      </c>
    </row>
    <row r="454" spans="33:38" x14ac:dyDescent="0.25">
      <c r="AG454" s="19" cm="1">
        <f t="array" ref="AG454">DIASQUIEBRE(Q454:AB454)</f>
        <v>0</v>
      </c>
      <c r="AH454" s="19" cm="1">
        <f t="array" ref="AH454">DiasMesesGris(Q454:AB454)</f>
        <v>0</v>
      </c>
      <c r="AI454" s="19">
        <f t="shared" si="40"/>
        <v>0</v>
      </c>
      <c r="AJ454" s="19">
        <f t="shared" si="41"/>
        <v>360</v>
      </c>
      <c r="AK454" s="20">
        <f t="shared" si="42"/>
        <v>0</v>
      </c>
      <c r="AL454" s="21">
        <f t="shared" si="39"/>
        <v>0</v>
      </c>
    </row>
    <row r="455" spans="33:38" x14ac:dyDescent="0.25">
      <c r="AG455" s="19" cm="1">
        <f t="array" ref="AG455">DIASQUIEBRE(Q455:AB455)</f>
        <v>0</v>
      </c>
      <c r="AH455" s="19" cm="1">
        <f t="array" ref="AH455">DiasMesesGris(Q455:AB455)</f>
        <v>0</v>
      </c>
      <c r="AI455" s="19">
        <f t="shared" si="40"/>
        <v>0</v>
      </c>
      <c r="AJ455" s="19">
        <f t="shared" si="41"/>
        <v>360</v>
      </c>
      <c r="AK455" s="20">
        <f t="shared" si="42"/>
        <v>0</v>
      </c>
      <c r="AL455" s="21">
        <f t="shared" si="39"/>
        <v>0</v>
      </c>
    </row>
    <row r="456" spans="33:38" x14ac:dyDescent="0.25">
      <c r="AG456" s="19" cm="1">
        <f t="array" ref="AG456">DIASQUIEBRE(Q456:AB456)</f>
        <v>0</v>
      </c>
      <c r="AH456" s="19" cm="1">
        <f t="array" ref="AH456">DiasMesesGris(Q456:AB456)</f>
        <v>0</v>
      </c>
      <c r="AI456" s="19">
        <f t="shared" si="40"/>
        <v>0</v>
      </c>
      <c r="AJ456" s="19">
        <f t="shared" si="41"/>
        <v>360</v>
      </c>
      <c r="AK456" s="20">
        <f t="shared" si="42"/>
        <v>0</v>
      </c>
      <c r="AL456" s="21">
        <f t="shared" si="39"/>
        <v>0</v>
      </c>
    </row>
    <row r="457" spans="33:38" x14ac:dyDescent="0.25">
      <c r="AG457" s="19" cm="1">
        <f t="array" ref="AG457">DIASQUIEBRE(Q457:AB457)</f>
        <v>0</v>
      </c>
      <c r="AH457" s="19" cm="1">
        <f t="array" ref="AH457">DiasMesesGris(Q457:AB457)</f>
        <v>0</v>
      </c>
      <c r="AI457" s="19">
        <f t="shared" si="40"/>
        <v>0</v>
      </c>
      <c r="AJ457" s="19">
        <f t="shared" si="41"/>
        <v>360</v>
      </c>
      <c r="AK457" s="20">
        <f t="shared" si="42"/>
        <v>0</v>
      </c>
      <c r="AL457" s="21">
        <f t="shared" si="39"/>
        <v>0</v>
      </c>
    </row>
    <row r="458" spans="33:38" x14ac:dyDescent="0.25">
      <c r="AG458" s="19" cm="1">
        <f t="array" ref="AG458">DIASQUIEBRE(Q458:AB458)</f>
        <v>0</v>
      </c>
      <c r="AH458" s="19" cm="1">
        <f t="array" ref="AH458">DiasMesesGris(Q458:AB458)</f>
        <v>0</v>
      </c>
      <c r="AI458" s="19">
        <f t="shared" si="40"/>
        <v>0</v>
      </c>
      <c r="AJ458" s="19">
        <f t="shared" si="41"/>
        <v>360</v>
      </c>
      <c r="AK458" s="20">
        <f t="shared" si="42"/>
        <v>0</v>
      </c>
      <c r="AL458" s="21">
        <f t="shared" si="39"/>
        <v>0</v>
      </c>
    </row>
    <row r="459" spans="33:38" x14ac:dyDescent="0.25">
      <c r="AG459" s="19" cm="1">
        <f t="array" ref="AG459">DIASQUIEBRE(Q459:AB459)</f>
        <v>0</v>
      </c>
      <c r="AH459" s="19" cm="1">
        <f t="array" ref="AH459">DiasMesesGris(Q459:AB459)</f>
        <v>0</v>
      </c>
      <c r="AI459" s="19">
        <f t="shared" si="40"/>
        <v>0</v>
      </c>
      <c r="AJ459" s="19">
        <f t="shared" si="41"/>
        <v>360</v>
      </c>
      <c r="AK459" s="20">
        <f t="shared" si="42"/>
        <v>0</v>
      </c>
      <c r="AL459" s="21">
        <f t="shared" si="39"/>
        <v>0</v>
      </c>
    </row>
    <row r="460" spans="33:38" x14ac:dyDescent="0.25">
      <c r="AG460" s="19" cm="1">
        <f t="array" ref="AG460">DIASQUIEBRE(Q460:AB460)</f>
        <v>0</v>
      </c>
      <c r="AH460" s="19" cm="1">
        <f t="array" ref="AH460">DiasMesesGris(Q460:AB460)</f>
        <v>0</v>
      </c>
      <c r="AI460" s="19">
        <f t="shared" si="40"/>
        <v>0</v>
      </c>
      <c r="AJ460" s="19">
        <f t="shared" si="41"/>
        <v>360</v>
      </c>
      <c r="AK460" s="20">
        <f t="shared" si="42"/>
        <v>0</v>
      </c>
      <c r="AL460" s="21">
        <f t="shared" si="39"/>
        <v>0</v>
      </c>
    </row>
    <row r="461" spans="33:38" x14ac:dyDescent="0.25">
      <c r="AG461" s="19" cm="1">
        <f t="array" ref="AG461">DIASQUIEBRE(Q461:AB461)</f>
        <v>0</v>
      </c>
      <c r="AH461" s="19" cm="1">
        <f t="array" ref="AH461">DiasMesesGris(Q461:AB461)</f>
        <v>0</v>
      </c>
      <c r="AI461" s="19">
        <f t="shared" si="40"/>
        <v>0</v>
      </c>
      <c r="AJ461" s="19">
        <f t="shared" si="41"/>
        <v>360</v>
      </c>
      <c r="AK461" s="20">
        <f t="shared" si="42"/>
        <v>0</v>
      </c>
      <c r="AL461" s="21">
        <f t="shared" si="39"/>
        <v>0</v>
      </c>
    </row>
    <row r="462" spans="33:38" x14ac:dyDescent="0.25">
      <c r="AG462" s="19" cm="1">
        <f t="array" ref="AG462">DIASQUIEBRE(Q462:AB462)</f>
        <v>0</v>
      </c>
      <c r="AH462" s="19" cm="1">
        <f t="array" ref="AH462">DiasMesesGris(Q462:AB462)</f>
        <v>0</v>
      </c>
      <c r="AI462" s="19">
        <f t="shared" si="40"/>
        <v>0</v>
      </c>
      <c r="AJ462" s="19">
        <f t="shared" si="41"/>
        <v>360</v>
      </c>
      <c r="AK462" s="20">
        <f t="shared" si="42"/>
        <v>0</v>
      </c>
      <c r="AL462" s="21">
        <f t="shared" si="39"/>
        <v>0</v>
      </c>
    </row>
    <row r="463" spans="33:38" x14ac:dyDescent="0.25">
      <c r="AG463" s="19" cm="1">
        <f t="array" ref="AG463">DIASQUIEBRE(Q463:AB463)</f>
        <v>0</v>
      </c>
      <c r="AH463" s="19" cm="1">
        <f t="array" ref="AH463">DiasMesesGris(Q463:AB463)</f>
        <v>0</v>
      </c>
      <c r="AI463" s="19">
        <f t="shared" si="40"/>
        <v>0</v>
      </c>
      <c r="AJ463" s="19">
        <f t="shared" si="41"/>
        <v>360</v>
      </c>
      <c r="AK463" s="20">
        <f t="shared" si="42"/>
        <v>0</v>
      </c>
      <c r="AL463" s="21">
        <f t="shared" si="39"/>
        <v>0</v>
      </c>
    </row>
    <row r="464" spans="33:38" x14ac:dyDescent="0.25">
      <c r="AG464" s="19" cm="1">
        <f t="array" ref="AG464">DIASQUIEBRE(Q464:AB464)</f>
        <v>0</v>
      </c>
      <c r="AH464" s="19" cm="1">
        <f t="array" ref="AH464">DiasMesesGris(Q464:AB464)</f>
        <v>0</v>
      </c>
      <c r="AI464" s="19">
        <f t="shared" si="40"/>
        <v>0</v>
      </c>
      <c r="AJ464" s="19">
        <f t="shared" si="41"/>
        <v>360</v>
      </c>
      <c r="AK464" s="20">
        <f t="shared" si="42"/>
        <v>0</v>
      </c>
      <c r="AL464" s="21">
        <f t="shared" si="39"/>
        <v>0</v>
      </c>
    </row>
    <row r="465" spans="33:38" x14ac:dyDescent="0.25">
      <c r="AG465" s="19" cm="1">
        <f t="array" ref="AG465">DIASQUIEBRE(Q465:AB465)</f>
        <v>0</v>
      </c>
      <c r="AH465" s="19" cm="1">
        <f t="array" ref="AH465">DiasMesesGris(Q465:AB465)</f>
        <v>0</v>
      </c>
      <c r="AI465" s="19">
        <f t="shared" si="40"/>
        <v>0</v>
      </c>
      <c r="AJ465" s="19">
        <f t="shared" si="41"/>
        <v>360</v>
      </c>
      <c r="AK465" s="20">
        <f t="shared" si="42"/>
        <v>0</v>
      </c>
      <c r="AL465" s="21">
        <f t="shared" si="39"/>
        <v>0</v>
      </c>
    </row>
    <row r="466" spans="33:38" x14ac:dyDescent="0.25">
      <c r="AG466" s="19" cm="1">
        <f t="array" ref="AG466">DIASQUIEBRE(Q466:AB466)</f>
        <v>0</v>
      </c>
      <c r="AH466" s="19" cm="1">
        <f t="array" ref="AH466">DiasMesesGris(Q466:AB466)</f>
        <v>0</v>
      </c>
      <c r="AI466" s="19">
        <f t="shared" si="40"/>
        <v>0</v>
      </c>
      <c r="AJ466" s="19">
        <f t="shared" si="41"/>
        <v>360</v>
      </c>
      <c r="AK466" s="20">
        <f t="shared" si="42"/>
        <v>0</v>
      </c>
      <c r="AL466" s="21">
        <f t="shared" si="39"/>
        <v>0</v>
      </c>
    </row>
    <row r="467" spans="33:38" x14ac:dyDescent="0.25">
      <c r="AG467" s="19" cm="1">
        <f t="array" ref="AG467">DIASQUIEBRE(Q467:AB467)</f>
        <v>0</v>
      </c>
      <c r="AH467" s="19" cm="1">
        <f t="array" ref="AH467">DiasMesesGris(Q467:AB467)</f>
        <v>0</v>
      </c>
      <c r="AI467" s="19">
        <f t="shared" si="40"/>
        <v>0</v>
      </c>
      <c r="AJ467" s="19">
        <f t="shared" si="41"/>
        <v>360</v>
      </c>
      <c r="AK467" s="20">
        <f t="shared" si="42"/>
        <v>0</v>
      </c>
      <c r="AL467" s="21">
        <f t="shared" si="39"/>
        <v>0</v>
      </c>
    </row>
    <row r="468" spans="33:38" x14ac:dyDescent="0.25">
      <c r="AG468" s="19" cm="1">
        <f t="array" ref="AG468">DIASQUIEBRE(Q468:AB468)</f>
        <v>0</v>
      </c>
      <c r="AH468" s="19" cm="1">
        <f t="array" ref="AH468">DiasMesesGris(Q468:AB468)</f>
        <v>0</v>
      </c>
      <c r="AI468" s="19">
        <f t="shared" si="40"/>
        <v>0</v>
      </c>
      <c r="AJ468" s="19">
        <f t="shared" si="41"/>
        <v>360</v>
      </c>
      <c r="AK468" s="20">
        <f t="shared" si="42"/>
        <v>0</v>
      </c>
      <c r="AL468" s="21">
        <f t="shared" si="39"/>
        <v>0</v>
      </c>
    </row>
    <row r="469" spans="33:38" x14ac:dyDescent="0.25">
      <c r="AG469" s="19" cm="1">
        <f t="array" ref="AG469">DIASQUIEBRE(Q469:AB469)</f>
        <v>0</v>
      </c>
      <c r="AH469" s="19" cm="1">
        <f t="array" ref="AH469">DiasMesesGris(Q469:AB469)</f>
        <v>0</v>
      </c>
      <c r="AI469" s="19">
        <f t="shared" si="40"/>
        <v>0</v>
      </c>
      <c r="AJ469" s="19">
        <f t="shared" si="41"/>
        <v>360</v>
      </c>
      <c r="AK469" s="20">
        <f t="shared" si="42"/>
        <v>0</v>
      </c>
      <c r="AL469" s="21">
        <f t="shared" si="39"/>
        <v>0</v>
      </c>
    </row>
    <row r="470" spans="33:38" x14ac:dyDescent="0.25">
      <c r="AG470" s="19" cm="1">
        <f t="array" ref="AG470">DIASQUIEBRE(Q470:AB470)</f>
        <v>0</v>
      </c>
      <c r="AH470" s="19" cm="1">
        <f t="array" ref="AH470">DiasMesesGris(Q470:AB470)</f>
        <v>0</v>
      </c>
      <c r="AI470" s="19">
        <f t="shared" si="40"/>
        <v>0</v>
      </c>
      <c r="AJ470" s="19">
        <f t="shared" si="41"/>
        <v>360</v>
      </c>
      <c r="AK470" s="20">
        <f t="shared" si="42"/>
        <v>0</v>
      </c>
      <c r="AL470" s="21">
        <f t="shared" si="39"/>
        <v>0</v>
      </c>
    </row>
    <row r="471" spans="33:38" x14ac:dyDescent="0.25">
      <c r="AG471" s="19" cm="1">
        <f t="array" ref="AG471">DIASQUIEBRE(Q471:AB471)</f>
        <v>0</v>
      </c>
      <c r="AH471" s="19" cm="1">
        <f t="array" ref="AH471">DiasMesesGris(Q471:AB471)</f>
        <v>0</v>
      </c>
      <c r="AI471" s="19">
        <f t="shared" si="40"/>
        <v>0</v>
      </c>
      <c r="AJ471" s="19">
        <f t="shared" si="41"/>
        <v>360</v>
      </c>
      <c r="AK471" s="20">
        <f t="shared" si="42"/>
        <v>0</v>
      </c>
      <c r="AL471" s="21">
        <f t="shared" si="39"/>
        <v>0</v>
      </c>
    </row>
    <row r="472" spans="33:38" x14ac:dyDescent="0.25">
      <c r="AG472" s="19" cm="1">
        <f t="array" ref="AG472">DIASQUIEBRE(Q472:AB472)</f>
        <v>0</v>
      </c>
      <c r="AH472" s="19" cm="1">
        <f t="array" ref="AH472">DiasMesesGris(Q472:AB472)</f>
        <v>0</v>
      </c>
      <c r="AI472" s="19">
        <f t="shared" si="40"/>
        <v>0</v>
      </c>
      <c r="AJ472" s="19">
        <f t="shared" si="41"/>
        <v>360</v>
      </c>
      <c r="AK472" s="20">
        <f t="shared" si="42"/>
        <v>0</v>
      </c>
      <c r="AL472" s="21">
        <f t="shared" si="39"/>
        <v>0</v>
      </c>
    </row>
    <row r="473" spans="33:38" x14ac:dyDescent="0.25">
      <c r="AG473" s="19" cm="1">
        <f t="array" ref="AG473">DIASQUIEBRE(Q473:AB473)</f>
        <v>0</v>
      </c>
      <c r="AH473" s="19" cm="1">
        <f t="array" ref="AH473">DiasMesesGris(Q473:AB473)</f>
        <v>0</v>
      </c>
      <c r="AI473" s="19">
        <f t="shared" si="40"/>
        <v>0</v>
      </c>
      <c r="AJ473" s="19">
        <f t="shared" si="41"/>
        <v>360</v>
      </c>
      <c r="AK473" s="20">
        <f t="shared" si="42"/>
        <v>0</v>
      </c>
      <c r="AL473" s="21">
        <f t="shared" si="39"/>
        <v>0</v>
      </c>
    </row>
    <row r="474" spans="33:38" x14ac:dyDescent="0.25">
      <c r="AG474" s="19" cm="1">
        <f t="array" ref="AG474">DIASQUIEBRE(Q474:AB474)</f>
        <v>0</v>
      </c>
      <c r="AH474" s="19" cm="1">
        <f t="array" ref="AH474">DiasMesesGris(Q474:AB474)</f>
        <v>0</v>
      </c>
      <c r="AI474" s="19">
        <f t="shared" si="40"/>
        <v>0</v>
      </c>
      <c r="AJ474" s="19">
        <f t="shared" si="41"/>
        <v>360</v>
      </c>
      <c r="AK474" s="20">
        <f t="shared" si="42"/>
        <v>0</v>
      </c>
      <c r="AL474" s="21">
        <f t="shared" si="39"/>
        <v>0</v>
      </c>
    </row>
    <row r="475" spans="33:38" x14ac:dyDescent="0.25">
      <c r="AG475" s="19" cm="1">
        <f t="array" ref="AG475">DIASQUIEBRE(Q475:AB475)</f>
        <v>0</v>
      </c>
      <c r="AH475" s="19" cm="1">
        <f t="array" ref="AH475">DiasMesesGris(Q475:AB475)</f>
        <v>0</v>
      </c>
      <c r="AI475" s="19">
        <f t="shared" si="40"/>
        <v>0</v>
      </c>
      <c r="AJ475" s="19">
        <f t="shared" si="41"/>
        <v>360</v>
      </c>
      <c r="AK475" s="20">
        <f t="shared" si="42"/>
        <v>0</v>
      </c>
      <c r="AL475" s="21">
        <f t="shared" si="39"/>
        <v>0</v>
      </c>
    </row>
    <row r="476" spans="33:38" x14ac:dyDescent="0.25">
      <c r="AG476" s="19" cm="1">
        <f t="array" ref="AG476">DIASQUIEBRE(Q476:AB476)</f>
        <v>0</v>
      </c>
      <c r="AH476" s="19" cm="1">
        <f t="array" ref="AH476">DiasMesesGris(Q476:AB476)</f>
        <v>0</v>
      </c>
      <c r="AI476" s="19">
        <f t="shared" si="40"/>
        <v>0</v>
      </c>
      <c r="AJ476" s="19">
        <f t="shared" si="41"/>
        <v>360</v>
      </c>
      <c r="AK476" s="20">
        <f t="shared" si="42"/>
        <v>0</v>
      </c>
      <c r="AL476" s="21">
        <f t="shared" si="39"/>
        <v>0</v>
      </c>
    </row>
    <row r="477" spans="33:38" x14ac:dyDescent="0.25">
      <c r="AG477" s="19" cm="1">
        <f t="array" ref="AG477">DIASQUIEBRE(Q477:AB477)</f>
        <v>0</v>
      </c>
      <c r="AH477" s="19" cm="1">
        <f t="array" ref="AH477">DiasMesesGris(Q477:AB477)</f>
        <v>0</v>
      </c>
      <c r="AI477" s="19">
        <f t="shared" si="40"/>
        <v>0</v>
      </c>
      <c r="AJ477" s="19">
        <f t="shared" si="41"/>
        <v>360</v>
      </c>
      <c r="AK477" s="20">
        <f t="shared" si="42"/>
        <v>0</v>
      </c>
      <c r="AL477" s="21">
        <f t="shared" si="39"/>
        <v>0</v>
      </c>
    </row>
    <row r="478" spans="33:38" x14ac:dyDescent="0.25">
      <c r="AG478" s="19" cm="1">
        <f t="array" ref="AG478">DIASQUIEBRE(Q478:AB478)</f>
        <v>0</v>
      </c>
      <c r="AH478" s="19" cm="1">
        <f t="array" ref="AH478">DiasMesesGris(Q478:AB478)</f>
        <v>0</v>
      </c>
      <c r="AI478" s="19">
        <f t="shared" si="40"/>
        <v>0</v>
      </c>
      <c r="AJ478" s="19">
        <f t="shared" si="41"/>
        <v>360</v>
      </c>
      <c r="AK478" s="20">
        <f t="shared" si="42"/>
        <v>0</v>
      </c>
      <c r="AL478" s="21">
        <f t="shared" si="39"/>
        <v>0</v>
      </c>
    </row>
    <row r="479" spans="33:38" x14ac:dyDescent="0.25">
      <c r="AG479" s="19" cm="1">
        <f t="array" ref="AG479">DIASQUIEBRE(Q479:AB479)</f>
        <v>0</v>
      </c>
      <c r="AH479" s="19" cm="1">
        <f t="array" ref="AH479">DiasMesesGris(Q479:AB479)</f>
        <v>0</v>
      </c>
      <c r="AI479" s="19">
        <f t="shared" si="40"/>
        <v>0</v>
      </c>
      <c r="AJ479" s="19">
        <f t="shared" si="41"/>
        <v>360</v>
      </c>
      <c r="AK479" s="20">
        <f t="shared" si="42"/>
        <v>0</v>
      </c>
      <c r="AL479" s="21">
        <f t="shared" si="39"/>
        <v>0</v>
      </c>
    </row>
    <row r="480" spans="33:38" x14ac:dyDescent="0.25">
      <c r="AG480" s="19" cm="1">
        <f t="array" ref="AG480">DIASQUIEBRE(Q480:AB480)</f>
        <v>0</v>
      </c>
      <c r="AH480" s="19" cm="1">
        <f t="array" ref="AH480">DiasMesesGris(Q480:AB480)</f>
        <v>0</v>
      </c>
      <c r="AI480" s="19">
        <f t="shared" si="40"/>
        <v>0</v>
      </c>
      <c r="AJ480" s="19">
        <f t="shared" si="41"/>
        <v>360</v>
      </c>
      <c r="AK480" s="20">
        <f t="shared" si="42"/>
        <v>0</v>
      </c>
      <c r="AL480" s="21">
        <f t="shared" si="39"/>
        <v>0</v>
      </c>
    </row>
    <row r="481" spans="33:38" x14ac:dyDescent="0.25">
      <c r="AG481" s="19" cm="1">
        <f t="array" ref="AG481">DIASQUIEBRE(Q481:AB481)</f>
        <v>0</v>
      </c>
      <c r="AH481" s="19" cm="1">
        <f t="array" ref="AH481">DiasMesesGris(Q481:AB481)</f>
        <v>0</v>
      </c>
      <c r="AI481" s="19">
        <f t="shared" si="40"/>
        <v>0</v>
      </c>
      <c r="AJ481" s="19">
        <f t="shared" si="41"/>
        <v>360</v>
      </c>
      <c r="AK481" s="20">
        <f t="shared" si="42"/>
        <v>0</v>
      </c>
      <c r="AL481" s="21">
        <f t="shared" si="39"/>
        <v>0</v>
      </c>
    </row>
    <row r="482" spans="33:38" x14ac:dyDescent="0.25">
      <c r="AG482" s="19" cm="1">
        <f t="array" ref="AG482">DIASQUIEBRE(Q482:AB482)</f>
        <v>0</v>
      </c>
      <c r="AH482" s="19" cm="1">
        <f t="array" ref="AH482">DiasMesesGris(Q482:AB482)</f>
        <v>0</v>
      </c>
      <c r="AI482" s="19">
        <f t="shared" si="40"/>
        <v>0</v>
      </c>
      <c r="AJ482" s="19">
        <f t="shared" si="41"/>
        <v>360</v>
      </c>
      <c r="AK482" s="20">
        <f t="shared" si="42"/>
        <v>0</v>
      </c>
      <c r="AL482" s="21">
        <f t="shared" si="39"/>
        <v>0</v>
      </c>
    </row>
    <row r="483" spans="33:38" x14ac:dyDescent="0.25">
      <c r="AG483" s="19" cm="1">
        <f t="array" ref="AG483">DIASQUIEBRE(Q483:AB483)</f>
        <v>0</v>
      </c>
      <c r="AH483" s="19" cm="1">
        <f t="array" ref="AH483">DiasMesesGris(Q483:AB483)</f>
        <v>0</v>
      </c>
      <c r="AI483" s="19">
        <f t="shared" si="40"/>
        <v>0</v>
      </c>
      <c r="AJ483" s="19">
        <f t="shared" si="41"/>
        <v>360</v>
      </c>
      <c r="AK483" s="20">
        <f t="shared" si="42"/>
        <v>0</v>
      </c>
      <c r="AL483" s="21">
        <f t="shared" si="39"/>
        <v>0</v>
      </c>
    </row>
    <row r="484" spans="33:38" x14ac:dyDescent="0.25">
      <c r="AG484" s="19" cm="1">
        <f t="array" ref="AG484">DIASQUIEBRE(Q484:AB484)</f>
        <v>0</v>
      </c>
      <c r="AH484" s="19" cm="1">
        <f t="array" ref="AH484">DiasMesesGris(Q484:AB484)</f>
        <v>0</v>
      </c>
      <c r="AI484" s="19">
        <f t="shared" si="40"/>
        <v>0</v>
      </c>
      <c r="AJ484" s="19">
        <f t="shared" si="41"/>
        <v>360</v>
      </c>
      <c r="AK484" s="20">
        <f t="shared" si="42"/>
        <v>0</v>
      </c>
      <c r="AL484" s="21">
        <f t="shared" si="39"/>
        <v>0</v>
      </c>
    </row>
    <row r="485" spans="33:38" x14ac:dyDescent="0.25">
      <c r="AG485" s="19" cm="1">
        <f t="array" ref="AG485">DIASQUIEBRE(Q485:AB485)</f>
        <v>0</v>
      </c>
      <c r="AH485" s="19" cm="1">
        <f t="array" ref="AH485">DiasMesesGris(Q485:AB485)</f>
        <v>0</v>
      </c>
      <c r="AI485" s="19">
        <f t="shared" si="40"/>
        <v>0</v>
      </c>
      <c r="AJ485" s="19">
        <f t="shared" si="41"/>
        <v>360</v>
      </c>
      <c r="AK485" s="20">
        <f t="shared" si="42"/>
        <v>0</v>
      </c>
      <c r="AL485" s="21">
        <f t="shared" si="39"/>
        <v>0</v>
      </c>
    </row>
    <row r="486" spans="33:38" x14ac:dyDescent="0.25">
      <c r="AG486" s="19" cm="1">
        <f t="array" ref="AG486">DIASQUIEBRE(Q486:AB486)</f>
        <v>0</v>
      </c>
      <c r="AH486" s="19" cm="1">
        <f t="array" ref="AH486">DiasMesesGris(Q486:AB486)</f>
        <v>0</v>
      </c>
      <c r="AI486" s="19">
        <f t="shared" si="40"/>
        <v>0</v>
      </c>
      <c r="AJ486" s="19">
        <f t="shared" si="41"/>
        <v>360</v>
      </c>
      <c r="AK486" s="20">
        <f t="shared" si="42"/>
        <v>0</v>
      </c>
      <c r="AL486" s="21">
        <f t="shared" si="39"/>
        <v>0</v>
      </c>
    </row>
    <row r="487" spans="33:38" x14ac:dyDescent="0.25">
      <c r="AG487" s="19" cm="1">
        <f t="array" ref="AG487">DIASQUIEBRE(Q487:AB487)</f>
        <v>0</v>
      </c>
      <c r="AH487" s="19" cm="1">
        <f t="array" ref="AH487">DiasMesesGris(Q487:AB487)</f>
        <v>0</v>
      </c>
      <c r="AI487" s="19">
        <f t="shared" si="40"/>
        <v>0</v>
      </c>
      <c r="AJ487" s="19">
        <f t="shared" si="41"/>
        <v>360</v>
      </c>
      <c r="AK487" s="20">
        <f t="shared" si="42"/>
        <v>0</v>
      </c>
      <c r="AL487" s="21">
        <f t="shared" si="39"/>
        <v>0</v>
      </c>
    </row>
    <row r="488" spans="33:38" x14ac:dyDescent="0.25">
      <c r="AG488" s="19" cm="1">
        <f t="array" ref="AG488">DIASQUIEBRE(Q488:AB488)</f>
        <v>0</v>
      </c>
      <c r="AH488" s="19" cm="1">
        <f t="array" ref="AH488">DiasMesesGris(Q488:AB488)</f>
        <v>0</v>
      </c>
      <c r="AI488" s="19">
        <f t="shared" si="40"/>
        <v>0</v>
      </c>
      <c r="AJ488" s="19">
        <f t="shared" si="41"/>
        <v>360</v>
      </c>
      <c r="AK488" s="20">
        <f t="shared" si="42"/>
        <v>0</v>
      </c>
      <c r="AL488" s="21">
        <f t="shared" si="39"/>
        <v>0</v>
      </c>
    </row>
    <row r="489" spans="33:38" x14ac:dyDescent="0.25">
      <c r="AG489" s="19" cm="1">
        <f t="array" ref="AG489">DIASQUIEBRE(Q489:AB489)</f>
        <v>0</v>
      </c>
      <c r="AH489" s="19" cm="1">
        <f t="array" ref="AH489">DiasMesesGris(Q489:AB489)</f>
        <v>0</v>
      </c>
      <c r="AI489" s="19">
        <f t="shared" si="40"/>
        <v>0</v>
      </c>
      <c r="AJ489" s="19">
        <f t="shared" si="41"/>
        <v>360</v>
      </c>
      <c r="AK489" s="20">
        <f t="shared" si="42"/>
        <v>0</v>
      </c>
      <c r="AL489" s="21">
        <f t="shared" si="39"/>
        <v>0</v>
      </c>
    </row>
    <row r="490" spans="33:38" x14ac:dyDescent="0.25">
      <c r="AG490" s="19" cm="1">
        <f t="array" ref="AG490">DIASQUIEBRE(Q490:AB490)</f>
        <v>0</v>
      </c>
      <c r="AH490" s="19" cm="1">
        <f t="array" ref="AH490">DiasMesesGris(Q490:AB490)</f>
        <v>0</v>
      </c>
      <c r="AI490" s="19">
        <f t="shared" si="40"/>
        <v>0</v>
      </c>
      <c r="AJ490" s="19">
        <f t="shared" si="41"/>
        <v>360</v>
      </c>
      <c r="AK490" s="20">
        <f t="shared" si="42"/>
        <v>0</v>
      </c>
      <c r="AL490" s="21">
        <f t="shared" si="39"/>
        <v>0</v>
      </c>
    </row>
    <row r="491" spans="33:38" x14ac:dyDescent="0.25">
      <c r="AG491" s="19" cm="1">
        <f t="array" ref="AG491">DIASQUIEBRE(Q491:AB491)</f>
        <v>0</v>
      </c>
      <c r="AH491" s="19" cm="1">
        <f t="array" ref="AH491">DiasMesesGris(Q491:AB491)</f>
        <v>0</v>
      </c>
      <c r="AI491" s="19">
        <f t="shared" si="40"/>
        <v>0</v>
      </c>
      <c r="AJ491" s="19">
        <f t="shared" si="41"/>
        <v>360</v>
      </c>
      <c r="AK491" s="20">
        <f t="shared" si="42"/>
        <v>0</v>
      </c>
      <c r="AL491" s="21">
        <f t="shared" si="39"/>
        <v>0</v>
      </c>
    </row>
    <row r="492" spans="33:38" x14ac:dyDescent="0.25">
      <c r="AG492" s="19" cm="1">
        <f t="array" ref="AG492">DIASQUIEBRE(Q492:AB492)</f>
        <v>0</v>
      </c>
      <c r="AH492" s="19" cm="1">
        <f t="array" ref="AH492">DiasMesesGris(Q492:AB492)</f>
        <v>0</v>
      </c>
      <c r="AI492" s="19">
        <f t="shared" si="40"/>
        <v>0</v>
      </c>
      <c r="AJ492" s="19">
        <f t="shared" si="41"/>
        <v>360</v>
      </c>
      <c r="AK492" s="20">
        <f t="shared" si="42"/>
        <v>0</v>
      </c>
      <c r="AL492" s="21">
        <f t="shared" si="39"/>
        <v>0</v>
      </c>
    </row>
    <row r="493" spans="33:38" x14ac:dyDescent="0.25">
      <c r="AG493" s="19" cm="1">
        <f t="array" ref="AG493">DIASQUIEBRE(Q493:AB493)</f>
        <v>0</v>
      </c>
      <c r="AH493" s="19" cm="1">
        <f t="array" ref="AH493">DiasMesesGris(Q493:AB493)</f>
        <v>0</v>
      </c>
      <c r="AI493" s="19">
        <f t="shared" si="40"/>
        <v>0</v>
      </c>
      <c r="AJ493" s="19">
        <f t="shared" si="41"/>
        <v>360</v>
      </c>
      <c r="AK493" s="20">
        <f t="shared" si="42"/>
        <v>0</v>
      </c>
      <c r="AL493" s="21">
        <f t="shared" si="39"/>
        <v>0</v>
      </c>
    </row>
    <row r="494" spans="33:38" x14ac:dyDescent="0.25">
      <c r="AG494" s="19" cm="1">
        <f t="array" ref="AG494">DIASQUIEBRE(Q494:AB494)</f>
        <v>0</v>
      </c>
      <c r="AH494" s="19" cm="1">
        <f t="array" ref="AH494">DiasMesesGris(Q494:AB494)</f>
        <v>0</v>
      </c>
      <c r="AI494" s="19">
        <f t="shared" si="40"/>
        <v>0</v>
      </c>
      <c r="AJ494" s="19">
        <f t="shared" si="41"/>
        <v>360</v>
      </c>
      <c r="AK494" s="20">
        <f t="shared" si="42"/>
        <v>0</v>
      </c>
      <c r="AL494" s="21">
        <f t="shared" si="39"/>
        <v>0</v>
      </c>
    </row>
    <row r="495" spans="33:38" x14ac:dyDescent="0.25">
      <c r="AG495" s="19" cm="1">
        <f t="array" ref="AG495">DIASQUIEBRE(Q495:AB495)</f>
        <v>0</v>
      </c>
      <c r="AH495" s="19" cm="1">
        <f t="array" ref="AH495">DiasMesesGris(Q495:AB495)</f>
        <v>0</v>
      </c>
      <c r="AI495" s="19">
        <f t="shared" si="40"/>
        <v>0</v>
      </c>
      <c r="AJ495" s="19">
        <f t="shared" si="41"/>
        <v>360</v>
      </c>
      <c r="AK495" s="20">
        <f t="shared" si="42"/>
        <v>0</v>
      </c>
      <c r="AL495" s="21">
        <f t="shared" si="39"/>
        <v>0</v>
      </c>
    </row>
    <row r="496" spans="33:38" x14ac:dyDescent="0.25">
      <c r="AG496" s="19" cm="1">
        <f t="array" ref="AG496">DIASQUIEBRE(Q496:AB496)</f>
        <v>0</v>
      </c>
      <c r="AH496" s="19" cm="1">
        <f t="array" ref="AH496">DiasMesesGris(Q496:AB496)</f>
        <v>0</v>
      </c>
      <c r="AI496" s="19">
        <f t="shared" si="40"/>
        <v>0</v>
      </c>
      <c r="AJ496" s="19">
        <f t="shared" si="41"/>
        <v>360</v>
      </c>
      <c r="AK496" s="20">
        <f t="shared" si="42"/>
        <v>0</v>
      </c>
      <c r="AL496" s="21">
        <f t="shared" si="39"/>
        <v>0</v>
      </c>
    </row>
    <row r="497" spans="33:38" x14ac:dyDescent="0.25">
      <c r="AG497" s="19" cm="1">
        <f t="array" ref="AG497">DIASQUIEBRE(Q497:AB497)</f>
        <v>0</v>
      </c>
      <c r="AH497" s="19" cm="1">
        <f t="array" ref="AH497">DiasMesesGris(Q497:AB497)</f>
        <v>0</v>
      </c>
      <c r="AI497" s="19">
        <f t="shared" si="40"/>
        <v>0</v>
      </c>
      <c r="AJ497" s="19">
        <f t="shared" si="41"/>
        <v>360</v>
      </c>
      <c r="AK497" s="20">
        <f t="shared" si="42"/>
        <v>0</v>
      </c>
      <c r="AL497" s="21">
        <f t="shared" si="39"/>
        <v>0</v>
      </c>
    </row>
    <row r="498" spans="33:38" x14ac:dyDescent="0.25">
      <c r="AG498" s="19" cm="1">
        <f t="array" ref="AG498">DIASQUIEBRE(Q498:AB498)</f>
        <v>0</v>
      </c>
      <c r="AH498" s="19" cm="1">
        <f t="array" ref="AH498">DiasMesesGris(Q498:AB498)</f>
        <v>0</v>
      </c>
      <c r="AI498" s="19">
        <f t="shared" si="40"/>
        <v>0</v>
      </c>
      <c r="AJ498" s="19">
        <f t="shared" si="41"/>
        <v>360</v>
      </c>
      <c r="AK498" s="20">
        <f t="shared" si="42"/>
        <v>0</v>
      </c>
      <c r="AL498" s="21">
        <f t="shared" si="39"/>
        <v>0</v>
      </c>
    </row>
    <row r="499" spans="33:38" x14ac:dyDescent="0.25">
      <c r="AG499" s="19" cm="1">
        <f t="array" ref="AG499">DIASQUIEBRE(Q499:AB499)</f>
        <v>0</v>
      </c>
      <c r="AH499" s="19" cm="1">
        <f t="array" ref="AH499">DiasMesesGris(Q499:AB499)</f>
        <v>0</v>
      </c>
      <c r="AI499" s="19">
        <f t="shared" si="40"/>
        <v>0</v>
      </c>
      <c r="AJ499" s="19">
        <f t="shared" si="41"/>
        <v>360</v>
      </c>
      <c r="AK499" s="20">
        <f t="shared" si="42"/>
        <v>0</v>
      </c>
      <c r="AL499" s="21">
        <f t="shared" si="39"/>
        <v>0</v>
      </c>
    </row>
    <row r="500" spans="33:38" x14ac:dyDescent="0.25">
      <c r="AG500" s="19" cm="1">
        <f t="array" ref="AG500">DIASQUIEBRE(Q500:AB500)</f>
        <v>0</v>
      </c>
      <c r="AH500" s="19" cm="1">
        <f t="array" ref="AH500">DiasMesesGris(Q500:AB500)</f>
        <v>0</v>
      </c>
      <c r="AI500" s="19">
        <f t="shared" si="40"/>
        <v>0</v>
      </c>
      <c r="AJ500" s="19">
        <f t="shared" si="41"/>
        <v>360</v>
      </c>
      <c r="AK500" s="20">
        <f t="shared" si="42"/>
        <v>0</v>
      </c>
      <c r="AL500" s="21">
        <f t="shared" si="39"/>
        <v>0</v>
      </c>
    </row>
    <row r="501" spans="33:38" x14ac:dyDescent="0.25">
      <c r="AG501" s="19" cm="1">
        <f t="array" ref="AG501">DIASQUIEBRE(Q501:AB501)</f>
        <v>0</v>
      </c>
      <c r="AH501" s="19" cm="1">
        <f t="array" ref="AH501">DiasMesesGris(Q501:AB501)</f>
        <v>0</v>
      </c>
      <c r="AI501" s="19">
        <f t="shared" si="40"/>
        <v>0</v>
      </c>
      <c r="AJ501" s="19">
        <f t="shared" si="41"/>
        <v>360</v>
      </c>
      <c r="AK501" s="20">
        <f t="shared" si="42"/>
        <v>0</v>
      </c>
      <c r="AL501" s="21">
        <f t="shared" si="39"/>
        <v>0</v>
      </c>
    </row>
    <row r="502" spans="33:38" x14ac:dyDescent="0.25">
      <c r="AG502" s="19" cm="1">
        <f t="array" ref="AG502">DIASQUIEBRE(Q502:AB502)</f>
        <v>0</v>
      </c>
      <c r="AH502" s="19" cm="1">
        <f t="array" ref="AH502">DiasMesesGris(Q502:AB502)</f>
        <v>0</v>
      </c>
      <c r="AI502" s="19">
        <f t="shared" si="40"/>
        <v>0</v>
      </c>
      <c r="AJ502" s="19">
        <f t="shared" si="41"/>
        <v>360</v>
      </c>
      <c r="AK502" s="20">
        <f t="shared" si="42"/>
        <v>0</v>
      </c>
      <c r="AL502" s="21">
        <f t="shared" si="39"/>
        <v>0</v>
      </c>
    </row>
    <row r="503" spans="33:38" x14ac:dyDescent="0.25">
      <c r="AG503" s="19" cm="1">
        <f t="array" ref="AG503">DIASQUIEBRE(Q503:AB503)</f>
        <v>0</v>
      </c>
      <c r="AH503" s="19" cm="1">
        <f t="array" ref="AH503">DiasMesesGris(Q503:AB503)</f>
        <v>0</v>
      </c>
      <c r="AI503" s="19">
        <f t="shared" si="40"/>
        <v>0</v>
      </c>
      <c r="AJ503" s="19">
        <f t="shared" si="41"/>
        <v>360</v>
      </c>
      <c r="AK503" s="20">
        <f t="shared" si="42"/>
        <v>0</v>
      </c>
      <c r="AL503" s="21">
        <f t="shared" si="39"/>
        <v>0</v>
      </c>
    </row>
    <row r="504" spans="33:38" x14ac:dyDescent="0.25">
      <c r="AG504" s="19" cm="1">
        <f t="array" ref="AG504">DIASQUIEBRE(Q504:AB504)</f>
        <v>0</v>
      </c>
      <c r="AH504" s="19" cm="1">
        <f t="array" ref="AH504">DiasMesesGris(Q504:AB504)</f>
        <v>0</v>
      </c>
      <c r="AI504" s="19">
        <f t="shared" si="40"/>
        <v>0</v>
      </c>
      <c r="AJ504" s="19">
        <f t="shared" si="41"/>
        <v>360</v>
      </c>
      <c r="AK504" s="20">
        <f t="shared" si="42"/>
        <v>0</v>
      </c>
      <c r="AL504" s="21">
        <f t="shared" si="39"/>
        <v>0</v>
      </c>
    </row>
    <row r="505" spans="33:38" x14ac:dyDescent="0.25">
      <c r="AG505" s="19" cm="1">
        <f t="array" ref="AG505">DIASQUIEBRE(Q505:AB505)</f>
        <v>0</v>
      </c>
      <c r="AH505" s="19" cm="1">
        <f t="array" ref="AH505">DiasMesesGris(Q505:AB505)</f>
        <v>0</v>
      </c>
      <c r="AI505" s="19">
        <f t="shared" si="40"/>
        <v>0</v>
      </c>
      <c r="AJ505" s="19">
        <f t="shared" si="41"/>
        <v>360</v>
      </c>
      <c r="AK505" s="20">
        <f t="shared" si="42"/>
        <v>0</v>
      </c>
      <c r="AL505" s="21">
        <f t="shared" si="39"/>
        <v>0</v>
      </c>
    </row>
    <row r="506" spans="33:38" x14ac:dyDescent="0.25">
      <c r="AG506" s="19" cm="1">
        <f t="array" ref="AG506">DIASQUIEBRE(Q506:AB506)</f>
        <v>0</v>
      </c>
      <c r="AH506" s="19" cm="1">
        <f t="array" ref="AH506">DiasMesesGris(Q506:AB506)</f>
        <v>0</v>
      </c>
      <c r="AI506" s="19">
        <f t="shared" si="40"/>
        <v>0</v>
      </c>
      <c r="AJ506" s="19">
        <f t="shared" si="41"/>
        <v>360</v>
      </c>
      <c r="AK506" s="20">
        <f t="shared" si="42"/>
        <v>0</v>
      </c>
      <c r="AL506" s="21">
        <f t="shared" si="39"/>
        <v>0</v>
      </c>
    </row>
    <row r="507" spans="33:38" x14ac:dyDescent="0.25">
      <c r="AG507" s="19" cm="1">
        <f t="array" ref="AG507">DIASQUIEBRE(Q507:AB507)</f>
        <v>0</v>
      </c>
      <c r="AH507" s="19" cm="1">
        <f t="array" ref="AH507">DiasMesesGris(Q507:AB507)</f>
        <v>0</v>
      </c>
      <c r="AI507" s="19">
        <f t="shared" si="40"/>
        <v>0</v>
      </c>
      <c r="AJ507" s="19">
        <f t="shared" si="41"/>
        <v>360</v>
      </c>
      <c r="AK507" s="20">
        <f t="shared" si="42"/>
        <v>0</v>
      </c>
      <c r="AL507" s="21">
        <f t="shared" si="39"/>
        <v>0</v>
      </c>
    </row>
    <row r="508" spans="33:38" x14ac:dyDescent="0.25">
      <c r="AG508" s="19" cm="1">
        <f t="array" ref="AG508">DIASQUIEBRE(Q508:AB508)</f>
        <v>0</v>
      </c>
      <c r="AH508" s="19" cm="1">
        <f t="array" ref="AH508">DiasMesesGris(Q508:AB508)</f>
        <v>0</v>
      </c>
      <c r="AI508" s="19">
        <f t="shared" si="40"/>
        <v>0</v>
      </c>
      <c r="AJ508" s="19">
        <f t="shared" si="41"/>
        <v>360</v>
      </c>
      <c r="AK508" s="20">
        <f t="shared" si="42"/>
        <v>0</v>
      </c>
      <c r="AL508" s="21">
        <f t="shared" si="39"/>
        <v>0</v>
      </c>
    </row>
    <row r="509" spans="33:38" x14ac:dyDescent="0.25">
      <c r="AG509" s="19" cm="1">
        <f t="array" ref="AG509">DIASQUIEBRE(Q509:AB509)</f>
        <v>0</v>
      </c>
      <c r="AH509" s="19" cm="1">
        <f t="array" ref="AH509">DiasMesesGris(Q509:AB509)</f>
        <v>0</v>
      </c>
      <c r="AI509" s="19">
        <f t="shared" si="40"/>
        <v>0</v>
      </c>
      <c r="AJ509" s="19">
        <f t="shared" si="41"/>
        <v>360</v>
      </c>
      <c r="AK509" s="20">
        <f t="shared" si="42"/>
        <v>0</v>
      </c>
      <c r="AL509" s="21">
        <f t="shared" si="39"/>
        <v>0</v>
      </c>
    </row>
    <row r="510" spans="33:38" x14ac:dyDescent="0.25">
      <c r="AG510" s="19" cm="1">
        <f t="array" ref="AG510">DIASQUIEBRE(Q510:AB510)</f>
        <v>0</v>
      </c>
      <c r="AH510" s="19" cm="1">
        <f t="array" ref="AH510">DiasMesesGris(Q510:AB510)</f>
        <v>0</v>
      </c>
      <c r="AI510" s="19">
        <f t="shared" si="40"/>
        <v>0</v>
      </c>
      <c r="AJ510" s="19">
        <f t="shared" si="41"/>
        <v>360</v>
      </c>
      <c r="AK510" s="20">
        <f t="shared" si="42"/>
        <v>0</v>
      </c>
      <c r="AL510" s="21">
        <f t="shared" si="39"/>
        <v>0</v>
      </c>
    </row>
    <row r="511" spans="33:38" x14ac:dyDescent="0.25">
      <c r="AG511" s="19" cm="1">
        <f t="array" ref="AG511">DIASQUIEBRE(Q511:AB511)</f>
        <v>0</v>
      </c>
      <c r="AH511" s="19" cm="1">
        <f t="array" ref="AH511">DiasMesesGris(Q511:AB511)</f>
        <v>0</v>
      </c>
      <c r="AI511" s="19">
        <f t="shared" si="40"/>
        <v>0</v>
      </c>
      <c r="AJ511" s="19">
        <f t="shared" si="41"/>
        <v>360</v>
      </c>
      <c r="AK511" s="20">
        <f t="shared" si="42"/>
        <v>0</v>
      </c>
      <c r="AL511" s="21">
        <f t="shared" si="39"/>
        <v>0</v>
      </c>
    </row>
    <row r="512" spans="33:38" x14ac:dyDescent="0.25">
      <c r="AG512" s="19" cm="1">
        <f t="array" ref="AG512">DIASQUIEBRE(Q512:AB512)</f>
        <v>0</v>
      </c>
      <c r="AH512" s="19" cm="1">
        <f t="array" ref="AH512">DiasMesesGris(Q512:AB512)</f>
        <v>0</v>
      </c>
      <c r="AI512" s="19">
        <f t="shared" si="40"/>
        <v>0</v>
      </c>
      <c r="AJ512" s="19">
        <f t="shared" si="41"/>
        <v>360</v>
      </c>
      <c r="AK512" s="20">
        <f t="shared" si="42"/>
        <v>0</v>
      </c>
      <c r="AL512" s="21">
        <f t="shared" si="39"/>
        <v>0</v>
      </c>
    </row>
    <row r="513" spans="33:38" x14ac:dyDescent="0.25">
      <c r="AG513" s="19" cm="1">
        <f t="array" ref="AG513">DIASQUIEBRE(Q513:AB513)</f>
        <v>0</v>
      </c>
      <c r="AH513" s="19" cm="1">
        <f t="array" ref="AH513">DiasMesesGris(Q513:AB513)</f>
        <v>0</v>
      </c>
      <c r="AI513" s="19">
        <f t="shared" si="40"/>
        <v>0</v>
      </c>
      <c r="AJ513" s="19">
        <f t="shared" si="41"/>
        <v>360</v>
      </c>
      <c r="AK513" s="20">
        <f t="shared" si="42"/>
        <v>0</v>
      </c>
      <c r="AL513" s="21">
        <f t="shared" si="39"/>
        <v>0</v>
      </c>
    </row>
    <row r="514" spans="33:38" x14ac:dyDescent="0.25">
      <c r="AG514" s="19" cm="1">
        <f t="array" ref="AG514">DIASQUIEBRE(Q514:AB514)</f>
        <v>0</v>
      </c>
      <c r="AH514" s="19" cm="1">
        <f t="array" ref="AH514">DiasMesesGris(Q514:AB514)</f>
        <v>0</v>
      </c>
      <c r="AI514" s="19">
        <f t="shared" si="40"/>
        <v>0</v>
      </c>
      <c r="AJ514" s="19">
        <f t="shared" si="41"/>
        <v>360</v>
      </c>
      <c r="AK514" s="20">
        <f t="shared" si="42"/>
        <v>0</v>
      </c>
      <c r="AL514" s="21">
        <f t="shared" si="39"/>
        <v>0</v>
      </c>
    </row>
    <row r="515" spans="33:38" x14ac:dyDescent="0.25">
      <c r="AG515" s="19" cm="1">
        <f t="array" ref="AG515">DIASQUIEBRE(Q515:AB515)</f>
        <v>0</v>
      </c>
      <c r="AH515" s="19" cm="1">
        <f t="array" ref="AH515">DiasMesesGris(Q515:AB515)</f>
        <v>0</v>
      </c>
      <c r="AI515" s="19">
        <f t="shared" si="40"/>
        <v>0</v>
      </c>
      <c r="AJ515" s="19">
        <f t="shared" si="41"/>
        <v>360</v>
      </c>
      <c r="AK515" s="20">
        <f t="shared" si="42"/>
        <v>0</v>
      </c>
      <c r="AL515" s="21">
        <f t="shared" ref="AL515:AL578" si="43">IFERROR(AK515/AJ515,0)</f>
        <v>0</v>
      </c>
    </row>
    <row r="516" spans="33:38" x14ac:dyDescent="0.25">
      <c r="AG516" s="19" cm="1">
        <f t="array" ref="AG516">DIASQUIEBRE(Q516:AB516)</f>
        <v>0</v>
      </c>
      <c r="AH516" s="19" cm="1">
        <f t="array" ref="AH516">DiasMesesGris(Q516:AB516)</f>
        <v>0</v>
      </c>
      <c r="AI516" s="19">
        <f t="shared" ref="AI516:AI579" si="44">AG516+AH516</f>
        <v>0</v>
      </c>
      <c r="AJ516" s="19">
        <f t="shared" ref="AJ516:AJ579" si="45">360-AI516</f>
        <v>360</v>
      </c>
      <c r="AK516" s="20">
        <f t="shared" ref="AK516:AK579" si="46">SUM(D516:O516)</f>
        <v>0</v>
      </c>
      <c r="AL516" s="21">
        <f t="shared" si="43"/>
        <v>0</v>
      </c>
    </row>
    <row r="517" spans="33:38" x14ac:dyDescent="0.25">
      <c r="AG517" s="19" cm="1">
        <f t="array" ref="AG517">DIASQUIEBRE(Q517:AB517)</f>
        <v>0</v>
      </c>
      <c r="AH517" s="19" cm="1">
        <f t="array" ref="AH517">DiasMesesGris(Q517:AB517)</f>
        <v>0</v>
      </c>
      <c r="AI517" s="19">
        <f t="shared" si="44"/>
        <v>0</v>
      </c>
      <c r="AJ517" s="19">
        <f t="shared" si="45"/>
        <v>360</v>
      </c>
      <c r="AK517" s="20">
        <f t="shared" si="46"/>
        <v>0</v>
      </c>
      <c r="AL517" s="21">
        <f t="shared" si="43"/>
        <v>0</v>
      </c>
    </row>
    <row r="518" spans="33:38" x14ac:dyDescent="0.25">
      <c r="AG518" s="19" cm="1">
        <f t="array" ref="AG518">DIASQUIEBRE(Q518:AB518)</f>
        <v>0</v>
      </c>
      <c r="AH518" s="19" cm="1">
        <f t="array" ref="AH518">DiasMesesGris(Q518:AB518)</f>
        <v>0</v>
      </c>
      <c r="AI518" s="19">
        <f t="shared" si="44"/>
        <v>0</v>
      </c>
      <c r="AJ518" s="19">
        <f t="shared" si="45"/>
        <v>360</v>
      </c>
      <c r="AK518" s="20">
        <f t="shared" si="46"/>
        <v>0</v>
      </c>
      <c r="AL518" s="21">
        <f t="shared" si="43"/>
        <v>0</v>
      </c>
    </row>
    <row r="519" spans="33:38" x14ac:dyDescent="0.25">
      <c r="AG519" s="19" cm="1">
        <f t="array" ref="AG519">DIASQUIEBRE(Q519:AB519)</f>
        <v>0</v>
      </c>
      <c r="AH519" s="19" cm="1">
        <f t="array" ref="AH519">DiasMesesGris(Q519:AB519)</f>
        <v>0</v>
      </c>
      <c r="AI519" s="19">
        <f t="shared" si="44"/>
        <v>0</v>
      </c>
      <c r="AJ519" s="19">
        <f t="shared" si="45"/>
        <v>360</v>
      </c>
      <c r="AK519" s="20">
        <f t="shared" si="46"/>
        <v>0</v>
      </c>
      <c r="AL519" s="21">
        <f t="shared" si="43"/>
        <v>0</v>
      </c>
    </row>
    <row r="520" spans="33:38" x14ac:dyDescent="0.25">
      <c r="AG520" s="19" cm="1">
        <f t="array" ref="AG520">DIASQUIEBRE(Q520:AB520)</f>
        <v>0</v>
      </c>
      <c r="AH520" s="19" cm="1">
        <f t="array" ref="AH520">DiasMesesGris(Q520:AB520)</f>
        <v>0</v>
      </c>
      <c r="AI520" s="19">
        <f t="shared" si="44"/>
        <v>0</v>
      </c>
      <c r="AJ520" s="19">
        <f t="shared" si="45"/>
        <v>360</v>
      </c>
      <c r="AK520" s="20">
        <f t="shared" si="46"/>
        <v>0</v>
      </c>
      <c r="AL520" s="21">
        <f t="shared" si="43"/>
        <v>0</v>
      </c>
    </row>
    <row r="521" spans="33:38" x14ac:dyDescent="0.25">
      <c r="AG521" s="19" cm="1">
        <f t="array" ref="AG521">DIASQUIEBRE(Q521:AB521)</f>
        <v>0</v>
      </c>
      <c r="AH521" s="19" cm="1">
        <f t="array" ref="AH521">DiasMesesGris(Q521:AB521)</f>
        <v>0</v>
      </c>
      <c r="AI521" s="19">
        <f t="shared" si="44"/>
        <v>0</v>
      </c>
      <c r="AJ521" s="19">
        <f t="shared" si="45"/>
        <v>360</v>
      </c>
      <c r="AK521" s="20">
        <f t="shared" si="46"/>
        <v>0</v>
      </c>
      <c r="AL521" s="21">
        <f t="shared" si="43"/>
        <v>0</v>
      </c>
    </row>
    <row r="522" spans="33:38" x14ac:dyDescent="0.25">
      <c r="AG522" s="19" cm="1">
        <f t="array" ref="AG522">DIASQUIEBRE(Q522:AB522)</f>
        <v>0</v>
      </c>
      <c r="AH522" s="19" cm="1">
        <f t="array" ref="AH522">DiasMesesGris(Q522:AB522)</f>
        <v>0</v>
      </c>
      <c r="AI522" s="19">
        <f t="shared" si="44"/>
        <v>0</v>
      </c>
      <c r="AJ522" s="19">
        <f t="shared" si="45"/>
        <v>360</v>
      </c>
      <c r="AK522" s="20">
        <f t="shared" si="46"/>
        <v>0</v>
      </c>
      <c r="AL522" s="21">
        <f t="shared" si="43"/>
        <v>0</v>
      </c>
    </row>
    <row r="523" spans="33:38" x14ac:dyDescent="0.25">
      <c r="AG523" s="19" cm="1">
        <f t="array" ref="AG523">DIASQUIEBRE(Q523:AB523)</f>
        <v>0</v>
      </c>
      <c r="AH523" s="19" cm="1">
        <f t="array" ref="AH523">DiasMesesGris(Q523:AB523)</f>
        <v>0</v>
      </c>
      <c r="AI523" s="19">
        <f t="shared" si="44"/>
        <v>0</v>
      </c>
      <c r="AJ523" s="19">
        <f t="shared" si="45"/>
        <v>360</v>
      </c>
      <c r="AK523" s="20">
        <f t="shared" si="46"/>
        <v>0</v>
      </c>
      <c r="AL523" s="21">
        <f t="shared" si="43"/>
        <v>0</v>
      </c>
    </row>
    <row r="524" spans="33:38" x14ac:dyDescent="0.25">
      <c r="AG524" s="19" cm="1">
        <f t="array" ref="AG524">DIASQUIEBRE(Q524:AB524)</f>
        <v>0</v>
      </c>
      <c r="AH524" s="19" cm="1">
        <f t="array" ref="AH524">DiasMesesGris(Q524:AB524)</f>
        <v>0</v>
      </c>
      <c r="AI524" s="19">
        <f t="shared" si="44"/>
        <v>0</v>
      </c>
      <c r="AJ524" s="19">
        <f t="shared" si="45"/>
        <v>360</v>
      </c>
      <c r="AK524" s="20">
        <f t="shared" si="46"/>
        <v>0</v>
      </c>
      <c r="AL524" s="21">
        <f t="shared" si="43"/>
        <v>0</v>
      </c>
    </row>
    <row r="525" spans="33:38" x14ac:dyDescent="0.25">
      <c r="AG525" s="19" cm="1">
        <f t="array" ref="AG525">DIASQUIEBRE(Q525:AB525)</f>
        <v>0</v>
      </c>
      <c r="AH525" s="19" cm="1">
        <f t="array" ref="AH525">DiasMesesGris(Q525:AB525)</f>
        <v>0</v>
      </c>
      <c r="AI525" s="19">
        <f t="shared" si="44"/>
        <v>0</v>
      </c>
      <c r="AJ525" s="19">
        <f t="shared" si="45"/>
        <v>360</v>
      </c>
      <c r="AK525" s="20">
        <f t="shared" si="46"/>
        <v>0</v>
      </c>
      <c r="AL525" s="21">
        <f t="shared" si="43"/>
        <v>0</v>
      </c>
    </row>
    <row r="526" spans="33:38" x14ac:dyDescent="0.25">
      <c r="AG526" s="19" cm="1">
        <f t="array" ref="AG526">DIASQUIEBRE(Q526:AB526)</f>
        <v>0</v>
      </c>
      <c r="AH526" s="19" cm="1">
        <f t="array" ref="AH526">DiasMesesGris(Q526:AB526)</f>
        <v>0</v>
      </c>
      <c r="AI526" s="19">
        <f t="shared" si="44"/>
        <v>0</v>
      </c>
      <c r="AJ526" s="19">
        <f t="shared" si="45"/>
        <v>360</v>
      </c>
      <c r="AK526" s="20">
        <f t="shared" si="46"/>
        <v>0</v>
      </c>
      <c r="AL526" s="21">
        <f t="shared" si="43"/>
        <v>0</v>
      </c>
    </row>
    <row r="527" spans="33:38" x14ac:dyDescent="0.25">
      <c r="AG527" s="19" cm="1">
        <f t="array" ref="AG527">DIASQUIEBRE(Q527:AB527)</f>
        <v>0</v>
      </c>
      <c r="AH527" s="19" cm="1">
        <f t="array" ref="AH527">DiasMesesGris(Q527:AB527)</f>
        <v>0</v>
      </c>
      <c r="AI527" s="19">
        <f t="shared" si="44"/>
        <v>0</v>
      </c>
      <c r="AJ527" s="19">
        <f t="shared" si="45"/>
        <v>360</v>
      </c>
      <c r="AK527" s="20">
        <f t="shared" si="46"/>
        <v>0</v>
      </c>
      <c r="AL527" s="21">
        <f t="shared" si="43"/>
        <v>0</v>
      </c>
    </row>
    <row r="528" spans="33:38" x14ac:dyDescent="0.25">
      <c r="AG528" s="19" cm="1">
        <f t="array" ref="AG528">DIASQUIEBRE(Q528:AB528)</f>
        <v>0</v>
      </c>
      <c r="AH528" s="19" cm="1">
        <f t="array" ref="AH528">DiasMesesGris(Q528:AB528)</f>
        <v>0</v>
      </c>
      <c r="AI528" s="19">
        <f t="shared" si="44"/>
        <v>0</v>
      </c>
      <c r="AJ528" s="19">
        <f t="shared" si="45"/>
        <v>360</v>
      </c>
      <c r="AK528" s="20">
        <f t="shared" si="46"/>
        <v>0</v>
      </c>
      <c r="AL528" s="21">
        <f t="shared" si="43"/>
        <v>0</v>
      </c>
    </row>
    <row r="529" spans="33:38" x14ac:dyDescent="0.25">
      <c r="AG529" s="19" cm="1">
        <f t="array" ref="AG529">DIASQUIEBRE(Q529:AB529)</f>
        <v>0</v>
      </c>
      <c r="AH529" s="19" cm="1">
        <f t="array" ref="AH529">DiasMesesGris(Q529:AB529)</f>
        <v>0</v>
      </c>
      <c r="AI529" s="19">
        <f t="shared" si="44"/>
        <v>0</v>
      </c>
      <c r="AJ529" s="19">
        <f t="shared" si="45"/>
        <v>360</v>
      </c>
      <c r="AK529" s="20">
        <f t="shared" si="46"/>
        <v>0</v>
      </c>
      <c r="AL529" s="21">
        <f t="shared" si="43"/>
        <v>0</v>
      </c>
    </row>
    <row r="530" spans="33:38" x14ac:dyDescent="0.25">
      <c r="AG530" s="19" cm="1">
        <f t="array" ref="AG530">DIASQUIEBRE(Q530:AB530)</f>
        <v>0</v>
      </c>
      <c r="AH530" s="19" cm="1">
        <f t="array" ref="AH530">DiasMesesGris(Q530:AB530)</f>
        <v>0</v>
      </c>
      <c r="AI530" s="19">
        <f t="shared" si="44"/>
        <v>0</v>
      </c>
      <c r="AJ530" s="19">
        <f t="shared" si="45"/>
        <v>360</v>
      </c>
      <c r="AK530" s="20">
        <f t="shared" si="46"/>
        <v>0</v>
      </c>
      <c r="AL530" s="21">
        <f t="shared" si="43"/>
        <v>0</v>
      </c>
    </row>
    <row r="531" spans="33:38" x14ac:dyDescent="0.25">
      <c r="AG531" s="19" cm="1">
        <f t="array" ref="AG531">DIASQUIEBRE(Q531:AB531)</f>
        <v>0</v>
      </c>
      <c r="AH531" s="19" cm="1">
        <f t="array" ref="AH531">DiasMesesGris(Q531:AB531)</f>
        <v>0</v>
      </c>
      <c r="AI531" s="19">
        <f t="shared" si="44"/>
        <v>0</v>
      </c>
      <c r="AJ531" s="19">
        <f t="shared" si="45"/>
        <v>360</v>
      </c>
      <c r="AK531" s="20">
        <f t="shared" si="46"/>
        <v>0</v>
      </c>
      <c r="AL531" s="21">
        <f t="shared" si="43"/>
        <v>0</v>
      </c>
    </row>
    <row r="532" spans="33:38" x14ac:dyDescent="0.25">
      <c r="AG532" s="19" cm="1">
        <f t="array" ref="AG532">DIASQUIEBRE(Q532:AB532)</f>
        <v>0</v>
      </c>
      <c r="AH532" s="19" cm="1">
        <f t="array" ref="AH532">DiasMesesGris(Q532:AB532)</f>
        <v>0</v>
      </c>
      <c r="AI532" s="19">
        <f t="shared" si="44"/>
        <v>0</v>
      </c>
      <c r="AJ532" s="19">
        <f t="shared" si="45"/>
        <v>360</v>
      </c>
      <c r="AK532" s="20">
        <f t="shared" si="46"/>
        <v>0</v>
      </c>
      <c r="AL532" s="21">
        <f t="shared" si="43"/>
        <v>0</v>
      </c>
    </row>
    <row r="533" spans="33:38" x14ac:dyDescent="0.25">
      <c r="AG533" s="19" cm="1">
        <f t="array" ref="AG533">DIASQUIEBRE(Q533:AB533)</f>
        <v>0</v>
      </c>
      <c r="AH533" s="19" cm="1">
        <f t="array" ref="AH533">DiasMesesGris(Q533:AB533)</f>
        <v>0</v>
      </c>
      <c r="AI533" s="19">
        <f t="shared" si="44"/>
        <v>0</v>
      </c>
      <c r="AJ533" s="19">
        <f t="shared" si="45"/>
        <v>360</v>
      </c>
      <c r="AK533" s="20">
        <f t="shared" si="46"/>
        <v>0</v>
      </c>
      <c r="AL533" s="21">
        <f t="shared" si="43"/>
        <v>0</v>
      </c>
    </row>
    <row r="534" spans="33:38" x14ac:dyDescent="0.25">
      <c r="AG534" s="19" cm="1">
        <f t="array" ref="AG534">DIASQUIEBRE(Q534:AB534)</f>
        <v>0</v>
      </c>
      <c r="AH534" s="19" cm="1">
        <f t="array" ref="AH534">DiasMesesGris(Q534:AB534)</f>
        <v>0</v>
      </c>
      <c r="AI534" s="19">
        <f t="shared" si="44"/>
        <v>0</v>
      </c>
      <c r="AJ534" s="19">
        <f t="shared" si="45"/>
        <v>360</v>
      </c>
      <c r="AK534" s="20">
        <f t="shared" si="46"/>
        <v>0</v>
      </c>
      <c r="AL534" s="21">
        <f t="shared" si="43"/>
        <v>0</v>
      </c>
    </row>
    <row r="535" spans="33:38" x14ac:dyDescent="0.25">
      <c r="AG535" s="19" cm="1">
        <f t="array" ref="AG535">DIASQUIEBRE(Q535:AB535)</f>
        <v>0</v>
      </c>
      <c r="AH535" s="19" cm="1">
        <f t="array" ref="AH535">DiasMesesGris(Q535:AB535)</f>
        <v>0</v>
      </c>
      <c r="AI535" s="19">
        <f t="shared" si="44"/>
        <v>0</v>
      </c>
      <c r="AJ535" s="19">
        <f t="shared" si="45"/>
        <v>360</v>
      </c>
      <c r="AK535" s="20">
        <f t="shared" si="46"/>
        <v>0</v>
      </c>
      <c r="AL535" s="21">
        <f t="shared" si="43"/>
        <v>0</v>
      </c>
    </row>
    <row r="536" spans="33:38" x14ac:dyDescent="0.25">
      <c r="AG536" s="19" cm="1">
        <f t="array" ref="AG536">DIASQUIEBRE(Q536:AB536)</f>
        <v>0</v>
      </c>
      <c r="AH536" s="19" cm="1">
        <f t="array" ref="AH536">DiasMesesGris(Q536:AB536)</f>
        <v>0</v>
      </c>
      <c r="AI536" s="19">
        <f t="shared" si="44"/>
        <v>0</v>
      </c>
      <c r="AJ536" s="19">
        <f t="shared" si="45"/>
        <v>360</v>
      </c>
      <c r="AK536" s="20">
        <f t="shared" si="46"/>
        <v>0</v>
      </c>
      <c r="AL536" s="21">
        <f t="shared" si="43"/>
        <v>0</v>
      </c>
    </row>
    <row r="537" spans="33:38" x14ac:dyDescent="0.25">
      <c r="AG537" s="19" cm="1">
        <f t="array" ref="AG537">DIASQUIEBRE(Q537:AB537)</f>
        <v>0</v>
      </c>
      <c r="AH537" s="19" cm="1">
        <f t="array" ref="AH537">DiasMesesGris(Q537:AB537)</f>
        <v>0</v>
      </c>
      <c r="AI537" s="19">
        <f t="shared" si="44"/>
        <v>0</v>
      </c>
      <c r="AJ537" s="19">
        <f t="shared" si="45"/>
        <v>360</v>
      </c>
      <c r="AK537" s="20">
        <f t="shared" si="46"/>
        <v>0</v>
      </c>
      <c r="AL537" s="21">
        <f t="shared" si="43"/>
        <v>0</v>
      </c>
    </row>
    <row r="538" spans="33:38" x14ac:dyDescent="0.25">
      <c r="AG538" s="19" cm="1">
        <f t="array" ref="AG538">DIASQUIEBRE(Q538:AB538)</f>
        <v>0</v>
      </c>
      <c r="AH538" s="19" cm="1">
        <f t="array" ref="AH538">DiasMesesGris(Q538:AB538)</f>
        <v>0</v>
      </c>
      <c r="AI538" s="19">
        <f t="shared" si="44"/>
        <v>0</v>
      </c>
      <c r="AJ538" s="19">
        <f t="shared" si="45"/>
        <v>360</v>
      </c>
      <c r="AK538" s="20">
        <f t="shared" si="46"/>
        <v>0</v>
      </c>
      <c r="AL538" s="21">
        <f t="shared" si="43"/>
        <v>0</v>
      </c>
    </row>
    <row r="539" spans="33:38" x14ac:dyDescent="0.25">
      <c r="AG539" s="19" cm="1">
        <f t="array" ref="AG539">DIASQUIEBRE(Q539:AB539)</f>
        <v>0</v>
      </c>
      <c r="AH539" s="19" cm="1">
        <f t="array" ref="AH539">DiasMesesGris(Q539:AB539)</f>
        <v>0</v>
      </c>
      <c r="AI539" s="19">
        <f t="shared" si="44"/>
        <v>0</v>
      </c>
      <c r="AJ539" s="19">
        <f t="shared" si="45"/>
        <v>360</v>
      </c>
      <c r="AK539" s="20">
        <f t="shared" si="46"/>
        <v>0</v>
      </c>
      <c r="AL539" s="21">
        <f t="shared" si="43"/>
        <v>0</v>
      </c>
    </row>
    <row r="540" spans="33:38" x14ac:dyDescent="0.25">
      <c r="AG540" s="19" cm="1">
        <f t="array" ref="AG540">DIASQUIEBRE(Q540:AB540)</f>
        <v>0</v>
      </c>
      <c r="AH540" s="19" cm="1">
        <f t="array" ref="AH540">DiasMesesGris(Q540:AB540)</f>
        <v>0</v>
      </c>
      <c r="AI540" s="19">
        <f t="shared" si="44"/>
        <v>0</v>
      </c>
      <c r="AJ540" s="19">
        <f t="shared" si="45"/>
        <v>360</v>
      </c>
      <c r="AK540" s="20">
        <f t="shared" si="46"/>
        <v>0</v>
      </c>
      <c r="AL540" s="21">
        <f t="shared" si="43"/>
        <v>0</v>
      </c>
    </row>
    <row r="541" spans="33:38" x14ac:dyDescent="0.25">
      <c r="AG541" s="19" cm="1">
        <f t="array" ref="AG541">DIASQUIEBRE(Q541:AB541)</f>
        <v>0</v>
      </c>
      <c r="AH541" s="19" cm="1">
        <f t="array" ref="AH541">DiasMesesGris(Q541:AB541)</f>
        <v>0</v>
      </c>
      <c r="AI541" s="19">
        <f t="shared" si="44"/>
        <v>0</v>
      </c>
      <c r="AJ541" s="19">
        <f t="shared" si="45"/>
        <v>360</v>
      </c>
      <c r="AK541" s="20">
        <f t="shared" si="46"/>
        <v>0</v>
      </c>
      <c r="AL541" s="21">
        <f t="shared" si="43"/>
        <v>0</v>
      </c>
    </row>
    <row r="542" spans="33:38" x14ac:dyDescent="0.25">
      <c r="AG542" s="19" cm="1">
        <f t="array" ref="AG542">DIASQUIEBRE(Q542:AB542)</f>
        <v>0</v>
      </c>
      <c r="AH542" s="19" cm="1">
        <f t="array" ref="AH542">DiasMesesGris(Q542:AB542)</f>
        <v>0</v>
      </c>
      <c r="AI542" s="19">
        <f t="shared" si="44"/>
        <v>0</v>
      </c>
      <c r="AJ542" s="19">
        <f t="shared" si="45"/>
        <v>360</v>
      </c>
      <c r="AK542" s="20">
        <f t="shared" si="46"/>
        <v>0</v>
      </c>
      <c r="AL542" s="21">
        <f t="shared" si="43"/>
        <v>0</v>
      </c>
    </row>
    <row r="543" spans="33:38" x14ac:dyDescent="0.25">
      <c r="AG543" s="19" cm="1">
        <f t="array" ref="AG543">DIASQUIEBRE(Q543:AB543)</f>
        <v>0</v>
      </c>
      <c r="AH543" s="19" cm="1">
        <f t="array" ref="AH543">DiasMesesGris(Q543:AB543)</f>
        <v>0</v>
      </c>
      <c r="AI543" s="19">
        <f t="shared" si="44"/>
        <v>0</v>
      </c>
      <c r="AJ543" s="19">
        <f t="shared" si="45"/>
        <v>360</v>
      </c>
      <c r="AK543" s="20">
        <f t="shared" si="46"/>
        <v>0</v>
      </c>
      <c r="AL543" s="21">
        <f t="shared" si="43"/>
        <v>0</v>
      </c>
    </row>
    <row r="544" spans="33:38" x14ac:dyDescent="0.25">
      <c r="AG544" s="19" cm="1">
        <f t="array" ref="AG544">DIASQUIEBRE(Q544:AB544)</f>
        <v>0</v>
      </c>
      <c r="AH544" s="19" cm="1">
        <f t="array" ref="AH544">DiasMesesGris(Q544:AB544)</f>
        <v>0</v>
      </c>
      <c r="AI544" s="19">
        <f t="shared" si="44"/>
        <v>0</v>
      </c>
      <c r="AJ544" s="19">
        <f t="shared" si="45"/>
        <v>360</v>
      </c>
      <c r="AK544" s="20">
        <f t="shared" si="46"/>
        <v>0</v>
      </c>
      <c r="AL544" s="21">
        <f t="shared" si="43"/>
        <v>0</v>
      </c>
    </row>
    <row r="545" spans="33:38" x14ac:dyDescent="0.25">
      <c r="AG545" s="19" cm="1">
        <f t="array" ref="AG545">DIASQUIEBRE(Q545:AB545)</f>
        <v>0</v>
      </c>
      <c r="AH545" s="19" cm="1">
        <f t="array" ref="AH545">DiasMesesGris(Q545:AB545)</f>
        <v>0</v>
      </c>
      <c r="AI545" s="19">
        <f t="shared" si="44"/>
        <v>0</v>
      </c>
      <c r="AJ545" s="19">
        <f t="shared" si="45"/>
        <v>360</v>
      </c>
      <c r="AK545" s="20">
        <f t="shared" si="46"/>
        <v>0</v>
      </c>
      <c r="AL545" s="21">
        <f t="shared" si="43"/>
        <v>0</v>
      </c>
    </row>
    <row r="546" spans="33:38" x14ac:dyDescent="0.25">
      <c r="AG546" s="19" cm="1">
        <f t="array" ref="AG546">DIASQUIEBRE(Q546:AB546)</f>
        <v>0</v>
      </c>
      <c r="AH546" s="19" cm="1">
        <f t="array" ref="AH546">DiasMesesGris(Q546:AB546)</f>
        <v>0</v>
      </c>
      <c r="AI546" s="19">
        <f t="shared" si="44"/>
        <v>0</v>
      </c>
      <c r="AJ546" s="19">
        <f t="shared" si="45"/>
        <v>360</v>
      </c>
      <c r="AK546" s="20">
        <f t="shared" si="46"/>
        <v>0</v>
      </c>
      <c r="AL546" s="21">
        <f t="shared" si="43"/>
        <v>0</v>
      </c>
    </row>
    <row r="547" spans="33:38" x14ac:dyDescent="0.25">
      <c r="AG547" s="19" cm="1">
        <f t="array" ref="AG547">DIASQUIEBRE(Q547:AB547)</f>
        <v>0</v>
      </c>
      <c r="AH547" s="19" cm="1">
        <f t="array" ref="AH547">DiasMesesGris(Q547:AB547)</f>
        <v>0</v>
      </c>
      <c r="AI547" s="19">
        <f t="shared" si="44"/>
        <v>0</v>
      </c>
      <c r="AJ547" s="19">
        <f t="shared" si="45"/>
        <v>360</v>
      </c>
      <c r="AK547" s="20">
        <f t="shared" si="46"/>
        <v>0</v>
      </c>
      <c r="AL547" s="21">
        <f t="shared" si="43"/>
        <v>0</v>
      </c>
    </row>
    <row r="548" spans="33:38" x14ac:dyDescent="0.25">
      <c r="AG548" s="19" cm="1">
        <f t="array" ref="AG548">DIASQUIEBRE(Q548:AB548)</f>
        <v>0</v>
      </c>
      <c r="AH548" s="19" cm="1">
        <f t="array" ref="AH548">DiasMesesGris(Q548:AB548)</f>
        <v>0</v>
      </c>
      <c r="AI548" s="19">
        <f t="shared" si="44"/>
        <v>0</v>
      </c>
      <c r="AJ548" s="19">
        <f t="shared" si="45"/>
        <v>360</v>
      </c>
      <c r="AK548" s="20">
        <f t="shared" si="46"/>
        <v>0</v>
      </c>
      <c r="AL548" s="21">
        <f t="shared" si="43"/>
        <v>0</v>
      </c>
    </row>
    <row r="549" spans="33:38" x14ac:dyDescent="0.25">
      <c r="AG549" s="19" cm="1">
        <f t="array" ref="AG549">DIASQUIEBRE(Q549:AB549)</f>
        <v>0</v>
      </c>
      <c r="AH549" s="19" cm="1">
        <f t="array" ref="AH549">DiasMesesGris(Q549:AB549)</f>
        <v>0</v>
      </c>
      <c r="AI549" s="19">
        <f t="shared" si="44"/>
        <v>0</v>
      </c>
      <c r="AJ549" s="19">
        <f t="shared" si="45"/>
        <v>360</v>
      </c>
      <c r="AK549" s="20">
        <f t="shared" si="46"/>
        <v>0</v>
      </c>
      <c r="AL549" s="21">
        <f t="shared" si="43"/>
        <v>0</v>
      </c>
    </row>
    <row r="550" spans="33:38" x14ac:dyDescent="0.25">
      <c r="AG550" s="19" cm="1">
        <f t="array" ref="AG550">DIASQUIEBRE(Q550:AB550)</f>
        <v>0</v>
      </c>
      <c r="AH550" s="19" cm="1">
        <f t="array" ref="AH550">DiasMesesGris(Q550:AB550)</f>
        <v>0</v>
      </c>
      <c r="AI550" s="19">
        <f t="shared" si="44"/>
        <v>0</v>
      </c>
      <c r="AJ550" s="19">
        <f t="shared" si="45"/>
        <v>360</v>
      </c>
      <c r="AK550" s="20">
        <f t="shared" si="46"/>
        <v>0</v>
      </c>
      <c r="AL550" s="21">
        <f t="shared" si="43"/>
        <v>0</v>
      </c>
    </row>
    <row r="551" spans="33:38" x14ac:dyDescent="0.25">
      <c r="AG551" s="19" cm="1">
        <f t="array" ref="AG551">DIASQUIEBRE(Q551:AB551)</f>
        <v>0</v>
      </c>
      <c r="AH551" s="19" cm="1">
        <f t="array" ref="AH551">DiasMesesGris(Q551:AB551)</f>
        <v>0</v>
      </c>
      <c r="AI551" s="19">
        <f t="shared" si="44"/>
        <v>0</v>
      </c>
      <c r="AJ551" s="19">
        <f t="shared" si="45"/>
        <v>360</v>
      </c>
      <c r="AK551" s="20">
        <f t="shared" si="46"/>
        <v>0</v>
      </c>
      <c r="AL551" s="21">
        <f t="shared" si="43"/>
        <v>0</v>
      </c>
    </row>
    <row r="552" spans="33:38" x14ac:dyDescent="0.25">
      <c r="AG552" s="19" cm="1">
        <f t="array" ref="AG552">DIASQUIEBRE(Q552:AB552)</f>
        <v>0</v>
      </c>
      <c r="AH552" s="19" cm="1">
        <f t="array" ref="AH552">DiasMesesGris(Q552:AB552)</f>
        <v>0</v>
      </c>
      <c r="AI552" s="19">
        <f t="shared" si="44"/>
        <v>0</v>
      </c>
      <c r="AJ552" s="19">
        <f t="shared" si="45"/>
        <v>360</v>
      </c>
      <c r="AK552" s="20">
        <f t="shared" si="46"/>
        <v>0</v>
      </c>
      <c r="AL552" s="21">
        <f t="shared" si="43"/>
        <v>0</v>
      </c>
    </row>
    <row r="553" spans="33:38" x14ac:dyDescent="0.25">
      <c r="AG553" s="19" cm="1">
        <f t="array" ref="AG553">DIASQUIEBRE(Q553:AB553)</f>
        <v>0</v>
      </c>
      <c r="AH553" s="19" cm="1">
        <f t="array" ref="AH553">DiasMesesGris(Q553:AB553)</f>
        <v>0</v>
      </c>
      <c r="AI553" s="19">
        <f t="shared" si="44"/>
        <v>0</v>
      </c>
      <c r="AJ553" s="19">
        <f t="shared" si="45"/>
        <v>360</v>
      </c>
      <c r="AK553" s="20">
        <f t="shared" si="46"/>
        <v>0</v>
      </c>
      <c r="AL553" s="21">
        <f t="shared" si="43"/>
        <v>0</v>
      </c>
    </row>
    <row r="554" spans="33:38" x14ac:dyDescent="0.25">
      <c r="AG554" s="19" cm="1">
        <f t="array" ref="AG554">DIASQUIEBRE(Q554:AB554)</f>
        <v>0</v>
      </c>
      <c r="AH554" s="19" cm="1">
        <f t="array" ref="AH554">DiasMesesGris(Q554:AB554)</f>
        <v>0</v>
      </c>
      <c r="AI554" s="19">
        <f t="shared" si="44"/>
        <v>0</v>
      </c>
      <c r="AJ554" s="19">
        <f t="shared" si="45"/>
        <v>360</v>
      </c>
      <c r="AK554" s="20">
        <f t="shared" si="46"/>
        <v>0</v>
      </c>
      <c r="AL554" s="21">
        <f t="shared" si="43"/>
        <v>0</v>
      </c>
    </row>
    <row r="555" spans="33:38" x14ac:dyDescent="0.25">
      <c r="AG555" s="19" cm="1">
        <f t="array" ref="AG555">DIASQUIEBRE(Q555:AB555)</f>
        <v>0</v>
      </c>
      <c r="AH555" s="19" cm="1">
        <f t="array" ref="AH555">DiasMesesGris(Q555:AB555)</f>
        <v>0</v>
      </c>
      <c r="AI555" s="19">
        <f t="shared" si="44"/>
        <v>0</v>
      </c>
      <c r="AJ555" s="19">
        <f t="shared" si="45"/>
        <v>360</v>
      </c>
      <c r="AK555" s="20">
        <f t="shared" si="46"/>
        <v>0</v>
      </c>
      <c r="AL555" s="21">
        <f t="shared" si="43"/>
        <v>0</v>
      </c>
    </row>
    <row r="556" spans="33:38" x14ac:dyDescent="0.25">
      <c r="AG556" s="19" cm="1">
        <f t="array" ref="AG556">DIASQUIEBRE(Q556:AB556)</f>
        <v>0</v>
      </c>
      <c r="AH556" s="19" cm="1">
        <f t="array" ref="AH556">DiasMesesGris(Q556:AB556)</f>
        <v>0</v>
      </c>
      <c r="AI556" s="19">
        <f t="shared" si="44"/>
        <v>0</v>
      </c>
      <c r="AJ556" s="19">
        <f t="shared" si="45"/>
        <v>360</v>
      </c>
      <c r="AK556" s="20">
        <f t="shared" si="46"/>
        <v>0</v>
      </c>
      <c r="AL556" s="21">
        <f t="shared" si="43"/>
        <v>0</v>
      </c>
    </row>
    <row r="557" spans="33:38" x14ac:dyDescent="0.25">
      <c r="AG557" s="19" cm="1">
        <f t="array" ref="AG557">DIASQUIEBRE(Q557:AB557)</f>
        <v>0</v>
      </c>
      <c r="AH557" s="19" cm="1">
        <f t="array" ref="AH557">DiasMesesGris(Q557:AB557)</f>
        <v>0</v>
      </c>
      <c r="AI557" s="19">
        <f t="shared" si="44"/>
        <v>0</v>
      </c>
      <c r="AJ557" s="19">
        <f t="shared" si="45"/>
        <v>360</v>
      </c>
      <c r="AK557" s="20">
        <f t="shared" si="46"/>
        <v>0</v>
      </c>
      <c r="AL557" s="21">
        <f t="shared" si="43"/>
        <v>0</v>
      </c>
    </row>
    <row r="558" spans="33:38" x14ac:dyDescent="0.25">
      <c r="AG558" s="19" cm="1">
        <f t="array" ref="AG558">DIASQUIEBRE(Q558:AB558)</f>
        <v>0</v>
      </c>
      <c r="AH558" s="19" cm="1">
        <f t="array" ref="AH558">DiasMesesGris(Q558:AB558)</f>
        <v>0</v>
      </c>
      <c r="AI558" s="19">
        <f t="shared" si="44"/>
        <v>0</v>
      </c>
      <c r="AJ558" s="19">
        <f t="shared" si="45"/>
        <v>360</v>
      </c>
      <c r="AK558" s="20">
        <f t="shared" si="46"/>
        <v>0</v>
      </c>
      <c r="AL558" s="21">
        <f t="shared" si="43"/>
        <v>0</v>
      </c>
    </row>
    <row r="559" spans="33:38" x14ac:dyDescent="0.25">
      <c r="AG559" s="19" cm="1">
        <f t="array" ref="AG559">DIASQUIEBRE(Q559:AB559)</f>
        <v>0</v>
      </c>
      <c r="AH559" s="19" cm="1">
        <f t="array" ref="AH559">DiasMesesGris(Q559:AB559)</f>
        <v>0</v>
      </c>
      <c r="AI559" s="19">
        <f t="shared" si="44"/>
        <v>0</v>
      </c>
      <c r="AJ559" s="19">
        <f t="shared" si="45"/>
        <v>360</v>
      </c>
      <c r="AK559" s="20">
        <f t="shared" si="46"/>
        <v>0</v>
      </c>
      <c r="AL559" s="21">
        <f t="shared" si="43"/>
        <v>0</v>
      </c>
    </row>
    <row r="560" spans="33:38" x14ac:dyDescent="0.25">
      <c r="AG560" s="19" cm="1">
        <f t="array" ref="AG560">DIASQUIEBRE(Q560:AB560)</f>
        <v>0</v>
      </c>
      <c r="AH560" s="19" cm="1">
        <f t="array" ref="AH560">DiasMesesGris(Q560:AB560)</f>
        <v>0</v>
      </c>
      <c r="AI560" s="19">
        <f t="shared" si="44"/>
        <v>0</v>
      </c>
      <c r="AJ560" s="19">
        <f t="shared" si="45"/>
        <v>360</v>
      </c>
      <c r="AK560" s="20">
        <f t="shared" si="46"/>
        <v>0</v>
      </c>
      <c r="AL560" s="21">
        <f t="shared" si="43"/>
        <v>0</v>
      </c>
    </row>
    <row r="561" spans="33:38" x14ac:dyDescent="0.25">
      <c r="AG561" s="19" cm="1">
        <f t="array" ref="AG561">DIASQUIEBRE(Q561:AB561)</f>
        <v>0</v>
      </c>
      <c r="AH561" s="19" cm="1">
        <f t="array" ref="AH561">DiasMesesGris(Q561:AB561)</f>
        <v>0</v>
      </c>
      <c r="AI561" s="19">
        <f t="shared" si="44"/>
        <v>0</v>
      </c>
      <c r="AJ561" s="19">
        <f t="shared" si="45"/>
        <v>360</v>
      </c>
      <c r="AK561" s="20">
        <f t="shared" si="46"/>
        <v>0</v>
      </c>
      <c r="AL561" s="21">
        <f t="shared" si="43"/>
        <v>0</v>
      </c>
    </row>
    <row r="562" spans="33:38" x14ac:dyDescent="0.25">
      <c r="AG562" s="19" cm="1">
        <f t="array" ref="AG562">DIASQUIEBRE(Q562:AB562)</f>
        <v>0</v>
      </c>
      <c r="AH562" s="19" cm="1">
        <f t="array" ref="AH562">DiasMesesGris(Q562:AB562)</f>
        <v>0</v>
      </c>
      <c r="AI562" s="19">
        <f t="shared" si="44"/>
        <v>0</v>
      </c>
      <c r="AJ562" s="19">
        <f t="shared" si="45"/>
        <v>360</v>
      </c>
      <c r="AK562" s="20">
        <f t="shared" si="46"/>
        <v>0</v>
      </c>
      <c r="AL562" s="21">
        <f t="shared" si="43"/>
        <v>0</v>
      </c>
    </row>
    <row r="563" spans="33:38" x14ac:dyDescent="0.25">
      <c r="AG563" s="19" cm="1">
        <f t="array" ref="AG563">DIASQUIEBRE(Q563:AB563)</f>
        <v>0</v>
      </c>
      <c r="AH563" s="19" cm="1">
        <f t="array" ref="AH563">DiasMesesGris(Q563:AB563)</f>
        <v>0</v>
      </c>
      <c r="AI563" s="19">
        <f t="shared" si="44"/>
        <v>0</v>
      </c>
      <c r="AJ563" s="19">
        <f t="shared" si="45"/>
        <v>360</v>
      </c>
      <c r="AK563" s="20">
        <f t="shared" si="46"/>
        <v>0</v>
      </c>
      <c r="AL563" s="21">
        <f t="shared" si="43"/>
        <v>0</v>
      </c>
    </row>
    <row r="564" spans="33:38" x14ac:dyDescent="0.25">
      <c r="AG564" s="19" cm="1">
        <f t="array" ref="AG564">DIASQUIEBRE(Q564:AB564)</f>
        <v>0</v>
      </c>
      <c r="AH564" s="19" cm="1">
        <f t="array" ref="AH564">DiasMesesGris(Q564:AB564)</f>
        <v>0</v>
      </c>
      <c r="AI564" s="19">
        <f t="shared" si="44"/>
        <v>0</v>
      </c>
      <c r="AJ564" s="19">
        <f t="shared" si="45"/>
        <v>360</v>
      </c>
      <c r="AK564" s="20">
        <f t="shared" si="46"/>
        <v>0</v>
      </c>
      <c r="AL564" s="21">
        <f t="shared" si="43"/>
        <v>0</v>
      </c>
    </row>
    <row r="565" spans="33:38" x14ac:dyDescent="0.25">
      <c r="AG565" s="19" cm="1">
        <f t="array" ref="AG565">DIASQUIEBRE(Q565:AB565)</f>
        <v>0</v>
      </c>
      <c r="AH565" s="19" cm="1">
        <f t="array" ref="AH565">DiasMesesGris(Q565:AB565)</f>
        <v>0</v>
      </c>
      <c r="AI565" s="19">
        <f t="shared" si="44"/>
        <v>0</v>
      </c>
      <c r="AJ565" s="19">
        <f t="shared" si="45"/>
        <v>360</v>
      </c>
      <c r="AK565" s="20">
        <f t="shared" si="46"/>
        <v>0</v>
      </c>
      <c r="AL565" s="21">
        <f t="shared" si="43"/>
        <v>0</v>
      </c>
    </row>
    <row r="566" spans="33:38" x14ac:dyDescent="0.25">
      <c r="AG566" s="19" cm="1">
        <f t="array" ref="AG566">DIASQUIEBRE(Q566:AB566)</f>
        <v>0</v>
      </c>
      <c r="AH566" s="19" cm="1">
        <f t="array" ref="AH566">DiasMesesGris(Q566:AB566)</f>
        <v>0</v>
      </c>
      <c r="AI566" s="19">
        <f t="shared" si="44"/>
        <v>0</v>
      </c>
      <c r="AJ566" s="19">
        <f t="shared" si="45"/>
        <v>360</v>
      </c>
      <c r="AK566" s="20">
        <f t="shared" si="46"/>
        <v>0</v>
      </c>
      <c r="AL566" s="21">
        <f t="shared" si="43"/>
        <v>0</v>
      </c>
    </row>
    <row r="567" spans="33:38" x14ac:dyDescent="0.25">
      <c r="AG567" s="19" cm="1">
        <f t="array" ref="AG567">DIASQUIEBRE(Q567:AB567)</f>
        <v>0</v>
      </c>
      <c r="AH567" s="19" cm="1">
        <f t="array" ref="AH567">DiasMesesGris(Q567:AB567)</f>
        <v>0</v>
      </c>
      <c r="AI567" s="19">
        <f t="shared" si="44"/>
        <v>0</v>
      </c>
      <c r="AJ567" s="19">
        <f t="shared" si="45"/>
        <v>360</v>
      </c>
      <c r="AK567" s="20">
        <f t="shared" si="46"/>
        <v>0</v>
      </c>
      <c r="AL567" s="21">
        <f t="shared" si="43"/>
        <v>0</v>
      </c>
    </row>
    <row r="568" spans="33:38" x14ac:dyDescent="0.25">
      <c r="AG568" s="19" cm="1">
        <f t="array" ref="AG568">DIASQUIEBRE(Q568:AB568)</f>
        <v>0</v>
      </c>
      <c r="AH568" s="19" cm="1">
        <f t="array" ref="AH568">DiasMesesGris(Q568:AB568)</f>
        <v>0</v>
      </c>
      <c r="AI568" s="19">
        <f t="shared" si="44"/>
        <v>0</v>
      </c>
      <c r="AJ568" s="19">
        <f t="shared" si="45"/>
        <v>360</v>
      </c>
      <c r="AK568" s="20">
        <f t="shared" si="46"/>
        <v>0</v>
      </c>
      <c r="AL568" s="21">
        <f t="shared" si="43"/>
        <v>0</v>
      </c>
    </row>
    <row r="569" spans="33:38" x14ac:dyDescent="0.25">
      <c r="AG569" s="19" cm="1">
        <f t="array" ref="AG569">DIASQUIEBRE(Q569:AB569)</f>
        <v>0</v>
      </c>
      <c r="AH569" s="19" cm="1">
        <f t="array" ref="AH569">DiasMesesGris(Q569:AB569)</f>
        <v>0</v>
      </c>
      <c r="AI569" s="19">
        <f t="shared" si="44"/>
        <v>0</v>
      </c>
      <c r="AJ569" s="19">
        <f t="shared" si="45"/>
        <v>360</v>
      </c>
      <c r="AK569" s="20">
        <f t="shared" si="46"/>
        <v>0</v>
      </c>
      <c r="AL569" s="21">
        <f t="shared" si="43"/>
        <v>0</v>
      </c>
    </row>
    <row r="570" spans="33:38" x14ac:dyDescent="0.25">
      <c r="AG570" s="19" cm="1">
        <f t="array" ref="AG570">DIASQUIEBRE(Q570:AB570)</f>
        <v>0</v>
      </c>
      <c r="AH570" s="19" cm="1">
        <f t="array" ref="AH570">DiasMesesGris(Q570:AB570)</f>
        <v>0</v>
      </c>
      <c r="AI570" s="19">
        <f t="shared" si="44"/>
        <v>0</v>
      </c>
      <c r="AJ570" s="19">
        <f t="shared" si="45"/>
        <v>360</v>
      </c>
      <c r="AK570" s="20">
        <f t="shared" si="46"/>
        <v>0</v>
      </c>
      <c r="AL570" s="21">
        <f t="shared" si="43"/>
        <v>0</v>
      </c>
    </row>
    <row r="571" spans="33:38" x14ac:dyDescent="0.25">
      <c r="AG571" s="19" cm="1">
        <f t="array" ref="AG571">DIASQUIEBRE(Q571:AB571)</f>
        <v>0</v>
      </c>
      <c r="AH571" s="19" cm="1">
        <f t="array" ref="AH571">DiasMesesGris(Q571:AB571)</f>
        <v>0</v>
      </c>
      <c r="AI571" s="19">
        <f t="shared" si="44"/>
        <v>0</v>
      </c>
      <c r="AJ571" s="19">
        <f t="shared" si="45"/>
        <v>360</v>
      </c>
      <c r="AK571" s="20">
        <f t="shared" si="46"/>
        <v>0</v>
      </c>
      <c r="AL571" s="21">
        <f t="shared" si="43"/>
        <v>0</v>
      </c>
    </row>
    <row r="572" spans="33:38" x14ac:dyDescent="0.25">
      <c r="AG572" s="19" cm="1">
        <f t="array" ref="AG572">DIASQUIEBRE(Q572:AB572)</f>
        <v>0</v>
      </c>
      <c r="AH572" s="19" cm="1">
        <f t="array" ref="AH572">DiasMesesGris(Q572:AB572)</f>
        <v>0</v>
      </c>
      <c r="AI572" s="19">
        <f t="shared" si="44"/>
        <v>0</v>
      </c>
      <c r="AJ572" s="19">
        <f t="shared" si="45"/>
        <v>360</v>
      </c>
      <c r="AK572" s="20">
        <f t="shared" si="46"/>
        <v>0</v>
      </c>
      <c r="AL572" s="21">
        <f t="shared" si="43"/>
        <v>0</v>
      </c>
    </row>
    <row r="573" spans="33:38" x14ac:dyDescent="0.25">
      <c r="AG573" s="19" cm="1">
        <f t="array" ref="AG573">DIASQUIEBRE(Q573:AB573)</f>
        <v>0</v>
      </c>
      <c r="AH573" s="19" cm="1">
        <f t="array" ref="AH573">DiasMesesGris(Q573:AB573)</f>
        <v>0</v>
      </c>
      <c r="AI573" s="19">
        <f t="shared" si="44"/>
        <v>0</v>
      </c>
      <c r="AJ573" s="19">
        <f t="shared" si="45"/>
        <v>360</v>
      </c>
      <c r="AK573" s="20">
        <f t="shared" si="46"/>
        <v>0</v>
      </c>
      <c r="AL573" s="21">
        <f t="shared" si="43"/>
        <v>0</v>
      </c>
    </row>
    <row r="574" spans="33:38" x14ac:dyDescent="0.25">
      <c r="AG574" s="19" cm="1">
        <f t="array" ref="AG574">DIASQUIEBRE(Q574:AB574)</f>
        <v>0</v>
      </c>
      <c r="AH574" s="19" cm="1">
        <f t="array" ref="AH574">DiasMesesGris(Q574:AB574)</f>
        <v>0</v>
      </c>
      <c r="AI574" s="19">
        <f t="shared" si="44"/>
        <v>0</v>
      </c>
      <c r="AJ574" s="19">
        <f t="shared" si="45"/>
        <v>360</v>
      </c>
      <c r="AK574" s="20">
        <f t="shared" si="46"/>
        <v>0</v>
      </c>
      <c r="AL574" s="21">
        <f t="shared" si="43"/>
        <v>0</v>
      </c>
    </row>
    <row r="575" spans="33:38" x14ac:dyDescent="0.25">
      <c r="AG575" s="19" cm="1">
        <f t="array" ref="AG575">DIASQUIEBRE(Q575:AB575)</f>
        <v>0</v>
      </c>
      <c r="AH575" s="19" cm="1">
        <f t="array" ref="AH575">DiasMesesGris(Q575:AB575)</f>
        <v>0</v>
      </c>
      <c r="AI575" s="19">
        <f t="shared" si="44"/>
        <v>0</v>
      </c>
      <c r="AJ575" s="19">
        <f t="shared" si="45"/>
        <v>360</v>
      </c>
      <c r="AK575" s="20">
        <f t="shared" si="46"/>
        <v>0</v>
      </c>
      <c r="AL575" s="21">
        <f t="shared" si="43"/>
        <v>0</v>
      </c>
    </row>
    <row r="576" spans="33:38" x14ac:dyDescent="0.25">
      <c r="AG576" s="19" cm="1">
        <f t="array" ref="AG576">DIASQUIEBRE(Q576:AB576)</f>
        <v>0</v>
      </c>
      <c r="AH576" s="19" cm="1">
        <f t="array" ref="AH576">DiasMesesGris(Q576:AB576)</f>
        <v>0</v>
      </c>
      <c r="AI576" s="19">
        <f t="shared" si="44"/>
        <v>0</v>
      </c>
      <c r="AJ576" s="19">
        <f t="shared" si="45"/>
        <v>360</v>
      </c>
      <c r="AK576" s="20">
        <f t="shared" si="46"/>
        <v>0</v>
      </c>
      <c r="AL576" s="21">
        <f t="shared" si="43"/>
        <v>0</v>
      </c>
    </row>
    <row r="577" spans="33:38" x14ac:dyDescent="0.25">
      <c r="AG577" s="19" cm="1">
        <f t="array" ref="AG577">DIASQUIEBRE(Q577:AB577)</f>
        <v>0</v>
      </c>
      <c r="AH577" s="19" cm="1">
        <f t="array" ref="AH577">DiasMesesGris(Q577:AB577)</f>
        <v>0</v>
      </c>
      <c r="AI577" s="19">
        <f t="shared" si="44"/>
        <v>0</v>
      </c>
      <c r="AJ577" s="19">
        <f t="shared" si="45"/>
        <v>360</v>
      </c>
      <c r="AK577" s="20">
        <f t="shared" si="46"/>
        <v>0</v>
      </c>
      <c r="AL577" s="21">
        <f t="shared" si="43"/>
        <v>0</v>
      </c>
    </row>
    <row r="578" spans="33:38" x14ac:dyDescent="0.25">
      <c r="AG578" s="19" cm="1">
        <f t="array" ref="AG578">DIASQUIEBRE(Q578:AB578)</f>
        <v>0</v>
      </c>
      <c r="AH578" s="19" cm="1">
        <f t="array" ref="AH578">DiasMesesGris(Q578:AB578)</f>
        <v>0</v>
      </c>
      <c r="AI578" s="19">
        <f t="shared" si="44"/>
        <v>0</v>
      </c>
      <c r="AJ578" s="19">
        <f t="shared" si="45"/>
        <v>360</v>
      </c>
      <c r="AK578" s="20">
        <f t="shared" si="46"/>
        <v>0</v>
      </c>
      <c r="AL578" s="21">
        <f t="shared" si="43"/>
        <v>0</v>
      </c>
    </row>
    <row r="579" spans="33:38" x14ac:dyDescent="0.25">
      <c r="AG579" s="19" cm="1">
        <f t="array" ref="AG579">DIASQUIEBRE(Q579:AB579)</f>
        <v>0</v>
      </c>
      <c r="AH579" s="19" cm="1">
        <f t="array" ref="AH579">DiasMesesGris(Q579:AB579)</f>
        <v>0</v>
      </c>
      <c r="AI579" s="19">
        <f t="shared" si="44"/>
        <v>0</v>
      </c>
      <c r="AJ579" s="19">
        <f t="shared" si="45"/>
        <v>360</v>
      </c>
      <c r="AK579" s="20">
        <f t="shared" si="46"/>
        <v>0</v>
      </c>
      <c r="AL579" s="21">
        <f t="shared" ref="AL579:AL642" si="47">IFERROR(AK579/AJ579,0)</f>
        <v>0</v>
      </c>
    </row>
    <row r="580" spans="33:38" x14ac:dyDescent="0.25">
      <c r="AG580" s="19" cm="1">
        <f t="array" ref="AG580">DIASQUIEBRE(Q580:AB580)</f>
        <v>0</v>
      </c>
      <c r="AH580" s="19" cm="1">
        <f t="array" ref="AH580">DiasMesesGris(Q580:AB580)</f>
        <v>0</v>
      </c>
      <c r="AI580" s="19">
        <f t="shared" ref="AI580:AI643" si="48">AG580+AH580</f>
        <v>0</v>
      </c>
      <c r="AJ580" s="19">
        <f t="shared" ref="AJ580:AJ643" si="49">360-AI580</f>
        <v>360</v>
      </c>
      <c r="AK580" s="20">
        <f t="shared" ref="AK580:AK643" si="50">SUM(D580:O580)</f>
        <v>0</v>
      </c>
      <c r="AL580" s="21">
        <f t="shared" si="47"/>
        <v>0</v>
      </c>
    </row>
    <row r="581" spans="33:38" x14ac:dyDescent="0.25">
      <c r="AG581" s="19" cm="1">
        <f t="array" ref="AG581">DIASQUIEBRE(Q581:AB581)</f>
        <v>0</v>
      </c>
      <c r="AH581" s="19" cm="1">
        <f t="array" ref="AH581">DiasMesesGris(Q581:AB581)</f>
        <v>0</v>
      </c>
      <c r="AI581" s="19">
        <f t="shared" si="48"/>
        <v>0</v>
      </c>
      <c r="AJ581" s="19">
        <f t="shared" si="49"/>
        <v>360</v>
      </c>
      <c r="AK581" s="20">
        <f t="shared" si="50"/>
        <v>0</v>
      </c>
      <c r="AL581" s="21">
        <f t="shared" si="47"/>
        <v>0</v>
      </c>
    </row>
    <row r="582" spans="33:38" x14ac:dyDescent="0.25">
      <c r="AG582" s="19" cm="1">
        <f t="array" ref="AG582">DIASQUIEBRE(Q582:AB582)</f>
        <v>0</v>
      </c>
      <c r="AH582" s="19" cm="1">
        <f t="array" ref="AH582">DiasMesesGris(Q582:AB582)</f>
        <v>0</v>
      </c>
      <c r="AI582" s="19">
        <f t="shared" si="48"/>
        <v>0</v>
      </c>
      <c r="AJ582" s="19">
        <f t="shared" si="49"/>
        <v>360</v>
      </c>
      <c r="AK582" s="20">
        <f t="shared" si="50"/>
        <v>0</v>
      </c>
      <c r="AL582" s="21">
        <f t="shared" si="47"/>
        <v>0</v>
      </c>
    </row>
    <row r="583" spans="33:38" x14ac:dyDescent="0.25">
      <c r="AG583" s="19" cm="1">
        <f t="array" ref="AG583">DIASQUIEBRE(Q583:AB583)</f>
        <v>0</v>
      </c>
      <c r="AH583" s="19" cm="1">
        <f t="array" ref="AH583">DiasMesesGris(Q583:AB583)</f>
        <v>0</v>
      </c>
      <c r="AI583" s="19">
        <f t="shared" si="48"/>
        <v>0</v>
      </c>
      <c r="AJ583" s="19">
        <f t="shared" si="49"/>
        <v>360</v>
      </c>
      <c r="AK583" s="20">
        <f t="shared" si="50"/>
        <v>0</v>
      </c>
      <c r="AL583" s="21">
        <f t="shared" si="47"/>
        <v>0</v>
      </c>
    </row>
    <row r="584" spans="33:38" x14ac:dyDescent="0.25">
      <c r="AG584" s="19" cm="1">
        <f t="array" ref="AG584">DIASQUIEBRE(Q584:AB584)</f>
        <v>0</v>
      </c>
      <c r="AH584" s="19" cm="1">
        <f t="array" ref="AH584">DiasMesesGris(Q584:AB584)</f>
        <v>0</v>
      </c>
      <c r="AI584" s="19">
        <f t="shared" si="48"/>
        <v>0</v>
      </c>
      <c r="AJ584" s="19">
        <f t="shared" si="49"/>
        <v>360</v>
      </c>
      <c r="AK584" s="20">
        <f t="shared" si="50"/>
        <v>0</v>
      </c>
      <c r="AL584" s="21">
        <f t="shared" si="47"/>
        <v>0</v>
      </c>
    </row>
    <row r="585" spans="33:38" x14ac:dyDescent="0.25">
      <c r="AG585" s="19" cm="1">
        <f t="array" ref="AG585">DIASQUIEBRE(Q585:AB585)</f>
        <v>0</v>
      </c>
      <c r="AH585" s="19" cm="1">
        <f t="array" ref="AH585">DiasMesesGris(Q585:AB585)</f>
        <v>0</v>
      </c>
      <c r="AI585" s="19">
        <f t="shared" si="48"/>
        <v>0</v>
      </c>
      <c r="AJ585" s="19">
        <f t="shared" si="49"/>
        <v>360</v>
      </c>
      <c r="AK585" s="20">
        <f t="shared" si="50"/>
        <v>0</v>
      </c>
      <c r="AL585" s="21">
        <f t="shared" si="47"/>
        <v>0</v>
      </c>
    </row>
    <row r="586" spans="33:38" x14ac:dyDescent="0.25">
      <c r="AG586" s="19" cm="1">
        <f t="array" ref="AG586">DIASQUIEBRE(Q586:AB586)</f>
        <v>0</v>
      </c>
      <c r="AH586" s="19" cm="1">
        <f t="array" ref="AH586">DiasMesesGris(Q586:AB586)</f>
        <v>0</v>
      </c>
      <c r="AI586" s="19">
        <f t="shared" si="48"/>
        <v>0</v>
      </c>
      <c r="AJ586" s="19">
        <f t="shared" si="49"/>
        <v>360</v>
      </c>
      <c r="AK586" s="20">
        <f t="shared" si="50"/>
        <v>0</v>
      </c>
      <c r="AL586" s="21">
        <f t="shared" si="47"/>
        <v>0</v>
      </c>
    </row>
    <row r="587" spans="33:38" x14ac:dyDescent="0.25">
      <c r="AG587" s="19" cm="1">
        <f t="array" ref="AG587">DIASQUIEBRE(Q587:AB587)</f>
        <v>0</v>
      </c>
      <c r="AH587" s="19" cm="1">
        <f t="array" ref="AH587">DiasMesesGris(Q587:AB587)</f>
        <v>0</v>
      </c>
      <c r="AI587" s="19">
        <f t="shared" si="48"/>
        <v>0</v>
      </c>
      <c r="AJ587" s="19">
        <f t="shared" si="49"/>
        <v>360</v>
      </c>
      <c r="AK587" s="20">
        <f t="shared" si="50"/>
        <v>0</v>
      </c>
      <c r="AL587" s="21">
        <f t="shared" si="47"/>
        <v>0</v>
      </c>
    </row>
    <row r="588" spans="33:38" x14ac:dyDescent="0.25">
      <c r="AG588" s="19" cm="1">
        <f t="array" ref="AG588">DIASQUIEBRE(Q588:AB588)</f>
        <v>0</v>
      </c>
      <c r="AH588" s="19" cm="1">
        <f t="array" ref="AH588">DiasMesesGris(Q588:AB588)</f>
        <v>0</v>
      </c>
      <c r="AI588" s="19">
        <f t="shared" si="48"/>
        <v>0</v>
      </c>
      <c r="AJ588" s="19">
        <f t="shared" si="49"/>
        <v>360</v>
      </c>
      <c r="AK588" s="20">
        <f t="shared" si="50"/>
        <v>0</v>
      </c>
      <c r="AL588" s="21">
        <f t="shared" si="47"/>
        <v>0</v>
      </c>
    </row>
    <row r="589" spans="33:38" x14ac:dyDescent="0.25">
      <c r="AG589" s="19" cm="1">
        <f t="array" ref="AG589">DIASQUIEBRE(Q589:AB589)</f>
        <v>0</v>
      </c>
      <c r="AH589" s="19" cm="1">
        <f t="array" ref="AH589">DiasMesesGris(Q589:AB589)</f>
        <v>0</v>
      </c>
      <c r="AI589" s="19">
        <f t="shared" si="48"/>
        <v>0</v>
      </c>
      <c r="AJ589" s="19">
        <f t="shared" si="49"/>
        <v>360</v>
      </c>
      <c r="AK589" s="20">
        <f t="shared" si="50"/>
        <v>0</v>
      </c>
      <c r="AL589" s="21">
        <f t="shared" si="47"/>
        <v>0</v>
      </c>
    </row>
    <row r="590" spans="33:38" x14ac:dyDescent="0.25">
      <c r="AG590" s="19" cm="1">
        <f t="array" ref="AG590">DIASQUIEBRE(Q590:AB590)</f>
        <v>0</v>
      </c>
      <c r="AH590" s="19" cm="1">
        <f t="array" ref="AH590">DiasMesesGris(Q590:AB590)</f>
        <v>0</v>
      </c>
      <c r="AI590" s="19">
        <f t="shared" si="48"/>
        <v>0</v>
      </c>
      <c r="AJ590" s="19">
        <f t="shared" si="49"/>
        <v>360</v>
      </c>
      <c r="AK590" s="20">
        <f t="shared" si="50"/>
        <v>0</v>
      </c>
      <c r="AL590" s="21">
        <f t="shared" si="47"/>
        <v>0</v>
      </c>
    </row>
    <row r="591" spans="33:38" x14ac:dyDescent="0.25">
      <c r="AG591" s="19" cm="1">
        <f t="array" ref="AG591">DIASQUIEBRE(Q591:AB591)</f>
        <v>0</v>
      </c>
      <c r="AH591" s="19" cm="1">
        <f t="array" ref="AH591">DiasMesesGris(Q591:AB591)</f>
        <v>0</v>
      </c>
      <c r="AI591" s="19">
        <f t="shared" si="48"/>
        <v>0</v>
      </c>
      <c r="AJ591" s="19">
        <f t="shared" si="49"/>
        <v>360</v>
      </c>
      <c r="AK591" s="20">
        <f t="shared" si="50"/>
        <v>0</v>
      </c>
      <c r="AL591" s="21">
        <f t="shared" si="47"/>
        <v>0</v>
      </c>
    </row>
    <row r="592" spans="33:38" x14ac:dyDescent="0.25">
      <c r="AG592" s="19" cm="1">
        <f t="array" ref="AG592">DIASQUIEBRE(Q592:AB592)</f>
        <v>0</v>
      </c>
      <c r="AH592" s="19" cm="1">
        <f t="array" ref="AH592">DiasMesesGris(Q592:AB592)</f>
        <v>0</v>
      </c>
      <c r="AI592" s="19">
        <f t="shared" si="48"/>
        <v>0</v>
      </c>
      <c r="AJ592" s="19">
        <f t="shared" si="49"/>
        <v>360</v>
      </c>
      <c r="AK592" s="20">
        <f t="shared" si="50"/>
        <v>0</v>
      </c>
      <c r="AL592" s="21">
        <f t="shared" si="47"/>
        <v>0</v>
      </c>
    </row>
    <row r="593" spans="33:38" x14ac:dyDescent="0.25">
      <c r="AG593" s="19" cm="1">
        <f t="array" ref="AG593">DIASQUIEBRE(Q593:AB593)</f>
        <v>0</v>
      </c>
      <c r="AH593" s="19" cm="1">
        <f t="array" ref="AH593">DiasMesesGris(Q593:AB593)</f>
        <v>0</v>
      </c>
      <c r="AI593" s="19">
        <f t="shared" si="48"/>
        <v>0</v>
      </c>
      <c r="AJ593" s="19">
        <f t="shared" si="49"/>
        <v>360</v>
      </c>
      <c r="AK593" s="20">
        <f t="shared" si="50"/>
        <v>0</v>
      </c>
      <c r="AL593" s="21">
        <f t="shared" si="47"/>
        <v>0</v>
      </c>
    </row>
    <row r="594" spans="33:38" x14ac:dyDescent="0.25">
      <c r="AG594" s="19" cm="1">
        <f t="array" ref="AG594">DIASQUIEBRE(Q594:AB594)</f>
        <v>0</v>
      </c>
      <c r="AH594" s="19" cm="1">
        <f t="array" ref="AH594">DiasMesesGris(Q594:AB594)</f>
        <v>0</v>
      </c>
      <c r="AI594" s="19">
        <f t="shared" si="48"/>
        <v>0</v>
      </c>
      <c r="AJ594" s="19">
        <f t="shared" si="49"/>
        <v>360</v>
      </c>
      <c r="AK594" s="20">
        <f t="shared" si="50"/>
        <v>0</v>
      </c>
      <c r="AL594" s="21">
        <f t="shared" si="47"/>
        <v>0</v>
      </c>
    </row>
    <row r="595" spans="33:38" x14ac:dyDescent="0.25">
      <c r="AG595" s="19" cm="1">
        <f t="array" ref="AG595">DIASQUIEBRE(Q595:AB595)</f>
        <v>0</v>
      </c>
      <c r="AH595" s="19" cm="1">
        <f t="array" ref="AH595">DiasMesesGris(Q595:AB595)</f>
        <v>0</v>
      </c>
      <c r="AI595" s="19">
        <f t="shared" si="48"/>
        <v>0</v>
      </c>
      <c r="AJ595" s="19">
        <f t="shared" si="49"/>
        <v>360</v>
      </c>
      <c r="AK595" s="20">
        <f t="shared" si="50"/>
        <v>0</v>
      </c>
      <c r="AL595" s="21">
        <f t="shared" si="47"/>
        <v>0</v>
      </c>
    </row>
    <row r="596" spans="33:38" x14ac:dyDescent="0.25">
      <c r="AG596" s="19" cm="1">
        <f t="array" ref="AG596">DIASQUIEBRE(Q596:AB596)</f>
        <v>0</v>
      </c>
      <c r="AH596" s="19" cm="1">
        <f t="array" ref="AH596">DiasMesesGris(Q596:AB596)</f>
        <v>0</v>
      </c>
      <c r="AI596" s="19">
        <f t="shared" si="48"/>
        <v>0</v>
      </c>
      <c r="AJ596" s="19">
        <f t="shared" si="49"/>
        <v>360</v>
      </c>
      <c r="AK596" s="20">
        <f t="shared" si="50"/>
        <v>0</v>
      </c>
      <c r="AL596" s="21">
        <f t="shared" si="47"/>
        <v>0</v>
      </c>
    </row>
    <row r="597" spans="33:38" x14ac:dyDescent="0.25">
      <c r="AG597" s="19" cm="1">
        <f t="array" ref="AG597">DIASQUIEBRE(Q597:AB597)</f>
        <v>0</v>
      </c>
      <c r="AH597" s="19" cm="1">
        <f t="array" ref="AH597">DiasMesesGris(Q597:AB597)</f>
        <v>0</v>
      </c>
      <c r="AI597" s="19">
        <f t="shared" si="48"/>
        <v>0</v>
      </c>
      <c r="AJ597" s="19">
        <f t="shared" si="49"/>
        <v>360</v>
      </c>
      <c r="AK597" s="20">
        <f t="shared" si="50"/>
        <v>0</v>
      </c>
      <c r="AL597" s="21">
        <f t="shared" si="47"/>
        <v>0</v>
      </c>
    </row>
    <row r="598" spans="33:38" x14ac:dyDescent="0.25">
      <c r="AG598" s="19" cm="1">
        <f t="array" ref="AG598">DIASQUIEBRE(Q598:AB598)</f>
        <v>0</v>
      </c>
      <c r="AH598" s="19" cm="1">
        <f t="array" ref="AH598">DiasMesesGris(Q598:AB598)</f>
        <v>0</v>
      </c>
      <c r="AI598" s="19">
        <f t="shared" si="48"/>
        <v>0</v>
      </c>
      <c r="AJ598" s="19">
        <f t="shared" si="49"/>
        <v>360</v>
      </c>
      <c r="AK598" s="20">
        <f t="shared" si="50"/>
        <v>0</v>
      </c>
      <c r="AL598" s="21">
        <f t="shared" si="47"/>
        <v>0</v>
      </c>
    </row>
    <row r="599" spans="33:38" x14ac:dyDescent="0.25">
      <c r="AG599" s="19" cm="1">
        <f t="array" ref="AG599">DIASQUIEBRE(Q599:AB599)</f>
        <v>0</v>
      </c>
      <c r="AH599" s="19" cm="1">
        <f t="array" ref="AH599">DiasMesesGris(Q599:AB599)</f>
        <v>0</v>
      </c>
      <c r="AI599" s="19">
        <f t="shared" si="48"/>
        <v>0</v>
      </c>
      <c r="AJ599" s="19">
        <f t="shared" si="49"/>
        <v>360</v>
      </c>
      <c r="AK599" s="20">
        <f t="shared" si="50"/>
        <v>0</v>
      </c>
      <c r="AL599" s="21">
        <f t="shared" si="47"/>
        <v>0</v>
      </c>
    </row>
    <row r="600" spans="33:38" x14ac:dyDescent="0.25">
      <c r="AG600" s="19" cm="1">
        <f t="array" ref="AG600">DIASQUIEBRE(Q600:AB600)</f>
        <v>0</v>
      </c>
      <c r="AH600" s="19" cm="1">
        <f t="array" ref="AH600">DiasMesesGris(Q600:AB600)</f>
        <v>0</v>
      </c>
      <c r="AI600" s="19">
        <f t="shared" si="48"/>
        <v>0</v>
      </c>
      <c r="AJ600" s="19">
        <f t="shared" si="49"/>
        <v>360</v>
      </c>
      <c r="AK600" s="20">
        <f t="shared" si="50"/>
        <v>0</v>
      </c>
      <c r="AL600" s="21">
        <f t="shared" si="47"/>
        <v>0</v>
      </c>
    </row>
    <row r="601" spans="33:38" x14ac:dyDescent="0.25">
      <c r="AG601" s="19" cm="1">
        <f t="array" ref="AG601">DIASQUIEBRE(Q601:AB601)</f>
        <v>0</v>
      </c>
      <c r="AH601" s="19" cm="1">
        <f t="array" ref="AH601">DiasMesesGris(Q601:AB601)</f>
        <v>0</v>
      </c>
      <c r="AI601" s="19">
        <f t="shared" si="48"/>
        <v>0</v>
      </c>
      <c r="AJ601" s="19">
        <f t="shared" si="49"/>
        <v>360</v>
      </c>
      <c r="AK601" s="20">
        <f t="shared" si="50"/>
        <v>0</v>
      </c>
      <c r="AL601" s="21">
        <f t="shared" si="47"/>
        <v>0</v>
      </c>
    </row>
    <row r="602" spans="33:38" x14ac:dyDescent="0.25">
      <c r="AG602" s="19" cm="1">
        <f t="array" ref="AG602">DIASQUIEBRE(Q602:AB602)</f>
        <v>0</v>
      </c>
      <c r="AH602" s="19" cm="1">
        <f t="array" ref="AH602">DiasMesesGris(Q602:AB602)</f>
        <v>0</v>
      </c>
      <c r="AI602" s="19">
        <f t="shared" si="48"/>
        <v>0</v>
      </c>
      <c r="AJ602" s="19">
        <f t="shared" si="49"/>
        <v>360</v>
      </c>
      <c r="AK602" s="20">
        <f t="shared" si="50"/>
        <v>0</v>
      </c>
      <c r="AL602" s="21">
        <f t="shared" si="47"/>
        <v>0</v>
      </c>
    </row>
    <row r="603" spans="33:38" x14ac:dyDescent="0.25">
      <c r="AG603" s="19" cm="1">
        <f t="array" ref="AG603">DIASQUIEBRE(Q603:AB603)</f>
        <v>0</v>
      </c>
      <c r="AH603" s="19" cm="1">
        <f t="array" ref="AH603">DiasMesesGris(Q603:AB603)</f>
        <v>0</v>
      </c>
      <c r="AI603" s="19">
        <f t="shared" si="48"/>
        <v>0</v>
      </c>
      <c r="AJ603" s="19">
        <f t="shared" si="49"/>
        <v>360</v>
      </c>
      <c r="AK603" s="20">
        <f t="shared" si="50"/>
        <v>0</v>
      </c>
      <c r="AL603" s="21">
        <f t="shared" si="47"/>
        <v>0</v>
      </c>
    </row>
    <row r="604" spans="33:38" x14ac:dyDescent="0.25">
      <c r="AG604" s="19" cm="1">
        <f t="array" ref="AG604">DIASQUIEBRE(Q604:AB604)</f>
        <v>0</v>
      </c>
      <c r="AH604" s="19" cm="1">
        <f t="array" ref="AH604">DiasMesesGris(Q604:AB604)</f>
        <v>0</v>
      </c>
      <c r="AI604" s="19">
        <f t="shared" si="48"/>
        <v>0</v>
      </c>
      <c r="AJ604" s="19">
        <f t="shared" si="49"/>
        <v>360</v>
      </c>
      <c r="AK604" s="20">
        <f t="shared" si="50"/>
        <v>0</v>
      </c>
      <c r="AL604" s="21">
        <f t="shared" si="47"/>
        <v>0</v>
      </c>
    </row>
    <row r="605" spans="33:38" x14ac:dyDescent="0.25">
      <c r="AG605" s="19" cm="1">
        <f t="array" ref="AG605">DIASQUIEBRE(Q605:AB605)</f>
        <v>0</v>
      </c>
      <c r="AH605" s="19" cm="1">
        <f t="array" ref="AH605">DiasMesesGris(Q605:AB605)</f>
        <v>0</v>
      </c>
      <c r="AI605" s="19">
        <f t="shared" si="48"/>
        <v>0</v>
      </c>
      <c r="AJ605" s="19">
        <f t="shared" si="49"/>
        <v>360</v>
      </c>
      <c r="AK605" s="20">
        <f t="shared" si="50"/>
        <v>0</v>
      </c>
      <c r="AL605" s="21">
        <f t="shared" si="47"/>
        <v>0</v>
      </c>
    </row>
    <row r="606" spans="33:38" x14ac:dyDescent="0.25">
      <c r="AG606" s="19" cm="1">
        <f t="array" ref="AG606">DIASQUIEBRE(Q606:AB606)</f>
        <v>0</v>
      </c>
      <c r="AH606" s="19" cm="1">
        <f t="array" ref="AH606">DiasMesesGris(Q606:AB606)</f>
        <v>0</v>
      </c>
      <c r="AI606" s="19">
        <f t="shared" si="48"/>
        <v>0</v>
      </c>
      <c r="AJ606" s="19">
        <f t="shared" si="49"/>
        <v>360</v>
      </c>
      <c r="AK606" s="20">
        <f t="shared" si="50"/>
        <v>0</v>
      </c>
      <c r="AL606" s="21">
        <f t="shared" si="47"/>
        <v>0</v>
      </c>
    </row>
    <row r="607" spans="33:38" x14ac:dyDescent="0.25">
      <c r="AG607" s="19" cm="1">
        <f t="array" ref="AG607">DIASQUIEBRE(Q607:AB607)</f>
        <v>0</v>
      </c>
      <c r="AH607" s="19" cm="1">
        <f t="array" ref="AH607">DiasMesesGris(Q607:AB607)</f>
        <v>0</v>
      </c>
      <c r="AI607" s="19">
        <f t="shared" si="48"/>
        <v>0</v>
      </c>
      <c r="AJ607" s="19">
        <f t="shared" si="49"/>
        <v>360</v>
      </c>
      <c r="AK607" s="20">
        <f t="shared" si="50"/>
        <v>0</v>
      </c>
      <c r="AL607" s="21">
        <f t="shared" si="47"/>
        <v>0</v>
      </c>
    </row>
    <row r="608" spans="33:38" x14ac:dyDescent="0.25">
      <c r="AG608" s="19" cm="1">
        <f t="array" ref="AG608">DIASQUIEBRE(Q608:AB608)</f>
        <v>0</v>
      </c>
      <c r="AH608" s="19" cm="1">
        <f t="array" ref="AH608">DiasMesesGris(Q608:AB608)</f>
        <v>0</v>
      </c>
      <c r="AI608" s="19">
        <f t="shared" si="48"/>
        <v>0</v>
      </c>
      <c r="AJ608" s="19">
        <f t="shared" si="49"/>
        <v>360</v>
      </c>
      <c r="AK608" s="20">
        <f t="shared" si="50"/>
        <v>0</v>
      </c>
      <c r="AL608" s="21">
        <f t="shared" si="47"/>
        <v>0</v>
      </c>
    </row>
    <row r="609" spans="33:38" x14ac:dyDescent="0.25">
      <c r="AG609" s="19" cm="1">
        <f t="array" ref="AG609">DIASQUIEBRE(Q609:AB609)</f>
        <v>0</v>
      </c>
      <c r="AH609" s="19" cm="1">
        <f t="array" ref="AH609">DiasMesesGris(Q609:AB609)</f>
        <v>0</v>
      </c>
      <c r="AI609" s="19">
        <f t="shared" si="48"/>
        <v>0</v>
      </c>
      <c r="AJ609" s="19">
        <f t="shared" si="49"/>
        <v>360</v>
      </c>
      <c r="AK609" s="20">
        <f t="shared" si="50"/>
        <v>0</v>
      </c>
      <c r="AL609" s="21">
        <f t="shared" si="47"/>
        <v>0</v>
      </c>
    </row>
    <row r="610" spans="33:38" x14ac:dyDescent="0.25">
      <c r="AG610" s="19" cm="1">
        <f t="array" ref="AG610">DIASQUIEBRE(Q610:AB610)</f>
        <v>0</v>
      </c>
      <c r="AH610" s="19" cm="1">
        <f t="array" ref="AH610">DiasMesesGris(Q610:AB610)</f>
        <v>0</v>
      </c>
      <c r="AI610" s="19">
        <f t="shared" si="48"/>
        <v>0</v>
      </c>
      <c r="AJ610" s="19">
        <f t="shared" si="49"/>
        <v>360</v>
      </c>
      <c r="AK610" s="20">
        <f t="shared" si="50"/>
        <v>0</v>
      </c>
      <c r="AL610" s="21">
        <f t="shared" si="47"/>
        <v>0</v>
      </c>
    </row>
    <row r="611" spans="33:38" x14ac:dyDescent="0.25">
      <c r="AG611" s="19" cm="1">
        <f t="array" ref="AG611">DIASQUIEBRE(Q611:AB611)</f>
        <v>0</v>
      </c>
      <c r="AH611" s="19" cm="1">
        <f t="array" ref="AH611">DiasMesesGris(Q611:AB611)</f>
        <v>0</v>
      </c>
      <c r="AI611" s="19">
        <f t="shared" si="48"/>
        <v>0</v>
      </c>
      <c r="AJ611" s="19">
        <f t="shared" si="49"/>
        <v>360</v>
      </c>
      <c r="AK611" s="20">
        <f t="shared" si="50"/>
        <v>0</v>
      </c>
      <c r="AL611" s="21">
        <f t="shared" si="47"/>
        <v>0</v>
      </c>
    </row>
    <row r="612" spans="33:38" x14ac:dyDescent="0.25">
      <c r="AG612" s="19" cm="1">
        <f t="array" ref="AG612">DIASQUIEBRE(Q612:AB612)</f>
        <v>0</v>
      </c>
      <c r="AH612" s="19" cm="1">
        <f t="array" ref="AH612">DiasMesesGris(Q612:AB612)</f>
        <v>0</v>
      </c>
      <c r="AI612" s="19">
        <f t="shared" si="48"/>
        <v>0</v>
      </c>
      <c r="AJ612" s="19">
        <f t="shared" si="49"/>
        <v>360</v>
      </c>
      <c r="AK612" s="20">
        <f t="shared" si="50"/>
        <v>0</v>
      </c>
      <c r="AL612" s="21">
        <f t="shared" si="47"/>
        <v>0</v>
      </c>
    </row>
    <row r="613" spans="33:38" x14ac:dyDescent="0.25">
      <c r="AG613" s="19" cm="1">
        <f t="array" ref="AG613">DIASQUIEBRE(Q613:AB613)</f>
        <v>0</v>
      </c>
      <c r="AH613" s="19" cm="1">
        <f t="array" ref="AH613">DiasMesesGris(Q613:AB613)</f>
        <v>0</v>
      </c>
      <c r="AI613" s="19">
        <f t="shared" si="48"/>
        <v>0</v>
      </c>
      <c r="AJ613" s="19">
        <f t="shared" si="49"/>
        <v>360</v>
      </c>
      <c r="AK613" s="20">
        <f t="shared" si="50"/>
        <v>0</v>
      </c>
      <c r="AL613" s="21">
        <f t="shared" si="47"/>
        <v>0</v>
      </c>
    </row>
    <row r="614" spans="33:38" x14ac:dyDescent="0.25">
      <c r="AG614" s="19" cm="1">
        <f t="array" ref="AG614">DIASQUIEBRE(Q614:AB614)</f>
        <v>0</v>
      </c>
      <c r="AH614" s="19" cm="1">
        <f t="array" ref="AH614">DiasMesesGris(Q614:AB614)</f>
        <v>0</v>
      </c>
      <c r="AI614" s="19">
        <f t="shared" si="48"/>
        <v>0</v>
      </c>
      <c r="AJ614" s="19">
        <f t="shared" si="49"/>
        <v>360</v>
      </c>
      <c r="AK614" s="20">
        <f t="shared" si="50"/>
        <v>0</v>
      </c>
      <c r="AL614" s="21">
        <f t="shared" si="47"/>
        <v>0</v>
      </c>
    </row>
    <row r="615" spans="33:38" x14ac:dyDescent="0.25">
      <c r="AG615" s="19" cm="1">
        <f t="array" ref="AG615">DIASQUIEBRE(Q615:AB615)</f>
        <v>0</v>
      </c>
      <c r="AH615" s="19" cm="1">
        <f t="array" ref="AH615">DiasMesesGris(Q615:AB615)</f>
        <v>0</v>
      </c>
      <c r="AI615" s="19">
        <f t="shared" si="48"/>
        <v>0</v>
      </c>
      <c r="AJ615" s="19">
        <f t="shared" si="49"/>
        <v>360</v>
      </c>
      <c r="AK615" s="20">
        <f t="shared" si="50"/>
        <v>0</v>
      </c>
      <c r="AL615" s="21">
        <f t="shared" si="47"/>
        <v>0</v>
      </c>
    </row>
    <row r="616" spans="33:38" x14ac:dyDescent="0.25">
      <c r="AG616" s="19" cm="1">
        <f t="array" ref="AG616">DIASQUIEBRE(Q616:AB616)</f>
        <v>0</v>
      </c>
      <c r="AH616" s="19" cm="1">
        <f t="array" ref="AH616">DiasMesesGris(Q616:AB616)</f>
        <v>0</v>
      </c>
      <c r="AI616" s="19">
        <f t="shared" si="48"/>
        <v>0</v>
      </c>
      <c r="AJ616" s="19">
        <f t="shared" si="49"/>
        <v>360</v>
      </c>
      <c r="AK616" s="20">
        <f t="shared" si="50"/>
        <v>0</v>
      </c>
      <c r="AL616" s="21">
        <f t="shared" si="47"/>
        <v>0</v>
      </c>
    </row>
    <row r="617" spans="33:38" x14ac:dyDescent="0.25">
      <c r="AG617" s="19" cm="1">
        <f t="array" ref="AG617">DIASQUIEBRE(Q617:AB617)</f>
        <v>0</v>
      </c>
      <c r="AH617" s="19" cm="1">
        <f t="array" ref="AH617">DiasMesesGris(Q617:AB617)</f>
        <v>0</v>
      </c>
      <c r="AI617" s="19">
        <f t="shared" si="48"/>
        <v>0</v>
      </c>
      <c r="AJ617" s="19">
        <f t="shared" si="49"/>
        <v>360</v>
      </c>
      <c r="AK617" s="20">
        <f t="shared" si="50"/>
        <v>0</v>
      </c>
      <c r="AL617" s="21">
        <f t="shared" si="47"/>
        <v>0</v>
      </c>
    </row>
    <row r="618" spans="33:38" x14ac:dyDescent="0.25">
      <c r="AG618" s="19" cm="1">
        <f t="array" ref="AG618">DIASQUIEBRE(Q618:AB618)</f>
        <v>0</v>
      </c>
      <c r="AH618" s="19" cm="1">
        <f t="array" ref="AH618">DiasMesesGris(Q618:AB618)</f>
        <v>0</v>
      </c>
      <c r="AI618" s="19">
        <f t="shared" si="48"/>
        <v>0</v>
      </c>
      <c r="AJ618" s="19">
        <f t="shared" si="49"/>
        <v>360</v>
      </c>
      <c r="AK618" s="20">
        <f t="shared" si="50"/>
        <v>0</v>
      </c>
      <c r="AL618" s="21">
        <f t="shared" si="47"/>
        <v>0</v>
      </c>
    </row>
    <row r="619" spans="33:38" x14ac:dyDescent="0.25">
      <c r="AG619" s="19" cm="1">
        <f t="array" ref="AG619">DIASQUIEBRE(Q619:AB619)</f>
        <v>0</v>
      </c>
      <c r="AH619" s="19" cm="1">
        <f t="array" ref="AH619">DiasMesesGris(Q619:AB619)</f>
        <v>0</v>
      </c>
      <c r="AI619" s="19">
        <f t="shared" si="48"/>
        <v>0</v>
      </c>
      <c r="AJ619" s="19">
        <f t="shared" si="49"/>
        <v>360</v>
      </c>
      <c r="AK619" s="20">
        <f t="shared" si="50"/>
        <v>0</v>
      </c>
      <c r="AL619" s="21">
        <f t="shared" si="47"/>
        <v>0</v>
      </c>
    </row>
    <row r="620" spans="33:38" x14ac:dyDescent="0.25">
      <c r="AG620" s="19" cm="1">
        <f t="array" ref="AG620">DIASQUIEBRE(Q620:AB620)</f>
        <v>0</v>
      </c>
      <c r="AH620" s="19" cm="1">
        <f t="array" ref="AH620">DiasMesesGris(Q620:AB620)</f>
        <v>0</v>
      </c>
      <c r="AI620" s="19">
        <f t="shared" si="48"/>
        <v>0</v>
      </c>
      <c r="AJ620" s="19">
        <f t="shared" si="49"/>
        <v>360</v>
      </c>
      <c r="AK620" s="20">
        <f t="shared" si="50"/>
        <v>0</v>
      </c>
      <c r="AL620" s="21">
        <f t="shared" si="47"/>
        <v>0</v>
      </c>
    </row>
    <row r="621" spans="33:38" x14ac:dyDescent="0.25">
      <c r="AG621" s="19" cm="1">
        <f t="array" ref="AG621">DIASQUIEBRE(Q621:AB621)</f>
        <v>0</v>
      </c>
      <c r="AH621" s="19" cm="1">
        <f t="array" ref="AH621">DiasMesesGris(Q621:AB621)</f>
        <v>0</v>
      </c>
      <c r="AI621" s="19">
        <f t="shared" si="48"/>
        <v>0</v>
      </c>
      <c r="AJ621" s="19">
        <f t="shared" si="49"/>
        <v>360</v>
      </c>
      <c r="AK621" s="20">
        <f t="shared" si="50"/>
        <v>0</v>
      </c>
      <c r="AL621" s="21">
        <f t="shared" si="47"/>
        <v>0</v>
      </c>
    </row>
    <row r="622" spans="33:38" x14ac:dyDescent="0.25">
      <c r="AG622" s="19" cm="1">
        <f t="array" ref="AG622">DIASQUIEBRE(Q622:AB622)</f>
        <v>0</v>
      </c>
      <c r="AH622" s="19" cm="1">
        <f t="array" ref="AH622">DiasMesesGris(Q622:AB622)</f>
        <v>0</v>
      </c>
      <c r="AI622" s="19">
        <f t="shared" si="48"/>
        <v>0</v>
      </c>
      <c r="AJ622" s="19">
        <f t="shared" si="49"/>
        <v>360</v>
      </c>
      <c r="AK622" s="20">
        <f t="shared" si="50"/>
        <v>0</v>
      </c>
      <c r="AL622" s="21">
        <f t="shared" si="47"/>
        <v>0</v>
      </c>
    </row>
    <row r="623" spans="33:38" x14ac:dyDescent="0.25">
      <c r="AG623" s="19" cm="1">
        <f t="array" ref="AG623">DIASQUIEBRE(Q623:AB623)</f>
        <v>0</v>
      </c>
      <c r="AH623" s="19" cm="1">
        <f t="array" ref="AH623">DiasMesesGris(Q623:AB623)</f>
        <v>0</v>
      </c>
      <c r="AI623" s="19">
        <f t="shared" si="48"/>
        <v>0</v>
      </c>
      <c r="AJ623" s="19">
        <f t="shared" si="49"/>
        <v>360</v>
      </c>
      <c r="AK623" s="20">
        <f t="shared" si="50"/>
        <v>0</v>
      </c>
      <c r="AL623" s="21">
        <f t="shared" si="47"/>
        <v>0</v>
      </c>
    </row>
    <row r="624" spans="33:38" x14ac:dyDescent="0.25">
      <c r="AG624" s="19" cm="1">
        <f t="array" ref="AG624">DIASQUIEBRE(Q624:AB624)</f>
        <v>0</v>
      </c>
      <c r="AH624" s="19" cm="1">
        <f t="array" ref="AH624">DiasMesesGris(Q624:AB624)</f>
        <v>0</v>
      </c>
      <c r="AI624" s="19">
        <f t="shared" si="48"/>
        <v>0</v>
      </c>
      <c r="AJ624" s="19">
        <f t="shared" si="49"/>
        <v>360</v>
      </c>
      <c r="AK624" s="20">
        <f t="shared" si="50"/>
        <v>0</v>
      </c>
      <c r="AL624" s="21">
        <f t="shared" si="47"/>
        <v>0</v>
      </c>
    </row>
    <row r="625" spans="33:38" x14ac:dyDescent="0.25">
      <c r="AG625" s="19" cm="1">
        <f t="array" ref="AG625">DIASQUIEBRE(Q625:AB625)</f>
        <v>0</v>
      </c>
      <c r="AH625" s="19" cm="1">
        <f t="array" ref="AH625">DiasMesesGris(Q625:AB625)</f>
        <v>0</v>
      </c>
      <c r="AI625" s="19">
        <f t="shared" si="48"/>
        <v>0</v>
      </c>
      <c r="AJ625" s="19">
        <f t="shared" si="49"/>
        <v>360</v>
      </c>
      <c r="AK625" s="20">
        <f t="shared" si="50"/>
        <v>0</v>
      </c>
      <c r="AL625" s="21">
        <f t="shared" si="47"/>
        <v>0</v>
      </c>
    </row>
    <row r="626" spans="33:38" x14ac:dyDescent="0.25">
      <c r="AG626" s="19" cm="1">
        <f t="array" ref="AG626">DIASQUIEBRE(Q626:AB626)</f>
        <v>0</v>
      </c>
      <c r="AH626" s="19" cm="1">
        <f t="array" ref="AH626">DiasMesesGris(Q626:AB626)</f>
        <v>0</v>
      </c>
      <c r="AI626" s="19">
        <f t="shared" si="48"/>
        <v>0</v>
      </c>
      <c r="AJ626" s="19">
        <f t="shared" si="49"/>
        <v>360</v>
      </c>
      <c r="AK626" s="20">
        <f t="shared" si="50"/>
        <v>0</v>
      </c>
      <c r="AL626" s="21">
        <f t="shared" si="47"/>
        <v>0</v>
      </c>
    </row>
    <row r="627" spans="33:38" x14ac:dyDescent="0.25">
      <c r="AG627" s="19" cm="1">
        <f t="array" ref="AG627">DIASQUIEBRE(Q627:AB627)</f>
        <v>0</v>
      </c>
      <c r="AH627" s="19" cm="1">
        <f t="array" ref="AH627">DiasMesesGris(Q627:AB627)</f>
        <v>0</v>
      </c>
      <c r="AI627" s="19">
        <f t="shared" si="48"/>
        <v>0</v>
      </c>
      <c r="AJ627" s="19">
        <f t="shared" si="49"/>
        <v>360</v>
      </c>
      <c r="AK627" s="20">
        <f t="shared" si="50"/>
        <v>0</v>
      </c>
      <c r="AL627" s="21">
        <f t="shared" si="47"/>
        <v>0</v>
      </c>
    </row>
    <row r="628" spans="33:38" x14ac:dyDescent="0.25">
      <c r="AG628" s="19" cm="1">
        <f t="array" ref="AG628">DIASQUIEBRE(Q628:AB628)</f>
        <v>0</v>
      </c>
      <c r="AH628" s="19" cm="1">
        <f t="array" ref="AH628">DiasMesesGris(Q628:AB628)</f>
        <v>0</v>
      </c>
      <c r="AI628" s="19">
        <f t="shared" si="48"/>
        <v>0</v>
      </c>
      <c r="AJ628" s="19">
        <f t="shared" si="49"/>
        <v>360</v>
      </c>
      <c r="AK628" s="20">
        <f t="shared" si="50"/>
        <v>0</v>
      </c>
      <c r="AL628" s="21">
        <f t="shared" si="47"/>
        <v>0</v>
      </c>
    </row>
    <row r="629" spans="33:38" x14ac:dyDescent="0.25">
      <c r="AG629" s="19" cm="1">
        <f t="array" ref="AG629">DIASQUIEBRE(Q629:AB629)</f>
        <v>0</v>
      </c>
      <c r="AH629" s="19" cm="1">
        <f t="array" ref="AH629">DiasMesesGris(Q629:AB629)</f>
        <v>0</v>
      </c>
      <c r="AI629" s="19">
        <f t="shared" si="48"/>
        <v>0</v>
      </c>
      <c r="AJ629" s="19">
        <f t="shared" si="49"/>
        <v>360</v>
      </c>
      <c r="AK629" s="20">
        <f t="shared" si="50"/>
        <v>0</v>
      </c>
      <c r="AL629" s="21">
        <f t="shared" si="47"/>
        <v>0</v>
      </c>
    </row>
    <row r="630" spans="33:38" x14ac:dyDescent="0.25">
      <c r="AG630" s="19" cm="1">
        <f t="array" ref="AG630">DIASQUIEBRE(Q630:AB630)</f>
        <v>0</v>
      </c>
      <c r="AH630" s="19" cm="1">
        <f t="array" ref="AH630">DiasMesesGris(Q630:AB630)</f>
        <v>0</v>
      </c>
      <c r="AI630" s="19">
        <f t="shared" si="48"/>
        <v>0</v>
      </c>
      <c r="AJ630" s="19">
        <f t="shared" si="49"/>
        <v>360</v>
      </c>
      <c r="AK630" s="20">
        <f t="shared" si="50"/>
        <v>0</v>
      </c>
      <c r="AL630" s="21">
        <f t="shared" si="47"/>
        <v>0</v>
      </c>
    </row>
    <row r="631" spans="33:38" x14ac:dyDescent="0.25">
      <c r="AG631" s="19" cm="1">
        <f t="array" ref="AG631">DIASQUIEBRE(Q631:AB631)</f>
        <v>0</v>
      </c>
      <c r="AH631" s="19" cm="1">
        <f t="array" ref="AH631">DiasMesesGris(Q631:AB631)</f>
        <v>0</v>
      </c>
      <c r="AI631" s="19">
        <f t="shared" si="48"/>
        <v>0</v>
      </c>
      <c r="AJ631" s="19">
        <f t="shared" si="49"/>
        <v>360</v>
      </c>
      <c r="AK631" s="20">
        <f t="shared" si="50"/>
        <v>0</v>
      </c>
      <c r="AL631" s="21">
        <f t="shared" si="47"/>
        <v>0</v>
      </c>
    </row>
    <row r="632" spans="33:38" x14ac:dyDescent="0.25">
      <c r="AG632" s="19" cm="1">
        <f t="array" ref="AG632">DIASQUIEBRE(Q632:AB632)</f>
        <v>0</v>
      </c>
      <c r="AH632" s="19" cm="1">
        <f t="array" ref="AH632">DiasMesesGris(Q632:AB632)</f>
        <v>0</v>
      </c>
      <c r="AI632" s="19">
        <f t="shared" si="48"/>
        <v>0</v>
      </c>
      <c r="AJ632" s="19">
        <f t="shared" si="49"/>
        <v>360</v>
      </c>
      <c r="AK632" s="20">
        <f t="shared" si="50"/>
        <v>0</v>
      </c>
      <c r="AL632" s="21">
        <f t="shared" si="47"/>
        <v>0</v>
      </c>
    </row>
    <row r="633" spans="33:38" x14ac:dyDescent="0.25">
      <c r="AG633" s="19" cm="1">
        <f t="array" ref="AG633">DIASQUIEBRE(Q633:AB633)</f>
        <v>0</v>
      </c>
      <c r="AH633" s="19" cm="1">
        <f t="array" ref="AH633">DiasMesesGris(Q633:AB633)</f>
        <v>0</v>
      </c>
      <c r="AI633" s="19">
        <f t="shared" si="48"/>
        <v>0</v>
      </c>
      <c r="AJ633" s="19">
        <f t="shared" si="49"/>
        <v>360</v>
      </c>
      <c r="AK633" s="20">
        <f t="shared" si="50"/>
        <v>0</v>
      </c>
      <c r="AL633" s="21">
        <f t="shared" si="47"/>
        <v>0</v>
      </c>
    </row>
    <row r="634" spans="33:38" x14ac:dyDescent="0.25">
      <c r="AG634" s="19" cm="1">
        <f t="array" ref="AG634">DIASQUIEBRE(Q634:AB634)</f>
        <v>0</v>
      </c>
      <c r="AH634" s="19" cm="1">
        <f t="array" ref="AH634">DiasMesesGris(Q634:AB634)</f>
        <v>0</v>
      </c>
      <c r="AI634" s="19">
        <f t="shared" si="48"/>
        <v>0</v>
      </c>
      <c r="AJ634" s="19">
        <f t="shared" si="49"/>
        <v>360</v>
      </c>
      <c r="AK634" s="20">
        <f t="shared" si="50"/>
        <v>0</v>
      </c>
      <c r="AL634" s="21">
        <f t="shared" si="47"/>
        <v>0</v>
      </c>
    </row>
    <row r="635" spans="33:38" x14ac:dyDescent="0.25">
      <c r="AG635" s="19" cm="1">
        <f t="array" ref="AG635">DIASQUIEBRE(Q635:AB635)</f>
        <v>0</v>
      </c>
      <c r="AH635" s="19" cm="1">
        <f t="array" ref="AH635">DiasMesesGris(Q635:AB635)</f>
        <v>0</v>
      </c>
      <c r="AI635" s="19">
        <f t="shared" si="48"/>
        <v>0</v>
      </c>
      <c r="AJ635" s="19">
        <f t="shared" si="49"/>
        <v>360</v>
      </c>
      <c r="AK635" s="20">
        <f t="shared" si="50"/>
        <v>0</v>
      </c>
      <c r="AL635" s="21">
        <f t="shared" si="47"/>
        <v>0</v>
      </c>
    </row>
    <row r="636" spans="33:38" x14ac:dyDescent="0.25">
      <c r="AG636" s="19" cm="1">
        <f t="array" ref="AG636">DIASQUIEBRE(Q636:AB636)</f>
        <v>0</v>
      </c>
      <c r="AH636" s="19" cm="1">
        <f t="array" ref="AH636">DiasMesesGris(Q636:AB636)</f>
        <v>0</v>
      </c>
      <c r="AI636" s="19">
        <f t="shared" si="48"/>
        <v>0</v>
      </c>
      <c r="AJ636" s="19">
        <f t="shared" si="49"/>
        <v>360</v>
      </c>
      <c r="AK636" s="20">
        <f t="shared" si="50"/>
        <v>0</v>
      </c>
      <c r="AL636" s="21">
        <f t="shared" si="47"/>
        <v>0</v>
      </c>
    </row>
    <row r="637" spans="33:38" x14ac:dyDescent="0.25">
      <c r="AG637" s="19" cm="1">
        <f t="array" ref="AG637">DIASQUIEBRE(Q637:AB637)</f>
        <v>0</v>
      </c>
      <c r="AH637" s="19" cm="1">
        <f t="array" ref="AH637">DiasMesesGris(Q637:AB637)</f>
        <v>0</v>
      </c>
      <c r="AI637" s="19">
        <f t="shared" si="48"/>
        <v>0</v>
      </c>
      <c r="AJ637" s="19">
        <f t="shared" si="49"/>
        <v>360</v>
      </c>
      <c r="AK637" s="20">
        <f t="shared" si="50"/>
        <v>0</v>
      </c>
      <c r="AL637" s="21">
        <f t="shared" si="47"/>
        <v>0</v>
      </c>
    </row>
    <row r="638" spans="33:38" x14ac:dyDescent="0.25">
      <c r="AG638" s="19" cm="1">
        <f t="array" ref="AG638">DIASQUIEBRE(Q638:AB638)</f>
        <v>0</v>
      </c>
      <c r="AH638" s="19" cm="1">
        <f t="array" ref="AH638">DiasMesesGris(Q638:AB638)</f>
        <v>0</v>
      </c>
      <c r="AI638" s="19">
        <f t="shared" si="48"/>
        <v>0</v>
      </c>
      <c r="AJ638" s="19">
        <f t="shared" si="49"/>
        <v>360</v>
      </c>
      <c r="AK638" s="20">
        <f t="shared" si="50"/>
        <v>0</v>
      </c>
      <c r="AL638" s="21">
        <f t="shared" si="47"/>
        <v>0</v>
      </c>
    </row>
    <row r="639" spans="33:38" x14ac:dyDescent="0.25">
      <c r="AG639" s="19" cm="1">
        <f t="array" ref="AG639">DIASQUIEBRE(Q639:AB639)</f>
        <v>0</v>
      </c>
      <c r="AH639" s="19" cm="1">
        <f t="array" ref="AH639">DiasMesesGris(Q639:AB639)</f>
        <v>0</v>
      </c>
      <c r="AI639" s="19">
        <f t="shared" si="48"/>
        <v>0</v>
      </c>
      <c r="AJ639" s="19">
        <f t="shared" si="49"/>
        <v>360</v>
      </c>
      <c r="AK639" s="20">
        <f t="shared" si="50"/>
        <v>0</v>
      </c>
      <c r="AL639" s="21">
        <f t="shared" si="47"/>
        <v>0</v>
      </c>
    </row>
    <row r="640" spans="33:38" x14ac:dyDescent="0.25">
      <c r="AG640" s="19" cm="1">
        <f t="array" ref="AG640">DIASQUIEBRE(Q640:AB640)</f>
        <v>0</v>
      </c>
      <c r="AH640" s="19" cm="1">
        <f t="array" ref="AH640">DiasMesesGris(Q640:AB640)</f>
        <v>0</v>
      </c>
      <c r="AI640" s="19">
        <f t="shared" si="48"/>
        <v>0</v>
      </c>
      <c r="AJ640" s="19">
        <f t="shared" si="49"/>
        <v>360</v>
      </c>
      <c r="AK640" s="20">
        <f t="shared" si="50"/>
        <v>0</v>
      </c>
      <c r="AL640" s="21">
        <f t="shared" si="47"/>
        <v>0</v>
      </c>
    </row>
    <row r="641" spans="33:38" x14ac:dyDescent="0.25">
      <c r="AG641" s="19" cm="1">
        <f t="array" ref="AG641">DIASQUIEBRE(Q641:AB641)</f>
        <v>0</v>
      </c>
      <c r="AH641" s="19" cm="1">
        <f t="array" ref="AH641">DiasMesesGris(Q641:AB641)</f>
        <v>0</v>
      </c>
      <c r="AI641" s="19">
        <f t="shared" si="48"/>
        <v>0</v>
      </c>
      <c r="AJ641" s="19">
        <f t="shared" si="49"/>
        <v>360</v>
      </c>
      <c r="AK641" s="20">
        <f t="shared" si="50"/>
        <v>0</v>
      </c>
      <c r="AL641" s="21">
        <f t="shared" si="47"/>
        <v>0</v>
      </c>
    </row>
    <row r="642" spans="33:38" x14ac:dyDescent="0.25">
      <c r="AG642" s="19" cm="1">
        <f t="array" ref="AG642">DIASQUIEBRE(Q642:AB642)</f>
        <v>0</v>
      </c>
      <c r="AH642" s="19" cm="1">
        <f t="array" ref="AH642">DiasMesesGris(Q642:AB642)</f>
        <v>0</v>
      </c>
      <c r="AI642" s="19">
        <f t="shared" si="48"/>
        <v>0</v>
      </c>
      <c r="AJ642" s="19">
        <f t="shared" si="49"/>
        <v>360</v>
      </c>
      <c r="AK642" s="20">
        <f t="shared" si="50"/>
        <v>0</v>
      </c>
      <c r="AL642" s="21">
        <f t="shared" si="47"/>
        <v>0</v>
      </c>
    </row>
    <row r="643" spans="33:38" x14ac:dyDescent="0.25">
      <c r="AG643" s="19" cm="1">
        <f t="array" ref="AG643">DIASQUIEBRE(Q643:AB643)</f>
        <v>0</v>
      </c>
      <c r="AH643" s="19" cm="1">
        <f t="array" ref="AH643">DiasMesesGris(Q643:AB643)</f>
        <v>0</v>
      </c>
      <c r="AI643" s="19">
        <f t="shared" si="48"/>
        <v>0</v>
      </c>
      <c r="AJ643" s="19">
        <f t="shared" si="49"/>
        <v>360</v>
      </c>
      <c r="AK643" s="20">
        <f t="shared" si="50"/>
        <v>0</v>
      </c>
      <c r="AL643" s="21">
        <f t="shared" ref="AL643:AL669" si="51">IFERROR(AK643/AJ643,0)</f>
        <v>0</v>
      </c>
    </row>
    <row r="644" spans="33:38" x14ac:dyDescent="0.25">
      <c r="AG644" s="19" cm="1">
        <f t="array" ref="AG644">DIASQUIEBRE(Q644:AB644)</f>
        <v>0</v>
      </c>
      <c r="AH644" s="19" cm="1">
        <f t="array" ref="AH644">DiasMesesGris(Q644:AB644)</f>
        <v>0</v>
      </c>
      <c r="AI644" s="19">
        <f t="shared" ref="AI644:AI669" si="52">AG644+AH644</f>
        <v>0</v>
      </c>
      <c r="AJ644" s="19">
        <f t="shared" ref="AJ644:AJ669" si="53">360-AI644</f>
        <v>360</v>
      </c>
      <c r="AK644" s="20">
        <f t="shared" ref="AK644:AK669" si="54">SUM(D644:O644)</f>
        <v>0</v>
      </c>
      <c r="AL644" s="21">
        <f t="shared" si="51"/>
        <v>0</v>
      </c>
    </row>
    <row r="645" spans="33:38" x14ac:dyDescent="0.25">
      <c r="AG645" s="19" cm="1">
        <f t="array" ref="AG645">DIASQUIEBRE(Q645:AB645)</f>
        <v>0</v>
      </c>
      <c r="AH645" s="19" cm="1">
        <f t="array" ref="AH645">DiasMesesGris(Q645:AB645)</f>
        <v>0</v>
      </c>
      <c r="AI645" s="19">
        <f t="shared" si="52"/>
        <v>0</v>
      </c>
      <c r="AJ645" s="19">
        <f t="shared" si="53"/>
        <v>360</v>
      </c>
      <c r="AK645" s="20">
        <f t="shared" si="54"/>
        <v>0</v>
      </c>
      <c r="AL645" s="21">
        <f t="shared" si="51"/>
        <v>0</v>
      </c>
    </row>
    <row r="646" spans="33:38" x14ac:dyDescent="0.25">
      <c r="AG646" s="19" cm="1">
        <f t="array" ref="AG646">DIASQUIEBRE(Q646:AB646)</f>
        <v>0</v>
      </c>
      <c r="AH646" s="19" cm="1">
        <f t="array" ref="AH646">DiasMesesGris(Q646:AB646)</f>
        <v>0</v>
      </c>
      <c r="AI646" s="19">
        <f t="shared" si="52"/>
        <v>0</v>
      </c>
      <c r="AJ646" s="19">
        <f t="shared" si="53"/>
        <v>360</v>
      </c>
      <c r="AK646" s="20">
        <f t="shared" si="54"/>
        <v>0</v>
      </c>
      <c r="AL646" s="21">
        <f t="shared" si="51"/>
        <v>0</v>
      </c>
    </row>
    <row r="647" spans="33:38" x14ac:dyDescent="0.25">
      <c r="AG647" s="19" cm="1">
        <f t="array" ref="AG647">DIASQUIEBRE(Q647:AB647)</f>
        <v>0</v>
      </c>
      <c r="AH647" s="19" cm="1">
        <f t="array" ref="AH647">DiasMesesGris(Q647:AB647)</f>
        <v>0</v>
      </c>
      <c r="AI647" s="19">
        <f t="shared" si="52"/>
        <v>0</v>
      </c>
      <c r="AJ647" s="19">
        <f t="shared" si="53"/>
        <v>360</v>
      </c>
      <c r="AK647" s="20">
        <f t="shared" si="54"/>
        <v>0</v>
      </c>
      <c r="AL647" s="21">
        <f t="shared" si="51"/>
        <v>0</v>
      </c>
    </row>
    <row r="648" spans="33:38" x14ac:dyDescent="0.25">
      <c r="AG648" s="19" cm="1">
        <f t="array" ref="AG648">DIASQUIEBRE(Q648:AB648)</f>
        <v>0</v>
      </c>
      <c r="AH648" s="19" cm="1">
        <f t="array" ref="AH648">DiasMesesGris(Q648:AB648)</f>
        <v>0</v>
      </c>
      <c r="AI648" s="19">
        <f t="shared" si="52"/>
        <v>0</v>
      </c>
      <c r="AJ648" s="19">
        <f t="shared" si="53"/>
        <v>360</v>
      </c>
      <c r="AK648" s="20">
        <f t="shared" si="54"/>
        <v>0</v>
      </c>
      <c r="AL648" s="21">
        <f t="shared" si="51"/>
        <v>0</v>
      </c>
    </row>
    <row r="649" spans="33:38" x14ac:dyDescent="0.25">
      <c r="AG649" s="19" cm="1">
        <f t="array" ref="AG649">DIASQUIEBRE(Q649:AB649)</f>
        <v>0</v>
      </c>
      <c r="AH649" s="19" cm="1">
        <f t="array" ref="AH649">DiasMesesGris(Q649:AB649)</f>
        <v>0</v>
      </c>
      <c r="AI649" s="19">
        <f t="shared" si="52"/>
        <v>0</v>
      </c>
      <c r="AJ649" s="19">
        <f t="shared" si="53"/>
        <v>360</v>
      </c>
      <c r="AK649" s="20">
        <f t="shared" si="54"/>
        <v>0</v>
      </c>
      <c r="AL649" s="21">
        <f t="shared" si="51"/>
        <v>0</v>
      </c>
    </row>
    <row r="650" spans="33:38" x14ac:dyDescent="0.25">
      <c r="AG650" s="19" cm="1">
        <f t="array" ref="AG650">DIASQUIEBRE(Q650:AB650)</f>
        <v>0</v>
      </c>
      <c r="AH650" s="19" cm="1">
        <f t="array" ref="AH650">DiasMesesGris(Q650:AB650)</f>
        <v>0</v>
      </c>
      <c r="AI650" s="19">
        <f t="shared" si="52"/>
        <v>0</v>
      </c>
      <c r="AJ650" s="19">
        <f t="shared" si="53"/>
        <v>360</v>
      </c>
      <c r="AK650" s="20">
        <f t="shared" si="54"/>
        <v>0</v>
      </c>
      <c r="AL650" s="21">
        <f t="shared" si="51"/>
        <v>0</v>
      </c>
    </row>
    <row r="651" spans="33:38" x14ac:dyDescent="0.25">
      <c r="AG651" s="19" cm="1">
        <f t="array" ref="AG651">DIASQUIEBRE(Q651:AB651)</f>
        <v>0</v>
      </c>
      <c r="AH651" s="19" cm="1">
        <f t="array" ref="AH651">DiasMesesGris(Q651:AB651)</f>
        <v>0</v>
      </c>
      <c r="AI651" s="19">
        <f t="shared" si="52"/>
        <v>0</v>
      </c>
      <c r="AJ651" s="19">
        <f t="shared" si="53"/>
        <v>360</v>
      </c>
      <c r="AK651" s="20">
        <f t="shared" si="54"/>
        <v>0</v>
      </c>
      <c r="AL651" s="21">
        <f t="shared" si="51"/>
        <v>0</v>
      </c>
    </row>
    <row r="652" spans="33:38" x14ac:dyDescent="0.25">
      <c r="AG652" s="19" cm="1">
        <f t="array" ref="AG652">DIASQUIEBRE(Q652:AB652)</f>
        <v>0</v>
      </c>
      <c r="AH652" s="19" cm="1">
        <f t="array" ref="AH652">DiasMesesGris(Q652:AB652)</f>
        <v>0</v>
      </c>
      <c r="AI652" s="19">
        <f t="shared" si="52"/>
        <v>0</v>
      </c>
      <c r="AJ652" s="19">
        <f t="shared" si="53"/>
        <v>360</v>
      </c>
      <c r="AK652" s="20">
        <f t="shared" si="54"/>
        <v>0</v>
      </c>
      <c r="AL652" s="21">
        <f t="shared" si="51"/>
        <v>0</v>
      </c>
    </row>
    <row r="653" spans="33:38" x14ac:dyDescent="0.25">
      <c r="AG653" s="19" cm="1">
        <f t="array" ref="AG653">DIASQUIEBRE(Q653:AB653)</f>
        <v>0</v>
      </c>
      <c r="AH653" s="19" cm="1">
        <f t="array" ref="AH653">DiasMesesGris(Q653:AB653)</f>
        <v>0</v>
      </c>
      <c r="AI653" s="19">
        <f t="shared" si="52"/>
        <v>0</v>
      </c>
      <c r="AJ653" s="19">
        <f t="shared" si="53"/>
        <v>360</v>
      </c>
      <c r="AK653" s="20">
        <f t="shared" si="54"/>
        <v>0</v>
      </c>
      <c r="AL653" s="21">
        <f t="shared" si="51"/>
        <v>0</v>
      </c>
    </row>
    <row r="654" spans="33:38" x14ac:dyDescent="0.25">
      <c r="AG654" s="19" cm="1">
        <f t="array" ref="AG654">DIASQUIEBRE(Q654:AB654)</f>
        <v>0</v>
      </c>
      <c r="AH654" s="19" cm="1">
        <f t="array" ref="AH654">DiasMesesGris(Q654:AB654)</f>
        <v>0</v>
      </c>
      <c r="AI654" s="19">
        <f t="shared" si="52"/>
        <v>0</v>
      </c>
      <c r="AJ654" s="19">
        <f t="shared" si="53"/>
        <v>360</v>
      </c>
      <c r="AK654" s="20">
        <f t="shared" si="54"/>
        <v>0</v>
      </c>
      <c r="AL654" s="21">
        <f t="shared" si="51"/>
        <v>0</v>
      </c>
    </row>
    <row r="655" spans="33:38" x14ac:dyDescent="0.25">
      <c r="AG655" s="19" cm="1">
        <f t="array" ref="AG655">DIASQUIEBRE(Q655:AB655)</f>
        <v>0</v>
      </c>
      <c r="AH655" s="19" cm="1">
        <f t="array" ref="AH655">DiasMesesGris(Q655:AB655)</f>
        <v>0</v>
      </c>
      <c r="AI655" s="19">
        <f t="shared" si="52"/>
        <v>0</v>
      </c>
      <c r="AJ655" s="19">
        <f t="shared" si="53"/>
        <v>360</v>
      </c>
      <c r="AK655" s="20">
        <f t="shared" si="54"/>
        <v>0</v>
      </c>
      <c r="AL655" s="21">
        <f t="shared" si="51"/>
        <v>0</v>
      </c>
    </row>
    <row r="656" spans="33:38" x14ac:dyDescent="0.25">
      <c r="AG656" s="19" cm="1">
        <f t="array" ref="AG656">DIASQUIEBRE(Q656:AB656)</f>
        <v>0</v>
      </c>
      <c r="AH656" s="19" cm="1">
        <f t="array" ref="AH656">DiasMesesGris(Q656:AB656)</f>
        <v>0</v>
      </c>
      <c r="AI656" s="19">
        <f t="shared" si="52"/>
        <v>0</v>
      </c>
      <c r="AJ656" s="19">
        <f t="shared" si="53"/>
        <v>360</v>
      </c>
      <c r="AK656" s="20">
        <f t="shared" si="54"/>
        <v>0</v>
      </c>
      <c r="AL656" s="21">
        <f t="shared" si="51"/>
        <v>0</v>
      </c>
    </row>
    <row r="657" spans="33:38" x14ac:dyDescent="0.25">
      <c r="AG657" s="19" cm="1">
        <f t="array" ref="AG657">DIASQUIEBRE(Q657:AB657)</f>
        <v>0</v>
      </c>
      <c r="AH657" s="19" cm="1">
        <f t="array" ref="AH657">DiasMesesGris(Q657:AB657)</f>
        <v>0</v>
      </c>
      <c r="AI657" s="19">
        <f t="shared" si="52"/>
        <v>0</v>
      </c>
      <c r="AJ657" s="19">
        <f t="shared" si="53"/>
        <v>360</v>
      </c>
      <c r="AK657" s="20">
        <f t="shared" si="54"/>
        <v>0</v>
      </c>
      <c r="AL657" s="21">
        <f t="shared" si="51"/>
        <v>0</v>
      </c>
    </row>
    <row r="658" spans="33:38" x14ac:dyDescent="0.25">
      <c r="AG658" s="19" cm="1">
        <f t="array" ref="AG658">DIASQUIEBRE(Q658:AB658)</f>
        <v>0</v>
      </c>
      <c r="AH658" s="19" cm="1">
        <f t="array" ref="AH658">DiasMesesGris(Q658:AB658)</f>
        <v>0</v>
      </c>
      <c r="AI658" s="19">
        <f t="shared" si="52"/>
        <v>0</v>
      </c>
      <c r="AJ658" s="19">
        <f t="shared" si="53"/>
        <v>360</v>
      </c>
      <c r="AK658" s="20">
        <f t="shared" si="54"/>
        <v>0</v>
      </c>
      <c r="AL658" s="21">
        <f t="shared" si="51"/>
        <v>0</v>
      </c>
    </row>
    <row r="659" spans="33:38" x14ac:dyDescent="0.25">
      <c r="AG659" s="19" cm="1">
        <f t="array" ref="AG659">DIASQUIEBRE(Q659:AB659)</f>
        <v>0</v>
      </c>
      <c r="AH659" s="19" cm="1">
        <f t="array" ref="AH659">DiasMesesGris(Q659:AB659)</f>
        <v>0</v>
      </c>
      <c r="AI659" s="19">
        <f t="shared" si="52"/>
        <v>0</v>
      </c>
      <c r="AJ659" s="19">
        <f t="shared" si="53"/>
        <v>360</v>
      </c>
      <c r="AK659" s="20">
        <f t="shared" si="54"/>
        <v>0</v>
      </c>
      <c r="AL659" s="21">
        <f t="shared" si="51"/>
        <v>0</v>
      </c>
    </row>
    <row r="660" spans="33:38" x14ac:dyDescent="0.25">
      <c r="AG660" s="19" cm="1">
        <f t="array" ref="AG660">DIASQUIEBRE(Q660:AB660)</f>
        <v>0</v>
      </c>
      <c r="AH660" s="19" cm="1">
        <f t="array" ref="AH660">DiasMesesGris(Q660:AB660)</f>
        <v>0</v>
      </c>
      <c r="AI660" s="19">
        <f t="shared" si="52"/>
        <v>0</v>
      </c>
      <c r="AJ660" s="19">
        <f t="shared" si="53"/>
        <v>360</v>
      </c>
      <c r="AK660" s="20">
        <f t="shared" si="54"/>
        <v>0</v>
      </c>
      <c r="AL660" s="21">
        <f t="shared" si="51"/>
        <v>0</v>
      </c>
    </row>
    <row r="661" spans="33:38" x14ac:dyDescent="0.25">
      <c r="AG661" s="19" cm="1">
        <f t="array" ref="AG661">DIASQUIEBRE(Q661:AB661)</f>
        <v>0</v>
      </c>
      <c r="AH661" s="19" cm="1">
        <f t="array" ref="AH661">DiasMesesGris(Q661:AB661)</f>
        <v>0</v>
      </c>
      <c r="AI661" s="19">
        <f t="shared" si="52"/>
        <v>0</v>
      </c>
      <c r="AJ661" s="19">
        <f t="shared" si="53"/>
        <v>360</v>
      </c>
      <c r="AK661" s="20">
        <f t="shared" si="54"/>
        <v>0</v>
      </c>
      <c r="AL661" s="21">
        <f t="shared" si="51"/>
        <v>0</v>
      </c>
    </row>
    <row r="662" spans="33:38" x14ac:dyDescent="0.25">
      <c r="AG662" s="19" cm="1">
        <f t="array" ref="AG662">DIASQUIEBRE(Q662:AB662)</f>
        <v>0</v>
      </c>
      <c r="AH662" s="19" cm="1">
        <f t="array" ref="AH662">DiasMesesGris(Q662:AB662)</f>
        <v>0</v>
      </c>
      <c r="AI662" s="19">
        <f t="shared" si="52"/>
        <v>0</v>
      </c>
      <c r="AJ662" s="19">
        <f t="shared" si="53"/>
        <v>360</v>
      </c>
      <c r="AK662" s="20">
        <f t="shared" si="54"/>
        <v>0</v>
      </c>
      <c r="AL662" s="21">
        <f t="shared" si="51"/>
        <v>0</v>
      </c>
    </row>
    <row r="663" spans="33:38" x14ac:dyDescent="0.25">
      <c r="AG663" s="19" cm="1">
        <f t="array" ref="AG663">DIASQUIEBRE(Q663:AB663)</f>
        <v>0</v>
      </c>
      <c r="AH663" s="19" cm="1">
        <f t="array" ref="AH663">DiasMesesGris(Q663:AB663)</f>
        <v>0</v>
      </c>
      <c r="AI663" s="19">
        <f t="shared" si="52"/>
        <v>0</v>
      </c>
      <c r="AJ663" s="19">
        <f t="shared" si="53"/>
        <v>360</v>
      </c>
      <c r="AK663" s="20">
        <f t="shared" si="54"/>
        <v>0</v>
      </c>
      <c r="AL663" s="21">
        <f t="shared" si="51"/>
        <v>0</v>
      </c>
    </row>
    <row r="664" spans="33:38" x14ac:dyDescent="0.25">
      <c r="AG664" s="19" cm="1">
        <f t="array" ref="AG664">DIASQUIEBRE(Q664:AB664)</f>
        <v>0</v>
      </c>
      <c r="AH664" s="19" cm="1">
        <f t="array" ref="AH664">DiasMesesGris(Q664:AB664)</f>
        <v>0</v>
      </c>
      <c r="AI664" s="19">
        <f t="shared" si="52"/>
        <v>0</v>
      </c>
      <c r="AJ664" s="19">
        <f t="shared" si="53"/>
        <v>360</v>
      </c>
      <c r="AK664" s="20">
        <f t="shared" si="54"/>
        <v>0</v>
      </c>
      <c r="AL664" s="21">
        <f t="shared" si="51"/>
        <v>0</v>
      </c>
    </row>
    <row r="665" spans="33:38" x14ac:dyDescent="0.25">
      <c r="AG665" s="19" cm="1">
        <f t="array" ref="AG665">DIASQUIEBRE(Q665:AB665)</f>
        <v>0</v>
      </c>
      <c r="AH665" s="19" cm="1">
        <f t="array" ref="AH665">DiasMesesGris(Q665:AB665)</f>
        <v>0</v>
      </c>
      <c r="AI665" s="19">
        <f t="shared" si="52"/>
        <v>0</v>
      </c>
      <c r="AJ665" s="19">
        <f t="shared" si="53"/>
        <v>360</v>
      </c>
      <c r="AK665" s="20">
        <f t="shared" si="54"/>
        <v>0</v>
      </c>
      <c r="AL665" s="21">
        <f t="shared" si="51"/>
        <v>0</v>
      </c>
    </row>
    <row r="666" spans="33:38" x14ac:dyDescent="0.25">
      <c r="AG666" s="19" cm="1">
        <f t="array" ref="AG666">DIASQUIEBRE(Q666:AB666)</f>
        <v>0</v>
      </c>
      <c r="AH666" s="19" cm="1">
        <f t="array" ref="AH666">DiasMesesGris(Q666:AB666)</f>
        <v>0</v>
      </c>
      <c r="AI666" s="19">
        <f t="shared" si="52"/>
        <v>0</v>
      </c>
      <c r="AJ666" s="19">
        <f t="shared" si="53"/>
        <v>360</v>
      </c>
      <c r="AK666" s="20">
        <f t="shared" si="54"/>
        <v>0</v>
      </c>
      <c r="AL666" s="21">
        <f t="shared" si="51"/>
        <v>0</v>
      </c>
    </row>
    <row r="667" spans="33:38" x14ac:dyDescent="0.25">
      <c r="AG667" s="19" cm="1">
        <f t="array" ref="AG667">DIASQUIEBRE(Q667:AB667)</f>
        <v>0</v>
      </c>
      <c r="AH667" s="19" cm="1">
        <f t="array" ref="AH667">DiasMesesGris(Q667:AB667)</f>
        <v>0</v>
      </c>
      <c r="AI667" s="19">
        <f t="shared" si="52"/>
        <v>0</v>
      </c>
      <c r="AJ667" s="19">
        <f t="shared" si="53"/>
        <v>360</v>
      </c>
      <c r="AK667" s="20">
        <f t="shared" si="54"/>
        <v>0</v>
      </c>
      <c r="AL667" s="21">
        <f t="shared" si="51"/>
        <v>0</v>
      </c>
    </row>
    <row r="668" spans="33:38" x14ac:dyDescent="0.25">
      <c r="AG668" s="19" cm="1">
        <f t="array" ref="AG668">DIASQUIEBRE(Q668:AB668)</f>
        <v>0</v>
      </c>
      <c r="AH668" s="19" cm="1">
        <f t="array" ref="AH668">DiasMesesGris(Q668:AB668)</f>
        <v>0</v>
      </c>
      <c r="AI668" s="19">
        <f t="shared" si="52"/>
        <v>0</v>
      </c>
      <c r="AJ668" s="19">
        <f t="shared" si="53"/>
        <v>360</v>
      </c>
      <c r="AK668" s="20">
        <f t="shared" si="54"/>
        <v>0</v>
      </c>
      <c r="AL668" s="21">
        <f t="shared" si="51"/>
        <v>0</v>
      </c>
    </row>
    <row r="669" spans="33:38" x14ac:dyDescent="0.25">
      <c r="AG669" s="19" cm="1">
        <f t="array" ref="AG669">DIASQUIEBRE(Q669:AB669)</f>
        <v>0</v>
      </c>
      <c r="AH669" s="19" cm="1">
        <f t="array" ref="AH669">DiasMesesGris(Q669:AB669)</f>
        <v>0</v>
      </c>
      <c r="AI669" s="19">
        <f t="shared" si="52"/>
        <v>0</v>
      </c>
      <c r="AJ669" s="19">
        <f t="shared" si="53"/>
        <v>360</v>
      </c>
      <c r="AK669" s="20">
        <f t="shared" si="54"/>
        <v>0</v>
      </c>
      <c r="AL669" s="21">
        <f t="shared" si="51"/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E420"/>
  <sheetViews>
    <sheetView workbookViewId="0">
      <pane xSplit="4" ySplit="4" topLeftCell="R8" activePane="bottomRight" state="frozen"/>
      <selection pane="topRight" activeCell="E1" sqref="E1"/>
      <selection pane="bottomLeft" activeCell="A5" sqref="A5"/>
      <selection pane="bottomRight" activeCell="AB18" sqref="AB18"/>
    </sheetView>
  </sheetViews>
  <sheetFormatPr baseColWidth="10" defaultColWidth="9" defaultRowHeight="14.3" x14ac:dyDescent="0.25"/>
  <cols>
    <col min="1" max="1" width="12" hidden="1" customWidth="1"/>
    <col min="2" max="2" width="45" customWidth="1"/>
    <col min="3" max="5" width="12" customWidth="1"/>
    <col min="6" max="6" width="6" customWidth="1"/>
    <col min="7" max="12" width="12" customWidth="1"/>
    <col min="13" max="13" width="6" customWidth="1"/>
    <col min="14" max="19" width="12" customWidth="1"/>
    <col min="20" max="20" width="6" customWidth="1"/>
    <col min="21" max="30" width="12" customWidth="1"/>
  </cols>
  <sheetData>
    <row r="1" spans="1:31" x14ac:dyDescent="0.25">
      <c r="A1" s="1" t="s">
        <v>937</v>
      </c>
      <c r="B1" s="13">
        <v>46331</v>
      </c>
      <c r="D1" s="1" t="s">
        <v>938</v>
      </c>
      <c r="E1" s="10">
        <v>100</v>
      </c>
      <c r="G1" s="1" t="s">
        <v>939</v>
      </c>
      <c r="H1" s="10">
        <v>60</v>
      </c>
      <c r="J1" s="1" t="s">
        <v>940</v>
      </c>
      <c r="K1" s="14">
        <v>1</v>
      </c>
      <c r="L1" s="14">
        <v>1</v>
      </c>
      <c r="M1" s="14">
        <v>1</v>
      </c>
    </row>
    <row r="3" spans="1:31" x14ac:dyDescent="0.25">
      <c r="E3" s="22" t="s">
        <v>943</v>
      </c>
      <c r="F3" s="23"/>
      <c r="G3" s="23"/>
      <c r="H3" s="23"/>
      <c r="I3" s="23"/>
      <c r="J3" s="23"/>
      <c r="K3" s="23"/>
      <c r="L3" s="24" t="s">
        <v>951</v>
      </c>
      <c r="M3" s="23"/>
      <c r="N3" s="23"/>
      <c r="O3" s="23"/>
      <c r="P3" s="23"/>
      <c r="Q3" s="23"/>
      <c r="R3" s="23"/>
      <c r="S3" s="22" t="s">
        <v>952</v>
      </c>
      <c r="T3" s="23"/>
      <c r="U3" s="23"/>
      <c r="V3" s="23"/>
      <c r="W3" s="23"/>
      <c r="X3" s="23"/>
      <c r="Y3" s="23"/>
      <c r="AB3" s="24" t="s">
        <v>960</v>
      </c>
      <c r="AC3" s="23"/>
    </row>
    <row r="4" spans="1:31" x14ac:dyDescent="0.25">
      <c r="A4" s="2" t="s">
        <v>2</v>
      </c>
      <c r="B4" s="2" t="s">
        <v>1</v>
      </c>
      <c r="C4" s="2" t="s">
        <v>941</v>
      </c>
      <c r="D4" s="2" t="s">
        <v>942</v>
      </c>
      <c r="E4" s="2" t="s">
        <v>944</v>
      </c>
      <c r="F4" s="2" t="s">
        <v>945</v>
      </c>
      <c r="G4" s="2" t="s">
        <v>946</v>
      </c>
      <c r="H4" s="2" t="s">
        <v>947</v>
      </c>
      <c r="I4" s="2" t="s">
        <v>948</v>
      </c>
      <c r="J4" s="2" t="s">
        <v>949</v>
      </c>
      <c r="K4" s="2" t="s">
        <v>950</v>
      </c>
      <c r="L4" s="2" t="s">
        <v>944</v>
      </c>
      <c r="M4" s="2" t="s">
        <v>945</v>
      </c>
      <c r="N4" s="2" t="s">
        <v>946</v>
      </c>
      <c r="O4" s="2" t="s">
        <v>947</v>
      </c>
      <c r="P4" s="2" t="s">
        <v>948</v>
      </c>
      <c r="Q4" s="2" t="s">
        <v>949</v>
      </c>
      <c r="R4" s="2" t="s">
        <v>950</v>
      </c>
      <c r="S4" s="2" t="s">
        <v>953</v>
      </c>
      <c r="T4" s="2" t="s">
        <v>954</v>
      </c>
      <c r="U4" s="2" t="s">
        <v>946</v>
      </c>
      <c r="V4" s="2" t="s">
        <v>947</v>
      </c>
      <c r="W4" s="2" t="s">
        <v>955</v>
      </c>
      <c r="X4" s="2" t="s">
        <v>956</v>
      </c>
      <c r="Y4" s="2" t="s">
        <v>957</v>
      </c>
      <c r="Z4" s="2" t="s">
        <v>958</v>
      </c>
      <c r="AA4" s="2" t="s">
        <v>959</v>
      </c>
      <c r="AB4" s="2" t="s">
        <v>961</v>
      </c>
      <c r="AC4" s="2" t="s">
        <v>947</v>
      </c>
      <c r="AD4" s="2" t="s">
        <v>962</v>
      </c>
      <c r="AE4" s="2" t="s">
        <v>968</v>
      </c>
    </row>
    <row r="5" spans="1:31" x14ac:dyDescent="0.25">
      <c r="A5" s="1"/>
      <c r="B5" s="1" t="s">
        <v>38</v>
      </c>
      <c r="C5" s="15" t="s">
        <v>37</v>
      </c>
      <c r="D5" s="11">
        <v>81</v>
      </c>
      <c r="E5" s="13">
        <v>46230</v>
      </c>
      <c r="F5" s="10">
        <v>7</v>
      </c>
      <c r="G5" s="16">
        <f>(D5-(0)+0-(F5*Ventas!AE4*0))</f>
        <v>81</v>
      </c>
      <c r="H5" s="4"/>
      <c r="I5" s="11">
        <v>6</v>
      </c>
      <c r="J5" s="16">
        <f t="shared" ref="J5:J68" si="0">IF(G5&gt;0,G5+I5,I5)</f>
        <v>87</v>
      </c>
      <c r="K5" s="4"/>
      <c r="L5" s="13">
        <v>46275</v>
      </c>
      <c r="M5" s="10">
        <v>45</v>
      </c>
      <c r="N5" s="16">
        <f>(IF(G5&gt;0,G5+I5,I5)-(M5*Ventas!AE4*1))</f>
        <v>87</v>
      </c>
      <c r="O5" s="4"/>
      <c r="P5" s="11">
        <v>0</v>
      </c>
      <c r="Q5" s="16">
        <f t="shared" ref="Q5:Q68" si="1">IF(N5&gt;0,N5+P5,P5)</f>
        <v>87</v>
      </c>
      <c r="R5" s="4"/>
      <c r="S5" s="13">
        <v>46331</v>
      </c>
      <c r="T5" s="10">
        <v>56</v>
      </c>
      <c r="U5" s="16">
        <f>(IF(N5&gt;0,N5+P5,P5)-(T5*Ventas!AE4*1))</f>
        <v>87</v>
      </c>
      <c r="V5" s="4"/>
      <c r="W5" s="16">
        <f>(100*(Ventas!AE4*1) - IF(U5&gt;0,U5,0))</f>
        <v>-87</v>
      </c>
      <c r="X5" s="16">
        <f t="shared" ref="X5:X68" si="2">IF(W5&gt;0,W5,0)</f>
        <v>0</v>
      </c>
      <c r="Y5" s="16">
        <f t="shared" ref="Y5:Y68" si="3">IF(U5&gt;0,U5+IF(X5&gt;0,X5,0),X5)</f>
        <v>87</v>
      </c>
      <c r="Z5" s="4"/>
      <c r="AA5" s="11">
        <v>3027</v>
      </c>
      <c r="AB5" s="4"/>
      <c r="AC5" s="4"/>
      <c r="AD5" s="1" t="s">
        <v>34</v>
      </c>
      <c r="AE5">
        <f>X5*Z5</f>
        <v>0</v>
      </c>
    </row>
    <row r="6" spans="1:31" x14ac:dyDescent="0.25">
      <c r="A6" s="1"/>
      <c r="B6" s="1" t="s">
        <v>65</v>
      </c>
      <c r="C6" s="15" t="s">
        <v>64</v>
      </c>
      <c r="D6" s="11">
        <v>14</v>
      </c>
      <c r="E6" s="13">
        <v>46230</v>
      </c>
      <c r="F6" s="10">
        <v>7</v>
      </c>
      <c r="G6" s="16">
        <f>(D6-(0)+0-(F6*Ventas!AE18*0))</f>
        <v>14</v>
      </c>
      <c r="H6" s="4"/>
      <c r="I6" s="11">
        <v>0</v>
      </c>
      <c r="J6" s="16">
        <f t="shared" si="0"/>
        <v>14</v>
      </c>
      <c r="K6" s="4"/>
      <c r="L6" s="13">
        <v>46275</v>
      </c>
      <c r="M6" s="10">
        <v>45</v>
      </c>
      <c r="N6" s="16">
        <f>(IF(G6&gt;0,G6+I6,I6)-(M6*Ventas!AE18*1))</f>
        <v>14</v>
      </c>
      <c r="O6" s="4"/>
      <c r="P6" s="11">
        <v>0</v>
      </c>
      <c r="Q6" s="16">
        <f t="shared" si="1"/>
        <v>14</v>
      </c>
      <c r="R6" s="4"/>
      <c r="S6" s="13">
        <v>46331</v>
      </c>
      <c r="T6" s="10">
        <v>56</v>
      </c>
      <c r="U6" s="16">
        <f>(IF(N6&gt;0,N6+P6,P6)-(T6*Ventas!AE18*1))</f>
        <v>14</v>
      </c>
      <c r="V6" s="4"/>
      <c r="W6" s="16">
        <f>(100*(Ventas!AE18*1) - IF(U6&gt;0,U6,0))</f>
        <v>-14</v>
      </c>
      <c r="X6" s="16">
        <f t="shared" si="2"/>
        <v>0</v>
      </c>
      <c r="Y6" s="16">
        <f t="shared" si="3"/>
        <v>14</v>
      </c>
      <c r="Z6" s="4"/>
      <c r="AA6" s="11">
        <v>3027</v>
      </c>
      <c r="AB6" s="4"/>
      <c r="AC6" s="4"/>
      <c r="AD6" s="1" t="s">
        <v>34</v>
      </c>
      <c r="AE6">
        <f t="shared" ref="AE6:AE69" si="4">X6*Z6</f>
        <v>0</v>
      </c>
    </row>
    <row r="7" spans="1:31" x14ac:dyDescent="0.25">
      <c r="A7" s="1"/>
      <c r="B7" s="1" t="s">
        <v>67</v>
      </c>
      <c r="C7" s="15" t="s">
        <v>66</v>
      </c>
      <c r="D7" s="4"/>
      <c r="E7" s="13">
        <v>46230</v>
      </c>
      <c r="F7" s="10">
        <v>7</v>
      </c>
      <c r="G7" s="16">
        <f>(D7-(0)+0-(F7*Ventas!AE19*0))</f>
        <v>0</v>
      </c>
      <c r="H7" s="4"/>
      <c r="I7" s="11">
        <v>0</v>
      </c>
      <c r="J7" s="16">
        <f t="shared" si="0"/>
        <v>0</v>
      </c>
      <c r="K7" s="4"/>
      <c r="L7" s="13">
        <v>46275</v>
      </c>
      <c r="M7" s="10">
        <v>45</v>
      </c>
      <c r="N7" s="16">
        <f>(IF(G7&gt;0,G7+I7,I7)-(M7*Ventas!AE19*1))</f>
        <v>0</v>
      </c>
      <c r="O7" s="4"/>
      <c r="P7" s="11">
        <v>0</v>
      </c>
      <c r="Q7" s="16">
        <f t="shared" si="1"/>
        <v>0</v>
      </c>
      <c r="R7" s="4"/>
      <c r="S7" s="13">
        <v>46331</v>
      </c>
      <c r="T7" s="10">
        <v>56</v>
      </c>
      <c r="U7" s="16">
        <f>(IF(N7&gt;0,N7+P7,P7)-(T7*Ventas!AE19*1))</f>
        <v>0</v>
      </c>
      <c r="V7" s="4"/>
      <c r="W7" s="16">
        <f>(100*(Ventas!AE19*1) - IF(U7&gt;0,U7,0))</f>
        <v>0</v>
      </c>
      <c r="X7" s="16">
        <f t="shared" si="2"/>
        <v>0</v>
      </c>
      <c r="Y7" s="16">
        <f t="shared" si="3"/>
        <v>0</v>
      </c>
      <c r="Z7" s="4"/>
      <c r="AA7" s="4"/>
      <c r="AB7" s="4"/>
      <c r="AC7" s="4"/>
      <c r="AD7" s="1" t="s">
        <v>34</v>
      </c>
      <c r="AE7">
        <f t="shared" si="4"/>
        <v>0</v>
      </c>
    </row>
    <row r="8" spans="1:31" x14ac:dyDescent="0.25">
      <c r="A8" s="1"/>
      <c r="B8" s="1" t="s">
        <v>69</v>
      </c>
      <c r="C8" s="15" t="s">
        <v>68</v>
      </c>
      <c r="D8" s="11">
        <v>8</v>
      </c>
      <c r="E8" s="13">
        <v>46230</v>
      </c>
      <c r="F8" s="10">
        <v>7</v>
      </c>
      <c r="G8" s="16">
        <f>(D8-(0)+0-(F8*Ventas!AE20*0))</f>
        <v>8</v>
      </c>
      <c r="H8" s="4"/>
      <c r="I8" s="11">
        <v>15</v>
      </c>
      <c r="J8" s="16">
        <f t="shared" si="0"/>
        <v>23</v>
      </c>
      <c r="K8" s="4"/>
      <c r="L8" s="13">
        <v>46275</v>
      </c>
      <c r="M8" s="10">
        <v>45</v>
      </c>
      <c r="N8" s="16">
        <f>(IF(G8&gt;0,G8+I8,I8)-(M8*Ventas!AE20*1))</f>
        <v>23</v>
      </c>
      <c r="O8" s="4"/>
      <c r="P8" s="11">
        <v>0</v>
      </c>
      <c r="Q8" s="16">
        <f t="shared" si="1"/>
        <v>23</v>
      </c>
      <c r="R8" s="4"/>
      <c r="S8" s="13">
        <v>46331</v>
      </c>
      <c r="T8" s="10">
        <v>56</v>
      </c>
      <c r="U8" s="16">
        <f>(IF(N8&gt;0,N8+P8,P8)-(T8*Ventas!AE20*1))</f>
        <v>23</v>
      </c>
      <c r="V8" s="4"/>
      <c r="W8" s="16">
        <f>(100*(Ventas!AE20*1) - IF(U8&gt;0,U8,0))</f>
        <v>-23</v>
      </c>
      <c r="X8" s="16">
        <f t="shared" si="2"/>
        <v>0</v>
      </c>
      <c r="Y8" s="16">
        <f t="shared" si="3"/>
        <v>23</v>
      </c>
      <c r="Z8" s="4"/>
      <c r="AA8" s="11">
        <v>3027</v>
      </c>
      <c r="AB8" s="4"/>
      <c r="AC8" s="4"/>
      <c r="AD8" s="1" t="s">
        <v>34</v>
      </c>
      <c r="AE8">
        <f t="shared" si="4"/>
        <v>0</v>
      </c>
    </row>
    <row r="9" spans="1:31" x14ac:dyDescent="0.25">
      <c r="A9" s="1"/>
      <c r="B9" s="1" t="s">
        <v>71</v>
      </c>
      <c r="C9" s="15" t="s">
        <v>70</v>
      </c>
      <c r="D9" s="11">
        <v>19</v>
      </c>
      <c r="E9" s="13">
        <v>46230</v>
      </c>
      <c r="F9" s="10">
        <v>7</v>
      </c>
      <c r="G9" s="16">
        <f>(D9-(0)+0-(F9*Ventas!AE21*0))</f>
        <v>19</v>
      </c>
      <c r="H9" s="4"/>
      <c r="I9" s="11">
        <v>0</v>
      </c>
      <c r="J9" s="16">
        <f t="shared" si="0"/>
        <v>19</v>
      </c>
      <c r="K9" s="4"/>
      <c r="L9" s="13">
        <v>46275</v>
      </c>
      <c r="M9" s="10">
        <v>45</v>
      </c>
      <c r="N9" s="16">
        <f>(IF(G9&gt;0,G9+I9,I9)-(M9*Ventas!AE21*1))</f>
        <v>19</v>
      </c>
      <c r="O9" s="4"/>
      <c r="P9" s="11">
        <v>0</v>
      </c>
      <c r="Q9" s="16">
        <f t="shared" si="1"/>
        <v>19</v>
      </c>
      <c r="R9" s="4"/>
      <c r="S9" s="13">
        <v>46331</v>
      </c>
      <c r="T9" s="10">
        <v>56</v>
      </c>
      <c r="U9" s="16">
        <f>(IF(N9&gt;0,N9+P9,P9)-(T9*Ventas!AE21*1))</f>
        <v>19</v>
      </c>
      <c r="V9" s="4"/>
      <c r="W9" s="16">
        <f>(100*(Ventas!AE21*1) - IF(U9&gt;0,U9,0))</f>
        <v>-19</v>
      </c>
      <c r="X9" s="16">
        <f t="shared" si="2"/>
        <v>0</v>
      </c>
      <c r="Y9" s="16">
        <f t="shared" si="3"/>
        <v>19</v>
      </c>
      <c r="Z9" s="4"/>
      <c r="AA9" s="4"/>
      <c r="AB9" s="4"/>
      <c r="AC9" s="4"/>
      <c r="AD9" s="1" t="s">
        <v>34</v>
      </c>
      <c r="AE9">
        <f t="shared" si="4"/>
        <v>0</v>
      </c>
    </row>
    <row r="10" spans="1:31" x14ac:dyDescent="0.25">
      <c r="A10" s="1"/>
      <c r="B10" s="1" t="s">
        <v>73</v>
      </c>
      <c r="C10" s="15" t="s">
        <v>72</v>
      </c>
      <c r="D10" s="11">
        <v>16</v>
      </c>
      <c r="E10" s="13">
        <v>46230</v>
      </c>
      <c r="F10" s="10">
        <v>7</v>
      </c>
      <c r="G10" s="16">
        <f>(D10-(0)+0-(F10*Ventas!AE22*0))</f>
        <v>16</v>
      </c>
      <c r="H10" s="4"/>
      <c r="I10" s="11">
        <v>10</v>
      </c>
      <c r="J10" s="16">
        <f t="shared" si="0"/>
        <v>26</v>
      </c>
      <c r="K10" s="4"/>
      <c r="L10" s="13">
        <v>46275</v>
      </c>
      <c r="M10" s="10">
        <v>45</v>
      </c>
      <c r="N10" s="16">
        <f>(IF(G10&gt;0,G10+I10,I10)-(M10*Ventas!AE22*1))</f>
        <v>26</v>
      </c>
      <c r="O10" s="4"/>
      <c r="P10" s="11">
        <v>0</v>
      </c>
      <c r="Q10" s="16">
        <f t="shared" si="1"/>
        <v>26</v>
      </c>
      <c r="R10" s="4"/>
      <c r="S10" s="13">
        <v>46331</v>
      </c>
      <c r="T10" s="10">
        <v>56</v>
      </c>
      <c r="U10" s="16">
        <f>(IF(N10&gt;0,N10+P10,P10)-(T10*Ventas!AE22*1))</f>
        <v>26</v>
      </c>
      <c r="V10" s="4"/>
      <c r="W10" s="16">
        <f>(100*(Ventas!AE22*1) - IF(U10&gt;0,U10,0))</f>
        <v>-26</v>
      </c>
      <c r="X10" s="16">
        <f t="shared" si="2"/>
        <v>0</v>
      </c>
      <c r="Y10" s="16">
        <f t="shared" si="3"/>
        <v>26</v>
      </c>
      <c r="Z10" s="4"/>
      <c r="AA10" s="11">
        <v>3027</v>
      </c>
      <c r="AB10" s="4"/>
      <c r="AC10" s="4"/>
      <c r="AD10" s="1" t="s">
        <v>34</v>
      </c>
      <c r="AE10">
        <f t="shared" si="4"/>
        <v>0</v>
      </c>
    </row>
    <row r="11" spans="1:31" x14ac:dyDescent="0.25">
      <c r="A11" s="1"/>
      <c r="B11" s="1" t="s">
        <v>75</v>
      </c>
      <c r="C11" s="15" t="s">
        <v>74</v>
      </c>
      <c r="D11" s="11">
        <v>13</v>
      </c>
      <c r="E11" s="13">
        <v>46230</v>
      </c>
      <c r="F11" s="10">
        <v>7</v>
      </c>
      <c r="G11" s="16">
        <f>(D11-(0)+0-(F11*Ventas!AE23*0))</f>
        <v>13</v>
      </c>
      <c r="H11" s="4"/>
      <c r="I11" s="11">
        <v>10</v>
      </c>
      <c r="J11" s="16">
        <f t="shared" si="0"/>
        <v>23</v>
      </c>
      <c r="K11" s="4"/>
      <c r="L11" s="13">
        <v>46275</v>
      </c>
      <c r="M11" s="10">
        <v>45</v>
      </c>
      <c r="N11" s="16">
        <f>(IF(G11&gt;0,G11+I11,I11)-(M11*Ventas!AE23*1))</f>
        <v>23</v>
      </c>
      <c r="O11" s="4"/>
      <c r="P11" s="11">
        <v>0</v>
      </c>
      <c r="Q11" s="16">
        <f t="shared" si="1"/>
        <v>23</v>
      </c>
      <c r="R11" s="4"/>
      <c r="S11" s="13">
        <v>46331</v>
      </c>
      <c r="T11" s="10">
        <v>56</v>
      </c>
      <c r="U11" s="16">
        <f>(IF(N11&gt;0,N11+P11,P11)-(T11*Ventas!AE23*1))</f>
        <v>23</v>
      </c>
      <c r="V11" s="4"/>
      <c r="W11" s="16">
        <f>(100*(Ventas!AE23*1) - IF(U11&gt;0,U11,0))</f>
        <v>-23</v>
      </c>
      <c r="X11" s="16">
        <f t="shared" si="2"/>
        <v>0</v>
      </c>
      <c r="Y11" s="16">
        <f t="shared" si="3"/>
        <v>23</v>
      </c>
      <c r="Z11" s="4"/>
      <c r="AA11" s="11">
        <v>3027</v>
      </c>
      <c r="AB11" s="4"/>
      <c r="AC11" s="4"/>
      <c r="AD11" s="1" t="s">
        <v>34</v>
      </c>
      <c r="AE11">
        <f t="shared" si="4"/>
        <v>0</v>
      </c>
    </row>
    <row r="12" spans="1:31" x14ac:dyDescent="0.25">
      <c r="A12" s="1"/>
      <c r="B12" s="1" t="s">
        <v>77</v>
      </c>
      <c r="C12" s="15" t="s">
        <v>76</v>
      </c>
      <c r="D12" s="11">
        <v>10</v>
      </c>
      <c r="E12" s="13">
        <v>46230</v>
      </c>
      <c r="F12" s="10">
        <v>7</v>
      </c>
      <c r="G12" s="16">
        <f>(D12-(0)+0-(F12*Ventas!AE24*0))</f>
        <v>10</v>
      </c>
      <c r="H12" s="4"/>
      <c r="I12" s="11">
        <v>0</v>
      </c>
      <c r="J12" s="16">
        <f t="shared" si="0"/>
        <v>10</v>
      </c>
      <c r="K12" s="4"/>
      <c r="L12" s="13">
        <v>46275</v>
      </c>
      <c r="M12" s="10">
        <v>45</v>
      </c>
      <c r="N12" s="16">
        <f>(IF(G12&gt;0,G12+I12,I12)-(M12*Ventas!AE24*1))</f>
        <v>10</v>
      </c>
      <c r="O12" s="4"/>
      <c r="P12" s="11">
        <v>0</v>
      </c>
      <c r="Q12" s="16">
        <f t="shared" si="1"/>
        <v>10</v>
      </c>
      <c r="R12" s="4"/>
      <c r="S12" s="13">
        <v>46331</v>
      </c>
      <c r="T12" s="10">
        <v>56</v>
      </c>
      <c r="U12" s="16">
        <f>(IF(N12&gt;0,N12+P12,P12)-(T12*Ventas!AE24*1))</f>
        <v>10</v>
      </c>
      <c r="V12" s="4"/>
      <c r="W12" s="16">
        <f>(100*(Ventas!AE24*1) - IF(U12&gt;0,U12,0))</f>
        <v>-10</v>
      </c>
      <c r="X12" s="16">
        <f t="shared" si="2"/>
        <v>0</v>
      </c>
      <c r="Y12" s="16">
        <f t="shared" si="3"/>
        <v>10</v>
      </c>
      <c r="Z12" s="4"/>
      <c r="AA12" s="11">
        <v>3027</v>
      </c>
      <c r="AB12" s="4"/>
      <c r="AC12" s="4"/>
      <c r="AD12" s="1" t="s">
        <v>34</v>
      </c>
      <c r="AE12">
        <f t="shared" si="4"/>
        <v>0</v>
      </c>
    </row>
    <row r="13" spans="1:31" x14ac:dyDescent="0.25">
      <c r="A13" s="1"/>
      <c r="B13" s="1" t="s">
        <v>79</v>
      </c>
      <c r="C13" s="15" t="s">
        <v>78</v>
      </c>
      <c r="D13" s="11">
        <v>17</v>
      </c>
      <c r="E13" s="13">
        <v>46230</v>
      </c>
      <c r="F13" s="10">
        <v>7</v>
      </c>
      <c r="G13" s="16">
        <f>(D13-(0)+0-(F13*Ventas!AE25*0))</f>
        <v>17</v>
      </c>
      <c r="H13" s="4"/>
      <c r="I13" s="11">
        <v>0</v>
      </c>
      <c r="J13" s="16">
        <f t="shared" si="0"/>
        <v>17</v>
      </c>
      <c r="K13" s="4"/>
      <c r="L13" s="13">
        <v>46275</v>
      </c>
      <c r="M13" s="10">
        <v>45</v>
      </c>
      <c r="N13" s="16">
        <f>(IF(G13&gt;0,G13+I13,I13)-(M13*Ventas!AE25*1))</f>
        <v>17</v>
      </c>
      <c r="O13" s="4"/>
      <c r="P13" s="11">
        <v>0</v>
      </c>
      <c r="Q13" s="16">
        <f t="shared" si="1"/>
        <v>17</v>
      </c>
      <c r="R13" s="4"/>
      <c r="S13" s="13">
        <v>46331</v>
      </c>
      <c r="T13" s="10">
        <v>56</v>
      </c>
      <c r="U13" s="16">
        <f>(IF(N13&gt;0,N13+P13,P13)-(T13*Ventas!AE25*1))</f>
        <v>17</v>
      </c>
      <c r="V13" s="4"/>
      <c r="W13" s="16">
        <f>(100*(Ventas!AE25*1) - IF(U13&gt;0,U13,0))</f>
        <v>-17</v>
      </c>
      <c r="X13" s="16">
        <f t="shared" si="2"/>
        <v>0</v>
      </c>
      <c r="Y13" s="16">
        <f t="shared" si="3"/>
        <v>17</v>
      </c>
      <c r="Z13" s="4"/>
      <c r="AA13" s="4"/>
      <c r="AB13" s="4"/>
      <c r="AC13" s="4"/>
      <c r="AD13" s="1" t="s">
        <v>34</v>
      </c>
      <c r="AE13">
        <f t="shared" si="4"/>
        <v>0</v>
      </c>
    </row>
    <row r="14" spans="1:31" x14ac:dyDescent="0.25">
      <c r="A14" s="1"/>
      <c r="B14" s="1" t="s">
        <v>81</v>
      </c>
      <c r="C14" s="15" t="s">
        <v>80</v>
      </c>
      <c r="D14" s="4"/>
      <c r="E14" s="13">
        <v>46230</v>
      </c>
      <c r="F14" s="10">
        <v>7</v>
      </c>
      <c r="G14" s="16">
        <f>(D14-(0)+0-(F14*Ventas!AE26*0))</f>
        <v>0</v>
      </c>
      <c r="H14" s="4"/>
      <c r="I14" s="11">
        <v>0</v>
      </c>
      <c r="J14" s="16">
        <f t="shared" si="0"/>
        <v>0</v>
      </c>
      <c r="K14" s="4"/>
      <c r="L14" s="13">
        <v>46275</v>
      </c>
      <c r="M14" s="10">
        <v>45</v>
      </c>
      <c r="N14" s="16">
        <f>(IF(G14&gt;0,G14+I14,I14)-(M14*Ventas!AE26*1))</f>
        <v>0</v>
      </c>
      <c r="O14" s="4"/>
      <c r="P14" s="11">
        <v>5</v>
      </c>
      <c r="Q14" s="16">
        <f t="shared" si="1"/>
        <v>5</v>
      </c>
      <c r="R14" s="4"/>
      <c r="S14" s="13">
        <v>46331</v>
      </c>
      <c r="T14" s="10">
        <v>56</v>
      </c>
      <c r="U14" s="16">
        <f>(IF(N14&gt;0,N14+P14,P14)-(T14*Ventas!AE26*1))</f>
        <v>5</v>
      </c>
      <c r="V14" s="4"/>
      <c r="W14" s="16">
        <f>(100*(Ventas!AE26*1) - IF(U14&gt;0,U14,0))</f>
        <v>-5</v>
      </c>
      <c r="X14" s="16">
        <f t="shared" si="2"/>
        <v>0</v>
      </c>
      <c r="Y14" s="16">
        <f t="shared" si="3"/>
        <v>5</v>
      </c>
      <c r="Z14" s="4"/>
      <c r="AA14" s="4"/>
      <c r="AB14" s="4"/>
      <c r="AC14" s="4"/>
      <c r="AD14" s="1" t="s">
        <v>34</v>
      </c>
      <c r="AE14">
        <f t="shared" si="4"/>
        <v>0</v>
      </c>
    </row>
    <row r="15" spans="1:31" x14ac:dyDescent="0.25">
      <c r="A15" s="1"/>
      <c r="B15" s="1" t="s">
        <v>83</v>
      </c>
      <c r="C15" s="15" t="s">
        <v>82</v>
      </c>
      <c r="D15" s="4"/>
      <c r="E15" s="13">
        <v>46230</v>
      </c>
      <c r="F15" s="10">
        <v>7</v>
      </c>
      <c r="G15" s="16">
        <f>(D15-(0)+0-(F15*Ventas!AE27*0))</f>
        <v>0</v>
      </c>
      <c r="H15" s="4"/>
      <c r="I15" s="11">
        <v>0</v>
      </c>
      <c r="J15" s="16">
        <f t="shared" si="0"/>
        <v>0</v>
      </c>
      <c r="K15" s="4"/>
      <c r="L15" s="13">
        <v>46275</v>
      </c>
      <c r="M15" s="10">
        <v>45</v>
      </c>
      <c r="N15" s="16">
        <f>(IF(G15&gt;0,G15+I15,I15)-(M15*Ventas!AE27*1))</f>
        <v>0</v>
      </c>
      <c r="O15" s="4"/>
      <c r="P15" s="11">
        <v>0</v>
      </c>
      <c r="Q15" s="16">
        <f t="shared" si="1"/>
        <v>0</v>
      </c>
      <c r="R15" s="4"/>
      <c r="S15" s="13">
        <v>46331</v>
      </c>
      <c r="T15" s="10">
        <v>56</v>
      </c>
      <c r="U15" s="16">
        <f>(IF(N15&gt;0,N15+P15,P15)-(T15*Ventas!AE27*1))</f>
        <v>0</v>
      </c>
      <c r="V15" s="4"/>
      <c r="W15" s="16">
        <f>(100*(Ventas!AE27*1) - IF(U15&gt;0,U15,0))</f>
        <v>0</v>
      </c>
      <c r="X15" s="16">
        <f t="shared" si="2"/>
        <v>0</v>
      </c>
      <c r="Y15" s="16">
        <f t="shared" si="3"/>
        <v>0</v>
      </c>
      <c r="Z15" s="4"/>
      <c r="AA15" s="4"/>
      <c r="AB15" s="4"/>
      <c r="AC15" s="4"/>
      <c r="AD15" s="1" t="s">
        <v>34</v>
      </c>
      <c r="AE15">
        <f t="shared" si="4"/>
        <v>0</v>
      </c>
    </row>
    <row r="16" spans="1:31" x14ac:dyDescent="0.25">
      <c r="A16" s="1"/>
      <c r="B16" s="1" t="s">
        <v>85</v>
      </c>
      <c r="C16" s="15" t="s">
        <v>84</v>
      </c>
      <c r="D16" s="4"/>
      <c r="E16" s="13">
        <v>46230</v>
      </c>
      <c r="F16" s="10">
        <v>7</v>
      </c>
      <c r="G16" s="16">
        <f>(D16-(0)+0-(F16*Ventas!AE28*0))</f>
        <v>0</v>
      </c>
      <c r="H16" s="4"/>
      <c r="I16" s="11">
        <v>0</v>
      </c>
      <c r="J16" s="16">
        <f t="shared" si="0"/>
        <v>0</v>
      </c>
      <c r="K16" s="4"/>
      <c r="L16" s="13">
        <v>46275</v>
      </c>
      <c r="M16" s="10">
        <v>45</v>
      </c>
      <c r="N16" s="16">
        <f>(IF(G16&gt;0,G16+I16,I16)-(M16*Ventas!AE28*1))</f>
        <v>0</v>
      </c>
      <c r="O16" s="4"/>
      <c r="P16" s="11">
        <v>0</v>
      </c>
      <c r="Q16" s="16">
        <f t="shared" si="1"/>
        <v>0</v>
      </c>
      <c r="R16" s="4"/>
      <c r="S16" s="13">
        <v>46331</v>
      </c>
      <c r="T16" s="10">
        <v>56</v>
      </c>
      <c r="U16" s="16">
        <f>(IF(N16&gt;0,N16+P16,P16)-(T16*Ventas!AE28*1))</f>
        <v>0</v>
      </c>
      <c r="V16" s="4"/>
      <c r="W16" s="16">
        <f>(100*(Ventas!AE28*1) - IF(U16&gt;0,U16,0))</f>
        <v>0</v>
      </c>
      <c r="X16" s="16">
        <f t="shared" si="2"/>
        <v>0</v>
      </c>
      <c r="Y16" s="16">
        <f t="shared" si="3"/>
        <v>0</v>
      </c>
      <c r="Z16" s="4"/>
      <c r="AA16" s="4"/>
      <c r="AB16" s="4"/>
      <c r="AC16" s="4"/>
      <c r="AD16" s="1" t="s">
        <v>34</v>
      </c>
      <c r="AE16">
        <f t="shared" si="4"/>
        <v>0</v>
      </c>
    </row>
    <row r="17" spans="1:31" x14ac:dyDescent="0.25">
      <c r="A17" s="1"/>
      <c r="B17" s="1" t="s">
        <v>87</v>
      </c>
      <c r="C17" s="15" t="s">
        <v>86</v>
      </c>
      <c r="D17" s="11">
        <v>12</v>
      </c>
      <c r="E17" s="13">
        <v>46230</v>
      </c>
      <c r="F17" s="10">
        <v>7</v>
      </c>
      <c r="G17" s="16">
        <f>(D17-(0)+0-(F17*Ventas!AE29*0))</f>
        <v>12</v>
      </c>
      <c r="H17" s="4"/>
      <c r="I17" s="11">
        <v>0</v>
      </c>
      <c r="J17" s="16">
        <f t="shared" si="0"/>
        <v>12</v>
      </c>
      <c r="K17" s="4"/>
      <c r="L17" s="13">
        <v>46275</v>
      </c>
      <c r="M17" s="10">
        <v>45</v>
      </c>
      <c r="N17" s="16">
        <f>(IF(G17&gt;0,G17+I17,I17)-(M17*Ventas!AE29*1))</f>
        <v>12</v>
      </c>
      <c r="O17" s="4"/>
      <c r="P17" s="11">
        <v>0</v>
      </c>
      <c r="Q17" s="16">
        <f t="shared" si="1"/>
        <v>12</v>
      </c>
      <c r="R17" s="4"/>
      <c r="S17" s="13">
        <v>46331</v>
      </c>
      <c r="T17" s="10">
        <v>56</v>
      </c>
      <c r="U17" s="16">
        <f>(IF(N17&gt;0,N17+P17,P17)-(T17*Ventas!AE29*1))</f>
        <v>12</v>
      </c>
      <c r="V17" s="4"/>
      <c r="W17" s="16">
        <f>(100*(Ventas!AE29*1) - IF(U17&gt;0,U17,0))</f>
        <v>-12</v>
      </c>
      <c r="X17" s="16">
        <f t="shared" si="2"/>
        <v>0</v>
      </c>
      <c r="Y17" s="16">
        <f t="shared" si="3"/>
        <v>12</v>
      </c>
      <c r="Z17" s="4"/>
      <c r="AA17" s="4"/>
      <c r="AB17" s="4"/>
      <c r="AC17" s="4"/>
      <c r="AD17" s="1" t="s">
        <v>34</v>
      </c>
      <c r="AE17">
        <f t="shared" si="4"/>
        <v>0</v>
      </c>
    </row>
    <row r="18" spans="1:31" x14ac:dyDescent="0.25">
      <c r="A18" s="1"/>
      <c r="B18" s="1" t="s">
        <v>91</v>
      </c>
      <c r="C18" s="15" t="s">
        <v>90</v>
      </c>
      <c r="D18" s="11">
        <v>45</v>
      </c>
      <c r="E18" s="13">
        <v>46230</v>
      </c>
      <c r="F18" s="10">
        <v>7</v>
      </c>
      <c r="G18" s="16">
        <f>(D18-(0)+0-(F18*Ventas!AE31*0))</f>
        <v>45</v>
      </c>
      <c r="H18" s="4"/>
      <c r="I18" s="11">
        <v>0</v>
      </c>
      <c r="J18" s="16">
        <f t="shared" si="0"/>
        <v>45</v>
      </c>
      <c r="K18" s="4"/>
      <c r="L18" s="13">
        <v>46275</v>
      </c>
      <c r="M18" s="10">
        <v>45</v>
      </c>
      <c r="N18" s="16">
        <f>(IF(G18&gt;0,G18+I18,I18)-(M18*Ventas!AE31*1))</f>
        <v>45</v>
      </c>
      <c r="O18" s="4"/>
      <c r="P18" s="11">
        <v>0</v>
      </c>
      <c r="Q18" s="16">
        <f t="shared" si="1"/>
        <v>45</v>
      </c>
      <c r="R18" s="4"/>
      <c r="S18" s="13">
        <v>46331</v>
      </c>
      <c r="T18" s="10">
        <v>56</v>
      </c>
      <c r="U18" s="16">
        <f>(IF(N18&gt;0,N18+P18,P18)-(T18*Ventas!AE31*1))</f>
        <v>45</v>
      </c>
      <c r="V18" s="4"/>
      <c r="W18" s="16">
        <f>(100*(Ventas!AE31*1) - IF(U18&gt;0,U18,0))</f>
        <v>-45</v>
      </c>
      <c r="X18" s="16">
        <f t="shared" si="2"/>
        <v>0</v>
      </c>
      <c r="Y18" s="16">
        <f t="shared" si="3"/>
        <v>45</v>
      </c>
      <c r="Z18" s="4"/>
      <c r="AA18" s="11">
        <v>3010</v>
      </c>
      <c r="AB18" s="4"/>
      <c r="AC18" s="4"/>
      <c r="AD18" s="1" t="s">
        <v>34</v>
      </c>
      <c r="AE18">
        <f t="shared" si="4"/>
        <v>0</v>
      </c>
    </row>
    <row r="19" spans="1:31" x14ac:dyDescent="0.25">
      <c r="A19" s="1"/>
      <c r="B19" s="1" t="s">
        <v>99</v>
      </c>
      <c r="C19" s="15" t="s">
        <v>98</v>
      </c>
      <c r="D19" s="4"/>
      <c r="E19" s="13">
        <v>46230</v>
      </c>
      <c r="F19" s="10">
        <v>7</v>
      </c>
      <c r="G19" s="16">
        <f>(D19-(0)+0-(F19*Ventas!AE35*0))</f>
        <v>0</v>
      </c>
      <c r="H19" s="4"/>
      <c r="I19" s="11">
        <v>0</v>
      </c>
      <c r="J19" s="16">
        <f t="shared" si="0"/>
        <v>0</v>
      </c>
      <c r="K19" s="4"/>
      <c r="L19" s="13">
        <v>46275</v>
      </c>
      <c r="M19" s="10">
        <v>45</v>
      </c>
      <c r="N19" s="16">
        <f>(IF(G19&gt;0,G19+I19,I19)-(M19*Ventas!AE35*1))</f>
        <v>0</v>
      </c>
      <c r="O19" s="4"/>
      <c r="P19" s="11">
        <v>4</v>
      </c>
      <c r="Q19" s="16">
        <f t="shared" si="1"/>
        <v>4</v>
      </c>
      <c r="R19" s="4"/>
      <c r="S19" s="13">
        <v>46331</v>
      </c>
      <c r="T19" s="10">
        <v>56</v>
      </c>
      <c r="U19" s="16">
        <f>(IF(N19&gt;0,N19+P19,P19)-(T19*Ventas!AE35*1))</f>
        <v>4</v>
      </c>
      <c r="V19" s="4"/>
      <c r="W19" s="16">
        <f>(100*(Ventas!AE35*1) - IF(U19&gt;0,U19,0))</f>
        <v>-4</v>
      </c>
      <c r="X19" s="16">
        <f t="shared" si="2"/>
        <v>0</v>
      </c>
      <c r="Y19" s="16">
        <f t="shared" si="3"/>
        <v>4</v>
      </c>
      <c r="Z19" s="4"/>
      <c r="AA19" s="4"/>
      <c r="AB19" s="4"/>
      <c r="AC19" s="4"/>
      <c r="AD19" s="1" t="s">
        <v>34</v>
      </c>
      <c r="AE19">
        <f t="shared" si="4"/>
        <v>0</v>
      </c>
    </row>
    <row r="20" spans="1:31" x14ac:dyDescent="0.25">
      <c r="A20" s="1"/>
      <c r="B20" s="1" t="s">
        <v>33</v>
      </c>
      <c r="C20" s="15" t="s">
        <v>32</v>
      </c>
      <c r="D20" s="4"/>
      <c r="E20" s="13">
        <v>46230</v>
      </c>
      <c r="F20" s="10">
        <v>7</v>
      </c>
      <c r="G20" s="16">
        <f>(D20-(0)+0-(F20*Ventas!AE2*0))</f>
        <v>0</v>
      </c>
      <c r="H20" s="4"/>
      <c r="I20" s="11">
        <v>0</v>
      </c>
      <c r="J20" s="16">
        <f t="shared" si="0"/>
        <v>0</v>
      </c>
      <c r="K20" s="4"/>
      <c r="L20" s="13">
        <v>46275</v>
      </c>
      <c r="M20" s="10">
        <v>45</v>
      </c>
      <c r="N20" s="16">
        <f>(IF(G20&gt;0,G20+I20,I20)-(M20*Ventas!AE2*1))</f>
        <v>0</v>
      </c>
      <c r="O20" s="4"/>
      <c r="P20" s="11">
        <v>0</v>
      </c>
      <c r="Q20" s="16">
        <f t="shared" si="1"/>
        <v>0</v>
      </c>
      <c r="R20" s="4"/>
      <c r="S20" s="13">
        <v>46331</v>
      </c>
      <c r="T20" s="10">
        <v>56</v>
      </c>
      <c r="U20" s="16">
        <f>(IF(N20&gt;0,N20+P20,P20)-(T20*Ventas!AE2*1))</f>
        <v>0</v>
      </c>
      <c r="V20" s="4"/>
      <c r="W20" s="16">
        <f>(100*(Ventas!AE2*1) - IF(U20&gt;0,U20,0))</f>
        <v>0</v>
      </c>
      <c r="X20" s="16">
        <f t="shared" si="2"/>
        <v>0</v>
      </c>
      <c r="Y20" s="16">
        <f t="shared" si="3"/>
        <v>0</v>
      </c>
      <c r="Z20" s="4"/>
      <c r="AA20" s="4"/>
      <c r="AB20" s="4"/>
      <c r="AC20" s="4"/>
      <c r="AD20" s="1" t="s">
        <v>34</v>
      </c>
      <c r="AE20">
        <f t="shared" si="4"/>
        <v>0</v>
      </c>
    </row>
    <row r="21" spans="1:31" x14ac:dyDescent="0.25">
      <c r="A21" s="1"/>
      <c r="B21" s="1" t="s">
        <v>36</v>
      </c>
      <c r="C21" s="15" t="s">
        <v>35</v>
      </c>
      <c r="D21" s="4"/>
      <c r="E21" s="13">
        <v>46230</v>
      </c>
      <c r="F21" s="10">
        <v>7</v>
      </c>
      <c r="G21" s="16">
        <f>(D21-(0)+0-(F21*Ventas!AE3*0))</f>
        <v>0</v>
      </c>
      <c r="H21" s="4"/>
      <c r="I21" s="11">
        <v>309</v>
      </c>
      <c r="J21" s="16">
        <f t="shared" si="0"/>
        <v>309</v>
      </c>
      <c r="K21" s="4"/>
      <c r="L21" s="13">
        <v>46275</v>
      </c>
      <c r="M21" s="10">
        <v>45</v>
      </c>
      <c r="N21" s="16">
        <f>(IF(G21&gt;0,G21+I21,I21)-(M21*Ventas!AE3*1))</f>
        <v>309</v>
      </c>
      <c r="O21" s="4"/>
      <c r="P21" s="11">
        <v>0</v>
      </c>
      <c r="Q21" s="16">
        <f t="shared" si="1"/>
        <v>309</v>
      </c>
      <c r="R21" s="4"/>
      <c r="S21" s="13">
        <v>46331</v>
      </c>
      <c r="T21" s="10">
        <v>56</v>
      </c>
      <c r="U21" s="16">
        <f>(IF(N21&gt;0,N21+P21,P21)-(T21*Ventas!AE3*1))</f>
        <v>309</v>
      </c>
      <c r="V21" s="4"/>
      <c r="W21" s="16">
        <f>(100*(Ventas!AE3*1) - IF(U21&gt;0,U21,0))</f>
        <v>-309</v>
      </c>
      <c r="X21" s="16">
        <f t="shared" si="2"/>
        <v>0</v>
      </c>
      <c r="Y21" s="16">
        <f t="shared" si="3"/>
        <v>309</v>
      </c>
      <c r="Z21" s="4"/>
      <c r="AA21" s="11">
        <v>3027</v>
      </c>
      <c r="AB21" s="4"/>
      <c r="AC21" s="4"/>
      <c r="AD21" s="1" t="s">
        <v>34</v>
      </c>
      <c r="AE21">
        <f t="shared" si="4"/>
        <v>0</v>
      </c>
    </row>
    <row r="22" spans="1:31" x14ac:dyDescent="0.25">
      <c r="A22" s="1"/>
      <c r="B22" s="1" t="s">
        <v>214</v>
      </c>
      <c r="C22" s="15" t="s">
        <v>213</v>
      </c>
      <c r="D22" s="4"/>
      <c r="E22" s="13">
        <v>46230</v>
      </c>
      <c r="F22" s="10">
        <v>7</v>
      </c>
      <c r="G22" s="16">
        <f>(D22-(0)+0-(F22*Ventas!AE94*0))</f>
        <v>0</v>
      </c>
      <c r="H22" s="17" t="e">
        <f>(G22/(Ventas!AE94*0)/0)</f>
        <v>#DIV/0!</v>
      </c>
      <c r="I22" s="11">
        <v>0</v>
      </c>
      <c r="J22" s="16">
        <f t="shared" si="0"/>
        <v>0</v>
      </c>
      <c r="K22" s="4"/>
      <c r="L22" s="13">
        <v>46275</v>
      </c>
      <c r="M22" s="10">
        <v>45</v>
      </c>
      <c r="N22" s="16">
        <f>(IF(G22&gt;0,G22+I22,I22)-(M22*Ventas!AE94*1))</f>
        <v>-11.25</v>
      </c>
      <c r="O22" s="17" t="e">
        <f>(N22/(Ventas!AE94*1)/0)</f>
        <v>#DIV/0!</v>
      </c>
      <c r="P22" s="11">
        <v>0</v>
      </c>
      <c r="Q22" s="16">
        <f t="shared" si="1"/>
        <v>0</v>
      </c>
      <c r="R22" s="4"/>
      <c r="S22" s="13">
        <v>46331</v>
      </c>
      <c r="T22" s="10">
        <v>56</v>
      </c>
      <c r="U22" s="16">
        <f>(IF(N22&gt;0,N22+P22,P22)-(T22*Ventas!AE94*1))</f>
        <v>-14</v>
      </c>
      <c r="V22" s="17" t="e">
        <f>(U22/(Ventas!AE94*1)/0)</f>
        <v>#DIV/0!</v>
      </c>
      <c r="W22" s="16">
        <f>(100*(Ventas!AE94*1) - IF(U22&gt;0,U22,0))</f>
        <v>25</v>
      </c>
      <c r="X22" s="16">
        <f t="shared" si="2"/>
        <v>25</v>
      </c>
      <c r="Y22" s="16">
        <f t="shared" si="3"/>
        <v>25</v>
      </c>
      <c r="Z22" s="18">
        <v>0.8</v>
      </c>
      <c r="AA22" s="11">
        <v>3027</v>
      </c>
      <c r="AB22" s="16">
        <f>(Y22-(60*Ventas!AE94*1))</f>
        <v>10</v>
      </c>
      <c r="AC22" s="17" t="e">
        <f>(AB22/(Ventas!AE94*1)/0)</f>
        <v>#DIV/0!</v>
      </c>
      <c r="AD22" s="1" t="s">
        <v>34</v>
      </c>
      <c r="AE22">
        <f t="shared" si="4"/>
        <v>20</v>
      </c>
    </row>
    <row r="23" spans="1:31" x14ac:dyDescent="0.25">
      <c r="A23" s="1"/>
      <c r="B23" s="1" t="s">
        <v>216</v>
      </c>
      <c r="C23" s="15" t="s">
        <v>215</v>
      </c>
      <c r="D23" s="11">
        <v>40</v>
      </c>
      <c r="E23" s="13">
        <v>46230</v>
      </c>
      <c r="F23" s="10">
        <v>7</v>
      </c>
      <c r="G23" s="16">
        <f>(D23-(0)+0-(F23*Ventas!AE95*0))</f>
        <v>40</v>
      </c>
      <c r="H23" s="17" t="e">
        <f>(G23/(Ventas!AE95*0)/0)</f>
        <v>#DIV/0!</v>
      </c>
      <c r="I23" s="11">
        <v>0</v>
      </c>
      <c r="J23" s="16">
        <f t="shared" si="0"/>
        <v>40</v>
      </c>
      <c r="K23" s="4"/>
      <c r="L23" s="13">
        <v>46275</v>
      </c>
      <c r="M23" s="10">
        <v>45</v>
      </c>
      <c r="N23" s="16">
        <f>(IF(G23&gt;0,G23+I23,I23)-(M23*Ventas!AE95*1))</f>
        <v>35.409999999999997</v>
      </c>
      <c r="O23" s="17" t="e">
        <f>(N23/(Ventas!AE95*1)/0)</f>
        <v>#DIV/0!</v>
      </c>
      <c r="P23" s="11">
        <v>0</v>
      </c>
      <c r="Q23" s="16">
        <f t="shared" si="1"/>
        <v>35.409999999999997</v>
      </c>
      <c r="R23" s="4"/>
      <c r="S23" s="13">
        <v>46331</v>
      </c>
      <c r="T23" s="10">
        <v>56</v>
      </c>
      <c r="U23" s="16">
        <f>(IF(N23&gt;0,N23+P23,P23)-(T23*Ventas!AE95*1))</f>
        <v>29.697999999999997</v>
      </c>
      <c r="V23" s="17" t="e">
        <f>(U23/(Ventas!AE95*1)/0)</f>
        <v>#DIV/0!</v>
      </c>
      <c r="W23" s="16">
        <f>(100*(Ventas!AE95*1) - IF(U23&gt;0,U23,0))</f>
        <v>-19.497999999999998</v>
      </c>
      <c r="X23" s="16">
        <f t="shared" si="2"/>
        <v>0</v>
      </c>
      <c r="Y23" s="16">
        <f t="shared" si="3"/>
        <v>29.697999999999997</v>
      </c>
      <c r="Z23" s="18">
        <v>1.9</v>
      </c>
      <c r="AA23" s="11">
        <v>3027</v>
      </c>
      <c r="AB23" s="16">
        <f>(Y23-(60*Ventas!AE95*1))</f>
        <v>23.577999999999996</v>
      </c>
      <c r="AC23" s="17" t="e">
        <f>(AB23/(Ventas!AE95*1)/0)</f>
        <v>#DIV/0!</v>
      </c>
      <c r="AD23" s="1" t="s">
        <v>34</v>
      </c>
      <c r="AE23">
        <f t="shared" si="4"/>
        <v>0</v>
      </c>
    </row>
    <row r="24" spans="1:31" x14ac:dyDescent="0.25">
      <c r="A24" s="1"/>
      <c r="B24" s="1" t="s">
        <v>283</v>
      </c>
      <c r="C24" s="15" t="s">
        <v>282</v>
      </c>
      <c r="D24" s="11">
        <v>13</v>
      </c>
      <c r="E24" s="13">
        <v>46230</v>
      </c>
      <c r="F24" s="10">
        <v>7</v>
      </c>
      <c r="G24" s="16">
        <f>(D24-(0)+0-(F24*Ventas!AE128*1.3))</f>
        <v>13</v>
      </c>
      <c r="H24" s="4"/>
      <c r="I24" s="11">
        <v>0</v>
      </c>
      <c r="J24" s="16">
        <f t="shared" si="0"/>
        <v>13</v>
      </c>
      <c r="K24" s="4"/>
      <c r="L24" s="13">
        <v>46275</v>
      </c>
      <c r="M24" s="10">
        <v>45</v>
      </c>
      <c r="N24" s="16">
        <f>(IF(G24&gt;0,G24+I24,I24)-(M24*Ventas!AE128*1.1889))</f>
        <v>13</v>
      </c>
      <c r="O24" s="4"/>
      <c r="P24" s="11">
        <v>0</v>
      </c>
      <c r="Q24" s="16">
        <f t="shared" si="1"/>
        <v>13</v>
      </c>
      <c r="R24" s="4"/>
      <c r="S24" s="13">
        <v>46331</v>
      </c>
      <c r="T24" s="10">
        <v>56</v>
      </c>
      <c r="U24" s="16">
        <f>(IF(N24&gt;0,N24+P24,P24)-(T24*Ventas!AE128*0.9464))</f>
        <v>13</v>
      </c>
      <c r="V24" s="4"/>
      <c r="W24" s="16">
        <f>(100*(Ventas!AE128*1.3083) - IF(U24&gt;0,U24,0))</f>
        <v>-13</v>
      </c>
      <c r="X24" s="16">
        <f t="shared" si="2"/>
        <v>0</v>
      </c>
      <c r="Y24" s="16">
        <f t="shared" si="3"/>
        <v>13</v>
      </c>
      <c r="Z24" s="4"/>
      <c r="AA24" s="11">
        <v>3027</v>
      </c>
      <c r="AB24" s="4"/>
      <c r="AC24" s="4"/>
      <c r="AD24" s="1" t="s">
        <v>107</v>
      </c>
      <c r="AE24">
        <f t="shared" si="4"/>
        <v>0</v>
      </c>
    </row>
    <row r="25" spans="1:31" x14ac:dyDescent="0.25">
      <c r="A25" s="1"/>
      <c r="B25" s="1" t="s">
        <v>212</v>
      </c>
      <c r="C25" s="15" t="s">
        <v>211</v>
      </c>
      <c r="D25" s="4"/>
      <c r="E25" s="13">
        <v>46230</v>
      </c>
      <c r="F25" s="10">
        <v>7</v>
      </c>
      <c r="G25" s="16">
        <f>(D25-(0)+0-(F25*Ventas!AE93*1.19))</f>
        <v>0</v>
      </c>
      <c r="H25" s="4"/>
      <c r="I25" s="11">
        <v>0</v>
      </c>
      <c r="J25" s="16">
        <f t="shared" si="0"/>
        <v>0</v>
      </c>
      <c r="K25" s="4"/>
      <c r="L25" s="13">
        <v>46275</v>
      </c>
      <c r="M25" s="10">
        <v>45</v>
      </c>
      <c r="N25" s="16">
        <f>(IF(G25&gt;0,G25+I25,I25)-(M25*Ventas!AE93*1.0169))</f>
        <v>0</v>
      </c>
      <c r="O25" s="4"/>
      <c r="P25" s="11">
        <v>0</v>
      </c>
      <c r="Q25" s="16">
        <f t="shared" si="1"/>
        <v>0</v>
      </c>
      <c r="R25" s="4"/>
      <c r="S25" s="13">
        <v>46331</v>
      </c>
      <c r="T25" s="10">
        <v>56</v>
      </c>
      <c r="U25" s="16">
        <f>(IF(N25&gt;0,N25+P25,P25)-(T25*Ventas!AE93*0.9295))</f>
        <v>0</v>
      </c>
      <c r="V25" s="4"/>
      <c r="W25" s="16">
        <f>(100*(Ventas!AE93*0.8733) - IF(U25&gt;0,U25,0))</f>
        <v>0</v>
      </c>
      <c r="X25" s="16">
        <f t="shared" si="2"/>
        <v>0</v>
      </c>
      <c r="Y25" s="16">
        <f t="shared" si="3"/>
        <v>0</v>
      </c>
      <c r="Z25" s="18">
        <v>2.2000000000000002</v>
      </c>
      <c r="AA25" s="11">
        <v>3017</v>
      </c>
      <c r="AB25" s="4"/>
      <c r="AC25" s="4"/>
      <c r="AD25" s="1" t="s">
        <v>34</v>
      </c>
      <c r="AE25">
        <f t="shared" si="4"/>
        <v>0</v>
      </c>
    </row>
    <row r="26" spans="1:31" x14ac:dyDescent="0.25">
      <c r="A26" s="1"/>
      <c r="B26" s="1" t="s">
        <v>342</v>
      </c>
      <c r="C26" s="15" t="s">
        <v>341</v>
      </c>
      <c r="D26" s="4"/>
      <c r="E26" s="13">
        <v>46230</v>
      </c>
      <c r="F26" s="10">
        <v>7</v>
      </c>
      <c r="G26" s="16">
        <f>(D26-(0)+0-(F26*Ventas!AE157*1.19))</f>
        <v>-1.5827</v>
      </c>
      <c r="H26" s="17">
        <f>(G26/(Ventas!AE157*1.19)/60)</f>
        <v>-0.11666666666666667</v>
      </c>
      <c r="I26" s="11">
        <v>0</v>
      </c>
      <c r="J26" s="16">
        <f t="shared" si="0"/>
        <v>0</v>
      </c>
      <c r="K26" s="4"/>
      <c r="L26" s="13">
        <v>46275</v>
      </c>
      <c r="M26" s="10">
        <v>45</v>
      </c>
      <c r="N26" s="16">
        <f>(IF(G26&gt;0,G26+I26,I26)-(M26*Ventas!AE157*1.0169))</f>
        <v>-8.6944949999999999</v>
      </c>
      <c r="O26" s="17">
        <f>(N26/(Ventas!AE157*1.0169)/60)</f>
        <v>-0.75</v>
      </c>
      <c r="P26" s="11">
        <v>20</v>
      </c>
      <c r="Q26" s="16">
        <f t="shared" si="1"/>
        <v>20</v>
      </c>
      <c r="R26" s="16">
        <v>7.7</v>
      </c>
      <c r="S26" s="13">
        <v>46331</v>
      </c>
      <c r="T26" s="10">
        <v>56</v>
      </c>
      <c r="U26" s="16">
        <f>(IF(N26&gt;0,N26+P26,P26)-(T26*Ventas!AE157*0.9295))</f>
        <v>10.11012</v>
      </c>
      <c r="V26" s="17">
        <f>(U26/(Ventas!AE157*0.9295)/60)</f>
        <v>0.95411794683049733</v>
      </c>
      <c r="W26" s="16">
        <f>(100*(Ventas!AE157*0.8733) - IF(U26&gt;0,U26,0))</f>
        <v>6.4825800000000005</v>
      </c>
      <c r="X26" s="16">
        <f t="shared" si="2"/>
        <v>6.4825800000000005</v>
      </c>
      <c r="Y26" s="16">
        <f t="shared" si="3"/>
        <v>16.592700000000001</v>
      </c>
      <c r="Z26" s="18">
        <v>7.7</v>
      </c>
      <c r="AA26" s="11">
        <v>3027</v>
      </c>
      <c r="AB26" s="16">
        <f>(Y26-(60*Ventas!AE157*0.8733))</f>
        <v>6.637080000000001</v>
      </c>
      <c r="AC26" s="17">
        <f>(AB26/(Ventas!AE157*0.8733)/60)</f>
        <v>0.66666666666666674</v>
      </c>
      <c r="AD26" s="1" t="s">
        <v>34</v>
      </c>
      <c r="AE26">
        <f t="shared" si="4"/>
        <v>49.915866000000001</v>
      </c>
    </row>
    <row r="27" spans="1:31" x14ac:dyDescent="0.25">
      <c r="A27" s="1"/>
      <c r="B27" s="1" t="s">
        <v>344</v>
      </c>
      <c r="C27" s="15" t="s">
        <v>343</v>
      </c>
      <c r="D27" s="11">
        <v>29</v>
      </c>
      <c r="E27" s="13">
        <v>46230</v>
      </c>
      <c r="F27" s="10">
        <v>7</v>
      </c>
      <c r="G27" s="16">
        <f>(D27-(0)+0-(F27*Ventas!AE158*1.19))</f>
        <v>28.144390000000001</v>
      </c>
      <c r="H27" s="17">
        <f>(G27/(Ventas!AE158*1.19)/60)</f>
        <v>3.837627150999483</v>
      </c>
      <c r="I27" s="11">
        <v>0</v>
      </c>
      <c r="J27" s="16">
        <f t="shared" si="0"/>
        <v>28.144390000000001</v>
      </c>
      <c r="K27" s="4"/>
      <c r="L27" s="13">
        <v>46275</v>
      </c>
      <c r="M27" s="10">
        <v>45</v>
      </c>
      <c r="N27" s="16">
        <f>(IF(G27&gt;0,G27+I27,I27)-(M27*Ventas!AE158*1.0169))</f>
        <v>23.444132928571431</v>
      </c>
      <c r="O27" s="17">
        <f>(N27/(Ventas!AE158*1.0169)/60)</f>
        <v>3.7408804304153658</v>
      </c>
      <c r="P27" s="11">
        <v>0</v>
      </c>
      <c r="Q27" s="16">
        <f t="shared" si="1"/>
        <v>23.444132928571431</v>
      </c>
      <c r="R27" s="4"/>
      <c r="S27" s="13">
        <v>46331</v>
      </c>
      <c r="T27" s="10">
        <v>56</v>
      </c>
      <c r="U27" s="16">
        <f>(IF(N27&gt;0,N27+P27,P27)-(T27*Ventas!AE158*0.9295))</f>
        <v>18.097648928571431</v>
      </c>
      <c r="V27" s="17">
        <f>(U27/(Ventas!AE158*0.9295)/60)</f>
        <v>3.1592985221689629</v>
      </c>
      <c r="W27" s="16">
        <f>(100*(Ventas!AE158*0.8733) - IF(U27&gt;0,U27,0))</f>
        <v>-9.1276103571428617</v>
      </c>
      <c r="X27" s="16">
        <f t="shared" si="2"/>
        <v>0</v>
      </c>
      <c r="Y27" s="16">
        <f t="shared" si="3"/>
        <v>18.097648928571431</v>
      </c>
      <c r="Z27" s="18">
        <v>7.6</v>
      </c>
      <c r="AA27" s="11">
        <v>3010</v>
      </c>
      <c r="AB27" s="16">
        <f>(Y27-(60*Ventas!AE158*0.8733))</f>
        <v>12.715625785714289</v>
      </c>
      <c r="AC27" s="17">
        <f>(AB27/(Ventas!AE158*0.8733)/60)</f>
        <v>2.3626107595969899</v>
      </c>
      <c r="AD27" s="1" t="s">
        <v>34</v>
      </c>
      <c r="AE27">
        <f t="shared" si="4"/>
        <v>0</v>
      </c>
    </row>
    <row r="28" spans="1:31" x14ac:dyDescent="0.25">
      <c r="A28" s="1" t="s">
        <v>576</v>
      </c>
      <c r="B28" s="1" t="s">
        <v>575</v>
      </c>
      <c r="C28" s="15" t="s">
        <v>574</v>
      </c>
      <c r="D28" s="11">
        <v>10</v>
      </c>
      <c r="E28" s="13">
        <v>46230</v>
      </c>
      <c r="F28" s="10">
        <v>7</v>
      </c>
      <c r="G28" s="16">
        <f>(D28-(0)+0-(F28*Ventas!AE272*1.1))</f>
        <v>7.9356299999999997</v>
      </c>
      <c r="H28" s="17">
        <f>(G28/(Ventas!AE272*1.1)/45)</f>
        <v>0.59797000214754781</v>
      </c>
      <c r="I28" s="11">
        <v>50</v>
      </c>
      <c r="J28" s="16">
        <f t="shared" si="0"/>
        <v>57.935630000000003</v>
      </c>
      <c r="K28" s="16">
        <v>5.4080000000000004</v>
      </c>
      <c r="L28" s="13">
        <v>46275</v>
      </c>
      <c r="M28" s="10">
        <v>45</v>
      </c>
      <c r="N28" s="16">
        <f>(IF(G28&gt;0,G28+I28,I28)-(M28*Ventas!AE272*0.9422))</f>
        <v>46.568458100000001</v>
      </c>
      <c r="O28" s="17">
        <f>(N28/(Ventas!AE272*0.9422)/45)</f>
        <v>4.0967497025359485</v>
      </c>
      <c r="P28" s="11">
        <v>50</v>
      </c>
      <c r="Q28" s="16">
        <f t="shared" si="1"/>
        <v>96.568458100000001</v>
      </c>
      <c r="R28" s="16">
        <v>5.4</v>
      </c>
      <c r="S28" s="13">
        <v>46331</v>
      </c>
      <c r="T28" s="10">
        <v>56</v>
      </c>
      <c r="U28" s="16">
        <f>(IF(N28&gt;0,N28+P28,P28)-(T28*Ventas!AE272*0.8268))</f>
        <v>84.155213619999998</v>
      </c>
      <c r="V28" s="17">
        <f>(U28/(Ventas!AE272*0.8268)/45)</f>
        <v>8.4366732830548781</v>
      </c>
      <c r="W28" s="16">
        <f>(100*(Ventas!AE272*1.95) - IF(U28&gt;0,U28,0))</f>
        <v>-31.875713619999999</v>
      </c>
      <c r="X28" s="16">
        <f t="shared" si="2"/>
        <v>0</v>
      </c>
      <c r="Y28" s="16">
        <f t="shared" si="3"/>
        <v>84.155213619999998</v>
      </c>
      <c r="Z28" s="18">
        <v>5.4080000000000004</v>
      </c>
      <c r="AA28" s="11">
        <v>3027</v>
      </c>
      <c r="AB28" s="16">
        <f>(Y28-(60*Ventas!AE272*1.95))</f>
        <v>52.787513619999999</v>
      </c>
      <c r="AC28" s="17">
        <f>(AB28/(Ventas!AE272*1.95)/45)</f>
        <v>2.2438161386819351</v>
      </c>
      <c r="AD28" s="1" t="s">
        <v>34</v>
      </c>
      <c r="AE28">
        <f t="shared" si="4"/>
        <v>0</v>
      </c>
    </row>
    <row r="29" spans="1:31" x14ac:dyDescent="0.25">
      <c r="A29" s="1" t="s">
        <v>579</v>
      </c>
      <c r="B29" s="1" t="s">
        <v>578</v>
      </c>
      <c r="C29" s="15" t="s">
        <v>577</v>
      </c>
      <c r="D29" s="11">
        <v>8</v>
      </c>
      <c r="E29" s="13">
        <v>46230</v>
      </c>
      <c r="F29" s="10">
        <v>7</v>
      </c>
      <c r="G29" s="16">
        <f>(D29-(0)+0-(F29*Ventas!AE273*1.1))</f>
        <v>5.6876899999999999</v>
      </c>
      <c r="H29" s="17">
        <f>(G29/(Ventas!AE273*1.1)/45)</f>
        <v>0.38262680080861899</v>
      </c>
      <c r="I29" s="11">
        <v>50</v>
      </c>
      <c r="J29" s="16">
        <f t="shared" si="0"/>
        <v>55.687690000000003</v>
      </c>
      <c r="K29" s="16">
        <v>5.4080000000000004</v>
      </c>
      <c r="L29" s="13">
        <v>46275</v>
      </c>
      <c r="M29" s="10">
        <v>45</v>
      </c>
      <c r="N29" s="16">
        <f>(IF(G29&gt;0,G29+I29,I29)-(M29*Ventas!AE273*0.9422))</f>
        <v>42.955270300000002</v>
      </c>
      <c r="O29" s="17">
        <f>(N29/(Ventas!AE273*0.9422)/45)</f>
        <v>3.373692613981301</v>
      </c>
      <c r="P29" s="11">
        <v>50</v>
      </c>
      <c r="Q29" s="16">
        <f t="shared" si="1"/>
        <v>92.955270299999995</v>
      </c>
      <c r="R29" s="16">
        <v>5.4</v>
      </c>
      <c r="S29" s="13">
        <v>46331</v>
      </c>
      <c r="T29" s="10">
        <v>56</v>
      </c>
      <c r="U29" s="16">
        <f>(IF(N29&gt;0,N29+P29,P29)-(T29*Ventas!AE273*0.8268))</f>
        <v>79.051140059999994</v>
      </c>
      <c r="V29" s="17">
        <f>(U29/(Ventas!AE273*0.8268)/45)</f>
        <v>7.0752179659291423</v>
      </c>
      <c r="W29" s="16">
        <f>(100*(Ventas!AE273*1.95) - IF(U29&gt;0,U29,0))</f>
        <v>-20.492640060000006</v>
      </c>
      <c r="X29" s="16">
        <f t="shared" si="2"/>
        <v>0</v>
      </c>
      <c r="Y29" s="16">
        <f t="shared" si="3"/>
        <v>79.051140059999994</v>
      </c>
      <c r="Z29" s="18">
        <v>5.4080000000000004</v>
      </c>
      <c r="AA29" s="11">
        <v>3027</v>
      </c>
      <c r="AB29" s="16">
        <f>(Y29-(60*Ventas!AE273*1.95))</f>
        <v>43.91604006</v>
      </c>
      <c r="AC29" s="17">
        <f>(AB29/(Ventas!AE273*1.95)/45)</f>
        <v>1.6665590842206228</v>
      </c>
      <c r="AD29" s="1" t="s">
        <v>34</v>
      </c>
      <c r="AE29">
        <f t="shared" si="4"/>
        <v>0</v>
      </c>
    </row>
    <row r="30" spans="1:31" x14ac:dyDescent="0.25">
      <c r="A30" s="1" t="s">
        <v>582</v>
      </c>
      <c r="B30" s="1" t="s">
        <v>581</v>
      </c>
      <c r="C30" s="15" t="s">
        <v>580</v>
      </c>
      <c r="D30" s="11">
        <v>21</v>
      </c>
      <c r="E30" s="13">
        <v>46230</v>
      </c>
      <c r="F30" s="10">
        <v>7</v>
      </c>
      <c r="G30" s="16">
        <f>(D30-(0)+0-(F30*Ventas!AE274*1.1))</f>
        <v>19.184031999999998</v>
      </c>
      <c r="H30" s="17">
        <f>(G30/(Ventas!AE274*1.1)/45)</f>
        <v>1.6433013993393912</v>
      </c>
      <c r="I30" s="11">
        <v>50</v>
      </c>
      <c r="J30" s="16">
        <f t="shared" si="0"/>
        <v>69.184032000000002</v>
      </c>
      <c r="K30" s="16">
        <v>5.4080000000000004</v>
      </c>
      <c r="L30" s="13">
        <v>46275</v>
      </c>
      <c r="M30" s="10">
        <v>45</v>
      </c>
      <c r="N30" s="16">
        <f>(IF(G30&gt;0,G30+I30,I30)-(M30*Ventas!AE274*0.9422))</f>
        <v>59.184651840000001</v>
      </c>
      <c r="O30" s="17">
        <f>(N30/(Ventas!AE274*0.9422)/45)</f>
        <v>5.9188320568862149</v>
      </c>
      <c r="P30" s="11">
        <v>50</v>
      </c>
      <c r="Q30" s="16">
        <f t="shared" si="1"/>
        <v>109.18465184</v>
      </c>
      <c r="R30" s="16">
        <v>5.4</v>
      </c>
      <c r="S30" s="13">
        <v>46331</v>
      </c>
      <c r="T30" s="10">
        <v>56</v>
      </c>
      <c r="U30" s="16">
        <f>(IF(N30&gt;0,N30+P30,P30)-(T30*Ventas!AE274*0.8268))</f>
        <v>98.265071168000006</v>
      </c>
      <c r="V30" s="17">
        <f>(U30/(Ventas!AE274*0.8268)/45)</f>
        <v>11.198728739787597</v>
      </c>
      <c r="W30" s="16">
        <f>(100*(Ventas!AE274*1.95) - IF(U30&gt;0,U30,0))</f>
        <v>-52.276271168000008</v>
      </c>
      <c r="X30" s="16">
        <f t="shared" si="2"/>
        <v>0</v>
      </c>
      <c r="Y30" s="16">
        <f t="shared" si="3"/>
        <v>98.265071168000006</v>
      </c>
      <c r="Z30" s="18">
        <v>5.4080000000000004</v>
      </c>
      <c r="AA30" s="11">
        <v>3027</v>
      </c>
      <c r="AB30" s="16">
        <f>(Y30-(60*Ventas!AE274*1.95))</f>
        <v>70.671791168000013</v>
      </c>
      <c r="AC30" s="17">
        <f>(AB30/(Ventas!AE274*1.95)/45)</f>
        <v>3.4149276523366083</v>
      </c>
      <c r="AD30" s="1" t="s">
        <v>34</v>
      </c>
      <c r="AE30">
        <f t="shared" si="4"/>
        <v>0</v>
      </c>
    </row>
    <row r="31" spans="1:31" x14ac:dyDescent="0.25">
      <c r="A31" s="1" t="s">
        <v>585</v>
      </c>
      <c r="B31" s="1" t="s">
        <v>584</v>
      </c>
      <c r="C31" s="15" t="s">
        <v>583</v>
      </c>
      <c r="D31" s="11">
        <v>11</v>
      </c>
      <c r="E31" s="13">
        <v>46230</v>
      </c>
      <c r="F31" s="10">
        <v>7</v>
      </c>
      <c r="G31" s="16">
        <f>(D31-(0)+0-(F31*Ventas!AE275*1.1))</f>
        <v>8.5595619999999997</v>
      </c>
      <c r="H31" s="17">
        <f>(G31/(Ventas!AE275*1.1)/45)</f>
        <v>0.54559362795622002</v>
      </c>
      <c r="I31" s="11">
        <v>50</v>
      </c>
      <c r="J31" s="16">
        <f t="shared" si="0"/>
        <v>58.559562</v>
      </c>
      <c r="K31" s="16">
        <v>5.4080000000000004</v>
      </c>
      <c r="L31" s="13">
        <v>46275</v>
      </c>
      <c r="M31" s="10">
        <v>45</v>
      </c>
      <c r="N31" s="16">
        <f>(IF(G31&gt;0,G31+I31,I31)-(M31*Ventas!AE275*0.9422))</f>
        <v>45.121622939999995</v>
      </c>
      <c r="O31" s="17">
        <f>(N31/(Ventas!AE275*0.9422)/45)</f>
        <v>3.3577785059549146</v>
      </c>
      <c r="P31" s="11">
        <v>50</v>
      </c>
      <c r="Q31" s="16">
        <f t="shared" si="1"/>
        <v>95.121622939999995</v>
      </c>
      <c r="R31" s="16">
        <v>5.4</v>
      </c>
      <c r="S31" s="13">
        <v>46331</v>
      </c>
      <c r="T31" s="10">
        <v>56</v>
      </c>
      <c r="U31" s="16">
        <f>(IF(N31&gt;0,N31+P31,P31)-(T31*Ventas!AE275*0.8268))</f>
        <v>80.447047387999987</v>
      </c>
      <c r="V31" s="17">
        <f>(U31/(Ventas!AE275*0.8268)/45)</f>
        <v>6.8221313004389597</v>
      </c>
      <c r="W31" s="16">
        <f>(100*(Ventas!AE275*1.95) - IF(U31&gt;0,U31,0))</f>
        <v>-18.64374738799998</v>
      </c>
      <c r="X31" s="16">
        <f t="shared" si="2"/>
        <v>0</v>
      </c>
      <c r="Y31" s="16">
        <f t="shared" si="3"/>
        <v>80.447047387999987</v>
      </c>
      <c r="Z31" s="18">
        <v>5.4080000000000004</v>
      </c>
      <c r="AA31" s="11">
        <v>3027</v>
      </c>
      <c r="AB31" s="16">
        <f>(Y31-(60*Ventas!AE275*1.95))</f>
        <v>43.365067387999979</v>
      </c>
      <c r="AC31" s="17">
        <f>(AB31/(Ventas!AE275*1.95)/45)</f>
        <v>1.5592503380527856</v>
      </c>
      <c r="AD31" s="1" t="s">
        <v>34</v>
      </c>
      <c r="AE31">
        <f t="shared" si="4"/>
        <v>0</v>
      </c>
    </row>
    <row r="32" spans="1:31" x14ac:dyDescent="0.25">
      <c r="A32" s="1" t="s">
        <v>588</v>
      </c>
      <c r="B32" s="1" t="s">
        <v>587</v>
      </c>
      <c r="C32" s="15" t="s">
        <v>586</v>
      </c>
      <c r="D32" s="11">
        <v>30</v>
      </c>
      <c r="E32" s="13">
        <v>46230</v>
      </c>
      <c r="F32" s="10">
        <v>7</v>
      </c>
      <c r="G32" s="16">
        <f>(D32-(0)+0-(F32*Ventas!AE276*1.1))</f>
        <v>26.861325999999998</v>
      </c>
      <c r="H32" s="17">
        <f>(G32/(Ventas!AE276*1.1)/45)</f>
        <v>1.3312718966317902</v>
      </c>
      <c r="I32" s="11">
        <v>50</v>
      </c>
      <c r="J32" s="16">
        <f t="shared" si="0"/>
        <v>76.861325999999991</v>
      </c>
      <c r="K32" s="16">
        <v>3.536</v>
      </c>
      <c r="L32" s="13">
        <v>46275</v>
      </c>
      <c r="M32" s="10">
        <v>45</v>
      </c>
      <c r="N32" s="16">
        <f>(IF(G32&gt;0,G32+I32,I32)-(M32*Ventas!AE276*0.9422))</f>
        <v>59.578645619999989</v>
      </c>
      <c r="O32" s="17">
        <f>(N32/(Ventas!AE276*0.9422)/45)</f>
        <v>3.4473035611389333</v>
      </c>
      <c r="P32" s="11">
        <v>50</v>
      </c>
      <c r="Q32" s="16">
        <f t="shared" si="1"/>
        <v>109.57864561999999</v>
      </c>
      <c r="R32" s="16">
        <v>3.5</v>
      </c>
      <c r="S32" s="13">
        <v>46331</v>
      </c>
      <c r="T32" s="10">
        <v>56</v>
      </c>
      <c r="U32" s="16">
        <f>(IF(N32&gt;0,N32+P32,P32)-(T32*Ventas!AE276*0.8268))</f>
        <v>90.705513523999983</v>
      </c>
      <c r="V32" s="17">
        <f>(U32/(Ventas!AE276*0.8268)/45)</f>
        <v>5.9808818065415696</v>
      </c>
      <c r="W32" s="16">
        <f>(100*(Ventas!AE276*1.95) - IF(U32&gt;0,U32,0))</f>
        <v>-11.219613523999968</v>
      </c>
      <c r="X32" s="16">
        <f t="shared" si="2"/>
        <v>0</v>
      </c>
      <c r="Y32" s="16">
        <f t="shared" si="3"/>
        <v>90.705513523999983</v>
      </c>
      <c r="Z32" s="18">
        <v>3.536</v>
      </c>
      <c r="AA32" s="11">
        <v>3027</v>
      </c>
      <c r="AB32" s="16">
        <f>(Y32-(60*Ventas!AE276*1.95))</f>
        <v>43.013973523999972</v>
      </c>
      <c r="AC32" s="17">
        <f>(AB32/(Ventas!AE276*1.95)/45)</f>
        <v>1.2025605526402925</v>
      </c>
      <c r="AD32" s="1" t="s">
        <v>34</v>
      </c>
      <c r="AE32">
        <f t="shared" si="4"/>
        <v>0</v>
      </c>
    </row>
    <row r="33" spans="1:31" x14ac:dyDescent="0.25">
      <c r="A33" s="1" t="s">
        <v>591</v>
      </c>
      <c r="B33" s="1" t="s">
        <v>590</v>
      </c>
      <c r="C33" s="15" t="s">
        <v>589</v>
      </c>
      <c r="D33" s="11">
        <v>22</v>
      </c>
      <c r="E33" s="13">
        <v>46230</v>
      </c>
      <c r="F33" s="10">
        <v>7</v>
      </c>
      <c r="G33" s="16">
        <f>(D33-(0)+0-(F33*Ventas!AE277*1.1))</f>
        <v>20.211905999999999</v>
      </c>
      <c r="H33" s="17">
        <f>(G33/(Ventas!AE277*1.1)/45)</f>
        <v>1.7583383573048543</v>
      </c>
      <c r="I33" s="11">
        <v>50</v>
      </c>
      <c r="J33" s="16">
        <f t="shared" si="0"/>
        <v>70.211905999999999</v>
      </c>
      <c r="K33" s="16">
        <v>3.536</v>
      </c>
      <c r="L33" s="13">
        <v>46275</v>
      </c>
      <c r="M33" s="10">
        <v>45</v>
      </c>
      <c r="N33" s="16">
        <f>(IF(G33&gt;0,G33+I33,I33)-(M33*Ventas!AE277*0.9422))</f>
        <v>60.36601022</v>
      </c>
      <c r="O33" s="17">
        <f>(N33/(Ventas!AE277*0.9422)/45)</f>
        <v>6.1310836077121253</v>
      </c>
      <c r="P33" s="11">
        <v>50</v>
      </c>
      <c r="Q33" s="16">
        <f t="shared" si="1"/>
        <v>110.36601021999999</v>
      </c>
      <c r="R33" s="16">
        <v>3.5</v>
      </c>
      <c r="S33" s="13">
        <v>46331</v>
      </c>
      <c r="T33" s="10">
        <v>56</v>
      </c>
      <c r="U33" s="16">
        <f>(IF(N33&gt;0,N33+P33,P33)-(T33*Ventas!AE277*0.8268))</f>
        <v>99.614038443999988</v>
      </c>
      <c r="V33" s="17">
        <f>(U33/(Ventas!AE277*0.8268)/45)</f>
        <v>11.529432862446447</v>
      </c>
      <c r="W33" s="16">
        <f>(100*(Ventas!AE277*1.95) - IF(U33&gt;0,U33,0))</f>
        <v>-54.33113844399999</v>
      </c>
      <c r="X33" s="16">
        <f t="shared" si="2"/>
        <v>0</v>
      </c>
      <c r="Y33" s="16">
        <f t="shared" si="3"/>
        <v>99.614038443999988</v>
      </c>
      <c r="Z33" s="18">
        <v>3.536</v>
      </c>
      <c r="AA33" s="11">
        <v>3027</v>
      </c>
      <c r="AB33" s="16">
        <f>(Y33-(60*Ventas!AE277*1.95))</f>
        <v>72.444298443999983</v>
      </c>
      <c r="AC33" s="17">
        <f>(AB33/(Ventas!AE277*1.95)/45)</f>
        <v>3.5551462003439602</v>
      </c>
      <c r="AD33" s="1" t="s">
        <v>34</v>
      </c>
      <c r="AE33">
        <f t="shared" si="4"/>
        <v>0</v>
      </c>
    </row>
    <row r="34" spans="1:31" x14ac:dyDescent="0.25">
      <c r="A34" s="1" t="s">
        <v>594</v>
      </c>
      <c r="B34" s="1" t="s">
        <v>593</v>
      </c>
      <c r="C34" s="15" t="s">
        <v>592</v>
      </c>
      <c r="D34" s="11">
        <v>77</v>
      </c>
      <c r="E34" s="13">
        <v>46230</v>
      </c>
      <c r="F34" s="10">
        <v>7</v>
      </c>
      <c r="G34" s="16">
        <f>(D34-(0)+0-(F34*Ventas!AE278*1.1))</f>
        <v>73.863020000000006</v>
      </c>
      <c r="H34" s="17">
        <f>(G34/(Ventas!AE278*1.1)/45)</f>
        <v>3.6626956853760975</v>
      </c>
      <c r="I34" s="11">
        <v>40</v>
      </c>
      <c r="J34" s="16">
        <f t="shared" si="0"/>
        <v>113.86302000000001</v>
      </c>
      <c r="K34" s="16">
        <v>4.056</v>
      </c>
      <c r="L34" s="13">
        <v>46275</v>
      </c>
      <c r="M34" s="10">
        <v>45</v>
      </c>
      <c r="N34" s="16">
        <f>(IF(G34&gt;0,G34+I34,I34)-(M34*Ventas!AE278*0.9422))</f>
        <v>96.58966740000001</v>
      </c>
      <c r="O34" s="17">
        <f>(N34/(Ventas!AE278*0.9422)/45)</f>
        <v>5.5918309338512557</v>
      </c>
      <c r="P34" s="11">
        <v>0</v>
      </c>
      <c r="Q34" s="16">
        <f t="shared" si="1"/>
        <v>96.58966740000001</v>
      </c>
      <c r="R34" s="4"/>
      <c r="S34" s="13">
        <v>46331</v>
      </c>
      <c r="T34" s="10">
        <v>56</v>
      </c>
      <c r="U34" s="16">
        <f>(IF(N34&gt;0,N34+P34,P34)-(T34*Ventas!AE278*0.8268))</f>
        <v>77.726721480000009</v>
      </c>
      <c r="V34" s="17">
        <f>(U34/(Ventas!AE278*0.8268)/45)</f>
        <v>5.1278621664344293</v>
      </c>
      <c r="W34" s="16">
        <f>(100*(Ventas!AE278*1.95) - IF(U34&gt;0,U34,0))</f>
        <v>1.7162785199999888</v>
      </c>
      <c r="X34" s="16">
        <f t="shared" si="2"/>
        <v>1.7162785199999888</v>
      </c>
      <c r="Y34" s="16">
        <f t="shared" si="3"/>
        <v>79.442999999999998</v>
      </c>
      <c r="Z34" s="18">
        <v>4.056</v>
      </c>
      <c r="AA34" s="11">
        <v>3027</v>
      </c>
      <c r="AB34" s="16">
        <f>(Y34-(60*Ventas!AE278*1.95))</f>
        <v>31.777200000000001</v>
      </c>
      <c r="AC34" s="17">
        <f>(AB34/(Ventas!AE278*1.95)/45)</f>
        <v>0.88888888888888884</v>
      </c>
      <c r="AD34" s="1" t="s">
        <v>34</v>
      </c>
      <c r="AE34">
        <f t="shared" si="4"/>
        <v>6.9612256771199545</v>
      </c>
    </row>
    <row r="35" spans="1:31" x14ac:dyDescent="0.25">
      <c r="A35" s="1" t="s">
        <v>597</v>
      </c>
      <c r="B35" s="1" t="s">
        <v>596</v>
      </c>
      <c r="C35" s="15" t="s">
        <v>595</v>
      </c>
      <c r="D35" s="11">
        <v>46</v>
      </c>
      <c r="E35" s="13">
        <v>46230</v>
      </c>
      <c r="F35" s="10">
        <v>7</v>
      </c>
      <c r="G35" s="16">
        <f>(D35-(0)+0-(F35*Ventas!AE279*1.1))</f>
        <v>43.771928000000003</v>
      </c>
      <c r="H35" s="17">
        <f>(G35/(Ventas!AE279*1.1)/45)</f>
        <v>3.055990370947518</v>
      </c>
      <c r="I35" s="11">
        <v>40</v>
      </c>
      <c r="J35" s="16">
        <f t="shared" si="0"/>
        <v>83.771928000000003</v>
      </c>
      <c r="K35" s="16">
        <v>4.056</v>
      </c>
      <c r="L35" s="13">
        <v>46275</v>
      </c>
      <c r="M35" s="10">
        <v>45</v>
      </c>
      <c r="N35" s="16">
        <f>(IF(G35&gt;0,G35+I35,I35)-(M35*Ventas!AE279*0.9422))</f>
        <v>71.503353360000006</v>
      </c>
      <c r="O35" s="17">
        <f>(N35/(Ventas!AE279*0.9422)/45)</f>
        <v>5.8281711982150863</v>
      </c>
      <c r="P35" s="11">
        <v>40</v>
      </c>
      <c r="Q35" s="16">
        <f t="shared" si="1"/>
        <v>111.50335336000001</v>
      </c>
      <c r="R35" s="16">
        <v>4.0999999999999996</v>
      </c>
      <c r="S35" s="13">
        <v>46331</v>
      </c>
      <c r="T35" s="10">
        <v>56</v>
      </c>
      <c r="U35" s="16">
        <f>(IF(N35&gt;0,N35+P35,P35)-(T35*Ventas!AE279*0.8268))</f>
        <v>98.105753872000008</v>
      </c>
      <c r="V35" s="17">
        <f>(U35/(Ventas!AE279*0.8268)/45)</f>
        <v>9.1126145757227519</v>
      </c>
      <c r="W35" s="16">
        <f>(100*(Ventas!AE279*1.95) - IF(U35&gt;0,U35,0))</f>
        <v>-41.680553872000019</v>
      </c>
      <c r="X35" s="16">
        <f t="shared" si="2"/>
        <v>0</v>
      </c>
      <c r="Y35" s="16">
        <f t="shared" si="3"/>
        <v>98.105753872000008</v>
      </c>
      <c r="Z35" s="18">
        <v>4.056</v>
      </c>
      <c r="AA35" s="11">
        <v>3027</v>
      </c>
      <c r="AB35" s="16">
        <f>(Y35-(60*Ventas!AE279*1.95))</f>
        <v>64.250633872000009</v>
      </c>
      <c r="AC35" s="17">
        <f>(AB35/(Ventas!AE279*1.95)/45)</f>
        <v>2.5304152467731131</v>
      </c>
      <c r="AD35" s="1" t="s">
        <v>34</v>
      </c>
      <c r="AE35">
        <f t="shared" si="4"/>
        <v>0</v>
      </c>
    </row>
    <row r="36" spans="1:31" x14ac:dyDescent="0.25">
      <c r="A36" s="1" t="s">
        <v>600</v>
      </c>
      <c r="B36" s="1" t="s">
        <v>599</v>
      </c>
      <c r="C36" s="15" t="s">
        <v>598</v>
      </c>
      <c r="D36" s="11">
        <v>51</v>
      </c>
      <c r="E36" s="13">
        <v>46230</v>
      </c>
      <c r="F36" s="10">
        <v>7</v>
      </c>
      <c r="G36" s="16">
        <f>(D36-(0)+0-(F36*Ventas!AE280*1.1))</f>
        <v>50.761299999999999</v>
      </c>
      <c r="H36" s="17">
        <f>(G36/(Ventas!AE280*1.1)/45)</f>
        <v>33.080026067122837</v>
      </c>
      <c r="I36" s="11">
        <v>0</v>
      </c>
      <c r="J36" s="16">
        <f t="shared" si="0"/>
        <v>50.761299999999999</v>
      </c>
      <c r="K36" s="4"/>
      <c r="L36" s="13">
        <v>46275</v>
      </c>
      <c r="M36" s="10">
        <v>45</v>
      </c>
      <c r="N36" s="16">
        <f>(IF(G36&gt;0,G36+I36,I36)-(M36*Ventas!AE280*0.9422))</f>
        <v>49.446930999999999</v>
      </c>
      <c r="O36" s="17">
        <f>(N36/(Ventas!AE280*0.9422)/45)</f>
        <v>37.620280910459691</v>
      </c>
      <c r="P36" s="11">
        <v>0</v>
      </c>
      <c r="Q36" s="16">
        <f t="shared" si="1"/>
        <v>49.446930999999999</v>
      </c>
      <c r="R36" s="4"/>
      <c r="S36" s="13">
        <v>46331</v>
      </c>
      <c r="T36" s="10">
        <v>56</v>
      </c>
      <c r="U36" s="16">
        <f>(IF(N36&gt;0,N36+P36,P36)-(T36*Ventas!AE280*0.8268))</f>
        <v>48.011606200000003</v>
      </c>
      <c r="V36" s="17">
        <f>(U36/(Ventas!AE280*0.8268)/45)</f>
        <v>41.626659418442742</v>
      </c>
      <c r="W36" s="16">
        <f>(100*(Ventas!AE280*1.95) - IF(U36&gt;0,U36,0))</f>
        <v>-41.966606200000001</v>
      </c>
      <c r="X36" s="16">
        <f t="shared" si="2"/>
        <v>0</v>
      </c>
      <c r="Y36" s="16">
        <f t="shared" si="3"/>
        <v>48.011606200000003</v>
      </c>
      <c r="Z36" s="18">
        <v>6.2851999999999997</v>
      </c>
      <c r="AA36" s="11">
        <v>3010</v>
      </c>
      <c r="AB36" s="16">
        <f>(Y36-(60*Ventas!AE280*1.95))</f>
        <v>44.3846062</v>
      </c>
      <c r="AC36" s="17">
        <f>(AB36/(Ventas!AE280*1.95)/45)</f>
        <v>16.316370260086391</v>
      </c>
      <c r="AD36" s="1" t="s">
        <v>34</v>
      </c>
      <c r="AE36">
        <f t="shared" si="4"/>
        <v>0</v>
      </c>
    </row>
    <row r="37" spans="1:31" x14ac:dyDescent="0.25">
      <c r="A37" s="1" t="s">
        <v>603</v>
      </c>
      <c r="B37" s="1" t="s">
        <v>602</v>
      </c>
      <c r="C37" s="15" t="s">
        <v>601</v>
      </c>
      <c r="D37" s="11">
        <v>52</v>
      </c>
      <c r="E37" s="13">
        <v>46230</v>
      </c>
      <c r="F37" s="10">
        <v>7</v>
      </c>
      <c r="G37" s="16">
        <f>(D37-(0)+0-(F37*Ventas!AE281*1.1))</f>
        <v>51.816586000000001</v>
      </c>
      <c r="H37" s="17">
        <f>(G37/(Ventas!AE281*1.1)/45)</f>
        <v>43.946251770433129</v>
      </c>
      <c r="I37" s="11">
        <v>0</v>
      </c>
      <c r="J37" s="16">
        <f t="shared" si="0"/>
        <v>51.816586000000001</v>
      </c>
      <c r="K37" s="4"/>
      <c r="L37" s="13">
        <v>46275</v>
      </c>
      <c r="M37" s="10">
        <v>45</v>
      </c>
      <c r="N37" s="16">
        <f>(IF(G37&gt;0,G37+I37,I37)-(M37*Ventas!AE281*0.9422))</f>
        <v>50.806641820000003</v>
      </c>
      <c r="O37" s="17">
        <f>(N37/(Ventas!AE281*0.9422)/45)</f>
        <v>50.306386061851462</v>
      </c>
      <c r="P37" s="11">
        <v>0</v>
      </c>
      <c r="Q37" s="16">
        <f t="shared" si="1"/>
        <v>50.806641820000003</v>
      </c>
      <c r="R37" s="4"/>
      <c r="S37" s="13">
        <v>46331</v>
      </c>
      <c r="T37" s="10">
        <v>56</v>
      </c>
      <c r="U37" s="16">
        <f>(IF(N37&gt;0,N37+P37,P37)-(T37*Ventas!AE281*0.8268))</f>
        <v>49.703756764000005</v>
      </c>
      <c r="V37" s="17">
        <f>(U37/(Ventas!AE281*0.8268)/45)</f>
        <v>56.083418336731718</v>
      </c>
      <c r="W37" s="16">
        <f>(100*(Ventas!AE281*1.95) - IF(U37&gt;0,U37,0))</f>
        <v>-45.058856764000005</v>
      </c>
      <c r="X37" s="16">
        <f t="shared" si="2"/>
        <v>0</v>
      </c>
      <c r="Y37" s="16">
        <f t="shared" si="3"/>
        <v>49.703756764000005</v>
      </c>
      <c r="Z37" s="18">
        <v>6.2851999999999997</v>
      </c>
      <c r="AA37" s="11">
        <v>3010</v>
      </c>
      <c r="AB37" s="16">
        <f>(Y37-(60*Ventas!AE281*1.95))</f>
        <v>46.916816764000004</v>
      </c>
      <c r="AC37" s="17">
        <f>(AB37/(Ventas!AE281*1.95)/45)</f>
        <v>22.446036041440916</v>
      </c>
      <c r="AD37" s="1" t="s">
        <v>34</v>
      </c>
      <c r="AE37">
        <f t="shared" si="4"/>
        <v>0</v>
      </c>
    </row>
    <row r="38" spans="1:31" x14ac:dyDescent="0.25">
      <c r="A38" s="1" t="s">
        <v>722</v>
      </c>
      <c r="B38" s="1" t="s">
        <v>721</v>
      </c>
      <c r="C38" s="15" t="s">
        <v>720</v>
      </c>
      <c r="D38" s="11">
        <v>92</v>
      </c>
      <c r="E38" s="13">
        <v>46230</v>
      </c>
      <c r="F38" s="10">
        <v>7</v>
      </c>
      <c r="G38" s="16">
        <f>(D38-(0)+0-(F38*Ventas!AE321*1.1))</f>
        <v>91.11639344262295</v>
      </c>
      <c r="H38" s="17">
        <f>(G38/(Ventas!AE321*1.1)/45)</f>
        <v>16.040692640692637</v>
      </c>
      <c r="I38" s="11">
        <v>0</v>
      </c>
      <c r="J38" s="16">
        <f t="shared" si="0"/>
        <v>91.11639344262295</v>
      </c>
      <c r="K38" s="4"/>
      <c r="L38" s="13">
        <v>46275</v>
      </c>
      <c r="M38" s="10">
        <v>45</v>
      </c>
      <c r="N38" s="16">
        <f>(IF(G38&gt;0,G38+I38,I38)-(M38*Ventas!AE321*0.9422))</f>
        <v>86.250934426229506</v>
      </c>
      <c r="O38" s="17">
        <f>(N38/(Ventas!AE321*0.9422)/45)</f>
        <v>17.727193700660052</v>
      </c>
      <c r="P38" s="11">
        <v>0</v>
      </c>
      <c r="Q38" s="16">
        <f t="shared" si="1"/>
        <v>86.250934426229506</v>
      </c>
      <c r="R38" s="4"/>
      <c r="S38" s="13">
        <v>46331</v>
      </c>
      <c r="T38" s="10">
        <v>56</v>
      </c>
      <c r="U38" s="16">
        <f>(IF(N38&gt;0,N38+P38,P38)-(T38*Ventas!AE321*0.8268))</f>
        <v>80.937727868852463</v>
      </c>
      <c r="V38" s="17">
        <f>(U38/(Ventas!AE321*0.8268)/45)</f>
        <v>18.957009238141314</v>
      </c>
      <c r="W38" s="16">
        <f>(100*(Ventas!AE321*1.95) - IF(U38&gt;0,U38,0))</f>
        <v>-58.56067868852459</v>
      </c>
      <c r="X38" s="16">
        <f t="shared" si="2"/>
        <v>0</v>
      </c>
      <c r="Y38" s="16">
        <f t="shared" si="3"/>
        <v>80.937727868852463</v>
      </c>
      <c r="Z38" s="18">
        <v>5.9</v>
      </c>
      <c r="AA38" s="11">
        <v>3027</v>
      </c>
      <c r="AB38" s="16">
        <f>(Y38-(60*Ventas!AE321*1.95))</f>
        <v>67.511498360655736</v>
      </c>
      <c r="AC38" s="17">
        <f>(AB38/(Ventas!AE321*1.95)/45)</f>
        <v>6.7044385836385834</v>
      </c>
      <c r="AD38" s="1" t="s">
        <v>34</v>
      </c>
      <c r="AE38">
        <f t="shared" si="4"/>
        <v>0</v>
      </c>
    </row>
    <row r="39" spans="1:31" x14ac:dyDescent="0.25">
      <c r="A39" s="1" t="s">
        <v>725</v>
      </c>
      <c r="B39" s="1" t="s">
        <v>724</v>
      </c>
      <c r="C39" s="15" t="s">
        <v>723</v>
      </c>
      <c r="D39" s="11">
        <v>42</v>
      </c>
      <c r="E39" s="13">
        <v>46230</v>
      </c>
      <c r="F39" s="10">
        <v>7</v>
      </c>
      <c r="G39" s="16">
        <f>(D39-(0)+0-(F39*Ventas!AE322*1.1))</f>
        <v>41.242622950819673</v>
      </c>
      <c r="H39" s="17">
        <f>(G39/(Ventas!AE322*1.1)/45)</f>
        <v>8.4707070707070713</v>
      </c>
      <c r="I39" s="11">
        <v>50</v>
      </c>
      <c r="J39" s="16">
        <f t="shared" si="0"/>
        <v>91.24262295081968</v>
      </c>
      <c r="K39" s="16">
        <v>5.9</v>
      </c>
      <c r="L39" s="13">
        <v>46275</v>
      </c>
      <c r="M39" s="10">
        <v>45</v>
      </c>
      <c r="N39" s="16">
        <f>(IF(G39&gt;0,G39+I39,I39)-(M39*Ventas!AE322*0.9422))</f>
        <v>87.072229508196727</v>
      </c>
      <c r="O39" s="17">
        <f>(N39/(Ventas!AE322*0.9422)/45)</f>
        <v>20.878660660235695</v>
      </c>
      <c r="P39" s="11">
        <v>0</v>
      </c>
      <c r="Q39" s="16">
        <f t="shared" si="1"/>
        <v>87.072229508196727</v>
      </c>
      <c r="R39" s="4"/>
      <c r="S39" s="13">
        <v>46331</v>
      </c>
      <c r="T39" s="10">
        <v>56</v>
      </c>
      <c r="U39" s="16">
        <f>(IF(N39&gt;0,N39+P39,P39)-(T39*Ventas!AE322*0.8268))</f>
        <v>82.518052459016403</v>
      </c>
      <c r="V39" s="17">
        <f>(U39/(Ventas!AE322*0.8268)/45)</f>
        <v>22.54833987349711</v>
      </c>
      <c r="W39" s="16">
        <f>(100*(Ventas!AE322*1.95) - IF(U39&gt;0,U39,0))</f>
        <v>-63.337724590163944</v>
      </c>
      <c r="X39" s="16">
        <f t="shared" si="2"/>
        <v>0</v>
      </c>
      <c r="Y39" s="16">
        <f t="shared" si="3"/>
        <v>82.518052459016403</v>
      </c>
      <c r="Z39" s="18">
        <v>5.9</v>
      </c>
      <c r="AA39" s="11">
        <v>3027</v>
      </c>
      <c r="AB39" s="16">
        <f>(Y39-(60*Ventas!AE322*1.95))</f>
        <v>71.009855737704925</v>
      </c>
      <c r="AC39" s="17">
        <f>(AB39/(Ventas!AE322*1.95)/45)</f>
        <v>8.2271627730294394</v>
      </c>
      <c r="AD39" s="1" t="s">
        <v>34</v>
      </c>
      <c r="AE39">
        <f t="shared" si="4"/>
        <v>0</v>
      </c>
    </row>
    <row r="40" spans="1:31" x14ac:dyDescent="0.25">
      <c r="A40" s="1" t="s">
        <v>728</v>
      </c>
      <c r="B40" s="1" t="s">
        <v>727</v>
      </c>
      <c r="C40" s="15" t="s">
        <v>726</v>
      </c>
      <c r="D40" s="11">
        <v>42</v>
      </c>
      <c r="E40" s="13">
        <v>46230</v>
      </c>
      <c r="F40" s="10">
        <v>7</v>
      </c>
      <c r="G40" s="16">
        <f>(D40-(0)+0-(F40*Ventas!AE323*1.1))</f>
        <v>41.11639344262295</v>
      </c>
      <c r="H40" s="17">
        <f>(G40/(Ventas!AE323*1.1)/45)</f>
        <v>7.2383838383838377</v>
      </c>
      <c r="I40" s="11">
        <v>50</v>
      </c>
      <c r="J40" s="16">
        <f t="shared" si="0"/>
        <v>91.11639344262295</v>
      </c>
      <c r="K40" s="16">
        <v>5.9</v>
      </c>
      <c r="L40" s="13">
        <v>46275</v>
      </c>
      <c r="M40" s="10">
        <v>45</v>
      </c>
      <c r="N40" s="16">
        <f>(IF(G40&gt;0,G40+I40,I40)-(M40*Ventas!AE323*0.9422))</f>
        <v>86.250934426229506</v>
      </c>
      <c r="O40" s="17">
        <f>(N40/(Ventas!AE323*0.9422)/45)</f>
        <v>17.727193700660052</v>
      </c>
      <c r="P40" s="11">
        <v>0</v>
      </c>
      <c r="Q40" s="16">
        <f t="shared" si="1"/>
        <v>86.250934426229506</v>
      </c>
      <c r="R40" s="4"/>
      <c r="S40" s="13">
        <v>46331</v>
      </c>
      <c r="T40" s="10">
        <v>56</v>
      </c>
      <c r="U40" s="16">
        <f>(IF(N40&gt;0,N40+P40,P40)-(T40*Ventas!AE323*0.8268))</f>
        <v>80.937727868852463</v>
      </c>
      <c r="V40" s="17">
        <f>(U40/(Ventas!AE323*0.8268)/45)</f>
        <v>18.957009238141314</v>
      </c>
      <c r="W40" s="16">
        <f>(100*(Ventas!AE323*1.95) - IF(U40&gt;0,U40,0))</f>
        <v>-58.56067868852459</v>
      </c>
      <c r="X40" s="16">
        <f t="shared" si="2"/>
        <v>0</v>
      </c>
      <c r="Y40" s="16">
        <f t="shared" si="3"/>
        <v>80.937727868852463</v>
      </c>
      <c r="Z40" s="18">
        <v>5.9</v>
      </c>
      <c r="AA40" s="11">
        <v>3027</v>
      </c>
      <c r="AB40" s="16">
        <f>(Y40-(60*Ventas!AE323*1.95))</f>
        <v>67.511498360655736</v>
      </c>
      <c r="AC40" s="17">
        <f>(AB40/(Ventas!AE323*1.95)/45)</f>
        <v>6.7044385836385834</v>
      </c>
      <c r="AD40" s="1" t="s">
        <v>34</v>
      </c>
      <c r="AE40">
        <f t="shared" si="4"/>
        <v>0</v>
      </c>
    </row>
    <row r="41" spans="1:31" x14ac:dyDescent="0.25">
      <c r="A41" s="1" t="s">
        <v>731</v>
      </c>
      <c r="B41" s="1" t="s">
        <v>730</v>
      </c>
      <c r="C41" s="15" t="s">
        <v>729</v>
      </c>
      <c r="D41" s="11">
        <v>45</v>
      </c>
      <c r="E41" s="13">
        <v>46230</v>
      </c>
      <c r="F41" s="10">
        <v>7</v>
      </c>
      <c r="G41" s="16">
        <f>(D41-(0)+0-(F41*Ventas!AE324*1.1))</f>
        <v>44.621311475409833</v>
      </c>
      <c r="H41" s="17">
        <f>(G41/(Ventas!AE324*1.1)/45)</f>
        <v>18.329292929292929</v>
      </c>
      <c r="I41" s="11">
        <v>0</v>
      </c>
      <c r="J41" s="16">
        <f t="shared" si="0"/>
        <v>44.621311475409833</v>
      </c>
      <c r="K41" s="4"/>
      <c r="L41" s="13">
        <v>46275</v>
      </c>
      <c r="M41" s="10">
        <v>45</v>
      </c>
      <c r="N41" s="16">
        <f>(IF(G41&gt;0,G41+I41,I41)-(M41*Ventas!AE324*0.9422))</f>
        <v>42.536114754098357</v>
      </c>
      <c r="O41" s="17">
        <f>(N41/(Ventas!AE324*0.9422)/45)</f>
        <v>20.399089601169837</v>
      </c>
      <c r="P41" s="11">
        <v>0</v>
      </c>
      <c r="Q41" s="16">
        <f t="shared" si="1"/>
        <v>42.536114754098357</v>
      </c>
      <c r="R41" s="4"/>
      <c r="S41" s="13">
        <v>46331</v>
      </c>
      <c r="T41" s="10">
        <v>56</v>
      </c>
      <c r="U41" s="16">
        <f>(IF(N41&gt;0,N41+P41,P41)-(T41*Ventas!AE324*0.8268))</f>
        <v>40.259026229508194</v>
      </c>
      <c r="V41" s="17">
        <f>(U41/(Ventas!AE324*0.8268)/45)</f>
        <v>22.001833037682093</v>
      </c>
      <c r="W41" s="16">
        <f>(100*(Ventas!AE324*1.95) - IF(U41&gt;0,U41,0))</f>
        <v>-30.668862295081965</v>
      </c>
      <c r="X41" s="16">
        <f t="shared" si="2"/>
        <v>0</v>
      </c>
      <c r="Y41" s="16">
        <f t="shared" si="3"/>
        <v>40.259026229508194</v>
      </c>
      <c r="Z41" s="18">
        <v>5.9</v>
      </c>
      <c r="AA41" s="11">
        <v>3027</v>
      </c>
      <c r="AB41" s="16">
        <f>(Y41-(60*Ventas!AE324*1.95))</f>
        <v>34.504927868852455</v>
      </c>
      <c r="AC41" s="17">
        <f>(AB41/(Ventas!AE324*1.95)/45)</f>
        <v>7.9954438746438745</v>
      </c>
      <c r="AD41" s="1" t="s">
        <v>34</v>
      </c>
      <c r="AE41">
        <f t="shared" si="4"/>
        <v>0</v>
      </c>
    </row>
    <row r="42" spans="1:31" x14ac:dyDescent="0.25">
      <c r="A42" s="1"/>
      <c r="B42" s="1" t="s">
        <v>838</v>
      </c>
      <c r="C42" s="15" t="s">
        <v>837</v>
      </c>
      <c r="D42" s="4"/>
      <c r="E42" s="13">
        <v>46230</v>
      </c>
      <c r="F42" s="10">
        <v>7</v>
      </c>
      <c r="G42" s="16">
        <f>(D42-(0)+0-(F42*Ventas!AE371*1.1))</f>
        <v>0</v>
      </c>
      <c r="H42" s="4"/>
      <c r="I42" s="11">
        <v>1</v>
      </c>
      <c r="J42" s="16">
        <f t="shared" si="0"/>
        <v>1</v>
      </c>
      <c r="K42" s="16">
        <v>111.2</v>
      </c>
      <c r="L42" s="13">
        <v>46275</v>
      </c>
      <c r="M42" s="10">
        <v>45</v>
      </c>
      <c r="N42" s="16">
        <f>(IF(G42&gt;0,G42+I42,I42)-(M42*Ventas!AE371*0.9422))</f>
        <v>1</v>
      </c>
      <c r="O42" s="4"/>
      <c r="P42" s="11">
        <v>0</v>
      </c>
      <c r="Q42" s="16">
        <f t="shared" si="1"/>
        <v>1</v>
      </c>
      <c r="R42" s="4"/>
      <c r="S42" s="13">
        <v>46331</v>
      </c>
      <c r="T42" s="10">
        <v>56</v>
      </c>
      <c r="U42" s="16">
        <f>(IF(N42&gt;0,N42+P42,P42)-(T42*Ventas!AE371*0.8268))</f>
        <v>1</v>
      </c>
      <c r="V42" s="4"/>
      <c r="W42" s="16">
        <f>(100*(Ventas!AE371*1.95) - IF(U42&gt;0,U42,0))</f>
        <v>-1</v>
      </c>
      <c r="X42" s="16">
        <f t="shared" si="2"/>
        <v>0</v>
      </c>
      <c r="Y42" s="16">
        <f t="shared" si="3"/>
        <v>1</v>
      </c>
      <c r="Z42" s="18">
        <v>111.2</v>
      </c>
      <c r="AA42" s="11">
        <v>3027</v>
      </c>
      <c r="AB42" s="4"/>
      <c r="AC42" s="4"/>
      <c r="AD42" s="1" t="s">
        <v>107</v>
      </c>
      <c r="AE42">
        <f t="shared" si="4"/>
        <v>0</v>
      </c>
    </row>
    <row r="43" spans="1:31" x14ac:dyDescent="0.25">
      <c r="A43" s="1"/>
      <c r="B43" s="1" t="s">
        <v>840</v>
      </c>
      <c r="C43" s="15" t="s">
        <v>839</v>
      </c>
      <c r="D43" s="4"/>
      <c r="E43" s="13">
        <v>46230</v>
      </c>
      <c r="F43" s="10">
        <v>7</v>
      </c>
      <c r="G43" s="16">
        <f>(D43-(0)+0-(F43*Ventas!AE372*1.1))</f>
        <v>0</v>
      </c>
      <c r="H43" s="4"/>
      <c r="I43" s="11">
        <v>1</v>
      </c>
      <c r="J43" s="16">
        <f t="shared" si="0"/>
        <v>1</v>
      </c>
      <c r="K43" s="16">
        <v>79.2</v>
      </c>
      <c r="L43" s="13">
        <v>46275</v>
      </c>
      <c r="M43" s="10">
        <v>45</v>
      </c>
      <c r="N43" s="16">
        <f>(IF(G43&gt;0,G43+I43,I43)-(M43*Ventas!AE372*0.9422))</f>
        <v>1</v>
      </c>
      <c r="O43" s="4"/>
      <c r="P43" s="11">
        <v>0</v>
      </c>
      <c r="Q43" s="16">
        <f t="shared" si="1"/>
        <v>1</v>
      </c>
      <c r="R43" s="4"/>
      <c r="S43" s="13">
        <v>46331</v>
      </c>
      <c r="T43" s="10">
        <v>56</v>
      </c>
      <c r="U43" s="16">
        <f>(IF(N43&gt;0,N43+P43,P43)-(T43*Ventas!AE372*0.8268))</f>
        <v>1</v>
      </c>
      <c r="V43" s="4"/>
      <c r="W43" s="16">
        <f>(100*(Ventas!AE372*1.95) - IF(U43&gt;0,U43,0))</f>
        <v>-1</v>
      </c>
      <c r="X43" s="16">
        <f t="shared" si="2"/>
        <v>0</v>
      </c>
      <c r="Y43" s="16">
        <f t="shared" si="3"/>
        <v>1</v>
      </c>
      <c r="Z43" s="18">
        <v>79.2</v>
      </c>
      <c r="AA43" s="11">
        <v>3027</v>
      </c>
      <c r="AB43" s="4"/>
      <c r="AC43" s="4"/>
      <c r="AD43" s="1" t="s">
        <v>107</v>
      </c>
      <c r="AE43">
        <f t="shared" si="4"/>
        <v>0</v>
      </c>
    </row>
    <row r="44" spans="1:31" x14ac:dyDescent="0.25">
      <c r="A44" s="1"/>
      <c r="B44" s="1" t="s">
        <v>40</v>
      </c>
      <c r="C44" s="15" t="s">
        <v>39</v>
      </c>
      <c r="D44" s="11">
        <v>203</v>
      </c>
      <c r="E44" s="13">
        <v>46230</v>
      </c>
      <c r="F44" s="10">
        <v>7</v>
      </c>
      <c r="G44" s="16">
        <f>(D44-(0)+0-(F44*Ventas!AE5*1.8))</f>
        <v>203</v>
      </c>
      <c r="H44" s="4"/>
      <c r="I44" s="11">
        <v>0</v>
      </c>
      <c r="J44" s="16">
        <f t="shared" si="0"/>
        <v>203</v>
      </c>
      <c r="K44" s="4"/>
      <c r="L44" s="13">
        <v>46275</v>
      </c>
      <c r="M44" s="10">
        <v>45</v>
      </c>
      <c r="N44" s="16">
        <f>(IF(G44&gt;0,G44+I44,I44)-(M44*Ventas!AE5*1.0044))</f>
        <v>203</v>
      </c>
      <c r="O44" s="4"/>
      <c r="P44" s="11">
        <v>0</v>
      </c>
      <c r="Q44" s="16">
        <f t="shared" si="1"/>
        <v>203</v>
      </c>
      <c r="R44" s="4"/>
      <c r="S44" s="13">
        <v>46331</v>
      </c>
      <c r="T44" s="10">
        <v>56</v>
      </c>
      <c r="U44" s="16">
        <f>(IF(N44&gt;0,N44+P44,P44)-(T44*Ventas!AE5*0.9018))</f>
        <v>203</v>
      </c>
      <c r="V44" s="4"/>
      <c r="W44" s="16">
        <f>(100*(Ventas!AE5*1.235) - IF(U44&gt;0,U44,0))</f>
        <v>-203</v>
      </c>
      <c r="X44" s="16">
        <f t="shared" si="2"/>
        <v>0</v>
      </c>
      <c r="Y44" s="16">
        <f t="shared" si="3"/>
        <v>203</v>
      </c>
      <c r="Z44" s="4"/>
      <c r="AA44" s="11">
        <v>3027</v>
      </c>
      <c r="AB44" s="4"/>
      <c r="AC44" s="4"/>
      <c r="AD44" s="1" t="s">
        <v>34</v>
      </c>
      <c r="AE44">
        <f t="shared" si="4"/>
        <v>0</v>
      </c>
    </row>
    <row r="45" spans="1:31" x14ac:dyDescent="0.25">
      <c r="A45" s="1"/>
      <c r="B45" s="1" t="s">
        <v>42</v>
      </c>
      <c r="C45" s="15" t="s">
        <v>41</v>
      </c>
      <c r="D45" s="11">
        <v>2</v>
      </c>
      <c r="E45" s="13">
        <v>46230</v>
      </c>
      <c r="F45" s="10">
        <v>7</v>
      </c>
      <c r="G45" s="16">
        <f>(D45-(0)+0-(F45*Ventas!AE6*1.8))</f>
        <v>2</v>
      </c>
      <c r="H45" s="4"/>
      <c r="I45" s="11">
        <v>0</v>
      </c>
      <c r="J45" s="16">
        <f t="shared" si="0"/>
        <v>2</v>
      </c>
      <c r="K45" s="4"/>
      <c r="L45" s="13">
        <v>46275</v>
      </c>
      <c r="M45" s="10">
        <v>45</v>
      </c>
      <c r="N45" s="16">
        <f>(IF(G45&gt;0,G45+I45,I45)-(M45*Ventas!AE6*1.0044))</f>
        <v>2</v>
      </c>
      <c r="O45" s="4"/>
      <c r="P45" s="11">
        <v>0</v>
      </c>
      <c r="Q45" s="16">
        <f t="shared" si="1"/>
        <v>2</v>
      </c>
      <c r="R45" s="4"/>
      <c r="S45" s="13">
        <v>46331</v>
      </c>
      <c r="T45" s="10">
        <v>56</v>
      </c>
      <c r="U45" s="16">
        <f>(IF(N45&gt;0,N45+P45,P45)-(T45*Ventas!AE6*0.9018))</f>
        <v>2</v>
      </c>
      <c r="V45" s="4"/>
      <c r="W45" s="16">
        <f>(100*(Ventas!AE6*1.235) - IF(U45&gt;0,U45,0))</f>
        <v>-2</v>
      </c>
      <c r="X45" s="16">
        <f t="shared" si="2"/>
        <v>0</v>
      </c>
      <c r="Y45" s="16">
        <f t="shared" si="3"/>
        <v>2</v>
      </c>
      <c r="Z45" s="4"/>
      <c r="AA45" s="11">
        <v>3010</v>
      </c>
      <c r="AB45" s="4"/>
      <c r="AC45" s="4"/>
      <c r="AD45" s="1" t="s">
        <v>34</v>
      </c>
      <c r="AE45">
        <f t="shared" si="4"/>
        <v>0</v>
      </c>
    </row>
    <row r="46" spans="1:31" x14ac:dyDescent="0.25">
      <c r="A46" s="1"/>
      <c r="B46" s="1" t="s">
        <v>44</v>
      </c>
      <c r="C46" s="15" t="s">
        <v>43</v>
      </c>
      <c r="D46" s="11">
        <v>4</v>
      </c>
      <c r="E46" s="13">
        <v>46230</v>
      </c>
      <c r="F46" s="10">
        <v>7</v>
      </c>
      <c r="G46" s="16">
        <f>(D46-(0)+0-(F46*Ventas!AE7*1.8))</f>
        <v>4</v>
      </c>
      <c r="H46" s="4"/>
      <c r="I46" s="11">
        <v>0</v>
      </c>
      <c r="J46" s="16">
        <f t="shared" si="0"/>
        <v>4</v>
      </c>
      <c r="K46" s="4"/>
      <c r="L46" s="13">
        <v>46275</v>
      </c>
      <c r="M46" s="10">
        <v>45</v>
      </c>
      <c r="N46" s="16">
        <f>(IF(G46&gt;0,G46+I46,I46)-(M46*Ventas!AE7*1.0044))</f>
        <v>4</v>
      </c>
      <c r="O46" s="4"/>
      <c r="P46" s="11">
        <v>5</v>
      </c>
      <c r="Q46" s="16">
        <f t="shared" si="1"/>
        <v>9</v>
      </c>
      <c r="R46" s="4"/>
      <c r="S46" s="13">
        <v>46331</v>
      </c>
      <c r="T46" s="10">
        <v>56</v>
      </c>
      <c r="U46" s="16">
        <f>(IF(N46&gt;0,N46+P46,P46)-(T46*Ventas!AE7*0.9018))</f>
        <v>9</v>
      </c>
      <c r="V46" s="4"/>
      <c r="W46" s="16">
        <f>(100*(Ventas!AE7*1.235) - IF(U46&gt;0,U46,0))</f>
        <v>-9</v>
      </c>
      <c r="X46" s="16">
        <f t="shared" si="2"/>
        <v>0</v>
      </c>
      <c r="Y46" s="16">
        <f t="shared" si="3"/>
        <v>9</v>
      </c>
      <c r="Z46" s="4"/>
      <c r="AA46" s="11">
        <v>3010</v>
      </c>
      <c r="AB46" s="4"/>
      <c r="AC46" s="4"/>
      <c r="AD46" s="1" t="s">
        <v>34</v>
      </c>
      <c r="AE46">
        <f t="shared" si="4"/>
        <v>0</v>
      </c>
    </row>
    <row r="47" spans="1:31" x14ac:dyDescent="0.25">
      <c r="A47" s="1"/>
      <c r="B47" s="1" t="s">
        <v>46</v>
      </c>
      <c r="C47" s="15" t="s">
        <v>45</v>
      </c>
      <c r="D47" s="11">
        <v>7</v>
      </c>
      <c r="E47" s="13">
        <v>46230</v>
      </c>
      <c r="F47" s="10">
        <v>7</v>
      </c>
      <c r="G47" s="16">
        <f>(D47-(0)+0-(F47*Ventas!AE8*1.8))</f>
        <v>7</v>
      </c>
      <c r="H47" s="4"/>
      <c r="I47" s="11">
        <v>0</v>
      </c>
      <c r="J47" s="16">
        <f t="shared" si="0"/>
        <v>7</v>
      </c>
      <c r="K47" s="4"/>
      <c r="L47" s="13">
        <v>46275</v>
      </c>
      <c r="M47" s="10">
        <v>45</v>
      </c>
      <c r="N47" s="16">
        <f>(IF(G47&gt;0,G47+I47,I47)-(M47*Ventas!AE8*1.0044))</f>
        <v>7</v>
      </c>
      <c r="O47" s="4"/>
      <c r="P47" s="11">
        <v>0</v>
      </c>
      <c r="Q47" s="16">
        <f t="shared" si="1"/>
        <v>7</v>
      </c>
      <c r="R47" s="4"/>
      <c r="S47" s="13">
        <v>46331</v>
      </c>
      <c r="T47" s="10">
        <v>56</v>
      </c>
      <c r="U47" s="16">
        <f>(IF(N47&gt;0,N47+P47,P47)-(T47*Ventas!AE8*0.9018))</f>
        <v>7</v>
      </c>
      <c r="V47" s="4"/>
      <c r="W47" s="16">
        <f>(100*(Ventas!AE8*1.235) - IF(U47&gt;0,U47,0))</f>
        <v>-7</v>
      </c>
      <c r="X47" s="16">
        <f t="shared" si="2"/>
        <v>0</v>
      </c>
      <c r="Y47" s="16">
        <f t="shared" si="3"/>
        <v>7</v>
      </c>
      <c r="Z47" s="4"/>
      <c r="AA47" s="11">
        <v>3010</v>
      </c>
      <c r="AB47" s="4"/>
      <c r="AC47" s="4"/>
      <c r="AD47" s="1" t="s">
        <v>34</v>
      </c>
      <c r="AE47">
        <f t="shared" si="4"/>
        <v>0</v>
      </c>
    </row>
    <row r="48" spans="1:31" x14ac:dyDescent="0.25">
      <c r="A48" s="1"/>
      <c r="B48" s="1" t="s">
        <v>48</v>
      </c>
      <c r="C48" s="15" t="s">
        <v>47</v>
      </c>
      <c r="D48" s="11">
        <v>8</v>
      </c>
      <c r="E48" s="13">
        <v>46230</v>
      </c>
      <c r="F48" s="10">
        <v>7</v>
      </c>
      <c r="G48" s="16">
        <f>(D48-(0)+0-(F48*Ventas!AE9*1.8))</f>
        <v>8</v>
      </c>
      <c r="H48" s="4"/>
      <c r="I48" s="11">
        <v>0</v>
      </c>
      <c r="J48" s="16">
        <f t="shared" si="0"/>
        <v>8</v>
      </c>
      <c r="K48" s="4"/>
      <c r="L48" s="13">
        <v>46275</v>
      </c>
      <c r="M48" s="10">
        <v>45</v>
      </c>
      <c r="N48" s="16">
        <f>(IF(G48&gt;0,G48+I48,I48)-(M48*Ventas!AE9*1.0044))</f>
        <v>8</v>
      </c>
      <c r="O48" s="4"/>
      <c r="P48" s="11">
        <v>0</v>
      </c>
      <c r="Q48" s="16">
        <f t="shared" si="1"/>
        <v>8</v>
      </c>
      <c r="R48" s="4"/>
      <c r="S48" s="13">
        <v>46331</v>
      </c>
      <c r="T48" s="10">
        <v>56</v>
      </c>
      <c r="U48" s="16">
        <f>(IF(N48&gt;0,N48+P48,P48)-(T48*Ventas!AE9*0.9018))</f>
        <v>8</v>
      </c>
      <c r="V48" s="4"/>
      <c r="W48" s="16">
        <f>(100*(Ventas!AE9*1.235) - IF(U48&gt;0,U48,0))</f>
        <v>-8</v>
      </c>
      <c r="X48" s="16">
        <f t="shared" si="2"/>
        <v>0</v>
      </c>
      <c r="Y48" s="16">
        <f t="shared" si="3"/>
        <v>8</v>
      </c>
      <c r="Z48" s="4"/>
      <c r="AA48" s="11">
        <v>3010</v>
      </c>
      <c r="AB48" s="4"/>
      <c r="AC48" s="4"/>
      <c r="AD48" s="1" t="s">
        <v>34</v>
      </c>
      <c r="AE48">
        <f t="shared" si="4"/>
        <v>0</v>
      </c>
    </row>
    <row r="49" spans="1:31" x14ac:dyDescent="0.25">
      <c r="A49" s="1"/>
      <c r="B49" s="1" t="s">
        <v>50</v>
      </c>
      <c r="C49" s="15" t="s">
        <v>49</v>
      </c>
      <c r="D49" s="4"/>
      <c r="E49" s="13">
        <v>46230</v>
      </c>
      <c r="F49" s="10">
        <v>7</v>
      </c>
      <c r="G49" s="16">
        <f>(D49-(0)+0-(F49*Ventas!AE10*1.8))</f>
        <v>0</v>
      </c>
      <c r="H49" s="4"/>
      <c r="I49" s="11">
        <v>0</v>
      </c>
      <c r="J49" s="16">
        <f t="shared" si="0"/>
        <v>0</v>
      </c>
      <c r="K49" s="4"/>
      <c r="L49" s="13">
        <v>46275</v>
      </c>
      <c r="M49" s="10">
        <v>45</v>
      </c>
      <c r="N49" s="16">
        <f>(IF(G49&gt;0,G49+I49,I49)-(M49*Ventas!AE10*1.0044))</f>
        <v>0</v>
      </c>
      <c r="O49" s="4"/>
      <c r="P49" s="11">
        <v>0</v>
      </c>
      <c r="Q49" s="16">
        <f t="shared" si="1"/>
        <v>0</v>
      </c>
      <c r="R49" s="4"/>
      <c r="S49" s="13">
        <v>46331</v>
      </c>
      <c r="T49" s="10">
        <v>56</v>
      </c>
      <c r="U49" s="16">
        <f>(IF(N49&gt;0,N49+P49,P49)-(T49*Ventas!AE10*0.9018))</f>
        <v>0</v>
      </c>
      <c r="V49" s="4"/>
      <c r="W49" s="16">
        <f>(100*(Ventas!AE10*1.235) - IF(U49&gt;0,U49,0))</f>
        <v>0</v>
      </c>
      <c r="X49" s="16">
        <f t="shared" si="2"/>
        <v>0</v>
      </c>
      <c r="Y49" s="16">
        <f t="shared" si="3"/>
        <v>0</v>
      </c>
      <c r="Z49" s="4"/>
      <c r="AA49" s="4"/>
      <c r="AB49" s="4"/>
      <c r="AC49" s="4"/>
      <c r="AD49" s="1" t="s">
        <v>34</v>
      </c>
      <c r="AE49">
        <f t="shared" si="4"/>
        <v>0</v>
      </c>
    </row>
    <row r="50" spans="1:31" x14ac:dyDescent="0.25">
      <c r="A50" s="1"/>
      <c r="B50" s="1" t="s">
        <v>52</v>
      </c>
      <c r="C50" s="15" t="s">
        <v>51</v>
      </c>
      <c r="D50" s="4"/>
      <c r="E50" s="13">
        <v>46230</v>
      </c>
      <c r="F50" s="10">
        <v>7</v>
      </c>
      <c r="G50" s="16">
        <f>(D50-(0)+0-(F50*Ventas!AE11*1.8))</f>
        <v>0</v>
      </c>
      <c r="H50" s="4"/>
      <c r="I50" s="11">
        <v>0</v>
      </c>
      <c r="J50" s="16">
        <f t="shared" si="0"/>
        <v>0</v>
      </c>
      <c r="K50" s="4"/>
      <c r="L50" s="13">
        <v>46275</v>
      </c>
      <c r="M50" s="10">
        <v>45</v>
      </c>
      <c r="N50" s="16">
        <f>(IF(G50&gt;0,G50+I50,I50)-(M50*Ventas!AE11*1.0044))</f>
        <v>0</v>
      </c>
      <c r="O50" s="4"/>
      <c r="P50" s="11">
        <v>0</v>
      </c>
      <c r="Q50" s="16">
        <f t="shared" si="1"/>
        <v>0</v>
      </c>
      <c r="R50" s="4"/>
      <c r="S50" s="13">
        <v>46331</v>
      </c>
      <c r="T50" s="10">
        <v>56</v>
      </c>
      <c r="U50" s="16">
        <f>(IF(N50&gt;0,N50+P50,P50)-(T50*Ventas!AE11*0.9018))</f>
        <v>0</v>
      </c>
      <c r="V50" s="4"/>
      <c r="W50" s="16">
        <f>(100*(Ventas!AE11*1.235) - IF(U50&gt;0,U50,0))</f>
        <v>0</v>
      </c>
      <c r="X50" s="16">
        <f t="shared" si="2"/>
        <v>0</v>
      </c>
      <c r="Y50" s="16">
        <f t="shared" si="3"/>
        <v>0</v>
      </c>
      <c r="Z50" s="4"/>
      <c r="AA50" s="11">
        <v>3010</v>
      </c>
      <c r="AB50" s="4"/>
      <c r="AC50" s="4"/>
      <c r="AD50" s="1" t="s">
        <v>34</v>
      </c>
      <c r="AE50">
        <f t="shared" si="4"/>
        <v>0</v>
      </c>
    </row>
    <row r="51" spans="1:31" x14ac:dyDescent="0.25">
      <c r="A51" s="1"/>
      <c r="B51" s="1" t="s">
        <v>54</v>
      </c>
      <c r="C51" s="15" t="s">
        <v>53</v>
      </c>
      <c r="D51" s="4"/>
      <c r="E51" s="13">
        <v>46230</v>
      </c>
      <c r="F51" s="10">
        <v>7</v>
      </c>
      <c r="G51" s="16">
        <f>(D51-(0)+0-(F51*Ventas!AE12*1.8))</f>
        <v>0</v>
      </c>
      <c r="H51" s="4"/>
      <c r="I51" s="11">
        <v>0</v>
      </c>
      <c r="J51" s="16">
        <f t="shared" si="0"/>
        <v>0</v>
      </c>
      <c r="K51" s="4"/>
      <c r="L51" s="13">
        <v>46275</v>
      </c>
      <c r="M51" s="10">
        <v>45</v>
      </c>
      <c r="N51" s="16">
        <f>(IF(G51&gt;0,G51+I51,I51)-(M51*Ventas!AE12*1.0044))</f>
        <v>0</v>
      </c>
      <c r="O51" s="4"/>
      <c r="P51" s="11">
        <v>0</v>
      </c>
      <c r="Q51" s="16">
        <f t="shared" si="1"/>
        <v>0</v>
      </c>
      <c r="R51" s="4"/>
      <c r="S51" s="13">
        <v>46331</v>
      </c>
      <c r="T51" s="10">
        <v>56</v>
      </c>
      <c r="U51" s="16">
        <f>(IF(N51&gt;0,N51+P51,P51)-(T51*Ventas!AE12*0.9018))</f>
        <v>0</v>
      </c>
      <c r="V51" s="4"/>
      <c r="W51" s="16">
        <f>(100*(Ventas!AE12*1.235) - IF(U51&gt;0,U51,0))</f>
        <v>0</v>
      </c>
      <c r="X51" s="16">
        <f t="shared" si="2"/>
        <v>0</v>
      </c>
      <c r="Y51" s="16">
        <f t="shared" si="3"/>
        <v>0</v>
      </c>
      <c r="Z51" s="4"/>
      <c r="AA51" s="11">
        <v>3010</v>
      </c>
      <c r="AB51" s="4"/>
      <c r="AC51" s="4"/>
      <c r="AD51" s="1" t="s">
        <v>34</v>
      </c>
      <c r="AE51">
        <f t="shared" si="4"/>
        <v>0</v>
      </c>
    </row>
    <row r="52" spans="1:31" x14ac:dyDescent="0.25">
      <c r="A52" s="1"/>
      <c r="B52" s="1" t="s">
        <v>56</v>
      </c>
      <c r="C52" s="15" t="s">
        <v>55</v>
      </c>
      <c r="D52" s="4"/>
      <c r="E52" s="13">
        <v>46230</v>
      </c>
      <c r="F52" s="10">
        <v>7</v>
      </c>
      <c r="G52" s="16">
        <f>(D52-(0)+0-(F52*Ventas!AE13*1.8))</f>
        <v>0</v>
      </c>
      <c r="H52" s="4"/>
      <c r="I52" s="11">
        <v>0</v>
      </c>
      <c r="J52" s="16">
        <f t="shared" si="0"/>
        <v>0</v>
      </c>
      <c r="K52" s="4"/>
      <c r="L52" s="13">
        <v>46275</v>
      </c>
      <c r="M52" s="10">
        <v>45</v>
      </c>
      <c r="N52" s="16">
        <f>(IF(G52&gt;0,G52+I52,I52)-(M52*Ventas!AE13*1.0044))</f>
        <v>0</v>
      </c>
      <c r="O52" s="4"/>
      <c r="P52" s="11">
        <v>0</v>
      </c>
      <c r="Q52" s="16">
        <f t="shared" si="1"/>
        <v>0</v>
      </c>
      <c r="R52" s="4"/>
      <c r="S52" s="13">
        <v>46331</v>
      </c>
      <c r="T52" s="10">
        <v>56</v>
      </c>
      <c r="U52" s="16">
        <f>(IF(N52&gt;0,N52+P52,P52)-(T52*Ventas!AE13*0.9018))</f>
        <v>0</v>
      </c>
      <c r="V52" s="4"/>
      <c r="W52" s="16">
        <f>(100*(Ventas!AE13*1.235) - IF(U52&gt;0,U52,0))</f>
        <v>0</v>
      </c>
      <c r="X52" s="16">
        <f t="shared" si="2"/>
        <v>0</v>
      </c>
      <c r="Y52" s="16">
        <f t="shared" si="3"/>
        <v>0</v>
      </c>
      <c r="Z52" s="4"/>
      <c r="AA52" s="11">
        <v>3010</v>
      </c>
      <c r="AB52" s="4"/>
      <c r="AC52" s="4"/>
      <c r="AD52" s="1" t="s">
        <v>34</v>
      </c>
      <c r="AE52">
        <f t="shared" si="4"/>
        <v>0</v>
      </c>
    </row>
    <row r="53" spans="1:31" x14ac:dyDescent="0.25">
      <c r="A53" s="1"/>
      <c r="B53" s="1" t="s">
        <v>58</v>
      </c>
      <c r="C53" s="15" t="s">
        <v>57</v>
      </c>
      <c r="D53" s="4"/>
      <c r="E53" s="13">
        <v>46230</v>
      </c>
      <c r="F53" s="10">
        <v>7</v>
      </c>
      <c r="G53" s="16">
        <f>(D53-(0)+0-(F53*Ventas!AE14*1.8))</f>
        <v>0</v>
      </c>
      <c r="H53" s="4"/>
      <c r="I53" s="11">
        <v>0</v>
      </c>
      <c r="J53" s="16">
        <f t="shared" si="0"/>
        <v>0</v>
      </c>
      <c r="K53" s="4"/>
      <c r="L53" s="13">
        <v>46275</v>
      </c>
      <c r="M53" s="10">
        <v>45</v>
      </c>
      <c r="N53" s="16">
        <f>(IF(G53&gt;0,G53+I53,I53)-(M53*Ventas!AE14*1.0044))</f>
        <v>0</v>
      </c>
      <c r="O53" s="4"/>
      <c r="P53" s="11">
        <v>0</v>
      </c>
      <c r="Q53" s="16">
        <f t="shared" si="1"/>
        <v>0</v>
      </c>
      <c r="R53" s="4"/>
      <c r="S53" s="13">
        <v>46331</v>
      </c>
      <c r="T53" s="10">
        <v>56</v>
      </c>
      <c r="U53" s="16">
        <f>(IF(N53&gt;0,N53+P53,P53)-(T53*Ventas!AE14*0.9018))</f>
        <v>0</v>
      </c>
      <c r="V53" s="4"/>
      <c r="W53" s="16">
        <f>(100*(Ventas!AE14*1.235) - IF(U53&gt;0,U53,0))</f>
        <v>0</v>
      </c>
      <c r="X53" s="16">
        <f t="shared" si="2"/>
        <v>0</v>
      </c>
      <c r="Y53" s="16">
        <f t="shared" si="3"/>
        <v>0</v>
      </c>
      <c r="Z53" s="4"/>
      <c r="AA53" s="11">
        <v>3010</v>
      </c>
      <c r="AB53" s="4"/>
      <c r="AC53" s="4"/>
      <c r="AD53" s="1" t="s">
        <v>34</v>
      </c>
      <c r="AE53">
        <f t="shared" si="4"/>
        <v>0</v>
      </c>
    </row>
    <row r="54" spans="1:31" x14ac:dyDescent="0.25">
      <c r="A54" s="1"/>
      <c r="B54" s="1" t="s">
        <v>60</v>
      </c>
      <c r="C54" s="15" t="s">
        <v>59</v>
      </c>
      <c r="D54" s="4"/>
      <c r="E54" s="13">
        <v>46230</v>
      </c>
      <c r="F54" s="10">
        <v>7</v>
      </c>
      <c r="G54" s="16">
        <f>(D54-(0)+0-(F54*Ventas!AE15*1.8))</f>
        <v>0</v>
      </c>
      <c r="H54" s="4"/>
      <c r="I54" s="11">
        <v>0</v>
      </c>
      <c r="J54" s="16">
        <f t="shared" si="0"/>
        <v>0</v>
      </c>
      <c r="K54" s="4"/>
      <c r="L54" s="13">
        <v>46275</v>
      </c>
      <c r="M54" s="10">
        <v>45</v>
      </c>
      <c r="N54" s="16">
        <f>(IF(G54&gt;0,G54+I54,I54)-(M54*Ventas!AE15*1.0044))</f>
        <v>0</v>
      </c>
      <c r="O54" s="4"/>
      <c r="P54" s="11">
        <v>0</v>
      </c>
      <c r="Q54" s="16">
        <f t="shared" si="1"/>
        <v>0</v>
      </c>
      <c r="R54" s="4"/>
      <c r="S54" s="13">
        <v>46331</v>
      </c>
      <c r="T54" s="10">
        <v>56</v>
      </c>
      <c r="U54" s="16">
        <f>(IF(N54&gt;0,N54+P54,P54)-(T54*Ventas!AE15*0.9018))</f>
        <v>0</v>
      </c>
      <c r="V54" s="4"/>
      <c r="W54" s="16">
        <f>(100*(Ventas!AE15*1.235) - IF(U54&gt;0,U54,0))</f>
        <v>0</v>
      </c>
      <c r="X54" s="16">
        <f t="shared" si="2"/>
        <v>0</v>
      </c>
      <c r="Y54" s="16">
        <f t="shared" si="3"/>
        <v>0</v>
      </c>
      <c r="Z54" s="4"/>
      <c r="AA54" s="11">
        <v>3010</v>
      </c>
      <c r="AB54" s="4"/>
      <c r="AC54" s="4"/>
      <c r="AD54" s="1" t="s">
        <v>34</v>
      </c>
      <c r="AE54">
        <f t="shared" si="4"/>
        <v>0</v>
      </c>
    </row>
    <row r="55" spans="1:31" x14ac:dyDescent="0.25">
      <c r="A55" s="1"/>
      <c r="B55" s="1" t="s">
        <v>62</v>
      </c>
      <c r="C55" s="15" t="s">
        <v>61</v>
      </c>
      <c r="D55" s="4"/>
      <c r="E55" s="13">
        <v>46230</v>
      </c>
      <c r="F55" s="10">
        <v>7</v>
      </c>
      <c r="G55" s="16">
        <f>(D55-(0)+0-(F55*Ventas!AE16*1.8))</f>
        <v>0</v>
      </c>
      <c r="H55" s="4"/>
      <c r="I55" s="11">
        <v>0</v>
      </c>
      <c r="J55" s="16">
        <f t="shared" si="0"/>
        <v>0</v>
      </c>
      <c r="K55" s="4"/>
      <c r="L55" s="13">
        <v>46275</v>
      </c>
      <c r="M55" s="10">
        <v>45</v>
      </c>
      <c r="N55" s="16">
        <f>(IF(G55&gt;0,G55+I55,I55)-(M55*Ventas!AE16*1.0044))</f>
        <v>0</v>
      </c>
      <c r="O55" s="4"/>
      <c r="P55" s="11">
        <v>0</v>
      </c>
      <c r="Q55" s="16">
        <f t="shared" si="1"/>
        <v>0</v>
      </c>
      <c r="R55" s="4"/>
      <c r="S55" s="13">
        <v>46331</v>
      </c>
      <c r="T55" s="10">
        <v>56</v>
      </c>
      <c r="U55" s="16">
        <f>(IF(N55&gt;0,N55+P55,P55)-(T55*Ventas!AE16*0.9018))</f>
        <v>0</v>
      </c>
      <c r="V55" s="4"/>
      <c r="W55" s="16">
        <f>(100*(Ventas!AE16*1.235) - IF(U55&gt;0,U55,0))</f>
        <v>0</v>
      </c>
      <c r="X55" s="16">
        <f t="shared" si="2"/>
        <v>0</v>
      </c>
      <c r="Y55" s="16">
        <f t="shared" si="3"/>
        <v>0</v>
      </c>
      <c r="Z55" s="4"/>
      <c r="AA55" s="11">
        <v>3010</v>
      </c>
      <c r="AB55" s="4"/>
      <c r="AC55" s="4"/>
      <c r="AD55" s="1" t="s">
        <v>34</v>
      </c>
      <c r="AE55">
        <f t="shared" si="4"/>
        <v>0</v>
      </c>
    </row>
    <row r="56" spans="1:31" x14ac:dyDescent="0.25">
      <c r="A56" s="1"/>
      <c r="B56" s="1" t="s">
        <v>42</v>
      </c>
      <c r="C56" s="15" t="s">
        <v>63</v>
      </c>
      <c r="D56" s="11">
        <v>2</v>
      </c>
      <c r="E56" s="13">
        <v>46230</v>
      </c>
      <c r="F56" s="10">
        <v>7</v>
      </c>
      <c r="G56" s="16">
        <f>(D56-(0)+0-(F56*Ventas!AE17*1.8))</f>
        <v>2</v>
      </c>
      <c r="H56" s="4"/>
      <c r="I56" s="11">
        <v>0</v>
      </c>
      <c r="J56" s="16">
        <f t="shared" si="0"/>
        <v>2</v>
      </c>
      <c r="K56" s="4"/>
      <c r="L56" s="13">
        <v>46275</v>
      </c>
      <c r="M56" s="10">
        <v>45</v>
      </c>
      <c r="N56" s="16">
        <f>(IF(G56&gt;0,G56+I56,I56)-(M56*Ventas!AE17*1.0044))</f>
        <v>2</v>
      </c>
      <c r="O56" s="4"/>
      <c r="P56" s="11">
        <v>0</v>
      </c>
      <c r="Q56" s="16">
        <f t="shared" si="1"/>
        <v>2</v>
      </c>
      <c r="R56" s="4"/>
      <c r="S56" s="13">
        <v>46331</v>
      </c>
      <c r="T56" s="10">
        <v>56</v>
      </c>
      <c r="U56" s="16">
        <f>(IF(N56&gt;0,N56+P56,P56)-(T56*Ventas!AE17*0.9018))</f>
        <v>2</v>
      </c>
      <c r="V56" s="4"/>
      <c r="W56" s="16">
        <f>(100*(Ventas!AE17*1.235) - IF(U56&gt;0,U56,0))</f>
        <v>-2</v>
      </c>
      <c r="X56" s="16">
        <f t="shared" si="2"/>
        <v>0</v>
      </c>
      <c r="Y56" s="16">
        <f t="shared" si="3"/>
        <v>2</v>
      </c>
      <c r="Z56" s="4"/>
      <c r="AA56" s="11">
        <v>3010</v>
      </c>
      <c r="AB56" s="4"/>
      <c r="AC56" s="4"/>
      <c r="AD56" s="1" t="s">
        <v>34</v>
      </c>
      <c r="AE56">
        <f t="shared" si="4"/>
        <v>0</v>
      </c>
    </row>
    <row r="57" spans="1:31" x14ac:dyDescent="0.25">
      <c r="A57" s="1"/>
      <c r="B57" s="1" t="s">
        <v>89</v>
      </c>
      <c r="C57" s="15" t="s">
        <v>88</v>
      </c>
      <c r="D57" s="4"/>
      <c r="E57" s="13">
        <v>46230</v>
      </c>
      <c r="F57" s="10">
        <v>7</v>
      </c>
      <c r="G57" s="16">
        <f>(D57-(0)+0-(F57*Ventas!AE30*1.8))</f>
        <v>0</v>
      </c>
      <c r="H57" s="4"/>
      <c r="I57" s="11">
        <v>0</v>
      </c>
      <c r="J57" s="16">
        <f t="shared" si="0"/>
        <v>0</v>
      </c>
      <c r="K57" s="4"/>
      <c r="L57" s="13">
        <v>46275</v>
      </c>
      <c r="M57" s="10">
        <v>45</v>
      </c>
      <c r="N57" s="16">
        <f>(IF(G57&gt;0,G57+I57,I57)-(M57*Ventas!AE30*1.0044))</f>
        <v>0</v>
      </c>
      <c r="O57" s="4"/>
      <c r="P57" s="11">
        <v>0</v>
      </c>
      <c r="Q57" s="16">
        <f t="shared" si="1"/>
        <v>0</v>
      </c>
      <c r="R57" s="4"/>
      <c r="S57" s="13">
        <v>46331</v>
      </c>
      <c r="T57" s="10">
        <v>56</v>
      </c>
      <c r="U57" s="16">
        <f>(IF(N57&gt;0,N57+P57,P57)-(T57*Ventas!AE30*0.9018))</f>
        <v>0</v>
      </c>
      <c r="V57" s="4"/>
      <c r="W57" s="16">
        <f>(100*(Ventas!AE30*1.235) - IF(U57&gt;0,U57,0))</f>
        <v>0</v>
      </c>
      <c r="X57" s="16">
        <f t="shared" si="2"/>
        <v>0</v>
      </c>
      <c r="Y57" s="16">
        <f t="shared" si="3"/>
        <v>0</v>
      </c>
      <c r="Z57" s="4"/>
      <c r="AA57" s="4"/>
      <c r="AB57" s="4"/>
      <c r="AC57" s="4"/>
      <c r="AD57" s="1" t="s">
        <v>34</v>
      </c>
      <c r="AE57">
        <f t="shared" si="4"/>
        <v>0</v>
      </c>
    </row>
    <row r="58" spans="1:31" x14ac:dyDescent="0.25">
      <c r="A58" s="1"/>
      <c r="B58" s="1" t="s">
        <v>93</v>
      </c>
      <c r="C58" s="15" t="s">
        <v>92</v>
      </c>
      <c r="D58" s="4"/>
      <c r="E58" s="13">
        <v>46230</v>
      </c>
      <c r="F58" s="10">
        <v>7</v>
      </c>
      <c r="G58" s="16">
        <f>(D58-(0)+0-(F58*Ventas!AE32*1.8))</f>
        <v>0</v>
      </c>
      <c r="H58" s="4"/>
      <c r="I58" s="11">
        <v>0</v>
      </c>
      <c r="J58" s="16">
        <f t="shared" si="0"/>
        <v>0</v>
      </c>
      <c r="K58" s="4"/>
      <c r="L58" s="13">
        <v>46275</v>
      </c>
      <c r="M58" s="10">
        <v>45</v>
      </c>
      <c r="N58" s="16">
        <f>(IF(G58&gt;0,G58+I58,I58)-(M58*Ventas!AE32*1.0044))</f>
        <v>0</v>
      </c>
      <c r="O58" s="4"/>
      <c r="P58" s="11">
        <v>5</v>
      </c>
      <c r="Q58" s="16">
        <f t="shared" si="1"/>
        <v>5</v>
      </c>
      <c r="R58" s="4"/>
      <c r="S58" s="13">
        <v>46331</v>
      </c>
      <c r="T58" s="10">
        <v>56</v>
      </c>
      <c r="U58" s="16">
        <f>(IF(N58&gt;0,N58+P58,P58)-(T58*Ventas!AE32*0.9018))</f>
        <v>5</v>
      </c>
      <c r="V58" s="4"/>
      <c r="W58" s="16">
        <f>(100*(Ventas!AE32*1.235) - IF(U58&gt;0,U58,0))</f>
        <v>-5</v>
      </c>
      <c r="X58" s="16">
        <f t="shared" si="2"/>
        <v>0</v>
      </c>
      <c r="Y58" s="16">
        <f t="shared" si="3"/>
        <v>5</v>
      </c>
      <c r="Z58" s="4"/>
      <c r="AA58" s="4"/>
      <c r="AB58" s="4"/>
      <c r="AC58" s="4"/>
      <c r="AD58" s="1" t="s">
        <v>34</v>
      </c>
      <c r="AE58">
        <f t="shared" si="4"/>
        <v>0</v>
      </c>
    </row>
    <row r="59" spans="1:31" x14ac:dyDescent="0.25">
      <c r="A59" s="1"/>
      <c r="B59" s="1" t="s">
        <v>95</v>
      </c>
      <c r="C59" s="15" t="s">
        <v>94</v>
      </c>
      <c r="D59" s="11">
        <v>1</v>
      </c>
      <c r="E59" s="13">
        <v>46230</v>
      </c>
      <c r="F59" s="10">
        <v>7</v>
      </c>
      <c r="G59" s="16">
        <f>(D59-(0)+0-(F59*Ventas!AE33*1.8))</f>
        <v>1</v>
      </c>
      <c r="H59" s="4"/>
      <c r="I59" s="11">
        <v>0</v>
      </c>
      <c r="J59" s="16">
        <f t="shared" si="0"/>
        <v>1</v>
      </c>
      <c r="K59" s="4"/>
      <c r="L59" s="13">
        <v>46275</v>
      </c>
      <c r="M59" s="10">
        <v>45</v>
      </c>
      <c r="N59" s="16">
        <f>(IF(G59&gt;0,G59+I59,I59)-(M59*Ventas!AE33*1.0044))</f>
        <v>1</v>
      </c>
      <c r="O59" s="4"/>
      <c r="P59" s="11">
        <v>4</v>
      </c>
      <c r="Q59" s="16">
        <f t="shared" si="1"/>
        <v>5</v>
      </c>
      <c r="R59" s="4"/>
      <c r="S59" s="13">
        <v>46331</v>
      </c>
      <c r="T59" s="10">
        <v>56</v>
      </c>
      <c r="U59" s="16">
        <f>(IF(N59&gt;0,N59+P59,P59)-(T59*Ventas!AE33*0.9018))</f>
        <v>5</v>
      </c>
      <c r="V59" s="4"/>
      <c r="W59" s="16">
        <f>(100*(Ventas!AE33*1.235) - IF(U59&gt;0,U59,0))</f>
        <v>-5</v>
      </c>
      <c r="X59" s="16">
        <f t="shared" si="2"/>
        <v>0</v>
      </c>
      <c r="Y59" s="16">
        <f t="shared" si="3"/>
        <v>5</v>
      </c>
      <c r="Z59" s="4"/>
      <c r="AA59" s="11">
        <v>3010</v>
      </c>
      <c r="AB59" s="4"/>
      <c r="AC59" s="4"/>
      <c r="AD59" s="1" t="s">
        <v>34</v>
      </c>
      <c r="AE59">
        <f t="shared" si="4"/>
        <v>0</v>
      </c>
    </row>
    <row r="60" spans="1:31" x14ac:dyDescent="0.25">
      <c r="A60" s="1"/>
      <c r="B60" s="1" t="s">
        <v>97</v>
      </c>
      <c r="C60" s="15" t="s">
        <v>96</v>
      </c>
      <c r="D60" s="4"/>
      <c r="E60" s="13">
        <v>46230</v>
      </c>
      <c r="F60" s="10">
        <v>7</v>
      </c>
      <c r="G60" s="16">
        <f>(D60-(0)+0-(F60*Ventas!AE34*1.8))</f>
        <v>0</v>
      </c>
      <c r="H60" s="4"/>
      <c r="I60" s="11">
        <v>0</v>
      </c>
      <c r="J60" s="16">
        <f t="shared" si="0"/>
        <v>0</v>
      </c>
      <c r="K60" s="4"/>
      <c r="L60" s="13">
        <v>46275</v>
      </c>
      <c r="M60" s="10">
        <v>45</v>
      </c>
      <c r="N60" s="16">
        <f>(IF(G60&gt;0,G60+I60,I60)-(M60*Ventas!AE34*1.0044))</f>
        <v>0</v>
      </c>
      <c r="O60" s="4"/>
      <c r="P60" s="11">
        <v>0</v>
      </c>
      <c r="Q60" s="16">
        <f t="shared" si="1"/>
        <v>0</v>
      </c>
      <c r="R60" s="4"/>
      <c r="S60" s="13">
        <v>46331</v>
      </c>
      <c r="T60" s="10">
        <v>56</v>
      </c>
      <c r="U60" s="16">
        <f>(IF(N60&gt;0,N60+P60,P60)-(T60*Ventas!AE34*0.9018))</f>
        <v>0</v>
      </c>
      <c r="V60" s="4"/>
      <c r="W60" s="16">
        <f>(100*(Ventas!AE34*1.235) - IF(U60&gt;0,U60,0))</f>
        <v>0</v>
      </c>
      <c r="X60" s="16">
        <f t="shared" si="2"/>
        <v>0</v>
      </c>
      <c r="Y60" s="16">
        <f t="shared" si="3"/>
        <v>0</v>
      </c>
      <c r="Z60" s="4"/>
      <c r="AA60" s="4"/>
      <c r="AB60" s="4"/>
      <c r="AC60" s="4"/>
      <c r="AD60" s="1" t="s">
        <v>34</v>
      </c>
      <c r="AE60">
        <f t="shared" si="4"/>
        <v>0</v>
      </c>
    </row>
    <row r="61" spans="1:31" x14ac:dyDescent="0.25">
      <c r="A61" s="1"/>
      <c r="B61" s="1" t="s">
        <v>42</v>
      </c>
      <c r="C61" s="15" t="s">
        <v>100</v>
      </c>
      <c r="D61" s="4"/>
      <c r="E61" s="13">
        <v>46230</v>
      </c>
      <c r="F61" s="10">
        <v>7</v>
      </c>
      <c r="G61" s="16">
        <f>(D61-(0)+0-(F61*Ventas!AE36*1.8))</f>
        <v>0</v>
      </c>
      <c r="H61" s="4"/>
      <c r="I61" s="11">
        <v>0</v>
      </c>
      <c r="J61" s="16">
        <f t="shared" si="0"/>
        <v>0</v>
      </c>
      <c r="K61" s="4"/>
      <c r="L61" s="13">
        <v>46275</v>
      </c>
      <c r="M61" s="10">
        <v>45</v>
      </c>
      <c r="N61" s="16">
        <f>(IF(G61&gt;0,G61+I61,I61)-(M61*Ventas!AE36*1.0044))</f>
        <v>0</v>
      </c>
      <c r="O61" s="4"/>
      <c r="P61" s="11">
        <v>0</v>
      </c>
      <c r="Q61" s="16">
        <f t="shared" si="1"/>
        <v>0</v>
      </c>
      <c r="R61" s="4"/>
      <c r="S61" s="13">
        <v>46331</v>
      </c>
      <c r="T61" s="10">
        <v>56</v>
      </c>
      <c r="U61" s="16">
        <f>(IF(N61&gt;0,N61+P61,P61)-(T61*Ventas!AE36*0.9018))</f>
        <v>0</v>
      </c>
      <c r="V61" s="4"/>
      <c r="W61" s="16">
        <f>(100*(Ventas!AE36*1.235) - IF(U61&gt;0,U61,0))</f>
        <v>0</v>
      </c>
      <c r="X61" s="16">
        <f t="shared" si="2"/>
        <v>0</v>
      </c>
      <c r="Y61" s="16">
        <f t="shared" si="3"/>
        <v>0</v>
      </c>
      <c r="Z61" s="4"/>
      <c r="AA61" s="4"/>
      <c r="AB61" s="4"/>
      <c r="AC61" s="4"/>
      <c r="AD61" s="1" t="s">
        <v>34</v>
      </c>
      <c r="AE61">
        <f t="shared" si="4"/>
        <v>0</v>
      </c>
    </row>
    <row r="62" spans="1:31" x14ac:dyDescent="0.25">
      <c r="A62" s="1"/>
      <c r="B62" s="1" t="s">
        <v>102</v>
      </c>
      <c r="C62" s="15" t="s">
        <v>101</v>
      </c>
      <c r="D62" s="4"/>
      <c r="E62" s="13">
        <v>46230</v>
      </c>
      <c r="F62" s="10">
        <v>7</v>
      </c>
      <c r="G62" s="16">
        <f>(D62-(0)+0-(F62*Ventas!AE37*1.8))</f>
        <v>0</v>
      </c>
      <c r="H62" s="4"/>
      <c r="I62" s="11">
        <v>0</v>
      </c>
      <c r="J62" s="16">
        <f t="shared" si="0"/>
        <v>0</v>
      </c>
      <c r="K62" s="4"/>
      <c r="L62" s="13">
        <v>46275</v>
      </c>
      <c r="M62" s="10">
        <v>45</v>
      </c>
      <c r="N62" s="16">
        <f>(IF(G62&gt;0,G62+I62,I62)-(M62*Ventas!AE37*1.0044))</f>
        <v>0</v>
      </c>
      <c r="O62" s="4"/>
      <c r="P62" s="11">
        <v>0</v>
      </c>
      <c r="Q62" s="16">
        <f t="shared" si="1"/>
        <v>0</v>
      </c>
      <c r="R62" s="4"/>
      <c r="S62" s="13">
        <v>46331</v>
      </c>
      <c r="T62" s="10">
        <v>56</v>
      </c>
      <c r="U62" s="16">
        <f>(IF(N62&gt;0,N62+P62,P62)-(T62*Ventas!AE37*0.9018))</f>
        <v>0</v>
      </c>
      <c r="V62" s="4"/>
      <c r="W62" s="16">
        <f>(100*(Ventas!AE37*1.235) - IF(U62&gt;0,U62,0))</f>
        <v>0</v>
      </c>
      <c r="X62" s="16">
        <f t="shared" si="2"/>
        <v>0</v>
      </c>
      <c r="Y62" s="16">
        <f t="shared" si="3"/>
        <v>0</v>
      </c>
      <c r="Z62" s="4"/>
      <c r="AA62" s="4"/>
      <c r="AB62" s="4"/>
      <c r="AC62" s="4"/>
      <c r="AD62" s="1" t="s">
        <v>34</v>
      </c>
      <c r="AE62">
        <f t="shared" si="4"/>
        <v>0</v>
      </c>
    </row>
    <row r="63" spans="1:31" x14ac:dyDescent="0.25">
      <c r="A63" s="1"/>
      <c r="B63" s="1" t="s">
        <v>104</v>
      </c>
      <c r="C63" s="15" t="s">
        <v>103</v>
      </c>
      <c r="D63" s="4"/>
      <c r="E63" s="13">
        <v>46230</v>
      </c>
      <c r="F63" s="10">
        <v>7</v>
      </c>
      <c r="G63" s="16">
        <f>(D63-(0)+0-(F63*Ventas!AE38*1.8))</f>
        <v>0</v>
      </c>
      <c r="H63" s="4"/>
      <c r="I63" s="11">
        <v>0</v>
      </c>
      <c r="J63" s="16">
        <f t="shared" si="0"/>
        <v>0</v>
      </c>
      <c r="K63" s="4"/>
      <c r="L63" s="13">
        <v>46275</v>
      </c>
      <c r="M63" s="10">
        <v>45</v>
      </c>
      <c r="N63" s="16">
        <f>(IF(G63&gt;0,G63+I63,I63)-(M63*Ventas!AE38*1.0044))</f>
        <v>0</v>
      </c>
      <c r="O63" s="4"/>
      <c r="P63" s="11">
        <v>0</v>
      </c>
      <c r="Q63" s="16">
        <f t="shared" si="1"/>
        <v>0</v>
      </c>
      <c r="R63" s="4"/>
      <c r="S63" s="13">
        <v>46331</v>
      </c>
      <c r="T63" s="10">
        <v>56</v>
      </c>
      <c r="U63" s="16">
        <f>(IF(N63&gt;0,N63+P63,P63)-(T63*Ventas!AE38*0.9018))</f>
        <v>0</v>
      </c>
      <c r="V63" s="4"/>
      <c r="W63" s="16">
        <f>(100*(Ventas!AE38*1.235) - IF(U63&gt;0,U63,0))</f>
        <v>0</v>
      </c>
      <c r="X63" s="16">
        <f t="shared" si="2"/>
        <v>0</v>
      </c>
      <c r="Y63" s="16">
        <f t="shared" si="3"/>
        <v>0</v>
      </c>
      <c r="Z63" s="4"/>
      <c r="AA63" s="4"/>
      <c r="AB63" s="4"/>
      <c r="AC63" s="4"/>
      <c r="AD63" s="1" t="s">
        <v>34</v>
      </c>
      <c r="AE63">
        <f t="shared" si="4"/>
        <v>0</v>
      </c>
    </row>
    <row r="64" spans="1:31" x14ac:dyDescent="0.25">
      <c r="A64" s="1"/>
      <c r="B64" s="1" t="s">
        <v>106</v>
      </c>
      <c r="C64" s="15" t="s">
        <v>105</v>
      </c>
      <c r="D64" s="4"/>
      <c r="E64" s="13">
        <v>46230</v>
      </c>
      <c r="F64" s="10">
        <v>7</v>
      </c>
      <c r="G64" s="16">
        <f>(D64-(0)+0-(F64*Ventas!AE39*1.8))</f>
        <v>0</v>
      </c>
      <c r="H64" s="4"/>
      <c r="I64" s="11">
        <v>0</v>
      </c>
      <c r="J64" s="16">
        <f t="shared" si="0"/>
        <v>0</v>
      </c>
      <c r="K64" s="4"/>
      <c r="L64" s="13">
        <v>46275</v>
      </c>
      <c r="M64" s="10">
        <v>45</v>
      </c>
      <c r="N64" s="16">
        <f>(IF(G64&gt;0,G64+I64,I64)-(M64*Ventas!AE39*1.0044))</f>
        <v>0</v>
      </c>
      <c r="O64" s="4"/>
      <c r="P64" s="11">
        <v>0</v>
      </c>
      <c r="Q64" s="16">
        <f t="shared" si="1"/>
        <v>0</v>
      </c>
      <c r="R64" s="4"/>
      <c r="S64" s="13">
        <v>46331</v>
      </c>
      <c r="T64" s="10">
        <v>56</v>
      </c>
      <c r="U64" s="16">
        <f>(IF(N64&gt;0,N64+P64,P64)-(T64*Ventas!AE39*0.9018))</f>
        <v>0</v>
      </c>
      <c r="V64" s="4"/>
      <c r="W64" s="16">
        <f>(100*(Ventas!AE39*1.235) - IF(U64&gt;0,U64,0))</f>
        <v>0</v>
      </c>
      <c r="X64" s="16">
        <f t="shared" si="2"/>
        <v>0</v>
      </c>
      <c r="Y64" s="16">
        <f t="shared" si="3"/>
        <v>0</v>
      </c>
      <c r="Z64" s="18">
        <v>12.5</v>
      </c>
      <c r="AA64" s="11">
        <v>3027</v>
      </c>
      <c r="AB64" s="4"/>
      <c r="AC64" s="4"/>
      <c r="AD64" s="1" t="s">
        <v>107</v>
      </c>
      <c r="AE64">
        <f t="shared" si="4"/>
        <v>0</v>
      </c>
    </row>
    <row r="65" spans="1:31" x14ac:dyDescent="0.25">
      <c r="A65" s="1"/>
      <c r="B65" s="1" t="s">
        <v>109</v>
      </c>
      <c r="C65" s="15" t="s">
        <v>108</v>
      </c>
      <c r="D65" s="4"/>
      <c r="E65" s="13">
        <v>46230</v>
      </c>
      <c r="F65" s="10">
        <v>7</v>
      </c>
      <c r="G65" s="16">
        <f>(D65-(0)+0-(F65*Ventas!AE40*1.8))</f>
        <v>0</v>
      </c>
      <c r="H65" s="4"/>
      <c r="I65" s="11">
        <v>0</v>
      </c>
      <c r="J65" s="16">
        <f t="shared" si="0"/>
        <v>0</v>
      </c>
      <c r="K65" s="4"/>
      <c r="L65" s="13">
        <v>46275</v>
      </c>
      <c r="M65" s="10">
        <v>45</v>
      </c>
      <c r="N65" s="16">
        <f>(IF(G65&gt;0,G65+I65,I65)-(M65*Ventas!AE40*1.0044))</f>
        <v>0</v>
      </c>
      <c r="O65" s="4"/>
      <c r="P65" s="11">
        <v>0</v>
      </c>
      <c r="Q65" s="16">
        <f t="shared" si="1"/>
        <v>0</v>
      </c>
      <c r="R65" s="4"/>
      <c r="S65" s="13">
        <v>46331</v>
      </c>
      <c r="T65" s="10">
        <v>56</v>
      </c>
      <c r="U65" s="16">
        <f>(IF(N65&gt;0,N65+P65,P65)-(T65*Ventas!AE40*0.9018))</f>
        <v>0</v>
      </c>
      <c r="V65" s="4"/>
      <c r="W65" s="16">
        <f>(100*(Ventas!AE40*1.235) - IF(U65&gt;0,U65,0))</f>
        <v>0</v>
      </c>
      <c r="X65" s="16">
        <f t="shared" si="2"/>
        <v>0</v>
      </c>
      <c r="Y65" s="16">
        <f t="shared" si="3"/>
        <v>0</v>
      </c>
      <c r="Z65" s="18">
        <v>40.57</v>
      </c>
      <c r="AA65" s="11">
        <v>3027</v>
      </c>
      <c r="AB65" s="4"/>
      <c r="AC65" s="4"/>
      <c r="AD65" s="1" t="s">
        <v>34</v>
      </c>
      <c r="AE65">
        <f t="shared" si="4"/>
        <v>0</v>
      </c>
    </row>
    <row r="66" spans="1:31" x14ac:dyDescent="0.25">
      <c r="A66" s="1"/>
      <c r="B66" s="1" t="s">
        <v>111</v>
      </c>
      <c r="C66" s="15" t="s">
        <v>110</v>
      </c>
      <c r="D66" s="4"/>
      <c r="E66" s="13">
        <v>46230</v>
      </c>
      <c r="F66" s="10">
        <v>7</v>
      </c>
      <c r="G66" s="16">
        <f>(D66-(0)+0-(F66*Ventas!AE41*1.8))</f>
        <v>0</v>
      </c>
      <c r="H66" s="4"/>
      <c r="I66" s="11">
        <v>0</v>
      </c>
      <c r="J66" s="16">
        <f t="shared" si="0"/>
        <v>0</v>
      </c>
      <c r="K66" s="4"/>
      <c r="L66" s="13">
        <v>46275</v>
      </c>
      <c r="M66" s="10">
        <v>45</v>
      </c>
      <c r="N66" s="16">
        <f>(IF(G66&gt;0,G66+I66,I66)-(M66*Ventas!AE41*1.0044))</f>
        <v>0</v>
      </c>
      <c r="O66" s="4"/>
      <c r="P66" s="11">
        <v>0</v>
      </c>
      <c r="Q66" s="16">
        <f t="shared" si="1"/>
        <v>0</v>
      </c>
      <c r="R66" s="4"/>
      <c r="S66" s="13">
        <v>46331</v>
      </c>
      <c r="T66" s="10">
        <v>56</v>
      </c>
      <c r="U66" s="16">
        <f>(IF(N66&gt;0,N66+P66,P66)-(T66*Ventas!AE41*0.9018))</f>
        <v>0</v>
      </c>
      <c r="V66" s="4"/>
      <c r="W66" s="16">
        <f>(100*(Ventas!AE41*1.235) - IF(U66&gt;0,U66,0))</f>
        <v>0</v>
      </c>
      <c r="X66" s="16">
        <f t="shared" si="2"/>
        <v>0</v>
      </c>
      <c r="Y66" s="16">
        <f t="shared" si="3"/>
        <v>0</v>
      </c>
      <c r="Z66" s="18">
        <v>63.72</v>
      </c>
      <c r="AA66" s="11">
        <v>3027</v>
      </c>
      <c r="AB66" s="4"/>
      <c r="AC66" s="4"/>
      <c r="AD66" s="1" t="s">
        <v>34</v>
      </c>
      <c r="AE66">
        <f t="shared" si="4"/>
        <v>0</v>
      </c>
    </row>
    <row r="67" spans="1:31" x14ac:dyDescent="0.25">
      <c r="A67" s="1"/>
      <c r="B67" s="1" t="s">
        <v>113</v>
      </c>
      <c r="C67" s="15" t="s">
        <v>112</v>
      </c>
      <c r="D67" s="4"/>
      <c r="E67" s="13">
        <v>46230</v>
      </c>
      <c r="F67" s="10">
        <v>7</v>
      </c>
      <c r="G67" s="16">
        <f>(D67-(0)+0-(F67*Ventas!AE42*1.8))</f>
        <v>0</v>
      </c>
      <c r="H67" s="4"/>
      <c r="I67" s="11">
        <v>0</v>
      </c>
      <c r="J67" s="16">
        <f t="shared" si="0"/>
        <v>0</v>
      </c>
      <c r="K67" s="4"/>
      <c r="L67" s="13">
        <v>46275</v>
      </c>
      <c r="M67" s="10">
        <v>45</v>
      </c>
      <c r="N67" s="16">
        <f>(IF(G67&gt;0,G67+I67,I67)-(M67*Ventas!AE42*1.0044))</f>
        <v>0</v>
      </c>
      <c r="O67" s="4"/>
      <c r="P67" s="11">
        <v>0</v>
      </c>
      <c r="Q67" s="16">
        <f t="shared" si="1"/>
        <v>0</v>
      </c>
      <c r="R67" s="4"/>
      <c r="S67" s="13">
        <v>46331</v>
      </c>
      <c r="T67" s="10">
        <v>56</v>
      </c>
      <c r="U67" s="16">
        <f>(IF(N67&gt;0,N67+P67,P67)-(T67*Ventas!AE42*0.9018))</f>
        <v>0</v>
      </c>
      <c r="V67" s="4"/>
      <c r="W67" s="16">
        <f>(100*(Ventas!AE42*1.235) - IF(U67&gt;0,U67,0))</f>
        <v>0</v>
      </c>
      <c r="X67" s="16">
        <f t="shared" si="2"/>
        <v>0</v>
      </c>
      <c r="Y67" s="16">
        <f t="shared" si="3"/>
        <v>0</v>
      </c>
      <c r="Z67" s="18">
        <v>41.12</v>
      </c>
      <c r="AA67" s="11">
        <v>3027</v>
      </c>
      <c r="AB67" s="4"/>
      <c r="AC67" s="4"/>
      <c r="AD67" s="1" t="s">
        <v>34</v>
      </c>
      <c r="AE67">
        <f t="shared" si="4"/>
        <v>0</v>
      </c>
    </row>
    <row r="68" spans="1:31" x14ac:dyDescent="0.25">
      <c r="A68" s="1"/>
      <c r="B68" s="1" t="s">
        <v>115</v>
      </c>
      <c r="C68" s="15" t="s">
        <v>114</v>
      </c>
      <c r="D68" s="4"/>
      <c r="E68" s="13">
        <v>46230</v>
      </c>
      <c r="F68" s="10">
        <v>7</v>
      </c>
      <c r="G68" s="16">
        <f>(D68-(0)+0-(F68*Ventas!AE43*1.8))</f>
        <v>0</v>
      </c>
      <c r="H68" s="4"/>
      <c r="I68" s="11">
        <v>0</v>
      </c>
      <c r="J68" s="16">
        <f t="shared" si="0"/>
        <v>0</v>
      </c>
      <c r="K68" s="4"/>
      <c r="L68" s="13">
        <v>46275</v>
      </c>
      <c r="M68" s="10">
        <v>45</v>
      </c>
      <c r="N68" s="16">
        <f>(IF(G68&gt;0,G68+I68,I68)-(M68*Ventas!AE43*1.0044))</f>
        <v>0</v>
      </c>
      <c r="O68" s="4"/>
      <c r="P68" s="11">
        <v>0</v>
      </c>
      <c r="Q68" s="16">
        <f t="shared" si="1"/>
        <v>0</v>
      </c>
      <c r="R68" s="4"/>
      <c r="S68" s="13">
        <v>46331</v>
      </c>
      <c r="T68" s="10">
        <v>56</v>
      </c>
      <c r="U68" s="16">
        <f>(IF(N68&gt;0,N68+P68,P68)-(T68*Ventas!AE43*0.9018))</f>
        <v>0</v>
      </c>
      <c r="V68" s="4"/>
      <c r="W68" s="16">
        <f>(100*(Ventas!AE43*1.235) - IF(U68&gt;0,U68,0))</f>
        <v>0</v>
      </c>
      <c r="X68" s="16">
        <f t="shared" si="2"/>
        <v>0</v>
      </c>
      <c r="Y68" s="16">
        <f t="shared" si="3"/>
        <v>0</v>
      </c>
      <c r="Z68" s="18">
        <v>33.32</v>
      </c>
      <c r="AA68" s="11">
        <v>3027</v>
      </c>
      <c r="AB68" s="4"/>
      <c r="AC68" s="4"/>
      <c r="AD68" s="1" t="s">
        <v>34</v>
      </c>
      <c r="AE68">
        <f t="shared" si="4"/>
        <v>0</v>
      </c>
    </row>
    <row r="69" spans="1:31" x14ac:dyDescent="0.25">
      <c r="A69" s="1"/>
      <c r="B69" s="1" t="s">
        <v>117</v>
      </c>
      <c r="C69" s="15" t="s">
        <v>116</v>
      </c>
      <c r="D69" s="11">
        <v>41</v>
      </c>
      <c r="E69" s="13">
        <v>46230</v>
      </c>
      <c r="F69" s="10">
        <v>7</v>
      </c>
      <c r="G69" s="16">
        <f>(D69-(0)+0-(F69*Ventas!AE44*1.8))</f>
        <v>38.8157</v>
      </c>
      <c r="H69" s="17">
        <f>(G69/(Ventas!AE44*1.8)/60)</f>
        <v>2.0732034671672084</v>
      </c>
      <c r="I69" s="11">
        <v>0</v>
      </c>
      <c r="J69" s="16">
        <f t="shared" ref="J69:J132" si="5">IF(G69&gt;0,G69+I69,I69)</f>
        <v>38.8157</v>
      </c>
      <c r="K69" s="4"/>
      <c r="L69" s="13">
        <v>46275</v>
      </c>
      <c r="M69" s="10">
        <v>45</v>
      </c>
      <c r="N69" s="16">
        <f>(IF(G69&gt;0,G69+I69,I69)-(M69*Ventas!AE44*1.0044))</f>
        <v>30.980303857142857</v>
      </c>
      <c r="O69" s="17">
        <f>(N69/(Ventas!AE44*1.0044)/60)</f>
        <v>2.965418399941234</v>
      </c>
      <c r="P69" s="11">
        <v>0</v>
      </c>
      <c r="Q69" s="16">
        <f t="shared" ref="Q69:Q132" si="6">IF(N69&gt;0,N69+P69,P69)</f>
        <v>30.980303857142857</v>
      </c>
      <c r="R69" s="4"/>
      <c r="S69" s="13">
        <v>46331</v>
      </c>
      <c r="T69" s="10">
        <v>56</v>
      </c>
      <c r="U69" s="16">
        <f>(IF(N69&gt;0,N69+P69,P69)-(T69*Ventas!AE44*0.9018))</f>
        <v>22.225629457142858</v>
      </c>
      <c r="V69" s="17">
        <f>(U69/(Ventas!AE44*0.9018)/60)</f>
        <v>2.3694679983377411</v>
      </c>
      <c r="W69" s="16">
        <f>(100*(Ventas!AE44*1.235) - IF(U69&gt;0,U69,0))</f>
        <v>-0.81602231428571415</v>
      </c>
      <c r="X69" s="16">
        <f t="shared" ref="X69:X132" si="7">IF(W69&gt;0,W69,0)</f>
        <v>0</v>
      </c>
      <c r="Y69" s="16">
        <f t="shared" ref="Y69:Y132" si="8">IF(U69&gt;0,U69+IF(X69&gt;0,X69,0),X69)</f>
        <v>22.225629457142858</v>
      </c>
      <c r="Z69" s="18">
        <v>5.5860000000000003</v>
      </c>
      <c r="AA69" s="11">
        <v>3010</v>
      </c>
      <c r="AB69" s="16">
        <f>(Y69-(60*Ventas!AE44*1.235))</f>
        <v>9.3798651714285715</v>
      </c>
      <c r="AC69" s="17">
        <f>(AB69/(Ventas!AE44*1.235)/60)</f>
        <v>0.73019128817892731</v>
      </c>
      <c r="AD69" s="1" t="s">
        <v>34</v>
      </c>
      <c r="AE69">
        <f t="shared" si="4"/>
        <v>0</v>
      </c>
    </row>
    <row r="70" spans="1:31" x14ac:dyDescent="0.25">
      <c r="A70" s="1"/>
      <c r="B70" s="1" t="s">
        <v>119</v>
      </c>
      <c r="C70" s="15" t="s">
        <v>118</v>
      </c>
      <c r="D70" s="4"/>
      <c r="E70" s="13">
        <v>46230</v>
      </c>
      <c r="F70" s="10">
        <v>7</v>
      </c>
      <c r="G70" s="16">
        <f>(D70-(0)+0-(F70*Ventas!AE45*1.8))</f>
        <v>0</v>
      </c>
      <c r="H70" s="4"/>
      <c r="I70" s="11">
        <v>0</v>
      </c>
      <c r="J70" s="16">
        <f t="shared" si="5"/>
        <v>0</v>
      </c>
      <c r="K70" s="4"/>
      <c r="L70" s="13">
        <v>46275</v>
      </c>
      <c r="M70" s="10">
        <v>45</v>
      </c>
      <c r="N70" s="16">
        <f>(IF(G70&gt;0,G70+I70,I70)-(M70*Ventas!AE45*1.0044))</f>
        <v>0</v>
      </c>
      <c r="O70" s="4"/>
      <c r="P70" s="11">
        <v>0</v>
      </c>
      <c r="Q70" s="16">
        <f t="shared" si="6"/>
        <v>0</v>
      </c>
      <c r="R70" s="4"/>
      <c r="S70" s="13">
        <v>46331</v>
      </c>
      <c r="T70" s="10">
        <v>56</v>
      </c>
      <c r="U70" s="16">
        <f>(IF(N70&gt;0,N70+P70,P70)-(T70*Ventas!AE45*0.9018))</f>
        <v>0</v>
      </c>
      <c r="V70" s="4"/>
      <c r="W70" s="16">
        <f>(100*(Ventas!AE45*1.235) - IF(U70&gt;0,U70,0))</f>
        <v>0</v>
      </c>
      <c r="X70" s="16">
        <f t="shared" si="7"/>
        <v>0</v>
      </c>
      <c r="Y70" s="16">
        <f t="shared" si="8"/>
        <v>0</v>
      </c>
      <c r="Z70" s="18">
        <v>4.2</v>
      </c>
      <c r="AA70" s="11">
        <v>3017</v>
      </c>
      <c r="AB70" s="4"/>
      <c r="AC70" s="4"/>
      <c r="AD70" s="1" t="s">
        <v>34</v>
      </c>
      <c r="AE70">
        <f t="shared" ref="AE70:AE133" si="9">X70*Z70</f>
        <v>0</v>
      </c>
    </row>
    <row r="71" spans="1:31" x14ac:dyDescent="0.25">
      <c r="A71" s="1"/>
      <c r="B71" s="1" t="s">
        <v>121</v>
      </c>
      <c r="C71" s="15" t="s">
        <v>120</v>
      </c>
      <c r="D71" s="4"/>
      <c r="E71" s="13">
        <v>46230</v>
      </c>
      <c r="F71" s="10">
        <v>7</v>
      </c>
      <c r="G71" s="16">
        <f>(D71-(0)+0-(F71*Ventas!AE46*1.8))</f>
        <v>0</v>
      </c>
      <c r="H71" s="4"/>
      <c r="I71" s="11">
        <v>0</v>
      </c>
      <c r="J71" s="16">
        <f t="shared" si="5"/>
        <v>0</v>
      </c>
      <c r="K71" s="4"/>
      <c r="L71" s="13">
        <v>46275</v>
      </c>
      <c r="M71" s="10">
        <v>45</v>
      </c>
      <c r="N71" s="16">
        <f>(IF(G71&gt;0,G71+I71,I71)-(M71*Ventas!AE46*1.0044))</f>
        <v>0</v>
      </c>
      <c r="O71" s="4"/>
      <c r="P71" s="11">
        <v>0</v>
      </c>
      <c r="Q71" s="16">
        <f t="shared" si="6"/>
        <v>0</v>
      </c>
      <c r="R71" s="4"/>
      <c r="S71" s="13">
        <v>46331</v>
      </c>
      <c r="T71" s="10">
        <v>56</v>
      </c>
      <c r="U71" s="16">
        <f>(IF(N71&gt;0,N71+P71,P71)-(T71*Ventas!AE46*0.9018))</f>
        <v>0</v>
      </c>
      <c r="V71" s="4"/>
      <c r="W71" s="16">
        <f>(100*(Ventas!AE46*1.235) - IF(U71&gt;0,U71,0))</f>
        <v>0</v>
      </c>
      <c r="X71" s="16">
        <f t="shared" si="7"/>
        <v>0</v>
      </c>
      <c r="Y71" s="16">
        <f t="shared" si="8"/>
        <v>0</v>
      </c>
      <c r="Z71" s="18">
        <v>12.3</v>
      </c>
      <c r="AA71" s="11">
        <v>3010</v>
      </c>
      <c r="AB71" s="4"/>
      <c r="AC71" s="4"/>
      <c r="AD71" s="1" t="s">
        <v>107</v>
      </c>
      <c r="AE71">
        <f t="shared" si="9"/>
        <v>0</v>
      </c>
    </row>
    <row r="72" spans="1:31" x14ac:dyDescent="0.25">
      <c r="A72" s="1"/>
      <c r="B72" s="1" t="s">
        <v>123</v>
      </c>
      <c r="C72" s="15" t="s">
        <v>122</v>
      </c>
      <c r="D72" s="4"/>
      <c r="E72" s="13">
        <v>46230</v>
      </c>
      <c r="F72" s="10">
        <v>7</v>
      </c>
      <c r="G72" s="16">
        <f>(D72-(0)+0-(F72*Ventas!AE47*1.8))</f>
        <v>0</v>
      </c>
      <c r="H72" s="4"/>
      <c r="I72" s="11">
        <v>0</v>
      </c>
      <c r="J72" s="16">
        <f t="shared" si="5"/>
        <v>0</v>
      </c>
      <c r="K72" s="4"/>
      <c r="L72" s="13">
        <v>46275</v>
      </c>
      <c r="M72" s="10">
        <v>45</v>
      </c>
      <c r="N72" s="16">
        <f>(IF(G72&gt;0,G72+I72,I72)-(M72*Ventas!AE47*1.0044))</f>
        <v>0</v>
      </c>
      <c r="O72" s="4"/>
      <c r="P72" s="11">
        <v>0</v>
      </c>
      <c r="Q72" s="16">
        <f t="shared" si="6"/>
        <v>0</v>
      </c>
      <c r="R72" s="4"/>
      <c r="S72" s="13">
        <v>46331</v>
      </c>
      <c r="T72" s="10">
        <v>56</v>
      </c>
      <c r="U72" s="16">
        <f>(IF(N72&gt;0,N72+P72,P72)-(T72*Ventas!AE47*0.9018))</f>
        <v>0</v>
      </c>
      <c r="V72" s="4"/>
      <c r="W72" s="16">
        <f>(100*(Ventas!AE47*1.235) - IF(U72&gt;0,U72,0))</f>
        <v>0</v>
      </c>
      <c r="X72" s="16">
        <f t="shared" si="7"/>
        <v>0</v>
      </c>
      <c r="Y72" s="16">
        <f t="shared" si="8"/>
        <v>0</v>
      </c>
      <c r="Z72" s="18">
        <v>3.8</v>
      </c>
      <c r="AA72" s="11">
        <v>3027</v>
      </c>
      <c r="AB72" s="4"/>
      <c r="AC72" s="4"/>
      <c r="AD72" s="1" t="s">
        <v>107</v>
      </c>
      <c r="AE72">
        <f t="shared" si="9"/>
        <v>0</v>
      </c>
    </row>
    <row r="73" spans="1:31" x14ac:dyDescent="0.25">
      <c r="A73" s="1"/>
      <c r="B73" s="1" t="s">
        <v>127</v>
      </c>
      <c r="C73" s="15" t="s">
        <v>126</v>
      </c>
      <c r="D73" s="4"/>
      <c r="E73" s="13">
        <v>46230</v>
      </c>
      <c r="F73" s="10">
        <v>7</v>
      </c>
      <c r="G73" s="16">
        <f>(D73-(0)+0-(F73*Ventas!AE49*1.8))</f>
        <v>0</v>
      </c>
      <c r="H73" s="4"/>
      <c r="I73" s="11">
        <v>0</v>
      </c>
      <c r="J73" s="16">
        <f t="shared" si="5"/>
        <v>0</v>
      </c>
      <c r="K73" s="4"/>
      <c r="L73" s="13">
        <v>46275</v>
      </c>
      <c r="M73" s="10">
        <v>45</v>
      </c>
      <c r="N73" s="16">
        <f>(IF(G73&gt;0,G73+I73,I73)-(M73*Ventas!AE49*1.0044))</f>
        <v>0</v>
      </c>
      <c r="O73" s="4"/>
      <c r="P73" s="11">
        <v>0</v>
      </c>
      <c r="Q73" s="16">
        <f t="shared" si="6"/>
        <v>0</v>
      </c>
      <c r="R73" s="4"/>
      <c r="S73" s="13">
        <v>46331</v>
      </c>
      <c r="T73" s="10">
        <v>56</v>
      </c>
      <c r="U73" s="16">
        <f>(IF(N73&gt;0,N73+P73,P73)-(T73*Ventas!AE49*0.9018))</f>
        <v>0</v>
      </c>
      <c r="V73" s="4"/>
      <c r="W73" s="16">
        <f>(100*(Ventas!AE49*1.235) - IF(U73&gt;0,U73,0))</f>
        <v>0</v>
      </c>
      <c r="X73" s="16">
        <f t="shared" si="7"/>
        <v>0</v>
      </c>
      <c r="Y73" s="16">
        <f t="shared" si="8"/>
        <v>0</v>
      </c>
      <c r="Z73" s="18">
        <v>43.92</v>
      </c>
      <c r="AA73" s="11">
        <v>3027</v>
      </c>
      <c r="AB73" s="4"/>
      <c r="AC73" s="4"/>
      <c r="AD73" s="1" t="s">
        <v>34</v>
      </c>
      <c r="AE73">
        <f t="shared" si="9"/>
        <v>0</v>
      </c>
    </row>
    <row r="74" spans="1:31" x14ac:dyDescent="0.25">
      <c r="A74" s="1"/>
      <c r="B74" s="1" t="s">
        <v>129</v>
      </c>
      <c r="C74" s="15" t="s">
        <v>128</v>
      </c>
      <c r="D74" s="11">
        <v>62</v>
      </c>
      <c r="E74" s="13">
        <v>46230</v>
      </c>
      <c r="F74" s="10">
        <v>7</v>
      </c>
      <c r="G74" s="16">
        <f>(D74-(0)+0-(F74*Ventas!AE50*1.8))</f>
        <v>49.633099999999999</v>
      </c>
      <c r="H74" s="17">
        <f>(G74/(Ventas!AE50*1.8)/60)</f>
        <v>0.46822795796305727</v>
      </c>
      <c r="I74" s="11">
        <v>90</v>
      </c>
      <c r="J74" s="16">
        <f t="shared" si="5"/>
        <v>139.63310000000001</v>
      </c>
      <c r="K74" s="16">
        <v>3.952</v>
      </c>
      <c r="L74" s="13">
        <v>46275</v>
      </c>
      <c r="M74" s="10">
        <v>45</v>
      </c>
      <c r="N74" s="16">
        <f>(IF(G74&gt;0,G74+I74,I74)-(M74*Ventas!AE50*1.0044))</f>
        <v>95.271263000000019</v>
      </c>
      <c r="O74" s="17">
        <f>(N74/(Ventas!AE50*1.0044)/60)</f>
        <v>1.610696312012508</v>
      </c>
      <c r="P74" s="11">
        <v>90</v>
      </c>
      <c r="Q74" s="16">
        <f t="shared" si="6"/>
        <v>185.27126300000003</v>
      </c>
      <c r="R74" s="16">
        <v>4</v>
      </c>
      <c r="S74" s="13">
        <v>46331</v>
      </c>
      <c r="T74" s="10">
        <v>56</v>
      </c>
      <c r="U74" s="16">
        <f>(IF(N74&gt;0,N74+P74,P74)-(T74*Ventas!AE50*0.9018))</f>
        <v>135.70472780000003</v>
      </c>
      <c r="V74" s="17">
        <f>(U74/(Ventas!AE50*0.9018)/60)</f>
        <v>2.5553076372113797</v>
      </c>
      <c r="W74" s="16">
        <f>(100*(Ventas!AE50*1.235) - IF(U74&gt;0,U74,0))</f>
        <v>-14.489477800000031</v>
      </c>
      <c r="X74" s="16">
        <f t="shared" si="7"/>
        <v>0</v>
      </c>
      <c r="Y74" s="16">
        <f t="shared" si="8"/>
        <v>135.70472780000003</v>
      </c>
      <c r="Z74" s="18">
        <v>3.952</v>
      </c>
      <c r="AA74" s="11">
        <v>3027</v>
      </c>
      <c r="AB74" s="16">
        <f>(Y74-(60*Ventas!AE50*1.235))</f>
        <v>62.975577800000025</v>
      </c>
      <c r="AC74" s="17">
        <f>(AB74/(Ventas!AE50*1.235)/60)</f>
        <v>0.86589184391677931</v>
      </c>
      <c r="AD74" s="1" t="s">
        <v>34</v>
      </c>
      <c r="AE74">
        <f t="shared" si="9"/>
        <v>0</v>
      </c>
    </row>
    <row r="75" spans="1:31" x14ac:dyDescent="0.25">
      <c r="A75" s="1"/>
      <c r="B75" s="1" t="s">
        <v>131</v>
      </c>
      <c r="C75" s="15" t="s">
        <v>130</v>
      </c>
      <c r="D75" s="11">
        <v>103</v>
      </c>
      <c r="E75" s="13">
        <v>46230</v>
      </c>
      <c r="F75" s="10">
        <v>7</v>
      </c>
      <c r="G75" s="16">
        <f>(D75-(0)+0-(F75*Ventas!AE51*1.8))</f>
        <v>97.25206</v>
      </c>
      <c r="H75" s="17">
        <f>(G75/(Ventas!AE51*1.8)/60)</f>
        <v>1.9739373874234365</v>
      </c>
      <c r="I75" s="11">
        <v>0</v>
      </c>
      <c r="J75" s="16">
        <f t="shared" si="5"/>
        <v>97.25206</v>
      </c>
      <c r="K75" s="4"/>
      <c r="L75" s="13">
        <v>46275</v>
      </c>
      <c r="M75" s="10">
        <v>45</v>
      </c>
      <c r="N75" s="16">
        <f>(IF(G75&gt;0,G75+I75,I75)-(M75*Ventas!AE51*1.0044))</f>
        <v>76.633378085714284</v>
      </c>
      <c r="O75" s="17">
        <f>(N75/(Ventas!AE51*1.0044)/60)</f>
        <v>2.7875221996835782</v>
      </c>
      <c r="P75" s="11">
        <v>0</v>
      </c>
      <c r="Q75" s="16">
        <f t="shared" si="6"/>
        <v>76.633378085714284</v>
      </c>
      <c r="R75" s="4"/>
      <c r="S75" s="13">
        <v>46331</v>
      </c>
      <c r="T75" s="10">
        <v>56</v>
      </c>
      <c r="U75" s="16">
        <f>(IF(N75&gt;0,N75+P75,P75)-(T75*Ventas!AE51*0.9018))</f>
        <v>53.595634565714285</v>
      </c>
      <c r="V75" s="17">
        <f>(U75/(Ventas!AE51*0.9018)/60)</f>
        <v>2.1713321106256211</v>
      </c>
      <c r="W75" s="16">
        <f>(100*(Ventas!AE51*1.235) - IF(U75&gt;0,U75,0))</f>
        <v>2.743301148571426</v>
      </c>
      <c r="X75" s="16">
        <f t="shared" si="7"/>
        <v>2.743301148571426</v>
      </c>
      <c r="Y75" s="16">
        <f t="shared" si="8"/>
        <v>56.338935714285711</v>
      </c>
      <c r="Z75" s="18">
        <v>4</v>
      </c>
      <c r="AA75" s="11">
        <v>3010</v>
      </c>
      <c r="AB75" s="16">
        <f>(Y75-(60*Ventas!AE51*1.235))</f>
        <v>22.535574285714283</v>
      </c>
      <c r="AC75" s="17">
        <f>(AB75/(Ventas!AE51*1.235)/60)</f>
        <v>0.66666666666666663</v>
      </c>
      <c r="AD75" s="1" t="s">
        <v>34</v>
      </c>
      <c r="AE75">
        <f t="shared" si="9"/>
        <v>10.973204594285704</v>
      </c>
    </row>
    <row r="76" spans="1:31" x14ac:dyDescent="0.25">
      <c r="A76" s="1"/>
      <c r="B76" s="1" t="s">
        <v>133</v>
      </c>
      <c r="C76" s="15" t="s">
        <v>132</v>
      </c>
      <c r="D76" s="4"/>
      <c r="E76" s="13">
        <v>46230</v>
      </c>
      <c r="F76" s="10">
        <v>7</v>
      </c>
      <c r="G76" s="16">
        <f>(D76-(0)+0-(F76*Ventas!AE52*1.8))</f>
        <v>0</v>
      </c>
      <c r="H76" s="4"/>
      <c r="I76" s="11">
        <v>0</v>
      </c>
      <c r="J76" s="16">
        <f t="shared" si="5"/>
        <v>0</v>
      </c>
      <c r="K76" s="4"/>
      <c r="L76" s="13">
        <v>46275</v>
      </c>
      <c r="M76" s="10">
        <v>45</v>
      </c>
      <c r="N76" s="16">
        <f>(IF(G76&gt;0,G76+I76,I76)-(M76*Ventas!AE52*1.0044))</f>
        <v>0</v>
      </c>
      <c r="O76" s="4"/>
      <c r="P76" s="11">
        <v>0</v>
      </c>
      <c r="Q76" s="16">
        <f t="shared" si="6"/>
        <v>0</v>
      </c>
      <c r="R76" s="4"/>
      <c r="S76" s="13">
        <v>46331</v>
      </c>
      <c r="T76" s="10">
        <v>56</v>
      </c>
      <c r="U76" s="16">
        <f>(IF(N76&gt;0,N76+P76,P76)-(T76*Ventas!AE52*0.9018))</f>
        <v>0</v>
      </c>
      <c r="V76" s="4"/>
      <c r="W76" s="16">
        <f>(100*(Ventas!AE52*1.235) - IF(U76&gt;0,U76,0))</f>
        <v>0</v>
      </c>
      <c r="X76" s="16">
        <f t="shared" si="7"/>
        <v>0</v>
      </c>
      <c r="Y76" s="16">
        <f t="shared" si="8"/>
        <v>0</v>
      </c>
      <c r="Z76" s="18">
        <v>20.100000000000001</v>
      </c>
      <c r="AA76" s="11">
        <v>3010</v>
      </c>
      <c r="AB76" s="4"/>
      <c r="AC76" s="4"/>
      <c r="AD76" s="1" t="s">
        <v>34</v>
      </c>
      <c r="AE76">
        <f t="shared" si="9"/>
        <v>0</v>
      </c>
    </row>
    <row r="77" spans="1:31" x14ac:dyDescent="0.25">
      <c r="A77" s="1"/>
      <c r="B77" s="1" t="s">
        <v>135</v>
      </c>
      <c r="C77" s="15" t="s">
        <v>134</v>
      </c>
      <c r="D77" s="11">
        <v>57</v>
      </c>
      <c r="E77" s="13">
        <v>46230</v>
      </c>
      <c r="F77" s="10">
        <v>7</v>
      </c>
      <c r="G77" s="16">
        <f>(D77-(0)+0-(F77*Ventas!AE53*1.8))</f>
        <v>54.220079999999996</v>
      </c>
      <c r="H77" s="17">
        <f>(G77/(Ventas!AE53*1.8)/60)</f>
        <v>2.2754885032662804</v>
      </c>
      <c r="I77" s="11">
        <v>0</v>
      </c>
      <c r="J77" s="16">
        <f t="shared" si="5"/>
        <v>54.220079999999996</v>
      </c>
      <c r="K77" s="4"/>
      <c r="L77" s="13">
        <v>46275</v>
      </c>
      <c r="M77" s="10">
        <v>45</v>
      </c>
      <c r="N77" s="16">
        <f>(IF(G77&gt;0,G77+I77,I77)-(M77*Ventas!AE53*1.0044))</f>
        <v>44.248109828571422</v>
      </c>
      <c r="O77" s="17">
        <f>(N77/(Ventas!AE53*1.0044)/60)</f>
        <v>3.3279363857818653</v>
      </c>
      <c r="P77" s="11">
        <v>0</v>
      </c>
      <c r="Q77" s="16">
        <f t="shared" si="6"/>
        <v>44.248109828571422</v>
      </c>
      <c r="R77" s="4"/>
      <c r="S77" s="13">
        <v>46331</v>
      </c>
      <c r="T77" s="10">
        <v>56</v>
      </c>
      <c r="U77" s="16">
        <f>(IF(N77&gt;0,N77+P77,P77)-(T77*Ventas!AE53*0.9018))</f>
        <v>33.10619046857142</v>
      </c>
      <c r="V77" s="17">
        <f>(U77/(Ventas!AE53*0.9018)/60)</f>
        <v>2.7732305454416775</v>
      </c>
      <c r="W77" s="16">
        <f>(100*(Ventas!AE53*1.235) - IF(U77&gt;0,U77,0))</f>
        <v>-5.8585618971428417</v>
      </c>
      <c r="X77" s="16">
        <f t="shared" si="7"/>
        <v>0</v>
      </c>
      <c r="Y77" s="16">
        <f t="shared" si="8"/>
        <v>33.10619046857142</v>
      </c>
      <c r="Z77" s="18">
        <v>9</v>
      </c>
      <c r="AA77" s="11">
        <v>3027</v>
      </c>
      <c r="AB77" s="16">
        <f>(Y77-(60*Ventas!AE53*1.235))</f>
        <v>16.757613325714274</v>
      </c>
      <c r="AC77" s="17">
        <f>(AB77/(Ventas!AE53*1.235)/60)</f>
        <v>1.0250196808739309</v>
      </c>
      <c r="AD77" s="1" t="s">
        <v>34</v>
      </c>
      <c r="AE77">
        <f t="shared" si="9"/>
        <v>0</v>
      </c>
    </row>
    <row r="78" spans="1:31" x14ac:dyDescent="0.25">
      <c r="A78" s="1"/>
      <c r="B78" s="1" t="s">
        <v>137</v>
      </c>
      <c r="C78" s="15" t="s">
        <v>136</v>
      </c>
      <c r="D78" s="11">
        <v>154</v>
      </c>
      <c r="E78" s="13">
        <v>46230</v>
      </c>
      <c r="F78" s="10">
        <v>7</v>
      </c>
      <c r="G78" s="16">
        <f>(D78-(0)+0-(F78*Ventas!AE54*1.8))</f>
        <v>152.35821999999999</v>
      </c>
      <c r="H78" s="17">
        <f>(G78/(Ventas!AE54*1.8)/60)</f>
        <v>10.826740285949802</v>
      </c>
      <c r="I78" s="11">
        <v>0</v>
      </c>
      <c r="J78" s="16">
        <f t="shared" si="5"/>
        <v>152.35821999999999</v>
      </c>
      <c r="K78" s="4"/>
      <c r="L78" s="13">
        <v>46275</v>
      </c>
      <c r="M78" s="10">
        <v>45</v>
      </c>
      <c r="N78" s="16">
        <f>(IF(G78&gt;0,G78+I78,I78)-(M78*Ventas!AE54*1.0044))</f>
        <v>146.46892059999999</v>
      </c>
      <c r="O78" s="17">
        <f>(N78/(Ventas!AE54*1.0044)/60)</f>
        <v>18.652760369085669</v>
      </c>
      <c r="P78" s="11">
        <v>0</v>
      </c>
      <c r="Q78" s="16">
        <f t="shared" si="6"/>
        <v>146.46892059999999</v>
      </c>
      <c r="R78" s="4"/>
      <c r="S78" s="13">
        <v>46331</v>
      </c>
      <c r="T78" s="10">
        <v>56</v>
      </c>
      <c r="U78" s="16">
        <f>(IF(N78&gt;0,N78+P78,P78)-(T78*Ventas!AE54*0.9018))</f>
        <v>139.88866636</v>
      </c>
      <c r="V78" s="17">
        <f>(U78/(Ventas!AE54*0.9018)/60)</f>
        <v>19.841597377145312</v>
      </c>
      <c r="W78" s="16">
        <f>(100*(Ventas!AE54*1.235) - IF(U78&gt;0,U78,0))</f>
        <v>-123.79661636</v>
      </c>
      <c r="X78" s="16">
        <f t="shared" si="7"/>
        <v>0</v>
      </c>
      <c r="Y78" s="16">
        <f t="shared" si="8"/>
        <v>139.88866636</v>
      </c>
      <c r="Z78" s="4"/>
      <c r="AA78" s="11">
        <v>3027</v>
      </c>
      <c r="AB78" s="16">
        <f>(Y78-(60*Ventas!AE54*1.235))</f>
        <v>130.23343636000001</v>
      </c>
      <c r="AC78" s="17">
        <f>(AB78/(Ventas!AE54*1.235)/60)</f>
        <v>13.48838260300376</v>
      </c>
      <c r="AD78" s="1" t="s">
        <v>34</v>
      </c>
      <c r="AE78">
        <f t="shared" si="9"/>
        <v>0</v>
      </c>
    </row>
    <row r="79" spans="1:31" x14ac:dyDescent="0.25">
      <c r="A79" s="1"/>
      <c r="B79" s="1" t="s">
        <v>139</v>
      </c>
      <c r="C79" s="15" t="s">
        <v>138</v>
      </c>
      <c r="D79" s="11">
        <v>46</v>
      </c>
      <c r="E79" s="13">
        <v>46230</v>
      </c>
      <c r="F79" s="10">
        <v>7</v>
      </c>
      <c r="G79" s="16">
        <f>(D79-(0)+0-(F79*Ventas!AE55*1.8))</f>
        <v>41.833179999999999</v>
      </c>
      <c r="H79" s="17">
        <f>(G79/(Ventas!AE55*1.8)/60)</f>
        <v>1.1712859366775306</v>
      </c>
      <c r="I79" s="11">
        <v>0</v>
      </c>
      <c r="J79" s="16">
        <f t="shared" si="5"/>
        <v>41.833179999999999</v>
      </c>
      <c r="K79" s="4"/>
      <c r="L79" s="13">
        <v>46275</v>
      </c>
      <c r="M79" s="10">
        <v>45</v>
      </c>
      <c r="N79" s="16">
        <f>(IF(G79&gt;0,G79+I79,I79)-(M79*Ventas!AE55*1.0044))</f>
        <v>26.886201400000004</v>
      </c>
      <c r="O79" s="17">
        <f>(N79/(Ventas!AE55*1.0044)/60)</f>
        <v>1.3490787395654669</v>
      </c>
      <c r="P79" s="11">
        <v>0</v>
      </c>
      <c r="Q79" s="16">
        <f t="shared" si="6"/>
        <v>26.886201400000004</v>
      </c>
      <c r="R79" s="4"/>
      <c r="S79" s="13">
        <v>46331</v>
      </c>
      <c r="T79" s="10">
        <v>56</v>
      </c>
      <c r="U79" s="16">
        <f>(IF(N79&gt;0,N79+P79,P79)-(T79*Ventas!AE55*0.9018))</f>
        <v>10.185586840000006</v>
      </c>
      <c r="V79" s="17">
        <f>(U79/(Ventas!AE55*0.9018)/60)</f>
        <v>0.56923340654197707</v>
      </c>
      <c r="W79" s="16">
        <f>(100*(Ventas!AE55*1.235) - IF(U79&gt;0,U79,0))</f>
        <v>30.655863159999988</v>
      </c>
      <c r="X79" s="16">
        <f t="shared" si="7"/>
        <v>30.655863159999988</v>
      </c>
      <c r="Y79" s="16">
        <f t="shared" si="8"/>
        <v>40.841449999999995</v>
      </c>
      <c r="Z79" s="18">
        <v>5.2</v>
      </c>
      <c r="AA79" s="11">
        <v>3027</v>
      </c>
      <c r="AB79" s="16">
        <f>(Y79-(60*Ventas!AE55*1.235))</f>
        <v>16.336579999999998</v>
      </c>
      <c r="AC79" s="17">
        <f>(AB79/(Ventas!AE55*1.235)/60)</f>
        <v>0.66666666666666663</v>
      </c>
      <c r="AD79" s="1" t="s">
        <v>34</v>
      </c>
      <c r="AE79">
        <f t="shared" si="9"/>
        <v>159.41048843199994</v>
      </c>
    </row>
    <row r="80" spans="1:31" x14ac:dyDescent="0.25">
      <c r="A80" s="1"/>
      <c r="B80" s="1" t="s">
        <v>141</v>
      </c>
      <c r="C80" s="15" t="s">
        <v>140</v>
      </c>
      <c r="D80" s="11">
        <v>194</v>
      </c>
      <c r="E80" s="13">
        <v>46230</v>
      </c>
      <c r="F80" s="10">
        <v>7</v>
      </c>
      <c r="G80" s="16">
        <f>(D80-(0)+0-(F80*Ventas!AE56*1.8))</f>
        <v>192.6131</v>
      </c>
      <c r="H80" s="17">
        <f>(G80/(Ventas!AE56*1.8)/60)</f>
        <v>16.202702670223761</v>
      </c>
      <c r="I80" s="11">
        <v>0</v>
      </c>
      <c r="J80" s="16">
        <f t="shared" si="5"/>
        <v>192.6131</v>
      </c>
      <c r="K80" s="4"/>
      <c r="L80" s="13">
        <v>46275</v>
      </c>
      <c r="M80" s="10">
        <v>45</v>
      </c>
      <c r="N80" s="16">
        <f>(IF(G80&gt;0,G80+I80,I80)-(M80*Ventas!AE56*1.0044))</f>
        <v>187.63809157142856</v>
      </c>
      <c r="O80" s="17">
        <f>(N80/(Ventas!AE56*1.0044)/60)</f>
        <v>28.28710155954079</v>
      </c>
      <c r="P80" s="11">
        <v>0</v>
      </c>
      <c r="Q80" s="16">
        <f t="shared" si="6"/>
        <v>187.63809157142856</v>
      </c>
      <c r="R80" s="4"/>
      <c r="S80" s="13">
        <v>46331</v>
      </c>
      <c r="T80" s="10">
        <v>56</v>
      </c>
      <c r="U80" s="16">
        <f>(IF(N80&gt;0,N80+P80,P80)-(T80*Ventas!AE56*0.9018))</f>
        <v>182.07939637142857</v>
      </c>
      <c r="V80" s="17">
        <f>(U80/(Ventas!AE56*0.9018)/60)</f>
        <v>30.572061218011495</v>
      </c>
      <c r="W80" s="16">
        <f>(100*(Ventas!AE56*1.235) - IF(U80&gt;0,U80,0))</f>
        <v>-168.48557494285714</v>
      </c>
      <c r="X80" s="16">
        <f t="shared" si="7"/>
        <v>0</v>
      </c>
      <c r="Y80" s="16">
        <f t="shared" si="8"/>
        <v>182.07939637142857</v>
      </c>
      <c r="Z80" s="18">
        <v>8</v>
      </c>
      <c r="AA80" s="11">
        <v>3010</v>
      </c>
      <c r="AB80" s="16">
        <f>(Y80-(60*Ventas!AE56*1.235))</f>
        <v>173.92310351428571</v>
      </c>
      <c r="AC80" s="17">
        <f>(AB80/(Ventas!AE56*1.235)/60)</f>
        <v>21.323793365508315</v>
      </c>
      <c r="AD80" s="1" t="s">
        <v>34</v>
      </c>
      <c r="AE80">
        <f t="shared" si="9"/>
        <v>0</v>
      </c>
    </row>
    <row r="81" spans="1:31" x14ac:dyDescent="0.25">
      <c r="A81" s="1"/>
      <c r="B81" s="1" t="s">
        <v>143</v>
      </c>
      <c r="C81" s="15" t="s">
        <v>142</v>
      </c>
      <c r="D81" s="4"/>
      <c r="E81" s="13">
        <v>46230</v>
      </c>
      <c r="F81" s="10">
        <v>7</v>
      </c>
      <c r="G81" s="16">
        <f>(D81-(0)+0-(F81*Ventas!AE57*1.8))</f>
        <v>0</v>
      </c>
      <c r="H81" s="4"/>
      <c r="I81" s="11">
        <v>0</v>
      </c>
      <c r="J81" s="16">
        <f t="shared" si="5"/>
        <v>0</v>
      </c>
      <c r="K81" s="4"/>
      <c r="L81" s="13">
        <v>46275</v>
      </c>
      <c r="M81" s="10">
        <v>45</v>
      </c>
      <c r="N81" s="16">
        <f>(IF(G81&gt;0,G81+I81,I81)-(M81*Ventas!AE57*1.0044))</f>
        <v>0</v>
      </c>
      <c r="O81" s="4"/>
      <c r="P81" s="11">
        <v>0</v>
      </c>
      <c r="Q81" s="16">
        <f t="shared" si="6"/>
        <v>0</v>
      </c>
      <c r="R81" s="4"/>
      <c r="S81" s="13">
        <v>46331</v>
      </c>
      <c r="T81" s="10">
        <v>56</v>
      </c>
      <c r="U81" s="16">
        <f>(IF(N81&gt;0,N81+P81,P81)-(T81*Ventas!AE57*0.9018))</f>
        <v>0</v>
      </c>
      <c r="V81" s="4"/>
      <c r="W81" s="16">
        <f>(100*(Ventas!AE57*1.235) - IF(U81&gt;0,U81,0))</f>
        <v>0</v>
      </c>
      <c r="X81" s="16">
        <f t="shared" si="7"/>
        <v>0</v>
      </c>
      <c r="Y81" s="16">
        <f t="shared" si="8"/>
        <v>0</v>
      </c>
      <c r="Z81" s="18">
        <v>9.6999999999999993</v>
      </c>
      <c r="AA81" s="11">
        <v>3017</v>
      </c>
      <c r="AB81" s="4"/>
      <c r="AC81" s="4"/>
      <c r="AD81" s="1" t="s">
        <v>107</v>
      </c>
      <c r="AE81">
        <f t="shared" si="9"/>
        <v>0</v>
      </c>
    </row>
    <row r="82" spans="1:31" x14ac:dyDescent="0.25">
      <c r="A82" s="1"/>
      <c r="B82" s="1" t="s">
        <v>145</v>
      </c>
      <c r="C82" s="15" t="s">
        <v>144</v>
      </c>
      <c r="D82" s="4"/>
      <c r="E82" s="13">
        <v>46230</v>
      </c>
      <c r="F82" s="10">
        <v>7</v>
      </c>
      <c r="G82" s="16">
        <f>(D82-(0)+0-(F82*Ventas!AE58*1.8))</f>
        <v>0</v>
      </c>
      <c r="H82" s="17" t="e">
        <f>(G82/(Ventas!AE58*1.8)/60)</f>
        <v>#DIV/0!</v>
      </c>
      <c r="I82" s="11">
        <v>0</v>
      </c>
      <c r="J82" s="16">
        <f t="shared" si="5"/>
        <v>0</v>
      </c>
      <c r="K82" s="4"/>
      <c r="L82" s="13">
        <v>46275</v>
      </c>
      <c r="M82" s="10">
        <v>45</v>
      </c>
      <c r="N82" s="16">
        <f>(IF(G82&gt;0,G82+I82,I82)-(M82*Ventas!AE58*1.0044))</f>
        <v>0</v>
      </c>
      <c r="O82" s="17" t="e">
        <f>(N82/(Ventas!AE58*1.0044)/60)</f>
        <v>#DIV/0!</v>
      </c>
      <c r="P82" s="11">
        <v>0</v>
      </c>
      <c r="Q82" s="16">
        <f t="shared" si="6"/>
        <v>0</v>
      </c>
      <c r="R82" s="4"/>
      <c r="S82" s="13">
        <v>46331</v>
      </c>
      <c r="T82" s="10">
        <v>56</v>
      </c>
      <c r="U82" s="16">
        <f>(IF(N82&gt;0,N82+P82,P82)-(T82*Ventas!AE58*0.9018))</f>
        <v>0</v>
      </c>
      <c r="V82" s="17" t="e">
        <f>(U82/(Ventas!AE58*0.9018)/60)</f>
        <v>#DIV/0!</v>
      </c>
      <c r="W82" s="16">
        <f>(100*(Ventas!AE58*1.235) - IF(U82&gt;0,U82,0))</f>
        <v>0</v>
      </c>
      <c r="X82" s="16">
        <f t="shared" si="7"/>
        <v>0</v>
      </c>
      <c r="Y82" s="16">
        <f t="shared" si="8"/>
        <v>0</v>
      </c>
      <c r="Z82" s="18">
        <v>2.1</v>
      </c>
      <c r="AA82" s="11">
        <v>3017</v>
      </c>
      <c r="AB82" s="16">
        <f>(Y82-(60*Ventas!AE58*1.235))</f>
        <v>0</v>
      </c>
      <c r="AC82" s="17" t="e">
        <f>(AB82/(Ventas!AE58*1.235)/60)</f>
        <v>#DIV/0!</v>
      </c>
      <c r="AD82" s="1" t="s">
        <v>34</v>
      </c>
      <c r="AE82">
        <f t="shared" si="9"/>
        <v>0</v>
      </c>
    </row>
    <row r="83" spans="1:31" x14ac:dyDescent="0.25">
      <c r="A83" s="1"/>
      <c r="B83" s="1" t="s">
        <v>147</v>
      </c>
      <c r="C83" s="15" t="s">
        <v>146</v>
      </c>
      <c r="D83" s="4"/>
      <c r="E83" s="13">
        <v>46230</v>
      </c>
      <c r="F83" s="10">
        <v>7</v>
      </c>
      <c r="G83" s="16">
        <f>(D83-(0)+0-(F83*Ventas!AE59*1.8))</f>
        <v>0</v>
      </c>
      <c r="H83" s="4"/>
      <c r="I83" s="11">
        <v>0</v>
      </c>
      <c r="J83" s="16">
        <f t="shared" si="5"/>
        <v>0</v>
      </c>
      <c r="K83" s="4"/>
      <c r="L83" s="13">
        <v>46275</v>
      </c>
      <c r="M83" s="10">
        <v>45</v>
      </c>
      <c r="N83" s="16">
        <f>(IF(G83&gt;0,G83+I83,I83)-(M83*Ventas!AE59*1.0044))</f>
        <v>0</v>
      </c>
      <c r="O83" s="4"/>
      <c r="P83" s="11">
        <v>0</v>
      </c>
      <c r="Q83" s="16">
        <f t="shared" si="6"/>
        <v>0</v>
      </c>
      <c r="R83" s="4"/>
      <c r="S83" s="13">
        <v>46331</v>
      </c>
      <c r="T83" s="10">
        <v>56</v>
      </c>
      <c r="U83" s="16">
        <f>(IF(N83&gt;0,N83+P83,P83)-(T83*Ventas!AE59*0.9018))</f>
        <v>0</v>
      </c>
      <c r="V83" s="4"/>
      <c r="W83" s="16">
        <f>(100*(Ventas!AE59*1.235) - IF(U83&gt;0,U83,0))</f>
        <v>0</v>
      </c>
      <c r="X83" s="16">
        <f t="shared" si="7"/>
        <v>0</v>
      </c>
      <c r="Y83" s="16">
        <f t="shared" si="8"/>
        <v>0</v>
      </c>
      <c r="Z83" s="18">
        <v>5.74</v>
      </c>
      <c r="AA83" s="11">
        <v>3010</v>
      </c>
      <c r="AB83" s="4"/>
      <c r="AC83" s="4"/>
      <c r="AD83" s="1" t="s">
        <v>107</v>
      </c>
      <c r="AE83">
        <f t="shared" si="9"/>
        <v>0</v>
      </c>
    </row>
    <row r="84" spans="1:31" x14ac:dyDescent="0.25">
      <c r="A84" s="1"/>
      <c r="B84" s="1" t="s">
        <v>149</v>
      </c>
      <c r="C84" s="15" t="s">
        <v>148</v>
      </c>
      <c r="D84" s="11">
        <v>34</v>
      </c>
      <c r="E84" s="13">
        <v>46230</v>
      </c>
      <c r="F84" s="10">
        <v>7</v>
      </c>
      <c r="G84" s="16">
        <f>(D84-(0)+0-(F84*Ventas!AE60*1.8))</f>
        <v>31.182279999999999</v>
      </c>
      <c r="H84" s="17">
        <f>(G84/(Ventas!AE60*1.8)/60)</f>
        <v>1.2910909056494846</v>
      </c>
      <c r="I84" s="11">
        <v>0</v>
      </c>
      <c r="J84" s="16">
        <f t="shared" si="5"/>
        <v>31.182279999999999</v>
      </c>
      <c r="K84" s="4"/>
      <c r="L84" s="13">
        <v>46275</v>
      </c>
      <c r="M84" s="10">
        <v>45</v>
      </c>
      <c r="N84" s="16">
        <f>(IF(G84&gt;0,G84+I84,I84)-(M84*Ventas!AE60*1.0044))</f>
        <v>21.074715828571428</v>
      </c>
      <c r="O84" s="17">
        <f>(N84/(Ventas!AE60*1.0044)/60)</f>
        <v>1.5637829850349192</v>
      </c>
      <c r="P84" s="11">
        <v>0</v>
      </c>
      <c r="Q84" s="16">
        <f t="shared" si="6"/>
        <v>21.074715828571428</v>
      </c>
      <c r="R84" s="4"/>
      <c r="S84" s="13">
        <v>46331</v>
      </c>
      <c r="T84" s="10">
        <v>56</v>
      </c>
      <c r="U84" s="16">
        <f>(IF(N84&gt;0,N84+P84,P84)-(T84*Ventas!AE60*0.9018))</f>
        <v>9.7812940685714285</v>
      </c>
      <c r="V84" s="17">
        <f>(U84/(Ventas!AE60*0.9018)/60)</f>
        <v>0.80836508113669647</v>
      </c>
      <c r="W84" s="16">
        <f>(100*(Ventas!AE60*1.235) - IF(U84&gt;0,U84,0))</f>
        <v>17.836834502857144</v>
      </c>
      <c r="X84" s="16">
        <f t="shared" si="7"/>
        <v>17.836834502857144</v>
      </c>
      <c r="Y84" s="16">
        <f t="shared" si="8"/>
        <v>27.618128571428571</v>
      </c>
      <c r="Z84" s="18">
        <v>5.24</v>
      </c>
      <c r="AA84" s="11">
        <v>3010</v>
      </c>
      <c r="AB84" s="16">
        <f>(Y84-(60*Ventas!AE60*1.235))</f>
        <v>11.047251428571425</v>
      </c>
      <c r="AC84" s="17">
        <f>(AB84/(Ventas!AE60*1.235)/60)</f>
        <v>0.66666666666666641</v>
      </c>
      <c r="AD84" s="1" t="s">
        <v>34</v>
      </c>
      <c r="AE84">
        <f t="shared" si="9"/>
        <v>93.465012794971443</v>
      </c>
    </row>
    <row r="85" spans="1:31" x14ac:dyDescent="0.25">
      <c r="A85" s="1"/>
      <c r="B85" s="1" t="s">
        <v>151</v>
      </c>
      <c r="C85" s="15" t="s">
        <v>150</v>
      </c>
      <c r="D85" s="4"/>
      <c r="E85" s="13">
        <v>46230</v>
      </c>
      <c r="F85" s="10">
        <v>7</v>
      </c>
      <c r="G85" s="16">
        <f>(D85-(0)+0-(F85*Ventas!AE61*1.8))</f>
        <v>0</v>
      </c>
      <c r="H85" s="4"/>
      <c r="I85" s="11">
        <v>0</v>
      </c>
      <c r="J85" s="16">
        <f t="shared" si="5"/>
        <v>0</v>
      </c>
      <c r="K85" s="4"/>
      <c r="L85" s="13">
        <v>46275</v>
      </c>
      <c r="M85" s="10">
        <v>45</v>
      </c>
      <c r="N85" s="16">
        <f>(IF(G85&gt;0,G85+I85,I85)-(M85*Ventas!AE61*1.0044))</f>
        <v>0</v>
      </c>
      <c r="O85" s="4"/>
      <c r="P85" s="11">
        <v>0</v>
      </c>
      <c r="Q85" s="16">
        <f t="shared" si="6"/>
        <v>0</v>
      </c>
      <c r="R85" s="4"/>
      <c r="S85" s="13">
        <v>46331</v>
      </c>
      <c r="T85" s="10">
        <v>56</v>
      </c>
      <c r="U85" s="16">
        <f>(IF(N85&gt;0,N85+P85,P85)-(T85*Ventas!AE61*0.9018))</f>
        <v>0</v>
      </c>
      <c r="V85" s="4"/>
      <c r="W85" s="16">
        <f>(100*(Ventas!AE61*1.235) - IF(U85&gt;0,U85,0))</f>
        <v>0</v>
      </c>
      <c r="X85" s="16">
        <f t="shared" si="7"/>
        <v>0</v>
      </c>
      <c r="Y85" s="16">
        <f t="shared" si="8"/>
        <v>0</v>
      </c>
      <c r="Z85" s="18">
        <v>5.5</v>
      </c>
      <c r="AA85" s="11">
        <v>3010</v>
      </c>
      <c r="AB85" s="4"/>
      <c r="AC85" s="4"/>
      <c r="AD85" s="1" t="s">
        <v>34</v>
      </c>
      <c r="AE85">
        <f t="shared" si="9"/>
        <v>0</v>
      </c>
    </row>
    <row r="86" spans="1:31" x14ac:dyDescent="0.25">
      <c r="A86" s="1"/>
      <c r="B86" s="1" t="s">
        <v>153</v>
      </c>
      <c r="C86" s="15" t="s">
        <v>152</v>
      </c>
      <c r="D86" s="4"/>
      <c r="E86" s="13">
        <v>46230</v>
      </c>
      <c r="F86" s="10">
        <v>7</v>
      </c>
      <c r="G86" s="16">
        <f>(D86-(0)+0-(F86*Ventas!AE62*1.8))</f>
        <v>0</v>
      </c>
      <c r="H86" s="17" t="e">
        <f>(G86/(Ventas!AE62*1.8)/60)</f>
        <v>#DIV/0!</v>
      </c>
      <c r="I86" s="11">
        <v>0</v>
      </c>
      <c r="J86" s="16">
        <f t="shared" si="5"/>
        <v>0</v>
      </c>
      <c r="K86" s="4"/>
      <c r="L86" s="13">
        <v>46275</v>
      </c>
      <c r="M86" s="10">
        <v>45</v>
      </c>
      <c r="N86" s="16">
        <f>(IF(G86&gt;0,G86+I86,I86)-(M86*Ventas!AE62*1.0044))</f>
        <v>0</v>
      </c>
      <c r="O86" s="17" t="e">
        <f>(N86/(Ventas!AE62*1.0044)/60)</f>
        <v>#DIV/0!</v>
      </c>
      <c r="P86" s="11">
        <v>0</v>
      </c>
      <c r="Q86" s="16">
        <f t="shared" si="6"/>
        <v>0</v>
      </c>
      <c r="R86" s="4"/>
      <c r="S86" s="13">
        <v>46331</v>
      </c>
      <c r="T86" s="10">
        <v>56</v>
      </c>
      <c r="U86" s="16">
        <f>(IF(N86&gt;0,N86+P86,P86)-(T86*Ventas!AE62*0.9018))</f>
        <v>0</v>
      </c>
      <c r="V86" s="17" t="e">
        <f>(U86/(Ventas!AE62*0.9018)/60)</f>
        <v>#DIV/0!</v>
      </c>
      <c r="W86" s="16">
        <f>(100*(Ventas!AE62*1.235) - IF(U86&gt;0,U86,0))</f>
        <v>0</v>
      </c>
      <c r="X86" s="16">
        <f t="shared" si="7"/>
        <v>0</v>
      </c>
      <c r="Y86" s="16">
        <f t="shared" si="8"/>
        <v>0</v>
      </c>
      <c r="Z86" s="18">
        <v>12.5</v>
      </c>
      <c r="AA86" s="11">
        <v>3027</v>
      </c>
      <c r="AB86" s="16">
        <f>(Y86-(60*Ventas!AE62*1.235))</f>
        <v>0</v>
      </c>
      <c r="AC86" s="17" t="e">
        <f>(AB86/(Ventas!AE62*1.235)/60)</f>
        <v>#DIV/0!</v>
      </c>
      <c r="AD86" s="1" t="s">
        <v>34</v>
      </c>
      <c r="AE86">
        <f t="shared" si="9"/>
        <v>0</v>
      </c>
    </row>
    <row r="87" spans="1:31" x14ac:dyDescent="0.25">
      <c r="A87" s="1"/>
      <c r="B87" s="1" t="s">
        <v>155</v>
      </c>
      <c r="C87" s="15" t="s">
        <v>154</v>
      </c>
      <c r="D87" s="4"/>
      <c r="E87" s="13">
        <v>46230</v>
      </c>
      <c r="F87" s="10">
        <v>7</v>
      </c>
      <c r="G87" s="16">
        <f>(D87-(0)+0-(F87*Ventas!AE63*1.8))</f>
        <v>0</v>
      </c>
      <c r="H87" s="4"/>
      <c r="I87" s="11">
        <v>0</v>
      </c>
      <c r="J87" s="16">
        <f t="shared" si="5"/>
        <v>0</v>
      </c>
      <c r="K87" s="4"/>
      <c r="L87" s="13">
        <v>46275</v>
      </c>
      <c r="M87" s="10">
        <v>45</v>
      </c>
      <c r="N87" s="16">
        <f>(IF(G87&gt;0,G87+I87,I87)-(M87*Ventas!AE63*1.0044))</f>
        <v>0</v>
      </c>
      <c r="O87" s="4"/>
      <c r="P87" s="11">
        <v>0</v>
      </c>
      <c r="Q87" s="16">
        <f t="shared" si="6"/>
        <v>0</v>
      </c>
      <c r="R87" s="4"/>
      <c r="S87" s="13">
        <v>46331</v>
      </c>
      <c r="T87" s="10">
        <v>56</v>
      </c>
      <c r="U87" s="16">
        <f>(IF(N87&gt;0,N87+P87,P87)-(T87*Ventas!AE63*0.9018))</f>
        <v>0</v>
      </c>
      <c r="V87" s="4"/>
      <c r="W87" s="16">
        <f>(100*(Ventas!AE63*1.235) - IF(U87&gt;0,U87,0))</f>
        <v>0</v>
      </c>
      <c r="X87" s="16">
        <f t="shared" si="7"/>
        <v>0</v>
      </c>
      <c r="Y87" s="16">
        <f t="shared" si="8"/>
        <v>0</v>
      </c>
      <c r="Z87" s="18">
        <v>20.100000000000001</v>
      </c>
      <c r="AA87" s="11">
        <v>3027</v>
      </c>
      <c r="AB87" s="4"/>
      <c r="AC87" s="4"/>
      <c r="AD87" s="1" t="s">
        <v>34</v>
      </c>
      <c r="AE87">
        <f t="shared" si="9"/>
        <v>0</v>
      </c>
    </row>
    <row r="88" spans="1:31" x14ac:dyDescent="0.25">
      <c r="A88" s="1"/>
      <c r="B88" s="1" t="s">
        <v>157</v>
      </c>
      <c r="C88" s="15" t="s">
        <v>156</v>
      </c>
      <c r="D88" s="4"/>
      <c r="E88" s="13">
        <v>46230</v>
      </c>
      <c r="F88" s="10">
        <v>7</v>
      </c>
      <c r="G88" s="16">
        <f>(D88-(0)+0-(F88*Ventas!AE64*1.8))</f>
        <v>0</v>
      </c>
      <c r="H88" s="4"/>
      <c r="I88" s="11">
        <v>0</v>
      </c>
      <c r="J88" s="16">
        <f t="shared" si="5"/>
        <v>0</v>
      </c>
      <c r="K88" s="4"/>
      <c r="L88" s="13">
        <v>46275</v>
      </c>
      <c r="M88" s="10">
        <v>45</v>
      </c>
      <c r="N88" s="16">
        <f>(IF(G88&gt;0,G88+I88,I88)-(M88*Ventas!AE64*1.0044))</f>
        <v>0</v>
      </c>
      <c r="O88" s="4"/>
      <c r="P88" s="11">
        <v>0</v>
      </c>
      <c r="Q88" s="16">
        <f t="shared" si="6"/>
        <v>0</v>
      </c>
      <c r="R88" s="4"/>
      <c r="S88" s="13">
        <v>46331</v>
      </c>
      <c r="T88" s="10">
        <v>56</v>
      </c>
      <c r="U88" s="16">
        <f>(IF(N88&gt;0,N88+P88,P88)-(T88*Ventas!AE64*0.9018))</f>
        <v>0</v>
      </c>
      <c r="V88" s="4"/>
      <c r="W88" s="16">
        <f>(100*(Ventas!AE64*1.235) - IF(U88&gt;0,U88,0))</f>
        <v>0</v>
      </c>
      <c r="X88" s="16">
        <f t="shared" si="7"/>
        <v>0</v>
      </c>
      <c r="Y88" s="16">
        <f t="shared" si="8"/>
        <v>0</v>
      </c>
      <c r="Z88" s="4"/>
      <c r="AA88" s="4"/>
      <c r="AB88" s="4"/>
      <c r="AC88" s="4"/>
      <c r="AD88" s="1" t="s">
        <v>34</v>
      </c>
      <c r="AE88">
        <f t="shared" si="9"/>
        <v>0</v>
      </c>
    </row>
    <row r="89" spans="1:31" x14ac:dyDescent="0.25">
      <c r="A89" s="1"/>
      <c r="B89" s="1" t="s">
        <v>159</v>
      </c>
      <c r="C89" s="15" t="s">
        <v>158</v>
      </c>
      <c r="D89" s="4"/>
      <c r="E89" s="13">
        <v>46230</v>
      </c>
      <c r="F89" s="10">
        <v>7</v>
      </c>
      <c r="G89" s="16">
        <f>(D89-(0)+0-(F89*Ventas!AE65*1.8))</f>
        <v>0</v>
      </c>
      <c r="H89" s="17" t="e">
        <f>(G89/(Ventas!AE65*1.8)/60)</f>
        <v>#DIV/0!</v>
      </c>
      <c r="I89" s="11">
        <v>0</v>
      </c>
      <c r="J89" s="16">
        <f t="shared" si="5"/>
        <v>0</v>
      </c>
      <c r="K89" s="4"/>
      <c r="L89" s="13">
        <v>46275</v>
      </c>
      <c r="M89" s="10">
        <v>45</v>
      </c>
      <c r="N89" s="16">
        <f>(IF(G89&gt;0,G89+I89,I89)-(M89*Ventas!AE65*1.0044))</f>
        <v>0</v>
      </c>
      <c r="O89" s="17" t="e">
        <f>(N89/(Ventas!AE65*1.0044)/60)</f>
        <v>#DIV/0!</v>
      </c>
      <c r="P89" s="11">
        <v>0</v>
      </c>
      <c r="Q89" s="16">
        <f t="shared" si="6"/>
        <v>0</v>
      </c>
      <c r="R89" s="4"/>
      <c r="S89" s="13">
        <v>46331</v>
      </c>
      <c r="T89" s="10">
        <v>56</v>
      </c>
      <c r="U89" s="16">
        <f>(IF(N89&gt;0,N89+P89,P89)-(T89*Ventas!AE65*0.9018))</f>
        <v>0</v>
      </c>
      <c r="V89" s="17" t="e">
        <f>(U89/(Ventas!AE65*0.9018)/60)</f>
        <v>#DIV/0!</v>
      </c>
      <c r="W89" s="16">
        <f>(100*(Ventas!AE65*1.235) - IF(U89&gt;0,U89,0))</f>
        <v>0</v>
      </c>
      <c r="X89" s="16">
        <f t="shared" si="7"/>
        <v>0</v>
      </c>
      <c r="Y89" s="16">
        <f t="shared" si="8"/>
        <v>0</v>
      </c>
      <c r="Z89" s="18">
        <v>5.94</v>
      </c>
      <c r="AA89" s="11">
        <v>3010</v>
      </c>
      <c r="AB89" s="16">
        <f>(Y89-(60*Ventas!AE65*1.235))</f>
        <v>0</v>
      </c>
      <c r="AC89" s="17" t="e">
        <f>(AB89/(Ventas!AE65*1.235)/60)</f>
        <v>#DIV/0!</v>
      </c>
      <c r="AD89" s="1" t="s">
        <v>107</v>
      </c>
      <c r="AE89">
        <f t="shared" si="9"/>
        <v>0</v>
      </c>
    </row>
    <row r="90" spans="1:31" x14ac:dyDescent="0.25">
      <c r="A90" s="1"/>
      <c r="B90" s="1" t="s">
        <v>161</v>
      </c>
      <c r="C90" s="15" t="s">
        <v>160</v>
      </c>
      <c r="D90" s="4"/>
      <c r="E90" s="13">
        <v>46230</v>
      </c>
      <c r="F90" s="10">
        <v>7</v>
      </c>
      <c r="G90" s="16">
        <f>(D90-(0)+0-(F90*Ventas!AE66*1.8))</f>
        <v>0</v>
      </c>
      <c r="H90" s="4"/>
      <c r="I90" s="11">
        <v>0</v>
      </c>
      <c r="J90" s="16">
        <f t="shared" si="5"/>
        <v>0</v>
      </c>
      <c r="K90" s="4"/>
      <c r="L90" s="13">
        <v>46275</v>
      </c>
      <c r="M90" s="10">
        <v>45</v>
      </c>
      <c r="N90" s="16">
        <f>(IF(G90&gt;0,G90+I90,I90)-(M90*Ventas!AE66*1.0044))</f>
        <v>0</v>
      </c>
      <c r="O90" s="4"/>
      <c r="P90" s="11">
        <v>0</v>
      </c>
      <c r="Q90" s="16">
        <f t="shared" si="6"/>
        <v>0</v>
      </c>
      <c r="R90" s="4"/>
      <c r="S90" s="13">
        <v>46331</v>
      </c>
      <c r="T90" s="10">
        <v>56</v>
      </c>
      <c r="U90" s="16">
        <f>(IF(N90&gt;0,N90+P90,P90)-(T90*Ventas!AE66*0.9018))</f>
        <v>0</v>
      </c>
      <c r="V90" s="4"/>
      <c r="W90" s="16">
        <f>(100*(Ventas!AE66*1.235) - IF(U90&gt;0,U90,0))</f>
        <v>0</v>
      </c>
      <c r="X90" s="16">
        <f t="shared" si="7"/>
        <v>0</v>
      </c>
      <c r="Y90" s="16">
        <f t="shared" si="8"/>
        <v>0</v>
      </c>
      <c r="Z90" s="18">
        <v>3.9358</v>
      </c>
      <c r="AA90" s="11">
        <v>3027</v>
      </c>
      <c r="AB90" s="4"/>
      <c r="AC90" s="4"/>
      <c r="AD90" s="1" t="s">
        <v>107</v>
      </c>
      <c r="AE90">
        <f t="shared" si="9"/>
        <v>0</v>
      </c>
    </row>
    <row r="91" spans="1:31" x14ac:dyDescent="0.25">
      <c r="A91" s="1"/>
      <c r="B91" s="1" t="s">
        <v>163</v>
      </c>
      <c r="C91" s="15" t="s">
        <v>162</v>
      </c>
      <c r="D91" s="11">
        <v>26</v>
      </c>
      <c r="E91" s="13">
        <v>46230</v>
      </c>
      <c r="F91" s="10">
        <v>7</v>
      </c>
      <c r="G91" s="16">
        <f>(D91-(0)+0-(F91*Ventas!AE67*1.8))</f>
        <v>25.794979999999999</v>
      </c>
      <c r="H91" s="17">
        <f>(G91/(Ventas!AE67*1.8)/60)</f>
        <v>14.678637856469287</v>
      </c>
      <c r="I91" s="11">
        <v>0</v>
      </c>
      <c r="J91" s="16">
        <f t="shared" si="5"/>
        <v>25.794979999999999</v>
      </c>
      <c r="K91" s="4"/>
      <c r="L91" s="13">
        <v>46275</v>
      </c>
      <c r="M91" s="10">
        <v>45</v>
      </c>
      <c r="N91" s="16">
        <f>(IF(G91&gt;0,G91+I91,I91)-(M91*Ventas!AE67*1.0044))</f>
        <v>25.059543971428571</v>
      </c>
      <c r="O91" s="17">
        <f>(N91/(Ventas!AE67*1.0044)/60)</f>
        <v>25.555802610160011</v>
      </c>
      <c r="P91" s="11">
        <v>0</v>
      </c>
      <c r="Q91" s="16">
        <f t="shared" si="6"/>
        <v>25.059543971428571</v>
      </c>
      <c r="R91" s="4"/>
      <c r="S91" s="13">
        <v>46331</v>
      </c>
      <c r="T91" s="10">
        <v>56</v>
      </c>
      <c r="U91" s="16">
        <f>(IF(N91&gt;0,N91+P91,P91)-(T91*Ventas!AE67*0.9018))</f>
        <v>24.237823811428569</v>
      </c>
      <c r="V91" s="17">
        <f>(U91/(Ventas!AE67*0.9018)/60)</f>
        <v>27.530015681575421</v>
      </c>
      <c r="W91" s="16">
        <f>(100*(Ventas!AE67*1.235) - IF(U91&gt;0,U91,0))</f>
        <v>-22.228302382857141</v>
      </c>
      <c r="X91" s="16">
        <f t="shared" si="7"/>
        <v>0</v>
      </c>
      <c r="Y91" s="16">
        <f t="shared" si="8"/>
        <v>24.237823811428569</v>
      </c>
      <c r="Z91" s="18">
        <v>17.7</v>
      </c>
      <c r="AA91" s="11">
        <v>3027</v>
      </c>
      <c r="AB91" s="16">
        <f>(Y91-(60*Ventas!AE67*1.235))</f>
        <v>23.032110954285713</v>
      </c>
      <c r="AC91" s="17">
        <f>(AB91/(Ventas!AE67*1.235)/60)</f>
        <v>19.102484325218388</v>
      </c>
      <c r="AD91" s="1" t="s">
        <v>107</v>
      </c>
      <c r="AE91">
        <f t="shared" si="9"/>
        <v>0</v>
      </c>
    </row>
    <row r="92" spans="1:31" x14ac:dyDescent="0.25">
      <c r="A92" s="1"/>
      <c r="B92" s="1" t="s">
        <v>165</v>
      </c>
      <c r="C92" s="15" t="s">
        <v>164</v>
      </c>
      <c r="D92" s="4"/>
      <c r="E92" s="13">
        <v>46230</v>
      </c>
      <c r="F92" s="10">
        <v>7</v>
      </c>
      <c r="G92" s="16">
        <f>(D92-(0)+0-(F92*Ventas!AE68*1.8))</f>
        <v>0</v>
      </c>
      <c r="H92" s="4"/>
      <c r="I92" s="11">
        <v>0</v>
      </c>
      <c r="J92" s="16">
        <f t="shared" si="5"/>
        <v>0</v>
      </c>
      <c r="K92" s="4"/>
      <c r="L92" s="13">
        <v>46275</v>
      </c>
      <c r="M92" s="10">
        <v>45</v>
      </c>
      <c r="N92" s="16">
        <f>(IF(G92&gt;0,G92+I92,I92)-(M92*Ventas!AE68*1.0044))</f>
        <v>0</v>
      </c>
      <c r="O92" s="4"/>
      <c r="P92" s="11">
        <v>0</v>
      </c>
      <c r="Q92" s="16">
        <f t="shared" si="6"/>
        <v>0</v>
      </c>
      <c r="R92" s="4"/>
      <c r="S92" s="13">
        <v>46331</v>
      </c>
      <c r="T92" s="10">
        <v>56</v>
      </c>
      <c r="U92" s="16">
        <f>(IF(N92&gt;0,N92+P92,P92)-(T92*Ventas!AE68*0.9018))</f>
        <v>0</v>
      </c>
      <c r="V92" s="4"/>
      <c r="W92" s="16">
        <f>(100*(Ventas!AE68*1.235) - IF(U92&gt;0,U92,0))</f>
        <v>0</v>
      </c>
      <c r="X92" s="16">
        <f t="shared" si="7"/>
        <v>0</v>
      </c>
      <c r="Y92" s="16">
        <f t="shared" si="8"/>
        <v>0</v>
      </c>
      <c r="Z92" s="18">
        <v>17.2</v>
      </c>
      <c r="AA92" s="11">
        <v>3027</v>
      </c>
      <c r="AB92" s="4"/>
      <c r="AC92" s="4"/>
      <c r="AD92" s="1" t="s">
        <v>107</v>
      </c>
      <c r="AE92">
        <f t="shared" si="9"/>
        <v>0</v>
      </c>
    </row>
    <row r="93" spans="1:31" x14ac:dyDescent="0.25">
      <c r="A93" s="1"/>
      <c r="B93" s="1" t="s">
        <v>167</v>
      </c>
      <c r="C93" s="15" t="s">
        <v>166</v>
      </c>
      <c r="D93" s="4"/>
      <c r="E93" s="13">
        <v>46230</v>
      </c>
      <c r="F93" s="10">
        <v>7</v>
      </c>
      <c r="G93" s="16">
        <f>(D93-(0)+0-(F93*Ventas!AE69*1.8))</f>
        <v>0</v>
      </c>
      <c r="H93" s="4"/>
      <c r="I93" s="11">
        <v>0</v>
      </c>
      <c r="J93" s="16">
        <f t="shared" si="5"/>
        <v>0</v>
      </c>
      <c r="K93" s="4"/>
      <c r="L93" s="13">
        <v>46275</v>
      </c>
      <c r="M93" s="10">
        <v>45</v>
      </c>
      <c r="N93" s="16">
        <f>(IF(G93&gt;0,G93+I93,I93)-(M93*Ventas!AE69*1.0044))</f>
        <v>0</v>
      </c>
      <c r="O93" s="4"/>
      <c r="P93" s="11">
        <v>0</v>
      </c>
      <c r="Q93" s="16">
        <f t="shared" si="6"/>
        <v>0</v>
      </c>
      <c r="R93" s="4"/>
      <c r="S93" s="13">
        <v>46331</v>
      </c>
      <c r="T93" s="10">
        <v>56</v>
      </c>
      <c r="U93" s="16">
        <f>(IF(N93&gt;0,N93+P93,P93)-(T93*Ventas!AE69*0.9018))</f>
        <v>0</v>
      </c>
      <c r="V93" s="4"/>
      <c r="W93" s="16">
        <f>(100*(Ventas!AE69*1.235) - IF(U93&gt;0,U93,0))</f>
        <v>0</v>
      </c>
      <c r="X93" s="16">
        <f t="shared" si="7"/>
        <v>0</v>
      </c>
      <c r="Y93" s="16">
        <f t="shared" si="8"/>
        <v>0</v>
      </c>
      <c r="Z93" s="18">
        <v>7.2</v>
      </c>
      <c r="AA93" s="11">
        <v>3010</v>
      </c>
      <c r="AB93" s="4"/>
      <c r="AC93" s="4"/>
      <c r="AD93" s="1" t="s">
        <v>107</v>
      </c>
      <c r="AE93">
        <f t="shared" si="9"/>
        <v>0</v>
      </c>
    </row>
    <row r="94" spans="1:31" x14ac:dyDescent="0.25">
      <c r="A94" s="1"/>
      <c r="B94" s="1" t="s">
        <v>169</v>
      </c>
      <c r="C94" s="15" t="s">
        <v>168</v>
      </c>
      <c r="D94" s="4"/>
      <c r="E94" s="13">
        <v>46230</v>
      </c>
      <c r="F94" s="10">
        <v>7</v>
      </c>
      <c r="G94" s="16">
        <f>(D94-(0)+0-(F94*Ventas!AE70*1.8))</f>
        <v>0</v>
      </c>
      <c r="H94" s="4"/>
      <c r="I94" s="11">
        <v>0</v>
      </c>
      <c r="J94" s="16">
        <f t="shared" si="5"/>
        <v>0</v>
      </c>
      <c r="K94" s="4"/>
      <c r="L94" s="13">
        <v>46275</v>
      </c>
      <c r="M94" s="10">
        <v>45</v>
      </c>
      <c r="N94" s="16">
        <f>(IF(G94&gt;0,G94+I94,I94)-(M94*Ventas!AE70*1.0044))</f>
        <v>0</v>
      </c>
      <c r="O94" s="4"/>
      <c r="P94" s="11">
        <v>0</v>
      </c>
      <c r="Q94" s="16">
        <f t="shared" si="6"/>
        <v>0</v>
      </c>
      <c r="R94" s="4"/>
      <c r="S94" s="13">
        <v>46331</v>
      </c>
      <c r="T94" s="10">
        <v>56</v>
      </c>
      <c r="U94" s="16">
        <f>(IF(N94&gt;0,N94+P94,P94)-(T94*Ventas!AE70*0.9018))</f>
        <v>0</v>
      </c>
      <c r="V94" s="4"/>
      <c r="W94" s="16">
        <f>(100*(Ventas!AE70*1.235) - IF(U94&gt;0,U94,0))</f>
        <v>0</v>
      </c>
      <c r="X94" s="16">
        <f t="shared" si="7"/>
        <v>0</v>
      </c>
      <c r="Y94" s="16">
        <f t="shared" si="8"/>
        <v>0</v>
      </c>
      <c r="Z94" s="4"/>
      <c r="AA94" s="11">
        <v>3010</v>
      </c>
      <c r="AB94" s="4"/>
      <c r="AC94" s="4"/>
      <c r="AD94" s="1" t="s">
        <v>107</v>
      </c>
      <c r="AE94">
        <f t="shared" si="9"/>
        <v>0</v>
      </c>
    </row>
    <row r="95" spans="1:31" x14ac:dyDescent="0.25">
      <c r="A95" s="1"/>
      <c r="B95" s="1" t="s">
        <v>157</v>
      </c>
      <c r="C95" s="15" t="s">
        <v>170</v>
      </c>
      <c r="D95" s="4"/>
      <c r="E95" s="13">
        <v>46230</v>
      </c>
      <c r="F95" s="10">
        <v>7</v>
      </c>
      <c r="G95" s="16">
        <f>(D95-(0)+0-(F95*Ventas!AE71*1.8))</f>
        <v>0</v>
      </c>
      <c r="H95" s="4"/>
      <c r="I95" s="11">
        <v>0</v>
      </c>
      <c r="J95" s="16">
        <f t="shared" si="5"/>
        <v>0</v>
      </c>
      <c r="K95" s="4"/>
      <c r="L95" s="13">
        <v>46275</v>
      </c>
      <c r="M95" s="10">
        <v>45</v>
      </c>
      <c r="N95" s="16">
        <f>(IF(G95&gt;0,G95+I95,I95)-(M95*Ventas!AE71*1.0044))</f>
        <v>0</v>
      </c>
      <c r="O95" s="4"/>
      <c r="P95" s="11">
        <v>0</v>
      </c>
      <c r="Q95" s="16">
        <f t="shared" si="6"/>
        <v>0</v>
      </c>
      <c r="R95" s="4"/>
      <c r="S95" s="13">
        <v>46331</v>
      </c>
      <c r="T95" s="10">
        <v>56</v>
      </c>
      <c r="U95" s="16">
        <f>(IF(N95&gt;0,N95+P95,P95)-(T95*Ventas!AE71*0.9018))</f>
        <v>0</v>
      </c>
      <c r="V95" s="4"/>
      <c r="W95" s="16">
        <f>(100*(Ventas!AE71*1.235) - IF(U95&gt;0,U95,0))</f>
        <v>0</v>
      </c>
      <c r="X95" s="16">
        <f t="shared" si="7"/>
        <v>0</v>
      </c>
      <c r="Y95" s="16">
        <f t="shared" si="8"/>
        <v>0</v>
      </c>
      <c r="Z95" s="4"/>
      <c r="AA95" s="4"/>
      <c r="AB95" s="4"/>
      <c r="AC95" s="4"/>
      <c r="AD95" s="1" t="s">
        <v>34</v>
      </c>
      <c r="AE95">
        <f t="shared" si="9"/>
        <v>0</v>
      </c>
    </row>
    <row r="96" spans="1:31" x14ac:dyDescent="0.25">
      <c r="A96" s="1"/>
      <c r="B96" s="1" t="s">
        <v>172</v>
      </c>
      <c r="C96" s="15" t="s">
        <v>171</v>
      </c>
      <c r="D96" s="11">
        <v>123</v>
      </c>
      <c r="E96" s="13">
        <v>46230</v>
      </c>
      <c r="F96" s="10">
        <v>7</v>
      </c>
      <c r="G96" s="16">
        <f>(D96-(0)+0-(F96*Ventas!AE72*1.8))</f>
        <v>118.48866</v>
      </c>
      <c r="H96" s="17">
        <f>(G96/(Ventas!AE72*1.8)/60)</f>
        <v>3.0642064220386849</v>
      </c>
      <c r="I96" s="11">
        <v>0</v>
      </c>
      <c r="J96" s="16">
        <f t="shared" si="5"/>
        <v>118.48866</v>
      </c>
      <c r="K96" s="4"/>
      <c r="L96" s="13">
        <v>46275</v>
      </c>
      <c r="M96" s="10">
        <v>45</v>
      </c>
      <c r="N96" s="16">
        <f>(IF(G96&gt;0,G96+I96,I96)-(M96*Ventas!AE72*1.0044))</f>
        <v>102.30583894285714</v>
      </c>
      <c r="O96" s="17">
        <f>(N96/(Ventas!AE72*1.0044)/60)</f>
        <v>4.7414093584922652</v>
      </c>
      <c r="P96" s="11">
        <v>0</v>
      </c>
      <c r="Q96" s="16">
        <f t="shared" si="6"/>
        <v>102.30583894285714</v>
      </c>
      <c r="R96" s="4"/>
      <c r="S96" s="13">
        <v>46331</v>
      </c>
      <c r="T96" s="10">
        <v>56</v>
      </c>
      <c r="U96" s="16">
        <f>(IF(N96&gt;0,N96+P96,P96)-(T96*Ventas!AE72*0.9018))</f>
        <v>84.224388222857129</v>
      </c>
      <c r="V96" s="17">
        <f>(U96/(Ventas!AE72*0.9018)/60)</f>
        <v>4.3475178084604478</v>
      </c>
      <c r="W96" s="16">
        <f>(100*(Ventas!AE72*1.235) - IF(U96&gt;0,U96,0))</f>
        <v>-40.006095365714266</v>
      </c>
      <c r="X96" s="16">
        <f t="shared" si="7"/>
        <v>0</v>
      </c>
      <c r="Y96" s="16">
        <f t="shared" si="8"/>
        <v>84.224388222857129</v>
      </c>
      <c r="Z96" s="18">
        <v>18.600000000000001</v>
      </c>
      <c r="AA96" s="11">
        <v>3027</v>
      </c>
      <c r="AB96" s="16">
        <f>(Y96-(60*Ventas!AE72*1.235))</f>
        <v>57.693412508571413</v>
      </c>
      <c r="AC96" s="17">
        <f>(AB96/(Ventas!AE72*1.235)/60)</f>
        <v>2.1745680645098227</v>
      </c>
      <c r="AD96" s="1" t="s">
        <v>34</v>
      </c>
      <c r="AE96">
        <f t="shared" si="9"/>
        <v>0</v>
      </c>
    </row>
    <row r="97" spans="1:31" x14ac:dyDescent="0.25">
      <c r="A97" s="1"/>
      <c r="B97" s="1" t="s">
        <v>174</v>
      </c>
      <c r="C97" s="15" t="s">
        <v>173</v>
      </c>
      <c r="D97" s="4"/>
      <c r="E97" s="13">
        <v>46230</v>
      </c>
      <c r="F97" s="10">
        <v>7</v>
      </c>
      <c r="G97" s="16">
        <f>(D97-(0)+0-(F97*Ventas!AE73*1.8))</f>
        <v>0</v>
      </c>
      <c r="H97" s="4"/>
      <c r="I97" s="11">
        <v>0</v>
      </c>
      <c r="J97" s="16">
        <f t="shared" si="5"/>
        <v>0</v>
      </c>
      <c r="K97" s="4"/>
      <c r="L97" s="13">
        <v>46275</v>
      </c>
      <c r="M97" s="10">
        <v>45</v>
      </c>
      <c r="N97" s="16">
        <f>(IF(G97&gt;0,G97+I97,I97)-(M97*Ventas!AE73*1.0044))</f>
        <v>0</v>
      </c>
      <c r="O97" s="4"/>
      <c r="P97" s="11">
        <v>0</v>
      </c>
      <c r="Q97" s="16">
        <f t="shared" si="6"/>
        <v>0</v>
      </c>
      <c r="R97" s="4"/>
      <c r="S97" s="13">
        <v>46331</v>
      </c>
      <c r="T97" s="10">
        <v>56</v>
      </c>
      <c r="U97" s="16">
        <f>(IF(N97&gt;0,N97+P97,P97)-(T97*Ventas!AE73*0.9018))</f>
        <v>0</v>
      </c>
      <c r="V97" s="4"/>
      <c r="W97" s="16">
        <f>(100*(Ventas!AE73*1.235) - IF(U97&gt;0,U97,0))</f>
        <v>0</v>
      </c>
      <c r="X97" s="16">
        <f t="shared" si="7"/>
        <v>0</v>
      </c>
      <c r="Y97" s="16">
        <f t="shared" si="8"/>
        <v>0</v>
      </c>
      <c r="Z97" s="18">
        <v>8</v>
      </c>
      <c r="AA97" s="11">
        <v>3027</v>
      </c>
      <c r="AB97" s="4"/>
      <c r="AC97" s="4"/>
      <c r="AD97" s="1" t="s">
        <v>107</v>
      </c>
      <c r="AE97">
        <f t="shared" si="9"/>
        <v>0</v>
      </c>
    </row>
    <row r="98" spans="1:31" x14ac:dyDescent="0.25">
      <c r="A98" s="1"/>
      <c r="B98" s="1" t="s">
        <v>176</v>
      </c>
      <c r="C98" s="15" t="s">
        <v>175</v>
      </c>
      <c r="D98" s="11">
        <v>159</v>
      </c>
      <c r="E98" s="13">
        <v>46230</v>
      </c>
      <c r="F98" s="10">
        <v>7</v>
      </c>
      <c r="G98" s="16">
        <f>(D98-(0)+0-(F98*Ventas!AE74*1.8))</f>
        <v>158.57393999999999</v>
      </c>
      <c r="H98" s="17">
        <f>(G98/(Ventas!AE74*1.8)/60)</f>
        <v>43.421802093601841</v>
      </c>
      <c r="I98" s="11">
        <v>0</v>
      </c>
      <c r="J98" s="16">
        <f t="shared" si="5"/>
        <v>158.57393999999999</v>
      </c>
      <c r="K98" s="4"/>
      <c r="L98" s="13">
        <v>46275</v>
      </c>
      <c r="M98" s="10">
        <v>45</v>
      </c>
      <c r="N98" s="16">
        <f>(IF(G98&gt;0,G98+I98,I98)-(M98*Ventas!AE74*1.0044))</f>
        <v>157.0456019142857</v>
      </c>
      <c r="O98" s="17">
        <f>(N98/(Ventas!AE74*1.0044)/60)</f>
        <v>77.066849630110809</v>
      </c>
      <c r="P98" s="11">
        <v>0</v>
      </c>
      <c r="Q98" s="16">
        <f t="shared" si="6"/>
        <v>157.0456019142857</v>
      </c>
      <c r="R98" s="4"/>
      <c r="S98" s="13">
        <v>46331</v>
      </c>
      <c r="T98" s="10">
        <v>56</v>
      </c>
      <c r="U98" s="16">
        <f>(IF(N98&gt;0,N98+P98,P98)-(T98*Ventas!AE74*0.9018))</f>
        <v>155.33795343428571</v>
      </c>
      <c r="V98" s="17">
        <f>(U98/(Ventas!AE74*0.9018)/60)</f>
        <v>84.901600985233216</v>
      </c>
      <c r="W98" s="16">
        <f>(100*(Ventas!AE74*1.235) - IF(U98&gt;0,U98,0))</f>
        <v>-151.16188914857142</v>
      </c>
      <c r="X98" s="16">
        <f t="shared" si="7"/>
        <v>0</v>
      </c>
      <c r="Y98" s="16">
        <f t="shared" si="8"/>
        <v>155.33795343428571</v>
      </c>
      <c r="Z98" s="18">
        <v>17.100000000000001</v>
      </c>
      <c r="AA98" s="11">
        <v>3010</v>
      </c>
      <c r="AB98" s="16">
        <f>(Y98-(60*Ventas!AE74*1.235))</f>
        <v>152.83231486285715</v>
      </c>
      <c r="AC98" s="17">
        <f>(AB98/(Ventas!AE74*1.235)/60)</f>
        <v>60.995355278124144</v>
      </c>
      <c r="AD98" s="1" t="s">
        <v>34</v>
      </c>
      <c r="AE98">
        <f t="shared" si="9"/>
        <v>0</v>
      </c>
    </row>
    <row r="99" spans="1:31" x14ac:dyDescent="0.25">
      <c r="A99" s="1"/>
      <c r="B99" s="1" t="s">
        <v>178</v>
      </c>
      <c r="C99" s="15" t="s">
        <v>177</v>
      </c>
      <c r="D99" s="11">
        <v>59</v>
      </c>
      <c r="E99" s="13">
        <v>46230</v>
      </c>
      <c r="F99" s="10">
        <v>7</v>
      </c>
      <c r="G99" s="16">
        <f>(D99-(0)+0-(F99*Ventas!AE75*1.8))</f>
        <v>57.838639999999998</v>
      </c>
      <c r="H99" s="17">
        <f>(G99/(Ventas!AE75*1.8)/60)</f>
        <v>5.8102925305963122</v>
      </c>
      <c r="I99" s="11">
        <v>0</v>
      </c>
      <c r="J99" s="16">
        <f t="shared" si="5"/>
        <v>57.838639999999998</v>
      </c>
      <c r="K99" s="4"/>
      <c r="L99" s="13">
        <v>46275</v>
      </c>
      <c r="M99" s="10">
        <v>45</v>
      </c>
      <c r="N99" s="16">
        <f>(IF(G99&gt;0,G99+I99,I99)-(M99*Ventas!AE75*1.0044))</f>
        <v>53.672675771428572</v>
      </c>
      <c r="O99" s="17">
        <f>(N99/(Ventas!AE75*1.0044)/60)</f>
        <v>9.6627106283088047</v>
      </c>
      <c r="P99" s="11">
        <v>0</v>
      </c>
      <c r="Q99" s="16">
        <f t="shared" si="6"/>
        <v>53.672675771428572</v>
      </c>
      <c r="R99" s="4"/>
      <c r="S99" s="13">
        <v>46331</v>
      </c>
      <c r="T99" s="10">
        <v>56</v>
      </c>
      <c r="U99" s="16">
        <f>(IF(N99&gt;0,N99+P99,P99)-(T99*Ventas!AE75*0.9018))</f>
        <v>49.01794489142857</v>
      </c>
      <c r="V99" s="17">
        <f>(U99/(Ventas!AE75*0.9018)/60)</f>
        <v>9.8287276059806636</v>
      </c>
      <c r="W99" s="16">
        <f>(100*(Ventas!AE75*1.235) - IF(U99&gt;0,U99,0))</f>
        <v>-37.63477346285714</v>
      </c>
      <c r="X99" s="16">
        <f t="shared" si="7"/>
        <v>0</v>
      </c>
      <c r="Y99" s="16">
        <f t="shared" si="8"/>
        <v>49.01794489142857</v>
      </c>
      <c r="Z99" s="18">
        <v>17.100000000000001</v>
      </c>
      <c r="AA99" s="11">
        <v>3010</v>
      </c>
      <c r="AB99" s="16">
        <f>(Y99-(60*Ventas!AE75*1.235))</f>
        <v>42.188042034285715</v>
      </c>
      <c r="AC99" s="17">
        <f>(AB99/(Ventas!AE75*1.235)/60)</f>
        <v>6.1769607733387542</v>
      </c>
      <c r="AD99" s="1" t="s">
        <v>34</v>
      </c>
      <c r="AE99">
        <f t="shared" si="9"/>
        <v>0</v>
      </c>
    </row>
    <row r="100" spans="1:31" x14ac:dyDescent="0.25">
      <c r="A100" s="1"/>
      <c r="B100" s="1" t="s">
        <v>180</v>
      </c>
      <c r="C100" s="15" t="s">
        <v>179</v>
      </c>
      <c r="D100" s="4"/>
      <c r="E100" s="13">
        <v>46230</v>
      </c>
      <c r="F100" s="10">
        <v>7</v>
      </c>
      <c r="G100" s="16">
        <f>(D100-(0)+0-(F100*Ventas!AE76*1.8))</f>
        <v>0</v>
      </c>
      <c r="H100" s="4"/>
      <c r="I100" s="11">
        <v>0</v>
      </c>
      <c r="J100" s="16">
        <f t="shared" si="5"/>
        <v>0</v>
      </c>
      <c r="K100" s="4"/>
      <c r="L100" s="13">
        <v>46275</v>
      </c>
      <c r="M100" s="10">
        <v>45</v>
      </c>
      <c r="N100" s="16">
        <f>(IF(G100&gt;0,G100+I100,I100)-(M100*Ventas!AE76*1.0044))</f>
        <v>0</v>
      </c>
      <c r="O100" s="4"/>
      <c r="P100" s="11">
        <v>0</v>
      </c>
      <c r="Q100" s="16">
        <f t="shared" si="6"/>
        <v>0</v>
      </c>
      <c r="R100" s="4"/>
      <c r="S100" s="13">
        <v>46331</v>
      </c>
      <c r="T100" s="10">
        <v>56</v>
      </c>
      <c r="U100" s="16">
        <f>(IF(N100&gt;0,N100+P100,P100)-(T100*Ventas!AE76*0.9018))</f>
        <v>0</v>
      </c>
      <c r="V100" s="4"/>
      <c r="W100" s="16">
        <f>(100*(Ventas!AE76*1.235) - IF(U100&gt;0,U100,0))</f>
        <v>0</v>
      </c>
      <c r="X100" s="16">
        <f t="shared" si="7"/>
        <v>0</v>
      </c>
      <c r="Y100" s="16">
        <f t="shared" si="8"/>
        <v>0</v>
      </c>
      <c r="Z100" s="18">
        <v>6.6</v>
      </c>
      <c r="AA100" s="11">
        <v>3027</v>
      </c>
      <c r="AB100" s="4"/>
      <c r="AC100" s="4"/>
      <c r="AD100" s="1" t="s">
        <v>34</v>
      </c>
      <c r="AE100">
        <f t="shared" si="9"/>
        <v>0</v>
      </c>
    </row>
    <row r="101" spans="1:31" x14ac:dyDescent="0.25">
      <c r="A101" s="1"/>
      <c r="B101" s="1" t="s">
        <v>182</v>
      </c>
      <c r="C101" s="15" t="s">
        <v>181</v>
      </c>
      <c r="D101" s="4"/>
      <c r="E101" s="13">
        <v>46230</v>
      </c>
      <c r="F101" s="10">
        <v>7</v>
      </c>
      <c r="G101" s="16">
        <f>(D101-(0)+0-(F101*Ventas!AE77*1.8))</f>
        <v>0</v>
      </c>
      <c r="H101" s="4"/>
      <c r="I101" s="11">
        <v>0</v>
      </c>
      <c r="J101" s="16">
        <f t="shared" si="5"/>
        <v>0</v>
      </c>
      <c r="K101" s="4"/>
      <c r="L101" s="13">
        <v>46275</v>
      </c>
      <c r="M101" s="10">
        <v>45</v>
      </c>
      <c r="N101" s="16">
        <f>(IF(G101&gt;0,G101+I101,I101)-(M101*Ventas!AE77*1.0044))</f>
        <v>0</v>
      </c>
      <c r="O101" s="4"/>
      <c r="P101" s="11">
        <v>0</v>
      </c>
      <c r="Q101" s="16">
        <f t="shared" si="6"/>
        <v>0</v>
      </c>
      <c r="R101" s="4"/>
      <c r="S101" s="13">
        <v>46331</v>
      </c>
      <c r="T101" s="10">
        <v>56</v>
      </c>
      <c r="U101" s="16">
        <f>(IF(N101&gt;0,N101+P101,P101)-(T101*Ventas!AE77*0.9018))</f>
        <v>0</v>
      </c>
      <c r="V101" s="4"/>
      <c r="W101" s="16">
        <f>(100*(Ventas!AE77*1.235) - IF(U101&gt;0,U101,0))</f>
        <v>0</v>
      </c>
      <c r="X101" s="16">
        <f t="shared" si="7"/>
        <v>0</v>
      </c>
      <c r="Y101" s="16">
        <f t="shared" si="8"/>
        <v>0</v>
      </c>
      <c r="Z101" s="18">
        <v>11.9</v>
      </c>
      <c r="AA101" s="11">
        <v>3027</v>
      </c>
      <c r="AB101" s="4"/>
      <c r="AC101" s="4"/>
      <c r="AD101" s="1" t="s">
        <v>34</v>
      </c>
      <c r="AE101">
        <f t="shared" si="9"/>
        <v>0</v>
      </c>
    </row>
    <row r="102" spans="1:31" x14ac:dyDescent="0.25">
      <c r="A102" s="1"/>
      <c r="B102" s="1" t="s">
        <v>184</v>
      </c>
      <c r="C102" s="15" t="s">
        <v>183</v>
      </c>
      <c r="D102" s="11">
        <v>5</v>
      </c>
      <c r="E102" s="13">
        <v>46230</v>
      </c>
      <c r="F102" s="10">
        <v>7</v>
      </c>
      <c r="G102" s="16">
        <f>(D102-(0)+0-(F102*Ventas!AE78*1.8))</f>
        <v>5</v>
      </c>
      <c r="H102" s="4"/>
      <c r="I102" s="11">
        <v>0</v>
      </c>
      <c r="J102" s="16">
        <f t="shared" si="5"/>
        <v>5</v>
      </c>
      <c r="K102" s="4"/>
      <c r="L102" s="13">
        <v>46275</v>
      </c>
      <c r="M102" s="10">
        <v>45</v>
      </c>
      <c r="N102" s="16">
        <f>(IF(G102&gt;0,G102+I102,I102)-(M102*Ventas!AE78*1.0044))</f>
        <v>5</v>
      </c>
      <c r="O102" s="4"/>
      <c r="P102" s="11">
        <v>0</v>
      </c>
      <c r="Q102" s="16">
        <f t="shared" si="6"/>
        <v>5</v>
      </c>
      <c r="R102" s="4"/>
      <c r="S102" s="13">
        <v>46331</v>
      </c>
      <c r="T102" s="10">
        <v>56</v>
      </c>
      <c r="U102" s="16">
        <f>(IF(N102&gt;0,N102+P102,P102)-(T102*Ventas!AE78*0.9018))</f>
        <v>5</v>
      </c>
      <c r="V102" s="4"/>
      <c r="W102" s="16">
        <f>(100*(Ventas!AE78*1.235) - IF(U102&gt;0,U102,0))</f>
        <v>-5</v>
      </c>
      <c r="X102" s="16">
        <f t="shared" si="7"/>
        <v>0</v>
      </c>
      <c r="Y102" s="16">
        <f t="shared" si="8"/>
        <v>5</v>
      </c>
      <c r="Z102" s="4"/>
      <c r="AA102" s="11">
        <v>3027</v>
      </c>
      <c r="AB102" s="4"/>
      <c r="AC102" s="4"/>
      <c r="AD102" s="1" t="s">
        <v>107</v>
      </c>
      <c r="AE102">
        <f t="shared" si="9"/>
        <v>0</v>
      </c>
    </row>
    <row r="103" spans="1:31" x14ac:dyDescent="0.25">
      <c r="A103" s="1"/>
      <c r="B103" s="1" t="s">
        <v>186</v>
      </c>
      <c r="C103" s="15" t="s">
        <v>185</v>
      </c>
      <c r="D103" s="4"/>
      <c r="E103" s="13">
        <v>46230</v>
      </c>
      <c r="F103" s="10">
        <v>7</v>
      </c>
      <c r="G103" s="16">
        <f>(D103-(0)+0-(F103*Ventas!AE79*1.8))</f>
        <v>0</v>
      </c>
      <c r="H103" s="4"/>
      <c r="I103" s="11">
        <v>0</v>
      </c>
      <c r="J103" s="16">
        <f t="shared" si="5"/>
        <v>0</v>
      </c>
      <c r="K103" s="4"/>
      <c r="L103" s="13">
        <v>46275</v>
      </c>
      <c r="M103" s="10">
        <v>45</v>
      </c>
      <c r="N103" s="16">
        <f>(IF(G103&gt;0,G103+I103,I103)-(M103*Ventas!AE79*1.0044))</f>
        <v>0</v>
      </c>
      <c r="O103" s="4"/>
      <c r="P103" s="11">
        <v>0</v>
      </c>
      <c r="Q103" s="16">
        <f t="shared" si="6"/>
        <v>0</v>
      </c>
      <c r="R103" s="4"/>
      <c r="S103" s="13">
        <v>46331</v>
      </c>
      <c r="T103" s="10">
        <v>56</v>
      </c>
      <c r="U103" s="16">
        <f>(IF(N103&gt;0,N103+P103,P103)-(T103*Ventas!AE79*0.9018))</f>
        <v>0</v>
      </c>
      <c r="V103" s="4"/>
      <c r="W103" s="16">
        <f>(100*(Ventas!AE79*1.235) - IF(U103&gt;0,U103,0))</f>
        <v>0</v>
      </c>
      <c r="X103" s="16">
        <f t="shared" si="7"/>
        <v>0</v>
      </c>
      <c r="Y103" s="16">
        <f t="shared" si="8"/>
        <v>0</v>
      </c>
      <c r="Z103" s="4"/>
      <c r="AA103" s="11">
        <v>3027</v>
      </c>
      <c r="AB103" s="4"/>
      <c r="AC103" s="4"/>
      <c r="AD103" s="1" t="s">
        <v>107</v>
      </c>
      <c r="AE103">
        <f t="shared" si="9"/>
        <v>0</v>
      </c>
    </row>
    <row r="104" spans="1:31" x14ac:dyDescent="0.25">
      <c r="A104" s="1"/>
      <c r="B104" s="1" t="s">
        <v>188</v>
      </c>
      <c r="C104" s="15" t="s">
        <v>187</v>
      </c>
      <c r="D104" s="4"/>
      <c r="E104" s="13">
        <v>46230</v>
      </c>
      <c r="F104" s="10">
        <v>7</v>
      </c>
      <c r="G104" s="16">
        <f>(D104-(0)+0-(F104*Ventas!AE80*1.8))</f>
        <v>0</v>
      </c>
      <c r="H104" s="4"/>
      <c r="I104" s="11">
        <v>0</v>
      </c>
      <c r="J104" s="16">
        <f t="shared" si="5"/>
        <v>0</v>
      </c>
      <c r="K104" s="4"/>
      <c r="L104" s="13">
        <v>46275</v>
      </c>
      <c r="M104" s="10">
        <v>45</v>
      </c>
      <c r="N104" s="16">
        <f>(IF(G104&gt;0,G104+I104,I104)-(M104*Ventas!AE80*1.0044))</f>
        <v>0</v>
      </c>
      <c r="O104" s="4"/>
      <c r="P104" s="11">
        <v>0</v>
      </c>
      <c r="Q104" s="16">
        <f t="shared" si="6"/>
        <v>0</v>
      </c>
      <c r="R104" s="4"/>
      <c r="S104" s="13">
        <v>46331</v>
      </c>
      <c r="T104" s="10">
        <v>56</v>
      </c>
      <c r="U104" s="16">
        <f>(IF(N104&gt;0,N104+P104,P104)-(T104*Ventas!AE80*0.9018))</f>
        <v>0</v>
      </c>
      <c r="V104" s="4"/>
      <c r="W104" s="16">
        <f>(100*(Ventas!AE80*1.235) - IF(U104&gt;0,U104,0))</f>
        <v>0</v>
      </c>
      <c r="X104" s="16">
        <f t="shared" si="7"/>
        <v>0</v>
      </c>
      <c r="Y104" s="16">
        <f t="shared" si="8"/>
        <v>0</v>
      </c>
      <c r="Z104" s="4"/>
      <c r="AA104" s="11">
        <v>3027</v>
      </c>
      <c r="AB104" s="4"/>
      <c r="AC104" s="4"/>
      <c r="AD104" s="1" t="s">
        <v>107</v>
      </c>
      <c r="AE104">
        <f t="shared" si="9"/>
        <v>0</v>
      </c>
    </row>
    <row r="105" spans="1:31" x14ac:dyDescent="0.25">
      <c r="A105" s="1"/>
      <c r="B105" s="1" t="s">
        <v>46</v>
      </c>
      <c r="C105" s="15" t="s">
        <v>189</v>
      </c>
      <c r="D105" s="4"/>
      <c r="E105" s="13">
        <v>46230</v>
      </c>
      <c r="F105" s="10">
        <v>7</v>
      </c>
      <c r="G105" s="16">
        <f>(D105-(0)+0-(F105*Ventas!AE81*1.8))</f>
        <v>0</v>
      </c>
      <c r="H105" s="4"/>
      <c r="I105" s="11">
        <v>0</v>
      </c>
      <c r="J105" s="16">
        <f t="shared" si="5"/>
        <v>0</v>
      </c>
      <c r="K105" s="4"/>
      <c r="L105" s="13">
        <v>46275</v>
      </c>
      <c r="M105" s="10">
        <v>45</v>
      </c>
      <c r="N105" s="16">
        <f>(IF(G105&gt;0,G105+I105,I105)-(M105*Ventas!AE81*1.0044))</f>
        <v>0</v>
      </c>
      <c r="O105" s="4"/>
      <c r="P105" s="11">
        <v>0</v>
      </c>
      <c r="Q105" s="16">
        <f t="shared" si="6"/>
        <v>0</v>
      </c>
      <c r="R105" s="4"/>
      <c r="S105" s="13">
        <v>46331</v>
      </c>
      <c r="T105" s="10">
        <v>56</v>
      </c>
      <c r="U105" s="16">
        <f>(IF(N105&gt;0,N105+P105,P105)-(T105*Ventas!AE81*0.9018))</f>
        <v>0</v>
      </c>
      <c r="V105" s="4"/>
      <c r="W105" s="16">
        <f>(100*(Ventas!AE81*1.235) - IF(U105&gt;0,U105,0))</f>
        <v>0</v>
      </c>
      <c r="X105" s="16">
        <f t="shared" si="7"/>
        <v>0</v>
      </c>
      <c r="Y105" s="16">
        <f t="shared" si="8"/>
        <v>0</v>
      </c>
      <c r="Z105" s="4"/>
      <c r="AA105" s="11">
        <v>3027</v>
      </c>
      <c r="AB105" s="4"/>
      <c r="AC105" s="4"/>
      <c r="AD105" s="1" t="s">
        <v>107</v>
      </c>
      <c r="AE105">
        <f t="shared" si="9"/>
        <v>0</v>
      </c>
    </row>
    <row r="106" spans="1:31" x14ac:dyDescent="0.25">
      <c r="A106" s="1"/>
      <c r="B106" s="1" t="s">
        <v>48</v>
      </c>
      <c r="C106" s="15" t="s">
        <v>190</v>
      </c>
      <c r="D106" s="4"/>
      <c r="E106" s="13">
        <v>46230</v>
      </c>
      <c r="F106" s="10">
        <v>7</v>
      </c>
      <c r="G106" s="16">
        <f>(D106-(0)+0-(F106*Ventas!AE82*1.8))</f>
        <v>0</v>
      </c>
      <c r="H106" s="4"/>
      <c r="I106" s="11">
        <v>0</v>
      </c>
      <c r="J106" s="16">
        <f t="shared" si="5"/>
        <v>0</v>
      </c>
      <c r="K106" s="4"/>
      <c r="L106" s="13">
        <v>46275</v>
      </c>
      <c r="M106" s="10">
        <v>45</v>
      </c>
      <c r="N106" s="16">
        <f>(IF(G106&gt;0,G106+I106,I106)-(M106*Ventas!AE82*1.0044))</f>
        <v>0</v>
      </c>
      <c r="O106" s="4"/>
      <c r="P106" s="11">
        <v>0</v>
      </c>
      <c r="Q106" s="16">
        <f t="shared" si="6"/>
        <v>0</v>
      </c>
      <c r="R106" s="4"/>
      <c r="S106" s="13">
        <v>46331</v>
      </c>
      <c r="T106" s="10">
        <v>56</v>
      </c>
      <c r="U106" s="16">
        <f>(IF(N106&gt;0,N106+P106,P106)-(T106*Ventas!AE82*0.9018))</f>
        <v>0</v>
      </c>
      <c r="V106" s="4"/>
      <c r="W106" s="16">
        <f>(100*(Ventas!AE82*1.235) - IF(U106&gt;0,U106,0))</f>
        <v>0</v>
      </c>
      <c r="X106" s="16">
        <f t="shared" si="7"/>
        <v>0</v>
      </c>
      <c r="Y106" s="16">
        <f t="shared" si="8"/>
        <v>0</v>
      </c>
      <c r="Z106" s="4"/>
      <c r="AA106" s="11">
        <v>3027</v>
      </c>
      <c r="AB106" s="4"/>
      <c r="AC106" s="4"/>
      <c r="AD106" s="1" t="s">
        <v>107</v>
      </c>
      <c r="AE106">
        <f t="shared" si="9"/>
        <v>0</v>
      </c>
    </row>
    <row r="107" spans="1:31" x14ac:dyDescent="0.25">
      <c r="A107" s="1"/>
      <c r="B107" s="1" t="s">
        <v>192</v>
      </c>
      <c r="C107" s="15" t="s">
        <v>191</v>
      </c>
      <c r="D107" s="4"/>
      <c r="E107" s="13">
        <v>46230</v>
      </c>
      <c r="F107" s="10">
        <v>7</v>
      </c>
      <c r="G107" s="16">
        <f>(D107-(0)+0-(F107*Ventas!AE83*1.8))</f>
        <v>0</v>
      </c>
      <c r="H107" s="4"/>
      <c r="I107" s="11">
        <v>0</v>
      </c>
      <c r="J107" s="16">
        <f t="shared" si="5"/>
        <v>0</v>
      </c>
      <c r="K107" s="4"/>
      <c r="L107" s="13">
        <v>46275</v>
      </c>
      <c r="M107" s="10">
        <v>45</v>
      </c>
      <c r="N107" s="16">
        <f>(IF(G107&gt;0,G107+I107,I107)-(M107*Ventas!AE83*1.0044))</f>
        <v>0</v>
      </c>
      <c r="O107" s="4"/>
      <c r="P107" s="11">
        <v>0</v>
      </c>
      <c r="Q107" s="16">
        <f t="shared" si="6"/>
        <v>0</v>
      </c>
      <c r="R107" s="4"/>
      <c r="S107" s="13">
        <v>46331</v>
      </c>
      <c r="T107" s="10">
        <v>56</v>
      </c>
      <c r="U107" s="16">
        <f>(IF(N107&gt;0,N107+P107,P107)-(T107*Ventas!AE83*0.9018))</f>
        <v>0</v>
      </c>
      <c r="V107" s="4"/>
      <c r="W107" s="16">
        <f>(100*(Ventas!AE83*1.235) - IF(U107&gt;0,U107,0))</f>
        <v>0</v>
      </c>
      <c r="X107" s="16">
        <f t="shared" si="7"/>
        <v>0</v>
      </c>
      <c r="Y107" s="16">
        <f t="shared" si="8"/>
        <v>0</v>
      </c>
      <c r="Z107" s="4"/>
      <c r="AA107" s="11">
        <v>3027</v>
      </c>
      <c r="AB107" s="4"/>
      <c r="AC107" s="4"/>
      <c r="AD107" s="1" t="s">
        <v>107</v>
      </c>
      <c r="AE107">
        <f t="shared" si="9"/>
        <v>0</v>
      </c>
    </row>
    <row r="108" spans="1:31" x14ac:dyDescent="0.25">
      <c r="A108" s="1"/>
      <c r="B108" s="1" t="s">
        <v>194</v>
      </c>
      <c r="C108" s="15" t="s">
        <v>193</v>
      </c>
      <c r="D108" s="4"/>
      <c r="E108" s="13">
        <v>46230</v>
      </c>
      <c r="F108" s="10">
        <v>7</v>
      </c>
      <c r="G108" s="16">
        <f>(D108-(0)+0-(F108*Ventas!AE84*1.8))</f>
        <v>0</v>
      </c>
      <c r="H108" s="4"/>
      <c r="I108" s="11">
        <v>0</v>
      </c>
      <c r="J108" s="16">
        <f t="shared" si="5"/>
        <v>0</v>
      </c>
      <c r="K108" s="4"/>
      <c r="L108" s="13">
        <v>46275</v>
      </c>
      <c r="M108" s="10">
        <v>45</v>
      </c>
      <c r="N108" s="16">
        <f>(IF(G108&gt;0,G108+I108,I108)-(M108*Ventas!AE84*1.0044))</f>
        <v>0</v>
      </c>
      <c r="O108" s="4"/>
      <c r="P108" s="11">
        <v>0</v>
      </c>
      <c r="Q108" s="16">
        <f t="shared" si="6"/>
        <v>0</v>
      </c>
      <c r="R108" s="4"/>
      <c r="S108" s="13">
        <v>46331</v>
      </c>
      <c r="T108" s="10">
        <v>56</v>
      </c>
      <c r="U108" s="16">
        <f>(IF(N108&gt;0,N108+P108,P108)-(T108*Ventas!AE84*0.9018))</f>
        <v>0</v>
      </c>
      <c r="V108" s="4"/>
      <c r="W108" s="16">
        <f>(100*(Ventas!AE84*1.235) - IF(U108&gt;0,U108,0))</f>
        <v>0</v>
      </c>
      <c r="X108" s="16">
        <f t="shared" si="7"/>
        <v>0</v>
      </c>
      <c r="Y108" s="16">
        <f t="shared" si="8"/>
        <v>0</v>
      </c>
      <c r="Z108" s="4"/>
      <c r="AA108" s="11">
        <v>3027</v>
      </c>
      <c r="AB108" s="4"/>
      <c r="AC108" s="4"/>
      <c r="AD108" s="1" t="s">
        <v>107</v>
      </c>
      <c r="AE108">
        <f t="shared" si="9"/>
        <v>0</v>
      </c>
    </row>
    <row r="109" spans="1:31" x14ac:dyDescent="0.25">
      <c r="A109" s="1"/>
      <c r="B109" s="1" t="s">
        <v>196</v>
      </c>
      <c r="C109" s="15" t="s">
        <v>195</v>
      </c>
      <c r="D109" s="11">
        <v>13</v>
      </c>
      <c r="E109" s="13">
        <v>46230</v>
      </c>
      <c r="F109" s="10">
        <v>7</v>
      </c>
      <c r="G109" s="16">
        <f>(D109-(0)+0-(F109*Ventas!AE85*1.8))</f>
        <v>8.8418199999999985</v>
      </c>
      <c r="H109" s="17">
        <f>(G109/(Ventas!AE85*1.8)/60)</f>
        <v>0.24807624168907222</v>
      </c>
      <c r="I109" s="11">
        <v>60</v>
      </c>
      <c r="J109" s="16">
        <f t="shared" si="5"/>
        <v>68.841819999999998</v>
      </c>
      <c r="K109" s="16">
        <v>2.08</v>
      </c>
      <c r="L109" s="13">
        <v>46275</v>
      </c>
      <c r="M109" s="10">
        <v>45</v>
      </c>
      <c r="N109" s="16">
        <f>(IF(G109&gt;0,G109+I109,I109)-(M109*Ventas!AE85*1.0044))</f>
        <v>53.925834314285709</v>
      </c>
      <c r="O109" s="17">
        <f>(N109/(Ventas!AE85*1.0044)/60)</f>
        <v>2.7114785833060759</v>
      </c>
      <c r="P109" s="11">
        <v>60</v>
      </c>
      <c r="Q109" s="16">
        <f t="shared" si="6"/>
        <v>113.92583431428571</v>
      </c>
      <c r="R109" s="16">
        <v>2.1</v>
      </c>
      <c r="S109" s="13">
        <v>46331</v>
      </c>
      <c r="T109" s="10">
        <v>56</v>
      </c>
      <c r="U109" s="16">
        <f>(IF(N109&gt;0,N109+P109,P109)-(T109*Ventas!AE85*0.9018))</f>
        <v>97.259848874285709</v>
      </c>
      <c r="V109" s="17">
        <f>(U109/(Ventas!AE85*0.9018)/60)</f>
        <v>5.4467741662285594</v>
      </c>
      <c r="W109" s="16">
        <f>(100*(Ventas!AE85*1.235) - IF(U109&gt;0,U109,0))</f>
        <v>-56.503084588571419</v>
      </c>
      <c r="X109" s="16">
        <f t="shared" si="7"/>
        <v>0</v>
      </c>
      <c r="Y109" s="16">
        <f t="shared" si="8"/>
        <v>97.259848874285709</v>
      </c>
      <c r="Z109" s="18">
        <v>2.08</v>
      </c>
      <c r="AA109" s="11">
        <v>3027</v>
      </c>
      <c r="AB109" s="16">
        <f>(Y109-(60*Ventas!AE85*1.235))</f>
        <v>72.805790302857133</v>
      </c>
      <c r="AC109" s="17">
        <f>(AB109/(Ventas!AE85*1.235)/60)</f>
        <v>2.9772477272104578</v>
      </c>
      <c r="AD109" s="1" t="s">
        <v>34</v>
      </c>
      <c r="AE109">
        <f t="shared" si="9"/>
        <v>0</v>
      </c>
    </row>
    <row r="110" spans="1:31" x14ac:dyDescent="0.25">
      <c r="A110" s="1"/>
      <c r="B110" s="1" t="s">
        <v>198</v>
      </c>
      <c r="C110" s="15" t="s">
        <v>197</v>
      </c>
      <c r="D110" s="4"/>
      <c r="E110" s="13">
        <v>46230</v>
      </c>
      <c r="F110" s="10">
        <v>7</v>
      </c>
      <c r="G110" s="16">
        <f>(D110-(0)+0-(F110*Ventas!AE86*1.8))</f>
        <v>0</v>
      </c>
      <c r="H110" s="4"/>
      <c r="I110" s="11">
        <v>0</v>
      </c>
      <c r="J110" s="16">
        <f t="shared" si="5"/>
        <v>0</v>
      </c>
      <c r="K110" s="4"/>
      <c r="L110" s="13">
        <v>46275</v>
      </c>
      <c r="M110" s="10">
        <v>45</v>
      </c>
      <c r="N110" s="16">
        <f>(IF(G110&gt;0,G110+I110,I110)-(M110*Ventas!AE86*1.0044))</f>
        <v>0</v>
      </c>
      <c r="O110" s="4"/>
      <c r="P110" s="11">
        <v>0</v>
      </c>
      <c r="Q110" s="16">
        <f t="shared" si="6"/>
        <v>0</v>
      </c>
      <c r="R110" s="4"/>
      <c r="S110" s="13">
        <v>46331</v>
      </c>
      <c r="T110" s="10">
        <v>56</v>
      </c>
      <c r="U110" s="16">
        <f>(IF(N110&gt;0,N110+P110,P110)-(T110*Ventas!AE86*0.9018))</f>
        <v>0</v>
      </c>
      <c r="V110" s="4"/>
      <c r="W110" s="16">
        <f>(100*(Ventas!AE86*1.235) - IF(U110&gt;0,U110,0))</f>
        <v>0</v>
      </c>
      <c r="X110" s="16">
        <f t="shared" si="7"/>
        <v>0</v>
      </c>
      <c r="Y110" s="16">
        <f t="shared" si="8"/>
        <v>0</v>
      </c>
      <c r="Z110" s="18">
        <v>12.6</v>
      </c>
      <c r="AA110" s="11">
        <v>3027</v>
      </c>
      <c r="AB110" s="4"/>
      <c r="AC110" s="4"/>
      <c r="AD110" s="1" t="s">
        <v>34</v>
      </c>
      <c r="AE110">
        <f t="shared" si="9"/>
        <v>0</v>
      </c>
    </row>
    <row r="111" spans="1:31" x14ac:dyDescent="0.25">
      <c r="A111" s="1"/>
      <c r="B111" s="1" t="s">
        <v>200</v>
      </c>
      <c r="C111" s="15" t="s">
        <v>199</v>
      </c>
      <c r="D111" s="4"/>
      <c r="E111" s="13">
        <v>46230</v>
      </c>
      <c r="F111" s="10">
        <v>7</v>
      </c>
      <c r="G111" s="16">
        <f>(D111-(0)+0-(F111*Ventas!AE87*1.8))</f>
        <v>0</v>
      </c>
      <c r="H111" s="4"/>
      <c r="I111" s="11">
        <v>0</v>
      </c>
      <c r="J111" s="16">
        <f t="shared" si="5"/>
        <v>0</v>
      </c>
      <c r="K111" s="4"/>
      <c r="L111" s="13">
        <v>46275</v>
      </c>
      <c r="M111" s="10">
        <v>45</v>
      </c>
      <c r="N111" s="16">
        <f>(IF(G111&gt;0,G111+I111,I111)-(M111*Ventas!AE87*1.0044))</f>
        <v>0</v>
      </c>
      <c r="O111" s="4"/>
      <c r="P111" s="11">
        <v>0</v>
      </c>
      <c r="Q111" s="16">
        <f t="shared" si="6"/>
        <v>0</v>
      </c>
      <c r="R111" s="4"/>
      <c r="S111" s="13">
        <v>46331</v>
      </c>
      <c r="T111" s="10">
        <v>56</v>
      </c>
      <c r="U111" s="16">
        <f>(IF(N111&gt;0,N111+P111,P111)-(T111*Ventas!AE87*0.9018))</f>
        <v>0</v>
      </c>
      <c r="V111" s="4"/>
      <c r="W111" s="16">
        <f>(100*(Ventas!AE87*1.235) - IF(U111&gt;0,U111,0))</f>
        <v>0</v>
      </c>
      <c r="X111" s="16">
        <f t="shared" si="7"/>
        <v>0</v>
      </c>
      <c r="Y111" s="16">
        <f t="shared" si="8"/>
        <v>0</v>
      </c>
      <c r="Z111" s="18">
        <v>25.2</v>
      </c>
      <c r="AA111" s="11">
        <v>3027</v>
      </c>
      <c r="AB111" s="4"/>
      <c r="AC111" s="4"/>
      <c r="AD111" s="1" t="s">
        <v>34</v>
      </c>
      <c r="AE111">
        <f t="shared" si="9"/>
        <v>0</v>
      </c>
    </row>
    <row r="112" spans="1:31" x14ac:dyDescent="0.25">
      <c r="A112" s="1"/>
      <c r="B112" s="1" t="s">
        <v>202</v>
      </c>
      <c r="C112" s="15" t="s">
        <v>201</v>
      </c>
      <c r="D112" s="4"/>
      <c r="E112" s="13">
        <v>46230</v>
      </c>
      <c r="F112" s="10">
        <v>7</v>
      </c>
      <c r="G112" s="16">
        <f>(D112-(0)+0-(F112*Ventas!AE88*1.8))</f>
        <v>0</v>
      </c>
      <c r="H112" s="4"/>
      <c r="I112" s="11">
        <v>0</v>
      </c>
      <c r="J112" s="16">
        <f t="shared" si="5"/>
        <v>0</v>
      </c>
      <c r="K112" s="4"/>
      <c r="L112" s="13">
        <v>46275</v>
      </c>
      <c r="M112" s="10">
        <v>45</v>
      </c>
      <c r="N112" s="16">
        <f>(IF(G112&gt;0,G112+I112,I112)-(M112*Ventas!AE88*1.0044))</f>
        <v>0</v>
      </c>
      <c r="O112" s="4"/>
      <c r="P112" s="11">
        <v>0</v>
      </c>
      <c r="Q112" s="16">
        <f t="shared" si="6"/>
        <v>0</v>
      </c>
      <c r="R112" s="4"/>
      <c r="S112" s="13">
        <v>46331</v>
      </c>
      <c r="T112" s="10">
        <v>56</v>
      </c>
      <c r="U112" s="16">
        <f>(IF(N112&gt;0,N112+P112,P112)-(T112*Ventas!AE88*0.9018))</f>
        <v>0</v>
      </c>
      <c r="V112" s="4"/>
      <c r="W112" s="16">
        <f>(100*(Ventas!AE88*1.235) - IF(U112&gt;0,U112,0))</f>
        <v>0</v>
      </c>
      <c r="X112" s="16">
        <f t="shared" si="7"/>
        <v>0</v>
      </c>
      <c r="Y112" s="16">
        <f t="shared" si="8"/>
        <v>0</v>
      </c>
      <c r="Z112" s="18">
        <v>25.2</v>
      </c>
      <c r="AA112" s="11">
        <v>3027</v>
      </c>
      <c r="AB112" s="4"/>
      <c r="AC112" s="4"/>
      <c r="AD112" s="1" t="s">
        <v>34</v>
      </c>
      <c r="AE112">
        <f t="shared" si="9"/>
        <v>0</v>
      </c>
    </row>
    <row r="113" spans="1:31" x14ac:dyDescent="0.25">
      <c r="A113" s="1"/>
      <c r="B113" s="1" t="s">
        <v>204</v>
      </c>
      <c r="C113" s="15" t="s">
        <v>203</v>
      </c>
      <c r="D113" s="4"/>
      <c r="E113" s="13">
        <v>46230</v>
      </c>
      <c r="F113" s="10">
        <v>7</v>
      </c>
      <c r="G113" s="16">
        <f>(D113-(0)+0-(F113*Ventas!AE89*1.8))</f>
        <v>0</v>
      </c>
      <c r="H113" s="4"/>
      <c r="I113" s="11">
        <v>0</v>
      </c>
      <c r="J113" s="16">
        <f t="shared" si="5"/>
        <v>0</v>
      </c>
      <c r="K113" s="4"/>
      <c r="L113" s="13">
        <v>46275</v>
      </c>
      <c r="M113" s="10">
        <v>45</v>
      </c>
      <c r="N113" s="16">
        <f>(IF(G113&gt;0,G113+I113,I113)-(M113*Ventas!AE89*1.0044))</f>
        <v>0</v>
      </c>
      <c r="O113" s="4"/>
      <c r="P113" s="11">
        <v>0</v>
      </c>
      <c r="Q113" s="16">
        <f t="shared" si="6"/>
        <v>0</v>
      </c>
      <c r="R113" s="4"/>
      <c r="S113" s="13">
        <v>46331</v>
      </c>
      <c r="T113" s="10">
        <v>56</v>
      </c>
      <c r="U113" s="16">
        <f>(IF(N113&gt;0,N113+P113,P113)-(T113*Ventas!AE89*0.9018))</f>
        <v>0</v>
      </c>
      <c r="V113" s="4"/>
      <c r="W113" s="16">
        <f>(100*(Ventas!AE89*1.235) - IF(U113&gt;0,U113,0))</f>
        <v>0</v>
      </c>
      <c r="X113" s="16">
        <f t="shared" si="7"/>
        <v>0</v>
      </c>
      <c r="Y113" s="16">
        <f t="shared" si="8"/>
        <v>0</v>
      </c>
      <c r="Z113" s="18">
        <v>23.776299999999999</v>
      </c>
      <c r="AA113" s="11">
        <v>3010</v>
      </c>
      <c r="AB113" s="4"/>
      <c r="AC113" s="4"/>
      <c r="AD113" s="1" t="s">
        <v>34</v>
      </c>
      <c r="AE113">
        <f t="shared" si="9"/>
        <v>0</v>
      </c>
    </row>
    <row r="114" spans="1:31" x14ac:dyDescent="0.25">
      <c r="A114" s="1"/>
      <c r="B114" s="1" t="s">
        <v>206</v>
      </c>
      <c r="C114" s="15" t="s">
        <v>205</v>
      </c>
      <c r="D114" s="11">
        <v>1</v>
      </c>
      <c r="E114" s="13">
        <v>46230</v>
      </c>
      <c r="F114" s="10">
        <v>7</v>
      </c>
      <c r="G114" s="16">
        <f>(D114-(0)+0-(F114*Ventas!AE90*1.8))</f>
        <v>1</v>
      </c>
      <c r="H114" s="4"/>
      <c r="I114" s="11">
        <v>0</v>
      </c>
      <c r="J114" s="16">
        <f t="shared" si="5"/>
        <v>1</v>
      </c>
      <c r="K114" s="4"/>
      <c r="L114" s="13">
        <v>46275</v>
      </c>
      <c r="M114" s="10">
        <v>45</v>
      </c>
      <c r="N114" s="16">
        <f>(IF(G114&gt;0,G114+I114,I114)-(M114*Ventas!AE90*1.0044))</f>
        <v>1</v>
      </c>
      <c r="O114" s="4"/>
      <c r="P114" s="11">
        <v>0</v>
      </c>
      <c r="Q114" s="16">
        <f t="shared" si="6"/>
        <v>1</v>
      </c>
      <c r="R114" s="4"/>
      <c r="S114" s="13">
        <v>46331</v>
      </c>
      <c r="T114" s="10">
        <v>56</v>
      </c>
      <c r="U114" s="16">
        <f>(IF(N114&gt;0,N114+P114,P114)-(T114*Ventas!AE90*0.9018))</f>
        <v>1</v>
      </c>
      <c r="V114" s="4"/>
      <c r="W114" s="16">
        <f>(100*(Ventas!AE90*1.235) - IF(U114&gt;0,U114,0))</f>
        <v>-1</v>
      </c>
      <c r="X114" s="16">
        <f t="shared" si="7"/>
        <v>0</v>
      </c>
      <c r="Y114" s="16">
        <f t="shared" si="8"/>
        <v>1</v>
      </c>
      <c r="Z114" s="18">
        <v>9.1999999999999993</v>
      </c>
      <c r="AA114" s="11">
        <v>3010</v>
      </c>
      <c r="AB114" s="4"/>
      <c r="AC114" s="4"/>
      <c r="AD114" s="1" t="s">
        <v>107</v>
      </c>
      <c r="AE114">
        <f t="shared" si="9"/>
        <v>0</v>
      </c>
    </row>
    <row r="115" spans="1:31" x14ac:dyDescent="0.25">
      <c r="A115" s="1"/>
      <c r="B115" s="1" t="s">
        <v>208</v>
      </c>
      <c r="C115" s="15" t="s">
        <v>207</v>
      </c>
      <c r="D115" s="4"/>
      <c r="E115" s="13">
        <v>46230</v>
      </c>
      <c r="F115" s="10">
        <v>7</v>
      </c>
      <c r="G115" s="16">
        <f>(D115-(0)+0-(F115*Ventas!AE91*1.8))</f>
        <v>0</v>
      </c>
      <c r="H115" s="17" t="e">
        <f>(G115/(Ventas!AE91*1.8)/60)</f>
        <v>#DIV/0!</v>
      </c>
      <c r="I115" s="11">
        <v>0</v>
      </c>
      <c r="J115" s="16">
        <f t="shared" si="5"/>
        <v>0</v>
      </c>
      <c r="K115" s="4"/>
      <c r="L115" s="13">
        <v>46275</v>
      </c>
      <c r="M115" s="10">
        <v>45</v>
      </c>
      <c r="N115" s="16">
        <f>(IF(G115&gt;0,G115+I115,I115)-(M115*Ventas!AE91*1.0044))</f>
        <v>0</v>
      </c>
      <c r="O115" s="17" t="e">
        <f>(N115/(Ventas!AE91*1.0044)/60)</f>
        <v>#DIV/0!</v>
      </c>
      <c r="P115" s="11">
        <v>0</v>
      </c>
      <c r="Q115" s="16">
        <f t="shared" si="6"/>
        <v>0</v>
      </c>
      <c r="R115" s="4"/>
      <c r="S115" s="13">
        <v>46331</v>
      </c>
      <c r="T115" s="10">
        <v>56</v>
      </c>
      <c r="U115" s="16">
        <f>(IF(N115&gt;0,N115+P115,P115)-(T115*Ventas!AE91*0.9018))</f>
        <v>0</v>
      </c>
      <c r="V115" s="17" t="e">
        <f>(U115/(Ventas!AE91*0.9018)/60)</f>
        <v>#DIV/0!</v>
      </c>
      <c r="W115" s="16">
        <f>(100*(Ventas!AE91*1.235) - IF(U115&gt;0,U115,0))</f>
        <v>0</v>
      </c>
      <c r="X115" s="16">
        <f t="shared" si="7"/>
        <v>0</v>
      </c>
      <c r="Y115" s="16">
        <f t="shared" si="8"/>
        <v>0</v>
      </c>
      <c r="Z115" s="18">
        <v>10.199999999999999</v>
      </c>
      <c r="AA115" s="11">
        <v>3027</v>
      </c>
      <c r="AB115" s="16">
        <f>(Y115-(60*Ventas!AE91*1.235))</f>
        <v>0</v>
      </c>
      <c r="AC115" s="17" t="e">
        <f>(AB115/(Ventas!AE91*1.235)/60)</f>
        <v>#DIV/0!</v>
      </c>
      <c r="AD115" s="1" t="s">
        <v>107</v>
      </c>
      <c r="AE115">
        <f t="shared" si="9"/>
        <v>0</v>
      </c>
    </row>
    <row r="116" spans="1:31" x14ac:dyDescent="0.25">
      <c r="A116" s="1"/>
      <c r="B116" s="1" t="s">
        <v>210</v>
      </c>
      <c r="C116" s="15" t="s">
        <v>209</v>
      </c>
      <c r="D116" s="11">
        <v>8</v>
      </c>
      <c r="E116" s="13">
        <v>46230</v>
      </c>
      <c r="F116" s="10">
        <v>7</v>
      </c>
      <c r="G116" s="16">
        <f>(D116-(0)+0-(F116*Ventas!AE92*1.8))</f>
        <v>3.0860000000000003</v>
      </c>
      <c r="H116" s="17">
        <f>(G116/(Ventas!AE92*1.8)/60)</f>
        <v>7.3266856600189931E-2</v>
      </c>
      <c r="I116" s="11">
        <v>20</v>
      </c>
      <c r="J116" s="16">
        <f t="shared" si="5"/>
        <v>23.085999999999999</v>
      </c>
      <c r="K116" s="16">
        <v>7.0720000000000001</v>
      </c>
      <c r="L116" s="13">
        <v>46275</v>
      </c>
      <c r="M116" s="10">
        <v>45</v>
      </c>
      <c r="N116" s="16">
        <f>(IF(G116&gt;0,G116+I116,I116)-(M116*Ventas!AE92*1.0044))</f>
        <v>5.4587799999999973</v>
      </c>
      <c r="O116" s="17">
        <f>(N116/(Ventas!AE92*1.0044)/60)</f>
        <v>0.23225925585543256</v>
      </c>
      <c r="P116" s="11">
        <v>30</v>
      </c>
      <c r="Q116" s="16">
        <f t="shared" si="6"/>
        <v>35.458779999999997</v>
      </c>
      <c r="R116" s="16">
        <v>7.1</v>
      </c>
      <c r="S116" s="13">
        <v>46331</v>
      </c>
      <c r="T116" s="10">
        <v>56</v>
      </c>
      <c r="U116" s="16">
        <f>(IF(N116&gt;0,N116+P116,P116)-(T116*Ventas!AE92*0.9018))</f>
        <v>15.763467999999996</v>
      </c>
      <c r="V116" s="17">
        <f>(U116/(Ventas!AE92*0.9018)/60)</f>
        <v>0.74700873656296118</v>
      </c>
      <c r="W116" s="16">
        <f>(100*(Ventas!AE92*1.235) - IF(U116&gt;0,U116,0))</f>
        <v>32.40153200000001</v>
      </c>
      <c r="X116" s="16">
        <f t="shared" si="7"/>
        <v>32.40153200000001</v>
      </c>
      <c r="Y116" s="16">
        <f t="shared" si="8"/>
        <v>48.165000000000006</v>
      </c>
      <c r="Z116" s="18">
        <v>7.0720000000000001</v>
      </c>
      <c r="AA116" s="11">
        <v>3027</v>
      </c>
      <c r="AB116" s="16">
        <f>(Y116-(60*Ventas!AE92*1.235))</f>
        <v>19.266000000000002</v>
      </c>
      <c r="AC116" s="17">
        <f>(AB116/(Ventas!AE92*1.235)/60)</f>
        <v>0.66666666666666663</v>
      </c>
      <c r="AD116" s="1" t="s">
        <v>34</v>
      </c>
      <c r="AE116">
        <f t="shared" si="9"/>
        <v>229.14363430400007</v>
      </c>
    </row>
    <row r="117" spans="1:31" x14ac:dyDescent="0.25">
      <c r="A117" s="1"/>
      <c r="B117" s="1" t="s">
        <v>218</v>
      </c>
      <c r="C117" s="15" t="s">
        <v>217</v>
      </c>
      <c r="D117" s="11">
        <v>9</v>
      </c>
      <c r="E117" s="13">
        <v>46230</v>
      </c>
      <c r="F117" s="10">
        <v>7</v>
      </c>
      <c r="G117" s="16">
        <f>(D117-(0)+0-(F117*Ventas!AE96*1.8))</f>
        <v>8.9586000000000006</v>
      </c>
      <c r="H117" s="17">
        <f>(G117/(Ventas!AE96*1.8)/60)</f>
        <v>25.245652173913047</v>
      </c>
      <c r="I117" s="11">
        <v>0</v>
      </c>
      <c r="J117" s="16">
        <f t="shared" si="5"/>
        <v>8.9586000000000006</v>
      </c>
      <c r="K117" s="4"/>
      <c r="L117" s="13">
        <v>46275</v>
      </c>
      <c r="M117" s="10">
        <v>45</v>
      </c>
      <c r="N117" s="16">
        <f>(IF(G117&gt;0,G117+I117,I117)-(M117*Ventas!AE96*1.0044))</f>
        <v>8.8100922857142869</v>
      </c>
      <c r="O117" s="17">
        <f>(N117/(Ventas!AE96*1.0044)/60)</f>
        <v>44.493104254324457</v>
      </c>
      <c r="P117" s="11">
        <v>0</v>
      </c>
      <c r="Q117" s="16">
        <f t="shared" si="6"/>
        <v>8.8100922857142869</v>
      </c>
      <c r="R117" s="4"/>
      <c r="S117" s="13">
        <v>46331</v>
      </c>
      <c r="T117" s="10">
        <v>56</v>
      </c>
      <c r="U117" s="16">
        <f>(IF(N117&gt;0,N117+P117,P117)-(T117*Ventas!AE96*0.9018))</f>
        <v>8.6441610857142877</v>
      </c>
      <c r="V117" s="17">
        <f>(U117/(Ventas!AE96*0.9018)/60)</f>
        <v>48.621860626572953</v>
      </c>
      <c r="W117" s="16">
        <f>(100*(Ventas!AE96*1.235) - IF(U117&gt;0,U117,0))</f>
        <v>-8.2383753714285728</v>
      </c>
      <c r="X117" s="16">
        <f t="shared" si="7"/>
        <v>0</v>
      </c>
      <c r="Y117" s="16">
        <f t="shared" si="8"/>
        <v>8.6441610857142877</v>
      </c>
      <c r="Z117" s="18">
        <v>2.2999999999999998</v>
      </c>
      <c r="AA117" s="11">
        <v>3027</v>
      </c>
      <c r="AB117" s="16">
        <f>(Y117-(60*Ventas!AE96*1.235))</f>
        <v>8.4006896571428591</v>
      </c>
      <c r="AC117" s="17">
        <f>(AB117/(Ventas!AE96*1.235)/60)</f>
        <v>34.50380073930647</v>
      </c>
      <c r="AD117" s="1" t="s">
        <v>34</v>
      </c>
      <c r="AE117">
        <f t="shared" si="9"/>
        <v>0</v>
      </c>
    </row>
    <row r="118" spans="1:31" x14ac:dyDescent="0.25">
      <c r="A118" s="1"/>
      <c r="B118" s="1" t="s">
        <v>220</v>
      </c>
      <c r="C118" s="15" t="s">
        <v>219</v>
      </c>
      <c r="D118" s="11">
        <v>217</v>
      </c>
      <c r="E118" s="13">
        <v>46230</v>
      </c>
      <c r="F118" s="10">
        <v>7</v>
      </c>
      <c r="G118" s="16">
        <f>(D118-(0)+0-(F118*Ventas!AE97*1.8))</f>
        <v>194.46129999999999</v>
      </c>
      <c r="H118" s="17">
        <f>(G118/(Ventas!AE97*1.8)/60)</f>
        <v>1.0065865230322364</v>
      </c>
      <c r="I118" s="11">
        <v>160</v>
      </c>
      <c r="J118" s="16">
        <f t="shared" si="5"/>
        <v>354.46129999999999</v>
      </c>
      <c r="K118" s="16">
        <v>1.04</v>
      </c>
      <c r="L118" s="13">
        <v>46275</v>
      </c>
      <c r="M118" s="10">
        <v>45</v>
      </c>
      <c r="N118" s="16">
        <f>(IF(G118&gt;0,G118+I118,I118)-(M118*Ventas!AE97*1.0044))</f>
        <v>273.61176328571429</v>
      </c>
      <c r="O118" s="17">
        <f>(N118/(Ventas!AE97*1.0044)/60)</f>
        <v>2.538157060682654</v>
      </c>
      <c r="P118" s="11">
        <v>160</v>
      </c>
      <c r="Q118" s="16">
        <f t="shared" si="6"/>
        <v>433.61176328571429</v>
      </c>
      <c r="R118" s="16">
        <v>1</v>
      </c>
      <c r="S118" s="13">
        <v>46331</v>
      </c>
      <c r="T118" s="10">
        <v>56</v>
      </c>
      <c r="U118" s="16">
        <f>(IF(N118&gt;0,N118+P118,P118)-(T118*Ventas!AE97*0.9018))</f>
        <v>343.27665368571428</v>
      </c>
      <c r="V118" s="17">
        <f>(U118/(Ventas!AE97*0.9018)/60)</f>
        <v>3.5467001131529039</v>
      </c>
      <c r="W118" s="16">
        <f>(100*(Ventas!AE97*1.235) - IF(U118&gt;0,U118,0))</f>
        <v>-122.36161797142856</v>
      </c>
      <c r="X118" s="16">
        <f t="shared" si="7"/>
        <v>0</v>
      </c>
      <c r="Y118" s="16">
        <f t="shared" si="8"/>
        <v>343.27665368571428</v>
      </c>
      <c r="Z118" s="18">
        <v>1.04</v>
      </c>
      <c r="AA118" s="11">
        <v>3027</v>
      </c>
      <c r="AB118" s="16">
        <f>(Y118-(60*Ventas!AE97*1.235))</f>
        <v>210.72763225714286</v>
      </c>
      <c r="AC118" s="17">
        <f>(AB118/(Ventas!AE97*1.235)/60)</f>
        <v>1.5898090380901124</v>
      </c>
      <c r="AD118" s="1" t="s">
        <v>34</v>
      </c>
      <c r="AE118">
        <f t="shared" si="9"/>
        <v>0</v>
      </c>
    </row>
    <row r="119" spans="1:31" x14ac:dyDescent="0.25">
      <c r="A119" s="1"/>
      <c r="B119" s="1" t="s">
        <v>222</v>
      </c>
      <c r="C119" s="15" t="s">
        <v>221</v>
      </c>
      <c r="D119" s="11">
        <v>60</v>
      </c>
      <c r="E119" s="13">
        <v>46230</v>
      </c>
      <c r="F119" s="10">
        <v>7</v>
      </c>
      <c r="G119" s="16">
        <f>(D119-(0)+0-(F119*Ventas!AE98*1.8))</f>
        <v>58.393140000000002</v>
      </c>
      <c r="H119" s="17">
        <f>(G119/(Ventas!AE98*1.8)/60)</f>
        <v>4.2396556016081046</v>
      </c>
      <c r="I119" s="11">
        <v>0</v>
      </c>
      <c r="J119" s="16">
        <f t="shared" si="5"/>
        <v>58.393140000000002</v>
      </c>
      <c r="K119" s="4"/>
      <c r="L119" s="13">
        <v>46275</v>
      </c>
      <c r="M119" s="10">
        <v>45</v>
      </c>
      <c r="N119" s="16">
        <f>(IF(G119&gt;0,G119+I119,I119)-(M119*Ventas!AE98*1.0044))</f>
        <v>52.629103628571428</v>
      </c>
      <c r="O119" s="17">
        <f>(N119/(Ventas!AE98*1.0044)/60)</f>
        <v>6.8479491068245597</v>
      </c>
      <c r="P119" s="11">
        <v>0</v>
      </c>
      <c r="Q119" s="16">
        <f t="shared" si="6"/>
        <v>52.629103628571428</v>
      </c>
      <c r="R119" s="4"/>
      <c r="S119" s="13">
        <v>46331</v>
      </c>
      <c r="T119" s="10">
        <v>56</v>
      </c>
      <c r="U119" s="16">
        <f>(IF(N119&gt;0,N119+P119,P119)-(T119*Ventas!AE98*0.9018))</f>
        <v>46.188808748571425</v>
      </c>
      <c r="V119" s="17">
        <f>(U119/(Ventas!AE98*0.9018)/60)</f>
        <v>6.6937237557047977</v>
      </c>
      <c r="W119" s="16">
        <f>(100*(Ventas!AE98*1.235) - IF(U119&gt;0,U119,0))</f>
        <v>-30.439030177142847</v>
      </c>
      <c r="X119" s="16">
        <f t="shared" si="7"/>
        <v>0</v>
      </c>
      <c r="Y119" s="16">
        <f t="shared" si="8"/>
        <v>46.188808748571425</v>
      </c>
      <c r="Z119" s="18">
        <v>2.7</v>
      </c>
      <c r="AA119" s="11">
        <v>3010</v>
      </c>
      <c r="AB119" s="16">
        <f>(Y119-(60*Ventas!AE98*1.235))</f>
        <v>36.738941605714281</v>
      </c>
      <c r="AC119" s="17">
        <f>(AB119/(Ventas!AE98*1.235)/60)</f>
        <v>3.8877733464733502</v>
      </c>
      <c r="AD119" s="1" t="s">
        <v>34</v>
      </c>
      <c r="AE119">
        <f t="shared" si="9"/>
        <v>0</v>
      </c>
    </row>
    <row r="120" spans="1:31" x14ac:dyDescent="0.25">
      <c r="A120" s="1"/>
      <c r="B120" s="1" t="s">
        <v>224</v>
      </c>
      <c r="C120" s="15" t="s">
        <v>223</v>
      </c>
      <c r="D120" s="11">
        <v>135</v>
      </c>
      <c r="E120" s="13">
        <v>46230</v>
      </c>
      <c r="F120" s="10">
        <v>7</v>
      </c>
      <c r="G120" s="16">
        <f>(D120-(0)+0-(F120*Ventas!AE99*1.8))</f>
        <v>131.47200000000001</v>
      </c>
      <c r="H120" s="17">
        <f>(G120/(Ventas!AE99*1.8)/60)</f>
        <v>4.3476190476190473</v>
      </c>
      <c r="I120" s="11">
        <v>0</v>
      </c>
      <c r="J120" s="16">
        <f t="shared" si="5"/>
        <v>131.47200000000001</v>
      </c>
      <c r="K120" s="4"/>
      <c r="L120" s="13">
        <v>46275</v>
      </c>
      <c r="M120" s="10">
        <v>45</v>
      </c>
      <c r="N120" s="16">
        <f>(IF(G120&gt;0,G120+I120,I120)-(M120*Ventas!AE99*1.0044))</f>
        <v>118.81656000000001</v>
      </c>
      <c r="O120" s="17">
        <f>(N120/(Ventas!AE99*1.0044)/60)</f>
        <v>7.0414319849803721</v>
      </c>
      <c r="P120" s="11">
        <v>60</v>
      </c>
      <c r="Q120" s="16">
        <f t="shared" si="6"/>
        <v>178.81656000000001</v>
      </c>
      <c r="R120" s="16">
        <v>7.5</v>
      </c>
      <c r="S120" s="13">
        <v>46331</v>
      </c>
      <c r="T120" s="10">
        <v>56</v>
      </c>
      <c r="U120" s="16">
        <f>(IF(N120&gt;0,N120+P120,P120)-(T120*Ventas!AE99*0.9018))</f>
        <v>164.67633600000002</v>
      </c>
      <c r="V120" s="17">
        <f>(U120/(Ventas!AE99*0.9018)/60)</f>
        <v>10.869552957576907</v>
      </c>
      <c r="W120" s="16">
        <f>(100*(Ventas!AE99*1.235) - IF(U120&gt;0,U120,0))</f>
        <v>-130.09633600000001</v>
      </c>
      <c r="X120" s="16">
        <f t="shared" si="7"/>
        <v>0</v>
      </c>
      <c r="Y120" s="16">
        <f t="shared" si="8"/>
        <v>164.67633600000002</v>
      </c>
      <c r="Z120" s="18">
        <v>7.35</v>
      </c>
      <c r="AA120" s="11">
        <v>3027</v>
      </c>
      <c r="AB120" s="16">
        <f>(Y120-(60*Ventas!AE99*1.235))</f>
        <v>143.92833600000003</v>
      </c>
      <c r="AC120" s="17">
        <f>(AB120/(Ventas!AE99*1.235)/60)</f>
        <v>6.9369739733950269</v>
      </c>
      <c r="AD120" s="1" t="s">
        <v>34</v>
      </c>
      <c r="AE120">
        <f t="shared" si="9"/>
        <v>0</v>
      </c>
    </row>
    <row r="121" spans="1:31" x14ac:dyDescent="0.25">
      <c r="A121" s="1"/>
      <c r="B121" s="1" t="s">
        <v>226</v>
      </c>
      <c r="C121" s="15" t="s">
        <v>225</v>
      </c>
      <c r="D121" s="4"/>
      <c r="E121" s="13">
        <v>46230</v>
      </c>
      <c r="F121" s="10">
        <v>7</v>
      </c>
      <c r="G121" s="16">
        <f>(D121-(0)+0-(F121*Ventas!AE100*1.8))</f>
        <v>0</v>
      </c>
      <c r="H121" s="4"/>
      <c r="I121" s="11">
        <v>0</v>
      </c>
      <c r="J121" s="16">
        <f t="shared" si="5"/>
        <v>0</v>
      </c>
      <c r="K121" s="4"/>
      <c r="L121" s="13">
        <v>46275</v>
      </c>
      <c r="M121" s="10">
        <v>45</v>
      </c>
      <c r="N121" s="16">
        <f>(IF(G121&gt;0,G121+I121,I121)-(M121*Ventas!AE100*1.0044))</f>
        <v>0</v>
      </c>
      <c r="O121" s="4"/>
      <c r="P121" s="11">
        <v>0</v>
      </c>
      <c r="Q121" s="16">
        <f t="shared" si="6"/>
        <v>0</v>
      </c>
      <c r="R121" s="4"/>
      <c r="S121" s="13">
        <v>46331</v>
      </c>
      <c r="T121" s="10">
        <v>56</v>
      </c>
      <c r="U121" s="16">
        <f>(IF(N121&gt;0,N121+P121,P121)-(T121*Ventas!AE100*0.9018))</f>
        <v>0</v>
      </c>
      <c r="V121" s="4"/>
      <c r="W121" s="16">
        <f>(100*(Ventas!AE100*1.235) - IF(U121&gt;0,U121,0))</f>
        <v>0</v>
      </c>
      <c r="X121" s="16">
        <f t="shared" si="7"/>
        <v>0</v>
      </c>
      <c r="Y121" s="16">
        <f t="shared" si="8"/>
        <v>0</v>
      </c>
      <c r="Z121" s="18">
        <v>12.8</v>
      </c>
      <c r="AA121" s="11">
        <v>3027</v>
      </c>
      <c r="AB121" s="4"/>
      <c r="AC121" s="4"/>
      <c r="AD121" s="1" t="s">
        <v>34</v>
      </c>
      <c r="AE121">
        <f t="shared" si="9"/>
        <v>0</v>
      </c>
    </row>
    <row r="122" spans="1:31" x14ac:dyDescent="0.25">
      <c r="A122" s="1"/>
      <c r="B122" s="1" t="s">
        <v>228</v>
      </c>
      <c r="C122" s="15" t="s">
        <v>227</v>
      </c>
      <c r="D122" s="4"/>
      <c r="E122" s="13">
        <v>46230</v>
      </c>
      <c r="F122" s="10">
        <v>7</v>
      </c>
      <c r="G122" s="16">
        <f>(D122-(0)+0-(F122*Ventas!AE101*1.8))</f>
        <v>0</v>
      </c>
      <c r="H122" s="4"/>
      <c r="I122" s="11">
        <v>0</v>
      </c>
      <c r="J122" s="16">
        <f t="shared" si="5"/>
        <v>0</v>
      </c>
      <c r="K122" s="4"/>
      <c r="L122" s="13">
        <v>46275</v>
      </c>
      <c r="M122" s="10">
        <v>45</v>
      </c>
      <c r="N122" s="16">
        <f>(IF(G122&gt;0,G122+I122,I122)-(M122*Ventas!AE101*1.0044))</f>
        <v>0</v>
      </c>
      <c r="O122" s="4"/>
      <c r="P122" s="11">
        <v>0</v>
      </c>
      <c r="Q122" s="16">
        <f t="shared" si="6"/>
        <v>0</v>
      </c>
      <c r="R122" s="4"/>
      <c r="S122" s="13">
        <v>46331</v>
      </c>
      <c r="T122" s="10">
        <v>56</v>
      </c>
      <c r="U122" s="16">
        <f>(IF(N122&gt;0,N122+P122,P122)-(T122*Ventas!AE101*0.9018))</f>
        <v>0</v>
      </c>
      <c r="V122" s="4"/>
      <c r="W122" s="16">
        <f>(100*(Ventas!AE101*1.235) - IF(U122&gt;0,U122,0))</f>
        <v>0</v>
      </c>
      <c r="X122" s="16">
        <f t="shared" si="7"/>
        <v>0</v>
      </c>
      <c r="Y122" s="16">
        <f t="shared" si="8"/>
        <v>0</v>
      </c>
      <c r="Z122" s="18">
        <v>11.3</v>
      </c>
      <c r="AA122" s="11">
        <v>3017</v>
      </c>
      <c r="AB122" s="4"/>
      <c r="AC122" s="4"/>
      <c r="AD122" s="1" t="s">
        <v>34</v>
      </c>
      <c r="AE122">
        <f t="shared" si="9"/>
        <v>0</v>
      </c>
    </row>
    <row r="123" spans="1:31" x14ac:dyDescent="0.25">
      <c r="A123" s="1"/>
      <c r="B123" s="1" t="s">
        <v>230</v>
      </c>
      <c r="C123" s="15" t="s">
        <v>229</v>
      </c>
      <c r="D123" s="4"/>
      <c r="E123" s="13">
        <v>46230</v>
      </c>
      <c r="F123" s="10">
        <v>7</v>
      </c>
      <c r="G123" s="16">
        <f>(D123-(0)+0-(F123*Ventas!AE102*1.8))</f>
        <v>0</v>
      </c>
      <c r="H123" s="4"/>
      <c r="I123" s="11">
        <v>0</v>
      </c>
      <c r="J123" s="16">
        <f t="shared" si="5"/>
        <v>0</v>
      </c>
      <c r="K123" s="4"/>
      <c r="L123" s="13">
        <v>46275</v>
      </c>
      <c r="M123" s="10">
        <v>45</v>
      </c>
      <c r="N123" s="16">
        <f>(IF(G123&gt;0,G123+I123,I123)-(M123*Ventas!AE102*1.0044))</f>
        <v>0</v>
      </c>
      <c r="O123" s="4"/>
      <c r="P123" s="11">
        <v>0</v>
      </c>
      <c r="Q123" s="16">
        <f t="shared" si="6"/>
        <v>0</v>
      </c>
      <c r="R123" s="4"/>
      <c r="S123" s="13">
        <v>46331</v>
      </c>
      <c r="T123" s="10">
        <v>56</v>
      </c>
      <c r="U123" s="16">
        <f>(IF(N123&gt;0,N123+P123,P123)-(T123*Ventas!AE102*0.9018))</f>
        <v>0</v>
      </c>
      <c r="V123" s="4"/>
      <c r="W123" s="16">
        <f>(100*(Ventas!AE102*1.235) - IF(U123&gt;0,U123,0))</f>
        <v>0</v>
      </c>
      <c r="X123" s="16">
        <f t="shared" si="7"/>
        <v>0</v>
      </c>
      <c r="Y123" s="16">
        <f t="shared" si="8"/>
        <v>0</v>
      </c>
      <c r="Z123" s="18">
        <v>12.2</v>
      </c>
      <c r="AA123" s="11">
        <v>3027</v>
      </c>
      <c r="AB123" s="4"/>
      <c r="AC123" s="4"/>
      <c r="AD123" s="1" t="s">
        <v>34</v>
      </c>
      <c r="AE123">
        <f t="shared" si="9"/>
        <v>0</v>
      </c>
    </row>
    <row r="124" spans="1:31" x14ac:dyDescent="0.25">
      <c r="A124" s="1"/>
      <c r="B124" s="1" t="s">
        <v>232</v>
      </c>
      <c r="C124" s="15" t="s">
        <v>231</v>
      </c>
      <c r="D124" s="4"/>
      <c r="E124" s="13">
        <v>46230</v>
      </c>
      <c r="F124" s="10">
        <v>7</v>
      </c>
      <c r="G124" s="16">
        <f>(D124-(0)+0-(F124*Ventas!AE103*1.8))</f>
        <v>0</v>
      </c>
      <c r="H124" s="4"/>
      <c r="I124" s="11">
        <v>0</v>
      </c>
      <c r="J124" s="16">
        <f t="shared" si="5"/>
        <v>0</v>
      </c>
      <c r="K124" s="4"/>
      <c r="L124" s="13">
        <v>46275</v>
      </c>
      <c r="M124" s="10">
        <v>45</v>
      </c>
      <c r="N124" s="16">
        <f>(IF(G124&gt;0,G124+I124,I124)-(M124*Ventas!AE103*1.0044))</f>
        <v>0</v>
      </c>
      <c r="O124" s="4"/>
      <c r="P124" s="11">
        <v>0</v>
      </c>
      <c r="Q124" s="16">
        <f t="shared" si="6"/>
        <v>0</v>
      </c>
      <c r="R124" s="4"/>
      <c r="S124" s="13">
        <v>46331</v>
      </c>
      <c r="T124" s="10">
        <v>56</v>
      </c>
      <c r="U124" s="16">
        <f>(IF(N124&gt;0,N124+P124,P124)-(T124*Ventas!AE103*0.9018))</f>
        <v>0</v>
      </c>
      <c r="V124" s="4"/>
      <c r="W124" s="16">
        <f>(100*(Ventas!AE103*1.235) - IF(U124&gt;0,U124,0))</f>
        <v>0</v>
      </c>
      <c r="X124" s="16">
        <f t="shared" si="7"/>
        <v>0</v>
      </c>
      <c r="Y124" s="16">
        <f t="shared" si="8"/>
        <v>0</v>
      </c>
      <c r="Z124" s="4"/>
      <c r="AA124" s="11">
        <v>3027</v>
      </c>
      <c r="AB124" s="4"/>
      <c r="AC124" s="4"/>
      <c r="AD124" s="1" t="s">
        <v>34</v>
      </c>
      <c r="AE124">
        <f t="shared" si="9"/>
        <v>0</v>
      </c>
    </row>
    <row r="125" spans="1:31" x14ac:dyDescent="0.25">
      <c r="A125" s="1"/>
      <c r="B125" s="1" t="s">
        <v>234</v>
      </c>
      <c r="C125" s="15" t="s">
        <v>233</v>
      </c>
      <c r="D125" s="11">
        <v>21</v>
      </c>
      <c r="E125" s="13">
        <v>46230</v>
      </c>
      <c r="F125" s="10">
        <v>7</v>
      </c>
      <c r="G125" s="16">
        <f>(D125-(0)+0-(F125*Ventas!AE104*1.8))</f>
        <v>19.456319999999998</v>
      </c>
      <c r="H125" s="17">
        <f>(G125/(Ventas!AE104*1.8)/60)</f>
        <v>1.4704498341625205</v>
      </c>
      <c r="I125" s="11">
        <v>0</v>
      </c>
      <c r="J125" s="16">
        <f t="shared" si="5"/>
        <v>19.456319999999998</v>
      </c>
      <c r="K125" s="4"/>
      <c r="L125" s="13">
        <v>46275</v>
      </c>
      <c r="M125" s="10">
        <v>45</v>
      </c>
      <c r="N125" s="16">
        <f>(IF(G125&gt;0,G125+I125,I125)-(M125*Ventas!AE104*1.0044))</f>
        <v>13.918919314285713</v>
      </c>
      <c r="O125" s="17">
        <f>(N125/(Ventas!AE104*1.0044)/60)</f>
        <v>1.885214756563657</v>
      </c>
      <c r="P125" s="11">
        <v>0</v>
      </c>
      <c r="Q125" s="16">
        <f t="shared" si="6"/>
        <v>13.918919314285713</v>
      </c>
      <c r="R125" s="4"/>
      <c r="S125" s="13">
        <v>46331</v>
      </c>
      <c r="T125" s="10">
        <v>56</v>
      </c>
      <c r="U125" s="16">
        <f>(IF(N125&gt;0,N125+P125,P125)-(T125*Ventas!AE104*0.9018))</f>
        <v>7.7318498742857127</v>
      </c>
      <c r="V125" s="17">
        <f>(U125/(Ventas!AE104*0.9018)/60)</f>
        <v>1.1663669344561289</v>
      </c>
      <c r="W125" s="16">
        <f>(100*(Ventas!AE104*1.235) - IF(U125&gt;0,U125,0))</f>
        <v>7.3986644114285731</v>
      </c>
      <c r="X125" s="16">
        <f t="shared" si="7"/>
        <v>7.3986644114285731</v>
      </c>
      <c r="Y125" s="16">
        <f t="shared" si="8"/>
        <v>15.130514285714286</v>
      </c>
      <c r="Z125" s="18">
        <v>4.5999999999999996</v>
      </c>
      <c r="AA125" s="11">
        <v>3010</v>
      </c>
      <c r="AB125" s="16">
        <f>(Y125-(60*Ventas!AE104*1.235))</f>
        <v>6.052205714285714</v>
      </c>
      <c r="AC125" s="17">
        <f>(AB125/(Ventas!AE104*1.235)/60)</f>
        <v>0.66666666666666663</v>
      </c>
      <c r="AD125" s="1" t="s">
        <v>34</v>
      </c>
      <c r="AE125">
        <f t="shared" si="9"/>
        <v>34.033856292571436</v>
      </c>
    </row>
    <row r="126" spans="1:31" x14ac:dyDescent="0.25">
      <c r="A126" s="1"/>
      <c r="B126" s="1" t="s">
        <v>236</v>
      </c>
      <c r="C126" s="15" t="s">
        <v>235</v>
      </c>
      <c r="D126" s="11">
        <v>2</v>
      </c>
      <c r="E126" s="13">
        <v>46230</v>
      </c>
      <c r="F126" s="10">
        <v>7</v>
      </c>
      <c r="G126" s="16">
        <f>(D126-(0)+0-(F126*Ventas!AE105*1.8))</f>
        <v>-3.8339799999999995</v>
      </c>
      <c r="H126" s="17">
        <f>(G126/(Ventas!AE105*1.8)/60)</f>
        <v>-7.6671100460863173E-2</v>
      </c>
      <c r="I126" s="11">
        <v>0</v>
      </c>
      <c r="J126" s="16">
        <f t="shared" si="5"/>
        <v>0</v>
      </c>
      <c r="K126" s="4"/>
      <c r="L126" s="13">
        <v>46275</v>
      </c>
      <c r="M126" s="10">
        <v>45</v>
      </c>
      <c r="N126" s="16">
        <f>(IF(G126&gt;0,G126+I126,I126)-(M126*Ventas!AE105*1.0044))</f>
        <v>-20.927319685714284</v>
      </c>
      <c r="O126" s="17">
        <f>(N126/(Ventas!AE105*1.0044)/60)</f>
        <v>-0.75</v>
      </c>
      <c r="P126" s="11">
        <v>0</v>
      </c>
      <c r="Q126" s="16">
        <f t="shared" si="6"/>
        <v>0</v>
      </c>
      <c r="R126" s="4"/>
      <c r="S126" s="13">
        <v>46331</v>
      </c>
      <c r="T126" s="10">
        <v>56</v>
      </c>
      <c r="U126" s="16">
        <f>(IF(N126&gt;0,N126+P126,P126)-(T126*Ventas!AE105*0.9018))</f>
        <v>-23.38259184</v>
      </c>
      <c r="V126" s="17">
        <f>(U126/(Ventas!AE105*0.9018)/60)</f>
        <v>-0.93333333333333324</v>
      </c>
      <c r="W126" s="16">
        <f>(100*(Ventas!AE105*1.235) - IF(U126&gt;0,U126,0))</f>
        <v>57.18226428571429</v>
      </c>
      <c r="X126" s="16">
        <f t="shared" si="7"/>
        <v>57.18226428571429</v>
      </c>
      <c r="Y126" s="16">
        <f t="shared" si="8"/>
        <v>57.18226428571429</v>
      </c>
      <c r="Z126" s="18">
        <v>4</v>
      </c>
      <c r="AA126" s="11">
        <v>3027</v>
      </c>
      <c r="AB126" s="16">
        <f>(Y126-(60*Ventas!AE105*1.235))</f>
        <v>22.872905714285714</v>
      </c>
      <c r="AC126" s="17">
        <f>(AB126/(Ventas!AE105*1.235)/60)</f>
        <v>0.66666666666666663</v>
      </c>
      <c r="AD126" s="1" t="s">
        <v>107</v>
      </c>
      <c r="AE126">
        <f t="shared" si="9"/>
        <v>228.72905714285716</v>
      </c>
    </row>
    <row r="127" spans="1:31" x14ac:dyDescent="0.25">
      <c r="A127" s="1"/>
      <c r="B127" s="1" t="s">
        <v>240</v>
      </c>
      <c r="C127" s="15" t="s">
        <v>239</v>
      </c>
      <c r="D127" s="11">
        <v>14</v>
      </c>
      <c r="E127" s="13">
        <v>46230</v>
      </c>
      <c r="F127" s="10">
        <v>7</v>
      </c>
      <c r="G127" s="16">
        <f>(D127-(0)+0-(F127*Ventas!AE107*1.8))</f>
        <v>13.850059999999999</v>
      </c>
      <c r="H127" s="17">
        <f>(G127/(Ventas!AE107*1.8)/60)</f>
        <v>10.776579520697169</v>
      </c>
      <c r="I127" s="11">
        <v>0</v>
      </c>
      <c r="J127" s="16">
        <f t="shared" si="5"/>
        <v>13.850059999999999</v>
      </c>
      <c r="K127" s="4"/>
      <c r="L127" s="13">
        <v>46275</v>
      </c>
      <c r="M127" s="10">
        <v>45</v>
      </c>
      <c r="N127" s="16">
        <f>(IF(G127&gt;0,G127+I127,I127)-(M127*Ventas!AE107*1.0044))</f>
        <v>13.312203799999999</v>
      </c>
      <c r="O127" s="17">
        <f>(N127/(Ventas!AE107*1.0044)/60)</f>
        <v>18.562866524546898</v>
      </c>
      <c r="P127" s="11">
        <v>0</v>
      </c>
      <c r="Q127" s="16">
        <f t="shared" si="6"/>
        <v>13.312203799999999</v>
      </c>
      <c r="R127" s="4"/>
      <c r="S127" s="13">
        <v>46331</v>
      </c>
      <c r="T127" s="10">
        <v>56</v>
      </c>
      <c r="U127" s="16">
        <f>(IF(N127&gt;0,N127+P127,P127)-(T127*Ventas!AE107*0.9018))</f>
        <v>12.711244279999999</v>
      </c>
      <c r="V127" s="17">
        <f>(U127/(Ventas!AE107*0.9018)/60)</f>
        <v>19.741476089215901</v>
      </c>
      <c r="W127" s="16">
        <f>(100*(Ventas!AE107*1.235) - IF(U127&gt;0,U127,0))</f>
        <v>-11.241594279999999</v>
      </c>
      <c r="X127" s="16">
        <f t="shared" si="7"/>
        <v>0</v>
      </c>
      <c r="Y127" s="16">
        <f t="shared" si="8"/>
        <v>12.711244279999999</v>
      </c>
      <c r="Z127" s="4"/>
      <c r="AA127" s="11">
        <v>3010</v>
      </c>
      <c r="AB127" s="16">
        <f>(Y127-(60*Ventas!AE107*1.235))</f>
        <v>11.829454279999998</v>
      </c>
      <c r="AC127" s="17">
        <f>(AB127/(Ventas!AE107*1.235)/60)</f>
        <v>13.415273795348098</v>
      </c>
      <c r="AD127" s="1" t="s">
        <v>34</v>
      </c>
      <c r="AE127">
        <f t="shared" si="9"/>
        <v>0</v>
      </c>
    </row>
    <row r="128" spans="1:31" x14ac:dyDescent="0.25">
      <c r="A128" s="1"/>
      <c r="B128" s="1" t="s">
        <v>242</v>
      </c>
      <c r="C128" s="15" t="s">
        <v>241</v>
      </c>
      <c r="D128" s="11">
        <v>40</v>
      </c>
      <c r="E128" s="13">
        <v>46230</v>
      </c>
      <c r="F128" s="10">
        <v>7</v>
      </c>
      <c r="G128" s="16">
        <f>(D128-(0)+0-(F128*Ventas!AE108*1.8))</f>
        <v>40</v>
      </c>
      <c r="H128" s="4"/>
      <c r="I128" s="11">
        <v>0</v>
      </c>
      <c r="J128" s="16">
        <f t="shared" si="5"/>
        <v>40</v>
      </c>
      <c r="K128" s="4"/>
      <c r="L128" s="13">
        <v>46275</v>
      </c>
      <c r="M128" s="10">
        <v>45</v>
      </c>
      <c r="N128" s="16">
        <f>(IF(G128&gt;0,G128+I128,I128)-(M128*Ventas!AE108*1.0044))</f>
        <v>40</v>
      </c>
      <c r="O128" s="4"/>
      <c r="P128" s="11">
        <v>0</v>
      </c>
      <c r="Q128" s="16">
        <f t="shared" si="6"/>
        <v>40</v>
      </c>
      <c r="R128" s="4"/>
      <c r="S128" s="13">
        <v>46331</v>
      </c>
      <c r="T128" s="10">
        <v>56</v>
      </c>
      <c r="U128" s="16">
        <f>(IF(N128&gt;0,N128+P128,P128)-(T128*Ventas!AE108*0.9018))</f>
        <v>40</v>
      </c>
      <c r="V128" s="4"/>
      <c r="W128" s="16">
        <f>(100*(Ventas!AE108*1.235) - IF(U128&gt;0,U128,0))</f>
        <v>-40</v>
      </c>
      <c r="X128" s="16">
        <f t="shared" si="7"/>
        <v>0</v>
      </c>
      <c r="Y128" s="16">
        <f t="shared" si="8"/>
        <v>40</v>
      </c>
      <c r="Z128" s="4"/>
      <c r="AA128" s="11">
        <v>3010</v>
      </c>
      <c r="AB128" s="4"/>
      <c r="AC128" s="4"/>
      <c r="AD128" s="1" t="s">
        <v>34</v>
      </c>
      <c r="AE128">
        <f t="shared" si="9"/>
        <v>0</v>
      </c>
    </row>
    <row r="129" spans="1:31" x14ac:dyDescent="0.25">
      <c r="A129" s="1"/>
      <c r="B129" s="1" t="s">
        <v>244</v>
      </c>
      <c r="C129" s="15" t="s">
        <v>243</v>
      </c>
      <c r="D129" s="11">
        <v>41</v>
      </c>
      <c r="E129" s="13">
        <v>46230</v>
      </c>
      <c r="F129" s="10">
        <v>7</v>
      </c>
      <c r="G129" s="16">
        <f>(D129-(0)+0-(F129*Ventas!AE109*1.8))</f>
        <v>41</v>
      </c>
      <c r="H129" s="4"/>
      <c r="I129" s="11">
        <v>0</v>
      </c>
      <c r="J129" s="16">
        <f t="shared" si="5"/>
        <v>41</v>
      </c>
      <c r="K129" s="4"/>
      <c r="L129" s="13">
        <v>46275</v>
      </c>
      <c r="M129" s="10">
        <v>45</v>
      </c>
      <c r="N129" s="16">
        <f>(IF(G129&gt;0,G129+I129,I129)-(M129*Ventas!AE109*1.0044))</f>
        <v>41</v>
      </c>
      <c r="O129" s="4"/>
      <c r="P129" s="11">
        <v>0</v>
      </c>
      <c r="Q129" s="16">
        <f t="shared" si="6"/>
        <v>41</v>
      </c>
      <c r="R129" s="4"/>
      <c r="S129" s="13">
        <v>46331</v>
      </c>
      <c r="T129" s="10">
        <v>56</v>
      </c>
      <c r="U129" s="16">
        <f>(IF(N129&gt;0,N129+P129,P129)-(T129*Ventas!AE109*0.9018))</f>
        <v>41</v>
      </c>
      <c r="V129" s="4"/>
      <c r="W129" s="16">
        <f>(100*(Ventas!AE109*1.235) - IF(U129&gt;0,U129,0))</f>
        <v>-41</v>
      </c>
      <c r="X129" s="16">
        <f t="shared" si="7"/>
        <v>0</v>
      </c>
      <c r="Y129" s="16">
        <f t="shared" si="8"/>
        <v>41</v>
      </c>
      <c r="Z129" s="4"/>
      <c r="AA129" s="11">
        <v>3010</v>
      </c>
      <c r="AB129" s="4"/>
      <c r="AC129" s="4"/>
      <c r="AD129" s="1" t="s">
        <v>34</v>
      </c>
      <c r="AE129">
        <f t="shared" si="9"/>
        <v>0</v>
      </c>
    </row>
    <row r="130" spans="1:31" x14ac:dyDescent="0.25">
      <c r="A130" s="1"/>
      <c r="B130" s="1" t="s">
        <v>246</v>
      </c>
      <c r="C130" s="15" t="s">
        <v>245</v>
      </c>
      <c r="D130" s="11">
        <v>123</v>
      </c>
      <c r="E130" s="13">
        <v>46230</v>
      </c>
      <c r="F130" s="10">
        <v>7</v>
      </c>
      <c r="G130" s="16">
        <f>(D130-(0)+0-(F130*Ventas!AE110*1.8))</f>
        <v>122.27549999999999</v>
      </c>
      <c r="H130" s="17">
        <f>(G130/(Ventas!AE110*1.8)/60)</f>
        <v>19.690096618357487</v>
      </c>
      <c r="I130" s="11">
        <v>0</v>
      </c>
      <c r="J130" s="16">
        <f t="shared" si="5"/>
        <v>122.27549999999999</v>
      </c>
      <c r="K130" s="4"/>
      <c r="L130" s="13">
        <v>46275</v>
      </c>
      <c r="M130" s="10">
        <v>45</v>
      </c>
      <c r="N130" s="16">
        <f>(IF(G130&gt;0,G130+I130,I130)-(M130*Ventas!AE110*1.0044))</f>
        <v>119.676615</v>
      </c>
      <c r="O130" s="17">
        <f>(N130/(Ventas!AE110*1.0044)/60)</f>
        <v>34.53691150243278</v>
      </c>
      <c r="P130" s="11">
        <v>0</v>
      </c>
      <c r="Q130" s="16">
        <f t="shared" si="6"/>
        <v>119.676615</v>
      </c>
      <c r="R130" s="4"/>
      <c r="S130" s="13">
        <v>46331</v>
      </c>
      <c r="T130" s="10">
        <v>56</v>
      </c>
      <c r="U130" s="16">
        <f>(IF(N130&gt;0,N130+P130,P130)-(T130*Ventas!AE110*0.9018))</f>
        <v>116.772819</v>
      </c>
      <c r="V130" s="17">
        <f>(U130/(Ventas!AE110*0.9018)/60)</f>
        <v>37.532927381951069</v>
      </c>
      <c r="W130" s="16">
        <f>(100*(Ventas!AE110*1.235) - IF(U130&gt;0,U130,0))</f>
        <v>-109.67156900000001</v>
      </c>
      <c r="X130" s="16">
        <f t="shared" si="7"/>
        <v>0</v>
      </c>
      <c r="Y130" s="16">
        <f t="shared" si="8"/>
        <v>116.772819</v>
      </c>
      <c r="Z130" s="18">
        <v>8.6</v>
      </c>
      <c r="AA130" s="11">
        <v>3027</v>
      </c>
      <c r="AB130" s="16">
        <f>(Y130-(60*Ventas!AE110*1.235))</f>
        <v>112.512069</v>
      </c>
      <c r="AC130" s="17">
        <f>(AB130/(Ventas!AE110*1.235)/60)</f>
        <v>26.406634747403626</v>
      </c>
      <c r="AD130" s="1" t="s">
        <v>107</v>
      </c>
      <c r="AE130">
        <f t="shared" si="9"/>
        <v>0</v>
      </c>
    </row>
    <row r="131" spans="1:31" x14ac:dyDescent="0.25">
      <c r="A131" s="1"/>
      <c r="B131" s="1" t="s">
        <v>248</v>
      </c>
      <c r="C131" s="15" t="s">
        <v>247</v>
      </c>
      <c r="D131" s="11">
        <v>51</v>
      </c>
      <c r="E131" s="13">
        <v>46230</v>
      </c>
      <c r="F131" s="10">
        <v>7</v>
      </c>
      <c r="G131" s="16">
        <f>(D131-(0)+0-(F131*Ventas!AE111*1.8))</f>
        <v>50.151299999999999</v>
      </c>
      <c r="H131" s="17">
        <f>(G131/(Ventas!AE111*1.8)/60)</f>
        <v>6.8940556144691891</v>
      </c>
      <c r="I131" s="11">
        <v>0</v>
      </c>
      <c r="J131" s="16">
        <f t="shared" si="5"/>
        <v>50.151299999999999</v>
      </c>
      <c r="K131" s="4"/>
      <c r="L131" s="13">
        <v>46275</v>
      </c>
      <c r="M131" s="10">
        <v>45</v>
      </c>
      <c r="N131" s="16">
        <f>(IF(G131&gt;0,G131+I131,I131)-(M131*Ventas!AE111*1.0044))</f>
        <v>47.106891857142855</v>
      </c>
      <c r="O131" s="17">
        <f>(N131/(Ventas!AE111*1.0044)/60)</f>
        <v>11.604938377184926</v>
      </c>
      <c r="P131" s="11">
        <v>0</v>
      </c>
      <c r="Q131" s="16">
        <f t="shared" si="6"/>
        <v>47.106891857142855</v>
      </c>
      <c r="R131" s="4"/>
      <c r="S131" s="13">
        <v>46331</v>
      </c>
      <c r="T131" s="10">
        <v>56</v>
      </c>
      <c r="U131" s="16">
        <f>(IF(N131&gt;0,N131+P131,P131)-(T131*Ventas!AE111*0.9018))</f>
        <v>43.705302257142854</v>
      </c>
      <c r="V131" s="17">
        <f>(U131/(Ventas!AE111*0.9018)/60)</f>
        <v>11.991927374189997</v>
      </c>
      <c r="W131" s="16">
        <f>(100*(Ventas!AE111*1.235) - IF(U131&gt;0,U131,0))</f>
        <v>-35.386695114285715</v>
      </c>
      <c r="X131" s="16">
        <f t="shared" si="7"/>
        <v>0</v>
      </c>
      <c r="Y131" s="16">
        <f t="shared" si="8"/>
        <v>43.705302257142854</v>
      </c>
      <c r="Z131" s="18">
        <v>24.2</v>
      </c>
      <c r="AA131" s="11">
        <v>3027</v>
      </c>
      <c r="AB131" s="16">
        <f>(Y131-(60*Ventas!AE111*1.235))</f>
        <v>38.71413797142857</v>
      </c>
      <c r="AC131" s="17">
        <f>(AB131/(Ventas!AE111*1.235)/60)</f>
        <v>7.7565344988214893</v>
      </c>
      <c r="AD131" s="1" t="s">
        <v>107</v>
      </c>
      <c r="AE131">
        <f t="shared" si="9"/>
        <v>0</v>
      </c>
    </row>
    <row r="132" spans="1:31" x14ac:dyDescent="0.25">
      <c r="A132" s="1"/>
      <c r="B132" s="1" t="s">
        <v>250</v>
      </c>
      <c r="C132" s="15" t="s">
        <v>249</v>
      </c>
      <c r="D132" s="11">
        <v>58</v>
      </c>
      <c r="E132" s="13">
        <v>46230</v>
      </c>
      <c r="F132" s="10">
        <v>7</v>
      </c>
      <c r="G132" s="16">
        <f>(D132-(0)+0-(F132*Ventas!AE112*1.8))</f>
        <v>56.942140000000002</v>
      </c>
      <c r="H132" s="17">
        <f>(G132/(Ventas!AE112*1.8)/60)</f>
        <v>6.2798949451408195</v>
      </c>
      <c r="I132" s="11">
        <v>0</v>
      </c>
      <c r="J132" s="16">
        <f t="shared" si="5"/>
        <v>56.942140000000002</v>
      </c>
      <c r="K132" s="4"/>
      <c r="L132" s="13">
        <v>46275</v>
      </c>
      <c r="M132" s="10">
        <v>45</v>
      </c>
      <c r="N132" s="16">
        <f>(IF(G132&gt;0,G132+I132,I132)-(M132*Ventas!AE112*1.0044))</f>
        <v>53.14744505714286</v>
      </c>
      <c r="O132" s="17">
        <f>(N132/(Ventas!AE112*1.0044)/60)</f>
        <v>10.504292016381395</v>
      </c>
      <c r="P132" s="11">
        <v>0</v>
      </c>
      <c r="Q132" s="16">
        <f t="shared" si="6"/>
        <v>53.14744505714286</v>
      </c>
      <c r="R132" s="4"/>
      <c r="S132" s="13">
        <v>46331</v>
      </c>
      <c r="T132" s="10">
        <v>56</v>
      </c>
      <c r="U132" s="16">
        <f>(IF(N132&gt;0,N132+P132,P132)-(T132*Ventas!AE112*0.9018))</f>
        <v>48.907542177142858</v>
      </c>
      <c r="V132" s="17">
        <f>(U132/(Ventas!AE112*0.9018)/60)</f>
        <v>10.766057774732172</v>
      </c>
      <c r="W132" s="16">
        <f>(100*(Ventas!AE112*1.235) - IF(U132&gt;0,U132,0))</f>
        <v>-38.538835034285711</v>
      </c>
      <c r="X132" s="16">
        <f t="shared" si="7"/>
        <v>0</v>
      </c>
      <c r="Y132" s="16">
        <f t="shared" si="8"/>
        <v>48.907542177142858</v>
      </c>
      <c r="Z132" s="18">
        <v>4.5999999999999996</v>
      </c>
      <c r="AA132" s="11">
        <v>3027</v>
      </c>
      <c r="AB132" s="16">
        <f>(Y132-(60*Ventas!AE112*1.235))</f>
        <v>42.686317891428573</v>
      </c>
      <c r="AC132" s="17">
        <f>(AB132/(Ventas!AE112*1.235)/60)</f>
        <v>6.8614015394764971</v>
      </c>
      <c r="AD132" s="1" t="s">
        <v>107</v>
      </c>
      <c r="AE132">
        <f t="shared" si="9"/>
        <v>0</v>
      </c>
    </row>
    <row r="133" spans="1:31" x14ac:dyDescent="0.25">
      <c r="A133" s="1"/>
      <c r="B133" s="1" t="s">
        <v>252</v>
      </c>
      <c r="C133" s="15" t="s">
        <v>251</v>
      </c>
      <c r="D133" s="11">
        <v>155</v>
      </c>
      <c r="E133" s="13">
        <v>46230</v>
      </c>
      <c r="F133" s="10">
        <v>7</v>
      </c>
      <c r="G133" s="16">
        <f>(D133-(0)+0-(F133*Ventas!AE113*1.8))</f>
        <v>154.78183999999999</v>
      </c>
      <c r="H133" s="17">
        <f>(G133/(Ventas!AE113*1.8)/60)</f>
        <v>82.773566801124531</v>
      </c>
      <c r="I133" s="11">
        <v>0</v>
      </c>
      <c r="J133" s="16">
        <f t="shared" ref="J133:J196" si="10">IF(G133&gt;0,G133+I133,I133)</f>
        <v>154.78183999999999</v>
      </c>
      <c r="K133" s="4"/>
      <c r="L133" s="13">
        <v>46275</v>
      </c>
      <c r="M133" s="10">
        <v>45</v>
      </c>
      <c r="N133" s="16">
        <f>(IF(G133&gt;0,G133+I133,I133)-(M133*Ventas!AE113*1.0044))</f>
        <v>153.99926891428569</v>
      </c>
      <c r="O133" s="17">
        <f>(N133/(Ventas!AE113*1.0044)/60)</f>
        <v>147.58972545004391</v>
      </c>
      <c r="P133" s="11">
        <v>0</v>
      </c>
      <c r="Q133" s="16">
        <f t="shared" ref="Q133:Q196" si="11">IF(N133&gt;0,N133+P133,P133)</f>
        <v>153.99926891428569</v>
      </c>
      <c r="R133" s="4"/>
      <c r="S133" s="13">
        <v>46331</v>
      </c>
      <c r="T133" s="10">
        <v>56</v>
      </c>
      <c r="U133" s="16">
        <f>(IF(N133&gt;0,N133+P133,P133)-(T133*Ventas!AE113*0.9018))</f>
        <v>153.12488363428568</v>
      </c>
      <c r="V133" s="17">
        <f>(U133/(Ventas!AE113*0.9018)/60)</f>
        <v>163.44803752719463</v>
      </c>
      <c r="W133" s="16">
        <f>(100*(Ventas!AE113*1.235) - IF(U133&gt;0,U133,0))</f>
        <v>-150.98656934857141</v>
      </c>
      <c r="X133" s="16">
        <f t="shared" ref="X133:X196" si="12">IF(W133&gt;0,W133,0)</f>
        <v>0</v>
      </c>
      <c r="Y133" s="16">
        <f t="shared" ref="Y133:Y196" si="13">IF(U133&gt;0,U133+IF(X133&gt;0,X133,0),X133)</f>
        <v>153.12488363428568</v>
      </c>
      <c r="Z133" s="18">
        <v>14.4</v>
      </c>
      <c r="AA133" s="11">
        <v>3027</v>
      </c>
      <c r="AB133" s="16">
        <f>(Y133-(60*Ventas!AE113*1.235))</f>
        <v>151.84189506285711</v>
      </c>
      <c r="AC133" s="17">
        <f>(AB133/(Ventas!AE113*1.235)/60)</f>
        <v>118.35015404212479</v>
      </c>
      <c r="AD133" s="1" t="s">
        <v>107</v>
      </c>
      <c r="AE133">
        <f t="shared" si="9"/>
        <v>0</v>
      </c>
    </row>
    <row r="134" spans="1:31" x14ac:dyDescent="0.25">
      <c r="A134" s="1"/>
      <c r="B134" s="1" t="s">
        <v>254</v>
      </c>
      <c r="C134" s="15" t="s">
        <v>253</v>
      </c>
      <c r="D134" s="11">
        <v>71</v>
      </c>
      <c r="E134" s="13">
        <v>46230</v>
      </c>
      <c r="F134" s="10">
        <v>7</v>
      </c>
      <c r="G134" s="16">
        <f>(D134-(0)+0-(F134*Ventas!AE114*1.8))</f>
        <v>70.814959999999999</v>
      </c>
      <c r="H134" s="17">
        <f>(G134/(Ventas!AE114*1.8)/60)</f>
        <v>44.648429168468077</v>
      </c>
      <c r="I134" s="11">
        <v>0</v>
      </c>
      <c r="J134" s="16">
        <f t="shared" si="10"/>
        <v>70.814959999999999</v>
      </c>
      <c r="K134" s="4"/>
      <c r="L134" s="13">
        <v>46275</v>
      </c>
      <c r="M134" s="10">
        <v>45</v>
      </c>
      <c r="N134" s="16">
        <f>(IF(G134&gt;0,G134+I134,I134)-(M134*Ventas!AE114*1.0044))</f>
        <v>70.151195085714292</v>
      </c>
      <c r="O134" s="17">
        <f>(N134/(Ventas!AE114*1.0044)/60)</f>
        <v>79.265106036681161</v>
      </c>
      <c r="P134" s="11">
        <v>0</v>
      </c>
      <c r="Q134" s="16">
        <f t="shared" si="11"/>
        <v>70.151195085714292</v>
      </c>
      <c r="R134" s="4"/>
      <c r="S134" s="13">
        <v>46331</v>
      </c>
      <c r="T134" s="10">
        <v>56</v>
      </c>
      <c r="U134" s="16">
        <f>(IF(N134&gt;0,N134+P134,P134)-(T134*Ventas!AE114*0.9018))</f>
        <v>69.40955476571429</v>
      </c>
      <c r="V134" s="17">
        <f>(U134/(Ventas!AE114*0.9018)/60)</f>
        <v>87.349958420095987</v>
      </c>
      <c r="W134" s="16">
        <f>(100*(Ventas!AE114*1.235) - IF(U134&gt;0,U134,0))</f>
        <v>-67.595869051428579</v>
      </c>
      <c r="X134" s="16">
        <f t="shared" si="12"/>
        <v>0</v>
      </c>
      <c r="Y134" s="16">
        <f t="shared" si="13"/>
        <v>69.40955476571429</v>
      </c>
      <c r="Z134" s="18">
        <v>3.7</v>
      </c>
      <c r="AA134" s="11">
        <v>3027</v>
      </c>
      <c r="AB134" s="16">
        <f>(Y134-(60*Ventas!AE114*1.235))</f>
        <v>68.321343337142864</v>
      </c>
      <c r="AC134" s="17">
        <f>(AB134/(Ventas!AE114*1.235)/60)</f>
        <v>62.783151824487895</v>
      </c>
      <c r="AD134" s="1" t="s">
        <v>107</v>
      </c>
      <c r="AE134">
        <f t="shared" ref="AE134:AE197" si="14">X134*Z134</f>
        <v>0</v>
      </c>
    </row>
    <row r="135" spans="1:31" x14ac:dyDescent="0.25">
      <c r="A135" s="1"/>
      <c r="B135" s="1" t="s">
        <v>256</v>
      </c>
      <c r="C135" s="15" t="s">
        <v>255</v>
      </c>
      <c r="D135" s="4"/>
      <c r="E135" s="13">
        <v>46230</v>
      </c>
      <c r="F135" s="10">
        <v>7</v>
      </c>
      <c r="G135" s="16">
        <f>(D135-(0)+0-(F135*Ventas!AE115*1.8))</f>
        <v>0</v>
      </c>
      <c r="H135" s="4"/>
      <c r="I135" s="11">
        <v>0</v>
      </c>
      <c r="J135" s="16">
        <f t="shared" si="10"/>
        <v>0</v>
      </c>
      <c r="K135" s="4"/>
      <c r="L135" s="13">
        <v>46275</v>
      </c>
      <c r="M135" s="10">
        <v>45</v>
      </c>
      <c r="N135" s="16">
        <f>(IF(G135&gt;0,G135+I135,I135)-(M135*Ventas!AE115*1.0044))</f>
        <v>0</v>
      </c>
      <c r="O135" s="4"/>
      <c r="P135" s="11">
        <v>0</v>
      </c>
      <c r="Q135" s="16">
        <f t="shared" si="11"/>
        <v>0</v>
      </c>
      <c r="R135" s="4"/>
      <c r="S135" s="13">
        <v>46331</v>
      </c>
      <c r="T135" s="10">
        <v>56</v>
      </c>
      <c r="U135" s="16">
        <f>(IF(N135&gt;0,N135+P135,P135)-(T135*Ventas!AE115*0.9018))</f>
        <v>0</v>
      </c>
      <c r="V135" s="4"/>
      <c r="W135" s="16">
        <f>(100*(Ventas!AE115*1.235) - IF(U135&gt;0,U135,0))</f>
        <v>0</v>
      </c>
      <c r="X135" s="16">
        <f t="shared" si="12"/>
        <v>0</v>
      </c>
      <c r="Y135" s="16">
        <f t="shared" si="13"/>
        <v>0</v>
      </c>
      <c r="Z135" s="18">
        <v>18.8</v>
      </c>
      <c r="AA135" s="11">
        <v>3010</v>
      </c>
      <c r="AB135" s="4"/>
      <c r="AC135" s="4"/>
      <c r="AD135" s="1" t="s">
        <v>107</v>
      </c>
      <c r="AE135">
        <f t="shared" si="14"/>
        <v>0</v>
      </c>
    </row>
    <row r="136" spans="1:31" x14ac:dyDescent="0.25">
      <c r="A136" s="1" t="s">
        <v>259</v>
      </c>
      <c r="B136" s="1" t="s">
        <v>258</v>
      </c>
      <c r="C136" s="15" t="s">
        <v>257</v>
      </c>
      <c r="D136" s="4"/>
      <c r="E136" s="13">
        <v>46230</v>
      </c>
      <c r="F136" s="10">
        <v>7</v>
      </c>
      <c r="G136" s="16">
        <f>(D136-(0)+0-(F136*Ventas!AE116*1.8))</f>
        <v>0</v>
      </c>
      <c r="H136" s="4"/>
      <c r="I136" s="11">
        <v>0</v>
      </c>
      <c r="J136" s="16">
        <f t="shared" si="10"/>
        <v>0</v>
      </c>
      <c r="K136" s="4"/>
      <c r="L136" s="13">
        <v>46275</v>
      </c>
      <c r="M136" s="10">
        <v>45</v>
      </c>
      <c r="N136" s="16">
        <f>(IF(G136&gt;0,G136+I136,I136)-(M136*Ventas!AE116*1.0044))</f>
        <v>0</v>
      </c>
      <c r="O136" s="4"/>
      <c r="P136" s="11">
        <v>0</v>
      </c>
      <c r="Q136" s="16">
        <f t="shared" si="11"/>
        <v>0</v>
      </c>
      <c r="R136" s="4"/>
      <c r="S136" s="13">
        <v>46331</v>
      </c>
      <c r="T136" s="10">
        <v>56</v>
      </c>
      <c r="U136" s="16">
        <f>(IF(N136&gt;0,N136+P136,P136)-(T136*Ventas!AE116*0.9018))</f>
        <v>0</v>
      </c>
      <c r="V136" s="4"/>
      <c r="W136" s="16">
        <f>(100*(Ventas!AE116*1.235) - IF(U136&gt;0,U136,0))</f>
        <v>0</v>
      </c>
      <c r="X136" s="16">
        <f t="shared" si="12"/>
        <v>0</v>
      </c>
      <c r="Y136" s="16">
        <f t="shared" si="13"/>
        <v>0</v>
      </c>
      <c r="Z136" s="4"/>
      <c r="AA136" s="4"/>
      <c r="AB136" s="4"/>
      <c r="AC136" s="4"/>
      <c r="AD136" s="1" t="s">
        <v>34</v>
      </c>
      <c r="AE136">
        <f t="shared" si="14"/>
        <v>0</v>
      </c>
    </row>
    <row r="137" spans="1:31" x14ac:dyDescent="0.25">
      <c r="A137" s="1"/>
      <c r="B137" s="1" t="s">
        <v>261</v>
      </c>
      <c r="C137" s="15" t="s">
        <v>260</v>
      </c>
      <c r="D137" s="4"/>
      <c r="E137" s="13">
        <v>46230</v>
      </c>
      <c r="F137" s="10">
        <v>7</v>
      </c>
      <c r="G137" s="16">
        <f>(D137-(0)+0-(F137*Ventas!AE117*1.8))</f>
        <v>0</v>
      </c>
      <c r="H137" s="4"/>
      <c r="I137" s="11">
        <v>0</v>
      </c>
      <c r="J137" s="16">
        <f t="shared" si="10"/>
        <v>0</v>
      </c>
      <c r="K137" s="4"/>
      <c r="L137" s="13">
        <v>46275</v>
      </c>
      <c r="M137" s="10">
        <v>45</v>
      </c>
      <c r="N137" s="16">
        <f>(IF(G137&gt;0,G137+I137,I137)-(M137*Ventas!AE117*1.0044))</f>
        <v>0</v>
      </c>
      <c r="O137" s="4"/>
      <c r="P137" s="11">
        <v>0</v>
      </c>
      <c r="Q137" s="16">
        <f t="shared" si="11"/>
        <v>0</v>
      </c>
      <c r="R137" s="4"/>
      <c r="S137" s="13">
        <v>46331</v>
      </c>
      <c r="T137" s="10">
        <v>56</v>
      </c>
      <c r="U137" s="16">
        <f>(IF(N137&gt;0,N137+P137,P137)-(T137*Ventas!AE117*0.9018))</f>
        <v>0</v>
      </c>
      <c r="V137" s="4"/>
      <c r="W137" s="16">
        <f>(100*(Ventas!AE117*1.235) - IF(U137&gt;0,U137,0))</f>
        <v>0</v>
      </c>
      <c r="X137" s="16">
        <f t="shared" si="12"/>
        <v>0</v>
      </c>
      <c r="Y137" s="16">
        <f t="shared" si="13"/>
        <v>0</v>
      </c>
      <c r="Z137" s="4"/>
      <c r="AA137" s="4"/>
      <c r="AB137" s="4"/>
      <c r="AC137" s="4"/>
      <c r="AD137" s="1" t="s">
        <v>34</v>
      </c>
      <c r="AE137">
        <f t="shared" si="14"/>
        <v>0</v>
      </c>
    </row>
    <row r="138" spans="1:31" x14ac:dyDescent="0.25">
      <c r="A138" s="1"/>
      <c r="B138" s="1" t="s">
        <v>263</v>
      </c>
      <c r="C138" s="15" t="s">
        <v>262</v>
      </c>
      <c r="D138" s="4"/>
      <c r="E138" s="13">
        <v>46230</v>
      </c>
      <c r="F138" s="10">
        <v>7</v>
      </c>
      <c r="G138" s="16">
        <f>(D138-(0)+0-(F138*Ventas!AE118*1.8))</f>
        <v>0</v>
      </c>
      <c r="H138" s="4"/>
      <c r="I138" s="11">
        <v>0</v>
      </c>
      <c r="J138" s="16">
        <f t="shared" si="10"/>
        <v>0</v>
      </c>
      <c r="K138" s="4"/>
      <c r="L138" s="13">
        <v>46275</v>
      </c>
      <c r="M138" s="10">
        <v>45</v>
      </c>
      <c r="N138" s="16">
        <f>(IF(G138&gt;0,G138+I138,I138)-(M138*Ventas!AE118*1.0044))</f>
        <v>0</v>
      </c>
      <c r="O138" s="4"/>
      <c r="P138" s="11">
        <v>0</v>
      </c>
      <c r="Q138" s="16">
        <f t="shared" si="11"/>
        <v>0</v>
      </c>
      <c r="R138" s="4"/>
      <c r="S138" s="13">
        <v>46331</v>
      </c>
      <c r="T138" s="10">
        <v>56</v>
      </c>
      <c r="U138" s="16">
        <f>(IF(N138&gt;0,N138+P138,P138)-(T138*Ventas!AE118*0.9018))</f>
        <v>0</v>
      </c>
      <c r="V138" s="4"/>
      <c r="W138" s="16">
        <f>(100*(Ventas!AE118*1.235) - IF(U138&gt;0,U138,0))</f>
        <v>0</v>
      </c>
      <c r="X138" s="16">
        <f t="shared" si="12"/>
        <v>0</v>
      </c>
      <c r="Y138" s="16">
        <f t="shared" si="13"/>
        <v>0</v>
      </c>
      <c r="Z138" s="18">
        <v>25.3</v>
      </c>
      <c r="AA138" s="11">
        <v>3010</v>
      </c>
      <c r="AB138" s="4"/>
      <c r="AC138" s="4"/>
      <c r="AD138" s="1" t="s">
        <v>34</v>
      </c>
      <c r="AE138">
        <f t="shared" si="14"/>
        <v>0</v>
      </c>
    </row>
    <row r="139" spans="1:31" x14ac:dyDescent="0.25">
      <c r="A139" s="1"/>
      <c r="B139" s="1" t="s">
        <v>265</v>
      </c>
      <c r="C139" s="15" t="s">
        <v>264</v>
      </c>
      <c r="D139" s="4"/>
      <c r="E139" s="13">
        <v>46230</v>
      </c>
      <c r="F139" s="10">
        <v>7</v>
      </c>
      <c r="G139" s="16">
        <f>(D139-(0)+0-(F139*Ventas!AE119*1.8))</f>
        <v>0</v>
      </c>
      <c r="H139" s="4"/>
      <c r="I139" s="11">
        <v>0</v>
      </c>
      <c r="J139" s="16">
        <f t="shared" si="10"/>
        <v>0</v>
      </c>
      <c r="K139" s="4"/>
      <c r="L139" s="13">
        <v>46275</v>
      </c>
      <c r="M139" s="10">
        <v>45</v>
      </c>
      <c r="N139" s="16">
        <f>(IF(G139&gt;0,G139+I139,I139)-(M139*Ventas!AE119*1.0044))</f>
        <v>0</v>
      </c>
      <c r="O139" s="4"/>
      <c r="P139" s="11">
        <v>0</v>
      </c>
      <c r="Q139" s="16">
        <f t="shared" si="11"/>
        <v>0</v>
      </c>
      <c r="R139" s="4"/>
      <c r="S139" s="13">
        <v>46331</v>
      </c>
      <c r="T139" s="10">
        <v>56</v>
      </c>
      <c r="U139" s="16">
        <f>(IF(N139&gt;0,N139+P139,P139)-(T139*Ventas!AE119*0.9018))</f>
        <v>0</v>
      </c>
      <c r="V139" s="4"/>
      <c r="W139" s="16">
        <f>(100*(Ventas!AE119*1.235) - IF(U139&gt;0,U139,0))</f>
        <v>0</v>
      </c>
      <c r="X139" s="16">
        <f t="shared" si="12"/>
        <v>0</v>
      </c>
      <c r="Y139" s="16">
        <f t="shared" si="13"/>
        <v>0</v>
      </c>
      <c r="Z139" s="18">
        <v>12.49</v>
      </c>
      <c r="AA139" s="11">
        <v>3010</v>
      </c>
      <c r="AB139" s="4"/>
      <c r="AC139" s="4"/>
      <c r="AD139" s="1" t="s">
        <v>107</v>
      </c>
      <c r="AE139">
        <f t="shared" si="14"/>
        <v>0</v>
      </c>
    </row>
    <row r="140" spans="1:31" x14ac:dyDescent="0.25">
      <c r="A140" s="1"/>
      <c r="B140" s="1" t="s">
        <v>267</v>
      </c>
      <c r="C140" s="15" t="s">
        <v>266</v>
      </c>
      <c r="D140" s="11">
        <v>50</v>
      </c>
      <c r="E140" s="13">
        <v>46230</v>
      </c>
      <c r="F140" s="10">
        <v>7</v>
      </c>
      <c r="G140" s="16">
        <f>(D140-(0)+0-(F140*Ventas!AE120*1.8))</f>
        <v>42.728899999999996</v>
      </c>
      <c r="H140" s="17">
        <f>(G140/(Ventas!AE120*1.8)/60)</f>
        <v>0.6855961729770369</v>
      </c>
      <c r="I140" s="11">
        <v>0</v>
      </c>
      <c r="J140" s="16">
        <f t="shared" si="10"/>
        <v>42.728899999999996</v>
      </c>
      <c r="K140" s="4"/>
      <c r="L140" s="13">
        <v>46275</v>
      </c>
      <c r="M140" s="10">
        <v>45</v>
      </c>
      <c r="N140" s="16">
        <f>(IF(G140&gt;0,G140+I140,I140)-(M140*Ventas!AE120*1.0044))</f>
        <v>16.646425571428569</v>
      </c>
      <c r="O140" s="17">
        <f>(N140/(Ventas!AE120*1.0044)/60)</f>
        <v>0.47866697666135649</v>
      </c>
      <c r="P140" s="11">
        <v>0</v>
      </c>
      <c r="Q140" s="16">
        <f t="shared" si="11"/>
        <v>16.646425571428569</v>
      </c>
      <c r="R140" s="4"/>
      <c r="S140" s="13">
        <v>46331</v>
      </c>
      <c r="T140" s="10">
        <v>56</v>
      </c>
      <c r="U140" s="16">
        <f>(IF(N140&gt;0,N140+P140,P140)-(T140*Ventas!AE120*0.9018))</f>
        <v>-12.496143228571434</v>
      </c>
      <c r="V140" s="17">
        <f>(U140/(Ventas!AE120*0.9018)/60)</f>
        <v>-0.40020723956679266</v>
      </c>
      <c r="W140" s="16">
        <f>(100*(Ventas!AE120*1.235) - IF(U140&gt;0,U140,0))</f>
        <v>71.26832142857144</v>
      </c>
      <c r="X140" s="16">
        <f t="shared" si="12"/>
        <v>71.26832142857144</v>
      </c>
      <c r="Y140" s="16">
        <f t="shared" si="13"/>
        <v>71.26832142857144</v>
      </c>
      <c r="Z140" s="18">
        <v>3.92</v>
      </c>
      <c r="AA140" s="11">
        <v>3027</v>
      </c>
      <c r="AB140" s="16">
        <f>(Y140-(60*Ventas!AE120*1.235))</f>
        <v>28.50732857142858</v>
      </c>
      <c r="AC140" s="17">
        <f>(AB140/(Ventas!AE120*1.235)/60)</f>
        <v>0.66666666666666674</v>
      </c>
      <c r="AD140" s="1" t="s">
        <v>107</v>
      </c>
      <c r="AE140">
        <f t="shared" si="14"/>
        <v>279.37182000000001</v>
      </c>
    </row>
    <row r="141" spans="1:31" x14ac:dyDescent="0.25">
      <c r="A141" s="1"/>
      <c r="B141" s="1" t="s">
        <v>269</v>
      </c>
      <c r="C141" s="15" t="s">
        <v>268</v>
      </c>
      <c r="D141" s="11">
        <v>81</v>
      </c>
      <c r="E141" s="13">
        <v>46230</v>
      </c>
      <c r="F141" s="10">
        <v>7</v>
      </c>
      <c r="G141" s="16">
        <f>(D141-(0)+0-(F141*Ventas!AE121*1.8))</f>
        <v>77.415840000000003</v>
      </c>
      <c r="H141" s="17">
        <f>(G141/(Ventas!AE121*1.8)/60)</f>
        <v>2.5199343779295571</v>
      </c>
      <c r="I141" s="11">
        <v>0</v>
      </c>
      <c r="J141" s="16">
        <f t="shared" si="10"/>
        <v>77.415840000000003</v>
      </c>
      <c r="K141" s="4"/>
      <c r="L141" s="13">
        <v>46275</v>
      </c>
      <c r="M141" s="10">
        <v>45</v>
      </c>
      <c r="N141" s="16">
        <f>(IF(G141&gt;0,G141+I141,I141)-(M141*Ventas!AE121*1.0044))</f>
        <v>64.558946057142862</v>
      </c>
      <c r="O141" s="17">
        <f>(N141/(Ventas!AE121*1.0044)/60)</f>
        <v>3.7660114299812846</v>
      </c>
      <c r="P141" s="11">
        <v>0</v>
      </c>
      <c r="Q141" s="16">
        <f t="shared" si="11"/>
        <v>64.558946057142862</v>
      </c>
      <c r="R141" s="4"/>
      <c r="S141" s="13">
        <v>46331</v>
      </c>
      <c r="T141" s="10">
        <v>56</v>
      </c>
      <c r="U141" s="16">
        <f>(IF(N141&gt;0,N141+P141,P141)-(T141*Ventas!AE121*0.9018))</f>
        <v>50.193632777142859</v>
      </c>
      <c r="V141" s="17">
        <f>(U141/(Ventas!AE121*0.9018)/60)</f>
        <v>3.2611464629332474</v>
      </c>
      <c r="W141" s="16">
        <f>(100*(Ventas!AE121*1.235) - IF(U141&gt;0,U141,0))</f>
        <v>-15.063175634285713</v>
      </c>
      <c r="X141" s="16">
        <f t="shared" si="12"/>
        <v>0</v>
      </c>
      <c r="Y141" s="16">
        <f t="shared" si="13"/>
        <v>50.193632777142859</v>
      </c>
      <c r="Z141" s="18">
        <v>8</v>
      </c>
      <c r="AA141" s="11">
        <v>3010</v>
      </c>
      <c r="AB141" s="16">
        <f>(Y141-(60*Ventas!AE121*1.235))</f>
        <v>29.115358491428573</v>
      </c>
      <c r="AC141" s="17">
        <f>(AB141/(Ventas!AE121*1.235)/60)</f>
        <v>1.3812970690471273</v>
      </c>
      <c r="AD141" s="1" t="s">
        <v>34</v>
      </c>
      <c r="AE141">
        <f t="shared" si="14"/>
        <v>0</v>
      </c>
    </row>
    <row r="142" spans="1:31" x14ac:dyDescent="0.25">
      <c r="A142" s="1"/>
      <c r="B142" s="1" t="s">
        <v>271</v>
      </c>
      <c r="C142" s="15" t="s">
        <v>270</v>
      </c>
      <c r="D142" s="11">
        <v>96</v>
      </c>
      <c r="E142" s="13">
        <v>46230</v>
      </c>
      <c r="F142" s="10">
        <v>7</v>
      </c>
      <c r="G142" s="16">
        <f>(D142-(0)+0-(F142*Ventas!AE122*1.8))</f>
        <v>96.754919999999998</v>
      </c>
      <c r="H142" s="4"/>
      <c r="I142" s="11">
        <v>0</v>
      </c>
      <c r="J142" s="16">
        <f t="shared" si="10"/>
        <v>96.754919999999998</v>
      </c>
      <c r="K142" s="4"/>
      <c r="L142" s="13">
        <v>46275</v>
      </c>
      <c r="M142" s="10">
        <v>45</v>
      </c>
      <c r="N142" s="16">
        <f>(IF(G142&gt;0,G142+I142,I142)-(M142*Ventas!AE122*1.0044))</f>
        <v>99.462925885714284</v>
      </c>
      <c r="O142" s="4"/>
      <c r="P142" s="11">
        <v>0</v>
      </c>
      <c r="Q142" s="16">
        <f t="shared" si="11"/>
        <v>99.462925885714284</v>
      </c>
      <c r="R142" s="4"/>
      <c r="S142" s="13">
        <v>46331</v>
      </c>
      <c r="T142" s="10">
        <v>56</v>
      </c>
      <c r="U142" s="16">
        <f>(IF(N142&gt;0,N142+P142,P142)-(T142*Ventas!AE122*0.9018))</f>
        <v>102.48864524571428</v>
      </c>
      <c r="V142" s="4"/>
      <c r="W142" s="16">
        <f>(100*(Ventas!AE122*1.235) - IF(U142&gt;0,U142,0))</f>
        <v>-109.88805953142857</v>
      </c>
      <c r="X142" s="16">
        <f t="shared" si="12"/>
        <v>0</v>
      </c>
      <c r="Y142" s="16">
        <f t="shared" si="13"/>
        <v>102.48864524571428</v>
      </c>
      <c r="Z142" s="18">
        <v>24.2</v>
      </c>
      <c r="AA142" s="11">
        <v>3027</v>
      </c>
      <c r="AB142" s="4"/>
      <c r="AC142" s="4"/>
      <c r="AD142" s="1" t="s">
        <v>107</v>
      </c>
      <c r="AE142">
        <f t="shared" si="14"/>
        <v>0</v>
      </c>
    </row>
    <row r="143" spans="1:31" x14ac:dyDescent="0.25">
      <c r="A143" s="1"/>
      <c r="B143" s="1" t="s">
        <v>273</v>
      </c>
      <c r="C143" s="15" t="s">
        <v>272</v>
      </c>
      <c r="D143" s="11">
        <v>15</v>
      </c>
      <c r="E143" s="13">
        <v>46230</v>
      </c>
      <c r="F143" s="10">
        <v>7</v>
      </c>
      <c r="G143" s="16">
        <f>(D143-(0)+0-(F143*Ventas!AE123*1.8))</f>
        <v>11.048099999999998</v>
      </c>
      <c r="H143" s="17">
        <f>(G143/(Ventas!AE123*1.8)/60)</f>
        <v>0.32615830360079945</v>
      </c>
      <c r="I143" s="11">
        <v>0</v>
      </c>
      <c r="J143" s="16">
        <f t="shared" si="10"/>
        <v>11.048099999999998</v>
      </c>
      <c r="K143" s="4"/>
      <c r="L143" s="13">
        <v>46275</v>
      </c>
      <c r="M143" s="10">
        <v>45</v>
      </c>
      <c r="N143" s="16">
        <f>(IF(G143&gt;0,G143+I143,I143)-(M143*Ventas!AE123*1.0044))</f>
        <v>-3.1279298571428615</v>
      </c>
      <c r="O143" s="17">
        <f>(N143/(Ventas!AE123*1.0044)/60)</f>
        <v>-0.16548691110967831</v>
      </c>
      <c r="P143" s="11">
        <v>0</v>
      </c>
      <c r="Q143" s="16">
        <f t="shared" si="11"/>
        <v>0</v>
      </c>
      <c r="R143" s="4"/>
      <c r="S143" s="13">
        <v>46331</v>
      </c>
      <c r="T143" s="10">
        <v>56</v>
      </c>
      <c r="U143" s="16">
        <f>(IF(N143&gt;0,N143+P143,P143)-(T143*Ventas!AE123*0.9018))</f>
        <v>-15.839215200000003</v>
      </c>
      <c r="V143" s="17">
        <f>(U143/(Ventas!AE123*0.9018)/60)</f>
        <v>-0.93333333333333324</v>
      </c>
      <c r="W143" s="16">
        <f>(100*(Ventas!AE123*1.235) - IF(U143&gt;0,U143,0))</f>
        <v>38.734892857142874</v>
      </c>
      <c r="X143" s="16">
        <f t="shared" si="12"/>
        <v>38.734892857142874</v>
      </c>
      <c r="Y143" s="16">
        <f t="shared" si="13"/>
        <v>38.734892857142874</v>
      </c>
      <c r="Z143" s="18">
        <v>7.2</v>
      </c>
      <c r="AA143" s="11">
        <v>3010</v>
      </c>
      <c r="AB143" s="16">
        <f>(Y143-(60*Ventas!AE123*1.235))</f>
        <v>15.493957142857152</v>
      </c>
      <c r="AC143" s="17">
        <f>(AB143/(Ventas!AE123*1.235)/60)</f>
        <v>0.66666666666666674</v>
      </c>
      <c r="AD143" s="1" t="s">
        <v>34</v>
      </c>
      <c r="AE143">
        <f t="shared" si="14"/>
        <v>278.89122857142871</v>
      </c>
    </row>
    <row r="144" spans="1:31" x14ac:dyDescent="0.25">
      <c r="A144" s="1"/>
      <c r="B144" s="1" t="s">
        <v>275</v>
      </c>
      <c r="C144" s="15" t="s">
        <v>274</v>
      </c>
      <c r="D144" s="4"/>
      <c r="E144" s="13">
        <v>46230</v>
      </c>
      <c r="F144" s="10">
        <v>7</v>
      </c>
      <c r="G144" s="16">
        <f>(D144-(0)+0-(F144*Ventas!AE124*1.8))</f>
        <v>0</v>
      </c>
      <c r="H144" s="4"/>
      <c r="I144" s="11">
        <v>0</v>
      </c>
      <c r="J144" s="16">
        <f t="shared" si="10"/>
        <v>0</v>
      </c>
      <c r="K144" s="4"/>
      <c r="L144" s="13">
        <v>46275</v>
      </c>
      <c r="M144" s="10">
        <v>45</v>
      </c>
      <c r="N144" s="16">
        <f>(IF(G144&gt;0,G144+I144,I144)-(M144*Ventas!AE124*1.0044))</f>
        <v>0</v>
      </c>
      <c r="O144" s="4"/>
      <c r="P144" s="11">
        <v>0</v>
      </c>
      <c r="Q144" s="16">
        <f t="shared" si="11"/>
        <v>0</v>
      </c>
      <c r="R144" s="4"/>
      <c r="S144" s="13">
        <v>46331</v>
      </c>
      <c r="T144" s="10">
        <v>56</v>
      </c>
      <c r="U144" s="16">
        <f>(IF(N144&gt;0,N144+P144,P144)-(T144*Ventas!AE124*0.9018))</f>
        <v>0</v>
      </c>
      <c r="V144" s="4"/>
      <c r="W144" s="16">
        <f>(100*(Ventas!AE124*1.235) - IF(U144&gt;0,U144,0))</f>
        <v>0</v>
      </c>
      <c r="X144" s="16">
        <f t="shared" si="12"/>
        <v>0</v>
      </c>
      <c r="Y144" s="16">
        <f t="shared" si="13"/>
        <v>0</v>
      </c>
      <c r="Z144" s="18">
        <v>2.4</v>
      </c>
      <c r="AA144" s="11">
        <v>3027</v>
      </c>
      <c r="AB144" s="4"/>
      <c r="AC144" s="4"/>
      <c r="AD144" s="1" t="s">
        <v>34</v>
      </c>
      <c r="AE144">
        <f t="shared" si="14"/>
        <v>0</v>
      </c>
    </row>
    <row r="145" spans="1:31" x14ac:dyDescent="0.25">
      <c r="A145" s="1"/>
      <c r="B145" s="1" t="s">
        <v>277</v>
      </c>
      <c r="C145" s="15" t="s">
        <v>276</v>
      </c>
      <c r="D145" s="4"/>
      <c r="E145" s="13">
        <v>46230</v>
      </c>
      <c r="F145" s="10">
        <v>7</v>
      </c>
      <c r="G145" s="16">
        <f>(D145-(0)+0-(F145*Ventas!AE125*1.8))</f>
        <v>0</v>
      </c>
      <c r="H145" s="4"/>
      <c r="I145" s="11">
        <v>0</v>
      </c>
      <c r="J145" s="16">
        <f t="shared" si="10"/>
        <v>0</v>
      </c>
      <c r="K145" s="4"/>
      <c r="L145" s="13">
        <v>46275</v>
      </c>
      <c r="M145" s="10">
        <v>45</v>
      </c>
      <c r="N145" s="16">
        <f>(IF(G145&gt;0,G145+I145,I145)-(M145*Ventas!AE125*1.0044))</f>
        <v>0</v>
      </c>
      <c r="O145" s="4"/>
      <c r="P145" s="11">
        <v>0</v>
      </c>
      <c r="Q145" s="16">
        <f t="shared" si="11"/>
        <v>0</v>
      </c>
      <c r="R145" s="4"/>
      <c r="S145" s="13">
        <v>46331</v>
      </c>
      <c r="T145" s="10">
        <v>56</v>
      </c>
      <c r="U145" s="16">
        <f>(IF(N145&gt;0,N145+P145,P145)-(T145*Ventas!AE125*0.9018))</f>
        <v>0</v>
      </c>
      <c r="V145" s="4"/>
      <c r="W145" s="16">
        <f>(100*(Ventas!AE125*1.235) - IF(U145&gt;0,U145,0))</f>
        <v>0</v>
      </c>
      <c r="X145" s="16">
        <f t="shared" si="12"/>
        <v>0</v>
      </c>
      <c r="Y145" s="16">
        <f t="shared" si="13"/>
        <v>0</v>
      </c>
      <c r="Z145" s="18">
        <v>19</v>
      </c>
      <c r="AA145" s="11">
        <v>3027</v>
      </c>
      <c r="AB145" s="4"/>
      <c r="AC145" s="4"/>
      <c r="AD145" s="1" t="s">
        <v>34</v>
      </c>
      <c r="AE145">
        <f t="shared" si="14"/>
        <v>0</v>
      </c>
    </row>
    <row r="146" spans="1:31" x14ac:dyDescent="0.25">
      <c r="A146" s="1"/>
      <c r="B146" s="1" t="s">
        <v>279</v>
      </c>
      <c r="C146" s="15" t="s">
        <v>278</v>
      </c>
      <c r="D146" s="4"/>
      <c r="E146" s="13">
        <v>46230</v>
      </c>
      <c r="F146" s="10">
        <v>7</v>
      </c>
      <c r="G146" s="16">
        <f>(D146-(0)+0-(F146*Ventas!AE126*1.8))</f>
        <v>0</v>
      </c>
      <c r="H146" s="4"/>
      <c r="I146" s="11">
        <v>0</v>
      </c>
      <c r="J146" s="16">
        <f t="shared" si="10"/>
        <v>0</v>
      </c>
      <c r="K146" s="4"/>
      <c r="L146" s="13">
        <v>46275</v>
      </c>
      <c r="M146" s="10">
        <v>45</v>
      </c>
      <c r="N146" s="16">
        <f>(IF(G146&gt;0,G146+I146,I146)-(M146*Ventas!AE126*1.0044))</f>
        <v>0</v>
      </c>
      <c r="O146" s="4"/>
      <c r="P146" s="11">
        <v>0</v>
      </c>
      <c r="Q146" s="16">
        <f t="shared" si="11"/>
        <v>0</v>
      </c>
      <c r="R146" s="4"/>
      <c r="S146" s="13">
        <v>46331</v>
      </c>
      <c r="T146" s="10">
        <v>56</v>
      </c>
      <c r="U146" s="16">
        <f>(IF(N146&gt;0,N146+P146,P146)-(T146*Ventas!AE126*0.9018))</f>
        <v>0</v>
      </c>
      <c r="V146" s="4"/>
      <c r="W146" s="16">
        <f>(100*(Ventas!AE126*1.235) - IF(U146&gt;0,U146,0))</f>
        <v>0</v>
      </c>
      <c r="X146" s="16">
        <f t="shared" si="12"/>
        <v>0</v>
      </c>
      <c r="Y146" s="16">
        <f t="shared" si="13"/>
        <v>0</v>
      </c>
      <c r="Z146" s="18">
        <v>19</v>
      </c>
      <c r="AA146" s="11">
        <v>3027</v>
      </c>
      <c r="AB146" s="4"/>
      <c r="AC146" s="4"/>
      <c r="AD146" s="1" t="s">
        <v>34</v>
      </c>
      <c r="AE146">
        <f t="shared" si="14"/>
        <v>0</v>
      </c>
    </row>
    <row r="147" spans="1:31" x14ac:dyDescent="0.25">
      <c r="A147" s="1"/>
      <c r="B147" s="1" t="s">
        <v>281</v>
      </c>
      <c r="C147" s="15" t="s">
        <v>280</v>
      </c>
      <c r="D147" s="4"/>
      <c r="E147" s="13">
        <v>46230</v>
      </c>
      <c r="F147" s="10">
        <v>7</v>
      </c>
      <c r="G147" s="16">
        <f>(D147-(0)+0-(F147*Ventas!AE127*1.8))</f>
        <v>0</v>
      </c>
      <c r="H147" s="4"/>
      <c r="I147" s="11">
        <v>0</v>
      </c>
      <c r="J147" s="16">
        <f t="shared" si="10"/>
        <v>0</v>
      </c>
      <c r="K147" s="4"/>
      <c r="L147" s="13">
        <v>46275</v>
      </c>
      <c r="M147" s="10">
        <v>45</v>
      </c>
      <c r="N147" s="16">
        <f>(IF(G147&gt;0,G147+I147,I147)-(M147*Ventas!AE127*1.0044))</f>
        <v>0</v>
      </c>
      <c r="O147" s="4"/>
      <c r="P147" s="11">
        <v>0</v>
      </c>
      <c r="Q147" s="16">
        <f t="shared" si="11"/>
        <v>0</v>
      </c>
      <c r="R147" s="4"/>
      <c r="S147" s="13">
        <v>46331</v>
      </c>
      <c r="T147" s="10">
        <v>56</v>
      </c>
      <c r="U147" s="16">
        <f>(IF(N147&gt;0,N147+P147,P147)-(T147*Ventas!AE127*0.9018))</f>
        <v>0</v>
      </c>
      <c r="V147" s="4"/>
      <c r="W147" s="16">
        <f>(100*(Ventas!AE127*1.235) - IF(U147&gt;0,U147,0))</f>
        <v>0</v>
      </c>
      <c r="X147" s="16">
        <f t="shared" si="12"/>
        <v>0</v>
      </c>
      <c r="Y147" s="16">
        <f t="shared" si="13"/>
        <v>0</v>
      </c>
      <c r="Z147" s="18">
        <v>7.5</v>
      </c>
      <c r="AA147" s="11">
        <v>3010</v>
      </c>
      <c r="AB147" s="4"/>
      <c r="AC147" s="4"/>
      <c r="AD147" s="1" t="s">
        <v>34</v>
      </c>
      <c r="AE147">
        <f t="shared" si="14"/>
        <v>0</v>
      </c>
    </row>
    <row r="148" spans="1:31" x14ac:dyDescent="0.25">
      <c r="A148" s="1"/>
      <c r="B148" s="1" t="s">
        <v>287</v>
      </c>
      <c r="C148" s="15" t="s">
        <v>286</v>
      </c>
      <c r="D148" s="11">
        <v>9</v>
      </c>
      <c r="E148" s="13">
        <v>46230</v>
      </c>
      <c r="F148" s="10">
        <v>7</v>
      </c>
      <c r="G148" s="16">
        <f>(D148-(0)+0-(F148*Ventas!AE130*1.8))</f>
        <v>5.5558800000000002</v>
      </c>
      <c r="H148" s="17">
        <f>(G148/(Ventas!AE130*1.8)/60)</f>
        <v>0.18820075955541615</v>
      </c>
      <c r="I148" s="11">
        <v>0</v>
      </c>
      <c r="J148" s="16">
        <f t="shared" si="10"/>
        <v>5.5558800000000002</v>
      </c>
      <c r="K148" s="4"/>
      <c r="L148" s="13">
        <v>46275</v>
      </c>
      <c r="M148" s="10">
        <v>45</v>
      </c>
      <c r="N148" s="16">
        <f>(IF(G148&gt;0,G148+I148,I148)-(M148*Ventas!AE130*1.0044))</f>
        <v>-6.7986704571428564</v>
      </c>
      <c r="O148" s="17">
        <f>(N148/(Ventas!AE130*1.0044)/60)</f>
        <v>-0.4127226531264942</v>
      </c>
      <c r="P148" s="11">
        <v>30</v>
      </c>
      <c r="Q148" s="16">
        <f t="shared" si="11"/>
        <v>30</v>
      </c>
      <c r="R148" s="16">
        <v>7.2</v>
      </c>
      <c r="S148" s="13">
        <v>46331</v>
      </c>
      <c r="T148" s="10">
        <v>56</v>
      </c>
      <c r="U148" s="16">
        <f>(IF(N148&gt;0,N148+P148,P148)-(T148*Ventas!AE130*0.9018))</f>
        <v>16.195967039999999</v>
      </c>
      <c r="V148" s="17">
        <f>(U148/(Ventas!AE130*0.9018)/60)</f>
        <v>1.0950593893684819</v>
      </c>
      <c r="W148" s="16">
        <f>(100*(Ventas!AE130*1.235) - IF(U148&gt;0,U148,0))</f>
        <v>17.561875817142862</v>
      </c>
      <c r="X148" s="16">
        <f t="shared" si="12"/>
        <v>17.561875817142862</v>
      </c>
      <c r="Y148" s="16">
        <f t="shared" si="13"/>
        <v>33.757842857142862</v>
      </c>
      <c r="Z148" s="18">
        <v>7.2</v>
      </c>
      <c r="AA148" s="11">
        <v>3027</v>
      </c>
      <c r="AB148" s="16">
        <f>(Y148-(60*Ventas!AE130*1.235))</f>
        <v>13.503137142857145</v>
      </c>
      <c r="AC148" s="17">
        <f>(AB148/(Ventas!AE130*1.235)/60)</f>
        <v>0.66666666666666663</v>
      </c>
      <c r="AD148" s="1" t="s">
        <v>34</v>
      </c>
      <c r="AE148">
        <f t="shared" si="14"/>
        <v>126.44550588342861</v>
      </c>
    </row>
    <row r="149" spans="1:31" x14ac:dyDescent="0.25">
      <c r="A149" s="1"/>
      <c r="B149" s="1" t="s">
        <v>289</v>
      </c>
      <c r="C149" s="15" t="s">
        <v>288</v>
      </c>
      <c r="D149" s="4"/>
      <c r="E149" s="13">
        <v>46230</v>
      </c>
      <c r="F149" s="10">
        <v>7</v>
      </c>
      <c r="G149" s="16">
        <f>(D149-(0)+0-(F149*Ventas!AE131*1.8))</f>
        <v>0</v>
      </c>
      <c r="H149" s="4"/>
      <c r="I149" s="11">
        <v>0</v>
      </c>
      <c r="J149" s="16">
        <f t="shared" si="10"/>
        <v>0</v>
      </c>
      <c r="K149" s="4"/>
      <c r="L149" s="13">
        <v>46275</v>
      </c>
      <c r="M149" s="10">
        <v>45</v>
      </c>
      <c r="N149" s="16">
        <f>(IF(G149&gt;0,G149+I149,I149)-(M149*Ventas!AE131*1.0044))</f>
        <v>0</v>
      </c>
      <c r="O149" s="4"/>
      <c r="P149" s="11">
        <v>0</v>
      </c>
      <c r="Q149" s="16">
        <f t="shared" si="11"/>
        <v>0</v>
      </c>
      <c r="R149" s="4"/>
      <c r="S149" s="13">
        <v>46331</v>
      </c>
      <c r="T149" s="10">
        <v>56</v>
      </c>
      <c r="U149" s="16">
        <f>(IF(N149&gt;0,N149+P149,P149)-(T149*Ventas!AE131*0.9018))</f>
        <v>0</v>
      </c>
      <c r="V149" s="4"/>
      <c r="W149" s="16">
        <f>(100*(Ventas!AE131*1.235) - IF(U149&gt;0,U149,0))</f>
        <v>0</v>
      </c>
      <c r="X149" s="16">
        <f t="shared" si="12"/>
        <v>0</v>
      </c>
      <c r="Y149" s="16">
        <f t="shared" si="13"/>
        <v>0</v>
      </c>
      <c r="Z149" s="4"/>
      <c r="AA149" s="4"/>
      <c r="AB149" s="4"/>
      <c r="AC149" s="4"/>
      <c r="AD149" s="1" t="s">
        <v>107</v>
      </c>
      <c r="AE149">
        <f t="shared" si="14"/>
        <v>0</v>
      </c>
    </row>
    <row r="150" spans="1:31" x14ac:dyDescent="0.25">
      <c r="A150" s="1" t="s">
        <v>292</v>
      </c>
      <c r="B150" s="1" t="s">
        <v>291</v>
      </c>
      <c r="C150" s="15" t="s">
        <v>290</v>
      </c>
      <c r="D150" s="4"/>
      <c r="E150" s="13">
        <v>46230</v>
      </c>
      <c r="F150" s="10">
        <v>7</v>
      </c>
      <c r="G150" s="16">
        <f>(D150-(0)+0-(F150*Ventas!AE132*1.8))</f>
        <v>0</v>
      </c>
      <c r="H150" s="4"/>
      <c r="I150" s="11">
        <v>0</v>
      </c>
      <c r="J150" s="16">
        <f t="shared" si="10"/>
        <v>0</v>
      </c>
      <c r="K150" s="4"/>
      <c r="L150" s="13">
        <v>46275</v>
      </c>
      <c r="M150" s="10">
        <v>45</v>
      </c>
      <c r="N150" s="16">
        <f>(IF(G150&gt;0,G150+I150,I150)-(M150*Ventas!AE132*1.0044))</f>
        <v>0</v>
      </c>
      <c r="O150" s="4"/>
      <c r="P150" s="11">
        <v>0</v>
      </c>
      <c r="Q150" s="16">
        <f t="shared" si="11"/>
        <v>0</v>
      </c>
      <c r="R150" s="4"/>
      <c r="S150" s="13">
        <v>46331</v>
      </c>
      <c r="T150" s="10">
        <v>56</v>
      </c>
      <c r="U150" s="16">
        <f>(IF(N150&gt;0,N150+P150,P150)-(T150*Ventas!AE132*0.9018))</f>
        <v>0</v>
      </c>
      <c r="V150" s="4"/>
      <c r="W150" s="16">
        <f>(100*(Ventas!AE132*1.235) - IF(U150&gt;0,U150,0))</f>
        <v>0</v>
      </c>
      <c r="X150" s="16">
        <f t="shared" si="12"/>
        <v>0</v>
      </c>
      <c r="Y150" s="16">
        <f t="shared" si="13"/>
        <v>0</v>
      </c>
      <c r="Z150" s="4"/>
      <c r="AA150" s="4"/>
      <c r="AB150" s="4"/>
      <c r="AC150" s="4"/>
      <c r="AD150" s="1" t="s">
        <v>34</v>
      </c>
      <c r="AE150">
        <f t="shared" si="14"/>
        <v>0</v>
      </c>
    </row>
    <row r="151" spans="1:31" x14ac:dyDescent="0.25">
      <c r="A151" s="1"/>
      <c r="B151" s="1" t="s">
        <v>296</v>
      </c>
      <c r="C151" s="15" t="s">
        <v>295</v>
      </c>
      <c r="D151" s="11">
        <v>41</v>
      </c>
      <c r="E151" s="13">
        <v>46230</v>
      </c>
      <c r="F151" s="10">
        <v>7</v>
      </c>
      <c r="G151" s="16">
        <f>(D151-(0)+0-(F151*Ventas!AE134*1.8))</f>
        <v>37.96358</v>
      </c>
      <c r="H151" s="17">
        <f>(G151/(Ventas!AE134*1.8)/60)</f>
        <v>1.4586533922623788</v>
      </c>
      <c r="I151" s="11">
        <v>100</v>
      </c>
      <c r="J151" s="16">
        <f t="shared" si="10"/>
        <v>137.96358000000001</v>
      </c>
      <c r="K151" s="16">
        <v>6.4480000000000004</v>
      </c>
      <c r="L151" s="13">
        <v>46275</v>
      </c>
      <c r="M151" s="10">
        <v>45</v>
      </c>
      <c r="N151" s="16">
        <f>(IF(G151&gt;0,G151+I151,I151)-(M151*Ventas!AE134*1.0044))</f>
        <v>127.07150768571429</v>
      </c>
      <c r="O151" s="17">
        <f>(N151/(Ventas!AE134*1.0044)/60)</f>
        <v>8.7498161979046305</v>
      </c>
      <c r="P151" s="11">
        <v>40</v>
      </c>
      <c r="Q151" s="16">
        <f t="shared" si="11"/>
        <v>167.07150768571429</v>
      </c>
      <c r="R151" s="16">
        <v>6.4</v>
      </c>
      <c r="S151" s="13">
        <v>46331</v>
      </c>
      <c r="T151" s="10">
        <v>56</v>
      </c>
      <c r="U151" s="16">
        <f>(IF(N151&gt;0,N151+P151,P151)-(T151*Ventas!AE134*0.9018))</f>
        <v>154.90153632571429</v>
      </c>
      <c r="V151" s="17">
        <f>(U151/(Ventas!AE134*0.9018)/60)</f>
        <v>11.879630852092106</v>
      </c>
      <c r="W151" s="16">
        <f>(100*(Ventas!AE134*1.235) - IF(U151&gt;0,U151,0))</f>
        <v>-125.13980061142857</v>
      </c>
      <c r="X151" s="16">
        <f t="shared" si="12"/>
        <v>0</v>
      </c>
      <c r="Y151" s="16">
        <f t="shared" si="13"/>
        <v>154.90153632571429</v>
      </c>
      <c r="Z151" s="18">
        <v>6.4480000000000004</v>
      </c>
      <c r="AA151" s="11">
        <v>3027</v>
      </c>
      <c r="AB151" s="16">
        <f>(Y151-(60*Ventas!AE134*1.235))</f>
        <v>137.04449489714287</v>
      </c>
      <c r="AC151" s="17">
        <f>(AB151/(Ventas!AE134*1.235)/60)</f>
        <v>7.6745353056005348</v>
      </c>
      <c r="AD151" s="1" t="s">
        <v>34</v>
      </c>
      <c r="AE151">
        <f t="shared" si="14"/>
        <v>0</v>
      </c>
    </row>
    <row r="152" spans="1:31" x14ac:dyDescent="0.25">
      <c r="A152" s="1"/>
      <c r="B152" s="1" t="s">
        <v>298</v>
      </c>
      <c r="C152" s="15" t="s">
        <v>297</v>
      </c>
      <c r="D152" s="11">
        <v>32</v>
      </c>
      <c r="E152" s="13">
        <v>46230</v>
      </c>
      <c r="F152" s="10">
        <v>7</v>
      </c>
      <c r="G152" s="16">
        <f>(D152-(0)+0-(F152*Ventas!AE135*1.8))</f>
        <v>31.135819999999999</v>
      </c>
      <c r="H152" s="17">
        <f>(G152/(Ventas!AE135*1.8)/60)</f>
        <v>4.2034209693968076</v>
      </c>
      <c r="I152" s="11">
        <v>20</v>
      </c>
      <c r="J152" s="16">
        <f t="shared" si="10"/>
        <v>51.135819999999995</v>
      </c>
      <c r="K152" s="16">
        <v>6.4480000000000004</v>
      </c>
      <c r="L152" s="13">
        <v>46275</v>
      </c>
      <c r="M152" s="10">
        <v>45</v>
      </c>
      <c r="N152" s="16">
        <f>(IF(G152&gt;0,G152+I152,I152)-(M152*Ventas!AE135*1.0044))</f>
        <v>48.03588288571428</v>
      </c>
      <c r="O152" s="17">
        <f>(N152/(Ventas!AE135*1.0044)/60)</f>
        <v>11.621820326051038</v>
      </c>
      <c r="P152" s="11">
        <v>0</v>
      </c>
      <c r="Q152" s="16">
        <f t="shared" si="11"/>
        <v>48.03588288571428</v>
      </c>
      <c r="R152" s="4"/>
      <c r="S152" s="13">
        <v>46331</v>
      </c>
      <c r="T152" s="10">
        <v>56</v>
      </c>
      <c r="U152" s="16">
        <f>(IF(N152&gt;0,N152+P152,P152)-(T152*Ventas!AE135*0.9018))</f>
        <v>44.572249445714277</v>
      </c>
      <c r="V152" s="17">
        <f>(U152/(Ventas!AE135*0.9018)/60)</f>
        <v>12.010730023825309</v>
      </c>
      <c r="W152" s="16">
        <f>(100*(Ventas!AE135*1.235) - IF(U152&gt;0,U152,0))</f>
        <v>-36.101913731428567</v>
      </c>
      <c r="X152" s="16">
        <f t="shared" si="12"/>
        <v>0</v>
      </c>
      <c r="Y152" s="16">
        <f t="shared" si="13"/>
        <v>44.572249445714277</v>
      </c>
      <c r="Z152" s="18">
        <v>6.4480000000000004</v>
      </c>
      <c r="AA152" s="11">
        <v>3027</v>
      </c>
      <c r="AB152" s="16">
        <f>(Y152-(60*Ventas!AE135*1.235))</f>
        <v>39.490048017142847</v>
      </c>
      <c r="AC152" s="17">
        <f>(AB152/(Ventas!AE135*1.235)/60)</f>
        <v>7.770264239259645</v>
      </c>
      <c r="AD152" s="1" t="s">
        <v>34</v>
      </c>
      <c r="AE152">
        <f t="shared" si="14"/>
        <v>0</v>
      </c>
    </row>
    <row r="153" spans="1:31" x14ac:dyDescent="0.25">
      <c r="A153" s="1"/>
      <c r="B153" s="1" t="s">
        <v>302</v>
      </c>
      <c r="C153" s="15" t="s">
        <v>301</v>
      </c>
      <c r="D153" s="4"/>
      <c r="E153" s="13">
        <v>46230</v>
      </c>
      <c r="F153" s="10">
        <v>7</v>
      </c>
      <c r="G153" s="16">
        <f>(D153-(0)+0-(F153*Ventas!AE137*1.8))</f>
        <v>0</v>
      </c>
      <c r="H153" s="4"/>
      <c r="I153" s="11">
        <v>0</v>
      </c>
      <c r="J153" s="16">
        <f t="shared" si="10"/>
        <v>0</v>
      </c>
      <c r="K153" s="4"/>
      <c r="L153" s="13">
        <v>46275</v>
      </c>
      <c r="M153" s="10">
        <v>45</v>
      </c>
      <c r="N153" s="16">
        <f>(IF(G153&gt;0,G153+I153,I153)-(M153*Ventas!AE137*1.0044))</f>
        <v>0</v>
      </c>
      <c r="O153" s="4"/>
      <c r="P153" s="11">
        <v>0</v>
      </c>
      <c r="Q153" s="16">
        <f t="shared" si="11"/>
        <v>0</v>
      </c>
      <c r="R153" s="4"/>
      <c r="S153" s="13">
        <v>46331</v>
      </c>
      <c r="T153" s="10">
        <v>56</v>
      </c>
      <c r="U153" s="16">
        <f>(IF(N153&gt;0,N153+P153,P153)-(T153*Ventas!AE137*0.9018))</f>
        <v>0</v>
      </c>
      <c r="V153" s="4"/>
      <c r="W153" s="16">
        <f>(100*(Ventas!AE137*1.235) - IF(U153&gt;0,U153,0))</f>
        <v>0</v>
      </c>
      <c r="X153" s="16">
        <f t="shared" si="12"/>
        <v>0</v>
      </c>
      <c r="Y153" s="16">
        <f t="shared" si="13"/>
        <v>0</v>
      </c>
      <c r="Z153" s="18">
        <v>11.334199999999999</v>
      </c>
      <c r="AA153" s="11">
        <v>3017</v>
      </c>
      <c r="AB153" s="4"/>
      <c r="AC153" s="4"/>
      <c r="AD153" s="1" t="s">
        <v>34</v>
      </c>
      <c r="AE153">
        <f t="shared" si="14"/>
        <v>0</v>
      </c>
    </row>
    <row r="154" spans="1:31" x14ac:dyDescent="0.25">
      <c r="A154" s="1"/>
      <c r="B154" s="1" t="s">
        <v>304</v>
      </c>
      <c r="C154" s="15" t="s">
        <v>303</v>
      </c>
      <c r="D154" s="11">
        <v>35</v>
      </c>
      <c r="E154" s="13">
        <v>46230</v>
      </c>
      <c r="F154" s="10">
        <v>7</v>
      </c>
      <c r="G154" s="16">
        <f>(D154-(0)+0-(F154*Ventas!AE138*1.8))</f>
        <v>32.932699999999997</v>
      </c>
      <c r="H154" s="17">
        <f>(G154/(Ventas!AE138*1.8)/60)</f>
        <v>1.8585344813686124</v>
      </c>
      <c r="I154" s="11">
        <v>40</v>
      </c>
      <c r="J154" s="16">
        <f t="shared" si="10"/>
        <v>72.932699999999997</v>
      </c>
      <c r="K154" s="16">
        <v>6.6559999999999997</v>
      </c>
      <c r="L154" s="13">
        <v>46275</v>
      </c>
      <c r="M154" s="10">
        <v>45</v>
      </c>
      <c r="N154" s="16">
        <f>(IF(G154&gt;0,G154+I154,I154)-(M154*Ventas!AE138*1.0044))</f>
        <v>65.51699957142857</v>
      </c>
      <c r="O154" s="17">
        <f>(N154/(Ventas!AE138*1.0044)/60)</f>
        <v>6.6261778171691059</v>
      </c>
      <c r="P154" s="11">
        <v>0</v>
      </c>
      <c r="Q154" s="16">
        <f t="shared" si="11"/>
        <v>65.51699957142857</v>
      </c>
      <c r="R154" s="4"/>
      <c r="S154" s="13">
        <v>46331</v>
      </c>
      <c r="T154" s="10">
        <v>56</v>
      </c>
      <c r="U154" s="16">
        <f>(IF(N154&gt;0,N154+P154,P154)-(T154*Ventas!AE138*0.9018))</f>
        <v>57.231261171428571</v>
      </c>
      <c r="V154" s="17">
        <f>(U154/(Ventas!AE138*0.9018)/60)</f>
        <v>6.4467210019568082</v>
      </c>
      <c r="W154" s="16">
        <f>(100*(Ventas!AE138*1.235) - IF(U154&gt;0,U154,0))</f>
        <v>-36.968439742857143</v>
      </c>
      <c r="X154" s="16">
        <f t="shared" si="12"/>
        <v>0</v>
      </c>
      <c r="Y154" s="16">
        <f t="shared" si="13"/>
        <v>57.231261171428571</v>
      </c>
      <c r="Z154" s="18">
        <v>6.6559999999999997</v>
      </c>
      <c r="AA154" s="11">
        <v>3027</v>
      </c>
      <c r="AB154" s="16">
        <f>(Y154-(60*Ventas!AE138*1.235))</f>
        <v>45.073568314285708</v>
      </c>
      <c r="AC154" s="17">
        <f>(AB154/(Ventas!AE138*1.235)/60)</f>
        <v>3.7074113356798777</v>
      </c>
      <c r="AD154" s="1" t="s">
        <v>34</v>
      </c>
      <c r="AE154">
        <f t="shared" si="14"/>
        <v>0</v>
      </c>
    </row>
    <row r="155" spans="1:31" x14ac:dyDescent="0.25">
      <c r="A155" s="1"/>
      <c r="B155" s="1" t="s">
        <v>306</v>
      </c>
      <c r="C155" s="15" t="s">
        <v>305</v>
      </c>
      <c r="D155" s="4"/>
      <c r="E155" s="13">
        <v>46230</v>
      </c>
      <c r="F155" s="10">
        <v>7</v>
      </c>
      <c r="G155" s="16">
        <f>(D155-(0)+0-(F155*Ventas!AE139*1.8))</f>
        <v>0</v>
      </c>
      <c r="H155" s="4"/>
      <c r="I155" s="11">
        <v>0</v>
      </c>
      <c r="J155" s="16">
        <f t="shared" si="10"/>
        <v>0</v>
      </c>
      <c r="K155" s="4"/>
      <c r="L155" s="13">
        <v>46275</v>
      </c>
      <c r="M155" s="10">
        <v>45</v>
      </c>
      <c r="N155" s="16">
        <f>(IF(G155&gt;0,G155+I155,I155)-(M155*Ventas!AE139*1.0044))</f>
        <v>0</v>
      </c>
      <c r="O155" s="4"/>
      <c r="P155" s="11">
        <v>0</v>
      </c>
      <c r="Q155" s="16">
        <f t="shared" si="11"/>
        <v>0</v>
      </c>
      <c r="R155" s="4"/>
      <c r="S155" s="13">
        <v>46331</v>
      </c>
      <c r="T155" s="10">
        <v>56</v>
      </c>
      <c r="U155" s="16">
        <f>(IF(N155&gt;0,N155+P155,P155)-(T155*Ventas!AE139*0.9018))</f>
        <v>0</v>
      </c>
      <c r="V155" s="4"/>
      <c r="W155" s="16">
        <f>(100*(Ventas!AE139*1.235) - IF(U155&gt;0,U155,0))</f>
        <v>0</v>
      </c>
      <c r="X155" s="16">
        <f t="shared" si="12"/>
        <v>0</v>
      </c>
      <c r="Y155" s="16">
        <f t="shared" si="13"/>
        <v>0</v>
      </c>
      <c r="Z155" s="18">
        <v>13.311999999999999</v>
      </c>
      <c r="AA155" s="11">
        <v>3010</v>
      </c>
      <c r="AB155" s="4"/>
      <c r="AC155" s="4"/>
      <c r="AD155" s="1" t="s">
        <v>107</v>
      </c>
      <c r="AE155">
        <f t="shared" si="14"/>
        <v>0</v>
      </c>
    </row>
    <row r="156" spans="1:31" x14ac:dyDescent="0.25">
      <c r="A156" s="1"/>
      <c r="B156" s="1" t="s">
        <v>308</v>
      </c>
      <c r="C156" s="15" t="s">
        <v>307</v>
      </c>
      <c r="D156" s="4"/>
      <c r="E156" s="13">
        <v>46230</v>
      </c>
      <c r="F156" s="10">
        <v>7</v>
      </c>
      <c r="G156" s="16">
        <f>(D156-(0)+0-(F156*Ventas!AE140*1.8))</f>
        <v>0</v>
      </c>
      <c r="H156" s="4"/>
      <c r="I156" s="11">
        <v>0</v>
      </c>
      <c r="J156" s="16">
        <f t="shared" si="10"/>
        <v>0</v>
      </c>
      <c r="K156" s="4"/>
      <c r="L156" s="13">
        <v>46275</v>
      </c>
      <c r="M156" s="10">
        <v>45</v>
      </c>
      <c r="N156" s="16">
        <f>(IF(G156&gt;0,G156+I156,I156)-(M156*Ventas!AE140*1.0044))</f>
        <v>0</v>
      </c>
      <c r="O156" s="4"/>
      <c r="P156" s="11">
        <v>0</v>
      </c>
      <c r="Q156" s="16">
        <f t="shared" si="11"/>
        <v>0</v>
      </c>
      <c r="R156" s="4"/>
      <c r="S156" s="13">
        <v>46331</v>
      </c>
      <c r="T156" s="10">
        <v>56</v>
      </c>
      <c r="U156" s="16">
        <f>(IF(N156&gt;0,N156+P156,P156)-(T156*Ventas!AE140*0.9018))</f>
        <v>0</v>
      </c>
      <c r="V156" s="4"/>
      <c r="W156" s="16">
        <f>(100*(Ventas!AE140*1.235) - IF(U156&gt;0,U156,0))</f>
        <v>0</v>
      </c>
      <c r="X156" s="16">
        <f t="shared" si="12"/>
        <v>0</v>
      </c>
      <c r="Y156" s="16">
        <f t="shared" si="13"/>
        <v>0</v>
      </c>
      <c r="Z156" s="18">
        <v>13.3</v>
      </c>
      <c r="AA156" s="11">
        <v>3027</v>
      </c>
      <c r="AB156" s="4"/>
      <c r="AC156" s="4"/>
      <c r="AD156" s="1" t="s">
        <v>107</v>
      </c>
      <c r="AE156">
        <f t="shared" si="14"/>
        <v>0</v>
      </c>
    </row>
    <row r="157" spans="1:31" x14ac:dyDescent="0.25">
      <c r="A157" s="1"/>
      <c r="B157" s="1" t="s">
        <v>310</v>
      </c>
      <c r="C157" s="15" t="s">
        <v>309</v>
      </c>
      <c r="D157" s="4"/>
      <c r="E157" s="13">
        <v>46230</v>
      </c>
      <c r="F157" s="10">
        <v>7</v>
      </c>
      <c r="G157" s="16">
        <f>(D157-(0)+0-(F157*Ventas!AE141*1.8))</f>
        <v>-6.9300000000000015</v>
      </c>
      <c r="H157" s="17">
        <f>(G157/(Ventas!AE141*1.8)/60)</f>
        <v>-0.11666666666666668</v>
      </c>
      <c r="I157" s="11">
        <v>0</v>
      </c>
      <c r="J157" s="16">
        <f t="shared" si="10"/>
        <v>0</v>
      </c>
      <c r="K157" s="4"/>
      <c r="L157" s="13">
        <v>46275</v>
      </c>
      <c r="M157" s="10">
        <v>45</v>
      </c>
      <c r="N157" s="16">
        <f>(IF(G157&gt;0,G157+I157,I157)-(M157*Ventas!AE141*1.0044))</f>
        <v>-24.858900000000002</v>
      </c>
      <c r="O157" s="17">
        <f>(N157/(Ventas!AE141*1.0044)/60)</f>
        <v>-0.75</v>
      </c>
      <c r="P157" s="11">
        <v>40</v>
      </c>
      <c r="Q157" s="16">
        <f t="shared" si="11"/>
        <v>40</v>
      </c>
      <c r="R157" s="16">
        <v>3.3</v>
      </c>
      <c r="S157" s="13">
        <v>46331</v>
      </c>
      <c r="T157" s="10">
        <v>56</v>
      </c>
      <c r="U157" s="16">
        <f>(IF(N157&gt;0,N157+P157,P157)-(T157*Ventas!AE141*0.9018))</f>
        <v>12.224559999999993</v>
      </c>
      <c r="V157" s="17">
        <f>(U157/(Ventas!AE141*0.9018)/60)</f>
        <v>0.41077978722689273</v>
      </c>
      <c r="W157" s="16">
        <f>(100*(Ventas!AE141*1.235) - IF(U157&gt;0,U157,0))</f>
        <v>55.700440000000015</v>
      </c>
      <c r="X157" s="16">
        <f t="shared" si="12"/>
        <v>55.700440000000015</v>
      </c>
      <c r="Y157" s="16">
        <f t="shared" si="13"/>
        <v>67.925000000000011</v>
      </c>
      <c r="Z157" s="18">
        <v>3.33</v>
      </c>
      <c r="AA157" s="11">
        <v>3010</v>
      </c>
      <c r="AB157" s="16">
        <f>(Y157-(60*Ventas!AE141*1.235))</f>
        <v>27.170000000000009</v>
      </c>
      <c r="AC157" s="17">
        <f>(AB157/(Ventas!AE141*1.235)/60)</f>
        <v>0.66666666666666674</v>
      </c>
      <c r="AD157" s="1" t="s">
        <v>34</v>
      </c>
      <c r="AE157">
        <f t="shared" si="14"/>
        <v>185.48246520000006</v>
      </c>
    </row>
    <row r="158" spans="1:31" x14ac:dyDescent="0.25">
      <c r="A158" s="1"/>
      <c r="B158" s="1" t="s">
        <v>318</v>
      </c>
      <c r="C158" s="15" t="s">
        <v>317</v>
      </c>
      <c r="D158" s="11">
        <v>12</v>
      </c>
      <c r="E158" s="13">
        <v>46230</v>
      </c>
      <c r="F158" s="10">
        <v>7</v>
      </c>
      <c r="G158" s="16">
        <f>(D158-(0)+0-(F158*Ventas!AE145*1.8))</f>
        <v>10.32978</v>
      </c>
      <c r="H158" s="17">
        <f>(G158/(Ventas!AE145*1.8)/60)</f>
        <v>0.72154626336650252</v>
      </c>
      <c r="I158" s="11">
        <v>0</v>
      </c>
      <c r="J158" s="16">
        <f t="shared" si="10"/>
        <v>10.32978</v>
      </c>
      <c r="K158" s="4"/>
      <c r="L158" s="13">
        <v>46275</v>
      </c>
      <c r="M158" s="10">
        <v>45</v>
      </c>
      <c r="N158" s="16">
        <f>(IF(G158&gt;0,G158+I158,I158)-(M158*Ventas!AE145*1.0044))</f>
        <v>4.3384622571428562</v>
      </c>
      <c r="O158" s="17">
        <f>(N158/(Ventas!AE145*1.0044)/60)</f>
        <v>0.54309366194713715</v>
      </c>
      <c r="P158" s="11">
        <v>0</v>
      </c>
      <c r="Q158" s="16">
        <f t="shared" si="11"/>
        <v>4.3384622571428562</v>
      </c>
      <c r="R158" s="4"/>
      <c r="S158" s="13">
        <v>46331</v>
      </c>
      <c r="T158" s="10">
        <v>56</v>
      </c>
      <c r="U158" s="16">
        <f>(IF(N158&gt;0,N158+P158,P158)-(T158*Ventas!AE145*0.9018))</f>
        <v>-2.3557795028571453</v>
      </c>
      <c r="V158" s="17">
        <f>(U158/(Ventas!AE145*0.9018)/60)</f>
        <v>-0.32845057212274953</v>
      </c>
      <c r="W158" s="16">
        <f>(100*(Ventas!AE145*1.235) - IF(U158&gt;0,U158,0))</f>
        <v>16.370807142857146</v>
      </c>
      <c r="X158" s="16">
        <f t="shared" si="12"/>
        <v>16.370807142857146</v>
      </c>
      <c r="Y158" s="16">
        <f t="shared" si="13"/>
        <v>16.370807142857146</v>
      </c>
      <c r="Z158" s="18">
        <v>7.6</v>
      </c>
      <c r="AA158" s="11">
        <v>3010</v>
      </c>
      <c r="AB158" s="16">
        <f>(Y158-(60*Ventas!AE145*1.235))</f>
        <v>6.5483228571428587</v>
      </c>
      <c r="AC158" s="17">
        <f>(AB158/(Ventas!AE145*1.235)/60)</f>
        <v>0.66666666666666663</v>
      </c>
      <c r="AD158" s="1" t="s">
        <v>34</v>
      </c>
      <c r="AE158">
        <f t="shared" si="14"/>
        <v>124.4181342857143</v>
      </c>
    </row>
    <row r="159" spans="1:31" x14ac:dyDescent="0.25">
      <c r="A159" s="1"/>
      <c r="B159" s="1" t="s">
        <v>320</v>
      </c>
      <c r="C159" s="15" t="s">
        <v>319</v>
      </c>
      <c r="D159" s="11">
        <v>45</v>
      </c>
      <c r="E159" s="13">
        <v>46230</v>
      </c>
      <c r="F159" s="10">
        <v>7</v>
      </c>
      <c r="G159" s="16">
        <f>(D159-(0)+0-(F159*Ventas!AE146*1.8))</f>
        <v>44.258040000000001</v>
      </c>
      <c r="H159" s="17">
        <f>(G159/(Ventas!AE146*1.8)/60)</f>
        <v>6.9591864790554752</v>
      </c>
      <c r="I159" s="11">
        <v>0</v>
      </c>
      <c r="J159" s="16">
        <f t="shared" si="10"/>
        <v>44.258040000000001</v>
      </c>
      <c r="K159" s="4"/>
      <c r="L159" s="13">
        <v>46275</v>
      </c>
      <c r="M159" s="10">
        <v>45</v>
      </c>
      <c r="N159" s="16">
        <f>(IF(G159&gt;0,G159+I159,I159)-(M159*Ventas!AE146*1.0044))</f>
        <v>41.596523485714286</v>
      </c>
      <c r="O159" s="17">
        <f>(N159/(Ventas!AE146*1.0044)/60)</f>
        <v>11.721660356730242</v>
      </c>
      <c r="P159" s="11">
        <v>0</v>
      </c>
      <c r="Q159" s="16">
        <f t="shared" si="11"/>
        <v>41.596523485714286</v>
      </c>
      <c r="R159" s="4"/>
      <c r="S159" s="13">
        <v>46331</v>
      </c>
      <c r="T159" s="10">
        <v>56</v>
      </c>
      <c r="U159" s="16">
        <f>(IF(N159&gt;0,N159+P159,P159)-(T159*Ventas!AE146*0.9018))</f>
        <v>38.622747805714283</v>
      </c>
      <c r="V159" s="17">
        <f>(U159/(Ventas!AE146*0.9018)/60)</f>
        <v>12.121929099911124</v>
      </c>
      <c r="W159" s="16">
        <f>(100*(Ventas!AE146*1.235) - IF(U159&gt;0,U159,0))</f>
        <v>-31.350362091428568</v>
      </c>
      <c r="X159" s="16">
        <f t="shared" si="12"/>
        <v>0</v>
      </c>
      <c r="Y159" s="16">
        <f t="shared" si="13"/>
        <v>38.622747805714283</v>
      </c>
      <c r="Z159" s="18">
        <v>7.6</v>
      </c>
      <c r="AA159" s="11">
        <v>3010</v>
      </c>
      <c r="AB159" s="16">
        <f>(Y159-(60*Ventas!AE146*1.235))</f>
        <v>34.259316377142852</v>
      </c>
      <c r="AC159" s="17">
        <f>(AB159/(Ventas!AE146*1.235)/60)</f>
        <v>7.8514620747367223</v>
      </c>
      <c r="AD159" s="1" t="s">
        <v>34</v>
      </c>
      <c r="AE159">
        <f t="shared" si="14"/>
        <v>0</v>
      </c>
    </row>
    <row r="160" spans="1:31" x14ac:dyDescent="0.25">
      <c r="A160" s="1"/>
      <c r="B160" s="1" t="s">
        <v>322</v>
      </c>
      <c r="C160" s="15" t="s">
        <v>321</v>
      </c>
      <c r="D160" s="4"/>
      <c r="E160" s="13">
        <v>46230</v>
      </c>
      <c r="F160" s="10">
        <v>7</v>
      </c>
      <c r="G160" s="16">
        <f>(D160-(0)+0-(F160*Ventas!AE147*1.8))</f>
        <v>0</v>
      </c>
      <c r="H160" s="4"/>
      <c r="I160" s="11">
        <v>0</v>
      </c>
      <c r="J160" s="16">
        <f t="shared" si="10"/>
        <v>0</v>
      </c>
      <c r="K160" s="4"/>
      <c r="L160" s="13">
        <v>46275</v>
      </c>
      <c r="M160" s="10">
        <v>45</v>
      </c>
      <c r="N160" s="16">
        <f>(IF(G160&gt;0,G160+I160,I160)-(M160*Ventas!AE147*1.0044))</f>
        <v>0</v>
      </c>
      <c r="O160" s="4"/>
      <c r="P160" s="11">
        <v>0</v>
      </c>
      <c r="Q160" s="16">
        <f t="shared" si="11"/>
        <v>0</v>
      </c>
      <c r="R160" s="4"/>
      <c r="S160" s="13">
        <v>46331</v>
      </c>
      <c r="T160" s="10">
        <v>56</v>
      </c>
      <c r="U160" s="16">
        <f>(IF(N160&gt;0,N160+P160,P160)-(T160*Ventas!AE147*0.9018))</f>
        <v>0</v>
      </c>
      <c r="V160" s="4"/>
      <c r="W160" s="16">
        <f>(100*(Ventas!AE147*1.235) - IF(U160&gt;0,U160,0))</f>
        <v>0</v>
      </c>
      <c r="X160" s="16">
        <f t="shared" si="12"/>
        <v>0</v>
      </c>
      <c r="Y160" s="16">
        <f t="shared" si="13"/>
        <v>0</v>
      </c>
      <c r="Z160" s="18">
        <v>18.899999999999999</v>
      </c>
      <c r="AA160" s="11">
        <v>3010</v>
      </c>
      <c r="AB160" s="4"/>
      <c r="AC160" s="4"/>
      <c r="AD160" s="1" t="s">
        <v>34</v>
      </c>
      <c r="AE160">
        <f t="shared" si="14"/>
        <v>0</v>
      </c>
    </row>
    <row r="161" spans="1:31" x14ac:dyDescent="0.25">
      <c r="A161" s="1"/>
      <c r="B161" s="1" t="s">
        <v>324</v>
      </c>
      <c r="C161" s="15" t="s">
        <v>323</v>
      </c>
      <c r="D161" s="4"/>
      <c r="E161" s="13">
        <v>46230</v>
      </c>
      <c r="F161" s="10">
        <v>7</v>
      </c>
      <c r="G161" s="16">
        <f>(D161-(0)+0-(F161*Ventas!AE148*1.8))</f>
        <v>0</v>
      </c>
      <c r="H161" s="4"/>
      <c r="I161" s="11">
        <v>0</v>
      </c>
      <c r="J161" s="16">
        <f t="shared" si="10"/>
        <v>0</v>
      </c>
      <c r="K161" s="4"/>
      <c r="L161" s="13">
        <v>46275</v>
      </c>
      <c r="M161" s="10">
        <v>45</v>
      </c>
      <c r="N161" s="16">
        <f>(IF(G161&gt;0,G161+I161,I161)-(M161*Ventas!AE148*1.0044))</f>
        <v>0</v>
      </c>
      <c r="O161" s="4"/>
      <c r="P161" s="11">
        <v>0</v>
      </c>
      <c r="Q161" s="16">
        <f t="shared" si="11"/>
        <v>0</v>
      </c>
      <c r="R161" s="4"/>
      <c r="S161" s="13">
        <v>46331</v>
      </c>
      <c r="T161" s="10">
        <v>56</v>
      </c>
      <c r="U161" s="16">
        <f>(IF(N161&gt;0,N161+P161,P161)-(T161*Ventas!AE148*0.9018))</f>
        <v>0</v>
      </c>
      <c r="V161" s="4"/>
      <c r="W161" s="16">
        <f>(100*(Ventas!AE148*1.235) - IF(U161&gt;0,U161,0))</f>
        <v>0</v>
      </c>
      <c r="X161" s="16">
        <f t="shared" si="12"/>
        <v>0</v>
      </c>
      <c r="Y161" s="16">
        <f t="shared" si="13"/>
        <v>0</v>
      </c>
      <c r="Z161" s="18">
        <v>18.899999999999999</v>
      </c>
      <c r="AA161" s="11">
        <v>3010</v>
      </c>
      <c r="AB161" s="4"/>
      <c r="AC161" s="4"/>
      <c r="AD161" s="1" t="s">
        <v>34</v>
      </c>
      <c r="AE161">
        <f t="shared" si="14"/>
        <v>0</v>
      </c>
    </row>
    <row r="162" spans="1:31" x14ac:dyDescent="0.25">
      <c r="A162" s="1"/>
      <c r="B162" s="1" t="s">
        <v>326</v>
      </c>
      <c r="C162" s="15" t="s">
        <v>325</v>
      </c>
      <c r="D162" s="11">
        <v>45</v>
      </c>
      <c r="E162" s="13">
        <v>46230</v>
      </c>
      <c r="F162" s="10">
        <v>7</v>
      </c>
      <c r="G162" s="16">
        <f>(D162-(0)+0-(F162*Ventas!AE149*1.8))</f>
        <v>35.135819999999995</v>
      </c>
      <c r="H162" s="17">
        <f>(G162/(Ventas!AE149*1.8)/60)</f>
        <v>0.41556206395260425</v>
      </c>
      <c r="I162" s="11">
        <v>0</v>
      </c>
      <c r="J162" s="16">
        <f t="shared" si="10"/>
        <v>35.135819999999995</v>
      </c>
      <c r="K162" s="4"/>
      <c r="L162" s="13">
        <v>46275</v>
      </c>
      <c r="M162" s="10">
        <v>45</v>
      </c>
      <c r="N162" s="16">
        <f>(IF(G162&gt;0,G162+I162,I162)-(M162*Ventas!AE149*1.0044))</f>
        <v>-0.24840282857142881</v>
      </c>
      <c r="O162" s="17">
        <f>(N162/(Ventas!AE149*1.0044)/60)</f>
        <v>-5.2651183645084799E-3</v>
      </c>
      <c r="P162" s="11">
        <v>0</v>
      </c>
      <c r="Q162" s="16">
        <f t="shared" si="11"/>
        <v>0</v>
      </c>
      <c r="R162" s="4"/>
      <c r="S162" s="13">
        <v>46331</v>
      </c>
      <c r="T162" s="10">
        <v>56</v>
      </c>
      <c r="U162" s="16">
        <f>(IF(N162&gt;0,N162+P162,P162)-(T162*Ventas!AE149*0.9018))</f>
        <v>-39.535633440000005</v>
      </c>
      <c r="V162" s="17">
        <f>(U162/(Ventas!AE149*0.9018)/60)</f>
        <v>-0.93333333333333346</v>
      </c>
      <c r="W162" s="16">
        <f>(100*(Ventas!AE149*1.235) - IF(U162&gt;0,U162,0))</f>
        <v>96.684621428571432</v>
      </c>
      <c r="X162" s="16">
        <f t="shared" si="12"/>
        <v>96.684621428571432</v>
      </c>
      <c r="Y162" s="16">
        <f t="shared" si="13"/>
        <v>96.684621428571432</v>
      </c>
      <c r="Z162" s="18">
        <v>5.0086000000000004</v>
      </c>
      <c r="AA162" s="11">
        <v>3010</v>
      </c>
      <c r="AB162" s="16">
        <f>(Y162-(60*Ventas!AE149*1.235))</f>
        <v>38.673848571428572</v>
      </c>
      <c r="AC162" s="17">
        <f>(AB162/(Ventas!AE149*1.235)/60)</f>
        <v>0.66666666666666652</v>
      </c>
      <c r="AD162" s="1" t="s">
        <v>34</v>
      </c>
      <c r="AE162">
        <f t="shared" si="14"/>
        <v>484.2545948871429</v>
      </c>
    </row>
    <row r="163" spans="1:31" x14ac:dyDescent="0.25">
      <c r="A163" s="1"/>
      <c r="B163" s="1" t="s">
        <v>328</v>
      </c>
      <c r="C163" s="15" t="s">
        <v>327</v>
      </c>
      <c r="D163" s="11">
        <v>7</v>
      </c>
      <c r="E163" s="13">
        <v>46230</v>
      </c>
      <c r="F163" s="10">
        <v>7</v>
      </c>
      <c r="G163" s="16">
        <f>(D163-(0)+0-(F163*Ventas!AE150*1.8))</f>
        <v>4.8979599999999994</v>
      </c>
      <c r="H163" s="17">
        <f>(G163/(Ventas!AE150*1.8)/60)</f>
        <v>0.27184481107241848</v>
      </c>
      <c r="I163" s="11">
        <v>0</v>
      </c>
      <c r="J163" s="16">
        <f t="shared" si="10"/>
        <v>4.8979599999999994</v>
      </c>
      <c r="K163" s="4"/>
      <c r="L163" s="13">
        <v>46275</v>
      </c>
      <c r="M163" s="10">
        <v>45</v>
      </c>
      <c r="N163" s="16">
        <f>(IF(G163&gt;0,G163+I163,I163)-(M163*Ventas!AE150*1.0044))</f>
        <v>-2.642357771428574</v>
      </c>
      <c r="O163" s="17">
        <f>(N163/(Ventas!AE150*1.0044)/60)</f>
        <v>-0.26282291922505657</v>
      </c>
      <c r="P163" s="11">
        <v>0</v>
      </c>
      <c r="Q163" s="16">
        <f t="shared" si="11"/>
        <v>0</v>
      </c>
      <c r="R163" s="4"/>
      <c r="S163" s="13">
        <v>46331</v>
      </c>
      <c r="T163" s="10">
        <v>56</v>
      </c>
      <c r="U163" s="16">
        <f>(IF(N163&gt;0,N163+P163,P163)-(T163*Ventas!AE150*0.9018))</f>
        <v>-8.4249763200000025</v>
      </c>
      <c r="V163" s="17">
        <f>(U163/(Ventas!AE150*0.9018)/60)</f>
        <v>-0.93333333333333335</v>
      </c>
      <c r="W163" s="16">
        <f>(100*(Ventas!AE150*1.235) - IF(U163&gt;0,U163,0))</f>
        <v>20.603328571428577</v>
      </c>
      <c r="X163" s="16">
        <f t="shared" si="12"/>
        <v>20.603328571428577</v>
      </c>
      <c r="Y163" s="16">
        <f t="shared" si="13"/>
        <v>20.603328571428577</v>
      </c>
      <c r="Z163" s="18">
        <v>11.4</v>
      </c>
      <c r="AA163" s="11">
        <v>3027</v>
      </c>
      <c r="AB163" s="16">
        <f>(Y163-(60*Ventas!AE150*1.235))</f>
        <v>8.2413314285714296</v>
      </c>
      <c r="AC163" s="17">
        <f>(AB163/(Ventas!AE150*1.235)/60)</f>
        <v>0.66666666666666652</v>
      </c>
      <c r="AD163" s="1" t="s">
        <v>34</v>
      </c>
      <c r="AE163">
        <f t="shared" si="14"/>
        <v>234.87794571428577</v>
      </c>
    </row>
    <row r="164" spans="1:31" x14ac:dyDescent="0.25">
      <c r="A164" s="1"/>
      <c r="B164" s="1" t="s">
        <v>330</v>
      </c>
      <c r="C164" s="15" t="s">
        <v>329</v>
      </c>
      <c r="D164" s="4"/>
      <c r="E164" s="13">
        <v>46230</v>
      </c>
      <c r="F164" s="10">
        <v>7</v>
      </c>
      <c r="G164" s="16">
        <f>(D164-(0)+0-(F164*Ventas!AE151*1.8))</f>
        <v>0</v>
      </c>
      <c r="H164" s="4"/>
      <c r="I164" s="11">
        <v>0</v>
      </c>
      <c r="J164" s="16">
        <f t="shared" si="10"/>
        <v>0</v>
      </c>
      <c r="K164" s="4"/>
      <c r="L164" s="13">
        <v>46275</v>
      </c>
      <c r="M164" s="10">
        <v>45</v>
      </c>
      <c r="N164" s="16">
        <f>(IF(G164&gt;0,G164+I164,I164)-(M164*Ventas!AE151*1.0044))</f>
        <v>0</v>
      </c>
      <c r="O164" s="4"/>
      <c r="P164" s="11">
        <v>0</v>
      </c>
      <c r="Q164" s="16">
        <f t="shared" si="11"/>
        <v>0</v>
      </c>
      <c r="R164" s="4"/>
      <c r="S164" s="13">
        <v>46331</v>
      </c>
      <c r="T164" s="10">
        <v>56</v>
      </c>
      <c r="U164" s="16">
        <f>(IF(N164&gt;0,N164+P164,P164)-(T164*Ventas!AE151*0.9018))</f>
        <v>0</v>
      </c>
      <c r="V164" s="4"/>
      <c r="W164" s="16">
        <f>(100*(Ventas!AE151*1.235) - IF(U164&gt;0,U164,0))</f>
        <v>0</v>
      </c>
      <c r="X164" s="16">
        <f t="shared" si="12"/>
        <v>0</v>
      </c>
      <c r="Y164" s="16">
        <f t="shared" si="13"/>
        <v>0</v>
      </c>
      <c r="Z164" s="18">
        <v>18.899999999999999</v>
      </c>
      <c r="AA164" s="11">
        <v>3010</v>
      </c>
      <c r="AB164" s="4"/>
      <c r="AC164" s="4"/>
      <c r="AD164" s="1" t="s">
        <v>34</v>
      </c>
      <c r="AE164">
        <f t="shared" si="14"/>
        <v>0</v>
      </c>
    </row>
    <row r="165" spans="1:31" x14ac:dyDescent="0.25">
      <c r="A165" s="1"/>
      <c r="B165" s="1" t="s">
        <v>332</v>
      </c>
      <c r="C165" s="15" t="s">
        <v>331</v>
      </c>
      <c r="D165" s="11">
        <v>80</v>
      </c>
      <c r="E165" s="13">
        <v>46230</v>
      </c>
      <c r="F165" s="10">
        <v>7</v>
      </c>
      <c r="G165" s="16">
        <f>(D165-(0)+0-(F165*Ventas!AE152*1.8))</f>
        <v>78.612380000000002</v>
      </c>
      <c r="H165" s="17">
        <f>(G165/(Ventas!AE152*1.8)/60)</f>
        <v>6.6094783394108862</v>
      </c>
      <c r="I165" s="11">
        <v>0</v>
      </c>
      <c r="J165" s="16">
        <f t="shared" si="10"/>
        <v>78.612380000000002</v>
      </c>
      <c r="K165" s="4"/>
      <c r="L165" s="13">
        <v>46275</v>
      </c>
      <c r="M165" s="10">
        <v>45</v>
      </c>
      <c r="N165" s="16">
        <f>(IF(G165&gt;0,G165+I165,I165)-(M165*Ventas!AE152*1.0044))</f>
        <v>73.63478882857143</v>
      </c>
      <c r="O165" s="17">
        <f>(N165/(Ventas!AE152*1.0044)/60)</f>
        <v>11.094943260592988</v>
      </c>
      <c r="P165" s="11">
        <v>0</v>
      </c>
      <c r="Q165" s="16">
        <f t="shared" si="11"/>
        <v>73.63478882857143</v>
      </c>
      <c r="R165" s="4"/>
      <c r="S165" s="13">
        <v>46331</v>
      </c>
      <c r="T165" s="10">
        <v>56</v>
      </c>
      <c r="U165" s="16">
        <f>(IF(N165&gt;0,N165+P165,P165)-(T165*Ventas!AE152*0.9018))</f>
        <v>68.07320786857143</v>
      </c>
      <c r="V165" s="17">
        <f>(U165/(Ventas!AE152*0.9018)/60)</f>
        <v>11.423908861099571</v>
      </c>
      <c r="W165" s="16">
        <f>(100*(Ventas!AE152*1.235) - IF(U165&gt;0,U165,0))</f>
        <v>-54.472329297142863</v>
      </c>
      <c r="X165" s="16">
        <f t="shared" si="12"/>
        <v>0</v>
      </c>
      <c r="Y165" s="16">
        <f t="shared" si="13"/>
        <v>68.07320786857143</v>
      </c>
      <c r="Z165" s="18">
        <v>17.100000000000001</v>
      </c>
      <c r="AA165" s="11">
        <v>3010</v>
      </c>
      <c r="AB165" s="16">
        <f>(Y165-(60*Ventas!AE152*1.235))</f>
        <v>59.912680725714289</v>
      </c>
      <c r="AC165" s="17">
        <f>(AB165/(Ventas!AE152*1.235)/60)</f>
        <v>7.3417660007608054</v>
      </c>
      <c r="AD165" s="1" t="s">
        <v>34</v>
      </c>
      <c r="AE165">
        <f t="shared" si="14"/>
        <v>0</v>
      </c>
    </row>
    <row r="166" spans="1:31" x14ac:dyDescent="0.25">
      <c r="A166" s="1"/>
      <c r="B166" s="1" t="s">
        <v>334</v>
      </c>
      <c r="C166" s="15" t="s">
        <v>333</v>
      </c>
      <c r="D166" s="4"/>
      <c r="E166" s="13">
        <v>46230</v>
      </c>
      <c r="F166" s="10">
        <v>7</v>
      </c>
      <c r="G166" s="16">
        <f>(D166-(0)+0-(F166*Ventas!AE153*1.8))</f>
        <v>0</v>
      </c>
      <c r="H166" s="4"/>
      <c r="I166" s="11">
        <v>0</v>
      </c>
      <c r="J166" s="16">
        <f t="shared" si="10"/>
        <v>0</v>
      </c>
      <c r="K166" s="4"/>
      <c r="L166" s="13">
        <v>46275</v>
      </c>
      <c r="M166" s="10">
        <v>45</v>
      </c>
      <c r="N166" s="16">
        <f>(IF(G166&gt;0,G166+I166,I166)-(M166*Ventas!AE153*1.0044))</f>
        <v>0</v>
      </c>
      <c r="O166" s="4"/>
      <c r="P166" s="11">
        <v>0</v>
      </c>
      <c r="Q166" s="16">
        <f t="shared" si="11"/>
        <v>0</v>
      </c>
      <c r="R166" s="4"/>
      <c r="S166" s="13">
        <v>46331</v>
      </c>
      <c r="T166" s="10">
        <v>56</v>
      </c>
      <c r="U166" s="16">
        <f>(IF(N166&gt;0,N166+P166,P166)-(T166*Ventas!AE153*0.9018))</f>
        <v>0</v>
      </c>
      <c r="V166" s="4"/>
      <c r="W166" s="16">
        <f>(100*(Ventas!AE153*1.235) - IF(U166&gt;0,U166,0))</f>
        <v>0</v>
      </c>
      <c r="X166" s="16">
        <f t="shared" si="12"/>
        <v>0</v>
      </c>
      <c r="Y166" s="16">
        <f t="shared" si="13"/>
        <v>0</v>
      </c>
      <c r="Z166" s="18">
        <v>21</v>
      </c>
      <c r="AA166" s="11">
        <v>3010</v>
      </c>
      <c r="AB166" s="4"/>
      <c r="AC166" s="4"/>
      <c r="AD166" s="1" t="s">
        <v>34</v>
      </c>
      <c r="AE166">
        <f t="shared" si="14"/>
        <v>0</v>
      </c>
    </row>
    <row r="167" spans="1:31" x14ac:dyDescent="0.25">
      <c r="A167" s="1"/>
      <c r="B167" s="1" t="s">
        <v>336</v>
      </c>
      <c r="C167" s="15" t="s">
        <v>335</v>
      </c>
      <c r="D167" s="11">
        <v>3</v>
      </c>
      <c r="E167" s="13">
        <v>46230</v>
      </c>
      <c r="F167" s="10">
        <v>7</v>
      </c>
      <c r="G167" s="16">
        <f>(D167-(0)+0-(F167*Ventas!AE154*1.8))</f>
        <v>-0.8982600000000005</v>
      </c>
      <c r="H167" s="17">
        <f>(G167/(Ventas!AE154*1.8)/60)</f>
        <v>-2.6883019603618039E-2</v>
      </c>
      <c r="I167" s="11">
        <v>60</v>
      </c>
      <c r="J167" s="16">
        <f t="shared" si="10"/>
        <v>60</v>
      </c>
      <c r="K167" s="16">
        <v>10.816000000000001</v>
      </c>
      <c r="L167" s="13">
        <v>46275</v>
      </c>
      <c r="M167" s="10">
        <v>45</v>
      </c>
      <c r="N167" s="16">
        <f>(IF(G167&gt;0,G167+I167,I167)-(M167*Ventas!AE154*1.0044))</f>
        <v>46.016384485714283</v>
      </c>
      <c r="O167" s="17">
        <f>(N167/(Ventas!AE154*1.0044)/60)</f>
        <v>2.4680518660590907</v>
      </c>
      <c r="P167" s="11">
        <v>40</v>
      </c>
      <c r="Q167" s="16">
        <f t="shared" si="11"/>
        <v>86.016384485714283</v>
      </c>
      <c r="R167" s="16">
        <v>10.8</v>
      </c>
      <c r="S167" s="13">
        <v>46331</v>
      </c>
      <c r="T167" s="10">
        <v>56</v>
      </c>
      <c r="U167" s="16">
        <f>(IF(N167&gt;0,N167+P167,P167)-(T167*Ventas!AE154*0.9018))</f>
        <v>70.392158405714284</v>
      </c>
      <c r="V167" s="17">
        <f>(U167/(Ventas!AE154*0.9018)/60)</f>
        <v>4.2049665377943199</v>
      </c>
      <c r="W167" s="16">
        <f>(100*(Ventas!AE154*1.235) - IF(U167&gt;0,U167,0))</f>
        <v>-32.183022691428562</v>
      </c>
      <c r="X167" s="16">
        <f t="shared" si="12"/>
        <v>0</v>
      </c>
      <c r="Y167" s="16">
        <f t="shared" si="13"/>
        <v>70.392158405714284</v>
      </c>
      <c r="Z167" s="18">
        <v>10.816000000000001</v>
      </c>
      <c r="AA167" s="11">
        <v>3027</v>
      </c>
      <c r="AB167" s="16">
        <f>(Y167-(60*Ventas!AE154*1.235))</f>
        <v>47.466676977142853</v>
      </c>
      <c r="AC167" s="17">
        <f>(AB167/(Ventas!AE154*1.235)/60)</f>
        <v>2.0704767803910267</v>
      </c>
      <c r="AD167" s="1" t="s">
        <v>34</v>
      </c>
      <c r="AE167">
        <f t="shared" si="14"/>
        <v>0</v>
      </c>
    </row>
    <row r="168" spans="1:31" x14ac:dyDescent="0.25">
      <c r="A168" s="1"/>
      <c r="B168" s="1" t="s">
        <v>338</v>
      </c>
      <c r="C168" s="15" t="s">
        <v>337</v>
      </c>
      <c r="D168" s="11">
        <v>6</v>
      </c>
      <c r="E168" s="13">
        <v>46230</v>
      </c>
      <c r="F168" s="10">
        <v>7</v>
      </c>
      <c r="G168" s="16">
        <f>(D168-(0)+0-(F168*Ventas!AE155*1.8))</f>
        <v>5.2439999999999998</v>
      </c>
      <c r="H168" s="17">
        <f>(G168/(Ventas!AE155*1.8)/60)</f>
        <v>0.80925925925925923</v>
      </c>
      <c r="I168" s="11">
        <v>0</v>
      </c>
      <c r="J168" s="16">
        <f t="shared" si="10"/>
        <v>5.2439999999999998</v>
      </c>
      <c r="K168" s="4"/>
      <c r="L168" s="13">
        <v>46275</v>
      </c>
      <c r="M168" s="10">
        <v>45</v>
      </c>
      <c r="N168" s="16">
        <f>(IF(G168&gt;0,G168+I168,I168)-(M168*Ventas!AE155*1.0044))</f>
        <v>2.5321200000000004</v>
      </c>
      <c r="O168" s="17">
        <f>(N168/(Ventas!AE155*1.0044)/60)</f>
        <v>0.70028541085888762</v>
      </c>
      <c r="P168" s="11">
        <v>45</v>
      </c>
      <c r="Q168" s="16">
        <f t="shared" si="11"/>
        <v>47.532119999999999</v>
      </c>
      <c r="R168" s="16">
        <v>6.1</v>
      </c>
      <c r="S168" s="13">
        <v>46331</v>
      </c>
      <c r="T168" s="10">
        <v>56</v>
      </c>
      <c r="U168" s="16">
        <f>(IF(N168&gt;0,N168+P168,P168)-(T168*Ventas!AE155*0.9018))</f>
        <v>44.502071999999998</v>
      </c>
      <c r="V168" s="17">
        <f>(U168/(Ventas!AE155*0.9018)/60)</f>
        <v>13.707791823759887</v>
      </c>
      <c r="W168" s="16">
        <f>(100*(Ventas!AE155*1.235) - IF(U168&gt;0,U168,0))</f>
        <v>-37.092072000000002</v>
      </c>
      <c r="X168" s="16">
        <f t="shared" si="12"/>
        <v>0</v>
      </c>
      <c r="Y168" s="16">
        <f t="shared" si="13"/>
        <v>44.502071999999998</v>
      </c>
      <c r="Z168" s="18">
        <v>5.9905999999999997</v>
      </c>
      <c r="AA168" s="11">
        <v>3010</v>
      </c>
      <c r="AB168" s="16">
        <f>(Y168-(60*Ventas!AE155*1.235))</f>
        <v>40.056072</v>
      </c>
      <c r="AC168" s="17">
        <f>(AB168/(Ventas!AE155*1.235)/60)</f>
        <v>9.0094628879892031</v>
      </c>
      <c r="AD168" s="1" t="s">
        <v>34</v>
      </c>
      <c r="AE168">
        <f t="shared" si="14"/>
        <v>0</v>
      </c>
    </row>
    <row r="169" spans="1:31" x14ac:dyDescent="0.25">
      <c r="A169" s="1"/>
      <c r="B169" s="1" t="s">
        <v>340</v>
      </c>
      <c r="C169" s="15" t="s">
        <v>339</v>
      </c>
      <c r="D169" s="4"/>
      <c r="E169" s="13">
        <v>46230</v>
      </c>
      <c r="F169" s="10">
        <v>7</v>
      </c>
      <c r="G169" s="16">
        <f>(D169-(0)+0-(F169*Ventas!AE156*1.8))</f>
        <v>0</v>
      </c>
      <c r="H169" s="4"/>
      <c r="I169" s="11">
        <v>0</v>
      </c>
      <c r="J169" s="16">
        <f t="shared" si="10"/>
        <v>0</v>
      </c>
      <c r="K169" s="4"/>
      <c r="L169" s="13">
        <v>46275</v>
      </c>
      <c r="M169" s="10">
        <v>45</v>
      </c>
      <c r="N169" s="16">
        <f>(IF(G169&gt;0,G169+I169,I169)-(M169*Ventas!AE156*1.0044))</f>
        <v>0</v>
      </c>
      <c r="O169" s="4"/>
      <c r="P169" s="11">
        <v>0</v>
      </c>
      <c r="Q169" s="16">
        <f t="shared" si="11"/>
        <v>0</v>
      </c>
      <c r="R169" s="4"/>
      <c r="S169" s="13">
        <v>46331</v>
      </c>
      <c r="T169" s="10">
        <v>56</v>
      </c>
      <c r="U169" s="16">
        <f>(IF(N169&gt;0,N169+P169,P169)-(T169*Ventas!AE156*0.9018))</f>
        <v>0</v>
      </c>
      <c r="V169" s="4"/>
      <c r="W169" s="16">
        <f>(100*(Ventas!AE156*1.235) - IF(U169&gt;0,U169,0))</f>
        <v>0</v>
      </c>
      <c r="X169" s="16">
        <f t="shared" si="12"/>
        <v>0</v>
      </c>
      <c r="Y169" s="16">
        <f t="shared" si="13"/>
        <v>0</v>
      </c>
      <c r="Z169" s="4"/>
      <c r="AA169" s="4"/>
      <c r="AB169" s="4"/>
      <c r="AC169" s="4"/>
      <c r="AD169" s="1" t="s">
        <v>34</v>
      </c>
      <c r="AE169">
        <f t="shared" si="14"/>
        <v>0</v>
      </c>
    </row>
    <row r="170" spans="1:31" x14ac:dyDescent="0.25">
      <c r="A170" s="1"/>
      <c r="B170" s="1" t="s">
        <v>346</v>
      </c>
      <c r="C170" s="15" t="s">
        <v>345</v>
      </c>
      <c r="D170" s="4"/>
      <c r="E170" s="13">
        <v>46230</v>
      </c>
      <c r="F170" s="10">
        <v>7</v>
      </c>
      <c r="G170" s="16">
        <f>(D170-(0)+0-(F170*Ventas!AE159*1.8))</f>
        <v>0</v>
      </c>
      <c r="H170" s="4"/>
      <c r="I170" s="11">
        <v>0</v>
      </c>
      <c r="J170" s="16">
        <f t="shared" si="10"/>
        <v>0</v>
      </c>
      <c r="K170" s="4"/>
      <c r="L170" s="13">
        <v>46275</v>
      </c>
      <c r="M170" s="10">
        <v>45</v>
      </c>
      <c r="N170" s="16">
        <f>(IF(G170&gt;0,G170+I170,I170)-(M170*Ventas!AE159*1.0044))</f>
        <v>0</v>
      </c>
      <c r="O170" s="4"/>
      <c r="P170" s="11">
        <v>0</v>
      </c>
      <c r="Q170" s="16">
        <f t="shared" si="11"/>
        <v>0</v>
      </c>
      <c r="R170" s="4"/>
      <c r="S170" s="13">
        <v>46331</v>
      </c>
      <c r="T170" s="10">
        <v>56</v>
      </c>
      <c r="U170" s="16">
        <f>(IF(N170&gt;0,N170+P170,P170)-(T170*Ventas!AE159*0.9018))</f>
        <v>0</v>
      </c>
      <c r="V170" s="4"/>
      <c r="W170" s="16">
        <f>(100*(Ventas!AE159*1.235) - IF(U170&gt;0,U170,0))</f>
        <v>0</v>
      </c>
      <c r="X170" s="16">
        <f t="shared" si="12"/>
        <v>0</v>
      </c>
      <c r="Y170" s="16">
        <f t="shared" si="13"/>
        <v>0</v>
      </c>
      <c r="Z170" s="18">
        <v>24.186399999999999</v>
      </c>
      <c r="AA170" s="11">
        <v>3017</v>
      </c>
      <c r="AB170" s="4"/>
      <c r="AC170" s="4"/>
      <c r="AD170" s="1" t="s">
        <v>34</v>
      </c>
      <c r="AE170">
        <f t="shared" si="14"/>
        <v>0</v>
      </c>
    </row>
    <row r="171" spans="1:31" x14ac:dyDescent="0.25">
      <c r="A171" s="1"/>
      <c r="B171" s="1" t="s">
        <v>348</v>
      </c>
      <c r="C171" s="15" t="s">
        <v>347</v>
      </c>
      <c r="D171" s="4"/>
      <c r="E171" s="13">
        <v>46230</v>
      </c>
      <c r="F171" s="10">
        <v>7</v>
      </c>
      <c r="G171" s="16">
        <f>(D171-(0)+0-(F171*Ventas!AE160*1.8))</f>
        <v>0</v>
      </c>
      <c r="H171" s="4"/>
      <c r="I171" s="11">
        <v>0</v>
      </c>
      <c r="J171" s="16">
        <f t="shared" si="10"/>
        <v>0</v>
      </c>
      <c r="K171" s="4"/>
      <c r="L171" s="13">
        <v>46275</v>
      </c>
      <c r="M171" s="10">
        <v>45</v>
      </c>
      <c r="N171" s="16">
        <f>(IF(G171&gt;0,G171+I171,I171)-(M171*Ventas!AE160*1.0044))</f>
        <v>0</v>
      </c>
      <c r="O171" s="4"/>
      <c r="P171" s="11">
        <v>0</v>
      </c>
      <c r="Q171" s="16">
        <f t="shared" si="11"/>
        <v>0</v>
      </c>
      <c r="R171" s="4"/>
      <c r="S171" s="13">
        <v>46331</v>
      </c>
      <c r="T171" s="10">
        <v>56</v>
      </c>
      <c r="U171" s="16">
        <f>(IF(N171&gt;0,N171+P171,P171)-(T171*Ventas!AE160*0.9018))</f>
        <v>0</v>
      </c>
      <c r="V171" s="4"/>
      <c r="W171" s="16">
        <f>(100*(Ventas!AE160*1.235) - IF(U171&gt;0,U171,0))</f>
        <v>0</v>
      </c>
      <c r="X171" s="16">
        <f t="shared" si="12"/>
        <v>0</v>
      </c>
      <c r="Y171" s="16">
        <f t="shared" si="13"/>
        <v>0</v>
      </c>
      <c r="Z171" s="18">
        <v>24.186399999999999</v>
      </c>
      <c r="AA171" s="11">
        <v>3017</v>
      </c>
      <c r="AB171" s="4"/>
      <c r="AC171" s="4"/>
      <c r="AD171" s="1" t="s">
        <v>34</v>
      </c>
      <c r="AE171">
        <f t="shared" si="14"/>
        <v>0</v>
      </c>
    </row>
    <row r="172" spans="1:31" x14ac:dyDescent="0.25">
      <c r="A172" s="1"/>
      <c r="B172" s="1" t="s">
        <v>350</v>
      </c>
      <c r="C172" s="15" t="s">
        <v>349</v>
      </c>
      <c r="D172" s="4"/>
      <c r="E172" s="13">
        <v>46230</v>
      </c>
      <c r="F172" s="10">
        <v>7</v>
      </c>
      <c r="G172" s="16">
        <f>(D172-(0)+0-(F172*Ventas!AE161*1.8))</f>
        <v>0</v>
      </c>
      <c r="H172" s="4"/>
      <c r="I172" s="11">
        <v>0</v>
      </c>
      <c r="J172" s="16">
        <f t="shared" si="10"/>
        <v>0</v>
      </c>
      <c r="K172" s="4"/>
      <c r="L172" s="13">
        <v>46275</v>
      </c>
      <c r="M172" s="10">
        <v>45</v>
      </c>
      <c r="N172" s="16">
        <f>(IF(G172&gt;0,G172+I172,I172)-(M172*Ventas!AE161*1.0044))</f>
        <v>0</v>
      </c>
      <c r="O172" s="4"/>
      <c r="P172" s="11">
        <v>0</v>
      </c>
      <c r="Q172" s="16">
        <f t="shared" si="11"/>
        <v>0</v>
      </c>
      <c r="R172" s="4"/>
      <c r="S172" s="13">
        <v>46331</v>
      </c>
      <c r="T172" s="10">
        <v>56</v>
      </c>
      <c r="U172" s="16">
        <f>(IF(N172&gt;0,N172+P172,P172)-(T172*Ventas!AE161*0.9018))</f>
        <v>0</v>
      </c>
      <c r="V172" s="4"/>
      <c r="W172" s="16">
        <f>(100*(Ventas!AE161*1.235) - IF(U172&gt;0,U172,0))</f>
        <v>0</v>
      </c>
      <c r="X172" s="16">
        <f t="shared" si="12"/>
        <v>0</v>
      </c>
      <c r="Y172" s="16">
        <f t="shared" si="13"/>
        <v>0</v>
      </c>
      <c r="Z172" s="18">
        <v>24.186399999999999</v>
      </c>
      <c r="AA172" s="11">
        <v>3017</v>
      </c>
      <c r="AB172" s="4"/>
      <c r="AC172" s="4"/>
      <c r="AD172" s="1" t="s">
        <v>34</v>
      </c>
      <c r="AE172">
        <f t="shared" si="14"/>
        <v>0</v>
      </c>
    </row>
    <row r="173" spans="1:31" x14ac:dyDescent="0.25">
      <c r="A173" s="1"/>
      <c r="B173" s="1" t="s">
        <v>352</v>
      </c>
      <c r="C173" s="15" t="s">
        <v>351</v>
      </c>
      <c r="D173" s="11">
        <v>227</v>
      </c>
      <c r="E173" s="13">
        <v>46230</v>
      </c>
      <c r="F173" s="10">
        <v>7</v>
      </c>
      <c r="G173" s="16">
        <f>(D173-(0)+0-(F173*Ventas!AE162*1.8))</f>
        <v>223.21892</v>
      </c>
      <c r="H173" s="17">
        <f>(G173/(Ventas!AE162*1.8)/60)</f>
        <v>6.8875049809401903</v>
      </c>
      <c r="I173" s="11">
        <v>0</v>
      </c>
      <c r="J173" s="16">
        <f t="shared" si="10"/>
        <v>223.21892</v>
      </c>
      <c r="K173" s="4"/>
      <c r="L173" s="13">
        <v>46275</v>
      </c>
      <c r="M173" s="10">
        <v>45</v>
      </c>
      <c r="N173" s="16">
        <f>(IF(G173&gt;0,G173+I173,I173)-(M173*Ventas!AE162*1.0044))</f>
        <v>209.65564588571428</v>
      </c>
      <c r="O173" s="17">
        <f>(N173/(Ventas!AE162*1.0044)/60)</f>
        <v>11.593198890573815</v>
      </c>
      <c r="P173" s="11">
        <v>0</v>
      </c>
      <c r="Q173" s="16">
        <f t="shared" si="11"/>
        <v>209.65564588571428</v>
      </c>
      <c r="R173" s="4"/>
      <c r="S173" s="13">
        <v>46331</v>
      </c>
      <c r="T173" s="10">
        <v>56</v>
      </c>
      <c r="U173" s="16">
        <f>(IF(N173&gt;0,N173+P173,P173)-(T173*Ventas!AE162*0.9018))</f>
        <v>194.50107724571427</v>
      </c>
      <c r="V173" s="17">
        <f>(U173/(Ventas!AE162*0.9018)/60)</f>
        <v>11.978852257365647</v>
      </c>
      <c r="W173" s="16">
        <f>(100*(Ventas!AE162*1.235) - IF(U173&gt;0,U173,0))</f>
        <v>-157.44049153142856</v>
      </c>
      <c r="X173" s="16">
        <f t="shared" si="12"/>
        <v>0</v>
      </c>
      <c r="Y173" s="16">
        <f t="shared" si="13"/>
        <v>194.50107724571427</v>
      </c>
      <c r="Z173" s="4"/>
      <c r="AA173" s="11">
        <v>3027</v>
      </c>
      <c r="AB173" s="16">
        <f>(Y173-(60*Ventas!AE162*1.235))</f>
        <v>172.26472581714285</v>
      </c>
      <c r="AC173" s="17">
        <f>(AB173/(Ventas!AE162*1.235)/60)</f>
        <v>7.7469870167549315</v>
      </c>
      <c r="AD173" s="1" t="s">
        <v>34</v>
      </c>
      <c r="AE173">
        <f t="shared" si="14"/>
        <v>0</v>
      </c>
    </row>
    <row r="174" spans="1:31" x14ac:dyDescent="0.25">
      <c r="A174" s="1"/>
      <c r="B174" s="1" t="s">
        <v>354</v>
      </c>
      <c r="C174" s="15" t="s">
        <v>353</v>
      </c>
      <c r="D174" s="4"/>
      <c r="E174" s="13">
        <v>46230</v>
      </c>
      <c r="F174" s="10">
        <v>7</v>
      </c>
      <c r="G174" s="16">
        <f>(D174-(0)+0-(F174*Ventas!AE163*1.8))</f>
        <v>0</v>
      </c>
      <c r="H174" s="4"/>
      <c r="I174" s="11">
        <v>0</v>
      </c>
      <c r="J174" s="16">
        <f t="shared" si="10"/>
        <v>0</v>
      </c>
      <c r="K174" s="4"/>
      <c r="L174" s="13">
        <v>46275</v>
      </c>
      <c r="M174" s="10">
        <v>45</v>
      </c>
      <c r="N174" s="16">
        <f>(IF(G174&gt;0,G174+I174,I174)-(M174*Ventas!AE163*1.0044))</f>
        <v>0</v>
      </c>
      <c r="O174" s="4"/>
      <c r="P174" s="11">
        <v>0</v>
      </c>
      <c r="Q174" s="16">
        <f t="shared" si="11"/>
        <v>0</v>
      </c>
      <c r="R174" s="4"/>
      <c r="S174" s="13">
        <v>46331</v>
      </c>
      <c r="T174" s="10">
        <v>56</v>
      </c>
      <c r="U174" s="16">
        <f>(IF(N174&gt;0,N174+P174,P174)-(T174*Ventas!AE163*0.9018))</f>
        <v>0</v>
      </c>
      <c r="V174" s="4"/>
      <c r="W174" s="16">
        <f>(100*(Ventas!AE163*1.235) - IF(U174&gt;0,U174,0))</f>
        <v>0</v>
      </c>
      <c r="X174" s="16">
        <f t="shared" si="12"/>
        <v>0</v>
      </c>
      <c r="Y174" s="16">
        <f t="shared" si="13"/>
        <v>0</v>
      </c>
      <c r="Z174" s="18">
        <v>21</v>
      </c>
      <c r="AA174" s="11">
        <v>3010</v>
      </c>
      <c r="AB174" s="4"/>
      <c r="AC174" s="4"/>
      <c r="AD174" s="1" t="s">
        <v>34</v>
      </c>
      <c r="AE174">
        <f t="shared" si="14"/>
        <v>0</v>
      </c>
    </row>
    <row r="175" spans="1:31" x14ac:dyDescent="0.25">
      <c r="A175" s="1"/>
      <c r="B175" s="1" t="s">
        <v>356</v>
      </c>
      <c r="C175" s="15" t="s">
        <v>355</v>
      </c>
      <c r="D175" s="11">
        <v>57</v>
      </c>
      <c r="E175" s="13">
        <v>46230</v>
      </c>
      <c r="F175" s="10">
        <v>7</v>
      </c>
      <c r="G175" s="16">
        <f>(D175-(0)+0-(F175*Ventas!AE164*1.8))</f>
        <v>54.349499999999999</v>
      </c>
      <c r="H175" s="17">
        <f>(G175/(Ventas!AE164*1.8)/60)</f>
        <v>2.392293906810036</v>
      </c>
      <c r="I175" s="11">
        <v>80</v>
      </c>
      <c r="J175" s="16">
        <f t="shared" si="10"/>
        <v>134.34950000000001</v>
      </c>
      <c r="K175" s="16">
        <v>17.576000000000001</v>
      </c>
      <c r="L175" s="13">
        <v>46275</v>
      </c>
      <c r="M175" s="10">
        <v>45</v>
      </c>
      <c r="N175" s="16">
        <f>(IF(G175&gt;0,G175+I175,I175)-(M175*Ventas!AE164*1.0044))</f>
        <v>124.84177785714286</v>
      </c>
      <c r="O175" s="17">
        <f>(N175/(Ventas!AE164*1.0044)/60)</f>
        <v>9.8479248747503068</v>
      </c>
      <c r="P175" s="11">
        <v>0</v>
      </c>
      <c r="Q175" s="16">
        <f t="shared" si="11"/>
        <v>124.84177785714286</v>
      </c>
      <c r="R175" s="4"/>
      <c r="S175" s="13">
        <v>46331</v>
      </c>
      <c r="T175" s="10">
        <v>56</v>
      </c>
      <c r="U175" s="16">
        <f>(IF(N175&gt;0,N175+P175,P175)-(T175*Ventas!AE164*0.9018))</f>
        <v>114.21857385714286</v>
      </c>
      <c r="V175" s="17">
        <f>(U175/(Ventas!AE164*0.9018)/60)</f>
        <v>10.035014131957428</v>
      </c>
      <c r="W175" s="16">
        <f>(100*(Ventas!AE164*1.235) - IF(U175&gt;0,U175,0))</f>
        <v>-88.239466714285712</v>
      </c>
      <c r="X175" s="16">
        <f t="shared" si="12"/>
        <v>0</v>
      </c>
      <c r="Y175" s="16">
        <f t="shared" si="13"/>
        <v>114.21857385714286</v>
      </c>
      <c r="Z175" s="18">
        <v>17.576000000000001</v>
      </c>
      <c r="AA175" s="11">
        <v>3027</v>
      </c>
      <c r="AB175" s="16">
        <f>(Y175-(60*Ventas!AE164*1.235))</f>
        <v>98.631109571428567</v>
      </c>
      <c r="AC175" s="17">
        <f>(AB175/(Ventas!AE164*1.235)/60)</f>
        <v>6.3275916957078602</v>
      </c>
      <c r="AD175" s="1" t="s">
        <v>34</v>
      </c>
      <c r="AE175">
        <f t="shared" si="14"/>
        <v>0</v>
      </c>
    </row>
    <row r="176" spans="1:31" x14ac:dyDescent="0.25">
      <c r="A176" s="1"/>
      <c r="B176" s="1" t="s">
        <v>358</v>
      </c>
      <c r="C176" s="15" t="s">
        <v>357</v>
      </c>
      <c r="D176" s="11">
        <v>25</v>
      </c>
      <c r="E176" s="13">
        <v>46230</v>
      </c>
      <c r="F176" s="10">
        <v>7</v>
      </c>
      <c r="G176" s="16">
        <f>(D176-(0)+0-(F176*Ventas!AE165*1.8))</f>
        <v>22.685739999999999</v>
      </c>
      <c r="H176" s="17">
        <f>(G176/(Ventas!AE165*1.8)/60)</f>
        <v>1.1436354025332791</v>
      </c>
      <c r="I176" s="11">
        <v>0</v>
      </c>
      <c r="J176" s="16">
        <f t="shared" si="10"/>
        <v>22.685739999999999</v>
      </c>
      <c r="K176" s="4"/>
      <c r="L176" s="13">
        <v>46275</v>
      </c>
      <c r="M176" s="10">
        <v>45</v>
      </c>
      <c r="N176" s="16">
        <f>(IF(G176&gt;0,G176+I176,I176)-(M176*Ventas!AE165*1.0044))</f>
        <v>14.38415877142857</v>
      </c>
      <c r="O176" s="17">
        <f>(N176/(Ventas!AE165*1.0044)/60)</f>
        <v>1.2995258109915395</v>
      </c>
      <c r="P176" s="11">
        <v>0</v>
      </c>
      <c r="Q176" s="16">
        <f t="shared" si="11"/>
        <v>14.38415877142857</v>
      </c>
      <c r="R176" s="4"/>
      <c r="S176" s="13">
        <v>46331</v>
      </c>
      <c r="T176" s="10">
        <v>56</v>
      </c>
      <c r="U176" s="16">
        <f>(IF(N176&gt;0,N176+P176,P176)-(T176*Ventas!AE165*0.9018))</f>
        <v>5.1086046914285692</v>
      </c>
      <c r="V176" s="17">
        <f>(U176/(Ventas!AE165*0.9018)/60)</f>
        <v>0.51404271962730352</v>
      </c>
      <c r="W176" s="16">
        <f>(100*(Ventas!AE165*1.235) - IF(U176&gt;0,U176,0))</f>
        <v>17.574816737142861</v>
      </c>
      <c r="X176" s="16">
        <f t="shared" si="12"/>
        <v>17.574816737142861</v>
      </c>
      <c r="Y176" s="16">
        <f t="shared" si="13"/>
        <v>22.683421428571428</v>
      </c>
      <c r="Z176" s="18">
        <v>18.791</v>
      </c>
      <c r="AA176" s="11">
        <v>3027</v>
      </c>
      <c r="AB176" s="16">
        <f>(Y176-(60*Ventas!AE165*1.235))</f>
        <v>9.0733685714285706</v>
      </c>
      <c r="AC176" s="17">
        <f>(AB176/(Ventas!AE165*1.235)/60)</f>
        <v>0.66666666666666652</v>
      </c>
      <c r="AD176" s="1" t="s">
        <v>34</v>
      </c>
      <c r="AE176">
        <f t="shared" si="14"/>
        <v>330.24838130765153</v>
      </c>
    </row>
    <row r="177" spans="1:31" x14ac:dyDescent="0.25">
      <c r="A177" s="1"/>
      <c r="B177" s="1" t="s">
        <v>360</v>
      </c>
      <c r="C177" s="15" t="s">
        <v>359</v>
      </c>
      <c r="D177" s="4"/>
      <c r="E177" s="13">
        <v>46230</v>
      </c>
      <c r="F177" s="10">
        <v>7</v>
      </c>
      <c r="G177" s="16">
        <f>(D177-(0)+0-(F177*Ventas!AE166*1.8))</f>
        <v>-1.512</v>
      </c>
      <c r="H177" s="17">
        <f>(G177/(Ventas!AE166*1.8)/60)</f>
        <v>-0.11666666666666667</v>
      </c>
      <c r="I177" s="11">
        <v>20</v>
      </c>
      <c r="J177" s="16">
        <f t="shared" si="10"/>
        <v>20</v>
      </c>
      <c r="K177" s="16">
        <v>7.6959999999999997</v>
      </c>
      <c r="L177" s="13">
        <v>46275</v>
      </c>
      <c r="M177" s="10">
        <v>45</v>
      </c>
      <c r="N177" s="16">
        <f>(IF(G177&gt;0,G177+I177,I177)-(M177*Ventas!AE166*1.0044))</f>
        <v>14.576240000000002</v>
      </c>
      <c r="O177" s="17">
        <f>(N177/(Ventas!AE166*1.0044)/60)</f>
        <v>2.0156090977476881</v>
      </c>
      <c r="P177" s="11">
        <v>10</v>
      </c>
      <c r="Q177" s="16">
        <f t="shared" si="11"/>
        <v>24.576240000000002</v>
      </c>
      <c r="R177" s="16">
        <v>7.7</v>
      </c>
      <c r="S177" s="13">
        <v>46331</v>
      </c>
      <c r="T177" s="10">
        <v>56</v>
      </c>
      <c r="U177" s="16">
        <f>(IF(N177&gt;0,N177+P177,P177)-(T177*Ventas!AE166*0.9018))</f>
        <v>18.516144000000004</v>
      </c>
      <c r="V177" s="17">
        <f>(U177/(Ventas!AE166*0.9018)/60)</f>
        <v>2.8517261772750802</v>
      </c>
      <c r="W177" s="16">
        <f>(100*(Ventas!AE166*1.235) - IF(U177&gt;0,U177,0))</f>
        <v>-3.6961440000000039</v>
      </c>
      <c r="X177" s="16">
        <f t="shared" si="12"/>
        <v>0</v>
      </c>
      <c r="Y177" s="16">
        <f t="shared" si="13"/>
        <v>18.516144000000004</v>
      </c>
      <c r="Z177" s="18">
        <v>7.6959999999999997</v>
      </c>
      <c r="AA177" s="11">
        <v>3027</v>
      </c>
      <c r="AB177" s="16">
        <f>(Y177-(60*Ventas!AE166*1.235))</f>
        <v>9.6241440000000047</v>
      </c>
      <c r="AC177" s="17">
        <f>(AB177/(Ventas!AE166*1.235)/60)</f>
        <v>1.0823373819163298</v>
      </c>
      <c r="AD177" s="1" t="s">
        <v>34</v>
      </c>
      <c r="AE177">
        <f t="shared" si="14"/>
        <v>0</v>
      </c>
    </row>
    <row r="178" spans="1:31" x14ac:dyDescent="0.25">
      <c r="A178" s="1"/>
      <c r="B178" s="1" t="s">
        <v>362</v>
      </c>
      <c r="C178" s="15" t="s">
        <v>361</v>
      </c>
      <c r="D178" s="4"/>
      <c r="E178" s="13">
        <v>46230</v>
      </c>
      <c r="F178" s="10">
        <v>7</v>
      </c>
      <c r="G178" s="16">
        <f>(D178-(0)+0-(F178*Ventas!AE167*1.8))</f>
        <v>-4.9139999999999997</v>
      </c>
      <c r="H178" s="17">
        <f>(G178/(Ventas!AE167*1.8)/60)</f>
        <v>-0.11666666666666665</v>
      </c>
      <c r="I178" s="11">
        <v>0</v>
      </c>
      <c r="J178" s="16">
        <f t="shared" si="10"/>
        <v>0</v>
      </c>
      <c r="K178" s="4"/>
      <c r="L178" s="13">
        <v>46275</v>
      </c>
      <c r="M178" s="10">
        <v>45</v>
      </c>
      <c r="N178" s="16">
        <f>(IF(G178&gt;0,G178+I178,I178)-(M178*Ventas!AE167*1.0044))</f>
        <v>-17.627220000000001</v>
      </c>
      <c r="O178" s="17">
        <f>(N178/(Ventas!AE167*1.0044)/60)</f>
        <v>-0.75</v>
      </c>
      <c r="P178" s="11">
        <v>0</v>
      </c>
      <c r="Q178" s="16">
        <f t="shared" si="11"/>
        <v>0</v>
      </c>
      <c r="R178" s="4"/>
      <c r="S178" s="13">
        <v>46331</v>
      </c>
      <c r="T178" s="10">
        <v>56</v>
      </c>
      <c r="U178" s="16">
        <f>(IF(N178&gt;0,N178+P178,P178)-(T178*Ventas!AE167*0.9018))</f>
        <v>-19.695312000000001</v>
      </c>
      <c r="V178" s="17">
        <f>(U178/(Ventas!AE167*0.9018)/60)</f>
        <v>-0.93333333333333335</v>
      </c>
      <c r="W178" s="16">
        <f>(100*(Ventas!AE167*1.235) - IF(U178&gt;0,U178,0))</f>
        <v>48.165000000000006</v>
      </c>
      <c r="X178" s="16">
        <f t="shared" si="12"/>
        <v>48.165000000000006</v>
      </c>
      <c r="Y178" s="16">
        <f t="shared" si="13"/>
        <v>48.165000000000006</v>
      </c>
      <c r="Z178" s="18">
        <v>23.513999999999999</v>
      </c>
      <c r="AA178" s="11">
        <v>3027</v>
      </c>
      <c r="AB178" s="16">
        <f>(Y178-(60*Ventas!AE167*1.235))</f>
        <v>19.266000000000002</v>
      </c>
      <c r="AC178" s="17">
        <f>(AB178/(Ventas!AE167*1.235)/60)</f>
        <v>0.66666666666666663</v>
      </c>
      <c r="AD178" s="1" t="s">
        <v>34</v>
      </c>
      <c r="AE178">
        <f t="shared" si="14"/>
        <v>1132.5518100000002</v>
      </c>
    </row>
    <row r="179" spans="1:31" x14ac:dyDescent="0.25">
      <c r="A179" s="1"/>
      <c r="B179" s="1" t="s">
        <v>364</v>
      </c>
      <c r="C179" s="15" t="s">
        <v>363</v>
      </c>
      <c r="D179" s="4"/>
      <c r="E179" s="13">
        <v>46230</v>
      </c>
      <c r="F179" s="10">
        <v>7</v>
      </c>
      <c r="G179" s="16">
        <f>(D179-(0)+0-(F179*Ventas!AE168*1.8))</f>
        <v>-5.5440000000000005</v>
      </c>
      <c r="H179" s="17">
        <f>(G179/(Ventas!AE168*1.8)/60)</f>
        <v>-0.11666666666666667</v>
      </c>
      <c r="I179" s="11">
        <v>0</v>
      </c>
      <c r="J179" s="16">
        <f t="shared" si="10"/>
        <v>0</v>
      </c>
      <c r="K179" s="4"/>
      <c r="L179" s="13">
        <v>46275</v>
      </c>
      <c r="M179" s="10">
        <v>45</v>
      </c>
      <c r="N179" s="16">
        <f>(IF(G179&gt;0,G179+I179,I179)-(M179*Ventas!AE168*1.0044))</f>
        <v>-19.887119999999999</v>
      </c>
      <c r="O179" s="17">
        <f>(N179/(Ventas!AE168*1.0044)/60)</f>
        <v>-0.75</v>
      </c>
      <c r="P179" s="11">
        <v>45</v>
      </c>
      <c r="Q179" s="16">
        <f t="shared" si="11"/>
        <v>45</v>
      </c>
      <c r="R179" s="16">
        <v>20.2</v>
      </c>
      <c r="S179" s="13">
        <v>46331</v>
      </c>
      <c r="T179" s="10">
        <v>56</v>
      </c>
      <c r="U179" s="16">
        <f>(IF(N179&gt;0,N179+P179,P179)-(T179*Ventas!AE168*0.9018))</f>
        <v>22.779647999999998</v>
      </c>
      <c r="V179" s="17">
        <f>(U179/(Ventas!AE168*0.9018)/60)</f>
        <v>0.95682574245448471</v>
      </c>
      <c r="W179" s="16">
        <f>(100*(Ventas!AE168*1.235) - IF(U179&gt;0,U179,0))</f>
        <v>31.560351999999998</v>
      </c>
      <c r="X179" s="16">
        <f t="shared" si="12"/>
        <v>31.560351999999998</v>
      </c>
      <c r="Y179" s="16">
        <f t="shared" si="13"/>
        <v>54.339999999999996</v>
      </c>
      <c r="Z179" s="18">
        <v>23.513999999999999</v>
      </c>
      <c r="AA179" s="11">
        <v>3027</v>
      </c>
      <c r="AB179" s="16">
        <f>(Y179-(60*Ventas!AE168*1.235))</f>
        <v>21.735999999999997</v>
      </c>
      <c r="AC179" s="17">
        <f>(AB179/(Ventas!AE168*1.235)/60)</f>
        <v>0.66666666666666652</v>
      </c>
      <c r="AD179" s="1" t="s">
        <v>34</v>
      </c>
      <c r="AE179">
        <f t="shared" si="14"/>
        <v>742.11011692799991</v>
      </c>
    </row>
    <row r="180" spans="1:31" x14ac:dyDescent="0.25">
      <c r="A180" s="1"/>
      <c r="B180" s="1" t="s">
        <v>366</v>
      </c>
      <c r="C180" s="15" t="s">
        <v>365</v>
      </c>
      <c r="D180" s="11">
        <v>48</v>
      </c>
      <c r="E180" s="13">
        <v>46230</v>
      </c>
      <c r="F180" s="10">
        <v>7</v>
      </c>
      <c r="G180" s="16">
        <f>(D180-(0)+0-(F180*Ventas!AE169*1.8))</f>
        <v>47.742420000000003</v>
      </c>
      <c r="H180" s="17">
        <f>(G180/(Ventas!AE169*1.8)/60)</f>
        <v>21.624151719854023</v>
      </c>
      <c r="I180" s="11">
        <v>0</v>
      </c>
      <c r="J180" s="16">
        <f t="shared" si="10"/>
        <v>47.742420000000003</v>
      </c>
      <c r="K180" s="4"/>
      <c r="L180" s="13">
        <v>46275</v>
      </c>
      <c r="M180" s="10">
        <v>45</v>
      </c>
      <c r="N180" s="16">
        <f>(IF(G180&gt;0,G180+I180,I180)-(M180*Ventas!AE169*1.0044))</f>
        <v>46.818443742857148</v>
      </c>
      <c r="O180" s="17">
        <f>(N180/(Ventas!AE169*1.0044)/60)</f>
        <v>38.00296007142299</v>
      </c>
      <c r="P180" s="11">
        <v>0</v>
      </c>
      <c r="Q180" s="16">
        <f t="shared" si="11"/>
        <v>46.818443742857148</v>
      </c>
      <c r="R180" s="4"/>
      <c r="S180" s="13">
        <v>46331</v>
      </c>
      <c r="T180" s="10">
        <v>56</v>
      </c>
      <c r="U180" s="16">
        <f>(IF(N180&gt;0,N180+P180,P180)-(T180*Ventas!AE169*0.9018))</f>
        <v>45.786063102857149</v>
      </c>
      <c r="V180" s="17">
        <f>(U180/(Ventas!AE169*0.9018)/60)</f>
        <v>41.393316806095861</v>
      </c>
      <c r="W180" s="16">
        <f>(100*(Ventas!AE169*1.235) - IF(U180&gt;0,U180,0))</f>
        <v>-43.261370245714289</v>
      </c>
      <c r="X180" s="16">
        <f t="shared" si="12"/>
        <v>0</v>
      </c>
      <c r="Y180" s="16">
        <f t="shared" si="13"/>
        <v>45.786063102857149</v>
      </c>
      <c r="Z180" s="18">
        <v>6.1360000000000001</v>
      </c>
      <c r="AA180" s="11">
        <v>3010</v>
      </c>
      <c r="AB180" s="16">
        <f>(Y180-(60*Ventas!AE169*1.235))</f>
        <v>44.271247388571432</v>
      </c>
      <c r="AC180" s="17">
        <f>(AB180/(Ventas!AE169*1.235)/60)</f>
        <v>29.225500482378333</v>
      </c>
      <c r="AD180" s="1" t="s">
        <v>34</v>
      </c>
      <c r="AE180">
        <f t="shared" si="14"/>
        <v>0</v>
      </c>
    </row>
    <row r="181" spans="1:31" x14ac:dyDescent="0.25">
      <c r="A181" s="1"/>
      <c r="B181" s="1" t="s">
        <v>368</v>
      </c>
      <c r="C181" s="15" t="s">
        <v>367</v>
      </c>
      <c r="D181" s="11">
        <v>23</v>
      </c>
      <c r="E181" s="13">
        <v>46230</v>
      </c>
      <c r="F181" s="10">
        <v>7</v>
      </c>
      <c r="G181" s="16">
        <f>(D181-(0)+0-(F181*Ventas!AE170*1.8))</f>
        <v>22.88354</v>
      </c>
      <c r="H181" s="17">
        <f>(G181/(Ventas!AE170*1.8)/60)</f>
        <v>22.92414849161371</v>
      </c>
      <c r="I181" s="11">
        <v>0</v>
      </c>
      <c r="J181" s="16">
        <f t="shared" si="10"/>
        <v>22.88354</v>
      </c>
      <c r="K181" s="4"/>
      <c r="L181" s="13">
        <v>46275</v>
      </c>
      <c r="M181" s="10">
        <v>45</v>
      </c>
      <c r="N181" s="16">
        <f>(IF(G181&gt;0,G181+I181,I181)-(M181*Ventas!AE170*1.0044))</f>
        <v>22.465781342857142</v>
      </c>
      <c r="O181" s="17">
        <f>(N181/(Ventas!AE170*1.0044)/60)</f>
        <v>40.33270338998873</v>
      </c>
      <c r="P181" s="11">
        <v>0</v>
      </c>
      <c r="Q181" s="16">
        <f t="shared" si="11"/>
        <v>22.465781342857142</v>
      </c>
      <c r="R181" s="4"/>
      <c r="S181" s="13">
        <v>46331</v>
      </c>
      <c r="T181" s="10">
        <v>56</v>
      </c>
      <c r="U181" s="16">
        <f>(IF(N181&gt;0,N181+P181,P181)-(T181*Ventas!AE170*0.9018))</f>
        <v>21.999009662857141</v>
      </c>
      <c r="V181" s="17">
        <f>(U181/(Ventas!AE170*0.9018)/60)</f>
        <v>43.988120741743934</v>
      </c>
      <c r="W181" s="16">
        <f>(100*(Ventas!AE170*1.235) - IF(U181&gt;0,U181,0))</f>
        <v>-20.857516805714283</v>
      </c>
      <c r="X181" s="16">
        <f t="shared" si="12"/>
        <v>0</v>
      </c>
      <c r="Y181" s="16">
        <f t="shared" si="13"/>
        <v>21.999009662857141</v>
      </c>
      <c r="Z181" s="18">
        <v>5.9779999999999998</v>
      </c>
      <c r="AA181" s="11">
        <v>3010</v>
      </c>
      <c r="AB181" s="16">
        <f>(Y181-(60*Ventas!AE170*1.235))</f>
        <v>21.314113948571425</v>
      </c>
      <c r="AC181" s="17">
        <f>(AB181/(Ventas!AE170*1.235)/60)</f>
        <v>31.12023261935601</v>
      </c>
      <c r="AD181" s="1" t="s">
        <v>34</v>
      </c>
      <c r="AE181">
        <f t="shared" si="14"/>
        <v>0</v>
      </c>
    </row>
    <row r="182" spans="1:31" x14ac:dyDescent="0.25">
      <c r="A182" s="1"/>
      <c r="B182" s="1" t="s">
        <v>157</v>
      </c>
      <c r="C182" s="15" t="s">
        <v>369</v>
      </c>
      <c r="D182" s="4"/>
      <c r="E182" s="13">
        <v>46230</v>
      </c>
      <c r="F182" s="10">
        <v>7</v>
      </c>
      <c r="G182" s="16">
        <f>(D182-(0)+0-(F182*Ventas!AE171*1.8))</f>
        <v>0</v>
      </c>
      <c r="H182" s="4"/>
      <c r="I182" s="11">
        <v>0</v>
      </c>
      <c r="J182" s="16">
        <f t="shared" si="10"/>
        <v>0</v>
      </c>
      <c r="K182" s="4"/>
      <c r="L182" s="13">
        <v>46275</v>
      </c>
      <c r="M182" s="10">
        <v>45</v>
      </c>
      <c r="N182" s="16">
        <f>(IF(G182&gt;0,G182+I182,I182)-(M182*Ventas!AE171*1.0044))</f>
        <v>0</v>
      </c>
      <c r="O182" s="4"/>
      <c r="P182" s="11">
        <v>0</v>
      </c>
      <c r="Q182" s="16">
        <f t="shared" si="11"/>
        <v>0</v>
      </c>
      <c r="R182" s="4"/>
      <c r="S182" s="13">
        <v>46331</v>
      </c>
      <c r="T182" s="10">
        <v>56</v>
      </c>
      <c r="U182" s="16">
        <f>(IF(N182&gt;0,N182+P182,P182)-(T182*Ventas!AE171*0.9018))</f>
        <v>0</v>
      </c>
      <c r="V182" s="4"/>
      <c r="W182" s="16">
        <f>(100*(Ventas!AE171*1.235) - IF(U182&gt;0,U182,0))</f>
        <v>0</v>
      </c>
      <c r="X182" s="16">
        <f t="shared" si="12"/>
        <v>0</v>
      </c>
      <c r="Y182" s="16">
        <f t="shared" si="13"/>
        <v>0</v>
      </c>
      <c r="Z182" s="4"/>
      <c r="AA182" s="4"/>
      <c r="AB182" s="4"/>
      <c r="AC182" s="4"/>
      <c r="AD182" s="1" t="s">
        <v>34</v>
      </c>
      <c r="AE182">
        <f t="shared" si="14"/>
        <v>0</v>
      </c>
    </row>
    <row r="183" spans="1:31" x14ac:dyDescent="0.25">
      <c r="A183" s="1"/>
      <c r="B183" s="1" t="s">
        <v>371</v>
      </c>
      <c r="C183" s="15" t="s">
        <v>370</v>
      </c>
      <c r="D183" s="11">
        <v>35</v>
      </c>
      <c r="E183" s="13">
        <v>46230</v>
      </c>
      <c r="F183" s="10">
        <v>7</v>
      </c>
      <c r="G183" s="16">
        <f>(D183-(0)+0-(F183*Ventas!AE172*1.8))</f>
        <v>34.603819999999999</v>
      </c>
      <c r="H183" s="17">
        <f>(G183/(Ventas!AE172*1.8)/60)</f>
        <v>10.190096252545137</v>
      </c>
      <c r="I183" s="11">
        <v>0</v>
      </c>
      <c r="J183" s="16">
        <f t="shared" si="10"/>
        <v>34.603819999999999</v>
      </c>
      <c r="K183" s="4"/>
      <c r="L183" s="13">
        <v>46275</v>
      </c>
      <c r="M183" s="10">
        <v>45</v>
      </c>
      <c r="N183" s="16">
        <f>(IF(G183&gt;0,G183+I183,I183)-(M183*Ventas!AE172*1.0044))</f>
        <v>33.182665742857139</v>
      </c>
      <c r="O183" s="17">
        <f>(N183/(Ventas!AE172*1.0044)/60)</f>
        <v>17.51182124112032</v>
      </c>
      <c r="P183" s="11">
        <v>0</v>
      </c>
      <c r="Q183" s="16">
        <f t="shared" si="11"/>
        <v>33.182665742857139</v>
      </c>
      <c r="R183" s="4"/>
      <c r="S183" s="13">
        <v>46331</v>
      </c>
      <c r="T183" s="10">
        <v>56</v>
      </c>
      <c r="U183" s="16">
        <f>(IF(N183&gt;0,N183+P183,P183)-(T183*Ventas!AE172*0.9018))</f>
        <v>31.594776302857138</v>
      </c>
      <c r="V183" s="17">
        <f>(U183/(Ventas!AE172*0.9018)/60)</f>
        <v>18.570850803483307</v>
      </c>
      <c r="W183" s="16">
        <f>(100*(Ventas!AE172*1.235) - IF(U183&gt;0,U183,0))</f>
        <v>-27.711583445714279</v>
      </c>
      <c r="X183" s="16">
        <f t="shared" si="12"/>
        <v>0</v>
      </c>
      <c r="Y183" s="16">
        <f t="shared" si="13"/>
        <v>31.594776302857138</v>
      </c>
      <c r="Z183" s="18">
        <v>17.100000000000001</v>
      </c>
      <c r="AA183" s="11">
        <v>3027</v>
      </c>
      <c r="AB183" s="16">
        <f>(Y183-(60*Ventas!AE172*1.235))</f>
        <v>29.264860588571423</v>
      </c>
      <c r="AC183" s="17">
        <f>(AB183/(Ventas!AE172*1.235)/60)</f>
        <v>12.560480368081979</v>
      </c>
      <c r="AD183" s="1" t="s">
        <v>34</v>
      </c>
      <c r="AE183">
        <f t="shared" si="14"/>
        <v>0</v>
      </c>
    </row>
    <row r="184" spans="1:31" x14ac:dyDescent="0.25">
      <c r="A184" s="1"/>
      <c r="B184" s="1" t="s">
        <v>373</v>
      </c>
      <c r="C184" s="15" t="s">
        <v>372</v>
      </c>
      <c r="D184" s="4"/>
      <c r="E184" s="13">
        <v>46230</v>
      </c>
      <c r="F184" s="10">
        <v>7</v>
      </c>
      <c r="G184" s="16">
        <f>(D184-(0)+0-(F184*Ventas!AE173*1.8))</f>
        <v>0</v>
      </c>
      <c r="H184" s="4"/>
      <c r="I184" s="11">
        <v>0</v>
      </c>
      <c r="J184" s="16">
        <f t="shared" si="10"/>
        <v>0</v>
      </c>
      <c r="K184" s="4"/>
      <c r="L184" s="13">
        <v>46275</v>
      </c>
      <c r="M184" s="10">
        <v>45</v>
      </c>
      <c r="N184" s="16">
        <f>(IF(G184&gt;0,G184+I184,I184)-(M184*Ventas!AE173*1.0044))</f>
        <v>0</v>
      </c>
      <c r="O184" s="4"/>
      <c r="P184" s="11">
        <v>0</v>
      </c>
      <c r="Q184" s="16">
        <f t="shared" si="11"/>
        <v>0</v>
      </c>
      <c r="R184" s="4"/>
      <c r="S184" s="13">
        <v>46331</v>
      </c>
      <c r="T184" s="10">
        <v>56</v>
      </c>
      <c r="U184" s="16">
        <f>(IF(N184&gt;0,N184+P184,P184)-(T184*Ventas!AE173*0.9018))</f>
        <v>0</v>
      </c>
      <c r="V184" s="4"/>
      <c r="W184" s="16">
        <f>(100*(Ventas!AE173*1.235) - IF(U184&gt;0,U184,0))</f>
        <v>0</v>
      </c>
      <c r="X184" s="16">
        <f t="shared" si="12"/>
        <v>0</v>
      </c>
      <c r="Y184" s="16">
        <f t="shared" si="13"/>
        <v>0</v>
      </c>
      <c r="Z184" s="18">
        <v>9.1199999999999992</v>
      </c>
      <c r="AA184" s="11">
        <v>3010</v>
      </c>
      <c r="AB184" s="4"/>
      <c r="AC184" s="4"/>
      <c r="AD184" s="1" t="s">
        <v>107</v>
      </c>
      <c r="AE184">
        <f t="shared" si="14"/>
        <v>0</v>
      </c>
    </row>
    <row r="185" spans="1:31" x14ac:dyDescent="0.25">
      <c r="A185" s="1"/>
      <c r="B185" s="1" t="s">
        <v>375</v>
      </c>
      <c r="C185" s="15" t="s">
        <v>374</v>
      </c>
      <c r="D185" s="4"/>
      <c r="E185" s="13">
        <v>46230</v>
      </c>
      <c r="F185" s="10">
        <v>7</v>
      </c>
      <c r="G185" s="16">
        <f>(D185-(0)+0-(F185*Ventas!AE174*1.8))</f>
        <v>0</v>
      </c>
      <c r="H185" s="4"/>
      <c r="I185" s="11">
        <v>0</v>
      </c>
      <c r="J185" s="16">
        <f t="shared" si="10"/>
        <v>0</v>
      </c>
      <c r="K185" s="4"/>
      <c r="L185" s="13">
        <v>46275</v>
      </c>
      <c r="M185" s="10">
        <v>45</v>
      </c>
      <c r="N185" s="16">
        <f>(IF(G185&gt;0,G185+I185,I185)-(M185*Ventas!AE174*1.0044))</f>
        <v>0</v>
      </c>
      <c r="O185" s="4"/>
      <c r="P185" s="11">
        <v>0</v>
      </c>
      <c r="Q185" s="16">
        <f t="shared" si="11"/>
        <v>0</v>
      </c>
      <c r="R185" s="4"/>
      <c r="S185" s="13">
        <v>46331</v>
      </c>
      <c r="T185" s="10">
        <v>56</v>
      </c>
      <c r="U185" s="16">
        <f>(IF(N185&gt;0,N185+P185,P185)-(T185*Ventas!AE174*0.9018))</f>
        <v>0</v>
      </c>
      <c r="V185" s="4"/>
      <c r="W185" s="16">
        <f>(100*(Ventas!AE174*1.235) - IF(U185&gt;0,U185,0))</f>
        <v>0</v>
      </c>
      <c r="X185" s="16">
        <f t="shared" si="12"/>
        <v>0</v>
      </c>
      <c r="Y185" s="16">
        <f t="shared" si="13"/>
        <v>0</v>
      </c>
      <c r="Z185" s="18">
        <v>9.1199999999999992</v>
      </c>
      <c r="AA185" s="11">
        <v>3010</v>
      </c>
      <c r="AB185" s="4"/>
      <c r="AC185" s="4"/>
      <c r="AD185" s="1" t="s">
        <v>107</v>
      </c>
      <c r="AE185">
        <f t="shared" si="14"/>
        <v>0</v>
      </c>
    </row>
    <row r="186" spans="1:31" x14ac:dyDescent="0.25">
      <c r="A186" s="1"/>
      <c r="B186" s="1" t="s">
        <v>377</v>
      </c>
      <c r="C186" s="15" t="s">
        <v>376</v>
      </c>
      <c r="D186" s="4"/>
      <c r="E186" s="13">
        <v>46230</v>
      </c>
      <c r="F186" s="10">
        <v>7</v>
      </c>
      <c r="G186" s="16">
        <f>(D186-(0)+0-(F186*Ventas!AE175*1.8))</f>
        <v>0</v>
      </c>
      <c r="H186" s="4"/>
      <c r="I186" s="11">
        <v>0</v>
      </c>
      <c r="J186" s="16">
        <f t="shared" si="10"/>
        <v>0</v>
      </c>
      <c r="K186" s="4"/>
      <c r="L186" s="13">
        <v>46275</v>
      </c>
      <c r="M186" s="10">
        <v>45</v>
      </c>
      <c r="N186" s="16">
        <f>(IF(G186&gt;0,G186+I186,I186)-(M186*Ventas!AE175*1.0044))</f>
        <v>0</v>
      </c>
      <c r="O186" s="4"/>
      <c r="P186" s="11">
        <v>0</v>
      </c>
      <c r="Q186" s="16">
        <f t="shared" si="11"/>
        <v>0</v>
      </c>
      <c r="R186" s="4"/>
      <c r="S186" s="13">
        <v>46331</v>
      </c>
      <c r="T186" s="10">
        <v>56</v>
      </c>
      <c r="U186" s="16">
        <f>(IF(N186&gt;0,N186+P186,P186)-(T186*Ventas!AE175*0.9018))</f>
        <v>0</v>
      </c>
      <c r="V186" s="4"/>
      <c r="W186" s="16">
        <f>(100*(Ventas!AE175*1.235) - IF(U186&gt;0,U186,0))</f>
        <v>0</v>
      </c>
      <c r="X186" s="16">
        <f t="shared" si="12"/>
        <v>0</v>
      </c>
      <c r="Y186" s="16">
        <f t="shared" si="13"/>
        <v>0</v>
      </c>
      <c r="Z186" s="18">
        <v>9.1199999999999992</v>
      </c>
      <c r="AA186" s="11">
        <v>3010</v>
      </c>
      <c r="AB186" s="4"/>
      <c r="AC186" s="4"/>
      <c r="AD186" s="1" t="s">
        <v>107</v>
      </c>
      <c r="AE186">
        <f t="shared" si="14"/>
        <v>0</v>
      </c>
    </row>
    <row r="187" spans="1:31" x14ac:dyDescent="0.25">
      <c r="A187" s="1"/>
      <c r="B187" s="1" t="s">
        <v>379</v>
      </c>
      <c r="C187" s="15" t="s">
        <v>378</v>
      </c>
      <c r="D187" s="4"/>
      <c r="E187" s="13">
        <v>46230</v>
      </c>
      <c r="F187" s="10">
        <v>7</v>
      </c>
      <c r="G187" s="16">
        <f>(D187-(0)+0-(F187*Ventas!AE176*1.8))</f>
        <v>0</v>
      </c>
      <c r="H187" s="4"/>
      <c r="I187" s="11">
        <v>0</v>
      </c>
      <c r="J187" s="16">
        <f t="shared" si="10"/>
        <v>0</v>
      </c>
      <c r="K187" s="4"/>
      <c r="L187" s="13">
        <v>46275</v>
      </c>
      <c r="M187" s="10">
        <v>45</v>
      </c>
      <c r="N187" s="16">
        <f>(IF(G187&gt;0,G187+I187,I187)-(M187*Ventas!AE176*1.0044))</f>
        <v>0</v>
      </c>
      <c r="O187" s="4"/>
      <c r="P187" s="11">
        <v>0</v>
      </c>
      <c r="Q187" s="16">
        <f t="shared" si="11"/>
        <v>0</v>
      </c>
      <c r="R187" s="4"/>
      <c r="S187" s="13">
        <v>46331</v>
      </c>
      <c r="T187" s="10">
        <v>56</v>
      </c>
      <c r="U187" s="16">
        <f>(IF(N187&gt;0,N187+P187,P187)-(T187*Ventas!AE176*0.9018))</f>
        <v>0</v>
      </c>
      <c r="V187" s="4"/>
      <c r="W187" s="16">
        <f>(100*(Ventas!AE176*1.235) - IF(U187&gt;0,U187,0))</f>
        <v>0</v>
      </c>
      <c r="X187" s="16">
        <f t="shared" si="12"/>
        <v>0</v>
      </c>
      <c r="Y187" s="16">
        <f t="shared" si="13"/>
        <v>0</v>
      </c>
      <c r="Z187" s="18">
        <v>9.1199999999999992</v>
      </c>
      <c r="AA187" s="11">
        <v>3010</v>
      </c>
      <c r="AB187" s="4"/>
      <c r="AC187" s="4"/>
      <c r="AD187" s="1" t="s">
        <v>107</v>
      </c>
      <c r="AE187">
        <f t="shared" si="14"/>
        <v>0</v>
      </c>
    </row>
    <row r="188" spans="1:31" x14ac:dyDescent="0.25">
      <c r="A188" s="1"/>
      <c r="B188" s="1" t="s">
        <v>381</v>
      </c>
      <c r="C188" s="15" t="s">
        <v>380</v>
      </c>
      <c r="D188" s="11">
        <v>123</v>
      </c>
      <c r="E188" s="13">
        <v>46230</v>
      </c>
      <c r="F188" s="10">
        <v>7</v>
      </c>
      <c r="G188" s="16">
        <f>(D188-(0)+0-(F188*Ventas!AE177*1.8))</f>
        <v>120.86628</v>
      </c>
      <c r="H188" s="17">
        <f>(G188/(Ventas!AE177*1.8)/60)</f>
        <v>6.6086768648182508</v>
      </c>
      <c r="I188" s="11">
        <v>0</v>
      </c>
      <c r="J188" s="16">
        <f t="shared" si="10"/>
        <v>120.86628</v>
      </c>
      <c r="K188" s="4"/>
      <c r="L188" s="13">
        <v>46275</v>
      </c>
      <c r="M188" s="10">
        <v>45</v>
      </c>
      <c r="N188" s="16">
        <f>(IF(G188&gt;0,G188+I188,I188)-(M188*Ventas!AE177*1.0044))</f>
        <v>113.21232154285714</v>
      </c>
      <c r="O188" s="17">
        <f>(N188/(Ventas!AE177*1.0044)/60)</f>
        <v>11.093506926197584</v>
      </c>
      <c r="P188" s="11">
        <v>0</v>
      </c>
      <c r="Q188" s="16">
        <f t="shared" si="11"/>
        <v>113.21232154285714</v>
      </c>
      <c r="R188" s="4"/>
      <c r="S188" s="13">
        <v>46331</v>
      </c>
      <c r="T188" s="10">
        <v>56</v>
      </c>
      <c r="U188" s="16">
        <f>(IF(N188&gt;0,N188+P188,P188)-(T188*Ventas!AE177*0.9018))</f>
        <v>104.66037178285714</v>
      </c>
      <c r="V188" s="17">
        <f>(U188/(Ventas!AE177*0.9018)/60)</f>
        <v>11.422309111413673</v>
      </c>
      <c r="W188" s="16">
        <f>(100*(Ventas!AE177*1.235) - IF(U188&gt;0,U188,0))</f>
        <v>-83.746528925714273</v>
      </c>
      <c r="X188" s="16">
        <f t="shared" si="12"/>
        <v>0</v>
      </c>
      <c r="Y188" s="16">
        <f t="shared" si="13"/>
        <v>104.66037178285714</v>
      </c>
      <c r="Z188" s="18">
        <v>8.8000000000000007</v>
      </c>
      <c r="AA188" s="11">
        <v>3010</v>
      </c>
      <c r="AB188" s="16">
        <f>(Y188-(60*Ventas!AE177*1.235))</f>
        <v>92.112066068571423</v>
      </c>
      <c r="AC188" s="17">
        <f>(AB188/(Ventas!AE177*1.235)/60)</f>
        <v>7.3405978596541299</v>
      </c>
      <c r="AD188" s="1" t="s">
        <v>34</v>
      </c>
      <c r="AE188">
        <f t="shared" si="14"/>
        <v>0</v>
      </c>
    </row>
    <row r="189" spans="1:31" x14ac:dyDescent="0.25">
      <c r="A189" s="1"/>
      <c r="B189" s="1" t="s">
        <v>383</v>
      </c>
      <c r="C189" s="15" t="s">
        <v>382</v>
      </c>
      <c r="D189" s="11">
        <v>75</v>
      </c>
      <c r="E189" s="13">
        <v>46230</v>
      </c>
      <c r="F189" s="10">
        <v>7</v>
      </c>
      <c r="G189" s="16">
        <f>(D189-(0)+0-(F189*Ventas!AE178*1.8))</f>
        <v>71.250060000000005</v>
      </c>
      <c r="H189" s="17">
        <f>(G189/(Ventas!AE178*1.8)/60)</f>
        <v>2.2167040005973431</v>
      </c>
      <c r="I189" s="11">
        <v>0</v>
      </c>
      <c r="J189" s="16">
        <f t="shared" si="10"/>
        <v>71.250060000000005</v>
      </c>
      <c r="K189" s="4"/>
      <c r="L189" s="13">
        <v>46275</v>
      </c>
      <c r="M189" s="10">
        <v>45</v>
      </c>
      <c r="N189" s="16">
        <f>(IF(G189&gt;0,G189+I189,I189)-(M189*Ventas!AE178*1.0044))</f>
        <v>57.79848951428572</v>
      </c>
      <c r="O189" s="17">
        <f>(N189/(Ventas!AE178*1.0044)/60)</f>
        <v>3.2225878146905793</v>
      </c>
      <c r="P189" s="11">
        <v>0</v>
      </c>
      <c r="Q189" s="16">
        <f t="shared" si="11"/>
        <v>57.79848951428572</v>
      </c>
      <c r="R189" s="4"/>
      <c r="S189" s="13">
        <v>46331</v>
      </c>
      <c r="T189" s="10">
        <v>56</v>
      </c>
      <c r="U189" s="16">
        <f>(IF(N189&gt;0,N189+P189,P189)-(T189*Ventas!AE178*0.9018))</f>
        <v>42.768729994285721</v>
      </c>
      <c r="V189" s="17">
        <f>(U189/(Ventas!AE178*0.9018)/60)</f>
        <v>2.6558962087771318</v>
      </c>
      <c r="W189" s="16">
        <f>(100*(Ventas!AE178*1.235) - IF(U189&gt;0,U189,0))</f>
        <v>-6.0133657085714347</v>
      </c>
      <c r="X189" s="16">
        <f t="shared" si="12"/>
        <v>0</v>
      </c>
      <c r="Y189" s="16">
        <f t="shared" si="13"/>
        <v>42.768729994285721</v>
      </c>
      <c r="Z189" s="18">
        <v>8.8000000000000007</v>
      </c>
      <c r="AA189" s="11">
        <v>3010</v>
      </c>
      <c r="AB189" s="16">
        <f>(Y189-(60*Ventas!AE178*1.235))</f>
        <v>20.715511422857144</v>
      </c>
      <c r="AC189" s="17">
        <f>(AB189/(Ventas!AE178*1.235)/60)</f>
        <v>0.93934186321879942</v>
      </c>
      <c r="AD189" s="1" t="s">
        <v>34</v>
      </c>
      <c r="AE189">
        <f t="shared" si="14"/>
        <v>0</v>
      </c>
    </row>
    <row r="190" spans="1:31" x14ac:dyDescent="0.25">
      <c r="A190" s="1"/>
      <c r="B190" s="1" t="s">
        <v>385</v>
      </c>
      <c r="C190" s="15" t="s">
        <v>384</v>
      </c>
      <c r="D190" s="11">
        <v>99</v>
      </c>
      <c r="E190" s="13">
        <v>46230</v>
      </c>
      <c r="F190" s="10">
        <v>7</v>
      </c>
      <c r="G190" s="16">
        <f>(D190-(0)+0-(F190*Ventas!AE179*1.8))</f>
        <v>96.972660000000005</v>
      </c>
      <c r="H190" s="17">
        <f>(G190/(Ventas!AE179*1.8)/60)</f>
        <v>5.5804536979490367</v>
      </c>
      <c r="I190" s="11">
        <v>0</v>
      </c>
      <c r="J190" s="16">
        <f t="shared" si="10"/>
        <v>96.972660000000005</v>
      </c>
      <c r="K190" s="4"/>
      <c r="L190" s="13">
        <v>46275</v>
      </c>
      <c r="M190" s="10">
        <v>45</v>
      </c>
      <c r="N190" s="16">
        <f>(IF(G190&gt;0,G190+I190,I190)-(M190*Ventas!AE179*1.0044))</f>
        <v>89.700301800000005</v>
      </c>
      <c r="O190" s="17">
        <f>(N190/(Ventas!AE179*1.0044)/60)</f>
        <v>9.2508130787617162</v>
      </c>
      <c r="P190" s="11">
        <v>0</v>
      </c>
      <c r="Q190" s="16">
        <f t="shared" si="11"/>
        <v>89.700301800000005</v>
      </c>
      <c r="R190" s="4"/>
      <c r="S190" s="13">
        <v>46331</v>
      </c>
      <c r="T190" s="10">
        <v>56</v>
      </c>
      <c r="U190" s="16">
        <f>(IF(N190&gt;0,N190+P190,P190)-(T190*Ventas!AE179*0.9018))</f>
        <v>81.574723079999998</v>
      </c>
      <c r="V190" s="17">
        <f>(U190/(Ventas!AE179*0.9018)/60)</f>
        <v>9.3699674609761203</v>
      </c>
      <c r="W190" s="16">
        <f>(100*(Ventas!AE179*1.235) - IF(U190&gt;0,U190,0))</f>
        <v>-61.703573079999998</v>
      </c>
      <c r="X190" s="16">
        <f t="shared" si="12"/>
        <v>0</v>
      </c>
      <c r="Y190" s="16">
        <f t="shared" si="13"/>
        <v>81.574723079999998</v>
      </c>
      <c r="Z190" s="18">
        <v>8.8000000000000007</v>
      </c>
      <c r="AA190" s="11">
        <v>3010</v>
      </c>
      <c r="AB190" s="16">
        <f>(Y190-(60*Ventas!AE179*1.235))</f>
        <v>69.652033079999995</v>
      </c>
      <c r="AC190" s="17">
        <f>(AB190/(Ventas!AE179*1.235)/60)</f>
        <v>5.8419730010593236</v>
      </c>
      <c r="AD190" s="1" t="s">
        <v>34</v>
      </c>
      <c r="AE190">
        <f t="shared" si="14"/>
        <v>0</v>
      </c>
    </row>
    <row r="191" spans="1:31" x14ac:dyDescent="0.25">
      <c r="A191" s="1"/>
      <c r="B191" s="1" t="s">
        <v>387</v>
      </c>
      <c r="C191" s="15" t="s">
        <v>386</v>
      </c>
      <c r="D191" s="11">
        <v>342</v>
      </c>
      <c r="E191" s="13">
        <v>46230</v>
      </c>
      <c r="F191" s="10">
        <v>7</v>
      </c>
      <c r="G191" s="16">
        <f>(D191-(0)+0-(F191*Ventas!AE180*1.8))</f>
        <v>339.65316000000001</v>
      </c>
      <c r="H191" s="17">
        <f>(G191/(Ventas!AE180*1.8)/60)</f>
        <v>16.884918443524057</v>
      </c>
      <c r="I191" s="11">
        <v>0</v>
      </c>
      <c r="J191" s="16">
        <f t="shared" si="10"/>
        <v>339.65316000000001</v>
      </c>
      <c r="K191" s="4"/>
      <c r="L191" s="13">
        <v>46275</v>
      </c>
      <c r="M191" s="10">
        <v>45</v>
      </c>
      <c r="N191" s="16">
        <f>(IF(G191&gt;0,G191+I191,I191)-(M191*Ventas!AE180*1.0044))</f>
        <v>331.23470965714284</v>
      </c>
      <c r="O191" s="17">
        <f>(N191/(Ventas!AE180*1.0044)/60)</f>
        <v>29.509710472265336</v>
      </c>
      <c r="P191" s="11">
        <v>0</v>
      </c>
      <c r="Q191" s="16">
        <f t="shared" si="11"/>
        <v>331.23470965714284</v>
      </c>
      <c r="R191" s="4"/>
      <c r="S191" s="13">
        <v>46331</v>
      </c>
      <c r="T191" s="10">
        <v>56</v>
      </c>
      <c r="U191" s="16">
        <f>(IF(N191&gt;0,N191+P191,P191)-(T191*Ventas!AE180*0.9018))</f>
        <v>321.82857493714283</v>
      </c>
      <c r="V191" s="17">
        <f>(U191/(Ventas!AE180*0.9018)/60)</f>
        <v>31.933769348351404</v>
      </c>
      <c r="W191" s="16">
        <f>(100*(Ventas!AE180*1.235) - IF(U191&gt;0,U191,0))</f>
        <v>-298.82581779428568</v>
      </c>
      <c r="X191" s="16">
        <f t="shared" si="12"/>
        <v>0</v>
      </c>
      <c r="Y191" s="16">
        <f t="shared" si="13"/>
        <v>321.82857493714283</v>
      </c>
      <c r="Z191" s="18">
        <v>8.8000000000000007</v>
      </c>
      <c r="AA191" s="11">
        <v>3010</v>
      </c>
      <c r="AB191" s="16">
        <f>(Y191-(60*Ventas!AE180*1.235))</f>
        <v>308.02692065142855</v>
      </c>
      <c r="AC191" s="17">
        <f>(AB191/(Ventas!AE180*1.235)/60)</f>
        <v>22.318115950075544</v>
      </c>
      <c r="AD191" s="1" t="s">
        <v>34</v>
      </c>
      <c r="AE191">
        <f t="shared" si="14"/>
        <v>0</v>
      </c>
    </row>
    <row r="192" spans="1:31" x14ac:dyDescent="0.25">
      <c r="A192" s="1"/>
      <c r="B192" s="1" t="s">
        <v>389</v>
      </c>
      <c r="C192" s="15" t="s">
        <v>388</v>
      </c>
      <c r="D192" s="4"/>
      <c r="E192" s="13">
        <v>46230</v>
      </c>
      <c r="F192" s="10">
        <v>7</v>
      </c>
      <c r="G192" s="16">
        <f>(D192-(0)+0-(F192*Ventas!AE181*1.8))</f>
        <v>-4.0320000000000009</v>
      </c>
      <c r="H192" s="17">
        <f>(G192/(Ventas!AE181*1.8)/60)</f>
        <v>-0.11666666666666668</v>
      </c>
      <c r="I192" s="11">
        <v>0</v>
      </c>
      <c r="J192" s="16">
        <f t="shared" si="10"/>
        <v>0</v>
      </c>
      <c r="K192" s="4"/>
      <c r="L192" s="13">
        <v>46275</v>
      </c>
      <c r="M192" s="10">
        <v>45</v>
      </c>
      <c r="N192" s="16">
        <f>(IF(G192&gt;0,G192+I192,I192)-(M192*Ventas!AE181*1.0044))</f>
        <v>-14.46336</v>
      </c>
      <c r="O192" s="17">
        <f>(N192/(Ventas!AE181*1.0044)/60)</f>
        <v>-0.75</v>
      </c>
      <c r="P192" s="11">
        <v>0</v>
      </c>
      <c r="Q192" s="16">
        <f t="shared" si="11"/>
        <v>0</v>
      </c>
      <c r="R192" s="4"/>
      <c r="S192" s="13">
        <v>46331</v>
      </c>
      <c r="T192" s="10">
        <v>56</v>
      </c>
      <c r="U192" s="16">
        <f>(IF(N192&gt;0,N192+P192,P192)-(T192*Ventas!AE181*0.9018))</f>
        <v>-16.160256000000004</v>
      </c>
      <c r="V192" s="17">
        <f>(U192/(Ventas!AE181*0.9018)/60)</f>
        <v>-0.93333333333333357</v>
      </c>
      <c r="W192" s="16">
        <f>(100*(Ventas!AE181*1.235) - IF(U192&gt;0,U192,0))</f>
        <v>39.520000000000003</v>
      </c>
      <c r="X192" s="16">
        <f t="shared" si="12"/>
        <v>39.520000000000003</v>
      </c>
      <c r="Y192" s="16">
        <f t="shared" si="13"/>
        <v>39.520000000000003</v>
      </c>
      <c r="Z192" s="18">
        <v>11.4</v>
      </c>
      <c r="AA192" s="11">
        <v>3027</v>
      </c>
      <c r="AB192" s="16">
        <f>(Y192-(60*Ventas!AE181*1.235))</f>
        <v>15.808000000000003</v>
      </c>
      <c r="AC192" s="17">
        <f>(AB192/(Ventas!AE181*1.235)/60)</f>
        <v>0.66666666666666663</v>
      </c>
      <c r="AD192" s="1" t="s">
        <v>34</v>
      </c>
      <c r="AE192">
        <f t="shared" si="14"/>
        <v>450.52800000000008</v>
      </c>
    </row>
    <row r="193" spans="1:31" x14ac:dyDescent="0.25">
      <c r="A193" s="1"/>
      <c r="B193" s="1" t="s">
        <v>391</v>
      </c>
      <c r="C193" s="15" t="s">
        <v>390</v>
      </c>
      <c r="D193" s="11">
        <v>35</v>
      </c>
      <c r="E193" s="13">
        <v>46230</v>
      </c>
      <c r="F193" s="10">
        <v>7</v>
      </c>
      <c r="G193" s="16">
        <f>(D193-(0)+0-(F193*Ventas!AE182*1.8))</f>
        <v>31.094000000000001</v>
      </c>
      <c r="H193" s="17">
        <f>(G193/(Ventas!AE182*1.8)/60)</f>
        <v>0.92873357228195941</v>
      </c>
      <c r="I193" s="11">
        <v>0</v>
      </c>
      <c r="J193" s="16">
        <f t="shared" si="10"/>
        <v>31.094000000000001</v>
      </c>
      <c r="K193" s="4"/>
      <c r="L193" s="13">
        <v>46275</v>
      </c>
      <c r="M193" s="10">
        <v>45</v>
      </c>
      <c r="N193" s="16">
        <f>(IF(G193&gt;0,G193+I193,I193)-(M193*Ventas!AE182*1.0044))</f>
        <v>17.082620000000002</v>
      </c>
      <c r="O193" s="17">
        <f>(N193/(Ventas!AE182*1.0044)/60)</f>
        <v>0.91439708294257971</v>
      </c>
      <c r="P193" s="11">
        <v>0</v>
      </c>
      <c r="Q193" s="16">
        <f t="shared" si="11"/>
        <v>17.082620000000002</v>
      </c>
      <c r="R193" s="4"/>
      <c r="S193" s="13">
        <v>46331</v>
      </c>
      <c r="T193" s="10">
        <v>56</v>
      </c>
      <c r="U193" s="16">
        <f>(IF(N193&gt;0,N193+P193,P193)-(T193*Ventas!AE182*0.9018))</f>
        <v>1.4273720000000019</v>
      </c>
      <c r="V193" s="17">
        <f>(U193/(Ventas!AE182*0.9018)/60)</f>
        <v>8.5096950662593665E-2</v>
      </c>
      <c r="W193" s="16">
        <f>(100*(Ventas!AE182*1.235) - IF(U193&gt;0,U193,0))</f>
        <v>36.857628000000005</v>
      </c>
      <c r="X193" s="16">
        <f t="shared" si="12"/>
        <v>36.857628000000005</v>
      </c>
      <c r="Y193" s="16">
        <f t="shared" si="13"/>
        <v>38.285000000000011</v>
      </c>
      <c r="Z193" s="18">
        <v>19.275400000000001</v>
      </c>
      <c r="AA193" s="11">
        <v>3027</v>
      </c>
      <c r="AB193" s="16">
        <f>(Y193-(60*Ventas!AE182*1.235))</f>
        <v>15.314000000000007</v>
      </c>
      <c r="AC193" s="17">
        <f>(AB193/(Ventas!AE182*1.235)/60)</f>
        <v>0.66666666666666685</v>
      </c>
      <c r="AD193" s="1" t="s">
        <v>34</v>
      </c>
      <c r="AE193">
        <f t="shared" si="14"/>
        <v>710.4455227512002</v>
      </c>
    </row>
    <row r="194" spans="1:31" x14ac:dyDescent="0.25">
      <c r="A194" s="1"/>
      <c r="B194" s="1" t="s">
        <v>393</v>
      </c>
      <c r="C194" s="15" t="s">
        <v>392</v>
      </c>
      <c r="D194" s="11">
        <v>50</v>
      </c>
      <c r="E194" s="13">
        <v>46230</v>
      </c>
      <c r="F194" s="10">
        <v>7</v>
      </c>
      <c r="G194" s="16">
        <f>(D194-(0)+0-(F194*Ventas!AE183*1.8))</f>
        <v>48.561799999999998</v>
      </c>
      <c r="H194" s="17">
        <f>(G194/(Ventas!AE183*1.8)/60)</f>
        <v>3.9393292541602931</v>
      </c>
      <c r="I194" s="11">
        <v>0</v>
      </c>
      <c r="J194" s="16">
        <f t="shared" si="10"/>
        <v>48.561799999999998</v>
      </c>
      <c r="K194" s="4"/>
      <c r="L194" s="13">
        <v>46275</v>
      </c>
      <c r="M194" s="10">
        <v>45</v>
      </c>
      <c r="N194" s="16">
        <f>(IF(G194&gt;0,G194+I194,I194)-(M194*Ventas!AE183*1.0044))</f>
        <v>43.402771142857141</v>
      </c>
      <c r="O194" s="17">
        <f>(N194/(Ventas!AE183*1.0044)/60)</f>
        <v>6.3097298461653999</v>
      </c>
      <c r="P194" s="11">
        <v>0</v>
      </c>
      <c r="Q194" s="16">
        <f t="shared" si="11"/>
        <v>43.402771142857141</v>
      </c>
      <c r="R194" s="4"/>
      <c r="S194" s="13">
        <v>46331</v>
      </c>
      <c r="T194" s="10">
        <v>56</v>
      </c>
      <c r="U194" s="16">
        <f>(IF(N194&gt;0,N194+P194,P194)-(T194*Ventas!AE183*0.9018))</f>
        <v>37.638465542857141</v>
      </c>
      <c r="V194" s="17">
        <f>(U194/(Ventas!AE183*0.9018)/60)</f>
        <v>6.0942699683838182</v>
      </c>
      <c r="W194" s="16">
        <f>(100*(Ventas!AE183*1.235) - IF(U194&gt;0,U194,0))</f>
        <v>-23.541822685714283</v>
      </c>
      <c r="X194" s="16">
        <f t="shared" si="12"/>
        <v>0</v>
      </c>
      <c r="Y194" s="16">
        <f t="shared" si="13"/>
        <v>37.638465542857141</v>
      </c>
      <c r="Z194" s="18">
        <v>18.718</v>
      </c>
      <c r="AA194" s="11">
        <v>3010</v>
      </c>
      <c r="AB194" s="16">
        <f>(Y194-(60*Ventas!AE183*1.235))</f>
        <v>29.180479828571428</v>
      </c>
      <c r="AC194" s="17">
        <f>(AB194/(Ventas!AE183*1.235)/60)</f>
        <v>3.4500507348085239</v>
      </c>
      <c r="AD194" s="1" t="s">
        <v>34</v>
      </c>
      <c r="AE194">
        <f t="shared" si="14"/>
        <v>0</v>
      </c>
    </row>
    <row r="195" spans="1:31" x14ac:dyDescent="0.25">
      <c r="A195" s="1"/>
      <c r="B195" s="1" t="s">
        <v>395</v>
      </c>
      <c r="C195" s="15" t="s">
        <v>394</v>
      </c>
      <c r="D195" s="11">
        <v>52</v>
      </c>
      <c r="E195" s="13">
        <v>46230</v>
      </c>
      <c r="F195" s="10">
        <v>7</v>
      </c>
      <c r="G195" s="16">
        <f>(D195-(0)+0-(F195*Ventas!AE184*1.8))</f>
        <v>50.779600000000002</v>
      </c>
      <c r="H195" s="17">
        <f>(G195/(Ventas!AE184*1.8)/60)</f>
        <v>4.8543810772424347</v>
      </c>
      <c r="I195" s="11">
        <v>0</v>
      </c>
      <c r="J195" s="16">
        <f t="shared" si="10"/>
        <v>50.779600000000002</v>
      </c>
      <c r="K195" s="4"/>
      <c r="L195" s="13">
        <v>46275</v>
      </c>
      <c r="M195" s="10">
        <v>45</v>
      </c>
      <c r="N195" s="16">
        <f>(IF(G195&gt;0,G195+I195,I195)-(M195*Ventas!AE184*1.0044))</f>
        <v>46.401850857142861</v>
      </c>
      <c r="O195" s="17">
        <f>(N195/(Ventas!AE184*1.0044)/60)</f>
        <v>7.9496076653090224</v>
      </c>
      <c r="P195" s="11">
        <v>0</v>
      </c>
      <c r="Q195" s="16">
        <f t="shared" si="11"/>
        <v>46.401850857142861</v>
      </c>
      <c r="R195" s="4"/>
      <c r="S195" s="13">
        <v>46331</v>
      </c>
      <c r="T195" s="10">
        <v>56</v>
      </c>
      <c r="U195" s="16">
        <f>(IF(N195&gt;0,N195+P195,P195)-(T195*Ventas!AE184*0.9018))</f>
        <v>41.51048765714286</v>
      </c>
      <c r="V195" s="17">
        <f>(U195/(Ventas!AE184*0.9018)/60)</f>
        <v>7.9207207130587518</v>
      </c>
      <c r="W195" s="16">
        <f>(100*(Ventas!AE184*1.235) - IF(U195&gt;0,U195,0))</f>
        <v>-29.548630514285719</v>
      </c>
      <c r="X195" s="16">
        <f t="shared" si="12"/>
        <v>0</v>
      </c>
      <c r="Y195" s="16">
        <f t="shared" si="13"/>
        <v>41.51048765714286</v>
      </c>
      <c r="Z195" s="18">
        <v>19.239999999999998</v>
      </c>
      <c r="AA195" s="11">
        <v>3010</v>
      </c>
      <c r="AB195" s="16">
        <f>(Y195-(60*Ventas!AE184*1.235))</f>
        <v>34.333373371428571</v>
      </c>
      <c r="AC195" s="17">
        <f>(AB195/(Ventas!AE184*1.235)/60)</f>
        <v>4.7837295052926159</v>
      </c>
      <c r="AD195" s="1" t="s">
        <v>34</v>
      </c>
      <c r="AE195">
        <f t="shared" si="14"/>
        <v>0</v>
      </c>
    </row>
    <row r="196" spans="1:31" x14ac:dyDescent="0.25">
      <c r="A196" s="1"/>
      <c r="B196" s="1" t="s">
        <v>397</v>
      </c>
      <c r="C196" s="15" t="s">
        <v>396</v>
      </c>
      <c r="D196" s="11">
        <v>85</v>
      </c>
      <c r="E196" s="13">
        <v>46230</v>
      </c>
      <c r="F196" s="10">
        <v>7</v>
      </c>
      <c r="G196" s="16">
        <f>(D196-(0)+0-(F196*Ventas!AE185*1.8))</f>
        <v>84.756460000000004</v>
      </c>
      <c r="H196" s="17">
        <f>(G196/(Ventas!AE185*1.8)/60)</f>
        <v>40.602174865182995</v>
      </c>
      <c r="I196" s="11">
        <v>0</v>
      </c>
      <c r="J196" s="16">
        <f t="shared" si="10"/>
        <v>84.756460000000004</v>
      </c>
      <c r="K196" s="4"/>
      <c r="L196" s="13">
        <v>46275</v>
      </c>
      <c r="M196" s="10">
        <v>45</v>
      </c>
      <c r="N196" s="16">
        <f>(IF(G196&gt;0,G196+I196,I196)-(M196*Ventas!AE185*1.0044))</f>
        <v>83.882847228571435</v>
      </c>
      <c r="O196" s="17">
        <f>(N196/(Ventas!AE185*1.0044)/60)</f>
        <v>72.013754238679212</v>
      </c>
      <c r="P196" s="11">
        <v>0</v>
      </c>
      <c r="Q196" s="16">
        <f t="shared" si="11"/>
        <v>83.882847228571435</v>
      </c>
      <c r="R196" s="4"/>
      <c r="S196" s="13">
        <v>46331</v>
      </c>
      <c r="T196" s="10">
        <v>56</v>
      </c>
      <c r="U196" s="16">
        <f>(IF(N196&gt;0,N196+P196,P196)-(T196*Ventas!AE185*0.9018))</f>
        <v>82.906738908571441</v>
      </c>
      <c r="V196" s="17">
        <f>(U196/(Ventas!AE185*0.9018)/60)</f>
        <v>79.273602525315383</v>
      </c>
      <c r="W196" s="16">
        <f>(100*(Ventas!AE185*1.235) - IF(U196&gt;0,U196,0))</f>
        <v>-80.519660337142867</v>
      </c>
      <c r="X196" s="16">
        <f t="shared" si="12"/>
        <v>0</v>
      </c>
      <c r="Y196" s="16">
        <f t="shared" si="13"/>
        <v>82.906738908571441</v>
      </c>
      <c r="Z196" s="18">
        <v>19.22</v>
      </c>
      <c r="AA196" s="11">
        <v>3010</v>
      </c>
      <c r="AB196" s="16">
        <f>(Y196-(60*Ventas!AE185*1.235))</f>
        <v>81.474491765714305</v>
      </c>
      <c r="AC196" s="17">
        <f>(AB196/(Ventas!AE185*1.235)/60)</f>
        <v>56.885777131440811</v>
      </c>
      <c r="AD196" s="1" t="s">
        <v>34</v>
      </c>
      <c r="AE196">
        <f t="shared" si="14"/>
        <v>0</v>
      </c>
    </row>
    <row r="197" spans="1:31" x14ac:dyDescent="0.25">
      <c r="A197" s="1"/>
      <c r="B197" s="1" t="s">
        <v>399</v>
      </c>
      <c r="C197" s="15" t="s">
        <v>398</v>
      </c>
      <c r="D197" s="11">
        <v>19</v>
      </c>
      <c r="E197" s="13">
        <v>46230</v>
      </c>
      <c r="F197" s="10">
        <v>7</v>
      </c>
      <c r="G197" s="16">
        <f>(D197-(0)+0-(F197*Ventas!AE186*1.8))</f>
        <v>16.32358</v>
      </c>
      <c r="H197" s="17">
        <f>(G197/(Ventas!AE186*1.8)/60)</f>
        <v>0.71155411582138328</v>
      </c>
      <c r="I197" s="11">
        <v>0</v>
      </c>
      <c r="J197" s="16">
        <f t="shared" ref="J197:J260" si="15">IF(G197&gt;0,G197+I197,I197)</f>
        <v>16.32358</v>
      </c>
      <c r="K197" s="4"/>
      <c r="L197" s="13">
        <v>46275</v>
      </c>
      <c r="M197" s="10">
        <v>45</v>
      </c>
      <c r="N197" s="16">
        <f>(IF(G197&gt;0,G197+I197,I197)-(M197*Ventas!AE186*1.0044))</f>
        <v>6.7228791142857141</v>
      </c>
      <c r="O197" s="17">
        <f>(N197/(Ventas!AE186*1.0044)/60)</f>
        <v>0.52518658749351843</v>
      </c>
      <c r="P197" s="11">
        <v>0</v>
      </c>
      <c r="Q197" s="16">
        <f t="shared" ref="Q197:Q260" si="16">IF(N197&gt;0,N197+P197,P197)</f>
        <v>6.7228791142857141</v>
      </c>
      <c r="R197" s="4"/>
      <c r="S197" s="13">
        <v>46331</v>
      </c>
      <c r="T197" s="10">
        <v>56</v>
      </c>
      <c r="U197" s="16">
        <f>(IF(N197&gt;0,N197+P197,P197)-(T197*Ventas!AE186*0.9018))</f>
        <v>-4.004212245714287</v>
      </c>
      <c r="V197" s="17">
        <f>(U197/(Ventas!AE186*0.9018)/60)</f>
        <v>-0.34839497840043265</v>
      </c>
      <c r="W197" s="16">
        <f>(100*(Ventas!AE186*1.235) - IF(U197&gt;0,U197,0))</f>
        <v>26.233164285714288</v>
      </c>
      <c r="X197" s="16">
        <f t="shared" ref="X197:X260" si="17">IF(W197&gt;0,W197,0)</f>
        <v>26.233164285714288</v>
      </c>
      <c r="Y197" s="16">
        <f t="shared" ref="Y197:Y260" si="18">IF(U197&gt;0,U197+IF(X197&gt;0,X197,0),X197)</f>
        <v>26.233164285714288</v>
      </c>
      <c r="Z197" s="18">
        <v>3.7</v>
      </c>
      <c r="AA197" s="11">
        <v>3010</v>
      </c>
      <c r="AB197" s="16">
        <f>(Y197-(60*Ventas!AE186*1.235))</f>
        <v>10.493265714285716</v>
      </c>
      <c r="AC197" s="17">
        <f>(AB197/(Ventas!AE186*1.235)/60)</f>
        <v>0.66666666666666663</v>
      </c>
      <c r="AD197" s="1" t="s">
        <v>34</v>
      </c>
      <c r="AE197">
        <f t="shared" si="14"/>
        <v>97.062707857142868</v>
      </c>
    </row>
    <row r="198" spans="1:31" x14ac:dyDescent="0.25">
      <c r="A198" s="1"/>
      <c r="B198" s="1" t="s">
        <v>401</v>
      </c>
      <c r="C198" s="15" t="s">
        <v>400</v>
      </c>
      <c r="D198" s="11">
        <v>97</v>
      </c>
      <c r="E198" s="13">
        <v>46230</v>
      </c>
      <c r="F198" s="10">
        <v>7</v>
      </c>
      <c r="G198" s="16">
        <f>(D198-(0)+0-(F198*Ventas!AE187*1.8))</f>
        <v>88.18</v>
      </c>
      <c r="H198" s="17">
        <f>(G198/(Ventas!AE187*1.8)/60)</f>
        <v>1.1664021164021166</v>
      </c>
      <c r="I198" s="11">
        <v>126</v>
      </c>
      <c r="J198" s="16">
        <f t="shared" si="15"/>
        <v>214.18</v>
      </c>
      <c r="K198" s="16">
        <v>15.496</v>
      </c>
      <c r="L198" s="13">
        <v>46275</v>
      </c>
      <c r="M198" s="10">
        <v>45</v>
      </c>
      <c r="N198" s="16">
        <f>(IF(G198&gt;0,G198+I198,I198)-(M198*Ventas!AE187*1.0044))</f>
        <v>182.54140000000001</v>
      </c>
      <c r="O198" s="17">
        <f>(N198/(Ventas!AE187*1.0044)/60)</f>
        <v>4.3271841990479993</v>
      </c>
      <c r="P198" s="11">
        <v>120</v>
      </c>
      <c r="Q198" s="16">
        <f t="shared" si="16"/>
        <v>302.54140000000001</v>
      </c>
      <c r="R198" s="16">
        <v>15.5</v>
      </c>
      <c r="S198" s="13">
        <v>46331</v>
      </c>
      <c r="T198" s="10">
        <v>56</v>
      </c>
      <c r="U198" s="16">
        <f>(IF(N198&gt;0,N198+P198,P198)-(T198*Ventas!AE187*0.9018))</f>
        <v>267.19084000000004</v>
      </c>
      <c r="V198" s="17">
        <f>(U198/(Ventas!AE187*0.9018)/60)</f>
        <v>7.0544318769867678</v>
      </c>
      <c r="W198" s="16">
        <f>(100*(Ventas!AE187*1.235) - IF(U198&gt;0,U198,0))</f>
        <v>-180.74084000000005</v>
      </c>
      <c r="X198" s="16">
        <f t="shared" si="17"/>
        <v>0</v>
      </c>
      <c r="Y198" s="16">
        <f t="shared" si="18"/>
        <v>267.19084000000004</v>
      </c>
      <c r="Z198" s="18">
        <v>15.496</v>
      </c>
      <c r="AA198" s="11">
        <v>3027</v>
      </c>
      <c r="AB198" s="16">
        <f>(Y198-(60*Ventas!AE187*1.235))</f>
        <v>215.32084000000003</v>
      </c>
      <c r="AC198" s="17">
        <f>(AB198/(Ventas!AE187*1.235)/60)</f>
        <v>4.151163292847504</v>
      </c>
      <c r="AD198" s="1" t="s">
        <v>34</v>
      </c>
      <c r="AE198">
        <f t="shared" ref="AE198:AE261" si="19">X198*Z198</f>
        <v>0</v>
      </c>
    </row>
    <row r="199" spans="1:31" x14ac:dyDescent="0.25">
      <c r="A199" s="1"/>
      <c r="B199" s="1" t="s">
        <v>403</v>
      </c>
      <c r="C199" s="15" t="s">
        <v>402</v>
      </c>
      <c r="D199" s="11">
        <v>16</v>
      </c>
      <c r="E199" s="13">
        <v>46230</v>
      </c>
      <c r="F199" s="10">
        <v>7</v>
      </c>
      <c r="G199" s="16">
        <f>(D199-(0)+0-(F199*Ventas!AE188*1.8))</f>
        <v>14.753500000000001</v>
      </c>
      <c r="H199" s="17">
        <f>(G199/(Ventas!AE188*1.8)/60)</f>
        <v>1.3808597406070331</v>
      </c>
      <c r="I199" s="11">
        <v>0</v>
      </c>
      <c r="J199" s="16">
        <f t="shared" si="15"/>
        <v>14.753500000000001</v>
      </c>
      <c r="K199" s="4"/>
      <c r="L199" s="13">
        <v>46275</v>
      </c>
      <c r="M199" s="10">
        <v>45</v>
      </c>
      <c r="N199" s="16">
        <f>(IF(G199&gt;0,G199+I199,I199)-(M199*Ventas!AE188*1.0044))</f>
        <v>10.282126428571431</v>
      </c>
      <c r="O199" s="17">
        <f>(N199/(Ventas!AE188*1.0044)/60)</f>
        <v>1.7246590333459375</v>
      </c>
      <c r="P199" s="11">
        <v>0</v>
      </c>
      <c r="Q199" s="16">
        <f t="shared" si="16"/>
        <v>10.282126428571431</v>
      </c>
      <c r="R199" s="4"/>
      <c r="S199" s="13">
        <v>46331</v>
      </c>
      <c r="T199" s="10">
        <v>56</v>
      </c>
      <c r="U199" s="16">
        <f>(IF(N199&gt;0,N199+P199,P199)-(T199*Ventas!AE188*0.9018))</f>
        <v>5.2861544285714306</v>
      </c>
      <c r="V199" s="17">
        <f>(U199/(Ventas!AE188*0.9018)/60)</f>
        <v>0.98754439242920777</v>
      </c>
      <c r="W199" s="16">
        <f>(100*(Ventas!AE188*1.235) - IF(U199&gt;0,U199,0))</f>
        <v>6.9315241428571426</v>
      </c>
      <c r="X199" s="16">
        <f t="shared" si="17"/>
        <v>6.9315241428571426</v>
      </c>
      <c r="Y199" s="16">
        <f t="shared" si="18"/>
        <v>12.217678571428573</v>
      </c>
      <c r="Z199" s="18">
        <v>3.4</v>
      </c>
      <c r="AA199" s="11">
        <v>3010</v>
      </c>
      <c r="AB199" s="16">
        <f>(Y199-(60*Ventas!AE188*1.235))</f>
        <v>4.8870714285714296</v>
      </c>
      <c r="AC199" s="17">
        <f>(AB199/(Ventas!AE188*1.235)/60)</f>
        <v>0.66666666666666663</v>
      </c>
      <c r="AD199" s="1" t="s">
        <v>34</v>
      </c>
      <c r="AE199">
        <f t="shared" si="19"/>
        <v>23.567182085714283</v>
      </c>
    </row>
    <row r="200" spans="1:31" x14ac:dyDescent="0.25">
      <c r="A200" s="1"/>
      <c r="B200" s="1" t="s">
        <v>405</v>
      </c>
      <c r="C200" s="15" t="s">
        <v>404</v>
      </c>
      <c r="D200" s="4"/>
      <c r="E200" s="13">
        <v>46230</v>
      </c>
      <c r="F200" s="10">
        <v>7</v>
      </c>
      <c r="G200" s="16">
        <f>(D200-(0)+0-(F200*Ventas!AE189*1.8))</f>
        <v>-7.6859999999999991</v>
      </c>
      <c r="H200" s="17">
        <f>(G200/(Ventas!AE189*1.8)/60)</f>
        <v>-0.11666666666666664</v>
      </c>
      <c r="I200" s="11">
        <v>40</v>
      </c>
      <c r="J200" s="16">
        <f t="shared" si="15"/>
        <v>40</v>
      </c>
      <c r="K200" s="16">
        <v>5.0960000000000001</v>
      </c>
      <c r="L200" s="13">
        <v>46275</v>
      </c>
      <c r="M200" s="10">
        <v>45</v>
      </c>
      <c r="N200" s="16">
        <f>(IF(G200&gt;0,G200+I200,I200)-(M200*Ventas!AE189*1.0044))</f>
        <v>12.429220000000001</v>
      </c>
      <c r="O200" s="17">
        <f>(N200/(Ventas!AE189*1.0044)/60)</f>
        <v>0.33810849747450017</v>
      </c>
      <c r="P200" s="11">
        <v>40</v>
      </c>
      <c r="Q200" s="16">
        <f t="shared" si="16"/>
        <v>52.429220000000001</v>
      </c>
      <c r="R200" s="16">
        <v>5.0999999999999996</v>
      </c>
      <c r="S200" s="13">
        <v>46331</v>
      </c>
      <c r="T200" s="10">
        <v>56</v>
      </c>
      <c r="U200" s="16">
        <f>(IF(N200&gt;0,N200+P200,P200)-(T200*Ventas!AE189*0.9018))</f>
        <v>21.623732000000004</v>
      </c>
      <c r="V200" s="17">
        <f>(U200/(Ventas!AE189*0.9018)/60)</f>
        <v>0.65514787062184088</v>
      </c>
      <c r="W200" s="16">
        <f>(100*(Ventas!AE189*1.235) - IF(U200&gt;0,U200,0))</f>
        <v>53.711268000000004</v>
      </c>
      <c r="X200" s="16">
        <f t="shared" si="17"/>
        <v>53.711268000000004</v>
      </c>
      <c r="Y200" s="16">
        <f t="shared" si="18"/>
        <v>75.335000000000008</v>
      </c>
      <c r="Z200" s="18">
        <v>5.0960000000000001</v>
      </c>
      <c r="AA200" s="11">
        <v>3027</v>
      </c>
      <c r="AB200" s="16">
        <f>(Y200-(60*Ventas!AE189*1.235))</f>
        <v>30.134</v>
      </c>
      <c r="AC200" s="17">
        <f>(AB200/(Ventas!AE189*1.235)/60)</f>
        <v>0.66666666666666663</v>
      </c>
      <c r="AD200" s="1" t="s">
        <v>34</v>
      </c>
      <c r="AE200">
        <f t="shared" si="19"/>
        <v>273.71262172800004</v>
      </c>
    </row>
    <row r="201" spans="1:31" x14ac:dyDescent="0.25">
      <c r="A201" s="1"/>
      <c r="B201" s="1" t="s">
        <v>407</v>
      </c>
      <c r="C201" s="15" t="s">
        <v>406</v>
      </c>
      <c r="D201" s="11">
        <v>70</v>
      </c>
      <c r="E201" s="13">
        <v>46230</v>
      </c>
      <c r="F201" s="10">
        <v>7</v>
      </c>
      <c r="G201" s="16">
        <f>(D201-(0)+0-(F201*Ventas!AE190*1.8))</f>
        <v>66.036940000000001</v>
      </c>
      <c r="H201" s="17">
        <f>(G201/(Ventas!AE190*1.8)/60)</f>
        <v>1.9440305386914827</v>
      </c>
      <c r="I201" s="11">
        <v>0</v>
      </c>
      <c r="J201" s="16">
        <f t="shared" si="15"/>
        <v>66.036940000000001</v>
      </c>
      <c r="K201" s="4"/>
      <c r="L201" s="13">
        <v>46275</v>
      </c>
      <c r="M201" s="10">
        <v>45</v>
      </c>
      <c r="N201" s="16">
        <f>(IF(G201&gt;0,G201+I201,I201)-(M201*Ventas!AE190*1.0044))</f>
        <v>51.820877628571431</v>
      </c>
      <c r="O201" s="17">
        <f>(N201/(Ventas!AE190*1.0044)/60)</f>
        <v>2.7339256965797185</v>
      </c>
      <c r="P201" s="11">
        <v>0</v>
      </c>
      <c r="Q201" s="16">
        <f t="shared" si="16"/>
        <v>51.820877628571431</v>
      </c>
      <c r="R201" s="4"/>
      <c r="S201" s="13">
        <v>46331</v>
      </c>
      <c r="T201" s="10">
        <v>56</v>
      </c>
      <c r="U201" s="16">
        <f>(IF(N201&gt;0,N201+P201,P201)-(T201*Ventas!AE190*0.9018))</f>
        <v>35.936933148571434</v>
      </c>
      <c r="V201" s="17">
        <f>(U201/(Ventas!AE190*0.9018)/60)</f>
        <v>2.1116378017794069</v>
      </c>
      <c r="W201" s="16">
        <f>(100*(Ventas!AE190*1.235) - IF(U201&gt;0,U201,0))</f>
        <v>2.9073454228571336</v>
      </c>
      <c r="X201" s="16">
        <f t="shared" si="17"/>
        <v>2.9073454228571336</v>
      </c>
      <c r="Y201" s="16">
        <f t="shared" si="18"/>
        <v>38.844278571428568</v>
      </c>
      <c r="Z201" s="18">
        <v>17.600000000000001</v>
      </c>
      <c r="AA201" s="11">
        <v>3027</v>
      </c>
      <c r="AB201" s="16">
        <f>(Y201-(60*Ventas!AE190*1.235))</f>
        <v>15.537711428571427</v>
      </c>
      <c r="AC201" s="17">
        <f>(AB201/(Ventas!AE190*1.235)/60)</f>
        <v>0.66666666666666663</v>
      </c>
      <c r="AD201" s="1" t="s">
        <v>34</v>
      </c>
      <c r="AE201">
        <f t="shared" si="19"/>
        <v>51.169279442285557</v>
      </c>
    </row>
    <row r="202" spans="1:31" x14ac:dyDescent="0.25">
      <c r="A202" s="1"/>
      <c r="B202" s="1" t="s">
        <v>409</v>
      </c>
      <c r="C202" s="15" t="s">
        <v>408</v>
      </c>
      <c r="D202" s="4"/>
      <c r="E202" s="13">
        <v>46230</v>
      </c>
      <c r="F202" s="10">
        <v>7</v>
      </c>
      <c r="G202" s="16">
        <f>(D202-(0)+0-(F202*Ventas!AE191*1.8))</f>
        <v>0</v>
      </c>
      <c r="H202" s="4"/>
      <c r="I202" s="11">
        <v>0</v>
      </c>
      <c r="J202" s="16">
        <f t="shared" si="15"/>
        <v>0</v>
      </c>
      <c r="K202" s="4"/>
      <c r="L202" s="13">
        <v>46275</v>
      </c>
      <c r="M202" s="10">
        <v>45</v>
      </c>
      <c r="N202" s="16">
        <f>(IF(G202&gt;0,G202+I202,I202)-(M202*Ventas!AE191*1.0044))</f>
        <v>0</v>
      </c>
      <c r="O202" s="4"/>
      <c r="P202" s="11">
        <v>0</v>
      </c>
      <c r="Q202" s="16">
        <f t="shared" si="16"/>
        <v>0</v>
      </c>
      <c r="R202" s="4"/>
      <c r="S202" s="13">
        <v>46331</v>
      </c>
      <c r="T202" s="10">
        <v>56</v>
      </c>
      <c r="U202" s="16">
        <f>(IF(N202&gt;0,N202+P202,P202)-(T202*Ventas!AE191*0.9018))</f>
        <v>0</v>
      </c>
      <c r="V202" s="4"/>
      <c r="W202" s="16">
        <f>(100*(Ventas!AE191*1.235) - IF(U202&gt;0,U202,0))</f>
        <v>0</v>
      </c>
      <c r="X202" s="16">
        <f t="shared" si="17"/>
        <v>0</v>
      </c>
      <c r="Y202" s="16">
        <f t="shared" si="18"/>
        <v>0</v>
      </c>
      <c r="Z202" s="4"/>
      <c r="AA202" s="4"/>
      <c r="AB202" s="4"/>
      <c r="AC202" s="4"/>
      <c r="AD202" s="1" t="s">
        <v>34</v>
      </c>
      <c r="AE202">
        <f t="shared" si="19"/>
        <v>0</v>
      </c>
    </row>
    <row r="203" spans="1:31" x14ac:dyDescent="0.25">
      <c r="A203" s="1"/>
      <c r="B203" s="1" t="s">
        <v>411</v>
      </c>
      <c r="C203" s="15" t="s">
        <v>410</v>
      </c>
      <c r="D203" s="4"/>
      <c r="E203" s="13">
        <v>46230</v>
      </c>
      <c r="F203" s="10">
        <v>7</v>
      </c>
      <c r="G203" s="16">
        <f>(D203-(0)+0-(F203*Ventas!AE192*1.8))</f>
        <v>0</v>
      </c>
      <c r="H203" s="4"/>
      <c r="I203" s="11">
        <v>0</v>
      </c>
      <c r="J203" s="16">
        <f t="shared" si="15"/>
        <v>0</v>
      </c>
      <c r="K203" s="4"/>
      <c r="L203" s="13">
        <v>46275</v>
      </c>
      <c r="M203" s="10">
        <v>45</v>
      </c>
      <c r="N203" s="16">
        <f>(IF(G203&gt;0,G203+I203,I203)-(M203*Ventas!AE192*1.0044))</f>
        <v>0</v>
      </c>
      <c r="O203" s="4"/>
      <c r="P203" s="11">
        <v>0</v>
      </c>
      <c r="Q203" s="16">
        <f t="shared" si="16"/>
        <v>0</v>
      </c>
      <c r="R203" s="4"/>
      <c r="S203" s="13">
        <v>46331</v>
      </c>
      <c r="T203" s="10">
        <v>56</v>
      </c>
      <c r="U203" s="16">
        <f>(IF(N203&gt;0,N203+P203,P203)-(T203*Ventas!AE192*0.9018))</f>
        <v>0</v>
      </c>
      <c r="V203" s="4"/>
      <c r="W203" s="16">
        <f>(100*(Ventas!AE192*1.235) - IF(U203&gt;0,U203,0))</f>
        <v>0</v>
      </c>
      <c r="X203" s="16">
        <f t="shared" si="17"/>
        <v>0</v>
      </c>
      <c r="Y203" s="16">
        <f t="shared" si="18"/>
        <v>0</v>
      </c>
      <c r="Z203" s="4"/>
      <c r="AA203" s="4"/>
      <c r="AB203" s="4"/>
      <c r="AC203" s="4"/>
      <c r="AD203" s="1" t="s">
        <v>34</v>
      </c>
      <c r="AE203">
        <f t="shared" si="19"/>
        <v>0</v>
      </c>
    </row>
    <row r="204" spans="1:31" x14ac:dyDescent="0.25">
      <c r="A204" s="1"/>
      <c r="B204" s="1" t="s">
        <v>413</v>
      </c>
      <c r="C204" s="15" t="s">
        <v>412</v>
      </c>
      <c r="D204" s="4"/>
      <c r="E204" s="13">
        <v>46230</v>
      </c>
      <c r="F204" s="10">
        <v>7</v>
      </c>
      <c r="G204" s="16">
        <f>(D204-(0)+0-(F204*Ventas!AE193*1.8))</f>
        <v>0</v>
      </c>
      <c r="H204" s="4"/>
      <c r="I204" s="11">
        <v>0</v>
      </c>
      <c r="J204" s="16">
        <f t="shared" si="15"/>
        <v>0</v>
      </c>
      <c r="K204" s="4"/>
      <c r="L204" s="13">
        <v>46275</v>
      </c>
      <c r="M204" s="10">
        <v>45</v>
      </c>
      <c r="N204" s="16">
        <f>(IF(G204&gt;0,G204+I204,I204)-(M204*Ventas!AE193*1.0044))</f>
        <v>0</v>
      </c>
      <c r="O204" s="4"/>
      <c r="P204" s="11">
        <v>0</v>
      </c>
      <c r="Q204" s="16">
        <f t="shared" si="16"/>
        <v>0</v>
      </c>
      <c r="R204" s="4"/>
      <c r="S204" s="13">
        <v>46331</v>
      </c>
      <c r="T204" s="10">
        <v>56</v>
      </c>
      <c r="U204" s="16">
        <f>(IF(N204&gt;0,N204+P204,P204)-(T204*Ventas!AE193*0.9018))</f>
        <v>0</v>
      </c>
      <c r="V204" s="4"/>
      <c r="W204" s="16">
        <f>(100*(Ventas!AE193*1.235) - IF(U204&gt;0,U204,0))</f>
        <v>0</v>
      </c>
      <c r="X204" s="16">
        <f t="shared" si="17"/>
        <v>0</v>
      </c>
      <c r="Y204" s="16">
        <f t="shared" si="18"/>
        <v>0</v>
      </c>
      <c r="Z204" s="4"/>
      <c r="AA204" s="4"/>
      <c r="AB204" s="4"/>
      <c r="AC204" s="4"/>
      <c r="AD204" s="1" t="s">
        <v>34</v>
      </c>
      <c r="AE204">
        <f t="shared" si="19"/>
        <v>0</v>
      </c>
    </row>
    <row r="205" spans="1:31" x14ac:dyDescent="0.25">
      <c r="A205" s="1"/>
      <c r="B205" s="1" t="s">
        <v>415</v>
      </c>
      <c r="C205" s="15" t="s">
        <v>414</v>
      </c>
      <c r="D205" s="4"/>
      <c r="E205" s="13">
        <v>46230</v>
      </c>
      <c r="F205" s="10">
        <v>7</v>
      </c>
      <c r="G205" s="16">
        <f>(D205-(0)+0-(F205*Ventas!AE194*1.8))</f>
        <v>0</v>
      </c>
      <c r="H205" s="4"/>
      <c r="I205" s="11">
        <v>0</v>
      </c>
      <c r="J205" s="16">
        <f t="shared" si="15"/>
        <v>0</v>
      </c>
      <c r="K205" s="4"/>
      <c r="L205" s="13">
        <v>46275</v>
      </c>
      <c r="M205" s="10">
        <v>45</v>
      </c>
      <c r="N205" s="16">
        <f>(IF(G205&gt;0,G205+I205,I205)-(M205*Ventas!AE194*1.0044))</f>
        <v>0</v>
      </c>
      <c r="O205" s="4"/>
      <c r="P205" s="11">
        <v>0</v>
      </c>
      <c r="Q205" s="16">
        <f t="shared" si="16"/>
        <v>0</v>
      </c>
      <c r="R205" s="4"/>
      <c r="S205" s="13">
        <v>46331</v>
      </c>
      <c r="T205" s="10">
        <v>56</v>
      </c>
      <c r="U205" s="16">
        <f>(IF(N205&gt;0,N205+P205,P205)-(T205*Ventas!AE194*0.9018))</f>
        <v>0</v>
      </c>
      <c r="V205" s="4"/>
      <c r="W205" s="16">
        <f>(100*(Ventas!AE194*1.235) - IF(U205&gt;0,U205,0))</f>
        <v>0</v>
      </c>
      <c r="X205" s="16">
        <f t="shared" si="17"/>
        <v>0</v>
      </c>
      <c r="Y205" s="16">
        <f t="shared" si="18"/>
        <v>0</v>
      </c>
      <c r="Z205" s="4"/>
      <c r="AA205" s="4"/>
      <c r="AB205" s="4"/>
      <c r="AC205" s="4"/>
      <c r="AD205" s="1" t="s">
        <v>34</v>
      </c>
      <c r="AE205">
        <f t="shared" si="19"/>
        <v>0</v>
      </c>
    </row>
    <row r="206" spans="1:31" x14ac:dyDescent="0.25">
      <c r="A206" s="1"/>
      <c r="B206" s="1" t="s">
        <v>417</v>
      </c>
      <c r="C206" s="15" t="s">
        <v>416</v>
      </c>
      <c r="D206" s="11">
        <v>365</v>
      </c>
      <c r="E206" s="13">
        <v>46230</v>
      </c>
      <c r="F206" s="10">
        <v>7</v>
      </c>
      <c r="G206" s="16">
        <f>(D206-(0)+0-(F206*Ventas!AE195*1.8))</f>
        <v>357.66302000000002</v>
      </c>
      <c r="H206" s="17">
        <f>(G206/(Ventas!AE195*1.8)/60)</f>
        <v>5.6872653780347404</v>
      </c>
      <c r="I206" s="11">
        <v>0</v>
      </c>
      <c r="J206" s="16">
        <f t="shared" si="15"/>
        <v>357.66302000000002</v>
      </c>
      <c r="K206" s="4"/>
      <c r="L206" s="13">
        <v>46275</v>
      </c>
      <c r="M206" s="10">
        <v>45</v>
      </c>
      <c r="N206" s="16">
        <f>(IF(G206&gt;0,G206+I206,I206)-(M206*Ventas!AE195*1.0044))</f>
        <v>331.34422460000002</v>
      </c>
      <c r="O206" s="17">
        <f>(N206/(Ventas!AE195*1.0044)/60)</f>
        <v>9.4422318602773121</v>
      </c>
      <c r="P206" s="11">
        <v>0</v>
      </c>
      <c r="Q206" s="16">
        <f t="shared" si="16"/>
        <v>331.34422460000002</v>
      </c>
      <c r="R206" s="4"/>
      <c r="S206" s="13">
        <v>46331</v>
      </c>
      <c r="T206" s="10">
        <v>56</v>
      </c>
      <c r="U206" s="16">
        <f>(IF(N206&gt;0,N206+P206,P206)-(T206*Ventas!AE195*0.9018))</f>
        <v>301.93760875999999</v>
      </c>
      <c r="V206" s="17">
        <f>(U206/(Ventas!AE195*0.9018)/60)</f>
        <v>9.5831644272150509</v>
      </c>
      <c r="W206" s="16">
        <f>(100*(Ventas!AE195*1.235) - IF(U206&gt;0,U206,0))</f>
        <v>-230.02355875999999</v>
      </c>
      <c r="X206" s="16">
        <f t="shared" si="17"/>
        <v>0</v>
      </c>
      <c r="Y206" s="16">
        <f t="shared" si="18"/>
        <v>301.93760875999999</v>
      </c>
      <c r="Z206" s="18">
        <v>17.100000000000001</v>
      </c>
      <c r="AA206" s="11">
        <v>3027</v>
      </c>
      <c r="AB206" s="16">
        <f>(Y206-(60*Ventas!AE195*1.235))</f>
        <v>258.78917875999997</v>
      </c>
      <c r="AC206" s="17">
        <f>(AB206/(Ventas!AE195*1.235)/60)</f>
        <v>5.9976499436943582</v>
      </c>
      <c r="AD206" s="1" t="s">
        <v>34</v>
      </c>
      <c r="AE206">
        <f t="shared" si="19"/>
        <v>0</v>
      </c>
    </row>
    <row r="207" spans="1:31" x14ac:dyDescent="0.25">
      <c r="A207" s="1"/>
      <c r="B207" s="1" t="s">
        <v>419</v>
      </c>
      <c r="C207" s="15" t="s">
        <v>418</v>
      </c>
      <c r="D207" s="11">
        <v>86</v>
      </c>
      <c r="E207" s="13">
        <v>46230</v>
      </c>
      <c r="F207" s="10">
        <v>7</v>
      </c>
      <c r="G207" s="16">
        <f>(D207-(0)+0-(F207*Ventas!AE196*1.8))</f>
        <v>69.700999999999993</v>
      </c>
      <c r="H207" s="17">
        <f>(G207/(Ventas!AE196*1.8)/60)</f>
        <v>0.49891302124874726</v>
      </c>
      <c r="I207" s="11">
        <v>102</v>
      </c>
      <c r="J207" s="16">
        <f t="shared" si="15"/>
        <v>171.70099999999999</v>
      </c>
      <c r="K207" s="16">
        <v>17.056000000000001</v>
      </c>
      <c r="L207" s="13">
        <v>46275</v>
      </c>
      <c r="M207" s="10">
        <v>45</v>
      </c>
      <c r="N207" s="16">
        <f>(IF(G207&gt;0,G207+I207,I207)-(M207*Ventas!AE196*1.0044))</f>
        <v>113.23415857142857</v>
      </c>
      <c r="O207" s="17">
        <f>(N207/(Ventas!AE196*1.0044)/60)</f>
        <v>1.4525433023831897</v>
      </c>
      <c r="P207" s="11">
        <v>144</v>
      </c>
      <c r="Q207" s="16">
        <f t="shared" si="16"/>
        <v>257.23415857142857</v>
      </c>
      <c r="R207" s="16">
        <v>17.100000000000001</v>
      </c>
      <c r="S207" s="13">
        <v>46331</v>
      </c>
      <c r="T207" s="10">
        <v>56</v>
      </c>
      <c r="U207" s="16">
        <f>(IF(N207&gt;0,N207+P207,P207)-(T207*Ventas!AE196*0.9018))</f>
        <v>191.90776657142857</v>
      </c>
      <c r="V207" s="17">
        <f>(U207/(Ventas!AE196*0.9018)/60)</f>
        <v>2.7418308279855199</v>
      </c>
      <c r="W207" s="16">
        <f>(100*(Ventas!AE196*1.235) - IF(U207&gt;0,U207,0))</f>
        <v>-32.151695142857136</v>
      </c>
      <c r="X207" s="16">
        <f t="shared" si="17"/>
        <v>0</v>
      </c>
      <c r="Y207" s="16">
        <f t="shared" si="18"/>
        <v>191.90776657142857</v>
      </c>
      <c r="Z207" s="18">
        <v>17.056000000000001</v>
      </c>
      <c r="AA207" s="11">
        <v>3027</v>
      </c>
      <c r="AB207" s="16">
        <f>(Y207-(60*Ventas!AE196*1.235))</f>
        <v>96.054123714285709</v>
      </c>
      <c r="AC207" s="17">
        <f>(AB207/(Ventas!AE196*1.235)/60)</f>
        <v>1.0020915309128275</v>
      </c>
      <c r="AD207" s="1" t="s">
        <v>34</v>
      </c>
      <c r="AE207">
        <f t="shared" si="19"/>
        <v>0</v>
      </c>
    </row>
    <row r="208" spans="1:31" x14ac:dyDescent="0.25">
      <c r="A208" s="1"/>
      <c r="B208" s="1" t="s">
        <v>421</v>
      </c>
      <c r="C208" s="15" t="s">
        <v>420</v>
      </c>
      <c r="D208" s="11">
        <v>21</v>
      </c>
      <c r="E208" s="13">
        <v>46230</v>
      </c>
      <c r="F208" s="10">
        <v>7</v>
      </c>
      <c r="G208" s="16">
        <f>(D208-(0)+0-(F208*Ventas!AE197*1.8))</f>
        <v>19.992360000000001</v>
      </c>
      <c r="H208" s="17">
        <f>(G208/(Ventas!AE197*1.8)/60)</f>
        <v>2.3147572545750466</v>
      </c>
      <c r="I208" s="11">
        <v>0</v>
      </c>
      <c r="J208" s="16">
        <f t="shared" si="15"/>
        <v>19.992360000000001</v>
      </c>
      <c r="K208" s="4"/>
      <c r="L208" s="13">
        <v>46275</v>
      </c>
      <c r="M208" s="10">
        <v>45</v>
      </c>
      <c r="N208" s="16">
        <f>(IF(G208&gt;0,G208+I208,I208)-(M208*Ventas!AE197*1.0044))</f>
        <v>16.377811371428571</v>
      </c>
      <c r="O208" s="17">
        <f>(N208/(Ventas!AE197*1.0044)/60)</f>
        <v>3.3983104920699754</v>
      </c>
      <c r="P208" s="11">
        <v>0</v>
      </c>
      <c r="Q208" s="16">
        <f t="shared" si="16"/>
        <v>16.377811371428571</v>
      </c>
      <c r="R208" s="4"/>
      <c r="S208" s="13">
        <v>46331</v>
      </c>
      <c r="T208" s="10">
        <v>56</v>
      </c>
      <c r="U208" s="16">
        <f>(IF(N208&gt;0,N208+P208,P208)-(T208*Ventas!AE197*0.9018))</f>
        <v>12.339190251428569</v>
      </c>
      <c r="V208" s="17">
        <f>(U208/(Ventas!AE197*0.9018)/60)</f>
        <v>2.8516112865769383</v>
      </c>
      <c r="W208" s="16">
        <f>(100*(Ventas!AE197*1.235) - IF(U208&gt;0,U208,0))</f>
        <v>-2.4627188228571395</v>
      </c>
      <c r="X208" s="16">
        <f t="shared" si="17"/>
        <v>0</v>
      </c>
      <c r="Y208" s="16">
        <f t="shared" si="18"/>
        <v>12.339190251428569</v>
      </c>
      <c r="Z208" s="18">
        <v>23.3</v>
      </c>
      <c r="AA208" s="11">
        <v>3010</v>
      </c>
      <c r="AB208" s="16">
        <f>(Y208-(60*Ventas!AE197*1.235))</f>
        <v>6.4133073942857104</v>
      </c>
      <c r="AC208" s="17">
        <f>(AB208/(Ventas!AE197*1.235)/60)</f>
        <v>1.0822534884494599</v>
      </c>
      <c r="AD208" s="1" t="s">
        <v>34</v>
      </c>
      <c r="AE208">
        <f t="shared" si="19"/>
        <v>0</v>
      </c>
    </row>
    <row r="209" spans="1:31" x14ac:dyDescent="0.25">
      <c r="A209" s="1"/>
      <c r="B209" s="1" t="s">
        <v>423</v>
      </c>
      <c r="C209" s="15" t="s">
        <v>422</v>
      </c>
      <c r="D209" s="11">
        <v>85</v>
      </c>
      <c r="E209" s="13">
        <v>46230</v>
      </c>
      <c r="F209" s="10">
        <v>7</v>
      </c>
      <c r="G209" s="16">
        <f>(D209-(0)+0-(F209*Ventas!AE198*1.8))</f>
        <v>83.394760000000005</v>
      </c>
      <c r="H209" s="17">
        <f>(G209/(Ventas!AE198*1.8)/60)</f>
        <v>6.0610180824466546</v>
      </c>
      <c r="I209" s="11">
        <v>20</v>
      </c>
      <c r="J209" s="16">
        <f t="shared" si="15"/>
        <v>103.39476000000001</v>
      </c>
      <c r="K209" s="16">
        <v>8.7360000000000007</v>
      </c>
      <c r="L209" s="13">
        <v>46275</v>
      </c>
      <c r="M209" s="10">
        <v>45</v>
      </c>
      <c r="N209" s="16">
        <f>(IF(G209&gt;0,G209+I209,I209)-(M209*Ventas!AE198*1.0044))</f>
        <v>97.636534800000007</v>
      </c>
      <c r="O209" s="17">
        <f>(N209/(Ventas!AE198*1.0044)/60)</f>
        <v>12.717008897116427</v>
      </c>
      <c r="P209" s="11">
        <v>0</v>
      </c>
      <c r="Q209" s="16">
        <f t="shared" si="16"/>
        <v>97.636534800000007</v>
      </c>
      <c r="R209" s="4"/>
      <c r="S209" s="13">
        <v>46331</v>
      </c>
      <c r="T209" s="10">
        <v>56</v>
      </c>
      <c r="U209" s="16">
        <f>(IF(N209&gt;0,N209+P209,P209)-(T209*Ventas!AE198*0.9018))</f>
        <v>91.202732880000013</v>
      </c>
      <c r="V209" s="17">
        <f>(U209/(Ventas!AE198*0.9018)/60)</f>
        <v>13.230520887407119</v>
      </c>
      <c r="W209" s="16">
        <f>(100*(Ventas!AE198*1.235) - IF(U209&gt;0,U209,0))</f>
        <v>-75.468832880000008</v>
      </c>
      <c r="X209" s="16">
        <f t="shared" si="17"/>
        <v>0</v>
      </c>
      <c r="Y209" s="16">
        <f t="shared" si="18"/>
        <v>91.202732880000013</v>
      </c>
      <c r="Z209" s="18">
        <v>8.7360000000000007</v>
      </c>
      <c r="AA209" s="11">
        <v>3027</v>
      </c>
      <c r="AB209" s="16">
        <f>(Y209-(60*Ventas!AE198*1.235))</f>
        <v>81.762392880000021</v>
      </c>
      <c r="AC209" s="17">
        <f>(AB209/(Ventas!AE198*1.235)/60)</f>
        <v>8.6609584909018125</v>
      </c>
      <c r="AD209" s="1" t="s">
        <v>34</v>
      </c>
      <c r="AE209">
        <f t="shared" si="19"/>
        <v>0</v>
      </c>
    </row>
    <row r="210" spans="1:31" x14ac:dyDescent="0.25">
      <c r="A210" s="1"/>
      <c r="B210" s="1" t="s">
        <v>425</v>
      </c>
      <c r="C210" s="15" t="s">
        <v>424</v>
      </c>
      <c r="D210" s="11">
        <v>70</v>
      </c>
      <c r="E210" s="13">
        <v>46230</v>
      </c>
      <c r="F210" s="10">
        <v>7</v>
      </c>
      <c r="G210" s="16">
        <f>(D210-(0)+0-(F210*Ventas!AE199*1.8))</f>
        <v>69.202060000000003</v>
      </c>
      <c r="H210" s="17">
        <f>(G210/(Ventas!AE199*1.8)/60)</f>
        <v>10.118020987375825</v>
      </c>
      <c r="I210" s="11">
        <v>0</v>
      </c>
      <c r="J210" s="16">
        <f t="shared" si="15"/>
        <v>69.202060000000003</v>
      </c>
      <c r="K210" s="4"/>
      <c r="L210" s="13">
        <v>46275</v>
      </c>
      <c r="M210" s="10">
        <v>45</v>
      </c>
      <c r="N210" s="16">
        <f>(IF(G210&gt;0,G210+I210,I210)-(M210*Ventas!AE199*1.0044))</f>
        <v>66.339735228571428</v>
      </c>
      <c r="O210" s="17">
        <f>(N210/(Ventas!AE199*1.0044)/60)</f>
        <v>17.382654099239836</v>
      </c>
      <c r="P210" s="11">
        <v>0</v>
      </c>
      <c r="Q210" s="16">
        <f t="shared" si="16"/>
        <v>66.339735228571428</v>
      </c>
      <c r="R210" s="4"/>
      <c r="S210" s="13">
        <v>46331</v>
      </c>
      <c r="T210" s="10">
        <v>56</v>
      </c>
      <c r="U210" s="16">
        <f>(IF(N210&gt;0,N210+P210,P210)-(T210*Ventas!AE199*0.9018))</f>
        <v>63.141591708571426</v>
      </c>
      <c r="V210" s="17">
        <f>(U210/(Ventas!AE199*0.9018)/60)</f>
        <v>18.426987998754143</v>
      </c>
      <c r="W210" s="16">
        <f>(100*(Ventas!AE199*1.235) - IF(U210&gt;0,U210,0))</f>
        <v>-55.320513137142854</v>
      </c>
      <c r="X210" s="16">
        <f t="shared" si="17"/>
        <v>0</v>
      </c>
      <c r="Y210" s="16">
        <f t="shared" si="18"/>
        <v>63.141591708571426</v>
      </c>
      <c r="Z210" s="18">
        <v>8.6999999999999993</v>
      </c>
      <c r="AA210" s="11">
        <v>3027</v>
      </c>
      <c r="AB210" s="16">
        <f>(Y210-(60*Ventas!AE199*1.235))</f>
        <v>58.448944565714285</v>
      </c>
      <c r="AC210" s="17">
        <f>(AB210/(Ventas!AE199*1.235)/60)</f>
        <v>12.455431398604443</v>
      </c>
      <c r="AD210" s="1" t="s">
        <v>34</v>
      </c>
      <c r="AE210">
        <f t="shared" si="19"/>
        <v>0</v>
      </c>
    </row>
    <row r="211" spans="1:31" x14ac:dyDescent="0.25">
      <c r="A211" s="1"/>
      <c r="B211" s="1" t="s">
        <v>427</v>
      </c>
      <c r="C211" s="15" t="s">
        <v>426</v>
      </c>
      <c r="D211" s="11">
        <v>32</v>
      </c>
      <c r="E211" s="13">
        <v>46230</v>
      </c>
      <c r="F211" s="10">
        <v>7</v>
      </c>
      <c r="G211" s="16">
        <f>(D211-(0)+0-(F211*Ventas!AE200*1.8))</f>
        <v>31.324819999999999</v>
      </c>
      <c r="H211" s="17">
        <f>(G211/(Ventas!AE200*1.8)/60)</f>
        <v>5.4127230269459004</v>
      </c>
      <c r="I211" s="11">
        <v>0</v>
      </c>
      <c r="J211" s="16">
        <f t="shared" si="15"/>
        <v>31.324819999999999</v>
      </c>
      <c r="K211" s="4"/>
      <c r="L211" s="13">
        <v>46275</v>
      </c>
      <c r="M211" s="10">
        <v>45</v>
      </c>
      <c r="N211" s="16">
        <f>(IF(G211&gt;0,G211+I211,I211)-(M211*Ventas!AE200*1.0044))</f>
        <v>28.902852885714285</v>
      </c>
      <c r="O211" s="17">
        <f>(N211/(Ventas!AE200*1.0044)/60)</f>
        <v>8.9502204783976733</v>
      </c>
      <c r="P211" s="11">
        <v>0</v>
      </c>
      <c r="Q211" s="16">
        <f t="shared" si="16"/>
        <v>28.902852885714285</v>
      </c>
      <c r="R211" s="4"/>
      <c r="S211" s="13">
        <v>46331</v>
      </c>
      <c r="T211" s="10">
        <v>56</v>
      </c>
      <c r="U211" s="16">
        <f>(IF(N211&gt;0,N211+P211,P211)-(T211*Ventas!AE200*0.9018))</f>
        <v>26.196731445714285</v>
      </c>
      <c r="V211" s="17">
        <f>(U211/(Ventas!AE200*0.9018)/60)</f>
        <v>9.0351757024868284</v>
      </c>
      <c r="W211" s="16">
        <f>(100*(Ventas!AE200*1.235) - IF(U211&gt;0,U211,0))</f>
        <v>-19.57889573142857</v>
      </c>
      <c r="X211" s="16">
        <f t="shared" si="17"/>
        <v>0</v>
      </c>
      <c r="Y211" s="16">
        <f t="shared" si="18"/>
        <v>26.196731445714285</v>
      </c>
      <c r="Z211" s="18">
        <v>17.100000000000001</v>
      </c>
      <c r="AA211" s="11">
        <v>3010</v>
      </c>
      <c r="AB211" s="16">
        <f>(Y211-(60*Ventas!AE200*1.235))</f>
        <v>22.226030017142854</v>
      </c>
      <c r="AC211" s="17">
        <f>(AB211/(Ventas!AE200*1.235)/60)</f>
        <v>5.5975072457511086</v>
      </c>
      <c r="AD211" s="1" t="s">
        <v>34</v>
      </c>
      <c r="AE211">
        <f t="shared" si="19"/>
        <v>0</v>
      </c>
    </row>
    <row r="212" spans="1:31" x14ac:dyDescent="0.25">
      <c r="A212" s="1"/>
      <c r="B212" s="1" t="s">
        <v>429</v>
      </c>
      <c r="C212" s="15" t="s">
        <v>428</v>
      </c>
      <c r="D212" s="11">
        <v>8</v>
      </c>
      <c r="E212" s="13">
        <v>46230</v>
      </c>
      <c r="F212" s="10">
        <v>7</v>
      </c>
      <c r="G212" s="16">
        <f>(D212-(0)+0-(F212*Ventas!AE201*1.8))</f>
        <v>4.2999200000000002</v>
      </c>
      <c r="H212" s="17">
        <f>(G212/(Ventas!AE201*1.8)/60)</f>
        <v>0.13558013160075819</v>
      </c>
      <c r="I212" s="11">
        <v>0</v>
      </c>
      <c r="J212" s="16">
        <f t="shared" si="15"/>
        <v>4.2999200000000002</v>
      </c>
      <c r="K212" s="4"/>
      <c r="L212" s="13">
        <v>46275</v>
      </c>
      <c r="M212" s="10">
        <v>45</v>
      </c>
      <c r="N212" s="16">
        <f>(IF(G212&gt;0,G212+I212,I212)-(M212*Ventas!AE201*1.0044))</f>
        <v>-8.9727955428571438</v>
      </c>
      <c r="O212" s="17">
        <f>(N212/(Ventas!AE201*1.0044)/60)</f>
        <v>-0.50702485376208217</v>
      </c>
      <c r="P212" s="11">
        <v>0</v>
      </c>
      <c r="Q212" s="16">
        <f t="shared" si="16"/>
        <v>0</v>
      </c>
      <c r="R212" s="4"/>
      <c r="S212" s="13">
        <v>46331</v>
      </c>
      <c r="T212" s="10">
        <v>56</v>
      </c>
      <c r="U212" s="16">
        <f>(IF(N212&gt;0,N212+P212,P212)-(T212*Ventas!AE201*0.9018))</f>
        <v>-14.829920640000001</v>
      </c>
      <c r="V212" s="17">
        <f>(U212/(Ventas!AE201*0.9018)/60)</f>
        <v>-0.93333333333333324</v>
      </c>
      <c r="W212" s="16">
        <f>(100*(Ventas!AE201*1.235) - IF(U212&gt;0,U212,0))</f>
        <v>36.266657142857149</v>
      </c>
      <c r="X212" s="16">
        <f t="shared" si="17"/>
        <v>36.266657142857149</v>
      </c>
      <c r="Y212" s="16">
        <f t="shared" si="18"/>
        <v>36.266657142857149</v>
      </c>
      <c r="Z212" s="18">
        <v>15</v>
      </c>
      <c r="AA212" s="11">
        <v>3010</v>
      </c>
      <c r="AB212" s="16">
        <f>(Y212-(60*Ventas!AE201*1.235))</f>
        <v>14.506662857142857</v>
      </c>
      <c r="AC212" s="17">
        <f>(AB212/(Ventas!AE201*1.235)/60)</f>
        <v>0.66666666666666652</v>
      </c>
      <c r="AD212" s="1" t="s">
        <v>107</v>
      </c>
      <c r="AE212">
        <f t="shared" si="19"/>
        <v>543.99985714285719</v>
      </c>
    </row>
    <row r="213" spans="1:31" x14ac:dyDescent="0.25">
      <c r="A213" s="1"/>
      <c r="B213" s="1" t="s">
        <v>431</v>
      </c>
      <c r="C213" s="15" t="s">
        <v>430</v>
      </c>
      <c r="D213" s="11">
        <v>31</v>
      </c>
      <c r="E213" s="13">
        <v>46230</v>
      </c>
      <c r="F213" s="10">
        <v>7</v>
      </c>
      <c r="G213" s="16">
        <f>(D213-(0)+0-(F213*Ventas!AE202*1.8))</f>
        <v>28.664860000000001</v>
      </c>
      <c r="H213" s="17">
        <f>(G213/(Ventas!AE202*1.8)/60)</f>
        <v>1.4321341190107086</v>
      </c>
      <c r="I213" s="11">
        <v>0</v>
      </c>
      <c r="J213" s="16">
        <f t="shared" si="15"/>
        <v>28.664860000000001</v>
      </c>
      <c r="K213" s="4"/>
      <c r="L213" s="13">
        <v>46275</v>
      </c>
      <c r="M213" s="10">
        <v>45</v>
      </c>
      <c r="N213" s="16">
        <f>(IF(G213&gt;0,G213+I213,I213)-(M213*Ventas!AE202*1.0044))</f>
        <v>20.288379228571429</v>
      </c>
      <c r="O213" s="17">
        <f>(N213/(Ventas!AE202*1.0044)/60)</f>
        <v>1.8165486003776143</v>
      </c>
      <c r="P213" s="11">
        <v>0</v>
      </c>
      <c r="Q213" s="16">
        <f t="shared" si="16"/>
        <v>20.288379228571429</v>
      </c>
      <c r="R213" s="4"/>
      <c r="S213" s="13">
        <v>46331</v>
      </c>
      <c r="T213" s="10">
        <v>56</v>
      </c>
      <c r="U213" s="16">
        <f>(IF(N213&gt;0,N213+P213,P213)-(T213*Ventas!AE202*0.9018))</f>
        <v>10.929138108571427</v>
      </c>
      <c r="V213" s="17">
        <f>(U213/(Ventas!AE202*0.9018)/60)</f>
        <v>1.0898884610992188</v>
      </c>
      <c r="W213" s="16">
        <f>(100*(Ventas!AE202*1.235) - IF(U213&gt;0,U213,0))</f>
        <v>11.958940462857148</v>
      </c>
      <c r="X213" s="16">
        <f t="shared" si="17"/>
        <v>11.958940462857148</v>
      </c>
      <c r="Y213" s="16">
        <f t="shared" si="18"/>
        <v>22.888078571428576</v>
      </c>
      <c r="Z213" s="18">
        <v>15</v>
      </c>
      <c r="AA213" s="11">
        <v>3027</v>
      </c>
      <c r="AB213" s="16">
        <f>(Y213-(60*Ventas!AE202*1.235))</f>
        <v>9.1552314285714296</v>
      </c>
      <c r="AC213" s="17">
        <f>(AB213/(Ventas!AE202*1.235)/60)</f>
        <v>0.66666666666666652</v>
      </c>
      <c r="AD213" s="1" t="s">
        <v>107</v>
      </c>
      <c r="AE213">
        <f t="shared" si="19"/>
        <v>179.38410694285722</v>
      </c>
    </row>
    <row r="214" spans="1:31" x14ac:dyDescent="0.25">
      <c r="A214" s="1"/>
      <c r="B214" s="1" t="s">
        <v>830</v>
      </c>
      <c r="C214" s="15" t="s">
        <v>829</v>
      </c>
      <c r="D214" s="4"/>
      <c r="E214" s="13">
        <v>46230</v>
      </c>
      <c r="F214" s="10">
        <v>7</v>
      </c>
      <c r="G214" s="16">
        <f>(D214-(0)+0-(F214*Ventas!AE367*1.8))</f>
        <v>0</v>
      </c>
      <c r="H214" s="4"/>
      <c r="I214" s="11">
        <v>0</v>
      </c>
      <c r="J214" s="16">
        <f t="shared" si="15"/>
        <v>0</v>
      </c>
      <c r="K214" s="4"/>
      <c r="L214" s="13">
        <v>46275</v>
      </c>
      <c r="M214" s="10">
        <v>45</v>
      </c>
      <c r="N214" s="16">
        <f>(IF(G214&gt;0,G214+I214,I214)-(M214*Ventas!AE367*1.0044))</f>
        <v>0</v>
      </c>
      <c r="O214" s="4"/>
      <c r="P214" s="11">
        <v>0</v>
      </c>
      <c r="Q214" s="16">
        <f t="shared" si="16"/>
        <v>0</v>
      </c>
      <c r="R214" s="4"/>
      <c r="S214" s="13">
        <v>46331</v>
      </c>
      <c r="T214" s="10">
        <v>56</v>
      </c>
      <c r="U214" s="16">
        <f>(IF(N214&gt;0,N214+P214,P214)-(T214*Ventas!AE367*0.9018))</f>
        <v>0</v>
      </c>
      <c r="V214" s="4"/>
      <c r="W214" s="16">
        <f>(100*(Ventas!AE367*1.235) - IF(U214&gt;0,U214,0))</f>
        <v>0</v>
      </c>
      <c r="X214" s="16">
        <f t="shared" si="17"/>
        <v>0</v>
      </c>
      <c r="Y214" s="16">
        <f t="shared" si="18"/>
        <v>0</v>
      </c>
      <c r="Z214" s="4"/>
      <c r="AA214" s="4"/>
      <c r="AB214" s="4"/>
      <c r="AC214" s="4"/>
      <c r="AD214" s="1" t="s">
        <v>34</v>
      </c>
      <c r="AE214">
        <f t="shared" si="19"/>
        <v>0</v>
      </c>
    </row>
    <row r="215" spans="1:31" x14ac:dyDescent="0.25">
      <c r="A215" s="1"/>
      <c r="B215" s="1" t="s">
        <v>832</v>
      </c>
      <c r="C215" s="15" t="s">
        <v>831</v>
      </c>
      <c r="D215" s="4"/>
      <c r="E215" s="13">
        <v>46230</v>
      </c>
      <c r="F215" s="10">
        <v>7</v>
      </c>
      <c r="G215" s="16">
        <f>(D215-(0)+0-(F215*Ventas!AE368*1.8))</f>
        <v>0</v>
      </c>
      <c r="H215" s="4"/>
      <c r="I215" s="11">
        <v>0</v>
      </c>
      <c r="J215" s="16">
        <f t="shared" si="15"/>
        <v>0</v>
      </c>
      <c r="K215" s="4"/>
      <c r="L215" s="13">
        <v>46275</v>
      </c>
      <c r="M215" s="10">
        <v>45</v>
      </c>
      <c r="N215" s="16">
        <f>(IF(G215&gt;0,G215+I215,I215)-(M215*Ventas!AE368*1.0044))</f>
        <v>0</v>
      </c>
      <c r="O215" s="4"/>
      <c r="P215" s="11">
        <v>0</v>
      </c>
      <c r="Q215" s="16">
        <f t="shared" si="16"/>
        <v>0</v>
      </c>
      <c r="R215" s="4"/>
      <c r="S215" s="13">
        <v>46331</v>
      </c>
      <c r="T215" s="10">
        <v>56</v>
      </c>
      <c r="U215" s="16">
        <f>(IF(N215&gt;0,N215+P215,P215)-(T215*Ventas!AE368*0.9018))</f>
        <v>0</v>
      </c>
      <c r="V215" s="4"/>
      <c r="W215" s="16">
        <f>(100*(Ventas!AE368*1.235) - IF(U215&gt;0,U215,0))</f>
        <v>0</v>
      </c>
      <c r="X215" s="16">
        <f t="shared" si="17"/>
        <v>0</v>
      </c>
      <c r="Y215" s="16">
        <f t="shared" si="18"/>
        <v>0</v>
      </c>
      <c r="Z215" s="4"/>
      <c r="AA215" s="4"/>
      <c r="AB215" s="4"/>
      <c r="AC215" s="4"/>
      <c r="AD215" s="1" t="s">
        <v>34</v>
      </c>
      <c r="AE215">
        <f t="shared" si="19"/>
        <v>0</v>
      </c>
    </row>
    <row r="216" spans="1:31" x14ac:dyDescent="0.25">
      <c r="A216" s="1"/>
      <c r="B216" s="1" t="s">
        <v>834</v>
      </c>
      <c r="C216" s="15" t="s">
        <v>833</v>
      </c>
      <c r="D216" s="4"/>
      <c r="E216" s="13">
        <v>46230</v>
      </c>
      <c r="F216" s="10">
        <v>7</v>
      </c>
      <c r="G216" s="16">
        <f>(D216-(0)+0-(F216*Ventas!AE369*1.8))</f>
        <v>0</v>
      </c>
      <c r="H216" s="4"/>
      <c r="I216" s="11">
        <v>0</v>
      </c>
      <c r="J216" s="16">
        <f t="shared" si="15"/>
        <v>0</v>
      </c>
      <c r="K216" s="4"/>
      <c r="L216" s="13">
        <v>46275</v>
      </c>
      <c r="M216" s="10">
        <v>45</v>
      </c>
      <c r="N216" s="16">
        <f>(IF(G216&gt;0,G216+I216,I216)-(M216*Ventas!AE369*1.0044))</f>
        <v>0</v>
      </c>
      <c r="O216" s="4"/>
      <c r="P216" s="11">
        <v>0</v>
      </c>
      <c r="Q216" s="16">
        <f t="shared" si="16"/>
        <v>0</v>
      </c>
      <c r="R216" s="4"/>
      <c r="S216" s="13">
        <v>46331</v>
      </c>
      <c r="T216" s="10">
        <v>56</v>
      </c>
      <c r="U216" s="16">
        <f>(IF(N216&gt;0,N216+P216,P216)-(T216*Ventas!AE369*0.9018))</f>
        <v>0</v>
      </c>
      <c r="V216" s="4"/>
      <c r="W216" s="16">
        <f>(100*(Ventas!AE369*1.235) - IF(U216&gt;0,U216,0))</f>
        <v>0</v>
      </c>
      <c r="X216" s="16">
        <f t="shared" si="17"/>
        <v>0</v>
      </c>
      <c r="Y216" s="16">
        <f t="shared" si="18"/>
        <v>0</v>
      </c>
      <c r="Z216" s="4"/>
      <c r="AA216" s="4"/>
      <c r="AB216" s="4"/>
      <c r="AC216" s="4"/>
      <c r="AD216" s="1" t="s">
        <v>34</v>
      </c>
      <c r="AE216">
        <f t="shared" si="19"/>
        <v>0</v>
      </c>
    </row>
    <row r="217" spans="1:31" x14ac:dyDescent="0.25">
      <c r="A217" s="1"/>
      <c r="B217" s="1" t="s">
        <v>836</v>
      </c>
      <c r="C217" s="15" t="s">
        <v>835</v>
      </c>
      <c r="D217" s="4"/>
      <c r="E217" s="13">
        <v>46230</v>
      </c>
      <c r="F217" s="10">
        <v>7</v>
      </c>
      <c r="G217" s="16">
        <f>(D217-(0)+0-(F217*Ventas!AE370*1.8))</f>
        <v>0</v>
      </c>
      <c r="H217" s="4"/>
      <c r="I217" s="11">
        <v>0</v>
      </c>
      <c r="J217" s="16">
        <f t="shared" si="15"/>
        <v>0</v>
      </c>
      <c r="K217" s="4"/>
      <c r="L217" s="13">
        <v>46275</v>
      </c>
      <c r="M217" s="10">
        <v>45</v>
      </c>
      <c r="N217" s="16">
        <f>(IF(G217&gt;0,G217+I217,I217)-(M217*Ventas!AE370*1.0044))</f>
        <v>0</v>
      </c>
      <c r="O217" s="4"/>
      <c r="P217" s="11">
        <v>0</v>
      </c>
      <c r="Q217" s="16">
        <f t="shared" si="16"/>
        <v>0</v>
      </c>
      <c r="R217" s="4"/>
      <c r="S217" s="13">
        <v>46331</v>
      </c>
      <c r="T217" s="10">
        <v>56</v>
      </c>
      <c r="U217" s="16">
        <f>(IF(N217&gt;0,N217+P217,P217)-(T217*Ventas!AE370*0.9018))</f>
        <v>0</v>
      </c>
      <c r="V217" s="4"/>
      <c r="W217" s="16">
        <f>(100*(Ventas!AE370*1.235) - IF(U217&gt;0,U217,0))</f>
        <v>0</v>
      </c>
      <c r="X217" s="16">
        <f t="shared" si="17"/>
        <v>0</v>
      </c>
      <c r="Y217" s="16">
        <f t="shared" si="18"/>
        <v>0</v>
      </c>
      <c r="Z217" s="4"/>
      <c r="AA217" s="4"/>
      <c r="AB217" s="4"/>
      <c r="AC217" s="4"/>
      <c r="AD217" s="1" t="s">
        <v>34</v>
      </c>
      <c r="AE217">
        <f t="shared" si="19"/>
        <v>0</v>
      </c>
    </row>
    <row r="218" spans="1:31" x14ac:dyDescent="0.25">
      <c r="A218" s="1"/>
      <c r="B218" s="1" t="s">
        <v>433</v>
      </c>
      <c r="C218" s="15" t="s">
        <v>432</v>
      </c>
      <c r="D218" s="11">
        <v>33</v>
      </c>
      <c r="E218" s="13">
        <v>46230</v>
      </c>
      <c r="F218" s="10">
        <v>7</v>
      </c>
      <c r="G218" s="16">
        <f>(D218-(0)+0-(F218*Ventas!AE203*1.8))</f>
        <v>28.7637</v>
      </c>
      <c r="H218" s="17">
        <f>(G218/(Ventas!AE203*1.8)/60)</f>
        <v>0.79214526827656195</v>
      </c>
      <c r="I218" s="11">
        <v>0</v>
      </c>
      <c r="J218" s="16">
        <f t="shared" si="15"/>
        <v>28.7637</v>
      </c>
      <c r="K218" s="4"/>
      <c r="L218" s="13">
        <v>46275</v>
      </c>
      <c r="M218" s="10">
        <v>45</v>
      </c>
      <c r="N218" s="16">
        <f>(IF(G218&gt;0,G218+I218,I218)-(M218*Ventas!AE203*1.0044))</f>
        <v>13.567486714285714</v>
      </c>
      <c r="O218" s="17">
        <f>(N218/(Ventas!AE203*1.0044)/60)</f>
        <v>0.66961517612287103</v>
      </c>
      <c r="P218" s="11">
        <v>15</v>
      </c>
      <c r="Q218" s="16">
        <f t="shared" si="16"/>
        <v>28.567486714285714</v>
      </c>
      <c r="R218" s="16">
        <v>6.1</v>
      </c>
      <c r="S218" s="13">
        <v>46331</v>
      </c>
      <c r="T218" s="10">
        <v>56</v>
      </c>
      <c r="U218" s="16">
        <f>(IF(N218&gt;0,N218+P218,P218)-(T218*Ventas!AE203*0.9018))</f>
        <v>11.58839631428571</v>
      </c>
      <c r="V218" s="17">
        <f>(U218/(Ventas!AE203*0.9018)/60)</f>
        <v>0.63700918631071035</v>
      </c>
      <c r="W218" s="16">
        <f>(100*(Ventas!AE203*1.235) - IF(U218&gt;0,U218,0))</f>
        <v>29.934067971428583</v>
      </c>
      <c r="X218" s="16">
        <f t="shared" si="17"/>
        <v>29.934067971428583</v>
      </c>
      <c r="Y218" s="16">
        <f t="shared" si="18"/>
        <v>41.522464285714292</v>
      </c>
      <c r="Z218" s="18">
        <v>6.1</v>
      </c>
      <c r="AA218" s="11">
        <v>3010</v>
      </c>
      <c r="AB218" s="16">
        <f>(Y218-(60*Ventas!AE203*1.235))</f>
        <v>16.608985714285719</v>
      </c>
      <c r="AC218" s="17">
        <f>(AB218/(Ventas!AE203*1.235)/60)</f>
        <v>0.66666666666666663</v>
      </c>
      <c r="AD218" s="1" t="s">
        <v>34</v>
      </c>
      <c r="AE218">
        <f t="shared" si="19"/>
        <v>182.59781462571434</v>
      </c>
    </row>
    <row r="219" spans="1:31" x14ac:dyDescent="0.25">
      <c r="A219" s="1"/>
      <c r="B219" s="1" t="s">
        <v>435</v>
      </c>
      <c r="C219" s="15" t="s">
        <v>434</v>
      </c>
      <c r="D219" s="11">
        <v>187</v>
      </c>
      <c r="E219" s="13">
        <v>46230</v>
      </c>
      <c r="F219" s="10">
        <v>7</v>
      </c>
      <c r="G219" s="16">
        <f>(D219-(0)+0-(F219*Ventas!AE204*1.8))</f>
        <v>179.94633999999999</v>
      </c>
      <c r="H219" s="17">
        <f>(G219/(Ventas!AE204*1.8)/60)</f>
        <v>2.9762902757811776</v>
      </c>
      <c r="I219" s="11">
        <v>20</v>
      </c>
      <c r="J219" s="16">
        <f t="shared" si="15"/>
        <v>199.94633999999999</v>
      </c>
      <c r="K219" s="16">
        <v>11.856</v>
      </c>
      <c r="L219" s="13">
        <v>46275</v>
      </c>
      <c r="M219" s="10">
        <v>45</v>
      </c>
      <c r="N219" s="16">
        <f>(IF(G219&gt;0,G219+I219,I219)-(M219*Ventas!AE204*1.0044))</f>
        <v>174.6438539142857</v>
      </c>
      <c r="O219" s="17">
        <f>(N219/(Ventas!AE204*1.0044)/60)</f>
        <v>5.1766806626036184</v>
      </c>
      <c r="P219" s="11">
        <v>40</v>
      </c>
      <c r="Q219" s="16">
        <f t="shared" si="16"/>
        <v>214.6438539142857</v>
      </c>
      <c r="R219" s="16">
        <v>11.9</v>
      </c>
      <c r="S219" s="13">
        <v>46331</v>
      </c>
      <c r="T219" s="10">
        <v>56</v>
      </c>
      <c r="U219" s="16">
        <f>(IF(N219&gt;0,N219+P219,P219)-(T219*Ventas!AE204*0.9018))</f>
        <v>186.37278463428569</v>
      </c>
      <c r="V219" s="17">
        <f>(U219/(Ventas!AE204*0.9018)/60)</f>
        <v>6.1528600352017992</v>
      </c>
      <c r="W219" s="16">
        <f>(100*(Ventas!AE204*1.235) - IF(U219&gt;0,U219,0))</f>
        <v>-117.23572034857141</v>
      </c>
      <c r="X219" s="16">
        <f t="shared" si="17"/>
        <v>0</v>
      </c>
      <c r="Y219" s="16">
        <f t="shared" si="18"/>
        <v>186.37278463428569</v>
      </c>
      <c r="Z219" s="18">
        <v>11.856</v>
      </c>
      <c r="AA219" s="11">
        <v>3027</v>
      </c>
      <c r="AB219" s="16">
        <f>(Y219-(60*Ventas!AE204*1.235))</f>
        <v>144.89054606285711</v>
      </c>
      <c r="AC219" s="17">
        <f>(AB219/(Ventas!AE204*1.235)/60)</f>
        <v>3.4928333439230626</v>
      </c>
      <c r="AD219" s="1" t="s">
        <v>34</v>
      </c>
      <c r="AE219">
        <f t="shared" si="19"/>
        <v>0</v>
      </c>
    </row>
    <row r="220" spans="1:31" x14ac:dyDescent="0.25">
      <c r="A220" s="1"/>
      <c r="B220" s="1" t="s">
        <v>437</v>
      </c>
      <c r="C220" s="15" t="s">
        <v>436</v>
      </c>
      <c r="D220" s="11">
        <v>36</v>
      </c>
      <c r="E220" s="13">
        <v>46230</v>
      </c>
      <c r="F220" s="10">
        <v>7</v>
      </c>
      <c r="G220" s="16">
        <f>(D220-(0)+0-(F220*Ventas!AE205*1.8))</f>
        <v>31.168439999999997</v>
      </c>
      <c r="H220" s="17">
        <f>(G220/(Ventas!AE205*1.8)/60)</f>
        <v>0.7526177880436129</v>
      </c>
      <c r="I220" s="11">
        <v>20</v>
      </c>
      <c r="J220" s="16">
        <f t="shared" si="15"/>
        <v>51.168439999999997</v>
      </c>
      <c r="K220" s="16">
        <v>12.375999999999999</v>
      </c>
      <c r="L220" s="13">
        <v>46275</v>
      </c>
      <c r="M220" s="10">
        <v>45</v>
      </c>
      <c r="N220" s="16">
        <f>(IF(G220&gt;0,G220+I220,I220)-(M220*Ventas!AE205*1.0044))</f>
        <v>33.836944057142851</v>
      </c>
      <c r="O220" s="17">
        <f>(N220/(Ventas!AE205*1.0044)/60)</f>
        <v>1.4642537566594815</v>
      </c>
      <c r="P220" s="11">
        <v>60</v>
      </c>
      <c r="Q220" s="16">
        <f t="shared" si="16"/>
        <v>93.836944057142858</v>
      </c>
      <c r="R220" s="16">
        <v>12.4</v>
      </c>
      <c r="S220" s="13">
        <v>46331</v>
      </c>
      <c r="T220" s="10">
        <v>56</v>
      </c>
      <c r="U220" s="16">
        <f>(IF(N220&gt;0,N220+P220,P220)-(T220*Ventas!AE205*0.9018))</f>
        <v>74.47205157714285</v>
      </c>
      <c r="V220" s="17">
        <f>(U220/(Ventas!AE205*0.9018)/60)</f>
        <v>3.5893433547567337</v>
      </c>
      <c r="W220" s="16">
        <f>(100*(Ventas!AE205*1.235) - IF(U220&gt;0,U220,0))</f>
        <v>-27.115094434285687</v>
      </c>
      <c r="X220" s="16">
        <f t="shared" si="17"/>
        <v>0</v>
      </c>
      <c r="Y220" s="16">
        <f t="shared" si="18"/>
        <v>74.47205157714285</v>
      </c>
      <c r="Z220" s="18">
        <v>12.375999999999999</v>
      </c>
      <c r="AA220" s="11">
        <v>3027</v>
      </c>
      <c r="AB220" s="16">
        <f>(Y220-(60*Ventas!AE205*1.235))</f>
        <v>46.057877291428554</v>
      </c>
      <c r="AC220" s="17">
        <f>(AB220/(Ventas!AE205*1.235)/60)</f>
        <v>1.6209472366960502</v>
      </c>
      <c r="AD220" s="1" t="s">
        <v>34</v>
      </c>
      <c r="AE220">
        <f t="shared" si="19"/>
        <v>0</v>
      </c>
    </row>
    <row r="221" spans="1:31" x14ac:dyDescent="0.25">
      <c r="A221" s="1"/>
      <c r="B221" s="1" t="s">
        <v>439</v>
      </c>
      <c r="C221" s="15" t="s">
        <v>438</v>
      </c>
      <c r="D221" s="11">
        <v>100</v>
      </c>
      <c r="E221" s="13">
        <v>46230</v>
      </c>
      <c r="F221" s="10">
        <v>7</v>
      </c>
      <c r="G221" s="16">
        <f>(D221-(0)+0-(F221*Ventas!AE206*1.8))</f>
        <v>98.608059999999995</v>
      </c>
      <c r="H221" s="17">
        <f>(G221/(Ventas!AE206*1.8)/60)</f>
        <v>8.2649206622890823</v>
      </c>
      <c r="I221" s="11">
        <v>0</v>
      </c>
      <c r="J221" s="16">
        <f t="shared" si="15"/>
        <v>98.608059999999995</v>
      </c>
      <c r="K221" s="4"/>
      <c r="L221" s="13">
        <v>46275</v>
      </c>
      <c r="M221" s="10">
        <v>45</v>
      </c>
      <c r="N221" s="16">
        <f>(IF(G221&gt;0,G221+I221,I221)-(M221*Ventas!AE206*1.0044))</f>
        <v>93.614972371428564</v>
      </c>
      <c r="O221" s="17">
        <f>(N221/(Ventas!AE206*1.0044)/60)</f>
        <v>14.061685774711618</v>
      </c>
      <c r="P221" s="11">
        <v>0</v>
      </c>
      <c r="Q221" s="16">
        <f t="shared" si="16"/>
        <v>93.614972371428564</v>
      </c>
      <c r="R221" s="4"/>
      <c r="S221" s="13">
        <v>46331</v>
      </c>
      <c r="T221" s="10">
        <v>56</v>
      </c>
      <c r="U221" s="16">
        <f>(IF(N221&gt;0,N221+P221,P221)-(T221*Ventas!AE206*0.9018))</f>
        <v>88.036076851428561</v>
      </c>
      <c r="V221" s="17">
        <f>(U221/(Ventas!AE206*0.9018)/60)</f>
        <v>14.728184954668826</v>
      </c>
      <c r="W221" s="16">
        <f>(100*(Ventas!AE206*1.235) - IF(U221&gt;0,U221,0))</f>
        <v>-74.392855422857139</v>
      </c>
      <c r="X221" s="16">
        <f t="shared" si="17"/>
        <v>0</v>
      </c>
      <c r="Y221" s="16">
        <f t="shared" si="18"/>
        <v>88.036076851428561</v>
      </c>
      <c r="Z221" s="18">
        <v>7.7</v>
      </c>
      <c r="AA221" s="11">
        <v>3010</v>
      </c>
      <c r="AB221" s="16">
        <f>(Y221-(60*Ventas!AE206*1.235))</f>
        <v>79.850143994285702</v>
      </c>
      <c r="AC221" s="17">
        <f>(AB221/(Ventas!AE206*1.235)/60)</f>
        <v>9.7545564308666783</v>
      </c>
      <c r="AD221" s="1" t="s">
        <v>34</v>
      </c>
      <c r="AE221">
        <f t="shared" si="19"/>
        <v>0</v>
      </c>
    </row>
    <row r="222" spans="1:31" x14ac:dyDescent="0.25">
      <c r="A222" s="1"/>
      <c r="B222" s="1" t="s">
        <v>441</v>
      </c>
      <c r="C222" s="15" t="s">
        <v>440</v>
      </c>
      <c r="D222" s="11">
        <v>96</v>
      </c>
      <c r="E222" s="13">
        <v>46230</v>
      </c>
      <c r="F222" s="10">
        <v>7</v>
      </c>
      <c r="G222" s="16">
        <f>(D222-(0)+0-(F222*Ventas!AE207*1.8))</f>
        <v>93.401880000000006</v>
      </c>
      <c r="H222" s="17">
        <f>(G222/(Ventas!AE207*1.8)/60)</f>
        <v>4.1941426877896326</v>
      </c>
      <c r="I222" s="11">
        <v>0</v>
      </c>
      <c r="J222" s="16">
        <f t="shared" si="15"/>
        <v>93.401880000000006</v>
      </c>
      <c r="K222" s="4"/>
      <c r="L222" s="13">
        <v>46275</v>
      </c>
      <c r="M222" s="10">
        <v>45</v>
      </c>
      <c r="N222" s="16">
        <f>(IF(G222&gt;0,G222+I222,I222)-(M222*Ventas!AE207*1.0044))</f>
        <v>84.082052400000009</v>
      </c>
      <c r="O222" s="17">
        <f>(N222/(Ventas!AE207*1.0044)/60)</f>
        <v>6.7663847451427124</v>
      </c>
      <c r="P222" s="11">
        <v>0</v>
      </c>
      <c r="Q222" s="16">
        <f t="shared" si="16"/>
        <v>84.082052400000009</v>
      </c>
      <c r="R222" s="4"/>
      <c r="S222" s="13">
        <v>46331</v>
      </c>
      <c r="T222" s="10">
        <v>56</v>
      </c>
      <c r="U222" s="16">
        <f>(IF(N222&gt;0,N222+P222,P222)-(T222*Ventas!AE207*0.9018))</f>
        <v>73.668787440000003</v>
      </c>
      <c r="V222" s="17">
        <f>(U222/(Ventas!AE207*0.9018)/60)</f>
        <v>6.6028796163465717</v>
      </c>
      <c r="W222" s="16">
        <f>(100*(Ventas!AE207*1.235) - IF(U222&gt;0,U222,0))</f>
        <v>-48.203087440000004</v>
      </c>
      <c r="X222" s="16">
        <f t="shared" si="17"/>
        <v>0</v>
      </c>
      <c r="Y222" s="16">
        <f t="shared" si="18"/>
        <v>73.668787440000003</v>
      </c>
      <c r="Z222" s="18">
        <v>7.7</v>
      </c>
      <c r="AA222" s="11">
        <v>3010</v>
      </c>
      <c r="AB222" s="16">
        <f>(Y222-(60*Ventas!AE207*1.235))</f>
        <v>58.389367440000001</v>
      </c>
      <c r="AC222" s="17">
        <f>(AB222/(Ventas!AE207*1.235)/60)</f>
        <v>3.8214387352399499</v>
      </c>
      <c r="AD222" s="1" t="s">
        <v>34</v>
      </c>
      <c r="AE222">
        <f t="shared" si="19"/>
        <v>0</v>
      </c>
    </row>
    <row r="223" spans="1:31" x14ac:dyDescent="0.25">
      <c r="A223" s="1"/>
      <c r="B223" s="1" t="s">
        <v>443</v>
      </c>
      <c r="C223" s="15" t="s">
        <v>442</v>
      </c>
      <c r="D223" s="11">
        <v>101</v>
      </c>
      <c r="E223" s="13">
        <v>46230</v>
      </c>
      <c r="F223" s="10">
        <v>7</v>
      </c>
      <c r="G223" s="16">
        <f>(D223-(0)+0-(F223*Ventas!AE208*1.8))</f>
        <v>98.811019999999999</v>
      </c>
      <c r="H223" s="17">
        <f>(G223/(Ventas!AE208*1.8)/60)</f>
        <v>5.2663579993117038</v>
      </c>
      <c r="I223" s="11">
        <v>0</v>
      </c>
      <c r="J223" s="16">
        <f t="shared" si="15"/>
        <v>98.811019999999999</v>
      </c>
      <c r="K223" s="4"/>
      <c r="L223" s="13">
        <v>46275</v>
      </c>
      <c r="M223" s="10">
        <v>45</v>
      </c>
      <c r="N223" s="16">
        <f>(IF(G223&gt;0,G223+I223,I223)-(M223*Ventas!AE208*1.0044))</f>
        <v>90.958836028571426</v>
      </c>
      <c r="O223" s="17">
        <f>(N223/(Ventas!AE208*1.0044)/60)</f>
        <v>8.687917561490508</v>
      </c>
      <c r="P223" s="11">
        <v>0</v>
      </c>
      <c r="Q223" s="16">
        <f t="shared" si="16"/>
        <v>90.958836028571426</v>
      </c>
      <c r="R223" s="4"/>
      <c r="S223" s="13">
        <v>46331</v>
      </c>
      <c r="T223" s="10">
        <v>56</v>
      </c>
      <c r="U223" s="16">
        <f>(IF(N223&gt;0,N223+P223,P223)-(T223*Ventas!AE208*0.9018))</f>
        <v>82.185404188571425</v>
      </c>
      <c r="V223" s="17">
        <f>(U223/(Ventas!AE208*0.9018)/60)</f>
        <v>8.7430299387459147</v>
      </c>
      <c r="W223" s="16">
        <f>(100*(Ventas!AE208*1.235) - IF(U223&gt;0,U223,0))</f>
        <v>-60.729925617142854</v>
      </c>
      <c r="X223" s="16">
        <f t="shared" si="17"/>
        <v>0</v>
      </c>
      <c r="Y223" s="16">
        <f t="shared" si="18"/>
        <v>82.185404188571425</v>
      </c>
      <c r="Z223" s="18">
        <v>7.7</v>
      </c>
      <c r="AA223" s="11">
        <v>3010</v>
      </c>
      <c r="AB223" s="16">
        <f>(Y223-(60*Ventas!AE208*1.235))</f>
        <v>69.312117045714274</v>
      </c>
      <c r="AC223" s="17">
        <f>(AB223/(Ventas!AE208*1.235)/60)</f>
        <v>5.3841816994016716</v>
      </c>
      <c r="AD223" s="1" t="s">
        <v>34</v>
      </c>
      <c r="AE223">
        <f t="shared" si="19"/>
        <v>0</v>
      </c>
    </row>
    <row r="224" spans="1:31" x14ac:dyDescent="0.25">
      <c r="A224" s="1"/>
      <c r="B224" s="1" t="s">
        <v>445</v>
      </c>
      <c r="C224" s="15" t="s">
        <v>444</v>
      </c>
      <c r="D224" s="11">
        <v>78</v>
      </c>
      <c r="E224" s="13">
        <v>46230</v>
      </c>
      <c r="F224" s="10">
        <v>7</v>
      </c>
      <c r="G224" s="16">
        <f>(D224-(0)+0-(F224*Ventas!AE209*1.8))</f>
        <v>76.587900000000005</v>
      </c>
      <c r="H224" s="17">
        <f>(G224/(Ventas!AE209*1.8)/60)</f>
        <v>6.327636144748956</v>
      </c>
      <c r="I224" s="11">
        <v>0</v>
      </c>
      <c r="J224" s="16">
        <f t="shared" si="15"/>
        <v>76.587900000000005</v>
      </c>
      <c r="K224" s="4"/>
      <c r="L224" s="13">
        <v>46275</v>
      </c>
      <c r="M224" s="10">
        <v>45</v>
      </c>
      <c r="N224" s="16">
        <f>(IF(G224&gt;0,G224+I224,I224)-(M224*Ventas!AE209*1.0044))</f>
        <v>71.522495571428578</v>
      </c>
      <c r="O224" s="17">
        <f>(N224/(Ventas!AE209*1.0044)/60)</f>
        <v>10.589849721772323</v>
      </c>
      <c r="P224" s="11">
        <v>0</v>
      </c>
      <c r="Q224" s="16">
        <f t="shared" si="16"/>
        <v>71.522495571428578</v>
      </c>
      <c r="R224" s="4"/>
      <c r="S224" s="13">
        <v>46331</v>
      </c>
      <c r="T224" s="10">
        <v>56</v>
      </c>
      <c r="U224" s="16">
        <f>(IF(N224&gt;0,N224+P224,P224)-(T224*Ventas!AE209*0.9018))</f>
        <v>65.862798771428572</v>
      </c>
      <c r="V224" s="17">
        <f>(U224/(Ventas!AE209*0.9018)/60)</f>
        <v>10.861349590317275</v>
      </c>
      <c r="W224" s="16">
        <f>(100*(Ventas!AE209*1.235) - IF(U224&gt;0,U224,0))</f>
        <v>-52.021977342857141</v>
      </c>
      <c r="X224" s="16">
        <f t="shared" si="17"/>
        <v>0</v>
      </c>
      <c r="Y224" s="16">
        <f t="shared" si="18"/>
        <v>65.862798771428572</v>
      </c>
      <c r="Z224" s="18">
        <v>7.5618999999999996</v>
      </c>
      <c r="AA224" s="11">
        <v>3010</v>
      </c>
      <c r="AB224" s="16">
        <f>(Y224-(60*Ventas!AE209*1.235))</f>
        <v>57.558305914285711</v>
      </c>
      <c r="AC224" s="17">
        <f>(AB224/(Ventas!AE209*1.235)/60)</f>
        <v>6.9309838546948335</v>
      </c>
      <c r="AD224" s="1" t="s">
        <v>34</v>
      </c>
      <c r="AE224">
        <f t="shared" si="19"/>
        <v>0</v>
      </c>
    </row>
    <row r="225" spans="1:31" x14ac:dyDescent="0.25">
      <c r="A225" s="1"/>
      <c r="B225" s="1" t="s">
        <v>447</v>
      </c>
      <c r="C225" s="15" t="s">
        <v>446</v>
      </c>
      <c r="D225" s="11">
        <v>1</v>
      </c>
      <c r="E225" s="13">
        <v>46230</v>
      </c>
      <c r="F225" s="10">
        <v>7</v>
      </c>
      <c r="G225" s="16">
        <f>(D225-(0)+0-(F225*Ventas!AE210*1.8))</f>
        <v>1</v>
      </c>
      <c r="H225" s="4"/>
      <c r="I225" s="11">
        <v>0</v>
      </c>
      <c r="J225" s="16">
        <f t="shared" si="15"/>
        <v>1</v>
      </c>
      <c r="K225" s="4"/>
      <c r="L225" s="13">
        <v>46275</v>
      </c>
      <c r="M225" s="10">
        <v>45</v>
      </c>
      <c r="N225" s="16">
        <f>(IF(G225&gt;0,G225+I225,I225)-(M225*Ventas!AE210*1.0044))</f>
        <v>1</v>
      </c>
      <c r="O225" s="4"/>
      <c r="P225" s="11">
        <v>0</v>
      </c>
      <c r="Q225" s="16">
        <f t="shared" si="16"/>
        <v>1</v>
      </c>
      <c r="R225" s="4"/>
      <c r="S225" s="13">
        <v>46331</v>
      </c>
      <c r="T225" s="10">
        <v>56</v>
      </c>
      <c r="U225" s="16">
        <f>(IF(N225&gt;0,N225+P225,P225)-(T225*Ventas!AE210*0.9018))</f>
        <v>1</v>
      </c>
      <c r="V225" s="4"/>
      <c r="W225" s="16">
        <f>(100*(Ventas!AE210*1.235) - IF(U225&gt;0,U225,0))</f>
        <v>-1</v>
      </c>
      <c r="X225" s="16">
        <f t="shared" si="17"/>
        <v>0</v>
      </c>
      <c r="Y225" s="16">
        <f t="shared" si="18"/>
        <v>1</v>
      </c>
      <c r="Z225" s="18">
        <v>5.5</v>
      </c>
      <c r="AA225" s="11">
        <v>3010</v>
      </c>
      <c r="AB225" s="4"/>
      <c r="AC225" s="4"/>
      <c r="AD225" s="1" t="s">
        <v>107</v>
      </c>
      <c r="AE225">
        <f t="shared" si="19"/>
        <v>0</v>
      </c>
    </row>
    <row r="226" spans="1:31" x14ac:dyDescent="0.25">
      <c r="A226" s="1"/>
      <c r="B226" s="1" t="s">
        <v>449</v>
      </c>
      <c r="C226" s="15" t="s">
        <v>448</v>
      </c>
      <c r="D226" s="11">
        <v>6</v>
      </c>
      <c r="E226" s="13">
        <v>46230</v>
      </c>
      <c r="F226" s="10">
        <v>7</v>
      </c>
      <c r="G226" s="16">
        <f>(D226-(0)+0-(F226*Ventas!AE211*1.8))</f>
        <v>6</v>
      </c>
      <c r="H226" s="4"/>
      <c r="I226" s="11">
        <v>0</v>
      </c>
      <c r="J226" s="16">
        <f t="shared" si="15"/>
        <v>6</v>
      </c>
      <c r="K226" s="4"/>
      <c r="L226" s="13">
        <v>46275</v>
      </c>
      <c r="M226" s="10">
        <v>45</v>
      </c>
      <c r="N226" s="16">
        <f>(IF(G226&gt;0,G226+I226,I226)-(M226*Ventas!AE211*1.0044))</f>
        <v>6</v>
      </c>
      <c r="O226" s="4"/>
      <c r="P226" s="11">
        <v>0</v>
      </c>
      <c r="Q226" s="16">
        <f t="shared" si="16"/>
        <v>6</v>
      </c>
      <c r="R226" s="4"/>
      <c r="S226" s="13">
        <v>46331</v>
      </c>
      <c r="T226" s="10">
        <v>56</v>
      </c>
      <c r="U226" s="16">
        <f>(IF(N226&gt;0,N226+P226,P226)-(T226*Ventas!AE211*0.9018))</f>
        <v>6</v>
      </c>
      <c r="V226" s="4"/>
      <c r="W226" s="16">
        <f>(100*(Ventas!AE211*1.235) - IF(U226&gt;0,U226,0))</f>
        <v>-6</v>
      </c>
      <c r="X226" s="16">
        <f t="shared" si="17"/>
        <v>0</v>
      </c>
      <c r="Y226" s="16">
        <f t="shared" si="18"/>
        <v>6</v>
      </c>
      <c r="Z226" s="4"/>
      <c r="AA226" s="11">
        <v>3010</v>
      </c>
      <c r="AB226" s="4"/>
      <c r="AC226" s="4"/>
      <c r="AD226" s="1" t="s">
        <v>34</v>
      </c>
      <c r="AE226">
        <f t="shared" si="19"/>
        <v>0</v>
      </c>
    </row>
    <row r="227" spans="1:31" x14ac:dyDescent="0.25">
      <c r="A227" s="1"/>
      <c r="B227" s="1" t="s">
        <v>451</v>
      </c>
      <c r="C227" s="15" t="s">
        <v>450</v>
      </c>
      <c r="D227" s="11">
        <v>6</v>
      </c>
      <c r="E227" s="13">
        <v>46230</v>
      </c>
      <c r="F227" s="10">
        <v>7</v>
      </c>
      <c r="G227" s="16">
        <f>(D227-(0)+0-(F227*Ventas!AE212*1.8))</f>
        <v>4.8429599999999997</v>
      </c>
      <c r="H227" s="17">
        <f>(G227/(Ventas!AE212*1.8)/60)</f>
        <v>0.48832538200926495</v>
      </c>
      <c r="I227" s="11">
        <v>0</v>
      </c>
      <c r="J227" s="16">
        <f t="shared" si="15"/>
        <v>4.8429599999999997</v>
      </c>
      <c r="K227" s="4"/>
      <c r="L227" s="13">
        <v>46275</v>
      </c>
      <c r="M227" s="10">
        <v>45</v>
      </c>
      <c r="N227" s="16">
        <f>(IF(G227&gt;0,G227+I227,I227)-(M227*Ventas!AE212*1.0044))</f>
        <v>0.69249222857142811</v>
      </c>
      <c r="O227" s="17">
        <f>(N227/(Ventas!AE212*1.0044)/60)</f>
        <v>0.12513509320656804</v>
      </c>
      <c r="P227" s="11">
        <v>0</v>
      </c>
      <c r="Q227" s="16">
        <f t="shared" si="16"/>
        <v>0.69249222857142811</v>
      </c>
      <c r="R227" s="4"/>
      <c r="S227" s="13">
        <v>46331</v>
      </c>
      <c r="T227" s="10">
        <v>56</v>
      </c>
      <c r="U227" s="16">
        <f>(IF(N227&gt;0,N227+P227,P227)-(T227*Ventas!AE212*0.9018))</f>
        <v>-3.9449240914285726</v>
      </c>
      <c r="V227" s="17">
        <f>(U227/(Ventas!AE212*0.9018)/60)</f>
        <v>-0.7939613133547605</v>
      </c>
      <c r="W227" s="16">
        <f>(100*(Ventas!AE212*1.235) - IF(U227&gt;0,U227,0))</f>
        <v>11.340828571428574</v>
      </c>
      <c r="X227" s="16">
        <f t="shared" si="17"/>
        <v>11.340828571428574</v>
      </c>
      <c r="Y227" s="16">
        <f t="shared" si="18"/>
        <v>11.340828571428574</v>
      </c>
      <c r="Z227" s="18">
        <v>40.18</v>
      </c>
      <c r="AA227" s="11">
        <v>3010</v>
      </c>
      <c r="AB227" s="16">
        <f>(Y227-(60*Ventas!AE212*1.235))</f>
        <v>4.5363314285714296</v>
      </c>
      <c r="AC227" s="17">
        <f>(AB227/(Ventas!AE212*1.235)/60)</f>
        <v>0.66666666666666663</v>
      </c>
      <c r="AD227" s="1" t="s">
        <v>34</v>
      </c>
      <c r="AE227">
        <f t="shared" si="19"/>
        <v>455.6744920000001</v>
      </c>
    </row>
    <row r="228" spans="1:31" x14ac:dyDescent="0.25">
      <c r="A228" s="1"/>
      <c r="B228" s="1" t="s">
        <v>453</v>
      </c>
      <c r="C228" s="15" t="s">
        <v>452</v>
      </c>
      <c r="D228" s="4"/>
      <c r="E228" s="13">
        <v>46230</v>
      </c>
      <c r="F228" s="10">
        <v>7</v>
      </c>
      <c r="G228" s="16">
        <f>(D228-(0)+0-(F228*Ventas!AE213*1.8))</f>
        <v>0</v>
      </c>
      <c r="H228" s="4"/>
      <c r="I228" s="11">
        <v>0</v>
      </c>
      <c r="J228" s="16">
        <f t="shared" si="15"/>
        <v>0</v>
      </c>
      <c r="K228" s="4"/>
      <c r="L228" s="13">
        <v>46275</v>
      </c>
      <c r="M228" s="10">
        <v>45</v>
      </c>
      <c r="N228" s="16">
        <f>(IF(G228&gt;0,G228+I228,I228)-(M228*Ventas!AE213*1.0044))</f>
        <v>0</v>
      </c>
      <c r="O228" s="4"/>
      <c r="P228" s="11">
        <v>0</v>
      </c>
      <c r="Q228" s="16">
        <f t="shared" si="16"/>
        <v>0</v>
      </c>
      <c r="R228" s="4"/>
      <c r="S228" s="13">
        <v>46331</v>
      </c>
      <c r="T228" s="10">
        <v>56</v>
      </c>
      <c r="U228" s="16">
        <f>(IF(N228&gt;0,N228+P228,P228)-(T228*Ventas!AE213*0.9018))</f>
        <v>0</v>
      </c>
      <c r="V228" s="4"/>
      <c r="W228" s="16">
        <f>(100*(Ventas!AE213*1.235) - IF(U228&gt;0,U228,0))</f>
        <v>0</v>
      </c>
      <c r="X228" s="16">
        <f t="shared" si="17"/>
        <v>0</v>
      </c>
      <c r="Y228" s="16">
        <f t="shared" si="18"/>
        <v>0</v>
      </c>
      <c r="Z228" s="4"/>
      <c r="AA228" s="4"/>
      <c r="AB228" s="4"/>
      <c r="AC228" s="4"/>
      <c r="AD228" s="1" t="s">
        <v>34</v>
      </c>
      <c r="AE228">
        <f t="shared" si="19"/>
        <v>0</v>
      </c>
    </row>
    <row r="229" spans="1:31" x14ac:dyDescent="0.25">
      <c r="A229" s="1"/>
      <c r="B229" s="1" t="s">
        <v>455</v>
      </c>
      <c r="C229" s="15" t="s">
        <v>454</v>
      </c>
      <c r="D229" s="11">
        <v>82</v>
      </c>
      <c r="E229" s="13">
        <v>46230</v>
      </c>
      <c r="F229" s="10">
        <v>7</v>
      </c>
      <c r="G229" s="16">
        <f>(D229-(0)+0-(F229*Ventas!AE214*1.8))</f>
        <v>80.463520000000003</v>
      </c>
      <c r="H229" s="17">
        <f>(G229/(Ventas!AE214*1.8)/60)</f>
        <v>6.1096862091707456</v>
      </c>
      <c r="I229" s="11">
        <v>0</v>
      </c>
      <c r="J229" s="16">
        <f t="shared" si="15"/>
        <v>80.463520000000003</v>
      </c>
      <c r="K229" s="4"/>
      <c r="L229" s="13">
        <v>46275</v>
      </c>
      <c r="M229" s="10">
        <v>45</v>
      </c>
      <c r="N229" s="16">
        <f>(IF(G229&gt;0,G229+I229,I229)-(M229*Ventas!AE214*1.0044))</f>
        <v>74.951946742857146</v>
      </c>
      <c r="O229" s="17">
        <f>(N229/(Ventas!AE214*1.0044)/60)</f>
        <v>10.199258439374095</v>
      </c>
      <c r="P229" s="11">
        <v>0</v>
      </c>
      <c r="Q229" s="16">
        <f t="shared" si="16"/>
        <v>74.951946742857146</v>
      </c>
      <c r="R229" s="4"/>
      <c r="S229" s="13">
        <v>46331</v>
      </c>
      <c r="T229" s="10">
        <v>56</v>
      </c>
      <c r="U229" s="16">
        <f>(IF(N229&gt;0,N229+P229,P229)-(T229*Ventas!AE214*0.9018))</f>
        <v>68.793734902857139</v>
      </c>
      <c r="V229" s="17">
        <f>(U229/(Ventas!AE214*0.9018)/60)</f>
        <v>10.426319778783922</v>
      </c>
      <c r="W229" s="16">
        <f>(100*(Ventas!AE214*1.235) - IF(U229&gt;0,U229,0))</f>
        <v>-53.733792045714281</v>
      </c>
      <c r="X229" s="16">
        <f t="shared" si="17"/>
        <v>0</v>
      </c>
      <c r="Y229" s="16">
        <f t="shared" si="18"/>
        <v>68.793734902857139</v>
      </c>
      <c r="Z229" s="18">
        <v>31.6</v>
      </c>
      <c r="AA229" s="11">
        <v>3027</v>
      </c>
      <c r="AB229" s="16">
        <f>(Y229-(60*Ventas!AE214*1.235))</f>
        <v>59.757769188571423</v>
      </c>
      <c r="AC229" s="17">
        <f>(AB229/(Ventas!AE214*1.235)/60)</f>
        <v>6.6133240295605997</v>
      </c>
      <c r="AD229" s="1" t="s">
        <v>34</v>
      </c>
      <c r="AE229">
        <f t="shared" si="19"/>
        <v>0</v>
      </c>
    </row>
    <row r="230" spans="1:31" x14ac:dyDescent="0.25">
      <c r="A230" s="1"/>
      <c r="B230" s="1" t="s">
        <v>457</v>
      </c>
      <c r="C230" s="15" t="s">
        <v>456</v>
      </c>
      <c r="D230" s="11">
        <v>86</v>
      </c>
      <c r="E230" s="13">
        <v>46230</v>
      </c>
      <c r="F230" s="10">
        <v>7</v>
      </c>
      <c r="G230" s="16">
        <f>(D230-(0)+0-(F230*Ventas!AE215*1.8))</f>
        <v>83.611760000000004</v>
      </c>
      <c r="H230" s="17">
        <f>(G230/(Ventas!AE215*1.8)/60)</f>
        <v>4.0844744805100541</v>
      </c>
      <c r="I230" s="11">
        <v>0</v>
      </c>
      <c r="J230" s="16">
        <f t="shared" si="15"/>
        <v>83.611760000000004</v>
      </c>
      <c r="K230" s="4"/>
      <c r="L230" s="13">
        <v>46275</v>
      </c>
      <c r="M230" s="10">
        <v>45</v>
      </c>
      <c r="N230" s="16">
        <f>(IF(G230&gt;0,G230+I230,I230)-(M230*Ventas!AE215*1.0044))</f>
        <v>75.044801942857148</v>
      </c>
      <c r="O230" s="17">
        <f>(N230/(Ventas!AE215*1.0044)/60)</f>
        <v>6.5698467392653308</v>
      </c>
      <c r="P230" s="11">
        <v>0</v>
      </c>
      <c r="Q230" s="16">
        <f t="shared" si="16"/>
        <v>75.044801942857148</v>
      </c>
      <c r="R230" s="4"/>
      <c r="S230" s="13">
        <v>46331</v>
      </c>
      <c r="T230" s="10">
        <v>56</v>
      </c>
      <c r="U230" s="16">
        <f>(IF(N230&gt;0,N230+P230,P230)-(T230*Ventas!AE215*0.9018))</f>
        <v>65.472736022857148</v>
      </c>
      <c r="V230" s="17">
        <f>(U230/(Ventas!AE215*0.9018)/60)</f>
        <v>6.3839809990220635</v>
      </c>
      <c r="W230" s="16">
        <f>(100*(Ventas!AE215*1.235) - IF(U230&gt;0,U230,0))</f>
        <v>-42.064193165714286</v>
      </c>
      <c r="X230" s="16">
        <f t="shared" si="17"/>
        <v>0</v>
      </c>
      <c r="Y230" s="16">
        <f t="shared" si="18"/>
        <v>65.472736022857148</v>
      </c>
      <c r="Z230" s="18">
        <v>8.8000000000000007</v>
      </c>
      <c r="AA230" s="11">
        <v>3010</v>
      </c>
      <c r="AB230" s="16">
        <f>(Y230-(60*Ventas!AE215*1.235))</f>
        <v>51.427610308571431</v>
      </c>
      <c r="AC230" s="17">
        <f>(AB230/(Ventas!AE215*1.235)/60)</f>
        <v>3.6615984331320628</v>
      </c>
      <c r="AD230" s="1" t="s">
        <v>34</v>
      </c>
      <c r="AE230">
        <f t="shared" si="19"/>
        <v>0</v>
      </c>
    </row>
    <row r="231" spans="1:31" x14ac:dyDescent="0.25">
      <c r="A231" s="1"/>
      <c r="B231" s="1" t="s">
        <v>459</v>
      </c>
      <c r="C231" s="15" t="s">
        <v>458</v>
      </c>
      <c r="D231" s="11">
        <v>95</v>
      </c>
      <c r="E231" s="13">
        <v>46230</v>
      </c>
      <c r="F231" s="10">
        <v>7</v>
      </c>
      <c r="G231" s="16">
        <f>(D231-(0)+0-(F231*Ventas!AE216*1.8))</f>
        <v>92.124859999999998</v>
      </c>
      <c r="H231" s="17">
        <f>(G231/(Ventas!AE216*1.8)/60)</f>
        <v>3.7382180809746073</v>
      </c>
      <c r="I231" s="11">
        <v>0</v>
      </c>
      <c r="J231" s="16">
        <f t="shared" si="15"/>
        <v>92.124859999999998</v>
      </c>
      <c r="K231" s="4"/>
      <c r="L231" s="13">
        <v>46275</v>
      </c>
      <c r="M231" s="10">
        <v>45</v>
      </c>
      <c r="N231" s="16">
        <f>(IF(G231&gt;0,G231+I231,I231)-(M231*Ventas!AE216*1.0044))</f>
        <v>81.811322085714281</v>
      </c>
      <c r="O231" s="17">
        <f>(N231/(Ventas!AE216*1.0044)/60)</f>
        <v>5.9493155573021648</v>
      </c>
      <c r="P231" s="11">
        <v>0</v>
      </c>
      <c r="Q231" s="16">
        <f t="shared" si="16"/>
        <v>81.811322085714281</v>
      </c>
      <c r="R231" s="4"/>
      <c r="S231" s="13">
        <v>46331</v>
      </c>
      <c r="T231" s="10">
        <v>56</v>
      </c>
      <c r="U231" s="16">
        <f>(IF(N231&gt;0,N231+P231,P231)-(T231*Ventas!AE216*0.9018))</f>
        <v>70.287760965714284</v>
      </c>
      <c r="V231" s="17">
        <f>(U231/(Ventas!AE216*0.9018)/60)</f>
        <v>5.6928504610271613</v>
      </c>
      <c r="W231" s="16">
        <f>(100*(Ventas!AE216*1.235) - IF(U231&gt;0,U231,0))</f>
        <v>-42.106825251428567</v>
      </c>
      <c r="X231" s="16">
        <f t="shared" si="17"/>
        <v>0</v>
      </c>
      <c r="Y231" s="16">
        <f t="shared" si="18"/>
        <v>70.287760965714284</v>
      </c>
      <c r="Z231" s="18">
        <v>8.8000000000000007</v>
      </c>
      <c r="AA231" s="11">
        <v>3010</v>
      </c>
      <c r="AB231" s="16">
        <f>(Y231-(60*Ventas!AE216*1.235))</f>
        <v>53.379199537142853</v>
      </c>
      <c r="AC231" s="17">
        <f>(AB231/(Ventas!AE216*1.235)/60)</f>
        <v>3.1569332354285775</v>
      </c>
      <c r="AD231" s="1" t="s">
        <v>34</v>
      </c>
      <c r="AE231">
        <f t="shared" si="19"/>
        <v>0</v>
      </c>
    </row>
    <row r="232" spans="1:31" x14ac:dyDescent="0.25">
      <c r="A232" s="1"/>
      <c r="B232" s="1" t="s">
        <v>461</v>
      </c>
      <c r="C232" s="15" t="s">
        <v>460</v>
      </c>
      <c r="D232" s="11">
        <v>59</v>
      </c>
      <c r="E232" s="13">
        <v>46230</v>
      </c>
      <c r="F232" s="10">
        <v>7</v>
      </c>
      <c r="G232" s="16">
        <f>(D232-(0)+0-(F232*Ventas!AE217*1.8))</f>
        <v>56.769440000000003</v>
      </c>
      <c r="H232" s="17">
        <f>(G232/(Ventas!AE217*1.8)/60)</f>
        <v>2.9692549554073127</v>
      </c>
      <c r="I232" s="11">
        <v>0</v>
      </c>
      <c r="J232" s="16">
        <f t="shared" si="15"/>
        <v>56.769440000000003</v>
      </c>
      <c r="K232" s="4"/>
      <c r="L232" s="13">
        <v>46275</v>
      </c>
      <c r="M232" s="10">
        <v>45</v>
      </c>
      <c r="N232" s="16">
        <f>(IF(G232&gt;0,G232+I232,I232)-(M232*Ventas!AE217*1.0044))</f>
        <v>48.768102628571434</v>
      </c>
      <c r="O232" s="17">
        <f>(N232/(Ventas!AE217*1.0044)/60)</f>
        <v>4.5712454397980515</v>
      </c>
      <c r="P232" s="11">
        <v>0</v>
      </c>
      <c r="Q232" s="16">
        <f t="shared" si="16"/>
        <v>48.768102628571434</v>
      </c>
      <c r="R232" s="4"/>
      <c r="S232" s="13">
        <v>46331</v>
      </c>
      <c r="T232" s="10">
        <v>56</v>
      </c>
      <c r="U232" s="16">
        <f>(IF(N232&gt;0,N232+P232,P232)-(T232*Ventas!AE217*0.9018))</f>
        <v>39.828018148571431</v>
      </c>
      <c r="V232" s="17">
        <f>(U232/(Ventas!AE217*0.9018)/60)</f>
        <v>4.1579939229686866</v>
      </c>
      <c r="W232" s="16">
        <f>(100*(Ventas!AE217*1.235) - IF(U232&gt;0,U232,0))</f>
        <v>-17.964989577142862</v>
      </c>
      <c r="X232" s="16">
        <f t="shared" si="17"/>
        <v>0</v>
      </c>
      <c r="Y232" s="16">
        <f t="shared" si="18"/>
        <v>39.828018148571431</v>
      </c>
      <c r="Z232" s="18">
        <v>11.4</v>
      </c>
      <c r="AA232" s="11">
        <v>3010</v>
      </c>
      <c r="AB232" s="16">
        <f>(Y232-(60*Ventas!AE217*1.235))</f>
        <v>26.710201005714289</v>
      </c>
      <c r="AC232" s="17">
        <f>(AB232/(Ventas!AE217*1.235)/60)</f>
        <v>2.0361772629418313</v>
      </c>
      <c r="AD232" s="1" t="s">
        <v>34</v>
      </c>
      <c r="AE232">
        <f t="shared" si="19"/>
        <v>0</v>
      </c>
    </row>
    <row r="233" spans="1:31" x14ac:dyDescent="0.25">
      <c r="A233" s="1"/>
      <c r="B233" s="1" t="s">
        <v>463</v>
      </c>
      <c r="C233" s="15" t="s">
        <v>462</v>
      </c>
      <c r="D233" s="11">
        <v>84</v>
      </c>
      <c r="E233" s="13">
        <v>46230</v>
      </c>
      <c r="F233" s="10">
        <v>7</v>
      </c>
      <c r="G233" s="16">
        <f>(D233-(0)+0-(F233*Ventas!AE218*1.8))</f>
        <v>83.188559999999995</v>
      </c>
      <c r="H233" s="17">
        <f>(G233/(Ventas!AE218*1.8)/60)</f>
        <v>11.960628019323671</v>
      </c>
      <c r="I233" s="11">
        <v>0</v>
      </c>
      <c r="J233" s="16">
        <f t="shared" si="15"/>
        <v>83.188559999999995</v>
      </c>
      <c r="K233" s="4"/>
      <c r="L233" s="13">
        <v>46275</v>
      </c>
      <c r="M233" s="10">
        <v>45</v>
      </c>
      <c r="N233" s="16">
        <f>(IF(G233&gt;0,G233+I233,I233)-(M233*Ventas!AE218*1.0044))</f>
        <v>80.277808800000003</v>
      </c>
      <c r="O233" s="17">
        <f>(N233/(Ventas!AE218*1.0044)/60)</f>
        <v>20.684817238931313</v>
      </c>
      <c r="P233" s="11">
        <v>0</v>
      </c>
      <c r="Q233" s="16">
        <f t="shared" si="16"/>
        <v>80.277808800000003</v>
      </c>
      <c r="R233" s="4"/>
      <c r="S233" s="13">
        <v>46331</v>
      </c>
      <c r="T233" s="10">
        <v>56</v>
      </c>
      <c r="U233" s="16">
        <f>(IF(N233&gt;0,N233+P233,P233)-(T233*Ventas!AE218*0.9018))</f>
        <v>77.025557280000001</v>
      </c>
      <c r="V233" s="17">
        <f>(U233/(Ventas!AE218*0.9018)/60)</f>
        <v>22.10484634595543</v>
      </c>
      <c r="W233" s="16">
        <f>(100*(Ventas!AE218*1.235) - IF(U233&gt;0,U233,0))</f>
        <v>-69.072157279999999</v>
      </c>
      <c r="X233" s="16">
        <f t="shared" si="17"/>
        <v>0</v>
      </c>
      <c r="Y233" s="16">
        <f t="shared" si="18"/>
        <v>77.025557280000001</v>
      </c>
      <c r="Z233" s="18">
        <v>11.1</v>
      </c>
      <c r="AA233" s="11">
        <v>3010</v>
      </c>
      <c r="AB233" s="16">
        <f>(Y233-(60*Ventas!AE218*1.235))</f>
        <v>72.253517279999997</v>
      </c>
      <c r="AC233" s="17">
        <f>(AB233/(Ventas!AE218*1.235)/60)</f>
        <v>15.141012497799682</v>
      </c>
      <c r="AD233" s="1" t="s">
        <v>34</v>
      </c>
      <c r="AE233">
        <f t="shared" si="19"/>
        <v>0</v>
      </c>
    </row>
    <row r="234" spans="1:31" x14ac:dyDescent="0.25">
      <c r="A234" s="1"/>
      <c r="B234" s="1" t="s">
        <v>465</v>
      </c>
      <c r="C234" s="15" t="s">
        <v>464</v>
      </c>
      <c r="D234" s="4"/>
      <c r="E234" s="13">
        <v>46230</v>
      </c>
      <c r="F234" s="10">
        <v>7</v>
      </c>
      <c r="G234" s="16">
        <f>(D234-(0)+0-(F234*Ventas!AE219*1.8))</f>
        <v>0</v>
      </c>
      <c r="H234" s="17" t="e">
        <f>(G234/(Ventas!AE219*1.8)/60)</f>
        <v>#DIV/0!</v>
      </c>
      <c r="I234" s="11">
        <v>0</v>
      </c>
      <c r="J234" s="16">
        <f t="shared" si="15"/>
        <v>0</v>
      </c>
      <c r="K234" s="4"/>
      <c r="L234" s="13">
        <v>46275</v>
      </c>
      <c r="M234" s="10">
        <v>45</v>
      </c>
      <c r="N234" s="16">
        <f>(IF(G234&gt;0,G234+I234,I234)-(M234*Ventas!AE219*1.0044))</f>
        <v>0</v>
      </c>
      <c r="O234" s="17" t="e">
        <f>(N234/(Ventas!AE219*1.0044)/60)</f>
        <v>#DIV/0!</v>
      </c>
      <c r="P234" s="11">
        <v>0</v>
      </c>
      <c r="Q234" s="16">
        <f t="shared" si="16"/>
        <v>0</v>
      </c>
      <c r="R234" s="4"/>
      <c r="S234" s="13">
        <v>46331</v>
      </c>
      <c r="T234" s="10">
        <v>56</v>
      </c>
      <c r="U234" s="16">
        <f>(IF(N234&gt;0,N234+P234,P234)-(T234*Ventas!AE219*0.9018))</f>
        <v>0</v>
      </c>
      <c r="V234" s="17" t="e">
        <f>(U234/(Ventas!AE219*0.9018)/60)</f>
        <v>#DIV/0!</v>
      </c>
      <c r="W234" s="16">
        <f>(100*(Ventas!AE219*1.235) - IF(U234&gt;0,U234,0))</f>
        <v>0</v>
      </c>
      <c r="X234" s="16">
        <f t="shared" si="17"/>
        <v>0</v>
      </c>
      <c r="Y234" s="16">
        <f t="shared" si="18"/>
        <v>0</v>
      </c>
      <c r="Z234" s="18">
        <v>9.6039999999999992</v>
      </c>
      <c r="AA234" s="11">
        <v>3010</v>
      </c>
      <c r="AB234" s="16">
        <f>(Y234-(60*Ventas!AE219*1.235))</f>
        <v>0</v>
      </c>
      <c r="AC234" s="17" t="e">
        <f>(AB234/(Ventas!AE219*1.235)/60)</f>
        <v>#DIV/0!</v>
      </c>
      <c r="AD234" s="1" t="s">
        <v>34</v>
      </c>
      <c r="AE234">
        <f t="shared" si="19"/>
        <v>0</v>
      </c>
    </row>
    <row r="235" spans="1:31" x14ac:dyDescent="0.25">
      <c r="A235" s="1"/>
      <c r="B235" s="1" t="s">
        <v>467</v>
      </c>
      <c r="C235" s="15" t="s">
        <v>466</v>
      </c>
      <c r="D235" s="4"/>
      <c r="E235" s="13">
        <v>46230</v>
      </c>
      <c r="F235" s="10">
        <v>7</v>
      </c>
      <c r="G235" s="16">
        <f>(D235-(0)+0-(F235*Ventas!AE220*1.8))</f>
        <v>-3.7800000000000002</v>
      </c>
      <c r="H235" s="17">
        <f>(G235/(Ventas!AE220*1.8)/60)</f>
        <v>-0.11666666666666667</v>
      </c>
      <c r="I235" s="11">
        <v>0</v>
      </c>
      <c r="J235" s="16">
        <f t="shared" si="15"/>
        <v>0</v>
      </c>
      <c r="K235" s="4"/>
      <c r="L235" s="13">
        <v>46275</v>
      </c>
      <c r="M235" s="10">
        <v>45</v>
      </c>
      <c r="N235" s="16">
        <f>(IF(G235&gt;0,G235+I235,I235)-(M235*Ventas!AE220*1.0044))</f>
        <v>-13.5594</v>
      </c>
      <c r="O235" s="17">
        <f>(N235/(Ventas!AE220*1.0044)/60)</f>
        <v>-0.75000000000000011</v>
      </c>
      <c r="P235" s="11">
        <v>0</v>
      </c>
      <c r="Q235" s="16">
        <f t="shared" si="16"/>
        <v>0</v>
      </c>
      <c r="R235" s="4"/>
      <c r="S235" s="13">
        <v>46331</v>
      </c>
      <c r="T235" s="10">
        <v>56</v>
      </c>
      <c r="U235" s="16">
        <f>(IF(N235&gt;0,N235+P235,P235)-(T235*Ventas!AE220*0.9018))</f>
        <v>-15.150240000000002</v>
      </c>
      <c r="V235" s="17">
        <f>(U235/(Ventas!AE220*0.9018)/60)</f>
        <v>-0.93333333333333346</v>
      </c>
      <c r="W235" s="16">
        <f>(100*(Ventas!AE220*1.235) - IF(U235&gt;0,U235,0))</f>
        <v>37.049999999999997</v>
      </c>
      <c r="X235" s="16">
        <f t="shared" si="17"/>
        <v>37.049999999999997</v>
      </c>
      <c r="Y235" s="16">
        <f t="shared" si="18"/>
        <v>37.049999999999997</v>
      </c>
      <c r="Z235" s="18">
        <v>9.6039999999999992</v>
      </c>
      <c r="AA235" s="11">
        <v>3010</v>
      </c>
      <c r="AB235" s="16">
        <f>(Y235-(60*Ventas!AE220*1.235))</f>
        <v>14.819999999999997</v>
      </c>
      <c r="AC235" s="17">
        <f>(AB235/(Ventas!AE220*1.235)/60)</f>
        <v>0.66666666666666652</v>
      </c>
      <c r="AD235" s="1" t="s">
        <v>34</v>
      </c>
      <c r="AE235">
        <f t="shared" si="19"/>
        <v>355.82819999999992</v>
      </c>
    </row>
    <row r="236" spans="1:31" x14ac:dyDescent="0.25">
      <c r="A236" s="1"/>
      <c r="B236" s="1" t="s">
        <v>469</v>
      </c>
      <c r="C236" s="15" t="s">
        <v>468</v>
      </c>
      <c r="D236" s="11">
        <v>48</v>
      </c>
      <c r="E236" s="13">
        <v>46230</v>
      </c>
      <c r="F236" s="10">
        <v>7</v>
      </c>
      <c r="G236" s="16">
        <f>(D236-(0)+0-(F236*Ventas!AE221*1.8))</f>
        <v>44.916359999999997</v>
      </c>
      <c r="H236" s="17">
        <f>(G236/(Ventas!AE221*1.8)/60)</f>
        <v>1.6993689276309814</v>
      </c>
      <c r="I236" s="11">
        <v>0</v>
      </c>
      <c r="J236" s="16">
        <f t="shared" si="15"/>
        <v>44.916359999999997</v>
      </c>
      <c r="K236" s="4"/>
      <c r="L236" s="13">
        <v>46275</v>
      </c>
      <c r="M236" s="10">
        <v>45</v>
      </c>
      <c r="N236" s="16">
        <f>(IF(G236&gt;0,G236+I236,I236)-(M236*Ventas!AE221*1.0044))</f>
        <v>33.854902799999998</v>
      </c>
      <c r="O236" s="17">
        <f>(N236/(Ventas!AE221*1.0044)/60)</f>
        <v>2.2954640280125114</v>
      </c>
      <c r="P236" s="11">
        <v>0</v>
      </c>
      <c r="Q236" s="16">
        <f t="shared" si="16"/>
        <v>33.854902799999998</v>
      </c>
      <c r="R236" s="4"/>
      <c r="S236" s="13">
        <v>46331</v>
      </c>
      <c r="T236" s="10">
        <v>56</v>
      </c>
      <c r="U236" s="16">
        <f>(IF(N236&gt;0,N236+P236,P236)-(T236*Ventas!AE221*0.9018))</f>
        <v>21.495673679999996</v>
      </c>
      <c r="V236" s="17">
        <f>(U236/(Ventas!AE221*0.9018)/60)</f>
        <v>1.6232912727165296</v>
      </c>
      <c r="W236" s="16">
        <f>(100*(Ventas!AE221*1.235) - IF(U236&gt;0,U236,0))</f>
        <v>8.728892986666672</v>
      </c>
      <c r="X236" s="16">
        <f t="shared" si="17"/>
        <v>8.728892986666672</v>
      </c>
      <c r="Y236" s="16">
        <f t="shared" si="18"/>
        <v>30.224566666666668</v>
      </c>
      <c r="Z236" s="18">
        <v>2.2999999999999998</v>
      </c>
      <c r="AA236" s="11">
        <v>3027</v>
      </c>
      <c r="AB236" s="16">
        <f>(Y236-(60*Ventas!AE221*1.235))</f>
        <v>12.089826666666667</v>
      </c>
      <c r="AC236" s="17">
        <f>(AB236/(Ventas!AE221*1.235)/60)</f>
        <v>0.66666666666666663</v>
      </c>
      <c r="AD236" s="1" t="s">
        <v>34</v>
      </c>
      <c r="AE236">
        <f t="shared" si="19"/>
        <v>20.076453869333346</v>
      </c>
    </row>
    <row r="237" spans="1:31" x14ac:dyDescent="0.25">
      <c r="A237" s="1"/>
      <c r="B237" s="1" t="s">
        <v>471</v>
      </c>
      <c r="C237" s="15" t="s">
        <v>470</v>
      </c>
      <c r="D237" s="11">
        <v>47</v>
      </c>
      <c r="E237" s="13">
        <v>46230</v>
      </c>
      <c r="F237" s="10">
        <v>7</v>
      </c>
      <c r="G237" s="16">
        <f>(D237-(0)+0-(F237*Ventas!AE222*1.8))</f>
        <v>43.87079</v>
      </c>
      <c r="H237" s="17">
        <f>(G237/(Ventas!AE222*1.8)/60)</f>
        <v>1.6356392934105839</v>
      </c>
      <c r="I237" s="11">
        <v>0</v>
      </c>
      <c r="J237" s="16">
        <f t="shared" si="15"/>
        <v>43.87079</v>
      </c>
      <c r="K237" s="4"/>
      <c r="L237" s="13">
        <v>46275</v>
      </c>
      <c r="M237" s="10">
        <v>45</v>
      </c>
      <c r="N237" s="16">
        <f>(IF(G237&gt;0,G237+I237,I237)-(M237*Ventas!AE222*1.0044))</f>
        <v>32.645866699999999</v>
      </c>
      <c r="O237" s="17">
        <f>(N237/(Ventas!AE222*1.0044)/60)</f>
        <v>2.1812532139974627</v>
      </c>
      <c r="P237" s="11">
        <v>0</v>
      </c>
      <c r="Q237" s="16">
        <f t="shared" si="16"/>
        <v>32.645866699999999</v>
      </c>
      <c r="R237" s="4"/>
      <c r="S237" s="13">
        <v>46331</v>
      </c>
      <c r="T237" s="10">
        <v>56</v>
      </c>
      <c r="U237" s="16">
        <f>(IF(N237&gt;0,N237+P237,P237)-(T237*Ventas!AE222*0.9018))</f>
        <v>20.103993019999997</v>
      </c>
      <c r="V237" s="17">
        <f>(U237/(Ventas!AE222*0.9018)/60)</f>
        <v>1.4960864139931813</v>
      </c>
      <c r="W237" s="16">
        <f>(100*(Ventas!AE222*1.235) - IF(U237&gt;0,U237,0))</f>
        <v>10.567231980000006</v>
      </c>
      <c r="X237" s="16">
        <f t="shared" si="17"/>
        <v>10.567231980000006</v>
      </c>
      <c r="Y237" s="16">
        <f t="shared" si="18"/>
        <v>30.671225000000003</v>
      </c>
      <c r="Z237" s="18">
        <v>2.2999999999999998</v>
      </c>
      <c r="AA237" s="11">
        <v>3027</v>
      </c>
      <c r="AB237" s="16">
        <f>(Y237-(60*Ventas!AE222*1.235))</f>
        <v>12.268490000000003</v>
      </c>
      <c r="AC237" s="17">
        <f>(AB237/(Ventas!AE222*1.235)/60)</f>
        <v>0.66666666666666674</v>
      </c>
      <c r="AD237" s="1" t="s">
        <v>34</v>
      </c>
      <c r="AE237">
        <f t="shared" si="19"/>
        <v>24.304633554000013</v>
      </c>
    </row>
    <row r="238" spans="1:31" x14ac:dyDescent="0.25">
      <c r="A238" s="1"/>
      <c r="B238" s="1" t="s">
        <v>473</v>
      </c>
      <c r="C238" s="15" t="s">
        <v>472</v>
      </c>
      <c r="D238" s="11">
        <v>74</v>
      </c>
      <c r="E238" s="13">
        <v>46230</v>
      </c>
      <c r="F238" s="10">
        <v>7</v>
      </c>
      <c r="G238" s="16">
        <f>(D238-(0)+0-(F238*Ventas!AE223*1.8))</f>
        <v>72.389930000000007</v>
      </c>
      <c r="H238" s="17">
        <f>(G238/(Ventas!AE223*1.8)/60)</f>
        <v>5.2454190397518952</v>
      </c>
      <c r="I238" s="11">
        <v>0</v>
      </c>
      <c r="J238" s="16">
        <f t="shared" si="15"/>
        <v>72.389930000000007</v>
      </c>
      <c r="K238" s="4"/>
      <c r="L238" s="13">
        <v>46275</v>
      </c>
      <c r="M238" s="10">
        <v>45</v>
      </c>
      <c r="N238" s="16">
        <f>(IF(G238&gt;0,G238+I238,I238)-(M238*Ventas!AE223*1.0044))</f>
        <v>66.614378900000006</v>
      </c>
      <c r="O238" s="17">
        <f>(N238/(Ventas!AE223*1.0044)/60)</f>
        <v>8.650392544358235</v>
      </c>
      <c r="P238" s="11">
        <v>0</v>
      </c>
      <c r="Q238" s="16">
        <f t="shared" si="16"/>
        <v>66.614378900000006</v>
      </c>
      <c r="R238" s="4"/>
      <c r="S238" s="13">
        <v>46331</v>
      </c>
      <c r="T238" s="10">
        <v>56</v>
      </c>
      <c r="U238" s="16">
        <f>(IF(N238&gt;0,N238+P238,P238)-(T238*Ventas!AE223*0.9018))</f>
        <v>60.161218340000005</v>
      </c>
      <c r="V238" s="17">
        <f>(U238/(Ventas!AE223*0.9018)/60)</f>
        <v>8.7012356082872166</v>
      </c>
      <c r="W238" s="16">
        <f>(100*(Ventas!AE223*1.235) - IF(U238&gt;0,U238,0))</f>
        <v>-44.379976673333339</v>
      </c>
      <c r="X238" s="16">
        <f t="shared" si="17"/>
        <v>0</v>
      </c>
      <c r="Y238" s="16">
        <f t="shared" si="18"/>
        <v>60.161218340000005</v>
      </c>
      <c r="Z238" s="18">
        <v>2.2999999999999998</v>
      </c>
      <c r="AA238" s="11">
        <v>3027</v>
      </c>
      <c r="AB238" s="16">
        <f>(Y238-(60*Ventas!AE223*1.235))</f>
        <v>50.692473340000006</v>
      </c>
      <c r="AC238" s="17">
        <f>(AB238/(Ventas!AE223*1.235)/60)</f>
        <v>5.3536633777760416</v>
      </c>
      <c r="AD238" s="1" t="s">
        <v>34</v>
      </c>
      <c r="AE238">
        <f t="shared" si="19"/>
        <v>0</v>
      </c>
    </row>
    <row r="239" spans="1:31" x14ac:dyDescent="0.25">
      <c r="A239" s="1"/>
      <c r="B239" s="1" t="s">
        <v>475</v>
      </c>
      <c r="C239" s="15" t="s">
        <v>474</v>
      </c>
      <c r="D239" s="11">
        <v>133</v>
      </c>
      <c r="E239" s="13">
        <v>46230</v>
      </c>
      <c r="F239" s="10">
        <v>7</v>
      </c>
      <c r="G239" s="16">
        <f>(D239-(0)+0-(F239*Ventas!AE224*1.8))</f>
        <v>131.87775999999999</v>
      </c>
      <c r="H239" s="17">
        <f>(G239/(Ventas!AE224*1.8)/60)</f>
        <v>13.709846972721222</v>
      </c>
      <c r="I239" s="11">
        <v>0</v>
      </c>
      <c r="J239" s="16">
        <f t="shared" si="15"/>
        <v>131.87775999999999</v>
      </c>
      <c r="K239" s="4"/>
      <c r="L239" s="13">
        <v>46275</v>
      </c>
      <c r="M239" s="10">
        <v>45</v>
      </c>
      <c r="N239" s="16">
        <f>(IF(G239&gt;0,G239+I239,I239)-(M239*Ventas!AE224*1.0044))</f>
        <v>127.8521248</v>
      </c>
      <c r="O239" s="17">
        <f>(N239/(Ventas!AE224*1.0044)/60)</f>
        <v>23.819618230683201</v>
      </c>
      <c r="P239" s="11">
        <v>0</v>
      </c>
      <c r="Q239" s="16">
        <f t="shared" si="16"/>
        <v>127.8521248</v>
      </c>
      <c r="R239" s="4"/>
      <c r="S239" s="13">
        <v>46331</v>
      </c>
      <c r="T239" s="10">
        <v>56</v>
      </c>
      <c r="U239" s="16">
        <f>(IF(N239&gt;0,N239+P239,P239)-(T239*Ventas!AE224*0.9018))</f>
        <v>123.35418688</v>
      </c>
      <c r="V239" s="17">
        <f>(U239/(Ventas!AE224*0.9018)/60)</f>
        <v>25.596301342756934</v>
      </c>
      <c r="W239" s="16">
        <f>(100*(Ventas!AE224*1.235) - IF(U239&gt;0,U239,0))</f>
        <v>-112.35445354666666</v>
      </c>
      <c r="X239" s="16">
        <f t="shared" si="17"/>
        <v>0</v>
      </c>
      <c r="Y239" s="16">
        <f t="shared" si="18"/>
        <v>123.35418688</v>
      </c>
      <c r="Z239" s="18">
        <v>2.254</v>
      </c>
      <c r="AA239" s="11">
        <v>3027</v>
      </c>
      <c r="AB239" s="16">
        <f>(Y239-(60*Ventas!AE224*1.235))</f>
        <v>116.75434688</v>
      </c>
      <c r="AC239" s="17">
        <f>(AB239/(Ventas!AE224*1.235)/60)</f>
        <v>17.690481417731338</v>
      </c>
      <c r="AD239" s="1" t="s">
        <v>34</v>
      </c>
      <c r="AE239">
        <f t="shared" si="19"/>
        <v>0</v>
      </c>
    </row>
    <row r="240" spans="1:31" x14ac:dyDescent="0.25">
      <c r="A240" s="1"/>
      <c r="B240" s="1" t="s">
        <v>477</v>
      </c>
      <c r="C240" s="15" t="s">
        <v>476</v>
      </c>
      <c r="D240" s="11">
        <v>147</v>
      </c>
      <c r="E240" s="13">
        <v>46230</v>
      </c>
      <c r="F240" s="10">
        <v>7</v>
      </c>
      <c r="G240" s="16">
        <f>(D240-(0)+0-(F240*Ventas!AE225*1.8))</f>
        <v>140.43267</v>
      </c>
      <c r="H240" s="17">
        <f>(G240/(Ventas!AE225*1.8)/60)</f>
        <v>2.4947446679244081</v>
      </c>
      <c r="I240" s="11">
        <v>80</v>
      </c>
      <c r="J240" s="16">
        <f t="shared" si="15"/>
        <v>220.43267</v>
      </c>
      <c r="K240" s="16">
        <v>11.856</v>
      </c>
      <c r="L240" s="13">
        <v>46275</v>
      </c>
      <c r="M240" s="10">
        <v>45</v>
      </c>
      <c r="N240" s="16">
        <f>(IF(G240&gt;0,G240+I240,I240)-(M240*Ventas!AE225*1.0044))</f>
        <v>196.87471910000002</v>
      </c>
      <c r="O240" s="17">
        <f>(N240/(Ventas!AE225*1.0044)/60)</f>
        <v>6.2677793986318244</v>
      </c>
      <c r="P240" s="11">
        <v>40</v>
      </c>
      <c r="Q240" s="16">
        <f t="shared" si="16"/>
        <v>236.87471910000002</v>
      </c>
      <c r="R240" s="16">
        <v>11.9</v>
      </c>
      <c r="S240" s="13">
        <v>46331</v>
      </c>
      <c r="T240" s="10">
        <v>56</v>
      </c>
      <c r="U240" s="16">
        <f>(IF(N240&gt;0,N240+P240,P240)-(T240*Ventas!AE225*0.9018))</f>
        <v>210.55286046000003</v>
      </c>
      <c r="V240" s="17">
        <f>(U240/(Ventas!AE225*0.9018)/60)</f>
        <v>7.4658862728395858</v>
      </c>
      <c r="W240" s="16">
        <f>(100*(Ventas!AE225*1.235) - IF(U240&gt;0,U240,0))</f>
        <v>-146.18260212666672</v>
      </c>
      <c r="X240" s="16">
        <f t="shared" si="17"/>
        <v>0</v>
      </c>
      <c r="Y240" s="16">
        <f t="shared" si="18"/>
        <v>210.55286046000003</v>
      </c>
      <c r="Z240" s="18">
        <v>11.856</v>
      </c>
      <c r="AA240" s="11">
        <v>3027</v>
      </c>
      <c r="AB240" s="16">
        <f>(Y240-(60*Ventas!AE225*1.235))</f>
        <v>171.93070546000004</v>
      </c>
      <c r="AC240" s="17">
        <f>(AB240/(Ventas!AE225*1.235)/60)</f>
        <v>4.4516082921835949</v>
      </c>
      <c r="AD240" s="1" t="s">
        <v>34</v>
      </c>
      <c r="AE240">
        <f t="shared" si="19"/>
        <v>0</v>
      </c>
    </row>
    <row r="241" spans="1:31" x14ac:dyDescent="0.25">
      <c r="A241" s="1"/>
      <c r="B241" s="1" t="s">
        <v>479</v>
      </c>
      <c r="C241" s="15" t="s">
        <v>478</v>
      </c>
      <c r="D241" s="11">
        <v>143</v>
      </c>
      <c r="E241" s="13">
        <v>46230</v>
      </c>
      <c r="F241" s="10">
        <v>7</v>
      </c>
      <c r="G241" s="16">
        <f>(D241-(0)+0-(F241*Ventas!AE226*1.8))</f>
        <v>140.79331999999999</v>
      </c>
      <c r="H241" s="17">
        <f>(G241/(Ventas!AE226*1.8)/60)</f>
        <v>7.4437106120204692</v>
      </c>
      <c r="I241" s="11">
        <v>60</v>
      </c>
      <c r="J241" s="16">
        <f t="shared" si="15"/>
        <v>200.79331999999999</v>
      </c>
      <c r="K241" s="16">
        <v>11.856</v>
      </c>
      <c r="L241" s="13">
        <v>46275</v>
      </c>
      <c r="M241" s="10">
        <v>45</v>
      </c>
      <c r="N241" s="16">
        <f>(IF(G241&gt;0,G241+I241,I241)-(M241*Ventas!AE226*1.0044))</f>
        <v>192.8776436</v>
      </c>
      <c r="O241" s="17">
        <f>(N241/(Ventas!AE226*1.0044)/60)</f>
        <v>18.27490480788224</v>
      </c>
      <c r="P241" s="11">
        <v>0</v>
      </c>
      <c r="Q241" s="16">
        <f t="shared" si="16"/>
        <v>192.8776436</v>
      </c>
      <c r="R241" s="4"/>
      <c r="S241" s="13">
        <v>46331</v>
      </c>
      <c r="T241" s="10">
        <v>56</v>
      </c>
      <c r="U241" s="16">
        <f>(IF(N241&gt;0,N241+P241,P241)-(T241*Ventas!AE226*0.9018))</f>
        <v>184.03327016</v>
      </c>
      <c r="V241" s="17">
        <f>(U241/(Ventas!AE226*0.9018)/60)</f>
        <v>19.42075226107443</v>
      </c>
      <c r="W241" s="16">
        <f>(100*(Ventas!AE226*1.235) - IF(U241&gt;0,U241,0))</f>
        <v>-162.40430349333332</v>
      </c>
      <c r="X241" s="16">
        <f t="shared" si="17"/>
        <v>0</v>
      </c>
      <c r="Y241" s="16">
        <f t="shared" si="18"/>
        <v>184.03327016</v>
      </c>
      <c r="Z241" s="18">
        <v>11.856</v>
      </c>
      <c r="AA241" s="11">
        <v>3027</v>
      </c>
      <c r="AB241" s="16">
        <f>(Y241-(60*Ventas!AE226*1.235))</f>
        <v>171.05589015999999</v>
      </c>
      <c r="AC241" s="17">
        <f>(AB241/(Ventas!AE226*1.235)/60)</f>
        <v>13.181080476952973</v>
      </c>
      <c r="AD241" s="1" t="s">
        <v>34</v>
      </c>
      <c r="AE241">
        <f t="shared" si="19"/>
        <v>0</v>
      </c>
    </row>
    <row r="242" spans="1:31" x14ac:dyDescent="0.25">
      <c r="A242" s="1"/>
      <c r="B242" s="1" t="s">
        <v>481</v>
      </c>
      <c r="C242" s="15" t="s">
        <v>480</v>
      </c>
      <c r="D242" s="4"/>
      <c r="E242" s="13">
        <v>46230</v>
      </c>
      <c r="F242" s="10">
        <v>7</v>
      </c>
      <c r="G242" s="16">
        <f>(D242-(0)+0-(F242*Ventas!AE227*1.8))</f>
        <v>0</v>
      </c>
      <c r="H242" s="17" t="e">
        <f>(G242/(Ventas!AE227*1.8)/60)</f>
        <v>#DIV/0!</v>
      </c>
      <c r="I242" s="11">
        <v>0</v>
      </c>
      <c r="J242" s="16">
        <f t="shared" si="15"/>
        <v>0</v>
      </c>
      <c r="K242" s="4"/>
      <c r="L242" s="13">
        <v>46275</v>
      </c>
      <c r="M242" s="10">
        <v>45</v>
      </c>
      <c r="N242" s="16">
        <f>(IF(G242&gt;0,G242+I242,I242)-(M242*Ventas!AE227*1.0044))</f>
        <v>0</v>
      </c>
      <c r="O242" s="17" t="e">
        <f>(N242/(Ventas!AE227*1.0044)/60)</f>
        <v>#DIV/0!</v>
      </c>
      <c r="P242" s="11">
        <v>0</v>
      </c>
      <c r="Q242" s="16">
        <f t="shared" si="16"/>
        <v>0</v>
      </c>
      <c r="R242" s="4"/>
      <c r="S242" s="13">
        <v>46331</v>
      </c>
      <c r="T242" s="10">
        <v>56</v>
      </c>
      <c r="U242" s="16">
        <f>(IF(N242&gt;0,N242+P242,P242)-(T242*Ventas!AE227*0.9018))</f>
        <v>0</v>
      </c>
      <c r="V242" s="17" t="e">
        <f>(U242/(Ventas!AE227*0.9018)/60)</f>
        <v>#DIV/0!</v>
      </c>
      <c r="W242" s="16">
        <f>(100*(Ventas!AE227*1.235) - IF(U242&gt;0,U242,0))</f>
        <v>0</v>
      </c>
      <c r="X242" s="16">
        <f t="shared" si="17"/>
        <v>0</v>
      </c>
      <c r="Y242" s="16">
        <f t="shared" si="18"/>
        <v>0</v>
      </c>
      <c r="Z242" s="18">
        <v>3.0379999999999998</v>
      </c>
      <c r="AA242" s="11">
        <v>3010</v>
      </c>
      <c r="AB242" s="16">
        <f>(Y242-(60*Ventas!AE227*1.235))</f>
        <v>0</v>
      </c>
      <c r="AC242" s="17" t="e">
        <f>(AB242/(Ventas!AE227*1.235)/60)</f>
        <v>#DIV/0!</v>
      </c>
      <c r="AD242" s="1" t="s">
        <v>34</v>
      </c>
      <c r="AE242">
        <f t="shared" si="19"/>
        <v>0</v>
      </c>
    </row>
    <row r="243" spans="1:31" x14ac:dyDescent="0.25">
      <c r="A243" s="1"/>
      <c r="B243" s="1" t="s">
        <v>157</v>
      </c>
      <c r="C243" s="15" t="s">
        <v>482</v>
      </c>
      <c r="D243" s="4"/>
      <c r="E243" s="13">
        <v>46230</v>
      </c>
      <c r="F243" s="10">
        <v>7</v>
      </c>
      <c r="G243" s="16">
        <f>(D243-(0)+0-(F243*Ventas!AE228*1.8))</f>
        <v>0</v>
      </c>
      <c r="H243" s="4"/>
      <c r="I243" s="11">
        <v>0</v>
      </c>
      <c r="J243" s="16">
        <f t="shared" si="15"/>
        <v>0</v>
      </c>
      <c r="K243" s="4"/>
      <c r="L243" s="13">
        <v>46275</v>
      </c>
      <c r="M243" s="10">
        <v>45</v>
      </c>
      <c r="N243" s="16">
        <f>(IF(G243&gt;0,G243+I243,I243)-(M243*Ventas!AE228*1.0044))</f>
        <v>0</v>
      </c>
      <c r="O243" s="4"/>
      <c r="P243" s="11">
        <v>0</v>
      </c>
      <c r="Q243" s="16">
        <f t="shared" si="16"/>
        <v>0</v>
      </c>
      <c r="R243" s="4"/>
      <c r="S243" s="13">
        <v>46331</v>
      </c>
      <c r="T243" s="10">
        <v>56</v>
      </c>
      <c r="U243" s="16">
        <f>(IF(N243&gt;0,N243+P243,P243)-(T243*Ventas!AE228*0.9018))</f>
        <v>0</v>
      </c>
      <c r="V243" s="4"/>
      <c r="W243" s="16">
        <f>(100*(Ventas!AE228*1.235) - IF(U243&gt;0,U243,0))</f>
        <v>0</v>
      </c>
      <c r="X243" s="16">
        <f t="shared" si="17"/>
        <v>0</v>
      </c>
      <c r="Y243" s="16">
        <f t="shared" si="18"/>
        <v>0</v>
      </c>
      <c r="Z243" s="4"/>
      <c r="AA243" s="4"/>
      <c r="AB243" s="4"/>
      <c r="AC243" s="4"/>
      <c r="AD243" s="1" t="s">
        <v>34</v>
      </c>
      <c r="AE243">
        <f t="shared" si="19"/>
        <v>0</v>
      </c>
    </row>
    <row r="244" spans="1:31" x14ac:dyDescent="0.25">
      <c r="A244" s="1"/>
      <c r="B244" s="1" t="s">
        <v>484</v>
      </c>
      <c r="C244" s="15" t="s">
        <v>483</v>
      </c>
      <c r="D244" s="11">
        <v>138</v>
      </c>
      <c r="E244" s="13">
        <v>46230</v>
      </c>
      <c r="F244" s="10">
        <v>7</v>
      </c>
      <c r="G244" s="16">
        <f>(D244-(0)+0-(F244*Ventas!AE229*1.8))</f>
        <v>135.89814000000001</v>
      </c>
      <c r="H244" s="17">
        <f>(G244/(Ventas!AE229*1.8)/60)</f>
        <v>7.5432155329089472</v>
      </c>
      <c r="I244" s="11">
        <v>0</v>
      </c>
      <c r="J244" s="16">
        <f t="shared" si="15"/>
        <v>135.89814000000001</v>
      </c>
      <c r="K244" s="4"/>
      <c r="L244" s="13">
        <v>46275</v>
      </c>
      <c r="M244" s="10">
        <v>45</v>
      </c>
      <c r="N244" s="16">
        <f>(IF(G244&gt;0,G244+I244,I244)-(M244*Ventas!AE229*1.0044))</f>
        <v>128.35846791428574</v>
      </c>
      <c r="O244" s="17">
        <f>(N244/(Ventas!AE229*1.0044)/60)</f>
        <v>12.768307406646862</v>
      </c>
      <c r="P244" s="11">
        <v>0</v>
      </c>
      <c r="Q244" s="16">
        <f t="shared" si="16"/>
        <v>128.35846791428574</v>
      </c>
      <c r="R244" s="4"/>
      <c r="S244" s="13">
        <v>46331</v>
      </c>
      <c r="T244" s="10">
        <v>56</v>
      </c>
      <c r="U244" s="16">
        <f>(IF(N244&gt;0,N244+P244,P244)-(T244*Ventas!AE229*0.9018))</f>
        <v>119.93421303428573</v>
      </c>
      <c r="V244" s="17">
        <f>(U244/(Ventas!AE229*0.9018)/60)</f>
        <v>13.287655754309277</v>
      </c>
      <c r="W244" s="16">
        <f>(100*(Ventas!AE229*1.235) - IF(U244&gt;0,U244,0))</f>
        <v>-99.332648748571444</v>
      </c>
      <c r="X244" s="16">
        <f t="shared" si="17"/>
        <v>0</v>
      </c>
      <c r="Y244" s="16">
        <f t="shared" si="18"/>
        <v>119.93421303428573</v>
      </c>
      <c r="Z244" s="18">
        <v>11.074</v>
      </c>
      <c r="AA244" s="11">
        <v>3027</v>
      </c>
      <c r="AB244" s="16">
        <f>(Y244-(60*Ventas!AE229*1.235))</f>
        <v>107.57327446285716</v>
      </c>
      <c r="AC244" s="17">
        <f>(AB244/(Ventas!AE229*1.235)/60)</f>
        <v>8.7026785095029204</v>
      </c>
      <c r="AD244" s="1" t="s">
        <v>34</v>
      </c>
      <c r="AE244">
        <f t="shared" si="19"/>
        <v>0</v>
      </c>
    </row>
    <row r="245" spans="1:31" x14ac:dyDescent="0.25">
      <c r="A245" s="1"/>
      <c r="B245" s="1" t="s">
        <v>486</v>
      </c>
      <c r="C245" s="15" t="s">
        <v>485</v>
      </c>
      <c r="D245" s="11">
        <v>129</v>
      </c>
      <c r="E245" s="13">
        <v>46230</v>
      </c>
      <c r="F245" s="10">
        <v>7</v>
      </c>
      <c r="G245" s="16">
        <f>(D245-(0)+0-(F245*Ventas!AE230*1.8))</f>
        <v>126.10218</v>
      </c>
      <c r="H245" s="17">
        <f>(G245/(Ventas!AE230*1.8)/60)</f>
        <v>5.0768926296319297</v>
      </c>
      <c r="I245" s="11">
        <v>0</v>
      </c>
      <c r="J245" s="16">
        <f t="shared" si="15"/>
        <v>126.10218</v>
      </c>
      <c r="K245" s="4"/>
      <c r="L245" s="13">
        <v>46275</v>
      </c>
      <c r="M245" s="10">
        <v>45</v>
      </c>
      <c r="N245" s="16">
        <f>(IF(G245&gt;0,G245+I245,I245)-(M245*Ventas!AE230*1.0044))</f>
        <v>115.70728568571428</v>
      </c>
      <c r="O245" s="17">
        <f>(N245/(Ventas!AE230*1.0044)/60)</f>
        <v>8.3483738882292648</v>
      </c>
      <c r="P245" s="11">
        <v>15</v>
      </c>
      <c r="Q245" s="16">
        <f t="shared" si="16"/>
        <v>130.70728568571428</v>
      </c>
      <c r="R245" s="16">
        <v>6.1</v>
      </c>
      <c r="S245" s="13">
        <v>46331</v>
      </c>
      <c r="T245" s="10">
        <v>56</v>
      </c>
      <c r="U245" s="16">
        <f>(IF(N245&gt;0,N245+P245,P245)-(T245*Ventas!AE230*0.9018))</f>
        <v>119.09282312571428</v>
      </c>
      <c r="V245" s="17">
        <f>(U245/(Ventas!AE230*0.9018)/60)</f>
        <v>9.5702492482786017</v>
      </c>
      <c r="W245" s="16">
        <f>(100*(Ventas!AE230*1.235) - IF(U245&gt;0,U245,0))</f>
        <v>-90.689587411428562</v>
      </c>
      <c r="X245" s="16">
        <f t="shared" si="17"/>
        <v>0</v>
      </c>
      <c r="Y245" s="16">
        <f t="shared" si="18"/>
        <v>119.09282312571428</v>
      </c>
      <c r="Z245" s="18">
        <v>5.9779999999999998</v>
      </c>
      <c r="AA245" s="11">
        <v>3027</v>
      </c>
      <c r="AB245" s="16">
        <f>(Y245-(60*Ventas!AE230*1.235))</f>
        <v>102.05088169714284</v>
      </c>
      <c r="AC245" s="17">
        <f>(AB245/(Ventas!AE230*1.235)/60)</f>
        <v>5.9882192486620598</v>
      </c>
      <c r="AD245" s="1" t="s">
        <v>34</v>
      </c>
      <c r="AE245">
        <f t="shared" si="19"/>
        <v>0</v>
      </c>
    </row>
    <row r="246" spans="1:31" x14ac:dyDescent="0.25">
      <c r="A246" s="1"/>
      <c r="B246" s="1" t="s">
        <v>488</v>
      </c>
      <c r="C246" s="15" t="s">
        <v>487</v>
      </c>
      <c r="D246" s="11">
        <v>41</v>
      </c>
      <c r="E246" s="13">
        <v>46230</v>
      </c>
      <c r="F246" s="10">
        <v>7</v>
      </c>
      <c r="G246" s="16">
        <f>(D246-(0)+0-(F246*Ventas!AE231*1.8))</f>
        <v>38.53022</v>
      </c>
      <c r="H246" s="17">
        <f>(G246/(Ventas!AE231*1.8)/60)</f>
        <v>1.8200780366402405</v>
      </c>
      <c r="I246" s="11">
        <v>80</v>
      </c>
      <c r="J246" s="16">
        <f t="shared" si="15"/>
        <v>118.53022</v>
      </c>
      <c r="K246" s="16">
        <v>17.576000000000001</v>
      </c>
      <c r="L246" s="13">
        <v>46275</v>
      </c>
      <c r="M246" s="10">
        <v>45</v>
      </c>
      <c r="N246" s="16">
        <f>(IF(G246&gt;0,G246+I246,I246)-(M246*Ventas!AE231*1.0044))</f>
        <v>109.67076631428571</v>
      </c>
      <c r="O246" s="17">
        <f>(N246/(Ventas!AE231*1.0044)/60)</f>
        <v>9.2842152184108091</v>
      </c>
      <c r="P246" s="11">
        <v>0</v>
      </c>
      <c r="Q246" s="16">
        <f t="shared" si="16"/>
        <v>109.67076631428571</v>
      </c>
      <c r="R246" s="4"/>
      <c r="S246" s="13">
        <v>46331</v>
      </c>
      <c r="T246" s="10">
        <v>56</v>
      </c>
      <c r="U246" s="16">
        <f>(IF(N246&gt;0,N246+P246,P246)-(T246*Ventas!AE231*0.9018))</f>
        <v>99.771888074285712</v>
      </c>
      <c r="V246" s="17">
        <f>(U246/(Ventas!AE231*0.9018)/60)</f>
        <v>9.4071698440583429</v>
      </c>
      <c r="W246" s="16">
        <f>(100*(Ventas!AE231*1.235) - IF(U246&gt;0,U246,0))</f>
        <v>-75.564123788571422</v>
      </c>
      <c r="X246" s="16">
        <f t="shared" si="17"/>
        <v>0</v>
      </c>
      <c r="Y246" s="16">
        <f t="shared" si="18"/>
        <v>99.771888074285712</v>
      </c>
      <c r="Z246" s="18">
        <v>17.576000000000001</v>
      </c>
      <c r="AA246" s="11">
        <v>3027</v>
      </c>
      <c r="AB246" s="16">
        <f>(Y246-(60*Ventas!AE231*1.235))</f>
        <v>85.247229502857138</v>
      </c>
      <c r="AC246" s="17">
        <f>(AB246/(Ventas!AE231*1.235)/60)</f>
        <v>5.8691382715561238</v>
      </c>
      <c r="AD246" s="1" t="s">
        <v>34</v>
      </c>
      <c r="AE246">
        <f t="shared" si="19"/>
        <v>0</v>
      </c>
    </row>
    <row r="247" spans="1:31" x14ac:dyDescent="0.25">
      <c r="A247" s="1"/>
      <c r="B247" s="1" t="s">
        <v>490</v>
      </c>
      <c r="C247" s="15" t="s">
        <v>489</v>
      </c>
      <c r="D247" s="4"/>
      <c r="E247" s="13">
        <v>46230</v>
      </c>
      <c r="F247" s="10">
        <v>7</v>
      </c>
      <c r="G247" s="16">
        <f>(D247-(0)+0-(F247*Ventas!AE232*1.8))</f>
        <v>0</v>
      </c>
      <c r="H247" s="4"/>
      <c r="I247" s="11">
        <v>0</v>
      </c>
      <c r="J247" s="16">
        <f t="shared" si="15"/>
        <v>0</v>
      </c>
      <c r="K247" s="4"/>
      <c r="L247" s="13">
        <v>46275</v>
      </c>
      <c r="M247" s="10">
        <v>45</v>
      </c>
      <c r="N247" s="16">
        <f>(IF(G247&gt;0,G247+I247,I247)-(M247*Ventas!AE232*1.0044))</f>
        <v>0</v>
      </c>
      <c r="O247" s="4"/>
      <c r="P247" s="11">
        <v>0</v>
      </c>
      <c r="Q247" s="16">
        <f t="shared" si="16"/>
        <v>0</v>
      </c>
      <c r="R247" s="4"/>
      <c r="S247" s="13">
        <v>46331</v>
      </c>
      <c r="T247" s="10">
        <v>56</v>
      </c>
      <c r="U247" s="16">
        <f>(IF(N247&gt;0,N247+P247,P247)-(T247*Ventas!AE232*0.9018))</f>
        <v>0</v>
      </c>
      <c r="V247" s="4"/>
      <c r="W247" s="16">
        <f>(100*(Ventas!AE232*1.235) - IF(U247&gt;0,U247,0))</f>
        <v>0</v>
      </c>
      <c r="X247" s="16">
        <f t="shared" si="17"/>
        <v>0</v>
      </c>
      <c r="Y247" s="16">
        <f t="shared" si="18"/>
        <v>0</v>
      </c>
      <c r="Z247" s="18">
        <v>20.7</v>
      </c>
      <c r="AA247" s="11">
        <v>3027</v>
      </c>
      <c r="AB247" s="4"/>
      <c r="AC247" s="4"/>
      <c r="AD247" s="1" t="s">
        <v>34</v>
      </c>
      <c r="AE247">
        <f t="shared" si="19"/>
        <v>0</v>
      </c>
    </row>
    <row r="248" spans="1:31" x14ac:dyDescent="0.25">
      <c r="A248" s="1"/>
      <c r="B248" s="1" t="s">
        <v>492</v>
      </c>
      <c r="C248" s="15" t="s">
        <v>491</v>
      </c>
      <c r="D248" s="4"/>
      <c r="E248" s="13">
        <v>46230</v>
      </c>
      <c r="F248" s="10">
        <v>7</v>
      </c>
      <c r="G248" s="16">
        <f>(D248-(0)+0-(F248*Ventas!AE233*1.8))</f>
        <v>0</v>
      </c>
      <c r="H248" s="4"/>
      <c r="I248" s="11">
        <v>0</v>
      </c>
      <c r="J248" s="16">
        <f t="shared" si="15"/>
        <v>0</v>
      </c>
      <c r="K248" s="4"/>
      <c r="L248" s="13">
        <v>46275</v>
      </c>
      <c r="M248" s="10">
        <v>45</v>
      </c>
      <c r="N248" s="16">
        <f>(IF(G248&gt;0,G248+I248,I248)-(M248*Ventas!AE233*1.0044))</f>
        <v>0</v>
      </c>
      <c r="O248" s="4"/>
      <c r="P248" s="11">
        <v>0</v>
      </c>
      <c r="Q248" s="16">
        <f t="shared" si="16"/>
        <v>0</v>
      </c>
      <c r="R248" s="4"/>
      <c r="S248" s="13">
        <v>46331</v>
      </c>
      <c r="T248" s="10">
        <v>56</v>
      </c>
      <c r="U248" s="16">
        <f>(IF(N248&gt;0,N248+P248,P248)-(T248*Ventas!AE233*0.9018))</f>
        <v>0</v>
      </c>
      <c r="V248" s="4"/>
      <c r="W248" s="16">
        <f>(100*(Ventas!AE233*1.235) - IF(U248&gt;0,U248,0))</f>
        <v>0</v>
      </c>
      <c r="X248" s="16">
        <f t="shared" si="17"/>
        <v>0</v>
      </c>
      <c r="Y248" s="16">
        <f t="shared" si="18"/>
        <v>0</v>
      </c>
      <c r="Z248" s="18">
        <v>20.7</v>
      </c>
      <c r="AA248" s="11">
        <v>3027</v>
      </c>
      <c r="AB248" s="4"/>
      <c r="AC248" s="4"/>
      <c r="AD248" s="1" t="s">
        <v>34</v>
      </c>
      <c r="AE248">
        <f t="shared" si="19"/>
        <v>0</v>
      </c>
    </row>
    <row r="249" spans="1:31" x14ac:dyDescent="0.25">
      <c r="A249" s="1"/>
      <c r="B249" s="1" t="s">
        <v>494</v>
      </c>
      <c r="C249" s="15" t="s">
        <v>493</v>
      </c>
      <c r="D249" s="4"/>
      <c r="E249" s="13">
        <v>46230</v>
      </c>
      <c r="F249" s="10">
        <v>7</v>
      </c>
      <c r="G249" s="16">
        <f>(D249-(0)+0-(F249*Ventas!AE234*1.8))</f>
        <v>0</v>
      </c>
      <c r="H249" s="4"/>
      <c r="I249" s="11">
        <v>0</v>
      </c>
      <c r="J249" s="16">
        <f t="shared" si="15"/>
        <v>0</v>
      </c>
      <c r="K249" s="4"/>
      <c r="L249" s="13">
        <v>46275</v>
      </c>
      <c r="M249" s="10">
        <v>45</v>
      </c>
      <c r="N249" s="16">
        <f>(IF(G249&gt;0,G249+I249,I249)-(M249*Ventas!AE234*1.0044))</f>
        <v>0</v>
      </c>
      <c r="O249" s="4"/>
      <c r="P249" s="11">
        <v>0</v>
      </c>
      <c r="Q249" s="16">
        <f t="shared" si="16"/>
        <v>0</v>
      </c>
      <c r="R249" s="4"/>
      <c r="S249" s="13">
        <v>46331</v>
      </c>
      <c r="T249" s="10">
        <v>56</v>
      </c>
      <c r="U249" s="16">
        <f>(IF(N249&gt;0,N249+P249,P249)-(T249*Ventas!AE234*0.9018))</f>
        <v>0</v>
      </c>
      <c r="V249" s="4"/>
      <c r="W249" s="16">
        <f>(100*(Ventas!AE234*1.235) - IF(U249&gt;0,U249,0))</f>
        <v>0</v>
      </c>
      <c r="X249" s="16">
        <f t="shared" si="17"/>
        <v>0</v>
      </c>
      <c r="Y249" s="16">
        <f t="shared" si="18"/>
        <v>0</v>
      </c>
      <c r="Z249" s="18">
        <v>6.1</v>
      </c>
      <c r="AA249" s="11">
        <v>3027</v>
      </c>
      <c r="AB249" s="4"/>
      <c r="AC249" s="4"/>
      <c r="AD249" s="1" t="s">
        <v>34</v>
      </c>
      <c r="AE249">
        <f t="shared" si="19"/>
        <v>0</v>
      </c>
    </row>
    <row r="250" spans="1:31" x14ac:dyDescent="0.25">
      <c r="A250" s="1"/>
      <c r="B250" s="1" t="s">
        <v>496</v>
      </c>
      <c r="C250" s="15" t="s">
        <v>495</v>
      </c>
      <c r="D250" s="4"/>
      <c r="E250" s="13">
        <v>46230</v>
      </c>
      <c r="F250" s="10">
        <v>7</v>
      </c>
      <c r="G250" s="16">
        <f>(D250-(0)+0-(F250*Ventas!AE235*1.8))</f>
        <v>0</v>
      </c>
      <c r="H250" s="4"/>
      <c r="I250" s="11">
        <v>0</v>
      </c>
      <c r="J250" s="16">
        <f t="shared" si="15"/>
        <v>0</v>
      </c>
      <c r="K250" s="4"/>
      <c r="L250" s="13">
        <v>46275</v>
      </c>
      <c r="M250" s="10">
        <v>45</v>
      </c>
      <c r="N250" s="16">
        <f>(IF(G250&gt;0,G250+I250,I250)-(M250*Ventas!AE235*1.0044))</f>
        <v>0</v>
      </c>
      <c r="O250" s="4"/>
      <c r="P250" s="11">
        <v>0</v>
      </c>
      <c r="Q250" s="16">
        <f t="shared" si="16"/>
        <v>0</v>
      </c>
      <c r="R250" s="4"/>
      <c r="S250" s="13">
        <v>46331</v>
      </c>
      <c r="T250" s="10">
        <v>56</v>
      </c>
      <c r="U250" s="16">
        <f>(IF(N250&gt;0,N250+P250,P250)-(T250*Ventas!AE235*0.9018))</f>
        <v>0</v>
      </c>
      <c r="V250" s="4"/>
      <c r="W250" s="16">
        <f>(100*(Ventas!AE235*1.235) - IF(U250&gt;0,U250,0))</f>
        <v>0</v>
      </c>
      <c r="X250" s="16">
        <f t="shared" si="17"/>
        <v>0</v>
      </c>
      <c r="Y250" s="16">
        <f t="shared" si="18"/>
        <v>0</v>
      </c>
      <c r="Z250" s="18">
        <v>6.1</v>
      </c>
      <c r="AA250" s="11">
        <v>3027</v>
      </c>
      <c r="AB250" s="4"/>
      <c r="AC250" s="4"/>
      <c r="AD250" s="1" t="s">
        <v>34</v>
      </c>
      <c r="AE250">
        <f t="shared" si="19"/>
        <v>0</v>
      </c>
    </row>
    <row r="251" spans="1:31" x14ac:dyDescent="0.25">
      <c r="A251" s="1"/>
      <c r="B251" s="1" t="s">
        <v>498</v>
      </c>
      <c r="C251" s="15" t="s">
        <v>497</v>
      </c>
      <c r="D251" s="4"/>
      <c r="E251" s="13">
        <v>46230</v>
      </c>
      <c r="F251" s="10">
        <v>7</v>
      </c>
      <c r="G251" s="16">
        <f>(D251-(0)+0-(F251*Ventas!AE236*1.8))</f>
        <v>0</v>
      </c>
      <c r="H251" s="4"/>
      <c r="I251" s="11">
        <v>0</v>
      </c>
      <c r="J251" s="16">
        <f t="shared" si="15"/>
        <v>0</v>
      </c>
      <c r="K251" s="4"/>
      <c r="L251" s="13">
        <v>46275</v>
      </c>
      <c r="M251" s="10">
        <v>45</v>
      </c>
      <c r="N251" s="16">
        <f>(IF(G251&gt;0,G251+I251,I251)-(M251*Ventas!AE236*1.0044))</f>
        <v>0</v>
      </c>
      <c r="O251" s="4"/>
      <c r="P251" s="11">
        <v>0</v>
      </c>
      <c r="Q251" s="16">
        <f t="shared" si="16"/>
        <v>0</v>
      </c>
      <c r="R251" s="4"/>
      <c r="S251" s="13">
        <v>46331</v>
      </c>
      <c r="T251" s="10">
        <v>56</v>
      </c>
      <c r="U251" s="16">
        <f>(IF(N251&gt;0,N251+P251,P251)-(T251*Ventas!AE236*0.9018))</f>
        <v>0</v>
      </c>
      <c r="V251" s="4"/>
      <c r="W251" s="16">
        <f>(100*(Ventas!AE236*1.235) - IF(U251&gt;0,U251,0))</f>
        <v>0</v>
      </c>
      <c r="X251" s="16">
        <f t="shared" si="17"/>
        <v>0</v>
      </c>
      <c r="Y251" s="16">
        <f t="shared" si="18"/>
        <v>0</v>
      </c>
      <c r="Z251" s="18">
        <v>6.1</v>
      </c>
      <c r="AA251" s="11">
        <v>3027</v>
      </c>
      <c r="AB251" s="4"/>
      <c r="AC251" s="4"/>
      <c r="AD251" s="1" t="s">
        <v>34</v>
      </c>
      <c r="AE251">
        <f t="shared" si="19"/>
        <v>0</v>
      </c>
    </row>
    <row r="252" spans="1:31" x14ac:dyDescent="0.25">
      <c r="A252" s="1"/>
      <c r="B252" s="1" t="s">
        <v>500</v>
      </c>
      <c r="C252" s="15" t="s">
        <v>499</v>
      </c>
      <c r="D252" s="4"/>
      <c r="E252" s="13">
        <v>46230</v>
      </c>
      <c r="F252" s="10">
        <v>7</v>
      </c>
      <c r="G252" s="16">
        <f>(D252-(0)+0-(F252*Ventas!AE237*1.8))</f>
        <v>0</v>
      </c>
      <c r="H252" s="4"/>
      <c r="I252" s="11">
        <v>15</v>
      </c>
      <c r="J252" s="16">
        <f t="shared" si="15"/>
        <v>15</v>
      </c>
      <c r="K252" s="16">
        <v>6.1360000000000001</v>
      </c>
      <c r="L252" s="13">
        <v>46275</v>
      </c>
      <c r="M252" s="10">
        <v>45</v>
      </c>
      <c r="N252" s="16">
        <f>(IF(G252&gt;0,G252+I252,I252)-(M252*Ventas!AE237*1.0044))</f>
        <v>15</v>
      </c>
      <c r="O252" s="4"/>
      <c r="P252" s="11">
        <v>0</v>
      </c>
      <c r="Q252" s="16">
        <f t="shared" si="16"/>
        <v>15</v>
      </c>
      <c r="R252" s="4"/>
      <c r="S252" s="13">
        <v>46331</v>
      </c>
      <c r="T252" s="10">
        <v>56</v>
      </c>
      <c r="U252" s="16">
        <f>(IF(N252&gt;0,N252+P252,P252)-(T252*Ventas!AE237*0.9018))</f>
        <v>15</v>
      </c>
      <c r="V252" s="4"/>
      <c r="W252" s="16">
        <f>(100*(Ventas!AE237*1.235) - IF(U252&gt;0,U252,0))</f>
        <v>-15</v>
      </c>
      <c r="X252" s="16">
        <f t="shared" si="17"/>
        <v>0</v>
      </c>
      <c r="Y252" s="16">
        <f t="shared" si="18"/>
        <v>15</v>
      </c>
      <c r="Z252" s="18">
        <v>6.1360000000000001</v>
      </c>
      <c r="AA252" s="11">
        <v>3027</v>
      </c>
      <c r="AB252" s="4"/>
      <c r="AC252" s="4"/>
      <c r="AD252" s="1" t="s">
        <v>34</v>
      </c>
      <c r="AE252">
        <f t="shared" si="19"/>
        <v>0</v>
      </c>
    </row>
    <row r="253" spans="1:31" x14ac:dyDescent="0.25">
      <c r="A253" s="1"/>
      <c r="B253" s="1" t="s">
        <v>502</v>
      </c>
      <c r="C253" s="15" t="s">
        <v>501</v>
      </c>
      <c r="D253" s="4"/>
      <c r="E253" s="13">
        <v>46230</v>
      </c>
      <c r="F253" s="10">
        <v>7</v>
      </c>
      <c r="G253" s="16">
        <f>(D253-(0)+0-(F253*Ventas!AE238*1.8))</f>
        <v>0</v>
      </c>
      <c r="H253" s="4"/>
      <c r="I253" s="11">
        <v>60</v>
      </c>
      <c r="J253" s="16">
        <f t="shared" si="15"/>
        <v>60</v>
      </c>
      <c r="K253" s="16">
        <v>4.5999999999999996</v>
      </c>
      <c r="L253" s="13">
        <v>46275</v>
      </c>
      <c r="M253" s="10">
        <v>45</v>
      </c>
      <c r="N253" s="16">
        <f>(IF(G253&gt;0,G253+I253,I253)-(M253*Ventas!AE238*1.0044))</f>
        <v>60</v>
      </c>
      <c r="O253" s="4"/>
      <c r="P253" s="11">
        <v>0</v>
      </c>
      <c r="Q253" s="16">
        <f t="shared" si="16"/>
        <v>60</v>
      </c>
      <c r="R253" s="4"/>
      <c r="S253" s="13">
        <v>46331</v>
      </c>
      <c r="T253" s="10">
        <v>56</v>
      </c>
      <c r="U253" s="16">
        <f>(IF(N253&gt;0,N253+P253,P253)-(T253*Ventas!AE238*0.9018))</f>
        <v>60</v>
      </c>
      <c r="V253" s="4"/>
      <c r="W253" s="16">
        <f>(100*(Ventas!AE238*1.235) - IF(U253&gt;0,U253,0))</f>
        <v>-60</v>
      </c>
      <c r="X253" s="16">
        <f t="shared" si="17"/>
        <v>0</v>
      </c>
      <c r="Y253" s="16">
        <f t="shared" si="18"/>
        <v>60</v>
      </c>
      <c r="Z253" s="18">
        <v>4.5999999999999996</v>
      </c>
      <c r="AA253" s="11">
        <v>3027</v>
      </c>
      <c r="AB253" s="4"/>
      <c r="AC253" s="4"/>
      <c r="AD253" s="1" t="s">
        <v>34</v>
      </c>
      <c r="AE253">
        <f t="shared" si="19"/>
        <v>0</v>
      </c>
    </row>
    <row r="254" spans="1:31" x14ac:dyDescent="0.25">
      <c r="A254" s="1"/>
      <c r="B254" s="1" t="s">
        <v>504</v>
      </c>
      <c r="C254" s="15" t="s">
        <v>503</v>
      </c>
      <c r="D254" s="4"/>
      <c r="E254" s="13">
        <v>46230</v>
      </c>
      <c r="F254" s="10">
        <v>7</v>
      </c>
      <c r="G254" s="16">
        <f>(D254-(0)+0-(F254*Ventas!AE239*1.8))</f>
        <v>0</v>
      </c>
      <c r="H254" s="4"/>
      <c r="I254" s="11">
        <v>0</v>
      </c>
      <c r="J254" s="16">
        <f t="shared" si="15"/>
        <v>0</v>
      </c>
      <c r="K254" s="4"/>
      <c r="L254" s="13">
        <v>46275</v>
      </c>
      <c r="M254" s="10">
        <v>45</v>
      </c>
      <c r="N254" s="16">
        <f>(IF(G254&gt;0,G254+I254,I254)-(M254*Ventas!AE239*1.0044))</f>
        <v>0</v>
      </c>
      <c r="O254" s="4"/>
      <c r="P254" s="11">
        <v>0</v>
      </c>
      <c r="Q254" s="16">
        <f t="shared" si="16"/>
        <v>0</v>
      </c>
      <c r="R254" s="4"/>
      <c r="S254" s="13">
        <v>46331</v>
      </c>
      <c r="T254" s="10">
        <v>56</v>
      </c>
      <c r="U254" s="16">
        <f>(IF(N254&gt;0,N254+P254,P254)-(T254*Ventas!AE239*0.9018))</f>
        <v>0</v>
      </c>
      <c r="V254" s="4"/>
      <c r="W254" s="16">
        <f>(100*(Ventas!AE239*1.235) - IF(U254&gt;0,U254,0))</f>
        <v>0</v>
      </c>
      <c r="X254" s="16">
        <f t="shared" si="17"/>
        <v>0</v>
      </c>
      <c r="Y254" s="16">
        <f t="shared" si="18"/>
        <v>0</v>
      </c>
      <c r="Z254" s="18">
        <v>6.7</v>
      </c>
      <c r="AA254" s="11">
        <v>3027</v>
      </c>
      <c r="AB254" s="4"/>
      <c r="AC254" s="4"/>
      <c r="AD254" s="1" t="s">
        <v>34</v>
      </c>
      <c r="AE254">
        <f t="shared" si="19"/>
        <v>0</v>
      </c>
    </row>
    <row r="255" spans="1:31" x14ac:dyDescent="0.25">
      <c r="A255" s="1"/>
      <c r="B255" s="1" t="s">
        <v>506</v>
      </c>
      <c r="C255" s="15" t="s">
        <v>505</v>
      </c>
      <c r="D255" s="4"/>
      <c r="E255" s="13">
        <v>46230</v>
      </c>
      <c r="F255" s="10">
        <v>7</v>
      </c>
      <c r="G255" s="16">
        <f>(D255-(0)+0-(F255*Ventas!AE240*1.8))</f>
        <v>0</v>
      </c>
      <c r="H255" s="4"/>
      <c r="I255" s="11">
        <v>40</v>
      </c>
      <c r="J255" s="16">
        <f t="shared" si="15"/>
        <v>40</v>
      </c>
      <c r="K255" s="16">
        <v>6.6559999999999997</v>
      </c>
      <c r="L255" s="13">
        <v>46275</v>
      </c>
      <c r="M255" s="10">
        <v>45</v>
      </c>
      <c r="N255" s="16">
        <f>(IF(G255&gt;0,G255+I255,I255)-(M255*Ventas!AE240*1.0044))</f>
        <v>40</v>
      </c>
      <c r="O255" s="4"/>
      <c r="P255" s="11">
        <v>0</v>
      </c>
      <c r="Q255" s="16">
        <f t="shared" si="16"/>
        <v>40</v>
      </c>
      <c r="R255" s="4"/>
      <c r="S255" s="13">
        <v>46331</v>
      </c>
      <c r="T255" s="10">
        <v>56</v>
      </c>
      <c r="U255" s="16">
        <f>(IF(N255&gt;0,N255+P255,P255)-(T255*Ventas!AE240*0.9018))</f>
        <v>40</v>
      </c>
      <c r="V255" s="4"/>
      <c r="W255" s="16">
        <f>(100*(Ventas!AE240*1.235) - IF(U255&gt;0,U255,0))</f>
        <v>-40</v>
      </c>
      <c r="X255" s="16">
        <f t="shared" si="17"/>
        <v>0</v>
      </c>
      <c r="Y255" s="16">
        <f t="shared" si="18"/>
        <v>40</v>
      </c>
      <c r="Z255" s="18">
        <v>6.6559999999999997</v>
      </c>
      <c r="AA255" s="11">
        <v>3027</v>
      </c>
      <c r="AB255" s="4"/>
      <c r="AC255" s="4"/>
      <c r="AD255" s="1" t="s">
        <v>34</v>
      </c>
      <c r="AE255">
        <f t="shared" si="19"/>
        <v>0</v>
      </c>
    </row>
    <row r="256" spans="1:31" x14ac:dyDescent="0.25">
      <c r="A256" s="1"/>
      <c r="B256" s="1" t="s">
        <v>508</v>
      </c>
      <c r="C256" s="15" t="s">
        <v>507</v>
      </c>
      <c r="D256" s="4"/>
      <c r="E256" s="13">
        <v>46230</v>
      </c>
      <c r="F256" s="10">
        <v>7</v>
      </c>
      <c r="G256" s="16">
        <f>(D256-(0)+0-(F256*Ventas!AE241*1.8))</f>
        <v>0</v>
      </c>
      <c r="H256" s="4"/>
      <c r="I256" s="11">
        <v>0</v>
      </c>
      <c r="J256" s="16">
        <f t="shared" si="15"/>
        <v>0</v>
      </c>
      <c r="K256" s="4"/>
      <c r="L256" s="13">
        <v>46275</v>
      </c>
      <c r="M256" s="10">
        <v>45</v>
      </c>
      <c r="N256" s="16">
        <f>(IF(G256&gt;0,G256+I256,I256)-(M256*Ventas!AE241*1.0044))</f>
        <v>0</v>
      </c>
      <c r="O256" s="4"/>
      <c r="P256" s="11">
        <v>0</v>
      </c>
      <c r="Q256" s="16">
        <f t="shared" si="16"/>
        <v>0</v>
      </c>
      <c r="R256" s="4"/>
      <c r="S256" s="13">
        <v>46331</v>
      </c>
      <c r="T256" s="10">
        <v>56</v>
      </c>
      <c r="U256" s="16">
        <f>(IF(N256&gt;0,N256+P256,P256)-(T256*Ventas!AE241*0.9018))</f>
        <v>0</v>
      </c>
      <c r="V256" s="4"/>
      <c r="W256" s="16">
        <f>(100*(Ventas!AE241*1.235) - IF(U256&gt;0,U256,0))</f>
        <v>0</v>
      </c>
      <c r="X256" s="16">
        <f t="shared" si="17"/>
        <v>0</v>
      </c>
      <c r="Y256" s="16">
        <f t="shared" si="18"/>
        <v>0</v>
      </c>
      <c r="Z256" s="18">
        <v>13.3</v>
      </c>
      <c r="AA256" s="11">
        <v>3027</v>
      </c>
      <c r="AB256" s="4"/>
      <c r="AC256" s="4"/>
      <c r="AD256" s="1" t="s">
        <v>34</v>
      </c>
      <c r="AE256">
        <f t="shared" si="19"/>
        <v>0</v>
      </c>
    </row>
    <row r="257" spans="1:31" x14ac:dyDescent="0.25">
      <c r="A257" s="1"/>
      <c r="B257" s="1" t="s">
        <v>510</v>
      </c>
      <c r="C257" s="15" t="s">
        <v>509</v>
      </c>
      <c r="D257" s="4"/>
      <c r="E257" s="13">
        <v>46230</v>
      </c>
      <c r="F257" s="10">
        <v>7</v>
      </c>
      <c r="G257" s="16">
        <f>(D257-(0)+0-(F257*Ventas!AE242*1.8))</f>
        <v>0</v>
      </c>
      <c r="H257" s="4"/>
      <c r="I257" s="11">
        <v>0</v>
      </c>
      <c r="J257" s="16">
        <f t="shared" si="15"/>
        <v>0</v>
      </c>
      <c r="K257" s="4"/>
      <c r="L257" s="13">
        <v>46275</v>
      </c>
      <c r="M257" s="10">
        <v>45</v>
      </c>
      <c r="N257" s="16">
        <f>(IF(G257&gt;0,G257+I257,I257)-(M257*Ventas!AE242*1.0044))</f>
        <v>0</v>
      </c>
      <c r="O257" s="4"/>
      <c r="P257" s="11">
        <v>0</v>
      </c>
      <c r="Q257" s="16">
        <f t="shared" si="16"/>
        <v>0</v>
      </c>
      <c r="R257" s="4"/>
      <c r="S257" s="13">
        <v>46331</v>
      </c>
      <c r="T257" s="10">
        <v>56</v>
      </c>
      <c r="U257" s="16">
        <f>(IF(N257&gt;0,N257+P257,P257)-(T257*Ventas!AE242*0.9018))</f>
        <v>0</v>
      </c>
      <c r="V257" s="4"/>
      <c r="W257" s="16">
        <f>(100*(Ventas!AE242*1.235) - IF(U257&gt;0,U257,0))</f>
        <v>0</v>
      </c>
      <c r="X257" s="16">
        <f t="shared" si="17"/>
        <v>0</v>
      </c>
      <c r="Y257" s="16">
        <f t="shared" si="18"/>
        <v>0</v>
      </c>
      <c r="Z257" s="18">
        <v>11.4</v>
      </c>
      <c r="AA257" s="11">
        <v>3027</v>
      </c>
      <c r="AB257" s="4"/>
      <c r="AC257" s="4"/>
      <c r="AD257" s="1" t="s">
        <v>34</v>
      </c>
      <c r="AE257">
        <f t="shared" si="19"/>
        <v>0</v>
      </c>
    </row>
    <row r="258" spans="1:31" x14ac:dyDescent="0.25">
      <c r="A258" s="1"/>
      <c r="B258" s="1" t="s">
        <v>512</v>
      </c>
      <c r="C258" s="15" t="s">
        <v>511</v>
      </c>
      <c r="D258" s="4"/>
      <c r="E258" s="13">
        <v>46230</v>
      </c>
      <c r="F258" s="10">
        <v>7</v>
      </c>
      <c r="G258" s="16">
        <f>(D258-(0)+0-(F258*Ventas!AE243*1.8))</f>
        <v>0</v>
      </c>
      <c r="H258" s="4"/>
      <c r="I258" s="11">
        <v>0</v>
      </c>
      <c r="J258" s="16">
        <f t="shared" si="15"/>
        <v>0</v>
      </c>
      <c r="K258" s="4"/>
      <c r="L258" s="13">
        <v>46275</v>
      </c>
      <c r="M258" s="10">
        <v>45</v>
      </c>
      <c r="N258" s="16">
        <f>(IF(G258&gt;0,G258+I258,I258)-(M258*Ventas!AE243*1.0044))</f>
        <v>0</v>
      </c>
      <c r="O258" s="4"/>
      <c r="P258" s="11">
        <v>0</v>
      </c>
      <c r="Q258" s="16">
        <f t="shared" si="16"/>
        <v>0</v>
      </c>
      <c r="R258" s="4"/>
      <c r="S258" s="13">
        <v>46331</v>
      </c>
      <c r="T258" s="10">
        <v>56</v>
      </c>
      <c r="U258" s="16">
        <f>(IF(N258&gt;0,N258+P258,P258)-(T258*Ventas!AE243*0.9018))</f>
        <v>0</v>
      </c>
      <c r="V258" s="4"/>
      <c r="W258" s="16">
        <f>(100*(Ventas!AE243*1.235) - IF(U258&gt;0,U258,0))</f>
        <v>0</v>
      </c>
      <c r="X258" s="16">
        <f t="shared" si="17"/>
        <v>0</v>
      </c>
      <c r="Y258" s="16">
        <f t="shared" si="18"/>
        <v>0</v>
      </c>
      <c r="Z258" s="18">
        <v>19.100000000000001</v>
      </c>
      <c r="AA258" s="11">
        <v>3027</v>
      </c>
      <c r="AB258" s="4"/>
      <c r="AC258" s="4"/>
      <c r="AD258" s="1" t="s">
        <v>34</v>
      </c>
      <c r="AE258">
        <f t="shared" si="19"/>
        <v>0</v>
      </c>
    </row>
    <row r="259" spans="1:31" x14ac:dyDescent="0.25">
      <c r="A259" s="1"/>
      <c r="B259" s="1" t="s">
        <v>514</v>
      </c>
      <c r="C259" s="15" t="s">
        <v>513</v>
      </c>
      <c r="D259" s="4"/>
      <c r="E259" s="13">
        <v>46230</v>
      </c>
      <c r="F259" s="10">
        <v>7</v>
      </c>
      <c r="G259" s="16">
        <f>(D259-(0)+0-(F259*Ventas!AE244*1.8))</f>
        <v>0</v>
      </c>
      <c r="H259" s="4"/>
      <c r="I259" s="11">
        <v>20</v>
      </c>
      <c r="J259" s="16">
        <f t="shared" si="15"/>
        <v>20</v>
      </c>
      <c r="K259" s="16">
        <v>8.2159999999999993</v>
      </c>
      <c r="L259" s="13">
        <v>46275</v>
      </c>
      <c r="M259" s="10">
        <v>45</v>
      </c>
      <c r="N259" s="16">
        <f>(IF(G259&gt;0,G259+I259,I259)-(M259*Ventas!AE244*1.0044))</f>
        <v>20</v>
      </c>
      <c r="O259" s="4"/>
      <c r="P259" s="11">
        <v>0</v>
      </c>
      <c r="Q259" s="16">
        <f t="shared" si="16"/>
        <v>20</v>
      </c>
      <c r="R259" s="4"/>
      <c r="S259" s="13">
        <v>46331</v>
      </c>
      <c r="T259" s="10">
        <v>56</v>
      </c>
      <c r="U259" s="16">
        <f>(IF(N259&gt;0,N259+P259,P259)-(T259*Ventas!AE244*0.9018))</f>
        <v>20</v>
      </c>
      <c r="V259" s="4"/>
      <c r="W259" s="16">
        <f>(100*(Ventas!AE244*1.235) - IF(U259&gt;0,U259,0))</f>
        <v>-20</v>
      </c>
      <c r="X259" s="16">
        <f t="shared" si="17"/>
        <v>0</v>
      </c>
      <c r="Y259" s="16">
        <f t="shared" si="18"/>
        <v>20</v>
      </c>
      <c r="Z259" s="18">
        <v>8.2159999999999993</v>
      </c>
      <c r="AA259" s="11">
        <v>3027</v>
      </c>
      <c r="AB259" s="4"/>
      <c r="AC259" s="4"/>
      <c r="AD259" s="1" t="s">
        <v>34</v>
      </c>
      <c r="AE259">
        <f t="shared" si="19"/>
        <v>0</v>
      </c>
    </row>
    <row r="260" spans="1:31" x14ac:dyDescent="0.25">
      <c r="A260" s="1"/>
      <c r="B260" s="1" t="s">
        <v>516</v>
      </c>
      <c r="C260" s="15" t="s">
        <v>515</v>
      </c>
      <c r="D260" s="4"/>
      <c r="E260" s="13">
        <v>46230</v>
      </c>
      <c r="F260" s="10">
        <v>7</v>
      </c>
      <c r="G260" s="16">
        <f>(D260-(0)+0-(F260*Ventas!AE245*1.8))</f>
        <v>0</v>
      </c>
      <c r="H260" s="4"/>
      <c r="I260" s="11">
        <v>40</v>
      </c>
      <c r="J260" s="16">
        <f t="shared" si="15"/>
        <v>40</v>
      </c>
      <c r="K260" s="16">
        <v>8.2159999999999993</v>
      </c>
      <c r="L260" s="13">
        <v>46275</v>
      </c>
      <c r="M260" s="10">
        <v>45</v>
      </c>
      <c r="N260" s="16">
        <f>(IF(G260&gt;0,G260+I260,I260)-(M260*Ventas!AE245*1.0044))</f>
        <v>40</v>
      </c>
      <c r="O260" s="4"/>
      <c r="P260" s="11">
        <v>0</v>
      </c>
      <c r="Q260" s="16">
        <f t="shared" si="16"/>
        <v>40</v>
      </c>
      <c r="R260" s="4"/>
      <c r="S260" s="13">
        <v>46331</v>
      </c>
      <c r="T260" s="10">
        <v>56</v>
      </c>
      <c r="U260" s="16">
        <f>(IF(N260&gt;0,N260+P260,P260)-(T260*Ventas!AE245*0.9018))</f>
        <v>40</v>
      </c>
      <c r="V260" s="4"/>
      <c r="W260" s="16">
        <f>(100*(Ventas!AE245*1.235) - IF(U260&gt;0,U260,0))</f>
        <v>-40</v>
      </c>
      <c r="X260" s="16">
        <f t="shared" si="17"/>
        <v>0</v>
      </c>
      <c r="Y260" s="16">
        <f t="shared" si="18"/>
        <v>40</v>
      </c>
      <c r="Z260" s="18">
        <v>8.2159999999999993</v>
      </c>
      <c r="AA260" s="11">
        <v>3027</v>
      </c>
      <c r="AB260" s="4"/>
      <c r="AC260" s="4"/>
      <c r="AD260" s="1" t="s">
        <v>34</v>
      </c>
      <c r="AE260">
        <f t="shared" si="19"/>
        <v>0</v>
      </c>
    </row>
    <row r="261" spans="1:31" x14ac:dyDescent="0.25">
      <c r="A261" s="1"/>
      <c r="B261" s="1" t="s">
        <v>518</v>
      </c>
      <c r="C261" s="15" t="s">
        <v>517</v>
      </c>
      <c r="D261" s="4"/>
      <c r="E261" s="13">
        <v>46230</v>
      </c>
      <c r="F261" s="10">
        <v>7</v>
      </c>
      <c r="G261" s="16">
        <f>(D261-(0)+0-(F261*Ventas!AE246*1.8))</f>
        <v>0</v>
      </c>
      <c r="H261" s="4"/>
      <c r="I261" s="11">
        <v>0</v>
      </c>
      <c r="J261" s="16">
        <f t="shared" ref="J261:J324" si="20">IF(G261&gt;0,G261+I261,I261)</f>
        <v>0</v>
      </c>
      <c r="K261" s="4"/>
      <c r="L261" s="13">
        <v>46275</v>
      </c>
      <c r="M261" s="10">
        <v>45</v>
      </c>
      <c r="N261" s="16">
        <f>(IF(G261&gt;0,G261+I261,I261)-(M261*Ventas!AE246*1.0044))</f>
        <v>0</v>
      </c>
      <c r="O261" s="4"/>
      <c r="P261" s="11">
        <v>0</v>
      </c>
      <c r="Q261" s="16">
        <f t="shared" ref="Q261:Q324" si="21">IF(N261&gt;0,N261+P261,P261)</f>
        <v>0</v>
      </c>
      <c r="R261" s="4"/>
      <c r="S261" s="13">
        <v>46331</v>
      </c>
      <c r="T261" s="10">
        <v>56</v>
      </c>
      <c r="U261" s="16">
        <f>(IF(N261&gt;0,N261+P261,P261)-(T261*Ventas!AE246*0.9018))</f>
        <v>0</v>
      </c>
      <c r="V261" s="4"/>
      <c r="W261" s="16">
        <f>(100*(Ventas!AE246*1.235) - IF(U261&gt;0,U261,0))</f>
        <v>0</v>
      </c>
      <c r="X261" s="16">
        <f t="shared" ref="X261:X324" si="22">IF(W261&gt;0,W261,0)</f>
        <v>0</v>
      </c>
      <c r="Y261" s="16">
        <f t="shared" ref="Y261:Y324" si="23">IF(U261&gt;0,U261+IF(X261&gt;0,X261,0),X261)</f>
        <v>0</v>
      </c>
      <c r="Z261" s="18">
        <v>8.1999999999999993</v>
      </c>
      <c r="AA261" s="11">
        <v>3027</v>
      </c>
      <c r="AB261" s="4"/>
      <c r="AC261" s="4"/>
      <c r="AD261" s="1" t="s">
        <v>34</v>
      </c>
      <c r="AE261">
        <f t="shared" si="19"/>
        <v>0</v>
      </c>
    </row>
    <row r="262" spans="1:31" x14ac:dyDescent="0.25">
      <c r="A262" s="1"/>
      <c r="B262" s="1" t="s">
        <v>520</v>
      </c>
      <c r="C262" s="15" t="s">
        <v>519</v>
      </c>
      <c r="D262" s="4"/>
      <c r="E262" s="13">
        <v>46230</v>
      </c>
      <c r="F262" s="10">
        <v>7</v>
      </c>
      <c r="G262" s="16">
        <f>(D262-(0)+0-(F262*Ventas!AE247*1.8))</f>
        <v>0</v>
      </c>
      <c r="H262" s="4"/>
      <c r="I262" s="11">
        <v>0</v>
      </c>
      <c r="J262" s="16">
        <f t="shared" si="20"/>
        <v>0</v>
      </c>
      <c r="K262" s="4"/>
      <c r="L262" s="13">
        <v>46275</v>
      </c>
      <c r="M262" s="10">
        <v>45</v>
      </c>
      <c r="N262" s="16">
        <f>(IF(G262&gt;0,G262+I262,I262)-(M262*Ventas!AE247*1.0044))</f>
        <v>0</v>
      </c>
      <c r="O262" s="4"/>
      <c r="P262" s="11">
        <v>0</v>
      </c>
      <c r="Q262" s="16">
        <f t="shared" si="21"/>
        <v>0</v>
      </c>
      <c r="R262" s="4"/>
      <c r="S262" s="13">
        <v>46331</v>
      </c>
      <c r="T262" s="10">
        <v>56</v>
      </c>
      <c r="U262" s="16">
        <f>(IF(N262&gt;0,N262+P262,P262)-(T262*Ventas!AE247*0.9018))</f>
        <v>0</v>
      </c>
      <c r="V262" s="4"/>
      <c r="W262" s="16">
        <f>(100*(Ventas!AE247*1.235) - IF(U262&gt;0,U262,0))</f>
        <v>0</v>
      </c>
      <c r="X262" s="16">
        <f t="shared" si="22"/>
        <v>0</v>
      </c>
      <c r="Y262" s="16">
        <f t="shared" si="23"/>
        <v>0</v>
      </c>
      <c r="Z262" s="18">
        <v>8.1999999999999993</v>
      </c>
      <c r="AA262" s="11">
        <v>3027</v>
      </c>
      <c r="AB262" s="4"/>
      <c r="AC262" s="4"/>
      <c r="AD262" s="1" t="s">
        <v>34</v>
      </c>
      <c r="AE262">
        <f t="shared" ref="AE262:AE325" si="24">X262*Z262</f>
        <v>0</v>
      </c>
    </row>
    <row r="263" spans="1:31" x14ac:dyDescent="0.25">
      <c r="A263" s="1"/>
      <c r="B263" s="1" t="s">
        <v>522</v>
      </c>
      <c r="C263" s="15" t="s">
        <v>521</v>
      </c>
      <c r="D263" s="4"/>
      <c r="E263" s="13">
        <v>46230</v>
      </c>
      <c r="F263" s="10">
        <v>7</v>
      </c>
      <c r="G263" s="16">
        <f>(D263-(0)+0-(F263*Ventas!AE248*1.8))</f>
        <v>0</v>
      </c>
      <c r="H263" s="4"/>
      <c r="I263" s="11">
        <v>0</v>
      </c>
      <c r="J263" s="16">
        <f t="shared" si="20"/>
        <v>0</v>
      </c>
      <c r="K263" s="4"/>
      <c r="L263" s="13">
        <v>46275</v>
      </c>
      <c r="M263" s="10">
        <v>45</v>
      </c>
      <c r="N263" s="16">
        <f>(IF(G263&gt;0,G263+I263,I263)-(M263*Ventas!AE248*1.0044))</f>
        <v>0</v>
      </c>
      <c r="O263" s="4"/>
      <c r="P263" s="11">
        <v>0</v>
      </c>
      <c r="Q263" s="16">
        <f t="shared" si="21"/>
        <v>0</v>
      </c>
      <c r="R263" s="4"/>
      <c r="S263" s="13">
        <v>46331</v>
      </c>
      <c r="T263" s="10">
        <v>56</v>
      </c>
      <c r="U263" s="16">
        <f>(IF(N263&gt;0,N263+P263,P263)-(T263*Ventas!AE248*0.9018))</f>
        <v>0</v>
      </c>
      <c r="V263" s="4"/>
      <c r="W263" s="16">
        <f>(100*(Ventas!AE248*1.235) - IF(U263&gt;0,U263,0))</f>
        <v>0</v>
      </c>
      <c r="X263" s="16">
        <f t="shared" si="22"/>
        <v>0</v>
      </c>
      <c r="Y263" s="16">
        <f t="shared" si="23"/>
        <v>0</v>
      </c>
      <c r="Z263" s="18">
        <v>7.2</v>
      </c>
      <c r="AA263" s="11">
        <v>3027</v>
      </c>
      <c r="AB263" s="4"/>
      <c r="AC263" s="4"/>
      <c r="AD263" s="1" t="s">
        <v>34</v>
      </c>
      <c r="AE263">
        <f t="shared" si="24"/>
        <v>0</v>
      </c>
    </row>
    <row r="264" spans="1:31" x14ac:dyDescent="0.25">
      <c r="A264" s="1"/>
      <c r="B264" s="1" t="s">
        <v>524</v>
      </c>
      <c r="C264" s="15" t="s">
        <v>523</v>
      </c>
      <c r="D264" s="4"/>
      <c r="E264" s="13">
        <v>46230</v>
      </c>
      <c r="F264" s="10">
        <v>7</v>
      </c>
      <c r="G264" s="16">
        <f>(D264-(0)+0-(F264*Ventas!AE249*1.8))</f>
        <v>0</v>
      </c>
      <c r="H264" s="4"/>
      <c r="I264" s="11">
        <v>0</v>
      </c>
      <c r="J264" s="16">
        <f t="shared" si="20"/>
        <v>0</v>
      </c>
      <c r="K264" s="4"/>
      <c r="L264" s="13">
        <v>46275</v>
      </c>
      <c r="M264" s="10">
        <v>45</v>
      </c>
      <c r="N264" s="16">
        <f>(IF(G264&gt;0,G264+I264,I264)-(M264*Ventas!AE249*1.0044))</f>
        <v>0</v>
      </c>
      <c r="O264" s="4"/>
      <c r="P264" s="11">
        <v>0</v>
      </c>
      <c r="Q264" s="16">
        <f t="shared" si="21"/>
        <v>0</v>
      </c>
      <c r="R264" s="4"/>
      <c r="S264" s="13">
        <v>46331</v>
      </c>
      <c r="T264" s="10">
        <v>56</v>
      </c>
      <c r="U264" s="16">
        <f>(IF(N264&gt;0,N264+P264,P264)-(T264*Ventas!AE249*0.9018))</f>
        <v>0</v>
      </c>
      <c r="V264" s="4"/>
      <c r="W264" s="16">
        <f>(100*(Ventas!AE249*1.235) - IF(U264&gt;0,U264,0))</f>
        <v>0</v>
      </c>
      <c r="X264" s="16">
        <f t="shared" si="22"/>
        <v>0</v>
      </c>
      <c r="Y264" s="16">
        <f t="shared" si="23"/>
        <v>0</v>
      </c>
      <c r="Z264" s="18">
        <v>7.2</v>
      </c>
      <c r="AA264" s="11">
        <v>3027</v>
      </c>
      <c r="AB264" s="4"/>
      <c r="AC264" s="4"/>
      <c r="AD264" s="1" t="s">
        <v>34</v>
      </c>
      <c r="AE264">
        <f t="shared" si="24"/>
        <v>0</v>
      </c>
    </row>
    <row r="265" spans="1:31" x14ac:dyDescent="0.25">
      <c r="A265" s="1"/>
      <c r="B265" s="1" t="s">
        <v>526</v>
      </c>
      <c r="C265" s="15" t="s">
        <v>525</v>
      </c>
      <c r="D265" s="11">
        <v>50</v>
      </c>
      <c r="E265" s="13">
        <v>46230</v>
      </c>
      <c r="F265" s="10">
        <v>7</v>
      </c>
      <c r="G265" s="16">
        <f>(D265-(0)+0-(F265*Ventas!AE250*1.8))</f>
        <v>50</v>
      </c>
      <c r="H265" s="4"/>
      <c r="I265" s="11">
        <v>0</v>
      </c>
      <c r="J265" s="16">
        <f t="shared" si="20"/>
        <v>50</v>
      </c>
      <c r="K265" s="4"/>
      <c r="L265" s="13">
        <v>46275</v>
      </c>
      <c r="M265" s="10">
        <v>45</v>
      </c>
      <c r="N265" s="16">
        <f>(IF(G265&gt;0,G265+I265,I265)-(M265*Ventas!AE250*1.0044))</f>
        <v>50</v>
      </c>
      <c r="O265" s="4"/>
      <c r="P265" s="11">
        <v>0</v>
      </c>
      <c r="Q265" s="16">
        <f t="shared" si="21"/>
        <v>50</v>
      </c>
      <c r="R265" s="4"/>
      <c r="S265" s="13">
        <v>46331</v>
      </c>
      <c r="T265" s="10">
        <v>56</v>
      </c>
      <c r="U265" s="16">
        <f>(IF(N265&gt;0,N265+P265,P265)-(T265*Ventas!AE250*0.9018))</f>
        <v>50</v>
      </c>
      <c r="V265" s="4"/>
      <c r="W265" s="16">
        <f>(100*(Ventas!AE250*1.235) - IF(U265&gt;0,U265,0))</f>
        <v>-50</v>
      </c>
      <c r="X265" s="16">
        <f t="shared" si="22"/>
        <v>0</v>
      </c>
      <c r="Y265" s="16">
        <f t="shared" si="23"/>
        <v>50</v>
      </c>
      <c r="Z265" s="18">
        <v>8.8000000000000007</v>
      </c>
      <c r="AA265" s="11">
        <v>3027</v>
      </c>
      <c r="AB265" s="4"/>
      <c r="AC265" s="4"/>
      <c r="AD265" s="1" t="s">
        <v>34</v>
      </c>
      <c r="AE265">
        <f t="shared" si="24"/>
        <v>0</v>
      </c>
    </row>
    <row r="266" spans="1:31" x14ac:dyDescent="0.25">
      <c r="A266" s="1"/>
      <c r="B266" s="1" t="s">
        <v>528</v>
      </c>
      <c r="C266" s="15" t="s">
        <v>527</v>
      </c>
      <c r="D266" s="11">
        <v>81</v>
      </c>
      <c r="E266" s="13">
        <v>46230</v>
      </c>
      <c r="F266" s="10">
        <v>7</v>
      </c>
      <c r="G266" s="16">
        <f>(D266-(0)+0-(F266*Ventas!AE251*1.8))</f>
        <v>77.757599999999996</v>
      </c>
      <c r="H266" s="17">
        <f>(G266/(Ventas!AE251*1.8)/60)</f>
        <v>2.7978411053540584</v>
      </c>
      <c r="I266" s="11">
        <v>160</v>
      </c>
      <c r="J266" s="16">
        <f t="shared" si="20"/>
        <v>237.7576</v>
      </c>
      <c r="K266" s="16">
        <v>3.7440000000000002</v>
      </c>
      <c r="L266" s="13">
        <v>46275</v>
      </c>
      <c r="M266" s="10">
        <v>45</v>
      </c>
      <c r="N266" s="16">
        <f>(IF(G266&gt;0,G266+I266,I266)-(M266*Ventas!AE251*1.0044))</f>
        <v>226.12664799999999</v>
      </c>
      <c r="O266" s="17">
        <f>(N266/(Ventas!AE251*1.0044)/60)</f>
        <v>14.581350348621504</v>
      </c>
      <c r="P266" s="11">
        <v>80</v>
      </c>
      <c r="Q266" s="16">
        <f t="shared" si="21"/>
        <v>306.12664799999999</v>
      </c>
      <c r="R266" s="16">
        <v>3.7</v>
      </c>
      <c r="S266" s="13">
        <v>46331</v>
      </c>
      <c r="T266" s="10">
        <v>56</v>
      </c>
      <c r="U266" s="16">
        <f>(IF(N266&gt;0,N266+P266,P266)-(T266*Ventas!AE251*0.9018))</f>
        <v>293.13110879999999</v>
      </c>
      <c r="V266" s="17">
        <f>(U266/(Ventas!AE251*0.9018)/60)</f>
        <v>21.052534309619102</v>
      </c>
      <c r="W266" s="16">
        <f>(100*(Ventas!AE251*1.235) - IF(U266&gt;0,U266,0))</f>
        <v>-261.35044213333333</v>
      </c>
      <c r="X266" s="16">
        <f t="shared" si="22"/>
        <v>0</v>
      </c>
      <c r="Y266" s="16">
        <f t="shared" si="23"/>
        <v>293.13110879999999</v>
      </c>
      <c r="Z266" s="18">
        <v>3.7440000000000002</v>
      </c>
      <c r="AA266" s="11">
        <v>3027</v>
      </c>
      <c r="AB266" s="16">
        <f>(Y266-(60*Ventas!AE251*1.235))</f>
        <v>274.0627088</v>
      </c>
      <c r="AC266" s="17">
        <f>(AB266/(Ventas!AE251*1.235)/60)</f>
        <v>14.372611692643323</v>
      </c>
      <c r="AD266" s="1" t="s">
        <v>34</v>
      </c>
      <c r="AE266">
        <f t="shared" si="24"/>
        <v>0</v>
      </c>
    </row>
    <row r="267" spans="1:31" x14ac:dyDescent="0.25">
      <c r="A267" s="1"/>
      <c r="B267" s="1" t="s">
        <v>530</v>
      </c>
      <c r="C267" s="15" t="s">
        <v>529</v>
      </c>
      <c r="D267" s="11">
        <v>17</v>
      </c>
      <c r="E267" s="13">
        <v>46230</v>
      </c>
      <c r="F267" s="10">
        <v>7</v>
      </c>
      <c r="G267" s="16">
        <f>(D267-(0)+0-(F267*Ventas!AE252*1.8))</f>
        <v>14.50142</v>
      </c>
      <c r="H267" s="17">
        <f>(G267/(Ventas!AE252*1.8)/60)</f>
        <v>0.67711753609383463</v>
      </c>
      <c r="I267" s="11">
        <v>0</v>
      </c>
      <c r="J267" s="16">
        <f t="shared" si="20"/>
        <v>14.50142</v>
      </c>
      <c r="K267" s="4"/>
      <c r="L267" s="13">
        <v>46275</v>
      </c>
      <c r="M267" s="10">
        <v>45</v>
      </c>
      <c r="N267" s="16">
        <f>(IF(G267&gt;0,G267+I267,I267)-(M267*Ventas!AE252*1.0044))</f>
        <v>5.5386565999999995</v>
      </c>
      <c r="O267" s="17">
        <f>(N267/(Ventas!AE252*1.0044)/60)</f>
        <v>0.46347228690651365</v>
      </c>
      <c r="P267" s="11">
        <v>0</v>
      </c>
      <c r="Q267" s="16">
        <f t="shared" si="21"/>
        <v>5.5386565999999995</v>
      </c>
      <c r="R267" s="4"/>
      <c r="S267" s="13">
        <v>46331</v>
      </c>
      <c r="T267" s="10">
        <v>56</v>
      </c>
      <c r="U267" s="16">
        <f>(IF(N267&gt;0,N267+P267,P267)-(T267*Ventas!AE252*0.9018))</f>
        <v>-4.4756520400000017</v>
      </c>
      <c r="V267" s="17">
        <f>(U267/(Ventas!AE252*0.9018)/60)</f>
        <v>-0.41713066647937214</v>
      </c>
      <c r="W267" s="16">
        <f>(100*(Ventas!AE252*1.235) - IF(U267&gt;0,U267,0))</f>
        <v>24.490050000000004</v>
      </c>
      <c r="X267" s="16">
        <f t="shared" si="22"/>
        <v>24.490050000000004</v>
      </c>
      <c r="Y267" s="16">
        <f t="shared" si="23"/>
        <v>24.490050000000004</v>
      </c>
      <c r="Z267" s="18">
        <v>6.1</v>
      </c>
      <c r="AA267" s="11">
        <v>3010</v>
      </c>
      <c r="AB267" s="16">
        <f>(Y267-(60*Ventas!AE252*1.235))</f>
        <v>9.7960200000000022</v>
      </c>
      <c r="AC267" s="17">
        <f>(AB267/(Ventas!AE252*1.235)/60)</f>
        <v>0.66666666666666674</v>
      </c>
      <c r="AD267" s="1" t="s">
        <v>34</v>
      </c>
      <c r="AE267">
        <f t="shared" si="24"/>
        <v>149.38930500000001</v>
      </c>
    </row>
    <row r="268" spans="1:31" x14ac:dyDescent="0.25">
      <c r="A268" s="1"/>
      <c r="B268" s="1" t="s">
        <v>532</v>
      </c>
      <c r="C268" s="15" t="s">
        <v>531</v>
      </c>
      <c r="D268" s="11">
        <v>75</v>
      </c>
      <c r="E268" s="13">
        <v>46230</v>
      </c>
      <c r="F268" s="10">
        <v>7</v>
      </c>
      <c r="G268" s="16">
        <f>(D268-(0)+0-(F268*Ventas!AE253*1.8))</f>
        <v>74.409059999999997</v>
      </c>
      <c r="H268" s="17">
        <f>(G268/(Ventas!AE253*1.8)/60)</f>
        <v>14.690251125325752</v>
      </c>
      <c r="I268" s="11">
        <v>0</v>
      </c>
      <c r="J268" s="16">
        <f t="shared" si="20"/>
        <v>74.409059999999997</v>
      </c>
      <c r="K268" s="4"/>
      <c r="L268" s="13">
        <v>46275</v>
      </c>
      <c r="M268" s="10">
        <v>45</v>
      </c>
      <c r="N268" s="16">
        <f>(IF(G268&gt;0,G268+I268,I268)-(M268*Ventas!AE253*1.0044))</f>
        <v>72.289273799999989</v>
      </c>
      <c r="O268" s="17">
        <f>(N268/(Ventas!AE253*1.0044)/60)</f>
        <v>25.576614919938624</v>
      </c>
      <c r="P268" s="11">
        <v>0</v>
      </c>
      <c r="Q268" s="16">
        <f t="shared" si="21"/>
        <v>72.289273799999989</v>
      </c>
      <c r="R268" s="4"/>
      <c r="S268" s="13">
        <v>46331</v>
      </c>
      <c r="T268" s="10">
        <v>56</v>
      </c>
      <c r="U268" s="16">
        <f>(IF(N268&gt;0,N268+P268,P268)-(T268*Ventas!AE253*0.9018))</f>
        <v>69.920786279999987</v>
      </c>
      <c r="V268" s="17">
        <f>(U268/(Ventas!AE253*0.9018)/60)</f>
        <v>27.553195858933634</v>
      </c>
      <c r="W268" s="16">
        <f>(100*(Ventas!AE253*1.235) - IF(U268&gt;0,U268,0))</f>
        <v>-64.128636279999981</v>
      </c>
      <c r="X268" s="16">
        <f t="shared" si="22"/>
        <v>0</v>
      </c>
      <c r="Y268" s="16">
        <f t="shared" si="23"/>
        <v>69.920786279999987</v>
      </c>
      <c r="Z268" s="18">
        <v>11.6866</v>
      </c>
      <c r="AA268" s="11">
        <v>3010</v>
      </c>
      <c r="AB268" s="16">
        <f>(Y268-(60*Ventas!AE253*1.235))</f>
        <v>66.445496279999986</v>
      </c>
      <c r="AC268" s="17">
        <f>(AB268/(Ventas!AE253*1.235)/60)</f>
        <v>19.119410547033478</v>
      </c>
      <c r="AD268" s="1" t="s">
        <v>34</v>
      </c>
      <c r="AE268">
        <f t="shared" si="24"/>
        <v>0</v>
      </c>
    </row>
    <row r="269" spans="1:31" x14ac:dyDescent="0.25">
      <c r="A269" s="1"/>
      <c r="B269" s="1" t="s">
        <v>534</v>
      </c>
      <c r="C269" s="15" t="s">
        <v>533</v>
      </c>
      <c r="D269" s="11">
        <v>69</v>
      </c>
      <c r="E269" s="13">
        <v>46230</v>
      </c>
      <c r="F269" s="10">
        <v>7</v>
      </c>
      <c r="G269" s="16">
        <f>(D269-(0)+0-(F269*Ventas!AE254*1.8))</f>
        <v>68.362020000000001</v>
      </c>
      <c r="H269" s="17">
        <f>(G269/(Ventas!AE254*1.8)/60)</f>
        <v>12.501283739302174</v>
      </c>
      <c r="I269" s="11">
        <v>0</v>
      </c>
      <c r="J269" s="16">
        <f t="shared" si="20"/>
        <v>68.362020000000001</v>
      </c>
      <c r="K269" s="4"/>
      <c r="L269" s="13">
        <v>46275</v>
      </c>
      <c r="M269" s="10">
        <v>45</v>
      </c>
      <c r="N269" s="16">
        <f>(IF(G269&gt;0,G269+I269,I269)-(M269*Ventas!AE254*1.0044))</f>
        <v>66.073494600000004</v>
      </c>
      <c r="O269" s="17">
        <f>(N269/(Ventas!AE254*1.0044)/60)</f>
        <v>21.653734299824688</v>
      </c>
      <c r="P269" s="11">
        <v>0</v>
      </c>
      <c r="Q269" s="16">
        <f t="shared" si="21"/>
        <v>66.073494600000004</v>
      </c>
      <c r="R269" s="4"/>
      <c r="S269" s="13">
        <v>46331</v>
      </c>
      <c r="T269" s="10">
        <v>56</v>
      </c>
      <c r="U269" s="16">
        <f>(IF(N269&gt;0,N269+P269,P269)-(T269*Ventas!AE254*0.9018))</f>
        <v>63.516470760000004</v>
      </c>
      <c r="V269" s="17">
        <f>(U269/(Ventas!AE254*0.9018)/60)</f>
        <v>23.18399947964506</v>
      </c>
      <c r="W269" s="16">
        <f>(100*(Ventas!AE254*1.235) - IF(U269&gt;0,U269,0))</f>
        <v>-57.263254093333337</v>
      </c>
      <c r="X269" s="16">
        <f t="shared" si="22"/>
        <v>0</v>
      </c>
      <c r="Y269" s="16">
        <f t="shared" si="23"/>
        <v>63.516470760000004</v>
      </c>
      <c r="Z269" s="18">
        <v>11.6866</v>
      </c>
      <c r="AA269" s="11">
        <v>3010</v>
      </c>
      <c r="AB269" s="16">
        <f>(Y269-(60*Ventas!AE254*1.235))</f>
        <v>59.764540760000003</v>
      </c>
      <c r="AC269" s="17">
        <f>(AB269/(Ventas!AE254*1.235)/60)</f>
        <v>15.929012737444461</v>
      </c>
      <c r="AD269" s="1" t="s">
        <v>34</v>
      </c>
      <c r="AE269">
        <f t="shared" si="24"/>
        <v>0</v>
      </c>
    </row>
    <row r="270" spans="1:31" x14ac:dyDescent="0.25">
      <c r="A270" s="1"/>
      <c r="B270" s="1" t="s">
        <v>536</v>
      </c>
      <c r="C270" s="15" t="s">
        <v>535</v>
      </c>
      <c r="D270" s="11">
        <v>59</v>
      </c>
      <c r="E270" s="13">
        <v>46230</v>
      </c>
      <c r="F270" s="10">
        <v>7</v>
      </c>
      <c r="G270" s="16">
        <f>(D270-(0)+0-(F270*Ventas!AE255*1.8))</f>
        <v>55.85</v>
      </c>
      <c r="H270" s="17">
        <f>(G270/(Ventas!AE255*1.8)/60)</f>
        <v>2.0685185185185184</v>
      </c>
      <c r="I270" s="11">
        <v>0</v>
      </c>
      <c r="J270" s="16">
        <f t="shared" si="20"/>
        <v>55.85</v>
      </c>
      <c r="K270" s="4"/>
      <c r="L270" s="13">
        <v>46275</v>
      </c>
      <c r="M270" s="10">
        <v>45</v>
      </c>
      <c r="N270" s="16">
        <f>(IF(G270&gt;0,G270+I270,I270)-(M270*Ventas!AE255*1.0044))</f>
        <v>44.5505</v>
      </c>
      <c r="O270" s="17">
        <f>(N270/(Ventas!AE255*1.0044)/60)</f>
        <v>2.9570224346210012</v>
      </c>
      <c r="P270" s="11">
        <v>60</v>
      </c>
      <c r="Q270" s="16">
        <f t="shared" si="21"/>
        <v>104.5505</v>
      </c>
      <c r="R270" s="16">
        <v>11.9</v>
      </c>
      <c r="S270" s="13">
        <v>46331</v>
      </c>
      <c r="T270" s="10">
        <v>56</v>
      </c>
      <c r="U270" s="16">
        <f>(IF(N270&gt;0,N270+P270,P270)-(T270*Ventas!AE255*0.9018))</f>
        <v>91.925299999999993</v>
      </c>
      <c r="V270" s="17">
        <f>(U270/(Ventas!AE255*0.9018)/60)</f>
        <v>6.7956901012789226</v>
      </c>
      <c r="W270" s="16">
        <f>(100*(Ventas!AE255*1.235) - IF(U270&gt;0,U270,0))</f>
        <v>-61.050299999999993</v>
      </c>
      <c r="X270" s="16">
        <f t="shared" si="22"/>
        <v>0</v>
      </c>
      <c r="Y270" s="16">
        <f t="shared" si="23"/>
        <v>91.925299999999993</v>
      </c>
      <c r="Z270" s="18">
        <v>11.662000000000001</v>
      </c>
      <c r="AA270" s="11">
        <v>3027</v>
      </c>
      <c r="AB270" s="16">
        <f>(Y270-(60*Ventas!AE255*1.235))</f>
        <v>73.400299999999987</v>
      </c>
      <c r="AC270" s="17">
        <f>(AB270/(Ventas!AE255*1.235)/60)</f>
        <v>3.9622294197031027</v>
      </c>
      <c r="AD270" s="1" t="s">
        <v>34</v>
      </c>
      <c r="AE270">
        <f t="shared" si="24"/>
        <v>0</v>
      </c>
    </row>
    <row r="271" spans="1:31" x14ac:dyDescent="0.25">
      <c r="A271" s="1"/>
      <c r="B271" s="1" t="s">
        <v>538</v>
      </c>
      <c r="C271" s="15" t="s">
        <v>537</v>
      </c>
      <c r="D271" s="11">
        <v>72</v>
      </c>
      <c r="E271" s="13">
        <v>46230</v>
      </c>
      <c r="F271" s="10">
        <v>7</v>
      </c>
      <c r="G271" s="16">
        <f>(D271-(0)+0-(F271*Ventas!AE256*1.8))</f>
        <v>70.646550000000005</v>
      </c>
      <c r="H271" s="17">
        <f>(G271/(Ventas!AE256*1.8)/60)</f>
        <v>6.0896948538919053</v>
      </c>
      <c r="I271" s="11">
        <v>0</v>
      </c>
      <c r="J271" s="16">
        <f t="shared" si="20"/>
        <v>70.646550000000005</v>
      </c>
      <c r="K271" s="4"/>
      <c r="L271" s="13">
        <v>46275</v>
      </c>
      <c r="M271" s="10">
        <v>45</v>
      </c>
      <c r="N271" s="16">
        <f>(IF(G271&gt;0,G271+I271,I271)-(M271*Ventas!AE256*1.0044))</f>
        <v>65.791531500000005</v>
      </c>
      <c r="O271" s="17">
        <f>(N271/(Ventas!AE256*1.0044)/60)</f>
        <v>10.163431637799114</v>
      </c>
      <c r="P271" s="11">
        <v>20</v>
      </c>
      <c r="Q271" s="16">
        <f t="shared" si="21"/>
        <v>85.791531500000005</v>
      </c>
      <c r="R271" s="16">
        <v>11.9</v>
      </c>
      <c r="S271" s="13">
        <v>46331</v>
      </c>
      <c r="T271" s="10">
        <v>56</v>
      </c>
      <c r="U271" s="16">
        <f>(IF(N271&gt;0,N271+P271,P271)-(T271*Ventas!AE256*0.9018))</f>
        <v>80.366903900000011</v>
      </c>
      <c r="V271" s="17">
        <f>(U271/(Ventas!AE256*0.9018)/60)</f>
        <v>13.827513303708935</v>
      </c>
      <c r="W271" s="16">
        <f>(100*(Ventas!AE256*1.235) - IF(U271&gt;0,U271,0))</f>
        <v>-67.100945566666681</v>
      </c>
      <c r="X271" s="16">
        <f t="shared" si="22"/>
        <v>0</v>
      </c>
      <c r="Y271" s="16">
        <f t="shared" si="23"/>
        <v>80.366903900000011</v>
      </c>
      <c r="Z271" s="18">
        <v>11.7</v>
      </c>
      <c r="AA271" s="11">
        <v>3027</v>
      </c>
      <c r="AB271" s="16">
        <f>(Y271-(60*Ventas!AE256*1.235))</f>
        <v>72.40732890000001</v>
      </c>
      <c r="AC271" s="17">
        <f>(AB271/(Ventas!AE256*1.235)/60)</f>
        <v>9.0968838034694066</v>
      </c>
      <c r="AD271" s="1" t="s">
        <v>34</v>
      </c>
      <c r="AE271">
        <f t="shared" si="24"/>
        <v>0</v>
      </c>
    </row>
    <row r="272" spans="1:31" x14ac:dyDescent="0.25">
      <c r="A272" s="1"/>
      <c r="B272" s="1" t="s">
        <v>540</v>
      </c>
      <c r="C272" s="15" t="s">
        <v>539</v>
      </c>
      <c r="D272" s="11">
        <v>31</v>
      </c>
      <c r="E272" s="13">
        <v>46230</v>
      </c>
      <c r="F272" s="10">
        <v>7</v>
      </c>
      <c r="G272" s="16">
        <f>(D272-(0)+0-(F272*Ventas!AE257*1.8))</f>
        <v>29.540710000000001</v>
      </c>
      <c r="H272" s="17">
        <f>(G272/(Ventas!AE257*1.8)/60)</f>
        <v>2.3617075198669673</v>
      </c>
      <c r="I272" s="11">
        <v>0</v>
      </c>
      <c r="J272" s="16">
        <f t="shared" si="20"/>
        <v>29.540710000000001</v>
      </c>
      <c r="K272" s="4"/>
      <c r="L272" s="13">
        <v>46275</v>
      </c>
      <c r="M272" s="10">
        <v>45</v>
      </c>
      <c r="N272" s="16">
        <f>(IF(G272&gt;0,G272+I272,I272)-(M272*Ventas!AE257*1.0044))</f>
        <v>24.306028300000001</v>
      </c>
      <c r="O272" s="17">
        <f>(N272/(Ventas!AE257*1.0044)/60)</f>
        <v>3.4824507524497625</v>
      </c>
      <c r="P272" s="11">
        <v>0</v>
      </c>
      <c r="Q272" s="16">
        <f t="shared" si="21"/>
        <v>24.306028300000001</v>
      </c>
      <c r="R272" s="4"/>
      <c r="S272" s="13">
        <v>46331</v>
      </c>
      <c r="T272" s="10">
        <v>56</v>
      </c>
      <c r="U272" s="16">
        <f>(IF(N272&gt;0,N272+P272,P272)-(T272*Ventas!AE257*0.9018))</f>
        <v>18.45719398</v>
      </c>
      <c r="V272" s="17">
        <f>(U272/(Ventas!AE257*0.9018)/60)</f>
        <v>2.9453243909520301</v>
      </c>
      <c r="W272" s="16">
        <f>(100*(Ventas!AE257*1.235) - IF(U272&gt;0,U272,0))</f>
        <v>-4.1538356466666642</v>
      </c>
      <c r="X272" s="16">
        <f t="shared" si="22"/>
        <v>0</v>
      </c>
      <c r="Y272" s="16">
        <f t="shared" si="23"/>
        <v>18.45719398</v>
      </c>
      <c r="Z272" s="18">
        <v>27.006900000000002</v>
      </c>
      <c r="AA272" s="11">
        <v>3010</v>
      </c>
      <c r="AB272" s="16">
        <f>(Y272-(60*Ventas!AE257*1.235))</f>
        <v>9.8751789799999976</v>
      </c>
      <c r="AC272" s="17">
        <f>(AB272/(Ventas!AE257*1.235)/60)</f>
        <v>1.1506830249073203</v>
      </c>
      <c r="AD272" s="1" t="s">
        <v>34</v>
      </c>
      <c r="AE272">
        <f t="shared" si="24"/>
        <v>0</v>
      </c>
    </row>
    <row r="273" spans="1:31" x14ac:dyDescent="0.25">
      <c r="A273" s="1"/>
      <c r="B273" s="1" t="s">
        <v>542</v>
      </c>
      <c r="C273" s="15" t="s">
        <v>541</v>
      </c>
      <c r="D273" s="11">
        <v>18</v>
      </c>
      <c r="E273" s="13">
        <v>46230</v>
      </c>
      <c r="F273" s="10">
        <v>7</v>
      </c>
      <c r="G273" s="16">
        <f>(D273-(0)+0-(F273*Ventas!AE258*1.8))</f>
        <v>16.884689999999999</v>
      </c>
      <c r="H273" s="17">
        <f>(G273/(Ventas!AE258*1.8)/60)</f>
        <v>1.7662179125086295</v>
      </c>
      <c r="I273" s="11">
        <v>10</v>
      </c>
      <c r="J273" s="16">
        <f t="shared" si="20"/>
        <v>26.884689999999999</v>
      </c>
      <c r="K273" s="16">
        <v>27.456</v>
      </c>
      <c r="L273" s="13">
        <v>46275</v>
      </c>
      <c r="M273" s="10">
        <v>45</v>
      </c>
      <c r="N273" s="16">
        <f>(IF(G273&gt;0,G273+I273,I273)-(M273*Ventas!AE258*1.0044))</f>
        <v>22.883913700000001</v>
      </c>
      <c r="O273" s="17">
        <f>(N273/(Ventas!AE258*1.0044)/60)</f>
        <v>4.2899012561637102</v>
      </c>
      <c r="P273" s="11">
        <v>20</v>
      </c>
      <c r="Q273" s="16">
        <f t="shared" si="21"/>
        <v>42.883913700000001</v>
      </c>
      <c r="R273" s="16">
        <v>27.5</v>
      </c>
      <c r="S273" s="13">
        <v>46331</v>
      </c>
      <c r="T273" s="10">
        <v>56</v>
      </c>
      <c r="U273" s="16">
        <f>(IF(N273&gt;0,N273+P273,P273)-(T273*Ventas!AE258*0.9018))</f>
        <v>38.413751220000002</v>
      </c>
      <c r="V273" s="17">
        <f>(U273/(Ventas!AE258*0.9018)/60)</f>
        <v>8.0204768019975852</v>
      </c>
      <c r="W273" s="16">
        <f>(100*(Ventas!AE258*1.235) - IF(U273&gt;0,U273,0))</f>
        <v>-27.481942886666666</v>
      </c>
      <c r="X273" s="16">
        <f t="shared" si="22"/>
        <v>0</v>
      </c>
      <c r="Y273" s="16">
        <f t="shared" si="23"/>
        <v>38.413751220000002</v>
      </c>
      <c r="Z273" s="18">
        <v>27.456</v>
      </c>
      <c r="AA273" s="11">
        <v>3027</v>
      </c>
      <c r="AB273" s="16">
        <f>(Y273-(60*Ventas!AE258*1.235))</f>
        <v>31.854666219999999</v>
      </c>
      <c r="AC273" s="17">
        <f>(AB273/(Ventas!AE258*1.235)/60)</f>
        <v>4.8565716437582358</v>
      </c>
      <c r="AD273" s="1" t="s">
        <v>34</v>
      </c>
      <c r="AE273">
        <f t="shared" si="24"/>
        <v>0</v>
      </c>
    </row>
    <row r="274" spans="1:31" x14ac:dyDescent="0.25">
      <c r="A274" s="1" t="s">
        <v>545</v>
      </c>
      <c r="B274" s="1" t="s">
        <v>544</v>
      </c>
      <c r="C274" s="15" t="s">
        <v>543</v>
      </c>
      <c r="D274" s="4"/>
      <c r="E274" s="13">
        <v>46230</v>
      </c>
      <c r="F274" s="10">
        <v>7</v>
      </c>
      <c r="G274" s="16">
        <f>(D274-(0)+0-(F274*Ventas!AE259*1.8))</f>
        <v>-2.1420000000000003</v>
      </c>
      <c r="H274" s="17">
        <f>(G274/(Ventas!AE259*1.8)/60)</f>
        <v>-0.11666666666666667</v>
      </c>
      <c r="I274" s="11">
        <v>30</v>
      </c>
      <c r="J274" s="16">
        <f t="shared" si="20"/>
        <v>30</v>
      </c>
      <c r="K274" s="16">
        <v>11.44</v>
      </c>
      <c r="L274" s="13">
        <v>46275</v>
      </c>
      <c r="M274" s="10">
        <v>45</v>
      </c>
      <c r="N274" s="16">
        <f>(IF(G274&gt;0,G274+I274,I274)-(M274*Ventas!AE259*1.0044))</f>
        <v>22.31634</v>
      </c>
      <c r="O274" s="17">
        <f>(N274/(Ventas!AE259*1.0044)/60)</f>
        <v>2.178291985850493</v>
      </c>
      <c r="P274" s="11">
        <v>20</v>
      </c>
      <c r="Q274" s="16">
        <f t="shared" si="21"/>
        <v>42.316339999999997</v>
      </c>
      <c r="R274" s="16">
        <v>10.9</v>
      </c>
      <c r="S274" s="13">
        <v>46331</v>
      </c>
      <c r="T274" s="10">
        <v>56</v>
      </c>
      <c r="U274" s="16">
        <f>(IF(N274&gt;0,N274+P274,P274)-(T274*Ventas!AE259*0.9018))</f>
        <v>33.731203999999991</v>
      </c>
      <c r="V274" s="17">
        <f>(U274/(Ventas!AE259*0.9018)/60)</f>
        <v>3.6670889158502153</v>
      </c>
      <c r="W274" s="16">
        <f>(100*(Ventas!AE259*1.235) - IF(U274&gt;0,U274,0))</f>
        <v>-12.73620399999999</v>
      </c>
      <c r="X274" s="16">
        <f t="shared" si="22"/>
        <v>0</v>
      </c>
      <c r="Y274" s="16">
        <f t="shared" si="23"/>
        <v>33.731203999999991</v>
      </c>
      <c r="Z274" s="18">
        <v>11.44</v>
      </c>
      <c r="AA274" s="11">
        <v>3027</v>
      </c>
      <c r="AB274" s="16">
        <f>(Y274-(60*Ventas!AE259*1.235))</f>
        <v>21.13420399999999</v>
      </c>
      <c r="AC274" s="17">
        <f>(AB274/(Ventas!AE259*1.235)/60)</f>
        <v>1.6777172342621249</v>
      </c>
      <c r="AD274" s="1" t="s">
        <v>34</v>
      </c>
      <c r="AE274">
        <f t="shared" si="24"/>
        <v>0</v>
      </c>
    </row>
    <row r="275" spans="1:31" x14ac:dyDescent="0.25">
      <c r="A275" s="1"/>
      <c r="B275" s="1" t="s">
        <v>547</v>
      </c>
      <c r="C275" s="15" t="s">
        <v>546</v>
      </c>
      <c r="D275" s="11">
        <v>50</v>
      </c>
      <c r="E275" s="13">
        <v>46230</v>
      </c>
      <c r="F275" s="10">
        <v>7</v>
      </c>
      <c r="G275" s="16">
        <f>(D275-(0)+0-(F275*Ventas!AE260*1.8))</f>
        <v>41.850824000000003</v>
      </c>
      <c r="H275" s="17">
        <f>(G275/(Ventas!AE260*1.8)/60)</f>
        <v>0.59915212695533071</v>
      </c>
      <c r="I275" s="11">
        <v>0</v>
      </c>
      <c r="J275" s="16">
        <f t="shared" si="20"/>
        <v>41.850824000000003</v>
      </c>
      <c r="K275" s="4"/>
      <c r="L275" s="13">
        <v>46275</v>
      </c>
      <c r="M275" s="10">
        <v>45</v>
      </c>
      <c r="N275" s="16">
        <f>(IF(G275&gt;0,G275+I275,I275)-(M275*Ventas!AE260*1.0044))</f>
        <v>12.618565520000008</v>
      </c>
      <c r="O275" s="17">
        <f>(N275/(Ventas!AE260*1.0044)/60)</f>
        <v>0.3237493314611663</v>
      </c>
      <c r="P275" s="11">
        <v>0</v>
      </c>
      <c r="Q275" s="16">
        <f t="shared" si="21"/>
        <v>12.618565520000008</v>
      </c>
      <c r="R275" s="4"/>
      <c r="S275" s="13">
        <v>46331</v>
      </c>
      <c r="T275" s="10">
        <v>56</v>
      </c>
      <c r="U275" s="16">
        <f>(IF(N275&gt;0,N275+P275,P275)-(T275*Ventas!AE260*0.9018))</f>
        <v>-20.043331887999994</v>
      </c>
      <c r="V275" s="17">
        <f>(U275/(Ventas!AE260*0.9018)/60)</f>
        <v>-0.57275024559814236</v>
      </c>
      <c r="W275" s="16">
        <f>(100*(Ventas!AE260*1.235) - IF(U275&gt;0,U275,0))</f>
        <v>79.874859999999998</v>
      </c>
      <c r="X275" s="16">
        <f t="shared" si="22"/>
        <v>79.874859999999998</v>
      </c>
      <c r="Y275" s="16">
        <f t="shared" si="23"/>
        <v>79.874859999999998</v>
      </c>
      <c r="Z275" s="18">
        <v>2.3570000000000002</v>
      </c>
      <c r="AA275" s="11">
        <v>3010</v>
      </c>
      <c r="AB275" s="16">
        <f>(Y275-(60*Ventas!AE260*1.235))</f>
        <v>31.949944000000002</v>
      </c>
      <c r="AC275" s="17">
        <f>(AB275/(Ventas!AE260*1.235)/60)</f>
        <v>0.66666666666666674</v>
      </c>
      <c r="AD275" s="1" t="s">
        <v>34</v>
      </c>
      <c r="AE275">
        <f t="shared" si="24"/>
        <v>188.26504502</v>
      </c>
    </row>
    <row r="276" spans="1:31" x14ac:dyDescent="0.25">
      <c r="A276" s="1"/>
      <c r="B276" s="1" t="s">
        <v>549</v>
      </c>
      <c r="C276" s="15" t="s">
        <v>548</v>
      </c>
      <c r="D276" s="11">
        <v>23</v>
      </c>
      <c r="E276" s="13">
        <v>46230</v>
      </c>
      <c r="F276" s="10">
        <v>7</v>
      </c>
      <c r="G276" s="16">
        <f>(D276-(0)+0-(F276*Ventas!AE261*1.8))</f>
        <v>16.455308000000002</v>
      </c>
      <c r="H276" s="17">
        <f>(G276/(Ventas!AE261*1.8)/60)</f>
        <v>0.29333480220816099</v>
      </c>
      <c r="I276" s="11">
        <v>50</v>
      </c>
      <c r="J276" s="16">
        <f t="shared" si="20"/>
        <v>66.455308000000002</v>
      </c>
      <c r="K276" s="16">
        <v>5.4</v>
      </c>
      <c r="L276" s="13">
        <v>46275</v>
      </c>
      <c r="M276" s="10">
        <v>45</v>
      </c>
      <c r="N276" s="16">
        <f>(IF(G276&gt;0,G276+I276,I276)-(M276*Ventas!AE261*1.0044))</f>
        <v>42.978562840000009</v>
      </c>
      <c r="O276" s="17">
        <f>(N276/(Ventas!AE261*1.0044)/60)</f>
        <v>1.3730149520437189</v>
      </c>
      <c r="P276" s="11">
        <v>0</v>
      </c>
      <c r="Q276" s="16">
        <f t="shared" si="21"/>
        <v>42.978562840000009</v>
      </c>
      <c r="R276" s="4"/>
      <c r="S276" s="13">
        <v>46331</v>
      </c>
      <c r="T276" s="10">
        <v>56</v>
      </c>
      <c r="U276" s="16">
        <f>(IF(N276&gt;0,N276+P276,P276)-(T276*Ventas!AE261*0.9018))</f>
        <v>16.747437304000009</v>
      </c>
      <c r="V276" s="17">
        <f>(U276/(Ventas!AE261*0.9018)/60)</f>
        <v>0.59589290067943124</v>
      </c>
      <c r="W276" s="16">
        <f>(100*(Ventas!AE261*1.235) - IF(U276&gt;0,U276,0))</f>
        <v>47.400932695999991</v>
      </c>
      <c r="X276" s="16">
        <f t="shared" si="22"/>
        <v>47.400932695999991</v>
      </c>
      <c r="Y276" s="16">
        <f t="shared" si="23"/>
        <v>64.14837</v>
      </c>
      <c r="Z276" s="18">
        <v>5.4</v>
      </c>
      <c r="AA276" s="11">
        <v>3027</v>
      </c>
      <c r="AB276" s="16">
        <f>(Y276-(60*Ventas!AE261*1.235))</f>
        <v>25.659348000000001</v>
      </c>
      <c r="AC276" s="17">
        <f>(AB276/(Ventas!AE261*1.235)/60)</f>
        <v>0.66666666666666663</v>
      </c>
      <c r="AD276" s="1" t="s">
        <v>34</v>
      </c>
      <c r="AE276">
        <f t="shared" si="24"/>
        <v>255.96503655839996</v>
      </c>
    </row>
    <row r="277" spans="1:31" x14ac:dyDescent="0.25">
      <c r="A277" s="1"/>
      <c r="B277" s="1" t="s">
        <v>551</v>
      </c>
      <c r="C277" s="15" t="s">
        <v>550</v>
      </c>
      <c r="D277" s="4"/>
      <c r="E277" s="13">
        <v>46230</v>
      </c>
      <c r="F277" s="10">
        <v>7</v>
      </c>
      <c r="G277" s="16">
        <f>(D277-(0)+0-(F277*Ventas!AE262*1.8))</f>
        <v>-15.120000000000001</v>
      </c>
      <c r="H277" s="17">
        <f>(G277/(Ventas!AE262*1.8)/60)</f>
        <v>-0.11666666666666667</v>
      </c>
      <c r="I277" s="11">
        <v>0</v>
      </c>
      <c r="J277" s="16">
        <f t="shared" si="20"/>
        <v>0</v>
      </c>
      <c r="K277" s="4"/>
      <c r="L277" s="13">
        <v>46275</v>
      </c>
      <c r="M277" s="10">
        <v>45</v>
      </c>
      <c r="N277" s="16">
        <f>(IF(G277&gt;0,G277+I277,I277)-(M277*Ventas!AE262*1.0044))</f>
        <v>-54.2376</v>
      </c>
      <c r="O277" s="17">
        <f>(N277/(Ventas!AE262*1.0044)/60)</f>
        <v>-0.75000000000000011</v>
      </c>
      <c r="P277" s="11">
        <v>0</v>
      </c>
      <c r="Q277" s="16">
        <f t="shared" si="21"/>
        <v>0</v>
      </c>
      <c r="R277" s="4"/>
      <c r="S277" s="13">
        <v>46331</v>
      </c>
      <c r="T277" s="10">
        <v>56</v>
      </c>
      <c r="U277" s="16">
        <f>(IF(N277&gt;0,N277+P277,P277)-(T277*Ventas!AE262*0.9018))</f>
        <v>-60.600960000000008</v>
      </c>
      <c r="V277" s="17">
        <f>(U277/(Ventas!AE262*0.9018)/60)</f>
        <v>-0.93333333333333346</v>
      </c>
      <c r="W277" s="16">
        <f>(100*(Ventas!AE262*1.235) - IF(U277&gt;0,U277,0))</f>
        <v>148.19999999999999</v>
      </c>
      <c r="X277" s="16">
        <f t="shared" si="22"/>
        <v>148.19999999999999</v>
      </c>
      <c r="Y277" s="16">
        <f t="shared" si="23"/>
        <v>148.19999999999999</v>
      </c>
      <c r="Z277" s="18">
        <v>3.339</v>
      </c>
      <c r="AA277" s="11">
        <v>3010</v>
      </c>
      <c r="AB277" s="16">
        <f>(Y277-(60*Ventas!AE262*1.235))</f>
        <v>59.279999999999987</v>
      </c>
      <c r="AC277" s="17">
        <f>(AB277/(Ventas!AE262*1.235)/60)</f>
        <v>0.66666666666666652</v>
      </c>
      <c r="AD277" s="1" t="s">
        <v>34</v>
      </c>
      <c r="AE277">
        <f t="shared" si="24"/>
        <v>494.83979999999997</v>
      </c>
    </row>
    <row r="278" spans="1:31" x14ac:dyDescent="0.25">
      <c r="A278" s="1" t="s">
        <v>933</v>
      </c>
      <c r="B278" s="1" t="s">
        <v>932</v>
      </c>
      <c r="C278" s="15" t="s">
        <v>931</v>
      </c>
      <c r="D278" s="4"/>
      <c r="E278" s="13">
        <v>46230</v>
      </c>
      <c r="F278" s="10">
        <v>7</v>
      </c>
      <c r="G278" s="16">
        <f>(D278-(0)+0-(F278*Ventas!AE416*1.8))</f>
        <v>-5.4180000000000001</v>
      </c>
      <c r="H278" s="17">
        <f>(G278/(Ventas!AE416*1.8)/60)</f>
        <v>-0.11666666666666667</v>
      </c>
      <c r="I278" s="11">
        <v>0</v>
      </c>
      <c r="J278" s="16">
        <f t="shared" si="20"/>
        <v>0</v>
      </c>
      <c r="K278" s="4"/>
      <c r="L278" s="13">
        <v>46275</v>
      </c>
      <c r="M278" s="10">
        <v>45</v>
      </c>
      <c r="N278" s="16">
        <f>(IF(G278&gt;0,G278+I278,I278)-(M278*Ventas!AE416*1.0044))</f>
        <v>-19.435140000000001</v>
      </c>
      <c r="O278" s="17">
        <f>(N278/(Ventas!AE416*1.0044)/60)</f>
        <v>-0.75</v>
      </c>
      <c r="P278" s="11">
        <v>0</v>
      </c>
      <c r="Q278" s="16">
        <f t="shared" si="21"/>
        <v>0</v>
      </c>
      <c r="R278" s="4"/>
      <c r="S278" s="13">
        <v>46331</v>
      </c>
      <c r="T278" s="10">
        <v>56</v>
      </c>
      <c r="U278" s="16">
        <f>(IF(N278&gt;0,N278+P278,P278)-(T278*Ventas!AE416*0.9018))</f>
        <v>-21.715343999999998</v>
      </c>
      <c r="V278" s="17">
        <f>(U278/(Ventas!AE416*0.9018)/60)</f>
        <v>-0.93333333333333324</v>
      </c>
      <c r="W278" s="16">
        <f>(100*(Ventas!AE416*1.235) - IF(U278&gt;0,U278,0))</f>
        <v>53.105000000000004</v>
      </c>
      <c r="X278" s="16">
        <f t="shared" si="22"/>
        <v>53.105000000000004</v>
      </c>
      <c r="Y278" s="16">
        <f t="shared" si="23"/>
        <v>53.105000000000004</v>
      </c>
      <c r="Z278" s="18">
        <v>8.7403999999999993</v>
      </c>
      <c r="AA278" s="11">
        <v>3010</v>
      </c>
      <c r="AB278" s="16">
        <f>(Y278-(60*Ventas!AE416*1.235))</f>
        <v>21.242000000000001</v>
      </c>
      <c r="AC278" s="17">
        <f>(AB278/(Ventas!AE416*1.235)/60)</f>
        <v>0.66666666666666663</v>
      </c>
      <c r="AD278" s="1" t="s">
        <v>34</v>
      </c>
      <c r="AE278">
        <f t="shared" si="24"/>
        <v>464.15894200000002</v>
      </c>
    </row>
    <row r="279" spans="1:31" x14ac:dyDescent="0.25">
      <c r="A279" s="1" t="s">
        <v>936</v>
      </c>
      <c r="B279" s="1" t="s">
        <v>935</v>
      </c>
      <c r="C279" s="15" t="s">
        <v>934</v>
      </c>
      <c r="D279" s="11">
        <v>11</v>
      </c>
      <c r="E279" s="13">
        <v>46230</v>
      </c>
      <c r="F279" s="10">
        <v>7</v>
      </c>
      <c r="G279" s="16">
        <f>(D279-(0)+0-(F279*Ventas!AE417*1.8))</f>
        <v>8.6059999999999999</v>
      </c>
      <c r="H279" s="17">
        <f>(G279/(Ventas!AE417*1.8)/60)</f>
        <v>0.4193957115009746</v>
      </c>
      <c r="I279" s="11">
        <v>0</v>
      </c>
      <c r="J279" s="16">
        <f t="shared" si="20"/>
        <v>8.6059999999999999</v>
      </c>
      <c r="K279" s="4"/>
      <c r="L279" s="13">
        <v>46275</v>
      </c>
      <c r="M279" s="10">
        <v>45</v>
      </c>
      <c r="N279" s="16">
        <f>(IF(G279&gt;0,G279+I279,I279)-(M279*Ventas!AE417*1.0044))</f>
        <v>1.8379999999998731E-2</v>
      </c>
      <c r="O279" s="17">
        <f>(N279/(Ventas!AE417*1.0044)/60)</f>
        <v>1.6052177436820735E-3</v>
      </c>
      <c r="P279" s="11">
        <v>50</v>
      </c>
      <c r="Q279" s="16">
        <f t="shared" si="21"/>
        <v>50.018380000000001</v>
      </c>
      <c r="R279" s="16">
        <v>11.9</v>
      </c>
      <c r="S279" s="13">
        <v>46331</v>
      </c>
      <c r="T279" s="10">
        <v>56</v>
      </c>
      <c r="U279" s="16">
        <f>(IF(N279&gt;0,N279+P279,P279)-(T279*Ventas!AE417*0.9018))</f>
        <v>40.423228000000002</v>
      </c>
      <c r="V279" s="17">
        <f>(U279/(Ventas!AE417*0.9018)/60)</f>
        <v>3.9320217265274517</v>
      </c>
      <c r="W279" s="16">
        <f>(100*(Ventas!AE417*1.235) - IF(U279&gt;0,U279,0))</f>
        <v>-16.958227999999998</v>
      </c>
      <c r="X279" s="16">
        <f t="shared" si="22"/>
        <v>0</v>
      </c>
      <c r="Y279" s="16">
        <f t="shared" si="23"/>
        <v>40.423228000000002</v>
      </c>
      <c r="Z279" s="18">
        <v>11.6866</v>
      </c>
      <c r="AA279" s="11">
        <v>3010</v>
      </c>
      <c r="AB279" s="16">
        <f>(Y279-(60*Ventas!AE417*1.235))</f>
        <v>26.344228000000001</v>
      </c>
      <c r="AC279" s="17">
        <f>(AB279/(Ventas!AE417*1.235)/60)</f>
        <v>1.8711718161801263</v>
      </c>
      <c r="AD279" s="1" t="s">
        <v>34</v>
      </c>
      <c r="AE279">
        <f t="shared" si="24"/>
        <v>0</v>
      </c>
    </row>
    <row r="280" spans="1:31" x14ac:dyDescent="0.25">
      <c r="A280" s="1" t="s">
        <v>560</v>
      </c>
      <c r="B280" s="1" t="s">
        <v>559</v>
      </c>
      <c r="C280" s="15" t="s">
        <v>558</v>
      </c>
      <c r="D280" s="11">
        <v>346</v>
      </c>
      <c r="E280" s="13">
        <v>46230</v>
      </c>
      <c r="F280" s="10">
        <v>7</v>
      </c>
      <c r="G280" s="16">
        <f>(D280-(0)+0-(F280*Ventas!AE266*1.8))</f>
        <v>341.93952400000001</v>
      </c>
      <c r="H280" s="17">
        <f>(G280/(Ventas!AE266*1.8)/60)</f>
        <v>9.8246965298321314</v>
      </c>
      <c r="I280" s="11">
        <v>0</v>
      </c>
      <c r="J280" s="16">
        <f t="shared" si="20"/>
        <v>341.93952400000001</v>
      </c>
      <c r="K280" s="4"/>
      <c r="L280" s="13">
        <v>46275</v>
      </c>
      <c r="M280" s="10">
        <v>45</v>
      </c>
      <c r="N280" s="16">
        <f>(IF(G280&gt;0,G280+I280,I280)-(M280*Ventas!AE266*1.0044))</f>
        <v>327.37401652</v>
      </c>
      <c r="O280" s="17">
        <f>(N280/(Ventas!AE266*1.0044)/60)</f>
        <v>16.856983028372998</v>
      </c>
      <c r="P280" s="11">
        <v>0</v>
      </c>
      <c r="Q280" s="16">
        <f t="shared" si="21"/>
        <v>327.37401652</v>
      </c>
      <c r="R280" s="4"/>
      <c r="S280" s="13">
        <v>46331</v>
      </c>
      <c r="T280" s="10">
        <v>56</v>
      </c>
      <c r="U280" s="16">
        <f>(IF(N280&gt;0,N280+P280,P280)-(T280*Ventas!AE266*0.9018))</f>
        <v>311.09962871199997</v>
      </c>
      <c r="V280" s="17">
        <f>(U280/(Ventas!AE266*0.9018)/60)</f>
        <v>17.841510039585096</v>
      </c>
      <c r="W280" s="16">
        <f>(100*(Ventas!AE266*1.235) - IF(U280&gt;0,U280,0))</f>
        <v>-271.30051871199998</v>
      </c>
      <c r="X280" s="16">
        <f t="shared" si="22"/>
        <v>0</v>
      </c>
      <c r="Y280" s="16">
        <f t="shared" si="23"/>
        <v>311.09962871199997</v>
      </c>
      <c r="Z280" s="18">
        <v>6.7</v>
      </c>
      <c r="AA280" s="11">
        <v>3027</v>
      </c>
      <c r="AB280" s="16">
        <f>(Y280-(60*Ventas!AE266*1.235))</f>
        <v>287.22016271199999</v>
      </c>
      <c r="AC280" s="17">
        <f>(AB280/(Ventas!AE266*1.235)/60)</f>
        <v>12.027913970605537</v>
      </c>
      <c r="AD280" s="1" t="s">
        <v>34</v>
      </c>
      <c r="AE280">
        <f t="shared" si="24"/>
        <v>0</v>
      </c>
    </row>
    <row r="281" spans="1:31" x14ac:dyDescent="0.25">
      <c r="A281" s="1"/>
      <c r="B281" s="1" t="s">
        <v>562</v>
      </c>
      <c r="C281" s="15" t="s">
        <v>561</v>
      </c>
      <c r="D281" s="11">
        <v>98</v>
      </c>
      <c r="E281" s="13">
        <v>46230</v>
      </c>
      <c r="F281" s="10">
        <v>7</v>
      </c>
      <c r="G281" s="16">
        <f>(D281-(0)+0-(F281*Ventas!AE267*1.8))</f>
        <v>94.465699999999998</v>
      </c>
      <c r="H281" s="17">
        <f>(G281/(Ventas!AE267*1.8)/60)</f>
        <v>3.1182973526110782</v>
      </c>
      <c r="I281" s="11">
        <v>0</v>
      </c>
      <c r="J281" s="16">
        <f t="shared" si="20"/>
        <v>94.465699999999998</v>
      </c>
      <c r="K281" s="4"/>
      <c r="L281" s="13">
        <v>46275</v>
      </c>
      <c r="M281" s="10">
        <v>45</v>
      </c>
      <c r="N281" s="16">
        <f>(IF(G281&gt;0,G281+I281,I281)-(M281*Ventas!AE267*1.0044))</f>
        <v>81.787661</v>
      </c>
      <c r="O281" s="17">
        <f>(N281/(Ventas!AE267*1.0044)/60)</f>
        <v>4.8383465100556959</v>
      </c>
      <c r="P281" s="11">
        <v>0</v>
      </c>
      <c r="Q281" s="16">
        <f t="shared" si="21"/>
        <v>81.787661</v>
      </c>
      <c r="R281" s="4"/>
      <c r="S281" s="13">
        <v>46331</v>
      </c>
      <c r="T281" s="10">
        <v>56</v>
      </c>
      <c r="U281" s="16">
        <f>(IF(N281&gt;0,N281+P281,P281)-(T281*Ventas!AE267*0.9018))</f>
        <v>67.622186599999992</v>
      </c>
      <c r="V281" s="17">
        <f>(U281/(Ventas!AE267*0.9018)/60)</f>
        <v>4.4554837377466621</v>
      </c>
      <c r="W281" s="16">
        <f>(100*(Ventas!AE267*1.235) - IF(U281&gt;0,U281,0))</f>
        <v>-32.98043659999999</v>
      </c>
      <c r="X281" s="16">
        <f t="shared" si="22"/>
        <v>0</v>
      </c>
      <c r="Y281" s="16">
        <f t="shared" si="23"/>
        <v>67.622186599999992</v>
      </c>
      <c r="Z281" s="18">
        <v>12.9</v>
      </c>
      <c r="AA281" s="11">
        <v>3027</v>
      </c>
      <c r="AB281" s="16">
        <f>(Y281-(60*Ventas!AE267*1.235))</f>
        <v>46.837136599999987</v>
      </c>
      <c r="AC281" s="17">
        <f>(AB281/(Ventas!AE267*1.235)/60)</f>
        <v>2.2534050483400323</v>
      </c>
      <c r="AD281" s="1" t="s">
        <v>107</v>
      </c>
      <c r="AE281">
        <f t="shared" si="24"/>
        <v>0</v>
      </c>
    </row>
    <row r="282" spans="1:31" x14ac:dyDescent="0.25">
      <c r="A282" s="1" t="s">
        <v>565</v>
      </c>
      <c r="B282" s="1" t="s">
        <v>564</v>
      </c>
      <c r="C282" s="15" t="s">
        <v>563</v>
      </c>
      <c r="D282" s="11">
        <v>59</v>
      </c>
      <c r="E282" s="13">
        <v>46230</v>
      </c>
      <c r="F282" s="10">
        <v>7</v>
      </c>
      <c r="G282" s="16">
        <f>(D282-(0)+0-(F282*Ventas!AE268*1.8))</f>
        <v>55.875956000000002</v>
      </c>
      <c r="H282" s="17">
        <f>(G282/(Ventas!AE268*1.8)/60)</f>
        <v>2.0866740459908164</v>
      </c>
      <c r="I282" s="11">
        <v>0</v>
      </c>
      <c r="J282" s="16">
        <f t="shared" si="20"/>
        <v>55.875956000000002</v>
      </c>
      <c r="K282" s="4"/>
      <c r="L282" s="13">
        <v>46275</v>
      </c>
      <c r="M282" s="10">
        <v>45</v>
      </c>
      <c r="N282" s="16">
        <f>(IF(G282&gt;0,G282+I282,I282)-(M282*Ventas!AE268*1.0044))</f>
        <v>44.669563880000005</v>
      </c>
      <c r="O282" s="17">
        <f>(N282/(Ventas!AE268*1.0044)/60)</f>
        <v>2.9895592222057643</v>
      </c>
      <c r="P282" s="11">
        <v>0</v>
      </c>
      <c r="Q282" s="16">
        <f t="shared" si="21"/>
        <v>44.669563880000005</v>
      </c>
      <c r="R282" s="4"/>
      <c r="S282" s="13">
        <v>46331</v>
      </c>
      <c r="T282" s="10">
        <v>56</v>
      </c>
      <c r="U282" s="16">
        <f>(IF(N282&gt;0,N282+P282,P282)-(T282*Ventas!AE268*0.9018))</f>
        <v>32.148395528000009</v>
      </c>
      <c r="V282" s="17">
        <f>(U282/(Ventas!AE268*0.9018)/60)</f>
        <v>2.3963553812191947</v>
      </c>
      <c r="W282" s="16">
        <f>(100*(Ventas!AE268*1.235) - IF(U282&gt;0,U282,0))</f>
        <v>-1.5278055280000054</v>
      </c>
      <c r="X282" s="16">
        <f t="shared" si="22"/>
        <v>0</v>
      </c>
      <c r="Y282" s="16">
        <f t="shared" si="23"/>
        <v>32.148395528000009</v>
      </c>
      <c r="Z282" s="18">
        <v>16.793399999999998</v>
      </c>
      <c r="AA282" s="11">
        <v>3010</v>
      </c>
      <c r="AB282" s="16">
        <f>(Y282-(60*Ventas!AE268*1.235))</f>
        <v>13.776041528000007</v>
      </c>
      <c r="AC282" s="17">
        <f>(AB282/(Ventas!AE268*1.235)/60)</f>
        <v>0.74982452047244486</v>
      </c>
      <c r="AD282" s="1" t="s">
        <v>34</v>
      </c>
      <c r="AE282">
        <f t="shared" si="24"/>
        <v>0</v>
      </c>
    </row>
    <row r="283" spans="1:31" x14ac:dyDescent="0.25">
      <c r="A283" s="1" t="s">
        <v>606</v>
      </c>
      <c r="B283" s="1" t="s">
        <v>605</v>
      </c>
      <c r="C283" s="15" t="s">
        <v>604</v>
      </c>
      <c r="D283" s="11">
        <v>11</v>
      </c>
      <c r="E283" s="13">
        <v>46230</v>
      </c>
      <c r="F283" s="10">
        <v>7</v>
      </c>
      <c r="G283" s="16">
        <f>(D283-(0)+0-(F283*Ventas!AE282*1.8))</f>
        <v>8.6614400000000007</v>
      </c>
      <c r="H283" s="17">
        <f>(G283/(Ventas!AE282*1.8)/60)</f>
        <v>0.43210408684546625</v>
      </c>
      <c r="I283" s="11">
        <v>70</v>
      </c>
      <c r="J283" s="16">
        <f t="shared" si="20"/>
        <v>78.661439999999999</v>
      </c>
      <c r="K283" s="16">
        <v>16.015999999999998</v>
      </c>
      <c r="L283" s="13">
        <v>46275</v>
      </c>
      <c r="M283" s="10">
        <v>45</v>
      </c>
      <c r="N283" s="16">
        <f>(IF(G283&gt;0,G283+I283,I283)-(M283*Ventas!AE282*1.0044))</f>
        <v>70.272691199999997</v>
      </c>
      <c r="O283" s="17">
        <f>(N283/(Ventas!AE282*1.0044)/60)</f>
        <v>6.2827627404935535</v>
      </c>
      <c r="P283" s="11">
        <v>30</v>
      </c>
      <c r="Q283" s="16">
        <f t="shared" si="21"/>
        <v>100.2726912</v>
      </c>
      <c r="R283" s="16">
        <v>16</v>
      </c>
      <c r="S283" s="13">
        <v>46331</v>
      </c>
      <c r="T283" s="10">
        <v>56</v>
      </c>
      <c r="U283" s="16">
        <f>(IF(N283&gt;0,N283+P283,P283)-(T283*Ventas!AE282*0.9018))</f>
        <v>90.899742719999992</v>
      </c>
      <c r="V283" s="17">
        <f>(U283/(Ventas!AE282*0.9018)/60)</f>
        <v>9.0515551272933052</v>
      </c>
      <c r="W283" s="16">
        <f>(100*(Ventas!AE282*1.235) - IF(U283&gt;0,U283,0))</f>
        <v>-67.978142719999994</v>
      </c>
      <c r="X283" s="16">
        <f t="shared" si="22"/>
        <v>0</v>
      </c>
      <c r="Y283" s="16">
        <f t="shared" si="23"/>
        <v>90.899742719999992</v>
      </c>
      <c r="Z283" s="18">
        <v>16.015999999999998</v>
      </c>
      <c r="AA283" s="11">
        <v>3027</v>
      </c>
      <c r="AB283" s="16">
        <f>(Y283-(60*Ventas!AE282*1.235))</f>
        <v>77.14678271999999</v>
      </c>
      <c r="AC283" s="17">
        <f>(AB283/(Ventas!AE282*1.235)/60)</f>
        <v>5.6094675415328767</v>
      </c>
      <c r="AD283" s="1" t="s">
        <v>34</v>
      </c>
      <c r="AE283">
        <f t="shared" si="24"/>
        <v>0</v>
      </c>
    </row>
    <row r="284" spans="1:31" x14ac:dyDescent="0.25">
      <c r="A284" s="1" t="s">
        <v>609</v>
      </c>
      <c r="B284" s="1" t="s">
        <v>608</v>
      </c>
      <c r="C284" s="15" t="s">
        <v>607</v>
      </c>
      <c r="D284" s="11">
        <v>122</v>
      </c>
      <c r="E284" s="13">
        <v>46230</v>
      </c>
      <c r="F284" s="10">
        <v>7</v>
      </c>
      <c r="G284" s="16">
        <f>(D284-(0)+0-(F284*Ventas!AE283*1.8))</f>
        <v>119.26756399999999</v>
      </c>
      <c r="H284" s="17">
        <f>(G284/(Ventas!AE283*1.8)/60)</f>
        <v>5.0923604920054233</v>
      </c>
      <c r="I284" s="11">
        <v>0</v>
      </c>
      <c r="J284" s="16">
        <f t="shared" si="20"/>
        <v>119.26756399999999</v>
      </c>
      <c r="K284" s="4"/>
      <c r="L284" s="13">
        <v>46275</v>
      </c>
      <c r="M284" s="10">
        <v>45</v>
      </c>
      <c r="N284" s="16">
        <f>(IF(G284&gt;0,G284+I284,I284)-(M284*Ventas!AE283*1.0044))</f>
        <v>109.46592572</v>
      </c>
      <c r="O284" s="17">
        <f>(N284/(Ventas!AE283*1.0044)/60)</f>
        <v>8.3760940716943093</v>
      </c>
      <c r="P284" s="11">
        <v>0</v>
      </c>
      <c r="Q284" s="16">
        <f t="shared" si="21"/>
        <v>109.46592572</v>
      </c>
      <c r="R284" s="4"/>
      <c r="S284" s="13">
        <v>46331</v>
      </c>
      <c r="T284" s="10">
        <v>56</v>
      </c>
      <c r="U284" s="16">
        <f>(IF(N284&gt;0,N284+P284,P284)-(T284*Ventas!AE283*0.9018))</f>
        <v>98.514322231999998</v>
      </c>
      <c r="V284" s="17">
        <f>(U284/(Ventas!AE283*0.9018)/60)</f>
        <v>8.3957295249609256</v>
      </c>
      <c r="W284" s="16">
        <f>(100*(Ventas!AE283*1.235) - IF(U284&gt;0,U284,0))</f>
        <v>-71.732112231999992</v>
      </c>
      <c r="X284" s="16">
        <f t="shared" si="22"/>
        <v>0</v>
      </c>
      <c r="Y284" s="16">
        <f t="shared" si="23"/>
        <v>98.514322231999998</v>
      </c>
      <c r="Z284" s="18">
        <v>20.9</v>
      </c>
      <c r="AA284" s="11">
        <v>3027</v>
      </c>
      <c r="AB284" s="16">
        <f>(Y284-(60*Ventas!AE283*1.235))</f>
        <v>82.444996231999994</v>
      </c>
      <c r="AC284" s="17">
        <f>(AB284/(Ventas!AE283*1.235)/60)</f>
        <v>5.1305820936111441</v>
      </c>
      <c r="AD284" s="1" t="s">
        <v>34</v>
      </c>
      <c r="AE284">
        <f t="shared" si="24"/>
        <v>0</v>
      </c>
    </row>
    <row r="285" spans="1:31" x14ac:dyDescent="0.25">
      <c r="A285" s="1" t="s">
        <v>612</v>
      </c>
      <c r="B285" s="1" t="s">
        <v>611</v>
      </c>
      <c r="C285" s="15" t="s">
        <v>610</v>
      </c>
      <c r="D285" s="11">
        <v>124</v>
      </c>
      <c r="E285" s="13">
        <v>46230</v>
      </c>
      <c r="F285" s="10">
        <v>7</v>
      </c>
      <c r="G285" s="16">
        <f>(D285-(0)+0-(F285*Ventas!AE284*1.8))</f>
        <v>121.417</v>
      </c>
      <c r="H285" s="17">
        <f>(G285/(Ventas!AE284*1.8)/60)</f>
        <v>5.484056007226739</v>
      </c>
      <c r="I285" s="11">
        <v>0</v>
      </c>
      <c r="J285" s="16">
        <f t="shared" si="20"/>
        <v>121.417</v>
      </c>
      <c r="K285" s="4"/>
      <c r="L285" s="13">
        <v>46275</v>
      </c>
      <c r="M285" s="10">
        <v>45</v>
      </c>
      <c r="N285" s="16">
        <f>(IF(G285&gt;0,G285+I285,I285)-(M285*Ventas!AE284*1.0044))</f>
        <v>112.15141</v>
      </c>
      <c r="O285" s="17">
        <f>(N285/(Ventas!AE284*1.0044)/60)</f>
        <v>9.078057360621397</v>
      </c>
      <c r="P285" s="11">
        <v>0</v>
      </c>
      <c r="Q285" s="16">
        <f t="shared" si="21"/>
        <v>112.15141</v>
      </c>
      <c r="R285" s="4"/>
      <c r="S285" s="13">
        <v>46331</v>
      </c>
      <c r="T285" s="10">
        <v>56</v>
      </c>
      <c r="U285" s="16">
        <f>(IF(N285&gt;0,N285+P285,P285)-(T285*Ventas!AE284*0.9018))</f>
        <v>101.79874599999999</v>
      </c>
      <c r="V285" s="17">
        <f>(U285/(Ventas!AE284*0.9018)/60)</f>
        <v>9.1775569006521724</v>
      </c>
      <c r="W285" s="16">
        <f>(100*(Ventas!AE284*1.235) - IF(U285&gt;0,U285,0))</f>
        <v>-76.481245999999999</v>
      </c>
      <c r="X285" s="16">
        <f t="shared" si="22"/>
        <v>0</v>
      </c>
      <c r="Y285" s="16">
        <f t="shared" si="23"/>
        <v>101.79874599999999</v>
      </c>
      <c r="Z285" s="18">
        <v>20.9</v>
      </c>
      <c r="AA285" s="11">
        <v>3027</v>
      </c>
      <c r="AB285" s="16">
        <f>(Y285-(60*Ventas!AE284*1.235))</f>
        <v>86.608245999999994</v>
      </c>
      <c r="AC285" s="17">
        <f>(AB285/(Ventas!AE284*1.235)/60)</f>
        <v>5.701474342516704</v>
      </c>
      <c r="AD285" s="1" t="s">
        <v>34</v>
      </c>
      <c r="AE285">
        <f t="shared" si="24"/>
        <v>0</v>
      </c>
    </row>
    <row r="286" spans="1:31" x14ac:dyDescent="0.25">
      <c r="A286" s="1" t="s">
        <v>615</v>
      </c>
      <c r="B286" s="1" t="s">
        <v>614</v>
      </c>
      <c r="C286" s="15" t="s">
        <v>613</v>
      </c>
      <c r="D286" s="11">
        <v>57</v>
      </c>
      <c r="E286" s="13">
        <v>46230</v>
      </c>
      <c r="F286" s="10">
        <v>7</v>
      </c>
      <c r="G286" s="16">
        <f>(D286-(0)+0-(F286*Ventas!AE285*1.8))</f>
        <v>55.305047999999999</v>
      </c>
      <c r="H286" s="17">
        <f>(G286/(Ventas!AE285*1.8)/60)</f>
        <v>3.8067482736974254</v>
      </c>
      <c r="I286" s="11">
        <v>0</v>
      </c>
      <c r="J286" s="16">
        <f t="shared" si="20"/>
        <v>55.305047999999999</v>
      </c>
      <c r="K286" s="4"/>
      <c r="L286" s="13">
        <v>46275</v>
      </c>
      <c r="M286" s="10">
        <v>45</v>
      </c>
      <c r="N286" s="16">
        <f>(IF(G286&gt;0,G286+I286,I286)-(M286*Ventas!AE285*1.0044))</f>
        <v>49.22501304</v>
      </c>
      <c r="O286" s="17">
        <f>(N286/(Ventas!AE285*1.0044)/60)</f>
        <v>6.0721295227552439</v>
      </c>
      <c r="P286" s="11">
        <v>0</v>
      </c>
      <c r="Q286" s="16">
        <f t="shared" si="21"/>
        <v>49.22501304</v>
      </c>
      <c r="R286" s="4"/>
      <c r="S286" s="13">
        <v>46331</v>
      </c>
      <c r="T286" s="10">
        <v>56</v>
      </c>
      <c r="U286" s="16">
        <f>(IF(N286&gt;0,N286+P286,P286)-(T286*Ventas!AE285*0.9018))</f>
        <v>42.431645423999996</v>
      </c>
      <c r="V286" s="17">
        <f>(U286/(Ventas!AE285*0.9018)/60)</f>
        <v>5.8296372728491521</v>
      </c>
      <c r="W286" s="16">
        <f>(100*(Ventas!AE285*1.235) - IF(U286&gt;0,U286,0))</f>
        <v>-25.818425423999994</v>
      </c>
      <c r="X286" s="16">
        <f t="shared" si="22"/>
        <v>0</v>
      </c>
      <c r="Y286" s="16">
        <f t="shared" si="23"/>
        <v>42.431645423999996</v>
      </c>
      <c r="Z286" s="18">
        <v>14.24</v>
      </c>
      <c r="AA286" s="11">
        <v>3010</v>
      </c>
      <c r="AB286" s="16">
        <f>(Y286-(60*Ventas!AE285*1.235))</f>
        <v>32.463713423999991</v>
      </c>
      <c r="AC286" s="17">
        <f>(AB286/(Ventas!AE285*1.235)/60)</f>
        <v>3.2568152976966522</v>
      </c>
      <c r="AD286" s="1" t="s">
        <v>34</v>
      </c>
      <c r="AE286">
        <f t="shared" si="24"/>
        <v>0</v>
      </c>
    </row>
    <row r="287" spans="1:31" x14ac:dyDescent="0.25">
      <c r="A287" s="1" t="s">
        <v>618</v>
      </c>
      <c r="B287" s="1" t="s">
        <v>617</v>
      </c>
      <c r="C287" s="15" t="s">
        <v>616</v>
      </c>
      <c r="D287" s="11">
        <v>15</v>
      </c>
      <c r="E287" s="13">
        <v>46230</v>
      </c>
      <c r="F287" s="10">
        <v>7</v>
      </c>
      <c r="G287" s="16">
        <f>(D287-(0)+0-(F287*Ventas!AE286*1.8))</f>
        <v>13.38846</v>
      </c>
      <c r="H287" s="17">
        <f>(G287/(Ventas!AE286*1.8)/60)</f>
        <v>0.96925115107288695</v>
      </c>
      <c r="I287" s="11">
        <v>0</v>
      </c>
      <c r="J287" s="16">
        <f t="shared" si="20"/>
        <v>13.38846</v>
      </c>
      <c r="K287" s="4"/>
      <c r="L287" s="13">
        <v>46275</v>
      </c>
      <c r="M287" s="10">
        <v>45</v>
      </c>
      <c r="N287" s="16">
        <f>(IF(G287&gt;0,G287+I287,I287)-(M287*Ventas!AE286*1.0044))</f>
        <v>7.6076358000000006</v>
      </c>
      <c r="O287" s="17">
        <f>(N287/(Ventas!AE286*1.0044)/60)</f>
        <v>0.98700923131341745</v>
      </c>
      <c r="P287" s="11">
        <v>0</v>
      </c>
      <c r="Q287" s="16">
        <f t="shared" si="21"/>
        <v>7.6076358000000006</v>
      </c>
      <c r="R287" s="4"/>
      <c r="S287" s="13">
        <v>46331</v>
      </c>
      <c r="T287" s="10">
        <v>56</v>
      </c>
      <c r="U287" s="16">
        <f>(IF(N287&gt;0,N287+P287,P287)-(T287*Ventas!AE286*0.9018))</f>
        <v>1.148583480000001</v>
      </c>
      <c r="V287" s="17">
        <f>(U287/(Ventas!AE286*0.9018)/60)</f>
        <v>0.1659703614229279</v>
      </c>
      <c r="W287" s="16">
        <f>(100*(Ventas!AE286*1.235) - IF(U287&gt;0,U287,0))</f>
        <v>14.647066519999999</v>
      </c>
      <c r="X287" s="16">
        <f t="shared" si="22"/>
        <v>14.647066519999999</v>
      </c>
      <c r="Y287" s="16">
        <f t="shared" si="23"/>
        <v>15.79565</v>
      </c>
      <c r="Z287" s="18">
        <v>14.24</v>
      </c>
      <c r="AA287" s="11">
        <v>3010</v>
      </c>
      <c r="AB287" s="16">
        <f>(Y287-(60*Ventas!AE286*1.235))</f>
        <v>6.3182600000000004</v>
      </c>
      <c r="AC287" s="17">
        <f>(AB287/(Ventas!AE286*1.235)/60)</f>
        <v>0.66666666666666663</v>
      </c>
      <c r="AD287" s="1" t="s">
        <v>34</v>
      </c>
      <c r="AE287">
        <f t="shared" si="24"/>
        <v>208.5742272448</v>
      </c>
    </row>
    <row r="288" spans="1:31" x14ac:dyDescent="0.25">
      <c r="A288" s="1" t="s">
        <v>621</v>
      </c>
      <c r="B288" s="1" t="s">
        <v>620</v>
      </c>
      <c r="C288" s="15" t="s">
        <v>619</v>
      </c>
      <c r="D288" s="11">
        <v>20</v>
      </c>
      <c r="E288" s="13">
        <v>46230</v>
      </c>
      <c r="F288" s="10">
        <v>7</v>
      </c>
      <c r="G288" s="16">
        <f>(D288-(0)+0-(F288*Ventas!AE287*1.8))</f>
        <v>18.460280000000001</v>
      </c>
      <c r="H288" s="17">
        <f>(G288/(Ventas!AE287*1.8)/60)</f>
        <v>1.3987603806752742</v>
      </c>
      <c r="I288" s="11">
        <v>0</v>
      </c>
      <c r="J288" s="16">
        <f t="shared" si="20"/>
        <v>18.460280000000001</v>
      </c>
      <c r="K288" s="4"/>
      <c r="L288" s="13">
        <v>46275</v>
      </c>
      <c r="M288" s="10">
        <v>45</v>
      </c>
      <c r="N288" s="16">
        <f>(IF(G288&gt;0,G288+I288,I288)-(M288*Ventas!AE287*1.0044))</f>
        <v>12.9370844</v>
      </c>
      <c r="O288" s="17">
        <f>(N288/(Ventas!AE287*1.0044)/60)</f>
        <v>1.7567390334682333</v>
      </c>
      <c r="P288" s="11">
        <v>0</v>
      </c>
      <c r="Q288" s="16">
        <f t="shared" si="21"/>
        <v>12.9370844</v>
      </c>
      <c r="R288" s="4"/>
      <c r="S288" s="13">
        <v>46331</v>
      </c>
      <c r="T288" s="10">
        <v>56</v>
      </c>
      <c r="U288" s="16">
        <f>(IF(N288&gt;0,N288+P288,P288)-(T288*Ventas!AE287*0.9018))</f>
        <v>6.7658866399999988</v>
      </c>
      <c r="V288" s="17">
        <f>(U288/(Ventas!AE287*0.9018)/60)</f>
        <v>1.0232742129246988</v>
      </c>
      <c r="W288" s="16">
        <f>(100*(Ventas!AE287*1.235) - IF(U288&gt;0,U288,0))</f>
        <v>8.325813360000005</v>
      </c>
      <c r="X288" s="16">
        <f t="shared" si="22"/>
        <v>8.325813360000005</v>
      </c>
      <c r="Y288" s="16">
        <f t="shared" si="23"/>
        <v>15.091700000000003</v>
      </c>
      <c r="Z288" s="18">
        <v>14.24</v>
      </c>
      <c r="AA288" s="11">
        <v>3010</v>
      </c>
      <c r="AB288" s="16">
        <f>(Y288-(60*Ventas!AE287*1.235))</f>
        <v>6.0366800000000023</v>
      </c>
      <c r="AC288" s="17">
        <f>(AB288/(Ventas!AE287*1.235)/60)</f>
        <v>0.66666666666666674</v>
      </c>
      <c r="AD288" s="1" t="s">
        <v>34</v>
      </c>
      <c r="AE288">
        <f t="shared" si="24"/>
        <v>118.55958224640007</v>
      </c>
    </row>
    <row r="289" spans="1:31" x14ac:dyDescent="0.25">
      <c r="A289" s="1" t="s">
        <v>624</v>
      </c>
      <c r="B289" s="1" t="s">
        <v>623</v>
      </c>
      <c r="C289" s="15" t="s">
        <v>622</v>
      </c>
      <c r="D289" s="11">
        <v>62</v>
      </c>
      <c r="E289" s="13">
        <v>46230</v>
      </c>
      <c r="F289" s="10">
        <v>7</v>
      </c>
      <c r="G289" s="16">
        <f>(D289-(0)+0-(F289*Ventas!AE288*1.8))</f>
        <v>58.266871999999999</v>
      </c>
      <c r="H289" s="17">
        <f>(G289/(Ventas!AE288*1.8)/60)</f>
        <v>1.8209399016945933</v>
      </c>
      <c r="I289" s="11">
        <v>50</v>
      </c>
      <c r="J289" s="16">
        <f t="shared" si="20"/>
        <v>108.26687200000001</v>
      </c>
      <c r="K289" s="16">
        <v>4.5759999999999996</v>
      </c>
      <c r="L289" s="13">
        <v>46275</v>
      </c>
      <c r="M289" s="10">
        <v>45</v>
      </c>
      <c r="N289" s="16">
        <f>(IF(G289&gt;0,G289+I289,I289)-(M289*Ventas!AE288*1.0044))</f>
        <v>94.875608560000003</v>
      </c>
      <c r="O289" s="17">
        <f>(N289/(Ventas!AE288*1.0044)/60)</f>
        <v>5.3136663869559424</v>
      </c>
      <c r="P289" s="11">
        <v>50</v>
      </c>
      <c r="Q289" s="16">
        <f t="shared" si="21"/>
        <v>144.87560855999999</v>
      </c>
      <c r="R289" s="16">
        <v>4.5999999999999996</v>
      </c>
      <c r="S289" s="13">
        <v>46331</v>
      </c>
      <c r="T289" s="10">
        <v>56</v>
      </c>
      <c r="U289" s="16">
        <f>(IF(N289&gt;0,N289+P289,P289)-(T289*Ventas!AE288*0.9018))</f>
        <v>129.91323153599998</v>
      </c>
      <c r="V289" s="17">
        <f>(U289/(Ventas!AE288*0.9018)/60)</f>
        <v>8.1038159404156449</v>
      </c>
      <c r="W289" s="16">
        <f>(100*(Ventas!AE288*1.235) - IF(U289&gt;0,U289,0))</f>
        <v>-93.322651535999981</v>
      </c>
      <c r="X289" s="16">
        <f t="shared" si="22"/>
        <v>0</v>
      </c>
      <c r="Y289" s="16">
        <f t="shared" si="23"/>
        <v>129.91323153599998</v>
      </c>
      <c r="Z289" s="18">
        <v>4.5759999999999996</v>
      </c>
      <c r="AA289" s="11">
        <v>3027</v>
      </c>
      <c r="AB289" s="16">
        <f>(Y289-(60*Ventas!AE288*1.235))</f>
        <v>107.95888353599999</v>
      </c>
      <c r="AC289" s="17">
        <f>(AB289/(Ventas!AE288*1.235)/60)</f>
        <v>4.9174260850743545</v>
      </c>
      <c r="AD289" s="1" t="s">
        <v>34</v>
      </c>
      <c r="AE289">
        <f t="shared" si="24"/>
        <v>0</v>
      </c>
    </row>
    <row r="290" spans="1:31" x14ac:dyDescent="0.25">
      <c r="A290" s="1" t="s">
        <v>627</v>
      </c>
      <c r="B290" s="1" t="s">
        <v>626</v>
      </c>
      <c r="C290" s="15" t="s">
        <v>625</v>
      </c>
      <c r="D290" s="11">
        <v>74</v>
      </c>
      <c r="E290" s="13">
        <v>46230</v>
      </c>
      <c r="F290" s="10">
        <v>7</v>
      </c>
      <c r="G290" s="16">
        <f>(D290-(0)+0-(F290*Ventas!AE289*1.8))</f>
        <v>71.505200000000002</v>
      </c>
      <c r="H290" s="17">
        <f>(G290/(Ventas!AE289*1.8)/60)</f>
        <v>3.343864571642349</v>
      </c>
      <c r="I290" s="11">
        <v>0</v>
      </c>
      <c r="J290" s="16">
        <f t="shared" si="20"/>
        <v>71.505200000000002</v>
      </c>
      <c r="K290" s="4"/>
      <c r="L290" s="13">
        <v>46275</v>
      </c>
      <c r="M290" s="10">
        <v>45</v>
      </c>
      <c r="N290" s="16">
        <f>(IF(G290&gt;0,G290+I290,I290)-(M290*Ventas!AE289*1.0044))</f>
        <v>62.555996</v>
      </c>
      <c r="O290" s="17">
        <f>(N290/(Ventas!AE289*1.0044)/60)</f>
        <v>5.2425888380687269</v>
      </c>
      <c r="P290" s="11">
        <v>50</v>
      </c>
      <c r="Q290" s="16">
        <f t="shared" si="21"/>
        <v>112.55599599999999</v>
      </c>
      <c r="R290" s="16">
        <v>4.5999999999999996</v>
      </c>
      <c r="S290" s="13">
        <v>46331</v>
      </c>
      <c r="T290" s="10">
        <v>56</v>
      </c>
      <c r="U290" s="16">
        <f>(IF(N290&gt;0,N290+P290,P290)-(T290*Ventas!AE289*0.9018))</f>
        <v>102.55683759999999</v>
      </c>
      <c r="V290" s="17">
        <f>(U290/(Ventas!AE289*0.9018)/60)</f>
        <v>9.5727771542586346</v>
      </c>
      <c r="W290" s="16">
        <f>(100*(Ventas!AE289*1.235) - IF(U290&gt;0,U290,0))</f>
        <v>-78.103837599999991</v>
      </c>
      <c r="X290" s="16">
        <f t="shared" si="22"/>
        <v>0</v>
      </c>
      <c r="Y290" s="16">
        <f t="shared" si="23"/>
        <v>102.55683759999999</v>
      </c>
      <c r="Z290" s="18">
        <v>4.508</v>
      </c>
      <c r="AA290" s="11">
        <v>3027</v>
      </c>
      <c r="AB290" s="16">
        <f>(Y290-(60*Ventas!AE289*1.235))</f>
        <v>87.88503759999999</v>
      </c>
      <c r="AC290" s="17">
        <f>(AB290/(Ventas!AE289*1.235)/60)</f>
        <v>5.9900651317493416</v>
      </c>
      <c r="AD290" s="1" t="s">
        <v>34</v>
      </c>
      <c r="AE290">
        <f t="shared" si="24"/>
        <v>0</v>
      </c>
    </row>
    <row r="291" spans="1:31" x14ac:dyDescent="0.25">
      <c r="A291" s="1" t="s">
        <v>630</v>
      </c>
      <c r="B291" s="1" t="s">
        <v>629</v>
      </c>
      <c r="C291" s="15" t="s">
        <v>628</v>
      </c>
      <c r="D291" s="4"/>
      <c r="E291" s="13">
        <v>46230</v>
      </c>
      <c r="F291" s="10">
        <v>7</v>
      </c>
      <c r="G291" s="16">
        <f>(D291-(0)+0-(F291*Ventas!AE290*1.8))</f>
        <v>0</v>
      </c>
      <c r="H291" s="4"/>
      <c r="I291" s="11">
        <v>0</v>
      </c>
      <c r="J291" s="16">
        <f t="shared" si="20"/>
        <v>0</v>
      </c>
      <c r="K291" s="4"/>
      <c r="L291" s="13">
        <v>46275</v>
      </c>
      <c r="M291" s="10">
        <v>45</v>
      </c>
      <c r="N291" s="16">
        <f>(IF(G291&gt;0,G291+I291,I291)-(M291*Ventas!AE290*1.0044))</f>
        <v>0</v>
      </c>
      <c r="O291" s="4"/>
      <c r="P291" s="11">
        <v>0</v>
      </c>
      <c r="Q291" s="16">
        <f t="shared" si="21"/>
        <v>0</v>
      </c>
      <c r="R291" s="4"/>
      <c r="S291" s="13">
        <v>46331</v>
      </c>
      <c r="T291" s="10">
        <v>56</v>
      </c>
      <c r="U291" s="16">
        <f>(IF(N291&gt;0,N291+P291,P291)-(T291*Ventas!AE290*0.9018))</f>
        <v>0</v>
      </c>
      <c r="V291" s="4"/>
      <c r="W291" s="16">
        <f>(100*(Ventas!AE290*1.235) - IF(U291&gt;0,U291,0))</f>
        <v>0</v>
      </c>
      <c r="X291" s="16">
        <f t="shared" si="22"/>
        <v>0</v>
      </c>
      <c r="Y291" s="16">
        <f t="shared" si="23"/>
        <v>0</v>
      </c>
      <c r="Z291" s="4"/>
      <c r="AA291" s="4"/>
      <c r="AB291" s="4"/>
      <c r="AC291" s="4"/>
      <c r="AD291" s="1" t="s">
        <v>34</v>
      </c>
      <c r="AE291">
        <f t="shared" si="24"/>
        <v>0</v>
      </c>
    </row>
    <row r="292" spans="1:31" x14ac:dyDescent="0.25">
      <c r="A292" s="1" t="s">
        <v>633</v>
      </c>
      <c r="B292" s="1" t="s">
        <v>632</v>
      </c>
      <c r="C292" s="15" t="s">
        <v>631</v>
      </c>
      <c r="D292" s="4"/>
      <c r="E292" s="13">
        <v>46230</v>
      </c>
      <c r="F292" s="10">
        <v>7</v>
      </c>
      <c r="G292" s="16">
        <f>(D292-(0)+0-(F292*Ventas!AE291*1.8))</f>
        <v>0</v>
      </c>
      <c r="H292" s="4"/>
      <c r="I292" s="11">
        <v>0</v>
      </c>
      <c r="J292" s="16">
        <f t="shared" si="20"/>
        <v>0</v>
      </c>
      <c r="K292" s="4"/>
      <c r="L292" s="13">
        <v>46275</v>
      </c>
      <c r="M292" s="10">
        <v>45</v>
      </c>
      <c r="N292" s="16">
        <f>(IF(G292&gt;0,G292+I292,I292)-(M292*Ventas!AE291*1.0044))</f>
        <v>0</v>
      </c>
      <c r="O292" s="4"/>
      <c r="P292" s="11">
        <v>0</v>
      </c>
      <c r="Q292" s="16">
        <f t="shared" si="21"/>
        <v>0</v>
      </c>
      <c r="R292" s="4"/>
      <c r="S292" s="13">
        <v>46331</v>
      </c>
      <c r="T292" s="10">
        <v>56</v>
      </c>
      <c r="U292" s="16">
        <f>(IF(N292&gt;0,N292+P292,P292)-(T292*Ventas!AE291*0.9018))</f>
        <v>0</v>
      </c>
      <c r="V292" s="4"/>
      <c r="W292" s="16">
        <f>(100*(Ventas!AE291*1.235) - IF(U292&gt;0,U292,0))</f>
        <v>0</v>
      </c>
      <c r="X292" s="16">
        <f t="shared" si="22"/>
        <v>0</v>
      </c>
      <c r="Y292" s="16">
        <f t="shared" si="23"/>
        <v>0</v>
      </c>
      <c r="Z292" s="4"/>
      <c r="AA292" s="4"/>
      <c r="AB292" s="4"/>
      <c r="AC292" s="4"/>
      <c r="AD292" s="1" t="s">
        <v>34</v>
      </c>
      <c r="AE292">
        <f t="shared" si="24"/>
        <v>0</v>
      </c>
    </row>
    <row r="293" spans="1:31" x14ac:dyDescent="0.25">
      <c r="A293" s="1" t="s">
        <v>636</v>
      </c>
      <c r="B293" s="1" t="s">
        <v>635</v>
      </c>
      <c r="C293" s="15" t="s">
        <v>634</v>
      </c>
      <c r="D293" s="4"/>
      <c r="E293" s="13">
        <v>46230</v>
      </c>
      <c r="F293" s="10">
        <v>7</v>
      </c>
      <c r="G293" s="16">
        <f>(D293-(0)+0-(F293*Ventas!AE292*1.8))</f>
        <v>0</v>
      </c>
      <c r="H293" s="4"/>
      <c r="I293" s="11">
        <v>0</v>
      </c>
      <c r="J293" s="16">
        <f t="shared" si="20"/>
        <v>0</v>
      </c>
      <c r="K293" s="4"/>
      <c r="L293" s="13">
        <v>46275</v>
      </c>
      <c r="M293" s="10">
        <v>45</v>
      </c>
      <c r="N293" s="16">
        <f>(IF(G293&gt;0,G293+I293,I293)-(M293*Ventas!AE292*1.0044))</f>
        <v>0</v>
      </c>
      <c r="O293" s="4"/>
      <c r="P293" s="11">
        <v>0</v>
      </c>
      <c r="Q293" s="16">
        <f t="shared" si="21"/>
        <v>0</v>
      </c>
      <c r="R293" s="4"/>
      <c r="S293" s="13">
        <v>46331</v>
      </c>
      <c r="T293" s="10">
        <v>56</v>
      </c>
      <c r="U293" s="16">
        <f>(IF(N293&gt;0,N293+P293,P293)-(T293*Ventas!AE292*0.9018))</f>
        <v>0</v>
      </c>
      <c r="V293" s="4"/>
      <c r="W293" s="16">
        <f>(100*(Ventas!AE292*1.235) - IF(U293&gt;0,U293,0))</f>
        <v>0</v>
      </c>
      <c r="X293" s="16">
        <f t="shared" si="22"/>
        <v>0</v>
      </c>
      <c r="Y293" s="16">
        <f t="shared" si="23"/>
        <v>0</v>
      </c>
      <c r="Z293" s="4"/>
      <c r="AA293" s="4"/>
      <c r="AB293" s="4"/>
      <c r="AC293" s="4"/>
      <c r="AD293" s="1" t="s">
        <v>34</v>
      </c>
      <c r="AE293">
        <f t="shared" si="24"/>
        <v>0</v>
      </c>
    </row>
    <row r="294" spans="1:31" x14ac:dyDescent="0.25">
      <c r="A294" s="1" t="s">
        <v>639</v>
      </c>
      <c r="B294" s="1" t="s">
        <v>638</v>
      </c>
      <c r="C294" s="15" t="s">
        <v>637</v>
      </c>
      <c r="D294" s="4"/>
      <c r="E294" s="13">
        <v>46230</v>
      </c>
      <c r="F294" s="10">
        <v>7</v>
      </c>
      <c r="G294" s="16">
        <f>(D294-(0)+0-(F294*Ventas!AE293*1.8))</f>
        <v>0</v>
      </c>
      <c r="H294" s="4"/>
      <c r="I294" s="11">
        <v>0</v>
      </c>
      <c r="J294" s="16">
        <f t="shared" si="20"/>
        <v>0</v>
      </c>
      <c r="K294" s="4"/>
      <c r="L294" s="13">
        <v>46275</v>
      </c>
      <c r="M294" s="10">
        <v>45</v>
      </c>
      <c r="N294" s="16">
        <f>(IF(G294&gt;0,G294+I294,I294)-(M294*Ventas!AE293*1.0044))</f>
        <v>0</v>
      </c>
      <c r="O294" s="4"/>
      <c r="P294" s="11">
        <v>0</v>
      </c>
      <c r="Q294" s="16">
        <f t="shared" si="21"/>
        <v>0</v>
      </c>
      <c r="R294" s="4"/>
      <c r="S294" s="13">
        <v>46331</v>
      </c>
      <c r="T294" s="10">
        <v>56</v>
      </c>
      <c r="U294" s="16">
        <f>(IF(N294&gt;0,N294+P294,P294)-(T294*Ventas!AE293*0.9018))</f>
        <v>0</v>
      </c>
      <c r="V294" s="4"/>
      <c r="W294" s="16">
        <f>(100*(Ventas!AE293*1.235) - IF(U294&gt;0,U294,0))</f>
        <v>0</v>
      </c>
      <c r="X294" s="16">
        <f t="shared" si="22"/>
        <v>0</v>
      </c>
      <c r="Y294" s="16">
        <f t="shared" si="23"/>
        <v>0</v>
      </c>
      <c r="Z294" s="4"/>
      <c r="AA294" s="4"/>
      <c r="AB294" s="4"/>
      <c r="AC294" s="4"/>
      <c r="AD294" s="1" t="s">
        <v>34</v>
      </c>
      <c r="AE294">
        <f t="shared" si="24"/>
        <v>0</v>
      </c>
    </row>
    <row r="295" spans="1:31" x14ac:dyDescent="0.25">
      <c r="A295" s="1" t="s">
        <v>642</v>
      </c>
      <c r="B295" s="1" t="s">
        <v>641</v>
      </c>
      <c r="C295" s="15" t="s">
        <v>640</v>
      </c>
      <c r="D295" s="4"/>
      <c r="E295" s="13">
        <v>46230</v>
      </c>
      <c r="F295" s="10">
        <v>7</v>
      </c>
      <c r="G295" s="16">
        <f>(D295-(0)+0-(F295*Ventas!AE294*1.8))</f>
        <v>0</v>
      </c>
      <c r="H295" s="4"/>
      <c r="I295" s="11">
        <v>40</v>
      </c>
      <c r="J295" s="16">
        <f t="shared" si="20"/>
        <v>40</v>
      </c>
      <c r="K295" s="16">
        <v>8.84</v>
      </c>
      <c r="L295" s="13">
        <v>46275</v>
      </c>
      <c r="M295" s="10">
        <v>45</v>
      </c>
      <c r="N295" s="16">
        <f>(IF(G295&gt;0,G295+I295,I295)-(M295*Ventas!AE294*1.0044))</f>
        <v>40</v>
      </c>
      <c r="O295" s="4"/>
      <c r="P295" s="11">
        <v>0</v>
      </c>
      <c r="Q295" s="16">
        <f t="shared" si="21"/>
        <v>40</v>
      </c>
      <c r="R295" s="4"/>
      <c r="S295" s="13">
        <v>46331</v>
      </c>
      <c r="T295" s="10">
        <v>56</v>
      </c>
      <c r="U295" s="16">
        <f>(IF(N295&gt;0,N295+P295,P295)-(T295*Ventas!AE294*0.9018))</f>
        <v>40</v>
      </c>
      <c r="V295" s="4"/>
      <c r="W295" s="16">
        <f>(100*(Ventas!AE294*1.235) - IF(U295&gt;0,U295,0))</f>
        <v>-40</v>
      </c>
      <c r="X295" s="16">
        <f t="shared" si="22"/>
        <v>0</v>
      </c>
      <c r="Y295" s="16">
        <f t="shared" si="23"/>
        <v>40</v>
      </c>
      <c r="Z295" s="18">
        <v>8.84</v>
      </c>
      <c r="AA295" s="11">
        <v>3027</v>
      </c>
      <c r="AB295" s="4"/>
      <c r="AC295" s="4"/>
      <c r="AD295" s="1" t="s">
        <v>34</v>
      </c>
      <c r="AE295">
        <f t="shared" si="24"/>
        <v>0</v>
      </c>
    </row>
    <row r="296" spans="1:31" x14ac:dyDescent="0.25">
      <c r="A296" s="1" t="s">
        <v>645</v>
      </c>
      <c r="B296" s="1" t="s">
        <v>644</v>
      </c>
      <c r="C296" s="15" t="s">
        <v>643</v>
      </c>
      <c r="D296" s="4"/>
      <c r="E296" s="13">
        <v>46230</v>
      </c>
      <c r="F296" s="10">
        <v>7</v>
      </c>
      <c r="G296" s="16">
        <f>(D296-(0)+0-(F296*Ventas!AE295*1.8))</f>
        <v>0</v>
      </c>
      <c r="H296" s="4"/>
      <c r="I296" s="11">
        <v>0</v>
      </c>
      <c r="J296" s="16">
        <f t="shared" si="20"/>
        <v>0</v>
      </c>
      <c r="K296" s="4"/>
      <c r="L296" s="13">
        <v>46275</v>
      </c>
      <c r="M296" s="10">
        <v>45</v>
      </c>
      <c r="N296" s="16">
        <f>(IF(G296&gt;0,G296+I296,I296)-(M296*Ventas!AE295*1.0044))</f>
        <v>0</v>
      </c>
      <c r="O296" s="4"/>
      <c r="P296" s="11">
        <v>0</v>
      </c>
      <c r="Q296" s="16">
        <f t="shared" si="21"/>
        <v>0</v>
      </c>
      <c r="R296" s="4"/>
      <c r="S296" s="13">
        <v>46331</v>
      </c>
      <c r="T296" s="10">
        <v>56</v>
      </c>
      <c r="U296" s="16">
        <f>(IF(N296&gt;0,N296+P296,P296)-(T296*Ventas!AE295*0.9018))</f>
        <v>0</v>
      </c>
      <c r="V296" s="4"/>
      <c r="W296" s="16">
        <f>(100*(Ventas!AE295*1.235) - IF(U296&gt;0,U296,0))</f>
        <v>0</v>
      </c>
      <c r="X296" s="16">
        <f t="shared" si="22"/>
        <v>0</v>
      </c>
      <c r="Y296" s="16">
        <f t="shared" si="23"/>
        <v>0</v>
      </c>
      <c r="Z296" s="4"/>
      <c r="AA296" s="4"/>
      <c r="AB296" s="4"/>
      <c r="AC296" s="4"/>
      <c r="AD296" s="1" t="s">
        <v>34</v>
      </c>
      <c r="AE296">
        <f t="shared" si="24"/>
        <v>0</v>
      </c>
    </row>
    <row r="297" spans="1:31" x14ac:dyDescent="0.25">
      <c r="A297" s="1" t="s">
        <v>648</v>
      </c>
      <c r="B297" s="1" t="s">
        <v>647</v>
      </c>
      <c r="C297" s="15" t="s">
        <v>646</v>
      </c>
      <c r="D297" s="4"/>
      <c r="E297" s="13">
        <v>46230</v>
      </c>
      <c r="F297" s="10">
        <v>7</v>
      </c>
      <c r="G297" s="16">
        <f>(D297-(0)+0-(F297*Ventas!AE296*1.8))</f>
        <v>0</v>
      </c>
      <c r="H297" s="4"/>
      <c r="I297" s="11">
        <v>40</v>
      </c>
      <c r="J297" s="16">
        <f t="shared" si="20"/>
        <v>40</v>
      </c>
      <c r="K297" s="16">
        <v>11.44</v>
      </c>
      <c r="L297" s="13">
        <v>46275</v>
      </c>
      <c r="M297" s="10">
        <v>45</v>
      </c>
      <c r="N297" s="16">
        <f>(IF(G297&gt;0,G297+I297,I297)-(M297*Ventas!AE296*1.0044))</f>
        <v>40</v>
      </c>
      <c r="O297" s="4"/>
      <c r="P297" s="11">
        <v>0</v>
      </c>
      <c r="Q297" s="16">
        <f t="shared" si="21"/>
        <v>40</v>
      </c>
      <c r="R297" s="4"/>
      <c r="S297" s="13">
        <v>46331</v>
      </c>
      <c r="T297" s="10">
        <v>56</v>
      </c>
      <c r="U297" s="16">
        <f>(IF(N297&gt;0,N297+P297,P297)-(T297*Ventas!AE296*0.9018))</f>
        <v>40</v>
      </c>
      <c r="V297" s="4"/>
      <c r="W297" s="16">
        <f>(100*(Ventas!AE296*1.235) - IF(U297&gt;0,U297,0))</f>
        <v>-40</v>
      </c>
      <c r="X297" s="16">
        <f t="shared" si="22"/>
        <v>0</v>
      </c>
      <c r="Y297" s="16">
        <f t="shared" si="23"/>
        <v>40</v>
      </c>
      <c r="Z297" s="18">
        <v>11.44</v>
      </c>
      <c r="AA297" s="11">
        <v>3027</v>
      </c>
      <c r="AB297" s="4"/>
      <c r="AC297" s="4"/>
      <c r="AD297" s="1" t="s">
        <v>34</v>
      </c>
      <c r="AE297">
        <f t="shared" si="24"/>
        <v>0</v>
      </c>
    </row>
    <row r="298" spans="1:31" x14ac:dyDescent="0.25">
      <c r="A298" s="1" t="s">
        <v>651</v>
      </c>
      <c r="B298" s="1" t="s">
        <v>650</v>
      </c>
      <c r="C298" s="15" t="s">
        <v>649</v>
      </c>
      <c r="D298" s="4"/>
      <c r="E298" s="13">
        <v>46230</v>
      </c>
      <c r="F298" s="10">
        <v>7</v>
      </c>
      <c r="G298" s="16">
        <f>(D298-(0)+0-(F298*Ventas!AE297*1.8))</f>
        <v>0</v>
      </c>
      <c r="H298" s="4"/>
      <c r="I298" s="11">
        <v>0</v>
      </c>
      <c r="J298" s="16">
        <f t="shared" si="20"/>
        <v>0</v>
      </c>
      <c r="K298" s="4"/>
      <c r="L298" s="13">
        <v>46275</v>
      </c>
      <c r="M298" s="10">
        <v>45</v>
      </c>
      <c r="N298" s="16">
        <f>(IF(G298&gt;0,G298+I298,I298)-(M298*Ventas!AE297*1.0044))</f>
        <v>0</v>
      </c>
      <c r="O298" s="4"/>
      <c r="P298" s="11">
        <v>0</v>
      </c>
      <c r="Q298" s="16">
        <f t="shared" si="21"/>
        <v>0</v>
      </c>
      <c r="R298" s="4"/>
      <c r="S298" s="13">
        <v>46331</v>
      </c>
      <c r="T298" s="10">
        <v>56</v>
      </c>
      <c r="U298" s="16">
        <f>(IF(N298&gt;0,N298+P298,P298)-(T298*Ventas!AE297*0.9018))</f>
        <v>0</v>
      </c>
      <c r="V298" s="4"/>
      <c r="W298" s="16">
        <f>(100*(Ventas!AE297*1.235) - IF(U298&gt;0,U298,0))</f>
        <v>0</v>
      </c>
      <c r="X298" s="16">
        <f t="shared" si="22"/>
        <v>0</v>
      </c>
      <c r="Y298" s="16">
        <f t="shared" si="23"/>
        <v>0</v>
      </c>
      <c r="Z298" s="4"/>
      <c r="AA298" s="4"/>
      <c r="AB298" s="4"/>
      <c r="AC298" s="4"/>
      <c r="AD298" s="1" t="s">
        <v>34</v>
      </c>
      <c r="AE298">
        <f t="shared" si="24"/>
        <v>0</v>
      </c>
    </row>
    <row r="299" spans="1:31" x14ac:dyDescent="0.25">
      <c r="A299" s="1" t="s">
        <v>654</v>
      </c>
      <c r="B299" s="1" t="s">
        <v>653</v>
      </c>
      <c r="C299" s="15" t="s">
        <v>652</v>
      </c>
      <c r="D299" s="4"/>
      <c r="E299" s="13">
        <v>46230</v>
      </c>
      <c r="F299" s="10">
        <v>7</v>
      </c>
      <c r="G299" s="16">
        <f>(D299-(0)+0-(F299*Ventas!AE298*1.8))</f>
        <v>0</v>
      </c>
      <c r="H299" s="4"/>
      <c r="I299" s="11">
        <v>0</v>
      </c>
      <c r="J299" s="16">
        <f t="shared" si="20"/>
        <v>0</v>
      </c>
      <c r="K299" s="4"/>
      <c r="L299" s="13">
        <v>46275</v>
      </c>
      <c r="M299" s="10">
        <v>45</v>
      </c>
      <c r="N299" s="16">
        <f>(IF(G299&gt;0,G299+I299,I299)-(M299*Ventas!AE298*1.0044))</f>
        <v>0</v>
      </c>
      <c r="O299" s="4"/>
      <c r="P299" s="11">
        <v>0</v>
      </c>
      <c r="Q299" s="16">
        <f t="shared" si="21"/>
        <v>0</v>
      </c>
      <c r="R299" s="4"/>
      <c r="S299" s="13">
        <v>46331</v>
      </c>
      <c r="T299" s="10">
        <v>56</v>
      </c>
      <c r="U299" s="16">
        <f>(IF(N299&gt;0,N299+P299,P299)-(T299*Ventas!AE298*0.9018))</f>
        <v>0</v>
      </c>
      <c r="V299" s="4"/>
      <c r="W299" s="16">
        <f>(100*(Ventas!AE298*1.235) - IF(U299&gt;0,U299,0))</f>
        <v>0</v>
      </c>
      <c r="X299" s="16">
        <f t="shared" si="22"/>
        <v>0</v>
      </c>
      <c r="Y299" s="16">
        <f t="shared" si="23"/>
        <v>0</v>
      </c>
      <c r="Z299" s="4"/>
      <c r="AA299" s="4"/>
      <c r="AB299" s="4"/>
      <c r="AC299" s="4"/>
      <c r="AD299" s="1" t="s">
        <v>34</v>
      </c>
      <c r="AE299">
        <f t="shared" si="24"/>
        <v>0</v>
      </c>
    </row>
    <row r="300" spans="1:31" x14ac:dyDescent="0.25">
      <c r="A300" s="1" t="s">
        <v>657</v>
      </c>
      <c r="B300" s="1" t="s">
        <v>656</v>
      </c>
      <c r="C300" s="15" t="s">
        <v>655</v>
      </c>
      <c r="D300" s="4"/>
      <c r="E300" s="13">
        <v>46230</v>
      </c>
      <c r="F300" s="10">
        <v>7</v>
      </c>
      <c r="G300" s="16">
        <f>(D300-(0)+0-(F300*Ventas!AE299*1.8))</f>
        <v>0</v>
      </c>
      <c r="H300" s="4"/>
      <c r="I300" s="11">
        <v>0</v>
      </c>
      <c r="J300" s="16">
        <f t="shared" si="20"/>
        <v>0</v>
      </c>
      <c r="K300" s="4"/>
      <c r="L300" s="13">
        <v>46275</v>
      </c>
      <c r="M300" s="10">
        <v>45</v>
      </c>
      <c r="N300" s="16">
        <f>(IF(G300&gt;0,G300+I300,I300)-(M300*Ventas!AE299*1.0044))</f>
        <v>0</v>
      </c>
      <c r="O300" s="4"/>
      <c r="P300" s="11">
        <v>0</v>
      </c>
      <c r="Q300" s="16">
        <f t="shared" si="21"/>
        <v>0</v>
      </c>
      <c r="R300" s="4"/>
      <c r="S300" s="13">
        <v>46331</v>
      </c>
      <c r="T300" s="10">
        <v>56</v>
      </c>
      <c r="U300" s="16">
        <f>(IF(N300&gt;0,N300+P300,P300)-(T300*Ventas!AE299*0.9018))</f>
        <v>0</v>
      </c>
      <c r="V300" s="4"/>
      <c r="W300" s="16">
        <f>(100*(Ventas!AE299*1.235) - IF(U300&gt;0,U300,0))</f>
        <v>0</v>
      </c>
      <c r="X300" s="16">
        <f t="shared" si="22"/>
        <v>0</v>
      </c>
      <c r="Y300" s="16">
        <f t="shared" si="23"/>
        <v>0</v>
      </c>
      <c r="Z300" s="4"/>
      <c r="AA300" s="4"/>
      <c r="AB300" s="4"/>
      <c r="AC300" s="4"/>
      <c r="AD300" s="1" t="s">
        <v>34</v>
      </c>
      <c r="AE300">
        <f t="shared" si="24"/>
        <v>0</v>
      </c>
    </row>
    <row r="301" spans="1:31" x14ac:dyDescent="0.25">
      <c r="A301" s="1" t="s">
        <v>660</v>
      </c>
      <c r="B301" s="1" t="s">
        <v>659</v>
      </c>
      <c r="C301" s="15" t="s">
        <v>658</v>
      </c>
      <c r="D301" s="4"/>
      <c r="E301" s="13">
        <v>46230</v>
      </c>
      <c r="F301" s="10">
        <v>7</v>
      </c>
      <c r="G301" s="16">
        <f>(D301-(0)+0-(F301*Ventas!AE300*1.8))</f>
        <v>-19.908000000000001</v>
      </c>
      <c r="H301" s="17">
        <f>(G301/(Ventas!AE300*1.8)/60)</f>
        <v>-0.11666666666666667</v>
      </c>
      <c r="I301" s="11">
        <v>0</v>
      </c>
      <c r="J301" s="16">
        <f t="shared" si="20"/>
        <v>0</v>
      </c>
      <c r="K301" s="4"/>
      <c r="L301" s="13">
        <v>46275</v>
      </c>
      <c r="M301" s="10">
        <v>45</v>
      </c>
      <c r="N301" s="16">
        <f>(IF(G301&gt;0,G301+I301,I301)-(M301*Ventas!AE300*1.0044))</f>
        <v>-71.412840000000003</v>
      </c>
      <c r="O301" s="17">
        <f>(N301/(Ventas!AE300*1.0044)/60)</f>
        <v>-0.75000000000000011</v>
      </c>
      <c r="P301" s="11">
        <v>50</v>
      </c>
      <c r="Q301" s="16">
        <f t="shared" si="21"/>
        <v>50</v>
      </c>
      <c r="R301" s="16">
        <v>16</v>
      </c>
      <c r="S301" s="13">
        <v>46331</v>
      </c>
      <c r="T301" s="10">
        <v>56</v>
      </c>
      <c r="U301" s="16">
        <f>(IF(N301&gt;0,N301+P301,P301)-(T301*Ventas!AE300*0.9018))</f>
        <v>-29.791264000000012</v>
      </c>
      <c r="V301" s="17">
        <f>(U301/(Ventas!AE300*0.9018)/60)</f>
        <v>-0.34847398498829824</v>
      </c>
      <c r="W301" s="16">
        <f>(100*(Ventas!AE300*1.235) - IF(U301&gt;0,U301,0))</f>
        <v>195.13000000000002</v>
      </c>
      <c r="X301" s="16">
        <f t="shared" si="22"/>
        <v>195.13000000000002</v>
      </c>
      <c r="Y301" s="16">
        <f t="shared" si="23"/>
        <v>195.13000000000002</v>
      </c>
      <c r="Z301" s="18">
        <v>16</v>
      </c>
      <c r="AA301" s="11">
        <v>3027</v>
      </c>
      <c r="AB301" s="16">
        <f>(Y301-(60*Ventas!AE300*1.235))</f>
        <v>78.052000000000007</v>
      </c>
      <c r="AC301" s="17">
        <f>(AB301/(Ventas!AE300*1.235)/60)</f>
        <v>0.66666666666666663</v>
      </c>
      <c r="AD301" s="1" t="s">
        <v>34</v>
      </c>
      <c r="AE301">
        <f t="shared" si="24"/>
        <v>3122.0800000000004</v>
      </c>
    </row>
    <row r="302" spans="1:31" x14ac:dyDescent="0.25">
      <c r="A302" s="1" t="s">
        <v>663</v>
      </c>
      <c r="B302" s="1" t="s">
        <v>662</v>
      </c>
      <c r="C302" s="15" t="s">
        <v>661</v>
      </c>
      <c r="D302" s="11">
        <v>15</v>
      </c>
      <c r="E302" s="13">
        <v>46230</v>
      </c>
      <c r="F302" s="10">
        <v>7</v>
      </c>
      <c r="G302" s="16">
        <f>(D302-(0)+0-(F302*Ventas!AE301*1.8))</f>
        <v>7.4399999999999995</v>
      </c>
      <c r="H302" s="17">
        <f>(G302/(Ventas!AE301*1.8)/60)</f>
        <v>0.1148148148148148</v>
      </c>
      <c r="I302" s="11">
        <v>0</v>
      </c>
      <c r="J302" s="16">
        <f t="shared" si="20"/>
        <v>7.4399999999999995</v>
      </c>
      <c r="K302" s="4"/>
      <c r="L302" s="13">
        <v>46275</v>
      </c>
      <c r="M302" s="10">
        <v>45</v>
      </c>
      <c r="N302" s="16">
        <f>(IF(G302&gt;0,G302+I302,I302)-(M302*Ventas!AE301*1.0044))</f>
        <v>-19.678800000000003</v>
      </c>
      <c r="O302" s="17">
        <f>(N302/(Ventas!AE301*1.0044)/60)</f>
        <v>-0.54423868312757218</v>
      </c>
      <c r="P302" s="11">
        <v>70</v>
      </c>
      <c r="Q302" s="16">
        <f t="shared" si="21"/>
        <v>70</v>
      </c>
      <c r="R302" s="16">
        <v>16</v>
      </c>
      <c r="S302" s="13">
        <v>46331</v>
      </c>
      <c r="T302" s="10">
        <v>56</v>
      </c>
      <c r="U302" s="16">
        <f>(IF(N302&gt;0,N302+P302,P302)-(T302*Ventas!AE301*0.9018))</f>
        <v>39.699519999999993</v>
      </c>
      <c r="V302" s="17">
        <f>(U302/(Ventas!AE301*0.9018)/60)</f>
        <v>1.2228481308986963</v>
      </c>
      <c r="W302" s="16">
        <f>(100*(Ventas!AE301*1.235) - IF(U302&gt;0,U302,0))</f>
        <v>34.400480000000002</v>
      </c>
      <c r="X302" s="16">
        <f t="shared" si="22"/>
        <v>34.400480000000002</v>
      </c>
      <c r="Y302" s="16">
        <f t="shared" si="23"/>
        <v>74.099999999999994</v>
      </c>
      <c r="Z302" s="18">
        <v>16</v>
      </c>
      <c r="AA302" s="11">
        <v>3027</v>
      </c>
      <c r="AB302" s="16">
        <f>(Y302-(60*Ventas!AE301*1.235))</f>
        <v>29.639999999999993</v>
      </c>
      <c r="AC302" s="17">
        <f>(AB302/(Ventas!AE301*1.235)/60)</f>
        <v>0.66666666666666652</v>
      </c>
      <c r="AD302" s="1" t="s">
        <v>34</v>
      </c>
      <c r="AE302">
        <f t="shared" si="24"/>
        <v>550.40768000000003</v>
      </c>
    </row>
    <row r="303" spans="1:31" x14ac:dyDescent="0.25">
      <c r="A303" s="1" t="s">
        <v>666</v>
      </c>
      <c r="B303" s="1" t="s">
        <v>665</v>
      </c>
      <c r="C303" s="15" t="s">
        <v>664</v>
      </c>
      <c r="D303" s="4"/>
      <c r="E303" s="13">
        <v>46230</v>
      </c>
      <c r="F303" s="10">
        <v>7</v>
      </c>
      <c r="G303" s="16">
        <f>(D303-(0)+0-(F303*Ventas!AE302*1.8))</f>
        <v>-9.7020000000000017</v>
      </c>
      <c r="H303" s="17">
        <f>(G303/(Ventas!AE302*1.8)/60)</f>
        <v>-0.11666666666666668</v>
      </c>
      <c r="I303" s="11">
        <v>0</v>
      </c>
      <c r="J303" s="16">
        <f t="shared" si="20"/>
        <v>0</v>
      </c>
      <c r="K303" s="4"/>
      <c r="L303" s="13">
        <v>46275</v>
      </c>
      <c r="M303" s="10">
        <v>45</v>
      </c>
      <c r="N303" s="16">
        <f>(IF(G303&gt;0,G303+I303,I303)-(M303*Ventas!AE302*1.0044))</f>
        <v>-34.802459999999996</v>
      </c>
      <c r="O303" s="17">
        <f>(N303/(Ventas!AE302*1.0044)/60)</f>
        <v>-0.75</v>
      </c>
      <c r="P303" s="11">
        <v>20</v>
      </c>
      <c r="Q303" s="16">
        <f t="shared" si="21"/>
        <v>20</v>
      </c>
      <c r="R303" s="16">
        <v>22.8</v>
      </c>
      <c r="S303" s="13">
        <v>46331</v>
      </c>
      <c r="T303" s="10">
        <v>56</v>
      </c>
      <c r="U303" s="16">
        <f>(IF(N303&gt;0,N303+P303,P303)-(T303*Ventas!AE302*0.9018))</f>
        <v>-18.885616000000006</v>
      </c>
      <c r="V303" s="17">
        <f>(U303/(Ventas!AE302*0.9018)/60)</f>
        <v>-0.45329293313325258</v>
      </c>
      <c r="W303" s="16">
        <f>(100*(Ventas!AE302*1.235) - IF(U303&gt;0,U303,0))</f>
        <v>95.095000000000013</v>
      </c>
      <c r="X303" s="16">
        <f t="shared" si="22"/>
        <v>95.095000000000013</v>
      </c>
      <c r="Y303" s="16">
        <f t="shared" si="23"/>
        <v>95.095000000000013</v>
      </c>
      <c r="Z303" s="18">
        <v>22.8</v>
      </c>
      <c r="AA303" s="11">
        <v>3027</v>
      </c>
      <c r="AB303" s="16">
        <f>(Y303-(60*Ventas!AE302*1.235))</f>
        <v>38.038000000000004</v>
      </c>
      <c r="AC303" s="17">
        <f>(AB303/(Ventas!AE302*1.235)/60)</f>
        <v>0.66666666666666663</v>
      </c>
      <c r="AD303" s="1" t="s">
        <v>34</v>
      </c>
      <c r="AE303">
        <f t="shared" si="24"/>
        <v>2168.1660000000002</v>
      </c>
    </row>
    <row r="304" spans="1:31" x14ac:dyDescent="0.25">
      <c r="A304" s="1" t="s">
        <v>669</v>
      </c>
      <c r="B304" s="1" t="s">
        <v>668</v>
      </c>
      <c r="C304" s="15" t="s">
        <v>667</v>
      </c>
      <c r="D304" s="4"/>
      <c r="E304" s="13">
        <v>46230</v>
      </c>
      <c r="F304" s="10">
        <v>7</v>
      </c>
      <c r="G304" s="16">
        <f>(D304-(0)+0-(F304*Ventas!AE303*1.8))</f>
        <v>-7.5600000000000005</v>
      </c>
      <c r="H304" s="17">
        <f>(G304/(Ventas!AE303*1.8)/60)</f>
        <v>-0.11666666666666667</v>
      </c>
      <c r="I304" s="11">
        <v>0</v>
      </c>
      <c r="J304" s="16">
        <f t="shared" si="20"/>
        <v>0</v>
      </c>
      <c r="K304" s="4"/>
      <c r="L304" s="13">
        <v>46275</v>
      </c>
      <c r="M304" s="10">
        <v>45</v>
      </c>
      <c r="N304" s="16">
        <f>(IF(G304&gt;0,G304+I304,I304)-(M304*Ventas!AE303*1.0044))</f>
        <v>-27.1188</v>
      </c>
      <c r="O304" s="17">
        <f>(N304/(Ventas!AE303*1.0044)/60)</f>
        <v>-0.75000000000000011</v>
      </c>
      <c r="P304" s="11">
        <v>0</v>
      </c>
      <c r="Q304" s="16">
        <f t="shared" si="21"/>
        <v>0</v>
      </c>
      <c r="R304" s="4"/>
      <c r="S304" s="13">
        <v>46331</v>
      </c>
      <c r="T304" s="10">
        <v>56</v>
      </c>
      <c r="U304" s="16">
        <f>(IF(N304&gt;0,N304+P304,P304)-(T304*Ventas!AE303*0.9018))</f>
        <v>-30.300480000000004</v>
      </c>
      <c r="V304" s="17">
        <f>(U304/(Ventas!AE303*0.9018)/60)</f>
        <v>-0.93333333333333346</v>
      </c>
      <c r="W304" s="16">
        <f>(100*(Ventas!AE303*1.235) - IF(U304&gt;0,U304,0))</f>
        <v>74.099999999999994</v>
      </c>
      <c r="X304" s="16">
        <f t="shared" si="22"/>
        <v>74.099999999999994</v>
      </c>
      <c r="Y304" s="16">
        <f t="shared" si="23"/>
        <v>74.099999999999994</v>
      </c>
      <c r="Z304" s="18">
        <v>22.8</v>
      </c>
      <c r="AA304" s="11">
        <v>3027</v>
      </c>
      <c r="AB304" s="16">
        <f>(Y304-(60*Ventas!AE303*1.235))</f>
        <v>29.639999999999993</v>
      </c>
      <c r="AC304" s="17">
        <f>(AB304/(Ventas!AE303*1.235)/60)</f>
        <v>0.66666666666666652</v>
      </c>
      <c r="AD304" s="1" t="s">
        <v>34</v>
      </c>
      <c r="AE304">
        <f t="shared" si="24"/>
        <v>1689.48</v>
      </c>
    </row>
    <row r="305" spans="1:31" x14ac:dyDescent="0.25">
      <c r="A305" s="1" t="s">
        <v>672</v>
      </c>
      <c r="B305" s="1" t="s">
        <v>671</v>
      </c>
      <c r="C305" s="15" t="s">
        <v>670</v>
      </c>
      <c r="D305" s="11">
        <v>7</v>
      </c>
      <c r="E305" s="13">
        <v>46230</v>
      </c>
      <c r="F305" s="10">
        <v>7</v>
      </c>
      <c r="G305" s="16">
        <f>(D305-(0)+0-(F305*Ventas!AE304*1.8))</f>
        <v>0.32200000000000006</v>
      </c>
      <c r="H305" s="17">
        <f>(G305/(Ventas!AE304*1.8)/60)</f>
        <v>5.6254367575122302E-3</v>
      </c>
      <c r="I305" s="11">
        <v>0</v>
      </c>
      <c r="J305" s="16">
        <f t="shared" si="20"/>
        <v>0.32200000000000006</v>
      </c>
      <c r="K305" s="4"/>
      <c r="L305" s="13">
        <v>46275</v>
      </c>
      <c r="M305" s="10">
        <v>45</v>
      </c>
      <c r="N305" s="16">
        <f>(IF(G305&gt;0,G305+I305,I305)-(M305*Ventas!AE304*1.0044))</f>
        <v>-23.632940000000001</v>
      </c>
      <c r="O305" s="17">
        <f>(N305/(Ventas!AE304*1.0044)/60)</f>
        <v>-0.73991857211915368</v>
      </c>
      <c r="P305" s="11">
        <v>0</v>
      </c>
      <c r="Q305" s="16">
        <f t="shared" si="21"/>
        <v>0</v>
      </c>
      <c r="R305" s="4"/>
      <c r="S305" s="13">
        <v>46331</v>
      </c>
      <c r="T305" s="10">
        <v>56</v>
      </c>
      <c r="U305" s="16">
        <f>(IF(N305&gt;0,N305+P305,P305)-(T305*Ventas!AE304*0.9018))</f>
        <v>-26.765423999999999</v>
      </c>
      <c r="V305" s="17">
        <f>(U305/(Ventas!AE304*0.9018)/60)</f>
        <v>-0.93333333333333324</v>
      </c>
      <c r="W305" s="16">
        <f>(100*(Ventas!AE304*1.235) - IF(U305&gt;0,U305,0))</f>
        <v>65.455000000000013</v>
      </c>
      <c r="X305" s="16">
        <f t="shared" si="22"/>
        <v>65.455000000000013</v>
      </c>
      <c r="Y305" s="16">
        <f t="shared" si="23"/>
        <v>65.455000000000013</v>
      </c>
      <c r="Z305" s="18">
        <v>22.8</v>
      </c>
      <c r="AA305" s="11">
        <v>3027</v>
      </c>
      <c r="AB305" s="16">
        <f>(Y305-(60*Ventas!AE304*1.235))</f>
        <v>26.182000000000009</v>
      </c>
      <c r="AC305" s="17">
        <f>(AB305/(Ventas!AE304*1.235)/60)</f>
        <v>0.66666666666666674</v>
      </c>
      <c r="AD305" s="1" t="s">
        <v>34</v>
      </c>
      <c r="AE305">
        <f t="shared" si="24"/>
        <v>1492.3740000000003</v>
      </c>
    </row>
    <row r="306" spans="1:31" x14ac:dyDescent="0.25">
      <c r="A306" s="1" t="s">
        <v>675</v>
      </c>
      <c r="B306" s="1" t="s">
        <v>674</v>
      </c>
      <c r="C306" s="15" t="s">
        <v>673</v>
      </c>
      <c r="D306" s="4"/>
      <c r="E306" s="13">
        <v>46230</v>
      </c>
      <c r="F306" s="10">
        <v>7</v>
      </c>
      <c r="G306" s="16">
        <f>(D306-(0)+0-(F306*Ventas!AE305*1.8))</f>
        <v>0</v>
      </c>
      <c r="H306" s="4"/>
      <c r="I306" s="11">
        <v>120</v>
      </c>
      <c r="J306" s="16">
        <f t="shared" si="20"/>
        <v>120</v>
      </c>
      <c r="K306" s="16">
        <v>15.4</v>
      </c>
      <c r="L306" s="13">
        <v>46275</v>
      </c>
      <c r="M306" s="10">
        <v>45</v>
      </c>
      <c r="N306" s="16">
        <f>(IF(G306&gt;0,G306+I306,I306)-(M306*Ventas!AE305*1.0044))</f>
        <v>120</v>
      </c>
      <c r="O306" s="4"/>
      <c r="P306" s="11">
        <v>0</v>
      </c>
      <c r="Q306" s="16">
        <f t="shared" si="21"/>
        <v>120</v>
      </c>
      <c r="R306" s="4"/>
      <c r="S306" s="13">
        <v>46331</v>
      </c>
      <c r="T306" s="10">
        <v>56</v>
      </c>
      <c r="U306" s="16">
        <f>(IF(N306&gt;0,N306+P306,P306)-(T306*Ventas!AE305*0.9018))</f>
        <v>120</v>
      </c>
      <c r="V306" s="4"/>
      <c r="W306" s="16">
        <f>(100*(Ventas!AE305*1.235) - IF(U306&gt;0,U306,0))</f>
        <v>-120</v>
      </c>
      <c r="X306" s="16">
        <f t="shared" si="22"/>
        <v>0</v>
      </c>
      <c r="Y306" s="16">
        <f t="shared" si="23"/>
        <v>120</v>
      </c>
      <c r="Z306" s="18">
        <v>15.4</v>
      </c>
      <c r="AA306" s="11">
        <v>3027</v>
      </c>
      <c r="AB306" s="4"/>
      <c r="AC306" s="4"/>
      <c r="AD306" s="1" t="s">
        <v>34</v>
      </c>
      <c r="AE306">
        <f t="shared" si="24"/>
        <v>0</v>
      </c>
    </row>
    <row r="307" spans="1:31" x14ac:dyDescent="0.25">
      <c r="A307" s="1" t="s">
        <v>678</v>
      </c>
      <c r="B307" s="1" t="s">
        <v>677</v>
      </c>
      <c r="C307" s="15" t="s">
        <v>676</v>
      </c>
      <c r="D307" s="4"/>
      <c r="E307" s="13">
        <v>46230</v>
      </c>
      <c r="F307" s="10">
        <v>7</v>
      </c>
      <c r="G307" s="16">
        <f>(D307-(0)+0-(F307*Ventas!AE306*1.8))</f>
        <v>0</v>
      </c>
      <c r="H307" s="4"/>
      <c r="I307" s="11">
        <v>120</v>
      </c>
      <c r="J307" s="16">
        <f t="shared" si="20"/>
        <v>120</v>
      </c>
      <c r="K307" s="16">
        <v>15.4</v>
      </c>
      <c r="L307" s="13">
        <v>46275</v>
      </c>
      <c r="M307" s="10">
        <v>45</v>
      </c>
      <c r="N307" s="16">
        <f>(IF(G307&gt;0,G307+I307,I307)-(M307*Ventas!AE306*1.0044))</f>
        <v>120</v>
      </c>
      <c r="O307" s="4"/>
      <c r="P307" s="11">
        <v>0</v>
      </c>
      <c r="Q307" s="16">
        <f t="shared" si="21"/>
        <v>120</v>
      </c>
      <c r="R307" s="4"/>
      <c r="S307" s="13">
        <v>46331</v>
      </c>
      <c r="T307" s="10">
        <v>56</v>
      </c>
      <c r="U307" s="16">
        <f>(IF(N307&gt;0,N307+P307,P307)-(T307*Ventas!AE306*0.9018))</f>
        <v>120</v>
      </c>
      <c r="V307" s="4"/>
      <c r="W307" s="16">
        <f>(100*(Ventas!AE306*1.235) - IF(U307&gt;0,U307,0))</f>
        <v>-120</v>
      </c>
      <c r="X307" s="16">
        <f t="shared" si="22"/>
        <v>0</v>
      </c>
      <c r="Y307" s="16">
        <f t="shared" si="23"/>
        <v>120</v>
      </c>
      <c r="Z307" s="18">
        <v>15.4</v>
      </c>
      <c r="AA307" s="11">
        <v>3027</v>
      </c>
      <c r="AB307" s="4"/>
      <c r="AC307" s="4"/>
      <c r="AD307" s="1" t="s">
        <v>34</v>
      </c>
      <c r="AE307">
        <f t="shared" si="24"/>
        <v>0</v>
      </c>
    </row>
    <row r="308" spans="1:31" x14ac:dyDescent="0.25">
      <c r="A308" s="1" t="s">
        <v>681</v>
      </c>
      <c r="B308" s="1" t="s">
        <v>680</v>
      </c>
      <c r="C308" s="15" t="s">
        <v>679</v>
      </c>
      <c r="D308" s="4"/>
      <c r="E308" s="13">
        <v>46230</v>
      </c>
      <c r="F308" s="10">
        <v>7</v>
      </c>
      <c r="G308" s="16">
        <f>(D308-(0)+0-(F308*Ventas!AE307*1.8))</f>
        <v>0</v>
      </c>
      <c r="H308" s="4"/>
      <c r="I308" s="11">
        <v>100</v>
      </c>
      <c r="J308" s="16">
        <f t="shared" si="20"/>
        <v>100</v>
      </c>
      <c r="K308" s="16">
        <v>15.4</v>
      </c>
      <c r="L308" s="13">
        <v>46275</v>
      </c>
      <c r="M308" s="10">
        <v>45</v>
      </c>
      <c r="N308" s="16">
        <f>(IF(G308&gt;0,G308+I308,I308)-(M308*Ventas!AE307*1.0044))</f>
        <v>100</v>
      </c>
      <c r="O308" s="4"/>
      <c r="P308" s="11">
        <v>0</v>
      </c>
      <c r="Q308" s="16">
        <f t="shared" si="21"/>
        <v>100</v>
      </c>
      <c r="R308" s="4"/>
      <c r="S308" s="13">
        <v>46331</v>
      </c>
      <c r="T308" s="10">
        <v>56</v>
      </c>
      <c r="U308" s="16">
        <f>(IF(N308&gt;0,N308+P308,P308)-(T308*Ventas!AE307*0.9018))</f>
        <v>100</v>
      </c>
      <c r="V308" s="4"/>
      <c r="W308" s="16">
        <f>(100*(Ventas!AE307*1.235) - IF(U308&gt;0,U308,0))</f>
        <v>-100</v>
      </c>
      <c r="X308" s="16">
        <f t="shared" si="22"/>
        <v>0</v>
      </c>
      <c r="Y308" s="16">
        <f t="shared" si="23"/>
        <v>100</v>
      </c>
      <c r="Z308" s="18">
        <v>15.4</v>
      </c>
      <c r="AA308" s="11">
        <v>3027</v>
      </c>
      <c r="AB308" s="4"/>
      <c r="AC308" s="4"/>
      <c r="AD308" s="1" t="s">
        <v>34</v>
      </c>
      <c r="AE308">
        <f t="shared" si="24"/>
        <v>0</v>
      </c>
    </row>
    <row r="309" spans="1:31" x14ac:dyDescent="0.25">
      <c r="A309" s="1" t="s">
        <v>684</v>
      </c>
      <c r="B309" s="1" t="s">
        <v>683</v>
      </c>
      <c r="C309" s="15" t="s">
        <v>682</v>
      </c>
      <c r="D309" s="11">
        <v>31</v>
      </c>
      <c r="E309" s="13">
        <v>46230</v>
      </c>
      <c r="F309" s="10">
        <v>7</v>
      </c>
      <c r="G309" s="16">
        <f>(D309-(0)+0-(F309*Ventas!AE308*1.8))</f>
        <v>25.629508196721311</v>
      </c>
      <c r="H309" s="17">
        <f>(G309/(Ventas!AE308*1.8)/60)</f>
        <v>0.55676638176638171</v>
      </c>
      <c r="I309" s="11">
        <v>0</v>
      </c>
      <c r="J309" s="16">
        <f t="shared" si="20"/>
        <v>25.629508196721311</v>
      </c>
      <c r="K309" s="4"/>
      <c r="L309" s="13">
        <v>46275</v>
      </c>
      <c r="M309" s="10">
        <v>45</v>
      </c>
      <c r="N309" s="16">
        <f>(IF(G309&gt;0,G309+I309,I309)-(M309*Ventas!AE308*1.0044))</f>
        <v>6.364786885245902</v>
      </c>
      <c r="O309" s="17">
        <f>(N309/(Ventas!AE308*1.0044)/60)</f>
        <v>0.24778921463509282</v>
      </c>
      <c r="P309" s="11">
        <v>0</v>
      </c>
      <c r="Q309" s="16">
        <f t="shared" si="21"/>
        <v>6.364786885245902</v>
      </c>
      <c r="R309" s="4"/>
      <c r="S309" s="13">
        <v>46331</v>
      </c>
      <c r="T309" s="10">
        <v>56</v>
      </c>
      <c r="U309" s="16">
        <f>(IF(N309&gt;0,N309+P309,P309)-(T309*Ventas!AE308*0.9018))</f>
        <v>-15.160144262295081</v>
      </c>
      <c r="V309" s="17">
        <f>(U309/(Ventas!AE308*0.9018)/60)</f>
        <v>-0.65735253140442762</v>
      </c>
      <c r="W309" s="16">
        <f>(100*(Ventas!AE308*1.235) - IF(U309&gt;0,U309,0))</f>
        <v>52.639344262295083</v>
      </c>
      <c r="X309" s="16">
        <f t="shared" si="22"/>
        <v>52.639344262295083</v>
      </c>
      <c r="Y309" s="16">
        <f t="shared" si="23"/>
        <v>52.639344262295083</v>
      </c>
      <c r="Z309" s="18">
        <v>15.4</v>
      </c>
      <c r="AA309" s="11">
        <v>3027</v>
      </c>
      <c r="AB309" s="16">
        <f>(Y309-(60*Ventas!AE308*1.235))</f>
        <v>21.055737704918034</v>
      </c>
      <c r="AC309" s="17">
        <f>(AB309/(Ventas!AE308*1.235)/60)</f>
        <v>0.66666666666666663</v>
      </c>
      <c r="AD309" s="1" t="s">
        <v>34</v>
      </c>
      <c r="AE309">
        <f t="shared" si="24"/>
        <v>810.64590163934429</v>
      </c>
    </row>
    <row r="310" spans="1:31" x14ac:dyDescent="0.25">
      <c r="A310" s="1" t="s">
        <v>687</v>
      </c>
      <c r="B310" s="1" t="s">
        <v>686</v>
      </c>
      <c r="C310" s="15" t="s">
        <v>685</v>
      </c>
      <c r="D310" s="11">
        <v>112</v>
      </c>
      <c r="E310" s="13">
        <v>46230</v>
      </c>
      <c r="F310" s="10">
        <v>7</v>
      </c>
      <c r="G310" s="16">
        <f>(D310-(0)+0-(F310*Ventas!AE309*1.8))</f>
        <v>104.77049180327869</v>
      </c>
      <c r="H310" s="17">
        <f>(G310/(Ventas!AE309*1.8)/60)</f>
        <v>1.6907407407407407</v>
      </c>
      <c r="I310" s="11">
        <v>90</v>
      </c>
      <c r="J310" s="16">
        <f t="shared" si="20"/>
        <v>194.77049180327867</v>
      </c>
      <c r="K310" s="16">
        <v>6.4</v>
      </c>
      <c r="L310" s="13">
        <v>46275</v>
      </c>
      <c r="M310" s="10">
        <v>45</v>
      </c>
      <c r="N310" s="16">
        <f>(IF(G310&gt;0,G310+I310,I310)-(M310*Ventas!AE309*1.0044))</f>
        <v>168.83721311475409</v>
      </c>
      <c r="O310" s="17">
        <f>(N310/(Ventas!AE309*1.0044)/60)</f>
        <v>4.882834575486906</v>
      </c>
      <c r="P310" s="11">
        <v>0</v>
      </c>
      <c r="Q310" s="16">
        <f t="shared" si="21"/>
        <v>168.83721311475409</v>
      </c>
      <c r="R310" s="4"/>
      <c r="S310" s="13">
        <v>46331</v>
      </c>
      <c r="T310" s="10">
        <v>56</v>
      </c>
      <c r="U310" s="16">
        <f>(IF(N310&gt;0,N310+P310,P310)-(T310*Ventas!AE309*0.9018))</f>
        <v>139.86134426229506</v>
      </c>
      <c r="V310" s="17">
        <f>(U310/(Ventas!AE309*0.9018)/60)</f>
        <v>4.5050333196041779</v>
      </c>
      <c r="W310" s="16">
        <f>(100*(Ventas!AE309*1.235) - IF(U310&gt;0,U310,0))</f>
        <v>-69.000688524590132</v>
      </c>
      <c r="X310" s="16">
        <f t="shared" si="22"/>
        <v>0</v>
      </c>
      <c r="Y310" s="16">
        <f t="shared" si="23"/>
        <v>139.86134426229506</v>
      </c>
      <c r="Z310" s="18">
        <v>6.4</v>
      </c>
      <c r="AA310" s="11">
        <v>3027</v>
      </c>
      <c r="AB310" s="16">
        <f>(Y310-(60*Ventas!AE309*1.235))</f>
        <v>97.344950819672107</v>
      </c>
      <c r="AC310" s="17">
        <f>(AB310/(Ventas!AE309*1.235)/60)</f>
        <v>2.2895862733757464</v>
      </c>
      <c r="AD310" s="1" t="s">
        <v>34</v>
      </c>
      <c r="AE310">
        <f t="shared" si="24"/>
        <v>0</v>
      </c>
    </row>
    <row r="311" spans="1:31" x14ac:dyDescent="0.25">
      <c r="A311" s="1" t="s">
        <v>690</v>
      </c>
      <c r="B311" s="1" t="s">
        <v>689</v>
      </c>
      <c r="C311" s="15" t="s">
        <v>688</v>
      </c>
      <c r="D311" s="11">
        <v>103</v>
      </c>
      <c r="E311" s="13">
        <v>46230</v>
      </c>
      <c r="F311" s="10">
        <v>7</v>
      </c>
      <c r="G311" s="16">
        <f>(D311-(0)+0-(F311*Ventas!AE310*1.8))</f>
        <v>93.704918032786878</v>
      </c>
      <c r="H311" s="17">
        <f>(G311/(Ventas!AE310*1.8)/60)</f>
        <v>1.176131687242798</v>
      </c>
      <c r="I311" s="11">
        <v>90</v>
      </c>
      <c r="J311" s="16">
        <f t="shared" si="20"/>
        <v>183.70491803278688</v>
      </c>
      <c r="K311" s="16">
        <v>6.4</v>
      </c>
      <c r="L311" s="13">
        <v>46275</v>
      </c>
      <c r="M311" s="10">
        <v>45</v>
      </c>
      <c r="N311" s="16">
        <f>(IF(G311&gt;0,G311+I311,I311)-(M311*Ventas!AE310*1.0044))</f>
        <v>150.36213114754096</v>
      </c>
      <c r="O311" s="17">
        <f>(N311/(Ventas!AE310*1.0044)/60)</f>
        <v>3.3821887399147452</v>
      </c>
      <c r="P311" s="11">
        <v>0</v>
      </c>
      <c r="Q311" s="16">
        <f t="shared" si="21"/>
        <v>150.36213114754096</v>
      </c>
      <c r="R311" s="4"/>
      <c r="S311" s="13">
        <v>46331</v>
      </c>
      <c r="T311" s="10">
        <v>56</v>
      </c>
      <c r="U311" s="16">
        <f>(IF(N311&gt;0,N311+P311,P311)-(T311*Ventas!AE310*0.9018))</f>
        <v>113.1074426229508</v>
      </c>
      <c r="V311" s="17">
        <f>(U311/(Ventas!AE310*0.9018)/60)</f>
        <v>2.8336553230986579</v>
      </c>
      <c r="W311" s="16">
        <f>(100*(Ventas!AE310*1.235) - IF(U311&gt;0,U311,0))</f>
        <v>-22.000885245901614</v>
      </c>
      <c r="X311" s="16">
        <f t="shared" si="22"/>
        <v>0</v>
      </c>
      <c r="Y311" s="16">
        <f t="shared" si="23"/>
        <v>113.1074426229508</v>
      </c>
      <c r="Z311" s="18">
        <v>6.4</v>
      </c>
      <c r="AA311" s="11">
        <v>3027</v>
      </c>
      <c r="AB311" s="16">
        <f>(Y311-(60*Ventas!AE310*1.235))</f>
        <v>58.443508196721282</v>
      </c>
      <c r="AC311" s="17">
        <f>(AB311/(Ventas!AE310*1.235)/60)</f>
        <v>1.0691420002998944</v>
      </c>
      <c r="AD311" s="1" t="s">
        <v>34</v>
      </c>
      <c r="AE311">
        <f t="shared" si="24"/>
        <v>0</v>
      </c>
    </row>
    <row r="312" spans="1:31" x14ac:dyDescent="0.25">
      <c r="A312" s="1" t="s">
        <v>693</v>
      </c>
      <c r="B312" s="1" t="s">
        <v>692</v>
      </c>
      <c r="C312" s="15" t="s">
        <v>691</v>
      </c>
      <c r="D312" s="11">
        <v>120</v>
      </c>
      <c r="E312" s="13">
        <v>46230</v>
      </c>
      <c r="F312" s="10">
        <v>7</v>
      </c>
      <c r="G312" s="16">
        <f>(D312-(0)+0-(F312*Ventas!AE311*1.8))</f>
        <v>114.00983606557377</v>
      </c>
      <c r="H312" s="17">
        <f>(G312/(Ventas!AE311*1.8)/60)</f>
        <v>2.2204980842911874</v>
      </c>
      <c r="I312" s="11">
        <v>30</v>
      </c>
      <c r="J312" s="16">
        <f t="shared" si="20"/>
        <v>144.00983606557378</v>
      </c>
      <c r="K312" s="16">
        <v>6.4</v>
      </c>
      <c r="L312" s="13">
        <v>46275</v>
      </c>
      <c r="M312" s="10">
        <v>45</v>
      </c>
      <c r="N312" s="16">
        <f>(IF(G312&gt;0,G312+I312,I312)-(M312*Ventas!AE311*1.0044))</f>
        <v>122.52226229508199</v>
      </c>
      <c r="O312" s="17">
        <f>(N312/(Ventas!AE311*1.0044)/60)</f>
        <v>4.2765040717395202</v>
      </c>
      <c r="P312" s="11">
        <v>0</v>
      </c>
      <c r="Q312" s="16">
        <f t="shared" si="21"/>
        <v>122.52226229508199</v>
      </c>
      <c r="R312" s="4"/>
      <c r="S312" s="13">
        <v>46331</v>
      </c>
      <c r="T312" s="10">
        <v>56</v>
      </c>
      <c r="U312" s="16">
        <f>(IF(N312&gt;0,N312+P312,P312)-(T312*Ventas!AE311*0.9018))</f>
        <v>98.513685245901655</v>
      </c>
      <c r="V312" s="17">
        <f>(U312/(Ventas!AE311*0.9018)/60)</f>
        <v>3.8297191058496041</v>
      </c>
      <c r="W312" s="16">
        <f>(100*(Ventas!AE311*1.235) - IF(U312&gt;0,U312,0))</f>
        <v>-39.800570491803292</v>
      </c>
      <c r="X312" s="16">
        <f t="shared" si="22"/>
        <v>0</v>
      </c>
      <c r="Y312" s="16">
        <f t="shared" si="23"/>
        <v>98.513685245901655</v>
      </c>
      <c r="Z312" s="18">
        <v>6.4</v>
      </c>
      <c r="AA312" s="11">
        <v>3027</v>
      </c>
      <c r="AB312" s="16">
        <f>(Y312-(60*Ventas!AE311*1.235))</f>
        <v>63.285816393442637</v>
      </c>
      <c r="AC312" s="17">
        <f>(AB312/(Ventas!AE311*1.235)/60)</f>
        <v>1.7964701940527716</v>
      </c>
      <c r="AD312" s="1" t="s">
        <v>34</v>
      </c>
      <c r="AE312">
        <f t="shared" si="24"/>
        <v>0</v>
      </c>
    </row>
    <row r="313" spans="1:31" x14ac:dyDescent="0.25">
      <c r="A313" s="1" t="s">
        <v>696</v>
      </c>
      <c r="B313" s="1" t="s">
        <v>695</v>
      </c>
      <c r="C313" s="15" t="s">
        <v>694</v>
      </c>
      <c r="D313" s="11">
        <v>80</v>
      </c>
      <c r="E313" s="13">
        <v>46230</v>
      </c>
      <c r="F313" s="10">
        <v>7</v>
      </c>
      <c r="G313" s="16">
        <f>(D313-(0)+0-(F313*Ventas!AE312*1.8))</f>
        <v>75.042622950819677</v>
      </c>
      <c r="H313" s="17">
        <f>(G313/(Ventas!AE312*1.8)/60)</f>
        <v>1.7660493827160495</v>
      </c>
      <c r="I313" s="11">
        <v>0</v>
      </c>
      <c r="J313" s="16">
        <f t="shared" si="20"/>
        <v>75.042622950819677</v>
      </c>
      <c r="K313" s="4"/>
      <c r="L313" s="13">
        <v>46275</v>
      </c>
      <c r="M313" s="10">
        <v>45</v>
      </c>
      <c r="N313" s="16">
        <f>(IF(G313&gt;0,G313+I313,I313)-(M313*Ventas!AE312*1.0044))</f>
        <v>57.25980327868853</v>
      </c>
      <c r="O313" s="17">
        <f>(N313/(Ventas!AE312*1.0044)/60)</f>
        <v>2.4149630514624545</v>
      </c>
      <c r="P313" s="11">
        <v>0</v>
      </c>
      <c r="Q313" s="16">
        <f t="shared" si="21"/>
        <v>57.25980327868853</v>
      </c>
      <c r="R313" s="4"/>
      <c r="S313" s="13">
        <v>46331</v>
      </c>
      <c r="T313" s="10">
        <v>56</v>
      </c>
      <c r="U313" s="16">
        <f>(IF(N313&gt;0,N313+P313,P313)-(T313*Ventas!AE312*0.9018))</f>
        <v>37.390636065573773</v>
      </c>
      <c r="V313" s="17">
        <f>(U313/(Ventas!AE312*0.9018)/60)</f>
        <v>1.7563859934452084</v>
      </c>
      <c r="W313" s="16">
        <f>(100*(Ventas!AE312*1.235) - IF(U313&gt;0,U313,0))</f>
        <v>11.199527868852464</v>
      </c>
      <c r="X313" s="16">
        <f t="shared" si="22"/>
        <v>11.199527868852464</v>
      </c>
      <c r="Y313" s="16">
        <f t="shared" si="23"/>
        <v>48.590163934426236</v>
      </c>
      <c r="Z313" s="18">
        <v>6.4</v>
      </c>
      <c r="AA313" s="11">
        <v>3027</v>
      </c>
      <c r="AB313" s="16">
        <f>(Y313-(60*Ventas!AE312*1.235))</f>
        <v>19.436065573770499</v>
      </c>
      <c r="AC313" s="17">
        <f>(AB313/(Ventas!AE312*1.235)/60)</f>
        <v>0.66666666666666685</v>
      </c>
      <c r="AD313" s="1" t="s">
        <v>34</v>
      </c>
      <c r="AE313">
        <f t="shared" si="24"/>
        <v>71.676978360655767</v>
      </c>
    </row>
    <row r="314" spans="1:31" x14ac:dyDescent="0.25">
      <c r="A314" s="1" t="s">
        <v>699</v>
      </c>
      <c r="B314" s="1" t="s">
        <v>698</v>
      </c>
      <c r="C314" s="15" t="s">
        <v>697</v>
      </c>
      <c r="D314" s="11">
        <v>74</v>
      </c>
      <c r="E314" s="13">
        <v>46230</v>
      </c>
      <c r="F314" s="10">
        <v>7</v>
      </c>
      <c r="G314" s="16">
        <f>(D314-(0)+0-(F314*Ventas!AE313*1.8))</f>
        <v>70.695081967213113</v>
      </c>
      <c r="H314" s="17">
        <f>(G314/(Ventas!AE313*1.8)/60)</f>
        <v>2.4956018518518519</v>
      </c>
      <c r="I314" s="11">
        <v>0</v>
      </c>
      <c r="J314" s="16">
        <f t="shared" si="20"/>
        <v>70.695081967213113</v>
      </c>
      <c r="K314" s="4"/>
      <c r="L314" s="13">
        <v>46275</v>
      </c>
      <c r="M314" s="10">
        <v>45</v>
      </c>
      <c r="N314" s="16">
        <f>(IF(G314&gt;0,G314+I314,I314)-(M314*Ventas!AE313*1.0044))</f>
        <v>58.839868852459013</v>
      </c>
      <c r="O314" s="17">
        <f>(N314/(Ventas!AE313*1.0044)/60)</f>
        <v>3.7224047524226735</v>
      </c>
      <c r="P314" s="11">
        <v>0</v>
      </c>
      <c r="Q314" s="16">
        <f t="shared" si="21"/>
        <v>58.839868852459013</v>
      </c>
      <c r="R314" s="4"/>
      <c r="S314" s="13">
        <v>46331</v>
      </c>
      <c r="T314" s="10">
        <v>56</v>
      </c>
      <c r="U314" s="16">
        <f>(IF(N314&gt;0,N314+P314,P314)-(T314*Ventas!AE313*0.9018))</f>
        <v>45.593757377049172</v>
      </c>
      <c r="V314" s="17">
        <f>(U314/(Ventas!AE313*0.9018)/60)</f>
        <v>3.2125785466104819</v>
      </c>
      <c r="W314" s="16">
        <f>(100*(Ventas!AE313*1.235) - IF(U314&gt;0,U314,0))</f>
        <v>-13.200314754098351</v>
      </c>
      <c r="X314" s="16">
        <f t="shared" si="22"/>
        <v>0</v>
      </c>
      <c r="Y314" s="16">
        <f t="shared" si="23"/>
        <v>45.593757377049172</v>
      </c>
      <c r="Z314" s="18">
        <v>6.4</v>
      </c>
      <c r="AA314" s="11">
        <v>3027</v>
      </c>
      <c r="AB314" s="16">
        <f>(Y314-(60*Ventas!AE313*1.235))</f>
        <v>26.157691803278677</v>
      </c>
      <c r="AC314" s="17">
        <f>(AB314/(Ventas!AE313*1.235)/60)</f>
        <v>1.3458326585694997</v>
      </c>
      <c r="AD314" s="1" t="s">
        <v>34</v>
      </c>
      <c r="AE314">
        <f t="shared" si="24"/>
        <v>0</v>
      </c>
    </row>
    <row r="315" spans="1:31" x14ac:dyDescent="0.25">
      <c r="A315" s="1" t="s">
        <v>702</v>
      </c>
      <c r="B315" s="1" t="s">
        <v>701</v>
      </c>
      <c r="C315" s="15" t="s">
        <v>700</v>
      </c>
      <c r="D315" s="11">
        <v>76</v>
      </c>
      <c r="E315" s="13">
        <v>46230</v>
      </c>
      <c r="F315" s="10">
        <v>7</v>
      </c>
      <c r="G315" s="16">
        <f>(D315-(0)+0-(F315*Ventas!AE314*1.8))</f>
        <v>73.521311475409831</v>
      </c>
      <c r="H315" s="17">
        <f>(G315/(Ventas!AE314*1.8)/60)</f>
        <v>3.4604938271604935</v>
      </c>
      <c r="I315" s="11">
        <v>0</v>
      </c>
      <c r="J315" s="16">
        <f t="shared" si="20"/>
        <v>73.521311475409831</v>
      </c>
      <c r="K315" s="4"/>
      <c r="L315" s="13">
        <v>46275</v>
      </c>
      <c r="M315" s="10">
        <v>45</v>
      </c>
      <c r="N315" s="16">
        <f>(IF(G315&gt;0,G315+I315,I315)-(M315*Ventas!AE314*1.0044))</f>
        <v>64.629901639344254</v>
      </c>
      <c r="O315" s="17">
        <f>(N315/(Ventas!AE314*1.0044)/60)</f>
        <v>5.451601840789416</v>
      </c>
      <c r="P315" s="11">
        <v>0</v>
      </c>
      <c r="Q315" s="16">
        <f t="shared" si="21"/>
        <v>64.629901639344254</v>
      </c>
      <c r="R315" s="4"/>
      <c r="S315" s="13">
        <v>46331</v>
      </c>
      <c r="T315" s="10">
        <v>56</v>
      </c>
      <c r="U315" s="16">
        <f>(IF(N315&gt;0,N315+P315,P315)-(T315*Ventas!AE314*0.9018))</f>
        <v>54.695318032786879</v>
      </c>
      <c r="V315" s="17">
        <f>(U315/(Ventas!AE314*0.9018)/60)</f>
        <v>5.1385106330548771</v>
      </c>
      <c r="W315" s="16">
        <f>(100*(Ventas!AE314*1.235) - IF(U315&gt;0,U315,0))</f>
        <v>-30.400236065573761</v>
      </c>
      <c r="X315" s="16">
        <f t="shared" si="22"/>
        <v>0</v>
      </c>
      <c r="Y315" s="16">
        <f t="shared" si="23"/>
        <v>54.695318032786879</v>
      </c>
      <c r="Z315" s="18">
        <v>6.4</v>
      </c>
      <c r="AA315" s="11">
        <v>3027</v>
      </c>
      <c r="AB315" s="16">
        <f>(Y315-(60*Ventas!AE314*1.235))</f>
        <v>40.118268852459011</v>
      </c>
      <c r="AC315" s="17">
        <f>(AB315/(Ventas!AE314*1.235)/60)</f>
        <v>2.7521529464687351</v>
      </c>
      <c r="AD315" s="1" t="s">
        <v>34</v>
      </c>
      <c r="AE315">
        <f t="shared" si="24"/>
        <v>0</v>
      </c>
    </row>
    <row r="316" spans="1:31" x14ac:dyDescent="0.25">
      <c r="A316" s="1" t="s">
        <v>705</v>
      </c>
      <c r="B316" s="1" t="s">
        <v>704</v>
      </c>
      <c r="C316" s="15" t="s">
        <v>703</v>
      </c>
      <c r="D316" s="11">
        <v>44</v>
      </c>
      <c r="E316" s="13">
        <v>46230</v>
      </c>
      <c r="F316" s="10">
        <v>7</v>
      </c>
      <c r="G316" s="16">
        <f>(D316-(0)+0-(F316*Ventas!AE315*1.8))</f>
        <v>37.596721311475406</v>
      </c>
      <c r="H316" s="17">
        <f>(G316/(Ventas!AE315*1.8)/60)</f>
        <v>0.68500597371565097</v>
      </c>
      <c r="I316" s="11">
        <v>0</v>
      </c>
      <c r="J316" s="16">
        <f t="shared" si="20"/>
        <v>37.596721311475406</v>
      </c>
      <c r="K316" s="4"/>
      <c r="L316" s="13">
        <v>46275</v>
      </c>
      <c r="M316" s="10">
        <v>45</v>
      </c>
      <c r="N316" s="16">
        <f>(IF(G316&gt;0,G316+I316,I316)-(M316*Ventas!AE315*1.0044))</f>
        <v>14.627245901639341</v>
      </c>
      <c r="O316" s="17">
        <f>(N316/(Ventas!AE315*1.0044)/60)</f>
        <v>0.47760927189184788</v>
      </c>
      <c r="P316" s="11">
        <v>0</v>
      </c>
      <c r="Q316" s="16">
        <f t="shared" si="21"/>
        <v>14.627245901639341</v>
      </c>
      <c r="R316" s="4"/>
      <c r="S316" s="13">
        <v>46331</v>
      </c>
      <c r="T316" s="10">
        <v>56</v>
      </c>
      <c r="U316" s="16">
        <f>(IF(N316&gt;0,N316+P316,P316)-(T316*Ventas!AE315*0.9018))</f>
        <v>-11.03709508196722</v>
      </c>
      <c r="V316" s="17">
        <f>(U316/(Ventas!AE315*0.9018)/60)</f>
        <v>-0.40138528200468854</v>
      </c>
      <c r="W316" s="16">
        <f>(100*(Ventas!AE315*1.235) - IF(U316&gt;0,U316,0))</f>
        <v>62.762295081967224</v>
      </c>
      <c r="X316" s="16">
        <f t="shared" si="22"/>
        <v>62.762295081967224</v>
      </c>
      <c r="Y316" s="16">
        <f t="shared" si="23"/>
        <v>62.762295081967224</v>
      </c>
      <c r="Z316" s="18">
        <v>6.4</v>
      </c>
      <c r="AA316" s="11">
        <v>3027</v>
      </c>
      <c r="AB316" s="16">
        <f>(Y316-(60*Ventas!AE315*1.235))</f>
        <v>25.104918032786891</v>
      </c>
      <c r="AC316" s="17">
        <f>(AB316/(Ventas!AE315*1.235)/60)</f>
        <v>0.66666666666666663</v>
      </c>
      <c r="AD316" s="1" t="s">
        <v>34</v>
      </c>
      <c r="AE316">
        <f t="shared" si="24"/>
        <v>401.67868852459026</v>
      </c>
    </row>
    <row r="317" spans="1:31" x14ac:dyDescent="0.25">
      <c r="A317" s="1" t="s">
        <v>708</v>
      </c>
      <c r="B317" s="1" t="s">
        <v>707</v>
      </c>
      <c r="C317" s="15" t="s">
        <v>706</v>
      </c>
      <c r="D317" s="11">
        <v>86</v>
      </c>
      <c r="E317" s="13">
        <v>46230</v>
      </c>
      <c r="F317" s="10">
        <v>7</v>
      </c>
      <c r="G317" s="16">
        <f>(D317-(0)+0-(F317*Ventas!AE316*1.8))</f>
        <v>82.281967213114754</v>
      </c>
      <c r="H317" s="17">
        <f>(G317/(Ventas!AE316*1.8)/60)</f>
        <v>2.5818930041152259</v>
      </c>
      <c r="I317" s="11">
        <v>0</v>
      </c>
      <c r="J317" s="16">
        <f t="shared" si="20"/>
        <v>82.281967213114754</v>
      </c>
      <c r="K317" s="4"/>
      <c r="L317" s="13">
        <v>46275</v>
      </c>
      <c r="M317" s="10">
        <v>45</v>
      </c>
      <c r="N317" s="16">
        <f>(IF(G317&gt;0,G317+I317,I317)-(M317*Ventas!AE316*1.0044))</f>
        <v>68.944852459016388</v>
      </c>
      <c r="O317" s="17">
        <f>(N317/(Ventas!AE316*1.0044)/60)</f>
        <v>3.8770483944717316</v>
      </c>
      <c r="P317" s="11">
        <v>0</v>
      </c>
      <c r="Q317" s="16">
        <f t="shared" si="21"/>
        <v>68.944852459016388</v>
      </c>
      <c r="R317" s="4"/>
      <c r="S317" s="13">
        <v>46331</v>
      </c>
      <c r="T317" s="10">
        <v>56</v>
      </c>
      <c r="U317" s="16">
        <f>(IF(N317&gt;0,N317+P317,P317)-(T317*Ventas!AE316*0.9018))</f>
        <v>54.042977049180323</v>
      </c>
      <c r="V317" s="17">
        <f>(U317/(Ventas!AE316*0.9018)/60)</f>
        <v>3.3848163754794931</v>
      </c>
      <c r="W317" s="16">
        <f>(100*(Ventas!AE316*1.235) - IF(U317&gt;0,U317,0))</f>
        <v>-17.600354098360647</v>
      </c>
      <c r="X317" s="16">
        <f t="shared" si="22"/>
        <v>0</v>
      </c>
      <c r="Y317" s="16">
        <f t="shared" si="23"/>
        <v>54.042977049180323</v>
      </c>
      <c r="Z317" s="18">
        <v>6.4</v>
      </c>
      <c r="AA317" s="11">
        <v>3027</v>
      </c>
      <c r="AB317" s="16">
        <f>(Y317-(60*Ventas!AE316*1.235))</f>
        <v>32.177403278688516</v>
      </c>
      <c r="AC317" s="17">
        <f>(AB317/(Ventas!AE316*1.235)/60)</f>
        <v>1.471601139601139</v>
      </c>
      <c r="AD317" s="1" t="s">
        <v>34</v>
      </c>
      <c r="AE317">
        <f t="shared" si="24"/>
        <v>0</v>
      </c>
    </row>
    <row r="318" spans="1:31" x14ac:dyDescent="0.25">
      <c r="A318" s="1" t="s">
        <v>711</v>
      </c>
      <c r="B318" s="1" t="s">
        <v>710</v>
      </c>
      <c r="C318" s="15" t="s">
        <v>709</v>
      </c>
      <c r="D318" s="4"/>
      <c r="E318" s="13">
        <v>46230</v>
      </c>
      <c r="F318" s="10">
        <v>7</v>
      </c>
      <c r="G318" s="16">
        <f>(D318-(0)+0-(F318*Ventas!AE317*1.8))</f>
        <v>0</v>
      </c>
      <c r="H318" s="4"/>
      <c r="I318" s="11">
        <v>100</v>
      </c>
      <c r="J318" s="16">
        <f t="shared" si="20"/>
        <v>100</v>
      </c>
      <c r="K318" s="16">
        <v>36.4</v>
      </c>
      <c r="L318" s="13">
        <v>46275</v>
      </c>
      <c r="M318" s="10">
        <v>45</v>
      </c>
      <c r="N318" s="16">
        <f>(IF(G318&gt;0,G318+I318,I318)-(M318*Ventas!AE317*1.0044))</f>
        <v>100</v>
      </c>
      <c r="O318" s="4"/>
      <c r="P318" s="11">
        <v>0</v>
      </c>
      <c r="Q318" s="16">
        <f t="shared" si="21"/>
        <v>100</v>
      </c>
      <c r="R318" s="4"/>
      <c r="S318" s="13">
        <v>46331</v>
      </c>
      <c r="T318" s="10">
        <v>56</v>
      </c>
      <c r="U318" s="16">
        <f>(IF(N318&gt;0,N318+P318,P318)-(T318*Ventas!AE317*0.9018))</f>
        <v>100</v>
      </c>
      <c r="V318" s="4"/>
      <c r="W318" s="16">
        <f>(100*(Ventas!AE317*1.235) - IF(U318&gt;0,U318,0))</f>
        <v>-100</v>
      </c>
      <c r="X318" s="16">
        <f t="shared" si="22"/>
        <v>0</v>
      </c>
      <c r="Y318" s="16">
        <f t="shared" si="23"/>
        <v>100</v>
      </c>
      <c r="Z318" s="18">
        <v>36.4</v>
      </c>
      <c r="AA318" s="11">
        <v>3027</v>
      </c>
      <c r="AB318" s="4"/>
      <c r="AC318" s="4"/>
      <c r="AD318" s="1" t="s">
        <v>34</v>
      </c>
      <c r="AE318">
        <f t="shared" si="24"/>
        <v>0</v>
      </c>
    </row>
    <row r="319" spans="1:31" x14ac:dyDescent="0.25">
      <c r="A319" s="1" t="s">
        <v>711</v>
      </c>
      <c r="B319" s="1" t="s">
        <v>713</v>
      </c>
      <c r="C319" s="15" t="s">
        <v>712</v>
      </c>
      <c r="D319" s="4"/>
      <c r="E319" s="13">
        <v>46230</v>
      </c>
      <c r="F319" s="10">
        <v>7</v>
      </c>
      <c r="G319" s="16">
        <f>(D319-(0)+0-(F319*Ventas!AE318*1.8))</f>
        <v>0</v>
      </c>
      <c r="H319" s="4"/>
      <c r="I319" s="11">
        <v>100</v>
      </c>
      <c r="J319" s="16">
        <f t="shared" si="20"/>
        <v>100</v>
      </c>
      <c r="K319" s="16">
        <v>36.4</v>
      </c>
      <c r="L319" s="13">
        <v>46275</v>
      </c>
      <c r="M319" s="10">
        <v>45</v>
      </c>
      <c r="N319" s="16">
        <f>(IF(G319&gt;0,G319+I319,I319)-(M319*Ventas!AE318*1.0044))</f>
        <v>100</v>
      </c>
      <c r="O319" s="4"/>
      <c r="P319" s="11">
        <v>0</v>
      </c>
      <c r="Q319" s="16">
        <f t="shared" si="21"/>
        <v>100</v>
      </c>
      <c r="R319" s="4"/>
      <c r="S319" s="13">
        <v>46331</v>
      </c>
      <c r="T319" s="10">
        <v>56</v>
      </c>
      <c r="U319" s="16">
        <f>(IF(N319&gt;0,N319+P319,P319)-(T319*Ventas!AE318*0.9018))</f>
        <v>100</v>
      </c>
      <c r="V319" s="4"/>
      <c r="W319" s="16">
        <f>(100*(Ventas!AE318*1.235) - IF(U319&gt;0,U319,0))</f>
        <v>-100</v>
      </c>
      <c r="X319" s="16">
        <f t="shared" si="22"/>
        <v>0</v>
      </c>
      <c r="Y319" s="16">
        <f t="shared" si="23"/>
        <v>100</v>
      </c>
      <c r="Z319" s="18">
        <v>36.4</v>
      </c>
      <c r="AA319" s="11">
        <v>3027</v>
      </c>
      <c r="AB319" s="4"/>
      <c r="AC319" s="4"/>
      <c r="AD319" s="1" t="s">
        <v>34</v>
      </c>
      <c r="AE319">
        <f t="shared" si="24"/>
        <v>0</v>
      </c>
    </row>
    <row r="320" spans="1:31" x14ac:dyDescent="0.25">
      <c r="A320" s="1" t="s">
        <v>716</v>
      </c>
      <c r="B320" s="1" t="s">
        <v>715</v>
      </c>
      <c r="C320" s="15" t="s">
        <v>714</v>
      </c>
      <c r="D320" s="4"/>
      <c r="E320" s="13">
        <v>46230</v>
      </c>
      <c r="F320" s="10">
        <v>7</v>
      </c>
      <c r="G320" s="16">
        <f>(D320-(0)+0-(F320*Ventas!AE319*1.8))</f>
        <v>0</v>
      </c>
      <c r="H320" s="4"/>
      <c r="I320" s="11">
        <v>100</v>
      </c>
      <c r="J320" s="16">
        <f t="shared" si="20"/>
        <v>100</v>
      </c>
      <c r="K320" s="16">
        <v>36.4</v>
      </c>
      <c r="L320" s="13">
        <v>46275</v>
      </c>
      <c r="M320" s="10">
        <v>45</v>
      </c>
      <c r="N320" s="16">
        <f>(IF(G320&gt;0,G320+I320,I320)-(M320*Ventas!AE319*1.0044))</f>
        <v>100</v>
      </c>
      <c r="O320" s="4"/>
      <c r="P320" s="11">
        <v>0</v>
      </c>
      <c r="Q320" s="16">
        <f t="shared" si="21"/>
        <v>100</v>
      </c>
      <c r="R320" s="4"/>
      <c r="S320" s="13">
        <v>46331</v>
      </c>
      <c r="T320" s="10">
        <v>56</v>
      </c>
      <c r="U320" s="16">
        <f>(IF(N320&gt;0,N320+P320,P320)-(T320*Ventas!AE319*0.9018))</f>
        <v>100</v>
      </c>
      <c r="V320" s="4"/>
      <c r="W320" s="16">
        <f>(100*(Ventas!AE319*1.235) - IF(U320&gt;0,U320,0))</f>
        <v>-100</v>
      </c>
      <c r="X320" s="16">
        <f t="shared" si="22"/>
        <v>0</v>
      </c>
      <c r="Y320" s="16">
        <f t="shared" si="23"/>
        <v>100</v>
      </c>
      <c r="Z320" s="18">
        <v>36.4</v>
      </c>
      <c r="AA320" s="11">
        <v>3027</v>
      </c>
      <c r="AB320" s="4"/>
      <c r="AC320" s="4"/>
      <c r="AD320" s="1" t="s">
        <v>34</v>
      </c>
      <c r="AE320">
        <f t="shared" si="24"/>
        <v>0</v>
      </c>
    </row>
    <row r="321" spans="1:31" x14ac:dyDescent="0.25">
      <c r="A321" s="1" t="s">
        <v>719</v>
      </c>
      <c r="B321" s="1" t="s">
        <v>718</v>
      </c>
      <c r="C321" s="15" t="s">
        <v>717</v>
      </c>
      <c r="D321" s="4"/>
      <c r="E321" s="13">
        <v>46230</v>
      </c>
      <c r="F321" s="10">
        <v>7</v>
      </c>
      <c r="G321" s="16">
        <f>(D321-(0)+0-(F321*Ventas!AE320*1.8))</f>
        <v>0</v>
      </c>
      <c r="H321" s="4"/>
      <c r="I321" s="11">
        <v>0</v>
      </c>
      <c r="J321" s="16">
        <f t="shared" si="20"/>
        <v>0</v>
      </c>
      <c r="K321" s="4"/>
      <c r="L321" s="13">
        <v>46275</v>
      </c>
      <c r="M321" s="10">
        <v>45</v>
      </c>
      <c r="N321" s="16">
        <f>(IF(G321&gt;0,G321+I321,I321)-(M321*Ventas!AE320*1.0044))</f>
        <v>0</v>
      </c>
      <c r="O321" s="4"/>
      <c r="P321" s="11">
        <v>0</v>
      </c>
      <c r="Q321" s="16">
        <f t="shared" si="21"/>
        <v>0</v>
      </c>
      <c r="R321" s="4"/>
      <c r="S321" s="13">
        <v>46331</v>
      </c>
      <c r="T321" s="10">
        <v>56</v>
      </c>
      <c r="U321" s="16">
        <f>(IF(N321&gt;0,N321+P321,P321)-(T321*Ventas!AE320*0.9018))</f>
        <v>0</v>
      </c>
      <c r="V321" s="4"/>
      <c r="W321" s="16">
        <f>(100*(Ventas!AE320*1.235) - IF(U321&gt;0,U321,0))</f>
        <v>0</v>
      </c>
      <c r="X321" s="16">
        <f t="shared" si="22"/>
        <v>0</v>
      </c>
      <c r="Y321" s="16">
        <f t="shared" si="23"/>
        <v>0</v>
      </c>
      <c r="Z321" s="18">
        <v>36.4</v>
      </c>
      <c r="AA321" s="11">
        <v>3027</v>
      </c>
      <c r="AB321" s="4"/>
      <c r="AC321" s="4"/>
      <c r="AD321" s="1" t="s">
        <v>34</v>
      </c>
      <c r="AE321">
        <f t="shared" si="24"/>
        <v>0</v>
      </c>
    </row>
    <row r="322" spans="1:31" x14ac:dyDescent="0.25">
      <c r="A322" s="1" t="s">
        <v>734</v>
      </c>
      <c r="B322" s="1" t="s">
        <v>733</v>
      </c>
      <c r="C322" s="15" t="s">
        <v>732</v>
      </c>
      <c r="D322" s="11">
        <v>35</v>
      </c>
      <c r="E322" s="13">
        <v>46230</v>
      </c>
      <c r="F322" s="10">
        <v>7</v>
      </c>
      <c r="G322" s="16">
        <f>(D322-(0)+0-(F322*Ventas!AE325*1.8))</f>
        <v>18.888524590163932</v>
      </c>
      <c r="H322" s="17">
        <f>(G322/(Ventas!AE325*1.8)/60)</f>
        <v>0.13677587844254507</v>
      </c>
      <c r="I322" s="11">
        <v>160</v>
      </c>
      <c r="J322" s="16">
        <f t="shared" si="20"/>
        <v>178.88852459016394</v>
      </c>
      <c r="K322" s="16">
        <v>19.899999999999999</v>
      </c>
      <c r="L322" s="13">
        <v>46275</v>
      </c>
      <c r="M322" s="10">
        <v>45</v>
      </c>
      <c r="N322" s="16">
        <f>(IF(G322&gt;0,G322+I322,I322)-(M322*Ventas!AE325*1.0044))</f>
        <v>121.09436065573772</v>
      </c>
      <c r="O322" s="17">
        <f>(N322/(Ventas!AE325*1.0044)/60)</f>
        <v>1.5714522766494095</v>
      </c>
      <c r="P322" s="11">
        <v>0</v>
      </c>
      <c r="Q322" s="16">
        <f t="shared" si="21"/>
        <v>121.09436065573772</v>
      </c>
      <c r="R322" s="4"/>
      <c r="S322" s="13">
        <v>46331</v>
      </c>
      <c r="T322" s="10">
        <v>56</v>
      </c>
      <c r="U322" s="16">
        <f>(IF(N322&gt;0,N322+P322,P322)-(T322*Ventas!AE325*0.9018))</f>
        <v>56.519567213114755</v>
      </c>
      <c r="V322" s="17">
        <f>(U322/(Ventas!AE325*0.9018)/60)</f>
        <v>0.81690692688696676</v>
      </c>
      <c r="W322" s="16">
        <f>(100*(Ventas!AE325*1.235) - IF(U322&gt;0,U322,0))</f>
        <v>101.39846557377052</v>
      </c>
      <c r="X322" s="16">
        <f t="shared" si="22"/>
        <v>101.39846557377052</v>
      </c>
      <c r="Y322" s="16">
        <f t="shared" si="23"/>
        <v>157.91803278688528</v>
      </c>
      <c r="Z322" s="18">
        <v>19.899999999999999</v>
      </c>
      <c r="AA322" s="11">
        <v>3027</v>
      </c>
      <c r="AB322" s="16">
        <f>(Y322-(60*Ventas!AE325*1.235))</f>
        <v>63.167213114754119</v>
      </c>
      <c r="AC322" s="17">
        <f>(AB322/(Ventas!AE325*1.235)/60)</f>
        <v>0.66666666666666674</v>
      </c>
      <c r="AD322" s="1" t="s">
        <v>34</v>
      </c>
      <c r="AE322">
        <f t="shared" si="24"/>
        <v>2017.8294649180332</v>
      </c>
    </row>
    <row r="323" spans="1:31" x14ac:dyDescent="0.25">
      <c r="A323" s="1" t="s">
        <v>737</v>
      </c>
      <c r="B323" s="1" t="s">
        <v>736</v>
      </c>
      <c r="C323" s="15" t="s">
        <v>735</v>
      </c>
      <c r="D323" s="11">
        <v>39</v>
      </c>
      <c r="E323" s="13">
        <v>46230</v>
      </c>
      <c r="F323" s="10">
        <v>7</v>
      </c>
      <c r="G323" s="16">
        <f>(D323-(0)+0-(F323*Ventas!AE326*1.8))</f>
        <v>23.508196721311496</v>
      </c>
      <c r="H323" s="17">
        <f>(G323/(Ventas!AE326*1.8)/60)</f>
        <v>0.17703703703703741</v>
      </c>
      <c r="I323" s="11">
        <v>200</v>
      </c>
      <c r="J323" s="16">
        <f t="shared" si="20"/>
        <v>223.50819672131149</v>
      </c>
      <c r="K323" s="16">
        <v>19.899999999999999</v>
      </c>
      <c r="L323" s="13">
        <v>46275</v>
      </c>
      <c r="M323" s="10">
        <v>45</v>
      </c>
      <c r="N323" s="16">
        <f>(IF(G323&gt;0,G323+I323,I323)-(M323*Ventas!AE326*1.0044))</f>
        <v>167.93688524590172</v>
      </c>
      <c r="O323" s="17">
        <f>(N323/(Ventas!AE326*1.0044)/60)</f>
        <v>2.2665051550953623</v>
      </c>
      <c r="P323" s="11">
        <v>0</v>
      </c>
      <c r="Q323" s="16">
        <f t="shared" si="21"/>
        <v>167.93688524590172</v>
      </c>
      <c r="R323" s="4"/>
      <c r="S323" s="13">
        <v>46331</v>
      </c>
      <c r="T323" s="10">
        <v>56</v>
      </c>
      <c r="U323" s="16">
        <f>(IF(N323&gt;0,N323+P323,P323)-(T323*Ventas!AE326*0.9018))</f>
        <v>105.84573770491819</v>
      </c>
      <c r="V323" s="17">
        <f>(U323/(Ventas!AE326*0.9018)/60)</f>
        <v>1.5910376777309621</v>
      </c>
      <c r="W323" s="16">
        <f>(100*(Ventas!AE326*1.235) - IF(U323&gt;0,U323,0))</f>
        <v>45.998524590163598</v>
      </c>
      <c r="X323" s="16">
        <f t="shared" si="22"/>
        <v>45.998524590163598</v>
      </c>
      <c r="Y323" s="16">
        <f t="shared" si="23"/>
        <v>151.84426229508179</v>
      </c>
      <c r="Z323" s="18">
        <v>19.899999999999999</v>
      </c>
      <c r="AA323" s="11">
        <v>3027</v>
      </c>
      <c r="AB323" s="16">
        <f>(Y323-(60*Ventas!AE326*1.235))</f>
        <v>60.737704918032705</v>
      </c>
      <c r="AC323" s="17">
        <f>(AB323/(Ventas!AE326*1.235)/60)</f>
        <v>0.66666666666666652</v>
      </c>
      <c r="AD323" s="1" t="s">
        <v>34</v>
      </c>
      <c r="AE323">
        <f t="shared" si="24"/>
        <v>915.37063934425555</v>
      </c>
    </row>
    <row r="324" spans="1:31" x14ac:dyDescent="0.25">
      <c r="A324" s="1" t="s">
        <v>740</v>
      </c>
      <c r="B324" s="1" t="s">
        <v>739</v>
      </c>
      <c r="C324" s="15" t="s">
        <v>738</v>
      </c>
      <c r="D324" s="11">
        <v>38</v>
      </c>
      <c r="E324" s="13">
        <v>46230</v>
      </c>
      <c r="F324" s="10">
        <v>7</v>
      </c>
      <c r="G324" s="16">
        <f>(D324-(0)+0-(F324*Ventas!AE327*1.8))</f>
        <v>23.127868852459017</v>
      </c>
      <c r="H324" s="17">
        <f>(G324/(Ventas!AE327*1.8)/60)</f>
        <v>0.18143004115226338</v>
      </c>
      <c r="I324" s="11">
        <v>0</v>
      </c>
      <c r="J324" s="16">
        <f t="shared" si="20"/>
        <v>23.127868852459017</v>
      </c>
      <c r="K324" s="4"/>
      <c r="L324" s="13">
        <v>46275</v>
      </c>
      <c r="M324" s="10">
        <v>45</v>
      </c>
      <c r="N324" s="16">
        <f>(IF(G324&gt;0,G324+I324,I324)-(M324*Ventas!AE327*1.0044))</f>
        <v>-30.220590163934425</v>
      </c>
      <c r="O324" s="17">
        <f>(N324/(Ventas!AE327*1.0044)/60)</f>
        <v>-0.42485655707479686</v>
      </c>
      <c r="P324" s="11">
        <v>0</v>
      </c>
      <c r="Q324" s="16">
        <f t="shared" si="21"/>
        <v>0</v>
      </c>
      <c r="R324" s="4"/>
      <c r="S324" s="13">
        <v>46331</v>
      </c>
      <c r="T324" s="10">
        <v>56</v>
      </c>
      <c r="U324" s="16">
        <f>(IF(N324&gt;0,N324+P324,P324)-(T324*Ventas!AE327*0.9018))</f>
        <v>-59.607501639344271</v>
      </c>
      <c r="V324" s="17">
        <f>(U324/(Ventas!AE327*0.9018)/60)</f>
        <v>-0.93333333333333335</v>
      </c>
      <c r="W324" s="16">
        <f>(100*(Ventas!AE327*1.235) - IF(U324&gt;0,U324,0))</f>
        <v>145.7704918032787</v>
      </c>
      <c r="X324" s="16">
        <f t="shared" si="22"/>
        <v>145.7704918032787</v>
      </c>
      <c r="Y324" s="16">
        <f t="shared" si="23"/>
        <v>145.7704918032787</v>
      </c>
      <c r="Z324" s="18">
        <v>20</v>
      </c>
      <c r="AA324" s="11">
        <v>3027</v>
      </c>
      <c r="AB324" s="16">
        <f>(Y324-(60*Ventas!AE327*1.235))</f>
        <v>58.308196721311475</v>
      </c>
      <c r="AC324" s="17">
        <f>(AB324/(Ventas!AE327*1.235)/60)</f>
        <v>0.66666666666666652</v>
      </c>
      <c r="AD324" s="1" t="s">
        <v>34</v>
      </c>
      <c r="AE324">
        <f t="shared" si="24"/>
        <v>2915.4098360655739</v>
      </c>
    </row>
    <row r="325" spans="1:31" x14ac:dyDescent="0.25">
      <c r="A325" s="1" t="s">
        <v>743</v>
      </c>
      <c r="B325" s="1" t="s">
        <v>742</v>
      </c>
      <c r="C325" s="15" t="s">
        <v>741</v>
      </c>
      <c r="D325" s="4"/>
      <c r="E325" s="13">
        <v>46230</v>
      </c>
      <c r="F325" s="10">
        <v>7</v>
      </c>
      <c r="G325" s="16">
        <f>(D325-(0)+0-(F325*Ventas!AE328*1.8))</f>
        <v>0</v>
      </c>
      <c r="H325" s="4"/>
      <c r="I325" s="11">
        <v>0</v>
      </c>
      <c r="J325" s="16">
        <f t="shared" ref="J325:J388" si="25">IF(G325&gt;0,G325+I325,I325)</f>
        <v>0</v>
      </c>
      <c r="K325" s="4"/>
      <c r="L325" s="13">
        <v>46275</v>
      </c>
      <c r="M325" s="10">
        <v>45</v>
      </c>
      <c r="N325" s="16">
        <f>(IF(G325&gt;0,G325+I325,I325)-(M325*Ventas!AE328*1.0044))</f>
        <v>0</v>
      </c>
      <c r="O325" s="4"/>
      <c r="P325" s="11">
        <v>0</v>
      </c>
      <c r="Q325" s="16">
        <f t="shared" ref="Q325:Q388" si="26">IF(N325&gt;0,N325+P325,P325)</f>
        <v>0</v>
      </c>
      <c r="R325" s="4"/>
      <c r="S325" s="13">
        <v>46331</v>
      </c>
      <c r="T325" s="10">
        <v>56</v>
      </c>
      <c r="U325" s="16">
        <f>(IF(N325&gt;0,N325+P325,P325)-(T325*Ventas!AE328*0.9018))</f>
        <v>0</v>
      </c>
      <c r="V325" s="4"/>
      <c r="W325" s="16">
        <f>(100*(Ventas!AE328*1.235) - IF(U325&gt;0,U325,0))</f>
        <v>0</v>
      </c>
      <c r="X325" s="16">
        <f t="shared" ref="X325:X388" si="27">IF(W325&gt;0,W325,0)</f>
        <v>0</v>
      </c>
      <c r="Y325" s="16">
        <f t="shared" ref="Y325:Y388" si="28">IF(U325&gt;0,U325+IF(X325&gt;0,X325,0),X325)</f>
        <v>0</v>
      </c>
      <c r="Z325" s="4"/>
      <c r="AA325" s="4"/>
      <c r="AB325" s="4"/>
      <c r="AC325" s="4"/>
      <c r="AD325" s="1" t="s">
        <v>34</v>
      </c>
      <c r="AE325">
        <f t="shared" si="24"/>
        <v>0</v>
      </c>
    </row>
    <row r="326" spans="1:31" x14ac:dyDescent="0.25">
      <c r="A326" s="1" t="s">
        <v>746</v>
      </c>
      <c r="B326" s="1" t="s">
        <v>745</v>
      </c>
      <c r="C326" s="15" t="s">
        <v>744</v>
      </c>
      <c r="D326" s="11">
        <v>45</v>
      </c>
      <c r="E326" s="13">
        <v>46230</v>
      </c>
      <c r="F326" s="10">
        <v>7</v>
      </c>
      <c r="G326" s="16">
        <f>(D326-(0)+0-(F326*Ventas!AE329*1.8))</f>
        <v>44.091891891891891</v>
      </c>
      <c r="H326" s="17">
        <f>(G326/(Ventas!AE329*1.8)/60)</f>
        <v>5.664583333333332</v>
      </c>
      <c r="I326" s="11">
        <v>80</v>
      </c>
      <c r="J326" s="16">
        <f t="shared" si="25"/>
        <v>124.09189189189189</v>
      </c>
      <c r="K326" s="16">
        <v>14.976000000000001</v>
      </c>
      <c r="L326" s="13">
        <v>46275</v>
      </c>
      <c r="M326" s="10">
        <v>45</v>
      </c>
      <c r="N326" s="16">
        <f>(IF(G326&gt;0,G326+I326,I326)-(M326*Ventas!AE329*1.0044))</f>
        <v>120.83437837837837</v>
      </c>
      <c r="O326" s="17">
        <f>(N326/(Ventas!AE329*1.0044)/60)</f>
        <v>27.820539625647154</v>
      </c>
      <c r="P326" s="11">
        <v>0</v>
      </c>
      <c r="Q326" s="16">
        <f t="shared" si="26"/>
        <v>120.83437837837837</v>
      </c>
      <c r="R326" s="4"/>
      <c r="S326" s="13">
        <v>46331</v>
      </c>
      <c r="T326" s="10">
        <v>56</v>
      </c>
      <c r="U326" s="16">
        <f>(IF(N326&gt;0,N326+P326,P326)-(T326*Ventas!AE329*0.9018))</f>
        <v>117.19468108108107</v>
      </c>
      <c r="V326" s="17">
        <f>(U326/(Ventas!AE329*0.9018)/60)</f>
        <v>30.052417387447324</v>
      </c>
      <c r="W326" s="16">
        <f>(100*(Ventas!AE329*1.235) - IF(U326&gt;0,U326,0))</f>
        <v>-108.29378018018016</v>
      </c>
      <c r="X326" s="16">
        <f t="shared" si="27"/>
        <v>0</v>
      </c>
      <c r="Y326" s="16">
        <f t="shared" si="28"/>
        <v>117.19468108108107</v>
      </c>
      <c r="Z326" s="18">
        <v>14.976000000000001</v>
      </c>
      <c r="AA326" s="11">
        <v>3027</v>
      </c>
      <c r="AB326" s="16">
        <f>(Y326-(60*Ventas!AE329*1.235))</f>
        <v>111.85414054054053</v>
      </c>
      <c r="AC326" s="17">
        <f>(AB326/(Ventas!AE329*1.235)/60)</f>
        <v>20.944348178137648</v>
      </c>
      <c r="AD326" s="1" t="s">
        <v>34</v>
      </c>
      <c r="AE326">
        <f t="shared" ref="AE326:AE389" si="29">X326*Z326</f>
        <v>0</v>
      </c>
    </row>
    <row r="327" spans="1:31" x14ac:dyDescent="0.25">
      <c r="A327" s="1" t="s">
        <v>749</v>
      </c>
      <c r="B327" s="1" t="s">
        <v>748</v>
      </c>
      <c r="C327" s="15" t="s">
        <v>747</v>
      </c>
      <c r="D327" s="11">
        <v>41</v>
      </c>
      <c r="E327" s="13">
        <v>46230</v>
      </c>
      <c r="F327" s="10">
        <v>7</v>
      </c>
      <c r="G327" s="16">
        <f>(D327-(0)+0-(F327*Ventas!AE330*1.8))</f>
        <v>40.545945945945945</v>
      </c>
      <c r="H327" s="17">
        <f>(G327/(Ventas!AE330*1.8)/60)</f>
        <v>10.418055555555554</v>
      </c>
      <c r="I327" s="11">
        <v>40</v>
      </c>
      <c r="J327" s="16">
        <f t="shared" si="25"/>
        <v>80.545945945945945</v>
      </c>
      <c r="K327" s="16">
        <v>14.976000000000001</v>
      </c>
      <c r="L327" s="13">
        <v>46275</v>
      </c>
      <c r="M327" s="10">
        <v>45</v>
      </c>
      <c r="N327" s="16">
        <f>(IF(G327&gt;0,G327+I327,I327)-(M327*Ventas!AE330*1.0044))</f>
        <v>78.917189189189187</v>
      </c>
      <c r="O327" s="17">
        <f>(N327/(Ventas!AE330*1.0044)/60)</f>
        <v>36.339307048984466</v>
      </c>
      <c r="P327" s="11">
        <v>0</v>
      </c>
      <c r="Q327" s="16">
        <f t="shared" si="26"/>
        <v>78.917189189189187</v>
      </c>
      <c r="R327" s="4"/>
      <c r="S327" s="13">
        <v>46331</v>
      </c>
      <c r="T327" s="10">
        <v>56</v>
      </c>
      <c r="U327" s="16">
        <f>(IF(N327&gt;0,N327+P327,P327)-(T327*Ventas!AE330*0.9018))</f>
        <v>77.097340540540543</v>
      </c>
      <c r="V327" s="17">
        <f>(U327/(Ventas!AE330*0.9018)/60)</f>
        <v>39.540385894876906</v>
      </c>
      <c r="W327" s="16">
        <f>(100*(Ventas!AE330*1.235) - IF(U327&gt;0,U327,0))</f>
        <v>-72.646890090090096</v>
      </c>
      <c r="X327" s="16">
        <f t="shared" si="27"/>
        <v>0</v>
      </c>
      <c r="Y327" s="16">
        <f t="shared" si="28"/>
        <v>77.097340540540543</v>
      </c>
      <c r="Z327" s="18">
        <v>14.976000000000001</v>
      </c>
      <c r="AA327" s="11">
        <v>3027</v>
      </c>
      <c r="AB327" s="16">
        <f>(Y327-(60*Ventas!AE330*1.235))</f>
        <v>74.427070270270278</v>
      </c>
      <c r="AC327" s="17">
        <f>(AB327/(Ventas!AE330*1.235)/60)</f>
        <v>27.872485829959512</v>
      </c>
      <c r="AD327" s="1" t="s">
        <v>34</v>
      </c>
      <c r="AE327">
        <f t="shared" si="29"/>
        <v>0</v>
      </c>
    </row>
    <row r="328" spans="1:31" x14ac:dyDescent="0.25">
      <c r="A328" s="1" t="s">
        <v>752</v>
      </c>
      <c r="B328" s="1" t="s">
        <v>751</v>
      </c>
      <c r="C328" s="15" t="s">
        <v>750</v>
      </c>
      <c r="D328" s="11">
        <v>54</v>
      </c>
      <c r="E328" s="13">
        <v>46230</v>
      </c>
      <c r="F328" s="10">
        <v>7</v>
      </c>
      <c r="G328" s="16">
        <f>(D328-(0)+0-(F328*Ventas!AE331*1.8))</f>
        <v>53.380327868852461</v>
      </c>
      <c r="H328" s="17">
        <f>(G328/(Ventas!AE331*1.8)/60)</f>
        <v>10.050000000000002</v>
      </c>
      <c r="I328" s="11">
        <v>0</v>
      </c>
      <c r="J328" s="16">
        <f t="shared" si="25"/>
        <v>53.380327868852461</v>
      </c>
      <c r="K328" s="4"/>
      <c r="L328" s="13">
        <v>46275</v>
      </c>
      <c r="M328" s="10">
        <v>45</v>
      </c>
      <c r="N328" s="16">
        <f>(IF(G328&gt;0,G328+I328,I328)-(M328*Ventas!AE331*1.0044))</f>
        <v>51.157475409836067</v>
      </c>
      <c r="O328" s="17">
        <f>(N328/(Ventas!AE331*1.0044)/60)</f>
        <v>17.260752688172044</v>
      </c>
      <c r="P328" s="11">
        <v>0</v>
      </c>
      <c r="Q328" s="16">
        <f t="shared" si="26"/>
        <v>51.157475409836067</v>
      </c>
      <c r="R328" s="4"/>
      <c r="S328" s="13">
        <v>46331</v>
      </c>
      <c r="T328" s="10">
        <v>56</v>
      </c>
      <c r="U328" s="16">
        <f>(IF(N328&gt;0,N328+P328,P328)-(T328*Ventas!AE331*0.9018))</f>
        <v>48.673829508196725</v>
      </c>
      <c r="V328" s="17">
        <f>(U328/(Ventas!AE331*0.9018)/60)</f>
        <v>18.291217564870259</v>
      </c>
      <c r="W328" s="16">
        <f>(100*(Ventas!AE331*1.235) - IF(U328&gt;0,U328,0))</f>
        <v>-42.600059016393445</v>
      </c>
      <c r="X328" s="16">
        <f t="shared" si="27"/>
        <v>0</v>
      </c>
      <c r="Y328" s="16">
        <f t="shared" si="28"/>
        <v>48.673829508196725</v>
      </c>
      <c r="Z328" s="18">
        <v>9.6039999999999992</v>
      </c>
      <c r="AA328" s="11">
        <v>3027</v>
      </c>
      <c r="AB328" s="16">
        <f>(Y328-(60*Ventas!AE331*1.235))</f>
        <v>45.02956721311476</v>
      </c>
      <c r="AC328" s="17">
        <f>(AB328/(Ventas!AE331*1.235)/60)</f>
        <v>12.356291497975709</v>
      </c>
      <c r="AD328" s="1" t="s">
        <v>34</v>
      </c>
      <c r="AE328">
        <f t="shared" si="29"/>
        <v>0</v>
      </c>
    </row>
    <row r="329" spans="1:31" x14ac:dyDescent="0.25">
      <c r="A329" s="1" t="s">
        <v>755</v>
      </c>
      <c r="B329" s="1" t="s">
        <v>754</v>
      </c>
      <c r="C329" s="15" t="s">
        <v>753</v>
      </c>
      <c r="D329" s="11">
        <v>43</v>
      </c>
      <c r="E329" s="13">
        <v>46230</v>
      </c>
      <c r="F329" s="10">
        <v>7</v>
      </c>
      <c r="G329" s="16">
        <f>(D329-(0)+0-(F329*Ventas!AE332*1.8))</f>
        <v>42.173770491803282</v>
      </c>
      <c r="H329" s="17">
        <f>(G329/(Ventas!AE332*1.8)/60)</f>
        <v>5.9550925925925933</v>
      </c>
      <c r="I329" s="11">
        <v>0</v>
      </c>
      <c r="J329" s="16">
        <f t="shared" si="25"/>
        <v>42.173770491803282</v>
      </c>
      <c r="K329" s="4"/>
      <c r="L329" s="13">
        <v>46275</v>
      </c>
      <c r="M329" s="10">
        <v>45</v>
      </c>
      <c r="N329" s="16">
        <f>(IF(G329&gt;0,G329+I329,I329)-(M329*Ventas!AE332*1.0044))</f>
        <v>39.209967213114759</v>
      </c>
      <c r="O329" s="17">
        <f>(N329/(Ventas!AE332*1.0044)/60)</f>
        <v>9.9222089472985537</v>
      </c>
      <c r="P329" s="11">
        <v>0</v>
      </c>
      <c r="Q329" s="16">
        <f t="shared" si="26"/>
        <v>39.209967213114759</v>
      </c>
      <c r="R329" s="4"/>
      <c r="S329" s="13">
        <v>46331</v>
      </c>
      <c r="T329" s="10">
        <v>56</v>
      </c>
      <c r="U329" s="16">
        <f>(IF(N329&gt;0,N329+P329,P329)-(T329*Ventas!AE332*0.9018))</f>
        <v>35.8984393442623</v>
      </c>
      <c r="V329" s="17">
        <f>(U329/(Ventas!AE332*0.9018)/60)</f>
        <v>10.117749685813559</v>
      </c>
      <c r="W329" s="16">
        <f>(100*(Ventas!AE332*1.235) - IF(U329&gt;0,U329,0))</f>
        <v>-27.800078688524593</v>
      </c>
      <c r="X329" s="16">
        <f t="shared" si="27"/>
        <v>0</v>
      </c>
      <c r="Y329" s="16">
        <f t="shared" si="28"/>
        <v>35.8984393442623</v>
      </c>
      <c r="Z329" s="18">
        <v>28</v>
      </c>
      <c r="AA329" s="11">
        <v>3027</v>
      </c>
      <c r="AB329" s="16">
        <f>(Y329-(60*Ventas!AE332*1.235))</f>
        <v>31.039422950819677</v>
      </c>
      <c r="AC329" s="17">
        <f>(AB329/(Ventas!AE332*1.235)/60)</f>
        <v>6.3880053981106615</v>
      </c>
      <c r="AD329" s="1" t="s">
        <v>34</v>
      </c>
      <c r="AE329">
        <f t="shared" si="29"/>
        <v>0</v>
      </c>
    </row>
    <row r="330" spans="1:31" x14ac:dyDescent="0.25">
      <c r="A330" s="1" t="s">
        <v>758</v>
      </c>
      <c r="B330" s="1" t="s">
        <v>757</v>
      </c>
      <c r="C330" s="15" t="s">
        <v>756</v>
      </c>
      <c r="D330" s="11">
        <v>44</v>
      </c>
      <c r="E330" s="13">
        <v>46230</v>
      </c>
      <c r="F330" s="10">
        <v>7</v>
      </c>
      <c r="G330" s="16">
        <f>(D330-(0)+0-(F330*Ventas!AE333*1.8))</f>
        <v>43.380327868852461</v>
      </c>
      <c r="H330" s="17">
        <f>(G330/(Ventas!AE333*1.8)/60)</f>
        <v>8.1672839506172838</v>
      </c>
      <c r="I330" s="11">
        <v>0</v>
      </c>
      <c r="J330" s="16">
        <f t="shared" si="25"/>
        <v>43.380327868852461</v>
      </c>
      <c r="K330" s="4"/>
      <c r="L330" s="13">
        <v>46275</v>
      </c>
      <c r="M330" s="10">
        <v>45</v>
      </c>
      <c r="N330" s="16">
        <f>(IF(G330&gt;0,G330+I330,I330)-(M330*Ventas!AE333*1.0044))</f>
        <v>41.157475409836067</v>
      </c>
      <c r="O330" s="17">
        <f>(N330/(Ventas!AE333*1.0044)/60)</f>
        <v>13.886709588919866</v>
      </c>
      <c r="P330" s="11">
        <v>0</v>
      </c>
      <c r="Q330" s="16">
        <f t="shared" si="26"/>
        <v>41.157475409836067</v>
      </c>
      <c r="R330" s="4"/>
      <c r="S330" s="13">
        <v>46331</v>
      </c>
      <c r="T330" s="10">
        <v>56</v>
      </c>
      <c r="U330" s="16">
        <f>(IF(N330&gt;0,N330+P330,P330)-(T330*Ventas!AE333*0.9018))</f>
        <v>38.673829508196725</v>
      </c>
      <c r="V330" s="17">
        <f>(U330/(Ventas!AE333*0.9018)/60)</f>
        <v>14.533301298637294</v>
      </c>
      <c r="W330" s="16">
        <f>(100*(Ventas!AE333*1.235) - IF(U330&gt;0,U330,0))</f>
        <v>-32.600059016393445</v>
      </c>
      <c r="X330" s="16">
        <f t="shared" si="27"/>
        <v>0</v>
      </c>
      <c r="Y330" s="16">
        <f t="shared" si="28"/>
        <v>38.673829508196725</v>
      </c>
      <c r="Z330" s="18">
        <v>29.498000000000001</v>
      </c>
      <c r="AA330" s="11">
        <v>3027</v>
      </c>
      <c r="AB330" s="16">
        <f>(Y330-(60*Ventas!AE333*1.235))</f>
        <v>35.02956721311476</v>
      </c>
      <c r="AC330" s="17">
        <f>(AB330/(Ventas!AE333*1.235)/60)</f>
        <v>9.6122519118308603</v>
      </c>
      <c r="AD330" s="1" t="s">
        <v>34</v>
      </c>
      <c r="AE330">
        <f t="shared" si="29"/>
        <v>0</v>
      </c>
    </row>
    <row r="331" spans="1:31" x14ac:dyDescent="0.25">
      <c r="A331" s="1"/>
      <c r="B331" s="1" t="s">
        <v>760</v>
      </c>
      <c r="C331" s="15" t="s">
        <v>759</v>
      </c>
      <c r="D331" s="11">
        <v>39</v>
      </c>
      <c r="E331" s="13">
        <v>46230</v>
      </c>
      <c r="F331" s="10">
        <v>7</v>
      </c>
      <c r="G331" s="16">
        <f>(D331-(0)+0-(F331*Ventas!AE334*1.8))</f>
        <v>38.586885245901641</v>
      </c>
      <c r="H331" s="17">
        <f>(G331/(Ventas!AE334*1.8)/60)</f>
        <v>10.897222222222222</v>
      </c>
      <c r="I331" s="11">
        <v>0</v>
      </c>
      <c r="J331" s="16">
        <f t="shared" si="25"/>
        <v>38.586885245901641</v>
      </c>
      <c r="K331" s="4"/>
      <c r="L331" s="13">
        <v>46275</v>
      </c>
      <c r="M331" s="10">
        <v>45</v>
      </c>
      <c r="N331" s="16">
        <f>(IF(G331&gt;0,G331+I331,I331)-(M331*Ventas!AE334*1.0044))</f>
        <v>37.104983606557376</v>
      </c>
      <c r="O331" s="17">
        <f>(N331/(Ventas!AE334*1.0044)/60)</f>
        <v>18.779072082835523</v>
      </c>
      <c r="P331" s="11">
        <v>0</v>
      </c>
      <c r="Q331" s="16">
        <f t="shared" si="26"/>
        <v>37.104983606557376</v>
      </c>
      <c r="R331" s="4"/>
      <c r="S331" s="13">
        <v>46331</v>
      </c>
      <c r="T331" s="10">
        <v>56</v>
      </c>
      <c r="U331" s="16">
        <f>(IF(N331&gt;0,N331+P331,P331)-(T331*Ventas!AE334*0.9018))</f>
        <v>35.449219672131143</v>
      </c>
      <c r="V331" s="17">
        <f>(U331/(Ventas!AE334*0.9018)/60)</f>
        <v>19.982279884675091</v>
      </c>
      <c r="W331" s="16">
        <f>(100*(Ventas!AE334*1.235) - IF(U331&gt;0,U331,0))</f>
        <v>-31.400039344262289</v>
      </c>
      <c r="X331" s="16">
        <f t="shared" si="27"/>
        <v>0</v>
      </c>
      <c r="Y331" s="16">
        <f t="shared" si="28"/>
        <v>35.449219672131143</v>
      </c>
      <c r="Z331" s="18">
        <v>26.95</v>
      </c>
      <c r="AA331" s="11">
        <v>3027</v>
      </c>
      <c r="AB331" s="16">
        <f>(Y331-(60*Ventas!AE334*1.235))</f>
        <v>33.019711475409828</v>
      </c>
      <c r="AC331" s="17">
        <f>(AB331/(Ventas!AE334*1.235)/60)</f>
        <v>13.591109311740887</v>
      </c>
      <c r="AD331" s="1" t="s">
        <v>34</v>
      </c>
      <c r="AE331">
        <f t="shared" si="29"/>
        <v>0</v>
      </c>
    </row>
    <row r="332" spans="1:31" x14ac:dyDescent="0.25">
      <c r="A332" s="1" t="s">
        <v>763</v>
      </c>
      <c r="B332" s="1" t="s">
        <v>762</v>
      </c>
      <c r="C332" s="15" t="s">
        <v>761</v>
      </c>
      <c r="D332" s="11">
        <v>78</v>
      </c>
      <c r="E332" s="13">
        <v>46230</v>
      </c>
      <c r="F332" s="10">
        <v>7</v>
      </c>
      <c r="G332" s="16">
        <f>(D332-(0)+0-(F332*Ventas!AE335*1.8))</f>
        <v>68.08524590163934</v>
      </c>
      <c r="H332" s="17">
        <f>(G332/(Ventas!AE335*1.8)/60)</f>
        <v>0.80115740740740737</v>
      </c>
      <c r="I332" s="11">
        <v>0</v>
      </c>
      <c r="J332" s="16">
        <f t="shared" si="25"/>
        <v>68.08524590163934</v>
      </c>
      <c r="K332" s="4"/>
      <c r="L332" s="13">
        <v>46275</v>
      </c>
      <c r="M332" s="10">
        <v>45</v>
      </c>
      <c r="N332" s="16">
        <f>(IF(G332&gt;0,G332+I332,I332)-(M332*Ventas!AE335*1.0044))</f>
        <v>32.519606557377045</v>
      </c>
      <c r="O332" s="17">
        <f>(N332/(Ventas!AE335*1.0044)/60)</f>
        <v>0.68576596309571214</v>
      </c>
      <c r="P332" s="11">
        <v>100</v>
      </c>
      <c r="Q332" s="16">
        <f t="shared" si="26"/>
        <v>132.51960655737705</v>
      </c>
      <c r="R332" s="16">
        <v>29</v>
      </c>
      <c r="S332" s="13">
        <v>46331</v>
      </c>
      <c r="T332" s="10">
        <v>56</v>
      </c>
      <c r="U332" s="16">
        <f>(IF(N332&gt;0,N332+P332,P332)-(T332*Ventas!AE335*0.9018))</f>
        <v>92.781272131147546</v>
      </c>
      <c r="V332" s="17">
        <f>(U332/(Ventas!AE335*0.9018)/60)</f>
        <v>2.1791515733964171</v>
      </c>
      <c r="W332" s="16">
        <f>(100*(Ventas!AE335*1.235) - IF(U332&gt;0,U332,0))</f>
        <v>4.3990557377049271</v>
      </c>
      <c r="X332" s="16">
        <f t="shared" si="27"/>
        <v>4.3990557377049271</v>
      </c>
      <c r="Y332" s="16">
        <f t="shared" si="28"/>
        <v>97.180327868852473</v>
      </c>
      <c r="Z332" s="18">
        <v>28.42</v>
      </c>
      <c r="AA332" s="11">
        <v>3027</v>
      </c>
      <c r="AB332" s="16">
        <f>(Y332-(60*Ventas!AE335*1.235))</f>
        <v>38.872131147540998</v>
      </c>
      <c r="AC332" s="17">
        <f>(AB332/(Ventas!AE335*1.235)/60)</f>
        <v>0.66666666666666685</v>
      </c>
      <c r="AD332" s="1" t="s">
        <v>34</v>
      </c>
      <c r="AE332">
        <f t="shared" si="29"/>
        <v>125.02116406557404</v>
      </c>
    </row>
    <row r="333" spans="1:31" x14ac:dyDescent="0.25">
      <c r="A333" s="1" t="s">
        <v>766</v>
      </c>
      <c r="B333" s="1" t="s">
        <v>765</v>
      </c>
      <c r="C333" s="15" t="s">
        <v>764</v>
      </c>
      <c r="D333" s="11">
        <v>10</v>
      </c>
      <c r="E333" s="13">
        <v>46230</v>
      </c>
      <c r="F333" s="10">
        <v>7</v>
      </c>
      <c r="G333" s="16">
        <f>(D333-(0)+0-(F333*Ventas!AE336*1.8))</f>
        <v>2.5639344262295074</v>
      </c>
      <c r="H333" s="17">
        <f>(G333/(Ventas!AE336*1.8)/60)</f>
        <v>4.0226337448559656E-2</v>
      </c>
      <c r="I333" s="11">
        <v>0</v>
      </c>
      <c r="J333" s="16">
        <f t="shared" si="25"/>
        <v>2.5639344262295074</v>
      </c>
      <c r="K333" s="4"/>
      <c r="L333" s="13">
        <v>46275</v>
      </c>
      <c r="M333" s="10">
        <v>45</v>
      </c>
      <c r="N333" s="16">
        <f>(IF(G333&gt;0,G333+I333,I333)-(M333*Ventas!AE336*1.0044))</f>
        <v>-24.110295081967212</v>
      </c>
      <c r="O333" s="17">
        <f>(N333/(Ventas!AE336*1.0044)/60)</f>
        <v>-0.67790978951871028</v>
      </c>
      <c r="P333" s="11">
        <v>100</v>
      </c>
      <c r="Q333" s="16">
        <f t="shared" si="26"/>
        <v>100</v>
      </c>
      <c r="R333" s="16">
        <v>29</v>
      </c>
      <c r="S333" s="13">
        <v>46331</v>
      </c>
      <c r="T333" s="10">
        <v>56</v>
      </c>
      <c r="U333" s="16">
        <f>(IF(N333&gt;0,N333+P333,P333)-(T333*Ventas!AE336*0.9018))</f>
        <v>70.196249180327868</v>
      </c>
      <c r="V333" s="17">
        <f>(U333/(Ventas!AE336*0.9018)/60)</f>
        <v>2.1982635551941381</v>
      </c>
      <c r="W333" s="16">
        <f>(100*(Ventas!AE336*1.235) - IF(U333&gt;0,U333,0))</f>
        <v>2.6889967213114829</v>
      </c>
      <c r="X333" s="16">
        <f t="shared" si="27"/>
        <v>2.6889967213114829</v>
      </c>
      <c r="Y333" s="16">
        <f t="shared" si="28"/>
        <v>72.885245901639351</v>
      </c>
      <c r="Z333" s="18">
        <v>28.42</v>
      </c>
      <c r="AA333" s="11">
        <v>3027</v>
      </c>
      <c r="AB333" s="16">
        <f>(Y333-(60*Ventas!AE336*1.235))</f>
        <v>29.154098360655738</v>
      </c>
      <c r="AC333" s="17">
        <f>(AB333/(Ventas!AE336*1.235)/60)</f>
        <v>0.66666666666666652</v>
      </c>
      <c r="AD333" s="1" t="s">
        <v>34</v>
      </c>
      <c r="AE333">
        <f t="shared" si="29"/>
        <v>76.421286819672346</v>
      </c>
    </row>
    <row r="334" spans="1:31" x14ac:dyDescent="0.25">
      <c r="A334" s="1"/>
      <c r="B334" s="1" t="s">
        <v>768</v>
      </c>
      <c r="C334" s="15" t="s">
        <v>767</v>
      </c>
      <c r="D334" s="11">
        <v>47</v>
      </c>
      <c r="E334" s="13">
        <v>46230</v>
      </c>
      <c r="F334" s="10">
        <v>7</v>
      </c>
      <c r="G334" s="16">
        <f>(D334-(0)+0-(F334*Ventas!AE337*1.8))</f>
        <v>46.586885245901641</v>
      </c>
      <c r="H334" s="17">
        <f>(G334/(Ventas!AE337*1.8)/60)</f>
        <v>13.156481481481482</v>
      </c>
      <c r="I334" s="11">
        <v>0</v>
      </c>
      <c r="J334" s="16">
        <f t="shared" si="25"/>
        <v>46.586885245901641</v>
      </c>
      <c r="K334" s="4"/>
      <c r="L334" s="13">
        <v>46275</v>
      </c>
      <c r="M334" s="10">
        <v>45</v>
      </c>
      <c r="N334" s="16">
        <f>(IF(G334&gt;0,G334+I334,I334)-(M334*Ventas!AE337*1.0044))</f>
        <v>45.104983606557376</v>
      </c>
      <c r="O334" s="17">
        <f>(N334/(Ventas!AE337*1.0044)/60)</f>
        <v>22.827923801938137</v>
      </c>
      <c r="P334" s="11">
        <v>0</v>
      </c>
      <c r="Q334" s="16">
        <f t="shared" si="26"/>
        <v>45.104983606557376</v>
      </c>
      <c r="R334" s="4"/>
      <c r="S334" s="13">
        <v>46331</v>
      </c>
      <c r="T334" s="10">
        <v>56</v>
      </c>
      <c r="U334" s="16">
        <f>(IF(N334&gt;0,N334+P334,P334)-(T334*Ventas!AE337*0.9018))</f>
        <v>43.449219672131143</v>
      </c>
      <c r="V334" s="17">
        <f>(U334/(Ventas!AE337*0.9018)/60)</f>
        <v>24.491779404154652</v>
      </c>
      <c r="W334" s="16">
        <f>(100*(Ventas!AE337*1.235) - IF(U334&gt;0,U334,0))</f>
        <v>-39.400039344262289</v>
      </c>
      <c r="X334" s="16">
        <f t="shared" si="27"/>
        <v>0</v>
      </c>
      <c r="Y334" s="16">
        <f t="shared" si="28"/>
        <v>43.449219672131143</v>
      </c>
      <c r="Z334" s="18">
        <v>4.508</v>
      </c>
      <c r="AA334" s="11">
        <v>3027</v>
      </c>
      <c r="AB334" s="16">
        <f>(Y334-(60*Ventas!AE337*1.235))</f>
        <v>41.019711475409828</v>
      </c>
      <c r="AC334" s="17">
        <f>(AB334/(Ventas!AE337*1.235)/60)</f>
        <v>16.883956815114704</v>
      </c>
      <c r="AD334" s="1" t="s">
        <v>34</v>
      </c>
      <c r="AE334">
        <f t="shared" si="29"/>
        <v>0</v>
      </c>
    </row>
    <row r="335" spans="1:31" x14ac:dyDescent="0.25">
      <c r="A335" s="1"/>
      <c r="B335" s="1" t="s">
        <v>770</v>
      </c>
      <c r="C335" s="15" t="s">
        <v>769</v>
      </c>
      <c r="D335" s="4"/>
      <c r="E335" s="13">
        <v>46230</v>
      </c>
      <c r="F335" s="10">
        <v>7</v>
      </c>
      <c r="G335" s="16">
        <f>(D335-(0)+0-(F335*Ventas!AE338*1.8))</f>
        <v>0</v>
      </c>
      <c r="H335" s="4"/>
      <c r="I335" s="11">
        <v>0</v>
      </c>
      <c r="J335" s="16">
        <f t="shared" si="25"/>
        <v>0</v>
      </c>
      <c r="K335" s="4"/>
      <c r="L335" s="13">
        <v>46275</v>
      </c>
      <c r="M335" s="10">
        <v>45</v>
      </c>
      <c r="N335" s="16">
        <f>(IF(G335&gt;0,G335+I335,I335)-(M335*Ventas!AE338*1.0044))</f>
        <v>0</v>
      </c>
      <c r="O335" s="4"/>
      <c r="P335" s="11">
        <v>0</v>
      </c>
      <c r="Q335" s="16">
        <f t="shared" si="26"/>
        <v>0</v>
      </c>
      <c r="R335" s="4"/>
      <c r="S335" s="13">
        <v>46331</v>
      </c>
      <c r="T335" s="10">
        <v>56</v>
      </c>
      <c r="U335" s="16">
        <f>(IF(N335&gt;0,N335+P335,P335)-(T335*Ventas!AE338*0.9018))</f>
        <v>0</v>
      </c>
      <c r="V335" s="4"/>
      <c r="W335" s="16">
        <f>(100*(Ventas!AE338*1.235) - IF(U335&gt;0,U335,0))</f>
        <v>0</v>
      </c>
      <c r="X335" s="16">
        <f t="shared" si="27"/>
        <v>0</v>
      </c>
      <c r="Y335" s="16">
        <f t="shared" si="28"/>
        <v>0</v>
      </c>
      <c r="Z335" s="18">
        <v>36.4</v>
      </c>
      <c r="AA335" s="11">
        <v>3027</v>
      </c>
      <c r="AB335" s="4"/>
      <c r="AC335" s="4"/>
      <c r="AD335" s="1" t="s">
        <v>34</v>
      </c>
      <c r="AE335">
        <f t="shared" si="29"/>
        <v>0</v>
      </c>
    </row>
    <row r="336" spans="1:31" x14ac:dyDescent="0.25">
      <c r="A336" s="1"/>
      <c r="B336" s="1" t="s">
        <v>772</v>
      </c>
      <c r="C336" s="15" t="s">
        <v>771</v>
      </c>
      <c r="D336" s="4"/>
      <c r="E336" s="13">
        <v>46230</v>
      </c>
      <c r="F336" s="10">
        <v>7</v>
      </c>
      <c r="G336" s="16">
        <f>(D336-(0)+0-(F336*Ventas!AE339*1.8))</f>
        <v>-1.6524590163934427</v>
      </c>
      <c r="H336" s="17">
        <f>(G336/(Ventas!AE339*1.8)/60)</f>
        <v>-0.11666666666666667</v>
      </c>
      <c r="I336" s="11">
        <v>0</v>
      </c>
      <c r="J336" s="16">
        <f t="shared" si="25"/>
        <v>0</v>
      </c>
      <c r="K336" s="4"/>
      <c r="L336" s="13">
        <v>46275</v>
      </c>
      <c r="M336" s="10">
        <v>45</v>
      </c>
      <c r="N336" s="16">
        <f>(IF(G336&gt;0,G336+I336,I336)-(M336*Ventas!AE339*1.0044))</f>
        <v>-5.9276065573770493</v>
      </c>
      <c r="O336" s="17">
        <f>(N336/(Ventas!AE339*1.0044)/60)</f>
        <v>-0.75</v>
      </c>
      <c r="P336" s="11">
        <v>0</v>
      </c>
      <c r="Q336" s="16">
        <f t="shared" si="26"/>
        <v>0</v>
      </c>
      <c r="R336" s="4"/>
      <c r="S336" s="13">
        <v>46331</v>
      </c>
      <c r="T336" s="10">
        <v>56</v>
      </c>
      <c r="U336" s="16">
        <f>(IF(N336&gt;0,N336+P336,P336)-(T336*Ventas!AE339*0.9018))</f>
        <v>-6.6230557377049184</v>
      </c>
      <c r="V336" s="17">
        <f>(U336/(Ventas!AE339*0.9018)/60)</f>
        <v>-0.93333333333333335</v>
      </c>
      <c r="W336" s="16">
        <f>(100*(Ventas!AE339*1.235) - IF(U336&gt;0,U336,0))</f>
        <v>16.196721311475411</v>
      </c>
      <c r="X336" s="16">
        <f t="shared" si="27"/>
        <v>16.196721311475411</v>
      </c>
      <c r="Y336" s="16">
        <f t="shared" si="28"/>
        <v>16.196721311475411</v>
      </c>
      <c r="Z336" s="18">
        <v>36.4</v>
      </c>
      <c r="AA336" s="11">
        <v>3027</v>
      </c>
      <c r="AB336" s="16">
        <f>(Y336-(60*Ventas!AE339*1.235))</f>
        <v>6.4786885245901633</v>
      </c>
      <c r="AC336" s="17">
        <f>(AB336/(Ventas!AE339*1.235)/60)</f>
        <v>0.66666666666666652</v>
      </c>
      <c r="AD336" s="1" t="s">
        <v>34</v>
      </c>
      <c r="AE336">
        <f t="shared" si="29"/>
        <v>589.56065573770491</v>
      </c>
    </row>
    <row r="337" spans="1:31" x14ac:dyDescent="0.25">
      <c r="A337" s="1"/>
      <c r="B337" s="1" t="s">
        <v>774</v>
      </c>
      <c r="C337" s="15" t="s">
        <v>773</v>
      </c>
      <c r="D337" s="4"/>
      <c r="E337" s="13">
        <v>46230</v>
      </c>
      <c r="F337" s="10">
        <v>7</v>
      </c>
      <c r="G337" s="16">
        <f>(D337-(0)+0-(F337*Ventas!AE340*1.8))</f>
        <v>0</v>
      </c>
      <c r="H337" s="4"/>
      <c r="I337" s="11">
        <v>0</v>
      </c>
      <c r="J337" s="16">
        <f t="shared" si="25"/>
        <v>0</v>
      </c>
      <c r="K337" s="4"/>
      <c r="L337" s="13">
        <v>46275</v>
      </c>
      <c r="M337" s="10">
        <v>45</v>
      </c>
      <c r="N337" s="16">
        <f>(IF(G337&gt;0,G337+I337,I337)-(M337*Ventas!AE340*1.0044))</f>
        <v>0</v>
      </c>
      <c r="O337" s="4"/>
      <c r="P337" s="11">
        <v>0</v>
      </c>
      <c r="Q337" s="16">
        <f t="shared" si="26"/>
        <v>0</v>
      </c>
      <c r="R337" s="4"/>
      <c r="S337" s="13">
        <v>46331</v>
      </c>
      <c r="T337" s="10">
        <v>56</v>
      </c>
      <c r="U337" s="16">
        <f>(IF(N337&gt;0,N337+P337,P337)-(T337*Ventas!AE340*0.9018))</f>
        <v>0</v>
      </c>
      <c r="V337" s="4"/>
      <c r="W337" s="16">
        <f>(100*(Ventas!AE340*1.235) - IF(U337&gt;0,U337,0))</f>
        <v>0</v>
      </c>
      <c r="X337" s="16">
        <f t="shared" si="27"/>
        <v>0</v>
      </c>
      <c r="Y337" s="16">
        <f t="shared" si="28"/>
        <v>0</v>
      </c>
      <c r="Z337" s="18">
        <v>36.4</v>
      </c>
      <c r="AA337" s="11">
        <v>3027</v>
      </c>
      <c r="AB337" s="4"/>
      <c r="AC337" s="4"/>
      <c r="AD337" s="1" t="s">
        <v>34</v>
      </c>
      <c r="AE337">
        <f t="shared" si="29"/>
        <v>0</v>
      </c>
    </row>
    <row r="338" spans="1:31" x14ac:dyDescent="0.25">
      <c r="A338" s="1"/>
      <c r="B338" s="1" t="s">
        <v>776</v>
      </c>
      <c r="C338" s="15" t="s">
        <v>775</v>
      </c>
      <c r="D338" s="4"/>
      <c r="E338" s="13">
        <v>46230</v>
      </c>
      <c r="F338" s="10">
        <v>7</v>
      </c>
      <c r="G338" s="16">
        <f>(D338-(0)+0-(F338*Ventas!AE341*1.8))</f>
        <v>0</v>
      </c>
      <c r="H338" s="4"/>
      <c r="I338" s="11">
        <v>120</v>
      </c>
      <c r="J338" s="16">
        <f t="shared" si="25"/>
        <v>120</v>
      </c>
      <c r="K338" s="16">
        <v>4.3680000000000003</v>
      </c>
      <c r="L338" s="13">
        <v>46275</v>
      </c>
      <c r="M338" s="10">
        <v>45</v>
      </c>
      <c r="N338" s="16">
        <f>(IF(G338&gt;0,G338+I338,I338)-(M338*Ventas!AE341*1.0044))</f>
        <v>120</v>
      </c>
      <c r="O338" s="4"/>
      <c r="P338" s="11">
        <v>60</v>
      </c>
      <c r="Q338" s="16">
        <f t="shared" si="26"/>
        <v>180</v>
      </c>
      <c r="R338" s="16">
        <v>4.4000000000000004</v>
      </c>
      <c r="S338" s="13">
        <v>46331</v>
      </c>
      <c r="T338" s="10">
        <v>56</v>
      </c>
      <c r="U338" s="16">
        <f>(IF(N338&gt;0,N338+P338,P338)-(T338*Ventas!AE341*0.9018))</f>
        <v>180</v>
      </c>
      <c r="V338" s="4"/>
      <c r="W338" s="16">
        <f>(100*(Ventas!AE341*1.235) - IF(U338&gt;0,U338,0))</f>
        <v>-180</v>
      </c>
      <c r="X338" s="16">
        <f t="shared" si="27"/>
        <v>0</v>
      </c>
      <c r="Y338" s="16">
        <f t="shared" si="28"/>
        <v>180</v>
      </c>
      <c r="Z338" s="18">
        <v>4.3680000000000003</v>
      </c>
      <c r="AA338" s="11">
        <v>3027</v>
      </c>
      <c r="AB338" s="4"/>
      <c r="AC338" s="4"/>
      <c r="AD338" s="1" t="s">
        <v>34</v>
      </c>
      <c r="AE338">
        <f t="shared" si="29"/>
        <v>0</v>
      </c>
    </row>
    <row r="339" spans="1:31" x14ac:dyDescent="0.25">
      <c r="A339" s="1"/>
      <c r="B339" s="1" t="s">
        <v>778</v>
      </c>
      <c r="C339" s="15" t="s">
        <v>777</v>
      </c>
      <c r="D339" s="4"/>
      <c r="E339" s="13">
        <v>46230</v>
      </c>
      <c r="F339" s="10">
        <v>7</v>
      </c>
      <c r="G339" s="16">
        <f>(D339-(0)+0-(F339*Ventas!AE342*1.8))</f>
        <v>0</v>
      </c>
      <c r="H339" s="4"/>
      <c r="I339" s="11">
        <v>60</v>
      </c>
      <c r="J339" s="16">
        <f t="shared" si="25"/>
        <v>60</v>
      </c>
      <c r="K339" s="16">
        <v>4.3680000000000003</v>
      </c>
      <c r="L339" s="13">
        <v>46275</v>
      </c>
      <c r="M339" s="10">
        <v>45</v>
      </c>
      <c r="N339" s="16">
        <f>(IF(G339&gt;0,G339+I339,I339)-(M339*Ventas!AE342*1.0044))</f>
        <v>60</v>
      </c>
      <c r="O339" s="4"/>
      <c r="P339" s="11">
        <v>0</v>
      </c>
      <c r="Q339" s="16">
        <f t="shared" si="26"/>
        <v>60</v>
      </c>
      <c r="R339" s="4"/>
      <c r="S339" s="13">
        <v>46331</v>
      </c>
      <c r="T339" s="10">
        <v>56</v>
      </c>
      <c r="U339" s="16">
        <f>(IF(N339&gt;0,N339+P339,P339)-(T339*Ventas!AE342*0.9018))</f>
        <v>60</v>
      </c>
      <c r="V339" s="4"/>
      <c r="W339" s="16">
        <f>(100*(Ventas!AE342*1.235) - IF(U339&gt;0,U339,0))</f>
        <v>-60</v>
      </c>
      <c r="X339" s="16">
        <f t="shared" si="27"/>
        <v>0</v>
      </c>
      <c r="Y339" s="16">
        <f t="shared" si="28"/>
        <v>60</v>
      </c>
      <c r="Z339" s="18">
        <v>4.3680000000000003</v>
      </c>
      <c r="AA339" s="11">
        <v>3027</v>
      </c>
      <c r="AB339" s="4"/>
      <c r="AC339" s="4"/>
      <c r="AD339" s="1" t="s">
        <v>34</v>
      </c>
      <c r="AE339">
        <f t="shared" si="29"/>
        <v>0</v>
      </c>
    </row>
    <row r="340" spans="1:31" x14ac:dyDescent="0.25">
      <c r="A340" s="1"/>
      <c r="B340" s="1" t="s">
        <v>780</v>
      </c>
      <c r="C340" s="15" t="s">
        <v>779</v>
      </c>
      <c r="D340" s="4"/>
      <c r="E340" s="13">
        <v>46230</v>
      </c>
      <c r="F340" s="10">
        <v>7</v>
      </c>
      <c r="G340" s="16">
        <f>(D340-(0)+0-(F340*Ventas!AE343*1.8))</f>
        <v>0</v>
      </c>
      <c r="H340" s="4"/>
      <c r="I340" s="11">
        <v>40</v>
      </c>
      <c r="J340" s="16">
        <f t="shared" si="25"/>
        <v>40</v>
      </c>
      <c r="K340" s="16">
        <v>11.856</v>
      </c>
      <c r="L340" s="13">
        <v>46275</v>
      </c>
      <c r="M340" s="10">
        <v>45</v>
      </c>
      <c r="N340" s="16">
        <f>(IF(G340&gt;0,G340+I340,I340)-(M340*Ventas!AE343*1.0044))</f>
        <v>40</v>
      </c>
      <c r="O340" s="4"/>
      <c r="P340" s="11">
        <v>0</v>
      </c>
      <c r="Q340" s="16">
        <f t="shared" si="26"/>
        <v>40</v>
      </c>
      <c r="R340" s="4"/>
      <c r="S340" s="13">
        <v>46331</v>
      </c>
      <c r="T340" s="10">
        <v>56</v>
      </c>
      <c r="U340" s="16">
        <f>(IF(N340&gt;0,N340+P340,P340)-(T340*Ventas!AE343*0.9018))</f>
        <v>40</v>
      </c>
      <c r="V340" s="4"/>
      <c r="W340" s="16">
        <f>(100*(Ventas!AE343*1.235) - IF(U340&gt;0,U340,0))</f>
        <v>-40</v>
      </c>
      <c r="X340" s="16">
        <f t="shared" si="27"/>
        <v>0</v>
      </c>
      <c r="Y340" s="16">
        <f t="shared" si="28"/>
        <v>40</v>
      </c>
      <c r="Z340" s="18">
        <v>11.856</v>
      </c>
      <c r="AA340" s="11">
        <v>3027</v>
      </c>
      <c r="AB340" s="4"/>
      <c r="AC340" s="4"/>
      <c r="AD340" s="1" t="s">
        <v>34</v>
      </c>
      <c r="AE340">
        <f t="shared" si="29"/>
        <v>0</v>
      </c>
    </row>
    <row r="341" spans="1:31" x14ac:dyDescent="0.25">
      <c r="A341" s="1"/>
      <c r="B341" s="1" t="s">
        <v>782</v>
      </c>
      <c r="C341" s="15" t="s">
        <v>781</v>
      </c>
      <c r="D341" s="4"/>
      <c r="E341" s="13">
        <v>46230</v>
      </c>
      <c r="F341" s="10">
        <v>7</v>
      </c>
      <c r="G341" s="16">
        <f>(D341-(0)+0-(F341*Ventas!AE344*1.8))</f>
        <v>0</v>
      </c>
      <c r="H341" s="4"/>
      <c r="I341" s="11">
        <v>40</v>
      </c>
      <c r="J341" s="16">
        <f t="shared" si="25"/>
        <v>40</v>
      </c>
      <c r="K341" s="16">
        <v>11.856</v>
      </c>
      <c r="L341" s="13">
        <v>46275</v>
      </c>
      <c r="M341" s="10">
        <v>45</v>
      </c>
      <c r="N341" s="16">
        <f>(IF(G341&gt;0,G341+I341,I341)-(M341*Ventas!AE344*1.0044))</f>
        <v>40</v>
      </c>
      <c r="O341" s="4"/>
      <c r="P341" s="11">
        <v>0</v>
      </c>
      <c r="Q341" s="16">
        <f t="shared" si="26"/>
        <v>40</v>
      </c>
      <c r="R341" s="4"/>
      <c r="S341" s="13">
        <v>46331</v>
      </c>
      <c r="T341" s="10">
        <v>56</v>
      </c>
      <c r="U341" s="16">
        <f>(IF(N341&gt;0,N341+P341,P341)-(T341*Ventas!AE344*0.9018))</f>
        <v>40</v>
      </c>
      <c r="V341" s="4"/>
      <c r="W341" s="16">
        <f>(100*(Ventas!AE344*1.235) - IF(U341&gt;0,U341,0))</f>
        <v>-40</v>
      </c>
      <c r="X341" s="16">
        <f t="shared" si="27"/>
        <v>0</v>
      </c>
      <c r="Y341" s="16">
        <f t="shared" si="28"/>
        <v>40</v>
      </c>
      <c r="Z341" s="18">
        <v>11.856</v>
      </c>
      <c r="AA341" s="11">
        <v>3027</v>
      </c>
      <c r="AB341" s="4"/>
      <c r="AC341" s="4"/>
      <c r="AD341" s="1" t="s">
        <v>34</v>
      </c>
      <c r="AE341">
        <f t="shared" si="29"/>
        <v>0</v>
      </c>
    </row>
    <row r="342" spans="1:31" x14ac:dyDescent="0.25">
      <c r="A342" s="1"/>
      <c r="B342" s="1" t="s">
        <v>784</v>
      </c>
      <c r="C342" s="15" t="s">
        <v>783</v>
      </c>
      <c r="D342" s="4"/>
      <c r="E342" s="13">
        <v>46230</v>
      </c>
      <c r="F342" s="10">
        <v>7</v>
      </c>
      <c r="G342" s="16">
        <f>(D342-(0)+0-(F342*Ventas!AE345*1.8))</f>
        <v>0</v>
      </c>
      <c r="H342" s="4"/>
      <c r="I342" s="11">
        <v>100</v>
      </c>
      <c r="J342" s="16">
        <f t="shared" si="25"/>
        <v>100</v>
      </c>
      <c r="K342" s="16">
        <v>13.936</v>
      </c>
      <c r="L342" s="13">
        <v>46275</v>
      </c>
      <c r="M342" s="10">
        <v>45</v>
      </c>
      <c r="N342" s="16">
        <f>(IF(G342&gt;0,G342+I342,I342)-(M342*Ventas!AE345*1.0044))</f>
        <v>100</v>
      </c>
      <c r="O342" s="4"/>
      <c r="P342" s="11">
        <v>0</v>
      </c>
      <c r="Q342" s="16">
        <f t="shared" si="26"/>
        <v>100</v>
      </c>
      <c r="R342" s="4"/>
      <c r="S342" s="13">
        <v>46331</v>
      </c>
      <c r="T342" s="10">
        <v>56</v>
      </c>
      <c r="U342" s="16">
        <f>(IF(N342&gt;0,N342+P342,P342)-(T342*Ventas!AE345*0.9018))</f>
        <v>100</v>
      </c>
      <c r="V342" s="4"/>
      <c r="W342" s="16">
        <f>(100*(Ventas!AE345*1.235) - IF(U342&gt;0,U342,0))</f>
        <v>-100</v>
      </c>
      <c r="X342" s="16">
        <f t="shared" si="27"/>
        <v>0</v>
      </c>
      <c r="Y342" s="16">
        <f t="shared" si="28"/>
        <v>100</v>
      </c>
      <c r="Z342" s="18">
        <v>13.936</v>
      </c>
      <c r="AA342" s="11">
        <v>3027</v>
      </c>
      <c r="AB342" s="4"/>
      <c r="AC342" s="4"/>
      <c r="AD342" s="1" t="s">
        <v>34</v>
      </c>
      <c r="AE342">
        <f t="shared" si="29"/>
        <v>0</v>
      </c>
    </row>
    <row r="343" spans="1:31" x14ac:dyDescent="0.25">
      <c r="A343" s="1"/>
      <c r="B343" s="1" t="s">
        <v>786</v>
      </c>
      <c r="C343" s="15" t="s">
        <v>785</v>
      </c>
      <c r="D343" s="4"/>
      <c r="E343" s="13">
        <v>46230</v>
      </c>
      <c r="F343" s="10">
        <v>7</v>
      </c>
      <c r="G343" s="16">
        <f>(D343-(0)+0-(F343*Ventas!AE346*1.8))</f>
        <v>0</v>
      </c>
      <c r="H343" s="4"/>
      <c r="I343" s="11">
        <v>40</v>
      </c>
      <c r="J343" s="16">
        <f t="shared" si="25"/>
        <v>40</v>
      </c>
      <c r="K343" s="16">
        <v>17.576000000000001</v>
      </c>
      <c r="L343" s="13">
        <v>46275</v>
      </c>
      <c r="M343" s="10">
        <v>45</v>
      </c>
      <c r="N343" s="16">
        <f>(IF(G343&gt;0,G343+I343,I343)-(M343*Ventas!AE346*1.0044))</f>
        <v>40</v>
      </c>
      <c r="O343" s="4"/>
      <c r="P343" s="11">
        <v>0</v>
      </c>
      <c r="Q343" s="16">
        <f t="shared" si="26"/>
        <v>40</v>
      </c>
      <c r="R343" s="4"/>
      <c r="S343" s="13">
        <v>46331</v>
      </c>
      <c r="T343" s="10">
        <v>56</v>
      </c>
      <c r="U343" s="16">
        <f>(IF(N343&gt;0,N343+P343,P343)-(T343*Ventas!AE346*0.9018))</f>
        <v>40</v>
      </c>
      <c r="V343" s="4"/>
      <c r="W343" s="16">
        <f>(100*(Ventas!AE346*1.235) - IF(U343&gt;0,U343,0))</f>
        <v>-40</v>
      </c>
      <c r="X343" s="16">
        <f t="shared" si="27"/>
        <v>0</v>
      </c>
      <c r="Y343" s="16">
        <f t="shared" si="28"/>
        <v>40</v>
      </c>
      <c r="Z343" s="18">
        <v>17.576000000000001</v>
      </c>
      <c r="AA343" s="11">
        <v>3027</v>
      </c>
      <c r="AB343" s="4"/>
      <c r="AC343" s="4"/>
      <c r="AD343" s="1" t="s">
        <v>34</v>
      </c>
      <c r="AE343">
        <f t="shared" si="29"/>
        <v>0</v>
      </c>
    </row>
    <row r="344" spans="1:31" x14ac:dyDescent="0.25">
      <c r="A344" s="1"/>
      <c r="B344" s="1" t="s">
        <v>788</v>
      </c>
      <c r="C344" s="15" t="s">
        <v>787</v>
      </c>
      <c r="D344" s="4"/>
      <c r="E344" s="13">
        <v>46230</v>
      </c>
      <c r="F344" s="10">
        <v>7</v>
      </c>
      <c r="G344" s="16">
        <f>(D344-(0)+0-(F344*Ventas!AE347*1.8))</f>
        <v>0</v>
      </c>
      <c r="H344" s="4"/>
      <c r="I344" s="11">
        <v>40</v>
      </c>
      <c r="J344" s="16">
        <f t="shared" si="25"/>
        <v>40</v>
      </c>
      <c r="K344" s="16">
        <v>17.576000000000001</v>
      </c>
      <c r="L344" s="13">
        <v>46275</v>
      </c>
      <c r="M344" s="10">
        <v>45</v>
      </c>
      <c r="N344" s="16">
        <f>(IF(G344&gt;0,G344+I344,I344)-(M344*Ventas!AE347*1.0044))</f>
        <v>40</v>
      </c>
      <c r="O344" s="4"/>
      <c r="P344" s="11">
        <v>0</v>
      </c>
      <c r="Q344" s="16">
        <f t="shared" si="26"/>
        <v>40</v>
      </c>
      <c r="R344" s="4"/>
      <c r="S344" s="13">
        <v>46331</v>
      </c>
      <c r="T344" s="10">
        <v>56</v>
      </c>
      <c r="U344" s="16">
        <f>(IF(N344&gt;0,N344+P344,P344)-(T344*Ventas!AE347*0.9018))</f>
        <v>40</v>
      </c>
      <c r="V344" s="4"/>
      <c r="W344" s="16">
        <f>(100*(Ventas!AE347*1.235) - IF(U344&gt;0,U344,0))</f>
        <v>-40</v>
      </c>
      <c r="X344" s="16">
        <f t="shared" si="27"/>
        <v>0</v>
      </c>
      <c r="Y344" s="16">
        <f t="shared" si="28"/>
        <v>40</v>
      </c>
      <c r="Z344" s="18">
        <v>17.576000000000001</v>
      </c>
      <c r="AA344" s="11">
        <v>3027</v>
      </c>
      <c r="AB344" s="4"/>
      <c r="AC344" s="4"/>
      <c r="AD344" s="1" t="s">
        <v>34</v>
      </c>
      <c r="AE344">
        <f t="shared" si="29"/>
        <v>0</v>
      </c>
    </row>
    <row r="345" spans="1:31" x14ac:dyDescent="0.25">
      <c r="A345" s="1"/>
      <c r="B345" s="1" t="s">
        <v>793</v>
      </c>
      <c r="C345" s="15" t="s">
        <v>792</v>
      </c>
      <c r="D345" s="4"/>
      <c r="E345" s="13">
        <v>46230</v>
      </c>
      <c r="F345" s="10">
        <v>7</v>
      </c>
      <c r="G345" s="16">
        <f>(D345-(0)+0-(F345*Ventas!AE349*1.8))</f>
        <v>0</v>
      </c>
      <c r="H345" s="4"/>
      <c r="I345" s="11">
        <v>80</v>
      </c>
      <c r="J345" s="16">
        <f t="shared" si="25"/>
        <v>80</v>
      </c>
      <c r="K345" s="16">
        <v>8.2159999999999993</v>
      </c>
      <c r="L345" s="13">
        <v>46275</v>
      </c>
      <c r="M345" s="10">
        <v>45</v>
      </c>
      <c r="N345" s="16">
        <f>(IF(G345&gt;0,G345+I345,I345)-(M345*Ventas!AE349*1.0044))</f>
        <v>80</v>
      </c>
      <c r="O345" s="4"/>
      <c r="P345" s="11">
        <v>0</v>
      </c>
      <c r="Q345" s="16">
        <f t="shared" si="26"/>
        <v>80</v>
      </c>
      <c r="R345" s="4"/>
      <c r="S345" s="13">
        <v>46331</v>
      </c>
      <c r="T345" s="10">
        <v>56</v>
      </c>
      <c r="U345" s="16">
        <f>(IF(N345&gt;0,N345+P345,P345)-(T345*Ventas!AE349*0.9018))</f>
        <v>80</v>
      </c>
      <c r="V345" s="4"/>
      <c r="W345" s="16">
        <f>(100*(Ventas!AE349*1.235) - IF(U345&gt;0,U345,0))</f>
        <v>-80</v>
      </c>
      <c r="X345" s="16">
        <f t="shared" si="27"/>
        <v>0</v>
      </c>
      <c r="Y345" s="16">
        <f t="shared" si="28"/>
        <v>80</v>
      </c>
      <c r="Z345" s="18">
        <v>8.2159999999999993</v>
      </c>
      <c r="AA345" s="11">
        <v>3027</v>
      </c>
      <c r="AB345" s="4"/>
      <c r="AC345" s="4"/>
      <c r="AD345" s="1" t="s">
        <v>34</v>
      </c>
      <c r="AE345">
        <f t="shared" si="29"/>
        <v>0</v>
      </c>
    </row>
    <row r="346" spans="1:31" x14ac:dyDescent="0.25">
      <c r="A346" s="1"/>
      <c r="B346" s="1" t="s">
        <v>795</v>
      </c>
      <c r="C346" s="15" t="s">
        <v>794</v>
      </c>
      <c r="D346" s="4"/>
      <c r="E346" s="13">
        <v>46230</v>
      </c>
      <c r="F346" s="10">
        <v>7</v>
      </c>
      <c r="G346" s="16">
        <f>(D346-(0)+0-(F346*Ventas!AE350*1.8))</f>
        <v>0</v>
      </c>
      <c r="H346" s="4"/>
      <c r="I346" s="11">
        <v>60</v>
      </c>
      <c r="J346" s="16">
        <f t="shared" si="25"/>
        <v>60</v>
      </c>
      <c r="K346" s="16">
        <v>4.68</v>
      </c>
      <c r="L346" s="13">
        <v>46275</v>
      </c>
      <c r="M346" s="10">
        <v>45</v>
      </c>
      <c r="N346" s="16">
        <f>(IF(G346&gt;0,G346+I346,I346)-(M346*Ventas!AE350*1.0044))</f>
        <v>60</v>
      </c>
      <c r="O346" s="4"/>
      <c r="P346" s="11">
        <v>0</v>
      </c>
      <c r="Q346" s="16">
        <f t="shared" si="26"/>
        <v>60</v>
      </c>
      <c r="R346" s="4"/>
      <c r="S346" s="13">
        <v>46331</v>
      </c>
      <c r="T346" s="10">
        <v>56</v>
      </c>
      <c r="U346" s="16">
        <f>(IF(N346&gt;0,N346+P346,P346)-(T346*Ventas!AE350*0.9018))</f>
        <v>60</v>
      </c>
      <c r="V346" s="4"/>
      <c r="W346" s="16">
        <f>(100*(Ventas!AE350*1.235) - IF(U346&gt;0,U346,0))</f>
        <v>-60</v>
      </c>
      <c r="X346" s="16">
        <f t="shared" si="27"/>
        <v>0</v>
      </c>
      <c r="Y346" s="16">
        <f t="shared" si="28"/>
        <v>60</v>
      </c>
      <c r="Z346" s="18">
        <v>4.68</v>
      </c>
      <c r="AA346" s="11">
        <v>3027</v>
      </c>
      <c r="AB346" s="4"/>
      <c r="AC346" s="4"/>
      <c r="AD346" s="1" t="s">
        <v>34</v>
      </c>
      <c r="AE346">
        <f t="shared" si="29"/>
        <v>0</v>
      </c>
    </row>
    <row r="347" spans="1:31" x14ac:dyDescent="0.25">
      <c r="A347" s="1"/>
      <c r="B347" s="1" t="s">
        <v>797</v>
      </c>
      <c r="C347" s="15" t="s">
        <v>796</v>
      </c>
      <c r="D347" s="4"/>
      <c r="E347" s="13">
        <v>46230</v>
      </c>
      <c r="F347" s="10">
        <v>7</v>
      </c>
      <c r="G347" s="16">
        <f>(D347-(0)+0-(F347*Ventas!AE351*1.8))</f>
        <v>0</v>
      </c>
      <c r="H347" s="4"/>
      <c r="I347" s="11">
        <v>60</v>
      </c>
      <c r="J347" s="16">
        <f t="shared" si="25"/>
        <v>60</v>
      </c>
      <c r="K347" s="16">
        <v>4.68</v>
      </c>
      <c r="L347" s="13">
        <v>46275</v>
      </c>
      <c r="M347" s="10">
        <v>45</v>
      </c>
      <c r="N347" s="16">
        <f>(IF(G347&gt;0,G347+I347,I347)-(M347*Ventas!AE351*1.0044))</f>
        <v>60</v>
      </c>
      <c r="O347" s="4"/>
      <c r="P347" s="11">
        <v>0</v>
      </c>
      <c r="Q347" s="16">
        <f t="shared" si="26"/>
        <v>60</v>
      </c>
      <c r="R347" s="4"/>
      <c r="S347" s="13">
        <v>46331</v>
      </c>
      <c r="T347" s="10">
        <v>56</v>
      </c>
      <c r="U347" s="16">
        <f>(IF(N347&gt;0,N347+P347,P347)-(T347*Ventas!AE351*0.9018))</f>
        <v>60</v>
      </c>
      <c r="V347" s="4"/>
      <c r="W347" s="16">
        <f>(100*(Ventas!AE351*1.235) - IF(U347&gt;0,U347,0))</f>
        <v>-60</v>
      </c>
      <c r="X347" s="16">
        <f t="shared" si="27"/>
        <v>0</v>
      </c>
      <c r="Y347" s="16">
        <f t="shared" si="28"/>
        <v>60</v>
      </c>
      <c r="Z347" s="18">
        <v>4.68</v>
      </c>
      <c r="AA347" s="11">
        <v>3027</v>
      </c>
      <c r="AB347" s="4"/>
      <c r="AC347" s="4"/>
      <c r="AD347" s="1" t="s">
        <v>34</v>
      </c>
      <c r="AE347">
        <f t="shared" si="29"/>
        <v>0</v>
      </c>
    </row>
    <row r="348" spans="1:31" x14ac:dyDescent="0.25">
      <c r="A348" s="1"/>
      <c r="B348" s="1" t="s">
        <v>799</v>
      </c>
      <c r="C348" s="15" t="s">
        <v>798</v>
      </c>
      <c r="D348" s="4"/>
      <c r="E348" s="13">
        <v>46230</v>
      </c>
      <c r="F348" s="10">
        <v>7</v>
      </c>
      <c r="G348" s="16">
        <f>(D348-(0)+0-(F348*Ventas!AE352*1.8))</f>
        <v>0</v>
      </c>
      <c r="H348" s="4"/>
      <c r="I348" s="11">
        <v>0</v>
      </c>
      <c r="J348" s="16">
        <f t="shared" si="25"/>
        <v>0</v>
      </c>
      <c r="K348" s="4"/>
      <c r="L348" s="13">
        <v>46275</v>
      </c>
      <c r="M348" s="10">
        <v>45</v>
      </c>
      <c r="N348" s="16">
        <f>(IF(G348&gt;0,G348+I348,I348)-(M348*Ventas!AE352*1.0044))</f>
        <v>0</v>
      </c>
      <c r="O348" s="4"/>
      <c r="P348" s="11">
        <v>0</v>
      </c>
      <c r="Q348" s="16">
        <f t="shared" si="26"/>
        <v>0</v>
      </c>
      <c r="R348" s="4"/>
      <c r="S348" s="13">
        <v>46331</v>
      </c>
      <c r="T348" s="10">
        <v>56</v>
      </c>
      <c r="U348" s="16">
        <f>(IF(N348&gt;0,N348+P348,P348)-(T348*Ventas!AE352*0.9018))</f>
        <v>0</v>
      </c>
      <c r="V348" s="4"/>
      <c r="W348" s="16">
        <f>(100*(Ventas!AE352*1.235) - IF(U348&gt;0,U348,0))</f>
        <v>0</v>
      </c>
      <c r="X348" s="16">
        <f t="shared" si="27"/>
        <v>0</v>
      </c>
      <c r="Y348" s="16">
        <f t="shared" si="28"/>
        <v>0</v>
      </c>
      <c r="Z348" s="4"/>
      <c r="AA348" s="4"/>
      <c r="AB348" s="4"/>
      <c r="AC348" s="4"/>
      <c r="AD348" s="1" t="s">
        <v>34</v>
      </c>
      <c r="AE348">
        <f t="shared" si="29"/>
        <v>0</v>
      </c>
    </row>
    <row r="349" spans="1:31" x14ac:dyDescent="0.25">
      <c r="A349" s="1"/>
      <c r="B349" s="1" t="s">
        <v>801</v>
      </c>
      <c r="C349" s="15" t="s">
        <v>800</v>
      </c>
      <c r="D349" s="4"/>
      <c r="E349" s="13">
        <v>46230</v>
      </c>
      <c r="F349" s="10">
        <v>7</v>
      </c>
      <c r="G349" s="16">
        <f>(D349-(0)+0-(F349*Ventas!AE353*1.8))</f>
        <v>0</v>
      </c>
      <c r="H349" s="4"/>
      <c r="I349" s="11">
        <v>30</v>
      </c>
      <c r="J349" s="16">
        <f t="shared" si="25"/>
        <v>30</v>
      </c>
      <c r="K349" s="16">
        <v>7.6959999999999997</v>
      </c>
      <c r="L349" s="13">
        <v>46275</v>
      </c>
      <c r="M349" s="10">
        <v>45</v>
      </c>
      <c r="N349" s="16">
        <f>(IF(G349&gt;0,G349+I349,I349)-(M349*Ventas!AE353*1.0044))</f>
        <v>30</v>
      </c>
      <c r="O349" s="4"/>
      <c r="P349" s="11">
        <v>0</v>
      </c>
      <c r="Q349" s="16">
        <f t="shared" si="26"/>
        <v>30</v>
      </c>
      <c r="R349" s="4"/>
      <c r="S349" s="13">
        <v>46331</v>
      </c>
      <c r="T349" s="10">
        <v>56</v>
      </c>
      <c r="U349" s="16">
        <f>(IF(N349&gt;0,N349+P349,P349)-(T349*Ventas!AE353*0.9018))</f>
        <v>30</v>
      </c>
      <c r="V349" s="4"/>
      <c r="W349" s="16">
        <f>(100*(Ventas!AE353*1.235) - IF(U349&gt;0,U349,0))</f>
        <v>-30</v>
      </c>
      <c r="X349" s="16">
        <f t="shared" si="27"/>
        <v>0</v>
      </c>
      <c r="Y349" s="16">
        <f t="shared" si="28"/>
        <v>30</v>
      </c>
      <c r="Z349" s="18">
        <v>7.6959999999999997</v>
      </c>
      <c r="AA349" s="11">
        <v>3027</v>
      </c>
      <c r="AB349" s="4"/>
      <c r="AC349" s="4"/>
      <c r="AD349" s="1" t="s">
        <v>34</v>
      </c>
      <c r="AE349">
        <f t="shared" si="29"/>
        <v>0</v>
      </c>
    </row>
    <row r="350" spans="1:31" x14ac:dyDescent="0.25">
      <c r="A350" s="1"/>
      <c r="B350" s="1" t="s">
        <v>803</v>
      </c>
      <c r="C350" s="15" t="s">
        <v>802</v>
      </c>
      <c r="D350" s="4"/>
      <c r="E350" s="13">
        <v>46230</v>
      </c>
      <c r="F350" s="10">
        <v>7</v>
      </c>
      <c r="G350" s="16">
        <f>(D350-(0)+0-(F350*Ventas!AE354*1.8))</f>
        <v>0</v>
      </c>
      <c r="H350" s="4"/>
      <c r="I350" s="11">
        <v>60</v>
      </c>
      <c r="J350" s="16">
        <f t="shared" si="25"/>
        <v>60</v>
      </c>
      <c r="K350" s="16">
        <v>3.3279999999999998</v>
      </c>
      <c r="L350" s="13">
        <v>46275</v>
      </c>
      <c r="M350" s="10">
        <v>45</v>
      </c>
      <c r="N350" s="16">
        <f>(IF(G350&gt;0,G350+I350,I350)-(M350*Ventas!AE354*1.0044))</f>
        <v>60</v>
      </c>
      <c r="O350" s="4"/>
      <c r="P350" s="11">
        <v>0</v>
      </c>
      <c r="Q350" s="16">
        <f t="shared" si="26"/>
        <v>60</v>
      </c>
      <c r="R350" s="4"/>
      <c r="S350" s="13">
        <v>46331</v>
      </c>
      <c r="T350" s="10">
        <v>56</v>
      </c>
      <c r="U350" s="16">
        <f>(IF(N350&gt;0,N350+P350,P350)-(T350*Ventas!AE354*0.9018))</f>
        <v>60</v>
      </c>
      <c r="V350" s="4"/>
      <c r="W350" s="16">
        <f>(100*(Ventas!AE354*1.235) - IF(U350&gt;0,U350,0))</f>
        <v>-60</v>
      </c>
      <c r="X350" s="16">
        <f t="shared" si="27"/>
        <v>0</v>
      </c>
      <c r="Y350" s="16">
        <f t="shared" si="28"/>
        <v>60</v>
      </c>
      <c r="Z350" s="18">
        <v>3.3279999999999998</v>
      </c>
      <c r="AA350" s="11">
        <v>3027</v>
      </c>
      <c r="AB350" s="4"/>
      <c r="AC350" s="4"/>
      <c r="AD350" s="1" t="s">
        <v>34</v>
      </c>
      <c r="AE350">
        <f t="shared" si="29"/>
        <v>0</v>
      </c>
    </row>
    <row r="351" spans="1:31" x14ac:dyDescent="0.25">
      <c r="A351" s="1"/>
      <c r="B351" s="1" t="s">
        <v>805</v>
      </c>
      <c r="C351" s="15" t="s">
        <v>804</v>
      </c>
      <c r="D351" s="4"/>
      <c r="E351" s="13">
        <v>46230</v>
      </c>
      <c r="F351" s="10">
        <v>7</v>
      </c>
      <c r="G351" s="16">
        <f>(D351-(0)+0-(F351*Ventas!AE355*1.8))</f>
        <v>0</v>
      </c>
      <c r="H351" s="4"/>
      <c r="I351" s="11">
        <v>100</v>
      </c>
      <c r="J351" s="16">
        <f t="shared" si="25"/>
        <v>100</v>
      </c>
      <c r="K351" s="16">
        <v>2.08</v>
      </c>
      <c r="L351" s="13">
        <v>46275</v>
      </c>
      <c r="M351" s="10">
        <v>45</v>
      </c>
      <c r="N351" s="16">
        <f>(IF(G351&gt;0,G351+I351,I351)-(M351*Ventas!AE355*1.0044))</f>
        <v>100</v>
      </c>
      <c r="O351" s="4"/>
      <c r="P351" s="11">
        <v>0</v>
      </c>
      <c r="Q351" s="16">
        <f t="shared" si="26"/>
        <v>100</v>
      </c>
      <c r="R351" s="4"/>
      <c r="S351" s="13">
        <v>46331</v>
      </c>
      <c r="T351" s="10">
        <v>56</v>
      </c>
      <c r="U351" s="16">
        <f>(IF(N351&gt;0,N351+P351,P351)-(T351*Ventas!AE355*0.9018))</f>
        <v>100</v>
      </c>
      <c r="V351" s="4"/>
      <c r="W351" s="16">
        <f>(100*(Ventas!AE355*1.235) - IF(U351&gt;0,U351,0))</f>
        <v>-100</v>
      </c>
      <c r="X351" s="16">
        <f t="shared" si="27"/>
        <v>0</v>
      </c>
      <c r="Y351" s="16">
        <f t="shared" si="28"/>
        <v>100</v>
      </c>
      <c r="Z351" s="18">
        <v>2.08</v>
      </c>
      <c r="AA351" s="11">
        <v>3027</v>
      </c>
      <c r="AB351" s="4"/>
      <c r="AC351" s="4"/>
      <c r="AD351" s="1" t="s">
        <v>34</v>
      </c>
      <c r="AE351">
        <f t="shared" si="29"/>
        <v>0</v>
      </c>
    </row>
    <row r="352" spans="1:31" x14ac:dyDescent="0.25">
      <c r="A352" s="1"/>
      <c r="B352" s="1" t="s">
        <v>807</v>
      </c>
      <c r="C352" s="15" t="s">
        <v>806</v>
      </c>
      <c r="D352" s="4"/>
      <c r="E352" s="13">
        <v>46230</v>
      </c>
      <c r="F352" s="10">
        <v>7</v>
      </c>
      <c r="G352" s="16">
        <f>(D352-(0)+0-(F352*Ventas!AE356*1.8))</f>
        <v>0</v>
      </c>
      <c r="H352" s="4"/>
      <c r="I352" s="11">
        <v>10</v>
      </c>
      <c r="J352" s="16">
        <f t="shared" si="25"/>
        <v>10</v>
      </c>
      <c r="K352" s="16">
        <v>10.4</v>
      </c>
      <c r="L352" s="13">
        <v>46275</v>
      </c>
      <c r="M352" s="10">
        <v>45</v>
      </c>
      <c r="N352" s="16">
        <f>(IF(G352&gt;0,G352+I352,I352)-(M352*Ventas!AE356*1.0044))</f>
        <v>10</v>
      </c>
      <c r="O352" s="4"/>
      <c r="P352" s="11">
        <v>0</v>
      </c>
      <c r="Q352" s="16">
        <f t="shared" si="26"/>
        <v>10</v>
      </c>
      <c r="R352" s="4"/>
      <c r="S352" s="13">
        <v>46331</v>
      </c>
      <c r="T352" s="10">
        <v>56</v>
      </c>
      <c r="U352" s="16">
        <f>(IF(N352&gt;0,N352+P352,P352)-(T352*Ventas!AE356*0.9018))</f>
        <v>10</v>
      </c>
      <c r="V352" s="4"/>
      <c r="W352" s="16">
        <f>(100*(Ventas!AE356*1.235) - IF(U352&gt;0,U352,0))</f>
        <v>-10</v>
      </c>
      <c r="X352" s="16">
        <f t="shared" si="27"/>
        <v>0</v>
      </c>
      <c r="Y352" s="16">
        <f t="shared" si="28"/>
        <v>10</v>
      </c>
      <c r="Z352" s="18">
        <v>10.4</v>
      </c>
      <c r="AA352" s="11">
        <v>3027</v>
      </c>
      <c r="AB352" s="4"/>
      <c r="AC352" s="4"/>
      <c r="AD352" s="1" t="s">
        <v>34</v>
      </c>
      <c r="AE352">
        <f t="shared" si="29"/>
        <v>0</v>
      </c>
    </row>
    <row r="353" spans="1:31" x14ac:dyDescent="0.25">
      <c r="A353" s="1"/>
      <c r="B353" s="1" t="s">
        <v>809</v>
      </c>
      <c r="C353" s="15" t="s">
        <v>808</v>
      </c>
      <c r="D353" s="4"/>
      <c r="E353" s="13">
        <v>46230</v>
      </c>
      <c r="F353" s="10">
        <v>7</v>
      </c>
      <c r="G353" s="16">
        <f>(D353-(0)+0-(F353*Ventas!AE357*1.8))</f>
        <v>0</v>
      </c>
      <c r="H353" s="4"/>
      <c r="I353" s="11">
        <v>10</v>
      </c>
      <c r="J353" s="16">
        <f t="shared" si="25"/>
        <v>10</v>
      </c>
      <c r="K353" s="16">
        <v>13.4</v>
      </c>
      <c r="L353" s="13">
        <v>46275</v>
      </c>
      <c r="M353" s="10">
        <v>45</v>
      </c>
      <c r="N353" s="16">
        <f>(IF(G353&gt;0,G353+I353,I353)-(M353*Ventas!AE357*1.0044))</f>
        <v>10</v>
      </c>
      <c r="O353" s="4"/>
      <c r="P353" s="11">
        <v>0</v>
      </c>
      <c r="Q353" s="16">
        <f t="shared" si="26"/>
        <v>10</v>
      </c>
      <c r="R353" s="4"/>
      <c r="S353" s="13">
        <v>46331</v>
      </c>
      <c r="T353" s="10">
        <v>56</v>
      </c>
      <c r="U353" s="16">
        <f>(IF(N353&gt;0,N353+P353,P353)-(T353*Ventas!AE357*0.9018))</f>
        <v>10</v>
      </c>
      <c r="V353" s="4"/>
      <c r="W353" s="16">
        <f>(100*(Ventas!AE357*1.235) - IF(U353&gt;0,U353,0))</f>
        <v>-10</v>
      </c>
      <c r="X353" s="16">
        <f t="shared" si="27"/>
        <v>0</v>
      </c>
      <c r="Y353" s="16">
        <f t="shared" si="28"/>
        <v>10</v>
      </c>
      <c r="Z353" s="18">
        <v>13.4</v>
      </c>
      <c r="AA353" s="11">
        <v>3027</v>
      </c>
      <c r="AB353" s="4"/>
      <c r="AC353" s="4"/>
      <c r="AD353" s="1" t="s">
        <v>34</v>
      </c>
      <c r="AE353">
        <f t="shared" si="29"/>
        <v>0</v>
      </c>
    </row>
    <row r="354" spans="1:31" x14ac:dyDescent="0.25">
      <c r="A354" s="1"/>
      <c r="B354" s="1" t="s">
        <v>811</v>
      </c>
      <c r="C354" s="15" t="s">
        <v>810</v>
      </c>
      <c r="D354" s="4"/>
      <c r="E354" s="13">
        <v>46230</v>
      </c>
      <c r="F354" s="10">
        <v>7</v>
      </c>
      <c r="G354" s="16">
        <f>(D354-(0)+0-(F354*Ventas!AE358*1.8))</f>
        <v>0</v>
      </c>
      <c r="H354" s="4"/>
      <c r="I354" s="11">
        <v>10</v>
      </c>
      <c r="J354" s="16">
        <f t="shared" si="25"/>
        <v>10</v>
      </c>
      <c r="K354" s="16">
        <v>13.416</v>
      </c>
      <c r="L354" s="13">
        <v>46275</v>
      </c>
      <c r="M354" s="10">
        <v>45</v>
      </c>
      <c r="N354" s="16">
        <f>(IF(G354&gt;0,G354+I354,I354)-(M354*Ventas!AE358*1.0044))</f>
        <v>10</v>
      </c>
      <c r="O354" s="4"/>
      <c r="P354" s="11">
        <v>0</v>
      </c>
      <c r="Q354" s="16">
        <f t="shared" si="26"/>
        <v>10</v>
      </c>
      <c r="R354" s="4"/>
      <c r="S354" s="13">
        <v>46331</v>
      </c>
      <c r="T354" s="10">
        <v>56</v>
      </c>
      <c r="U354" s="16">
        <f>(IF(N354&gt;0,N354+P354,P354)-(T354*Ventas!AE358*0.9018))</f>
        <v>10</v>
      </c>
      <c r="V354" s="4"/>
      <c r="W354" s="16">
        <f>(100*(Ventas!AE358*1.235) - IF(U354&gt;0,U354,0))</f>
        <v>-10</v>
      </c>
      <c r="X354" s="16">
        <f t="shared" si="27"/>
        <v>0</v>
      </c>
      <c r="Y354" s="16">
        <f t="shared" si="28"/>
        <v>10</v>
      </c>
      <c r="Z354" s="18">
        <v>13.416</v>
      </c>
      <c r="AA354" s="11">
        <v>3027</v>
      </c>
      <c r="AB354" s="4"/>
      <c r="AC354" s="4"/>
      <c r="AD354" s="1" t="s">
        <v>34</v>
      </c>
      <c r="AE354">
        <f t="shared" si="29"/>
        <v>0</v>
      </c>
    </row>
    <row r="355" spans="1:31" x14ac:dyDescent="0.25">
      <c r="A355" s="1"/>
      <c r="B355" s="1" t="s">
        <v>813</v>
      </c>
      <c r="C355" s="15" t="s">
        <v>812</v>
      </c>
      <c r="D355" s="4"/>
      <c r="E355" s="13">
        <v>46230</v>
      </c>
      <c r="F355" s="10">
        <v>7</v>
      </c>
      <c r="G355" s="16">
        <f>(D355-(0)+0-(F355*Ventas!AE359*1.8))</f>
        <v>0</v>
      </c>
      <c r="H355" s="4"/>
      <c r="I355" s="11">
        <v>40</v>
      </c>
      <c r="J355" s="16">
        <f t="shared" si="25"/>
        <v>40</v>
      </c>
      <c r="K355" s="16">
        <v>6.1360000000000001</v>
      </c>
      <c r="L355" s="13">
        <v>46275</v>
      </c>
      <c r="M355" s="10">
        <v>45</v>
      </c>
      <c r="N355" s="16">
        <f>(IF(G355&gt;0,G355+I355,I355)-(M355*Ventas!AE359*1.0044))</f>
        <v>40</v>
      </c>
      <c r="O355" s="4"/>
      <c r="P355" s="11">
        <v>0</v>
      </c>
      <c r="Q355" s="16">
        <f t="shared" si="26"/>
        <v>40</v>
      </c>
      <c r="R355" s="4"/>
      <c r="S355" s="13">
        <v>46331</v>
      </c>
      <c r="T355" s="10">
        <v>56</v>
      </c>
      <c r="U355" s="16">
        <f>(IF(N355&gt;0,N355+P355,P355)-(T355*Ventas!AE359*0.9018))</f>
        <v>40</v>
      </c>
      <c r="V355" s="4"/>
      <c r="W355" s="16">
        <f>(100*(Ventas!AE359*1.235) - IF(U355&gt;0,U355,0))</f>
        <v>-40</v>
      </c>
      <c r="X355" s="16">
        <f t="shared" si="27"/>
        <v>0</v>
      </c>
      <c r="Y355" s="16">
        <f t="shared" si="28"/>
        <v>40</v>
      </c>
      <c r="Z355" s="18">
        <v>6.1360000000000001</v>
      </c>
      <c r="AA355" s="11">
        <v>3027</v>
      </c>
      <c r="AB355" s="4"/>
      <c r="AC355" s="4"/>
      <c r="AD355" s="1" t="s">
        <v>34</v>
      </c>
      <c r="AE355">
        <f t="shared" si="29"/>
        <v>0</v>
      </c>
    </row>
    <row r="356" spans="1:31" x14ac:dyDescent="0.25">
      <c r="A356" s="1"/>
      <c r="B356" s="1" t="s">
        <v>815</v>
      </c>
      <c r="C356" s="15" t="s">
        <v>814</v>
      </c>
      <c r="D356" s="4"/>
      <c r="E356" s="13">
        <v>46230</v>
      </c>
      <c r="F356" s="10">
        <v>7</v>
      </c>
      <c r="G356" s="16">
        <f>(D356-(0)+0-(F356*Ventas!AE360*1.8))</f>
        <v>0</v>
      </c>
      <c r="H356" s="4"/>
      <c r="I356" s="11">
        <v>50</v>
      </c>
      <c r="J356" s="16">
        <f t="shared" si="25"/>
        <v>50</v>
      </c>
      <c r="K356" s="16">
        <v>8.84</v>
      </c>
      <c r="L356" s="13">
        <v>46275</v>
      </c>
      <c r="M356" s="10">
        <v>45</v>
      </c>
      <c r="N356" s="16">
        <f>(IF(G356&gt;0,G356+I356,I356)-(M356*Ventas!AE360*1.0044))</f>
        <v>50</v>
      </c>
      <c r="O356" s="4"/>
      <c r="P356" s="11">
        <v>0</v>
      </c>
      <c r="Q356" s="16">
        <f t="shared" si="26"/>
        <v>50</v>
      </c>
      <c r="R356" s="4"/>
      <c r="S356" s="13">
        <v>46331</v>
      </c>
      <c r="T356" s="10">
        <v>56</v>
      </c>
      <c r="U356" s="16">
        <f>(IF(N356&gt;0,N356+P356,P356)-(T356*Ventas!AE360*0.9018))</f>
        <v>50</v>
      </c>
      <c r="V356" s="4"/>
      <c r="W356" s="16">
        <f>(100*(Ventas!AE360*1.235) - IF(U356&gt;0,U356,0))</f>
        <v>-50</v>
      </c>
      <c r="X356" s="16">
        <f t="shared" si="27"/>
        <v>0</v>
      </c>
      <c r="Y356" s="16">
        <f t="shared" si="28"/>
        <v>50</v>
      </c>
      <c r="Z356" s="18">
        <v>8.84</v>
      </c>
      <c r="AA356" s="11">
        <v>3027</v>
      </c>
      <c r="AB356" s="4"/>
      <c r="AC356" s="4"/>
      <c r="AD356" s="1" t="s">
        <v>34</v>
      </c>
      <c r="AE356">
        <f t="shared" si="29"/>
        <v>0</v>
      </c>
    </row>
    <row r="357" spans="1:31" x14ac:dyDescent="0.25">
      <c r="A357" s="1"/>
      <c r="B357" s="1" t="s">
        <v>817</v>
      </c>
      <c r="C357" s="15" t="s">
        <v>816</v>
      </c>
      <c r="D357" s="4"/>
      <c r="E357" s="13">
        <v>46230</v>
      </c>
      <c r="F357" s="10">
        <v>7</v>
      </c>
      <c r="G357" s="16">
        <f>(D357-(0)+0-(F357*Ventas!AE361*1.8))</f>
        <v>0</v>
      </c>
      <c r="H357" s="4"/>
      <c r="I357" s="11">
        <v>0</v>
      </c>
      <c r="J357" s="16">
        <f t="shared" si="25"/>
        <v>0</v>
      </c>
      <c r="K357" s="4"/>
      <c r="L357" s="13">
        <v>46275</v>
      </c>
      <c r="M357" s="10">
        <v>45</v>
      </c>
      <c r="N357" s="16">
        <f>(IF(G357&gt;0,G357+I357,I357)-(M357*Ventas!AE361*1.0044))</f>
        <v>0</v>
      </c>
      <c r="O357" s="4"/>
      <c r="P357" s="11">
        <v>0</v>
      </c>
      <c r="Q357" s="16">
        <f t="shared" si="26"/>
        <v>0</v>
      </c>
      <c r="R357" s="4"/>
      <c r="S357" s="13">
        <v>46331</v>
      </c>
      <c r="T357" s="10">
        <v>56</v>
      </c>
      <c r="U357" s="16">
        <f>(IF(N357&gt;0,N357+P357,P357)-(T357*Ventas!AE361*0.9018))</f>
        <v>0</v>
      </c>
      <c r="V357" s="4"/>
      <c r="W357" s="16">
        <f>(100*(Ventas!AE361*1.235) - IF(U357&gt;0,U357,0))</f>
        <v>0</v>
      </c>
      <c r="X357" s="16">
        <f t="shared" si="27"/>
        <v>0</v>
      </c>
      <c r="Y357" s="16">
        <f t="shared" si="28"/>
        <v>0</v>
      </c>
      <c r="Z357" s="4"/>
      <c r="AA357" s="4"/>
      <c r="AB357" s="4"/>
      <c r="AC357" s="4"/>
      <c r="AD357" s="1" t="s">
        <v>34</v>
      </c>
      <c r="AE357">
        <f t="shared" si="29"/>
        <v>0</v>
      </c>
    </row>
    <row r="358" spans="1:31" x14ac:dyDescent="0.25">
      <c r="A358" s="1"/>
      <c r="B358" s="1" t="s">
        <v>819</v>
      </c>
      <c r="C358" s="15" t="s">
        <v>818</v>
      </c>
      <c r="D358" s="4"/>
      <c r="E358" s="13">
        <v>46230</v>
      </c>
      <c r="F358" s="10">
        <v>7</v>
      </c>
      <c r="G358" s="16">
        <f>(D358-(0)+0-(F358*Ventas!AE362*1.8))</f>
        <v>0</v>
      </c>
      <c r="H358" s="4"/>
      <c r="I358" s="11">
        <v>81</v>
      </c>
      <c r="J358" s="16">
        <f t="shared" si="25"/>
        <v>81</v>
      </c>
      <c r="K358" s="16">
        <v>9.8000000000000007</v>
      </c>
      <c r="L358" s="13">
        <v>46275</v>
      </c>
      <c r="M358" s="10">
        <v>45</v>
      </c>
      <c r="N358" s="16">
        <f>(IF(G358&gt;0,G358+I358,I358)-(M358*Ventas!AE362*1.0044))</f>
        <v>81</v>
      </c>
      <c r="O358" s="4"/>
      <c r="P358" s="11">
        <v>0</v>
      </c>
      <c r="Q358" s="16">
        <f t="shared" si="26"/>
        <v>81</v>
      </c>
      <c r="R358" s="4"/>
      <c r="S358" s="13">
        <v>46331</v>
      </c>
      <c r="T358" s="10">
        <v>56</v>
      </c>
      <c r="U358" s="16">
        <f>(IF(N358&gt;0,N358+P358,P358)-(T358*Ventas!AE362*0.9018))</f>
        <v>81</v>
      </c>
      <c r="V358" s="4"/>
      <c r="W358" s="16">
        <f>(100*(Ventas!AE362*1.235) - IF(U358&gt;0,U358,0))</f>
        <v>-81</v>
      </c>
      <c r="X358" s="16">
        <f t="shared" si="27"/>
        <v>0</v>
      </c>
      <c r="Y358" s="16">
        <f t="shared" si="28"/>
        <v>81</v>
      </c>
      <c r="Z358" s="18">
        <v>9.8000000000000007</v>
      </c>
      <c r="AA358" s="11">
        <v>3027</v>
      </c>
      <c r="AB358" s="4"/>
      <c r="AC358" s="4"/>
      <c r="AD358" s="1" t="s">
        <v>34</v>
      </c>
      <c r="AE358">
        <f t="shared" si="29"/>
        <v>0</v>
      </c>
    </row>
    <row r="359" spans="1:31" x14ac:dyDescent="0.25">
      <c r="A359" s="1"/>
      <c r="B359" s="1" t="s">
        <v>821</v>
      </c>
      <c r="C359" s="15" t="s">
        <v>820</v>
      </c>
      <c r="D359" s="4"/>
      <c r="E359" s="13">
        <v>46230</v>
      </c>
      <c r="F359" s="10">
        <v>7</v>
      </c>
      <c r="G359" s="16">
        <f>(D359-(0)+0-(F359*Ventas!AE363*1.8))</f>
        <v>0</v>
      </c>
      <c r="H359" s="4"/>
      <c r="I359" s="11">
        <v>0</v>
      </c>
      <c r="J359" s="16">
        <f t="shared" si="25"/>
        <v>0</v>
      </c>
      <c r="K359" s="4"/>
      <c r="L359" s="13">
        <v>46275</v>
      </c>
      <c r="M359" s="10">
        <v>45</v>
      </c>
      <c r="N359" s="16">
        <f>(IF(G359&gt;0,G359+I359,I359)-(M359*Ventas!AE363*1.0044))</f>
        <v>0</v>
      </c>
      <c r="O359" s="4"/>
      <c r="P359" s="11">
        <v>0</v>
      </c>
      <c r="Q359" s="16">
        <f t="shared" si="26"/>
        <v>0</v>
      </c>
      <c r="R359" s="4"/>
      <c r="S359" s="13">
        <v>46331</v>
      </c>
      <c r="T359" s="10">
        <v>56</v>
      </c>
      <c r="U359" s="16">
        <f>(IF(N359&gt;0,N359+P359,P359)-(T359*Ventas!AE363*0.9018))</f>
        <v>0</v>
      </c>
      <c r="V359" s="4"/>
      <c r="W359" s="16">
        <f>(100*(Ventas!AE363*1.235) - IF(U359&gt;0,U359,0))</f>
        <v>0</v>
      </c>
      <c r="X359" s="16">
        <f t="shared" si="27"/>
        <v>0</v>
      </c>
      <c r="Y359" s="16">
        <f t="shared" si="28"/>
        <v>0</v>
      </c>
      <c r="Z359" s="4"/>
      <c r="AA359" s="4"/>
      <c r="AB359" s="4"/>
      <c r="AC359" s="4"/>
      <c r="AD359" s="1" t="s">
        <v>34</v>
      </c>
      <c r="AE359">
        <f t="shared" si="29"/>
        <v>0</v>
      </c>
    </row>
    <row r="360" spans="1:31" x14ac:dyDescent="0.25">
      <c r="A360" s="1"/>
      <c r="B360" s="1" t="s">
        <v>823</v>
      </c>
      <c r="C360" s="15" t="s">
        <v>822</v>
      </c>
      <c r="D360" s="4"/>
      <c r="E360" s="13">
        <v>46230</v>
      </c>
      <c r="F360" s="10">
        <v>7</v>
      </c>
      <c r="G360" s="16">
        <f>(D360-(0)+0-(F360*Ventas!AE364*1.8))</f>
        <v>0</v>
      </c>
      <c r="H360" s="4"/>
      <c r="I360" s="11">
        <v>50</v>
      </c>
      <c r="J360" s="16">
        <f t="shared" si="25"/>
        <v>50</v>
      </c>
      <c r="K360" s="16">
        <v>7.4</v>
      </c>
      <c r="L360" s="13">
        <v>46275</v>
      </c>
      <c r="M360" s="10">
        <v>45</v>
      </c>
      <c r="N360" s="16">
        <f>(IF(G360&gt;0,G360+I360,I360)-(M360*Ventas!AE364*1.0044))</f>
        <v>50</v>
      </c>
      <c r="O360" s="4"/>
      <c r="P360" s="11">
        <v>0</v>
      </c>
      <c r="Q360" s="16">
        <f t="shared" si="26"/>
        <v>50</v>
      </c>
      <c r="R360" s="4"/>
      <c r="S360" s="13">
        <v>46331</v>
      </c>
      <c r="T360" s="10">
        <v>56</v>
      </c>
      <c r="U360" s="16">
        <f>(IF(N360&gt;0,N360+P360,P360)-(T360*Ventas!AE364*0.9018))</f>
        <v>50</v>
      </c>
      <c r="V360" s="4"/>
      <c r="W360" s="16">
        <f>(100*(Ventas!AE364*1.235) - IF(U360&gt;0,U360,0))</f>
        <v>-50</v>
      </c>
      <c r="X360" s="16">
        <f t="shared" si="27"/>
        <v>0</v>
      </c>
      <c r="Y360" s="16">
        <f t="shared" si="28"/>
        <v>50</v>
      </c>
      <c r="Z360" s="18">
        <v>7.4</v>
      </c>
      <c r="AA360" s="11">
        <v>3027</v>
      </c>
      <c r="AB360" s="4"/>
      <c r="AC360" s="4"/>
      <c r="AD360" s="1" t="s">
        <v>34</v>
      </c>
      <c r="AE360">
        <f t="shared" si="29"/>
        <v>0</v>
      </c>
    </row>
    <row r="361" spans="1:31" x14ac:dyDescent="0.25">
      <c r="A361" s="1" t="s">
        <v>826</v>
      </c>
      <c r="B361" s="1" t="s">
        <v>825</v>
      </c>
      <c r="C361" s="15" t="s">
        <v>824</v>
      </c>
      <c r="D361" s="4"/>
      <c r="E361" s="13">
        <v>46230</v>
      </c>
      <c r="F361" s="10">
        <v>7</v>
      </c>
      <c r="G361" s="16">
        <f>(D361-(0)+0-(F361*Ventas!AE365*1.8))</f>
        <v>0</v>
      </c>
      <c r="H361" s="4"/>
      <c r="I361" s="11">
        <v>0</v>
      </c>
      <c r="J361" s="16">
        <f t="shared" si="25"/>
        <v>0</v>
      </c>
      <c r="K361" s="4"/>
      <c r="L361" s="13">
        <v>46275</v>
      </c>
      <c r="M361" s="10">
        <v>45</v>
      </c>
      <c r="N361" s="16">
        <f>(IF(G361&gt;0,G361+I361,I361)-(M361*Ventas!AE365*1.0044))</f>
        <v>0</v>
      </c>
      <c r="O361" s="4"/>
      <c r="P361" s="11">
        <v>50</v>
      </c>
      <c r="Q361" s="16">
        <f t="shared" si="26"/>
        <v>50</v>
      </c>
      <c r="R361" s="16">
        <v>22.8</v>
      </c>
      <c r="S361" s="13">
        <v>46331</v>
      </c>
      <c r="T361" s="10">
        <v>56</v>
      </c>
      <c r="U361" s="16">
        <f>(IF(N361&gt;0,N361+P361,P361)-(T361*Ventas!AE365*0.9018))</f>
        <v>50</v>
      </c>
      <c r="V361" s="4"/>
      <c r="W361" s="16">
        <f>(100*(Ventas!AE365*1.235) - IF(U361&gt;0,U361,0))</f>
        <v>-50</v>
      </c>
      <c r="X361" s="16">
        <f t="shared" si="27"/>
        <v>0</v>
      </c>
      <c r="Y361" s="16">
        <f t="shared" si="28"/>
        <v>50</v>
      </c>
      <c r="Z361" s="4"/>
      <c r="AA361" s="4"/>
      <c r="AB361" s="4"/>
      <c r="AC361" s="4"/>
      <c r="AD361" s="1" t="s">
        <v>34</v>
      </c>
      <c r="AE361">
        <f t="shared" si="29"/>
        <v>0</v>
      </c>
    </row>
    <row r="362" spans="1:31" x14ac:dyDescent="0.25">
      <c r="A362" s="1"/>
      <c r="B362" s="1" t="s">
        <v>828</v>
      </c>
      <c r="C362" s="15" t="s">
        <v>827</v>
      </c>
      <c r="D362" s="4"/>
      <c r="E362" s="13">
        <v>46230</v>
      </c>
      <c r="F362" s="10">
        <v>7</v>
      </c>
      <c r="G362" s="16">
        <f>(D362-(0)+0-(F362*Ventas!AE366*1.8))</f>
        <v>0</v>
      </c>
      <c r="H362" s="4"/>
      <c r="I362" s="11">
        <v>0</v>
      </c>
      <c r="J362" s="16">
        <f t="shared" si="25"/>
        <v>0</v>
      </c>
      <c r="K362" s="4"/>
      <c r="L362" s="13">
        <v>46275</v>
      </c>
      <c r="M362" s="10">
        <v>45</v>
      </c>
      <c r="N362" s="16">
        <f>(IF(G362&gt;0,G362+I362,I362)-(M362*Ventas!AE366*1.0044))</f>
        <v>0</v>
      </c>
      <c r="O362" s="4"/>
      <c r="P362" s="11">
        <v>0</v>
      </c>
      <c r="Q362" s="16">
        <f t="shared" si="26"/>
        <v>0</v>
      </c>
      <c r="R362" s="4"/>
      <c r="S362" s="13">
        <v>46331</v>
      </c>
      <c r="T362" s="10">
        <v>56</v>
      </c>
      <c r="U362" s="16">
        <f>(IF(N362&gt;0,N362+P362,P362)-(T362*Ventas!AE366*0.9018))</f>
        <v>0</v>
      </c>
      <c r="V362" s="4"/>
      <c r="W362" s="16">
        <f>(100*(Ventas!AE366*1.235) - IF(U362&gt;0,U362,0))</f>
        <v>0</v>
      </c>
      <c r="X362" s="16">
        <f t="shared" si="27"/>
        <v>0</v>
      </c>
      <c r="Y362" s="16">
        <f t="shared" si="28"/>
        <v>0</v>
      </c>
      <c r="Z362" s="4"/>
      <c r="AA362" s="4"/>
      <c r="AB362" s="4"/>
      <c r="AC362" s="4"/>
      <c r="AD362" s="1" t="s">
        <v>34</v>
      </c>
      <c r="AE362">
        <f t="shared" si="29"/>
        <v>0</v>
      </c>
    </row>
    <row r="363" spans="1:31" x14ac:dyDescent="0.25">
      <c r="A363" s="1"/>
      <c r="B363" s="1" t="s">
        <v>842</v>
      </c>
      <c r="C363" s="15" t="s">
        <v>841</v>
      </c>
      <c r="D363" s="4"/>
      <c r="E363" s="13">
        <v>46230</v>
      </c>
      <c r="F363" s="10">
        <v>7</v>
      </c>
      <c r="G363" s="16">
        <f>(D363-(0)+0-(F363*Ventas!AE373*1))</f>
        <v>0</v>
      </c>
      <c r="H363" s="4"/>
      <c r="I363" s="11">
        <v>0</v>
      </c>
      <c r="J363" s="16">
        <f t="shared" si="25"/>
        <v>0</v>
      </c>
      <c r="K363" s="4"/>
      <c r="L363" s="13">
        <v>46275</v>
      </c>
      <c r="M363" s="10">
        <v>45</v>
      </c>
      <c r="N363" s="16">
        <f>(IF(G363&gt;0,G363+I363,I363)-(M363*Ventas!AE373*1))</f>
        <v>0</v>
      </c>
      <c r="O363" s="4"/>
      <c r="P363" s="11">
        <v>0</v>
      </c>
      <c r="Q363" s="16">
        <f t="shared" si="26"/>
        <v>0</v>
      </c>
      <c r="R363" s="4"/>
      <c r="S363" s="13">
        <v>46331</v>
      </c>
      <c r="T363" s="10">
        <v>56</v>
      </c>
      <c r="U363" s="16">
        <f>(IF(N363&gt;0,N363+P363,P363)-(T363*Ventas!AE373*1))</f>
        <v>0</v>
      </c>
      <c r="V363" s="4"/>
      <c r="W363" s="16">
        <f>(100*(Ventas!AE373*1.135) - IF(U363&gt;0,U363,0))</f>
        <v>0</v>
      </c>
      <c r="X363" s="16">
        <f t="shared" si="27"/>
        <v>0</v>
      </c>
      <c r="Y363" s="16">
        <f t="shared" si="28"/>
        <v>0</v>
      </c>
      <c r="Z363" s="18">
        <v>21.5</v>
      </c>
      <c r="AA363" s="11">
        <v>3027</v>
      </c>
      <c r="AB363" s="4"/>
      <c r="AC363" s="4"/>
      <c r="AD363" s="1" t="s">
        <v>107</v>
      </c>
      <c r="AE363">
        <f t="shared" si="29"/>
        <v>0</v>
      </c>
    </row>
    <row r="364" spans="1:31" x14ac:dyDescent="0.25">
      <c r="A364" s="1"/>
      <c r="B364" s="1" t="s">
        <v>844</v>
      </c>
      <c r="C364" s="15" t="s">
        <v>843</v>
      </c>
      <c r="D364" s="4"/>
      <c r="E364" s="13">
        <v>46230</v>
      </c>
      <c r="F364" s="10">
        <v>7</v>
      </c>
      <c r="G364" s="16">
        <f>(D364-(0)+0-(F364*Ventas!AE374*1))</f>
        <v>0</v>
      </c>
      <c r="H364" s="4"/>
      <c r="I364" s="11">
        <v>0</v>
      </c>
      <c r="J364" s="16">
        <f t="shared" si="25"/>
        <v>0</v>
      </c>
      <c r="K364" s="4"/>
      <c r="L364" s="13">
        <v>46275</v>
      </c>
      <c r="M364" s="10">
        <v>45</v>
      </c>
      <c r="N364" s="16">
        <f>(IF(G364&gt;0,G364+I364,I364)-(M364*Ventas!AE374*1))</f>
        <v>0</v>
      </c>
      <c r="O364" s="4"/>
      <c r="P364" s="11">
        <v>0</v>
      </c>
      <c r="Q364" s="16">
        <f t="shared" si="26"/>
        <v>0</v>
      </c>
      <c r="R364" s="4"/>
      <c r="S364" s="13">
        <v>46331</v>
      </c>
      <c r="T364" s="10">
        <v>56</v>
      </c>
      <c r="U364" s="16">
        <f>(IF(N364&gt;0,N364+P364,P364)-(T364*Ventas!AE374*1))</f>
        <v>0</v>
      </c>
      <c r="V364" s="4"/>
      <c r="W364" s="16">
        <f>(100*(Ventas!AE374*1.135) - IF(U364&gt;0,U364,0))</f>
        <v>0</v>
      </c>
      <c r="X364" s="16">
        <f t="shared" si="27"/>
        <v>0</v>
      </c>
      <c r="Y364" s="16">
        <f t="shared" si="28"/>
        <v>0</v>
      </c>
      <c r="Z364" s="18">
        <v>23.552399999999999</v>
      </c>
      <c r="AA364" s="11">
        <v>3017</v>
      </c>
      <c r="AB364" s="4"/>
      <c r="AC364" s="4"/>
      <c r="AD364" s="1" t="s">
        <v>107</v>
      </c>
      <c r="AE364">
        <f t="shared" si="29"/>
        <v>0</v>
      </c>
    </row>
    <row r="365" spans="1:31" x14ac:dyDescent="0.25">
      <c r="A365" s="1"/>
      <c r="B365" s="1" t="s">
        <v>846</v>
      </c>
      <c r="C365" s="15" t="s">
        <v>845</v>
      </c>
      <c r="D365" s="4"/>
      <c r="E365" s="13">
        <v>46230</v>
      </c>
      <c r="F365" s="10">
        <v>7</v>
      </c>
      <c r="G365" s="16">
        <f>(D365-(0)+0-(F365*Ventas!AE375*1))</f>
        <v>0</v>
      </c>
      <c r="H365" s="4"/>
      <c r="I365" s="11">
        <v>0</v>
      </c>
      <c r="J365" s="16">
        <f t="shared" si="25"/>
        <v>0</v>
      </c>
      <c r="K365" s="4"/>
      <c r="L365" s="13">
        <v>46275</v>
      </c>
      <c r="M365" s="10">
        <v>45</v>
      </c>
      <c r="N365" s="16">
        <f>(IF(G365&gt;0,G365+I365,I365)-(M365*Ventas!AE375*1))</f>
        <v>0</v>
      </c>
      <c r="O365" s="4"/>
      <c r="P365" s="11">
        <v>0</v>
      </c>
      <c r="Q365" s="16">
        <f t="shared" si="26"/>
        <v>0</v>
      </c>
      <c r="R365" s="4"/>
      <c r="S365" s="13">
        <v>46331</v>
      </c>
      <c r="T365" s="10">
        <v>56</v>
      </c>
      <c r="U365" s="16">
        <f>(IF(N365&gt;0,N365+P365,P365)-(T365*Ventas!AE375*1))</f>
        <v>0</v>
      </c>
      <c r="V365" s="4"/>
      <c r="W365" s="16">
        <f>(100*(Ventas!AE375*1.135) - IF(U365&gt;0,U365,0))</f>
        <v>0</v>
      </c>
      <c r="X365" s="16">
        <f t="shared" si="27"/>
        <v>0</v>
      </c>
      <c r="Y365" s="16">
        <f t="shared" si="28"/>
        <v>0</v>
      </c>
      <c r="Z365" s="18">
        <v>21.8</v>
      </c>
      <c r="AA365" s="11">
        <v>3027</v>
      </c>
      <c r="AB365" s="4"/>
      <c r="AC365" s="4"/>
      <c r="AD365" s="1" t="s">
        <v>107</v>
      </c>
      <c r="AE365">
        <f t="shared" si="29"/>
        <v>0</v>
      </c>
    </row>
    <row r="366" spans="1:31" x14ac:dyDescent="0.25">
      <c r="A366" s="1"/>
      <c r="B366" s="1" t="s">
        <v>848</v>
      </c>
      <c r="C366" s="15" t="s">
        <v>847</v>
      </c>
      <c r="D366" s="4"/>
      <c r="E366" s="13">
        <v>46230</v>
      </c>
      <c r="F366" s="10">
        <v>7</v>
      </c>
      <c r="G366" s="16">
        <f>(D366-(0)+0-(F366*Ventas!AE376*1))</f>
        <v>0</v>
      </c>
      <c r="H366" s="4"/>
      <c r="I366" s="11">
        <v>0</v>
      </c>
      <c r="J366" s="16">
        <f t="shared" si="25"/>
        <v>0</v>
      </c>
      <c r="K366" s="4"/>
      <c r="L366" s="13">
        <v>46275</v>
      </c>
      <c r="M366" s="10">
        <v>45</v>
      </c>
      <c r="N366" s="16">
        <f>(IF(G366&gt;0,G366+I366,I366)-(M366*Ventas!AE376*1))</f>
        <v>0</v>
      </c>
      <c r="O366" s="4"/>
      <c r="P366" s="11">
        <v>0</v>
      </c>
      <c r="Q366" s="16">
        <f t="shared" si="26"/>
        <v>0</v>
      </c>
      <c r="R366" s="4"/>
      <c r="S366" s="13">
        <v>46331</v>
      </c>
      <c r="T366" s="10">
        <v>56</v>
      </c>
      <c r="U366" s="16">
        <f>(IF(N366&gt;0,N366+P366,P366)-(T366*Ventas!AE376*1))</f>
        <v>0</v>
      </c>
      <c r="V366" s="4"/>
      <c r="W366" s="16">
        <f>(100*(Ventas!AE376*1.135) - IF(U366&gt;0,U366,0))</f>
        <v>0</v>
      </c>
      <c r="X366" s="16">
        <f t="shared" si="27"/>
        <v>0</v>
      </c>
      <c r="Y366" s="16">
        <f t="shared" si="28"/>
        <v>0</v>
      </c>
      <c r="Z366" s="4"/>
      <c r="AA366" s="4"/>
      <c r="AB366" s="4"/>
      <c r="AC366" s="4"/>
      <c r="AD366" s="1" t="s">
        <v>34</v>
      </c>
      <c r="AE366">
        <f t="shared" si="29"/>
        <v>0</v>
      </c>
    </row>
    <row r="367" spans="1:31" x14ac:dyDescent="0.25">
      <c r="A367" s="1"/>
      <c r="B367" s="1" t="s">
        <v>850</v>
      </c>
      <c r="C367" s="15" t="s">
        <v>849</v>
      </c>
      <c r="D367" s="4"/>
      <c r="E367" s="13">
        <v>46230</v>
      </c>
      <c r="F367" s="10">
        <v>7</v>
      </c>
      <c r="G367" s="16">
        <f>(D367-(0)+0-(F367*Ventas!AE377*1))</f>
        <v>0</v>
      </c>
      <c r="H367" s="4"/>
      <c r="I367" s="11">
        <v>0</v>
      </c>
      <c r="J367" s="16">
        <f t="shared" si="25"/>
        <v>0</v>
      </c>
      <c r="K367" s="4"/>
      <c r="L367" s="13">
        <v>46275</v>
      </c>
      <c r="M367" s="10">
        <v>45</v>
      </c>
      <c r="N367" s="16">
        <f>(IF(G367&gt;0,G367+I367,I367)-(M367*Ventas!AE377*1))</f>
        <v>0</v>
      </c>
      <c r="O367" s="4"/>
      <c r="P367" s="11">
        <v>0</v>
      </c>
      <c r="Q367" s="16">
        <f t="shared" si="26"/>
        <v>0</v>
      </c>
      <c r="R367" s="4"/>
      <c r="S367" s="13">
        <v>46331</v>
      </c>
      <c r="T367" s="10">
        <v>56</v>
      </c>
      <c r="U367" s="16">
        <f>(IF(N367&gt;0,N367+P367,P367)-(T367*Ventas!AE377*1))</f>
        <v>0</v>
      </c>
      <c r="V367" s="4"/>
      <c r="W367" s="16">
        <f>(100*(Ventas!AE377*1.135) - IF(U367&gt;0,U367,0))</f>
        <v>0</v>
      </c>
      <c r="X367" s="16">
        <f t="shared" si="27"/>
        <v>0</v>
      </c>
      <c r="Y367" s="16">
        <f t="shared" si="28"/>
        <v>0</v>
      </c>
      <c r="Z367" s="4"/>
      <c r="AA367" s="4"/>
      <c r="AB367" s="4"/>
      <c r="AC367" s="4"/>
      <c r="AD367" s="1" t="s">
        <v>34</v>
      </c>
      <c r="AE367">
        <f t="shared" si="29"/>
        <v>0</v>
      </c>
    </row>
    <row r="368" spans="1:31" x14ac:dyDescent="0.25">
      <c r="A368" s="1"/>
      <c r="B368" s="1" t="s">
        <v>852</v>
      </c>
      <c r="C368" s="15" t="s">
        <v>851</v>
      </c>
      <c r="D368" s="4"/>
      <c r="E368" s="13">
        <v>46230</v>
      </c>
      <c r="F368" s="10">
        <v>7</v>
      </c>
      <c r="G368" s="16">
        <f>(D368-(0)+0-(F368*Ventas!AE378*1))</f>
        <v>0</v>
      </c>
      <c r="H368" s="4"/>
      <c r="I368" s="11">
        <v>0</v>
      </c>
      <c r="J368" s="16">
        <f t="shared" si="25"/>
        <v>0</v>
      </c>
      <c r="K368" s="4"/>
      <c r="L368" s="13">
        <v>46275</v>
      </c>
      <c r="M368" s="10">
        <v>45</v>
      </c>
      <c r="N368" s="16">
        <f>(IF(G368&gt;0,G368+I368,I368)-(M368*Ventas!AE378*1))</f>
        <v>0</v>
      </c>
      <c r="O368" s="4"/>
      <c r="P368" s="11">
        <v>0</v>
      </c>
      <c r="Q368" s="16">
        <f t="shared" si="26"/>
        <v>0</v>
      </c>
      <c r="R368" s="4"/>
      <c r="S368" s="13">
        <v>46331</v>
      </c>
      <c r="T368" s="10">
        <v>56</v>
      </c>
      <c r="U368" s="16">
        <f>(IF(N368&gt;0,N368+P368,P368)-(T368*Ventas!AE378*1))</f>
        <v>0</v>
      </c>
      <c r="V368" s="4"/>
      <c r="W368" s="16">
        <f>(100*(Ventas!AE378*1.135) - IF(U368&gt;0,U368,0))</f>
        <v>0</v>
      </c>
      <c r="X368" s="16">
        <f t="shared" si="27"/>
        <v>0</v>
      </c>
      <c r="Y368" s="16">
        <f t="shared" si="28"/>
        <v>0</v>
      </c>
      <c r="Z368" s="4"/>
      <c r="AA368" s="4"/>
      <c r="AB368" s="4"/>
      <c r="AC368" s="4"/>
      <c r="AD368" s="1" t="s">
        <v>34</v>
      </c>
      <c r="AE368">
        <f t="shared" si="29"/>
        <v>0</v>
      </c>
    </row>
    <row r="369" spans="1:31" x14ac:dyDescent="0.25">
      <c r="A369" s="1"/>
      <c r="B369" s="1" t="s">
        <v>854</v>
      </c>
      <c r="C369" s="15" t="s">
        <v>853</v>
      </c>
      <c r="D369" s="4"/>
      <c r="E369" s="13">
        <v>46230</v>
      </c>
      <c r="F369" s="10">
        <v>7</v>
      </c>
      <c r="G369" s="16">
        <f>(D369-(0)+0-(F369*Ventas!AE379*1))</f>
        <v>0</v>
      </c>
      <c r="H369" s="4"/>
      <c r="I369" s="11">
        <v>0</v>
      </c>
      <c r="J369" s="16">
        <f t="shared" si="25"/>
        <v>0</v>
      </c>
      <c r="K369" s="4"/>
      <c r="L369" s="13">
        <v>46275</v>
      </c>
      <c r="M369" s="10">
        <v>45</v>
      </c>
      <c r="N369" s="16">
        <f>(IF(G369&gt;0,G369+I369,I369)-(M369*Ventas!AE379*1))</f>
        <v>0</v>
      </c>
      <c r="O369" s="4"/>
      <c r="P369" s="11">
        <v>0</v>
      </c>
      <c r="Q369" s="16">
        <f t="shared" si="26"/>
        <v>0</v>
      </c>
      <c r="R369" s="4"/>
      <c r="S369" s="13">
        <v>46331</v>
      </c>
      <c r="T369" s="10">
        <v>56</v>
      </c>
      <c r="U369" s="16">
        <f>(IF(N369&gt;0,N369+P369,P369)-(T369*Ventas!AE379*1))</f>
        <v>0</v>
      </c>
      <c r="V369" s="4"/>
      <c r="W369" s="16">
        <f>(100*(Ventas!AE379*1.135) - IF(U369&gt;0,U369,0))</f>
        <v>0</v>
      </c>
      <c r="X369" s="16">
        <f t="shared" si="27"/>
        <v>0</v>
      </c>
      <c r="Y369" s="16">
        <f t="shared" si="28"/>
        <v>0</v>
      </c>
      <c r="Z369" s="18">
        <v>22.8</v>
      </c>
      <c r="AA369" s="11">
        <v>3027</v>
      </c>
      <c r="AB369" s="4"/>
      <c r="AC369" s="4"/>
      <c r="AD369" s="1" t="s">
        <v>34</v>
      </c>
      <c r="AE369">
        <f t="shared" si="29"/>
        <v>0</v>
      </c>
    </row>
    <row r="370" spans="1:31" x14ac:dyDescent="0.25">
      <c r="A370" s="1"/>
      <c r="B370" s="1" t="s">
        <v>856</v>
      </c>
      <c r="C370" s="15" t="s">
        <v>855</v>
      </c>
      <c r="D370" s="4"/>
      <c r="E370" s="13">
        <v>46230</v>
      </c>
      <c r="F370" s="10">
        <v>7</v>
      </c>
      <c r="G370" s="16">
        <f>(D370-(0)+0-(F370*Ventas!AE380*1))</f>
        <v>0</v>
      </c>
      <c r="H370" s="4"/>
      <c r="I370" s="11">
        <v>0</v>
      </c>
      <c r="J370" s="16">
        <f t="shared" si="25"/>
        <v>0</v>
      </c>
      <c r="K370" s="4"/>
      <c r="L370" s="13">
        <v>46275</v>
      </c>
      <c r="M370" s="10">
        <v>45</v>
      </c>
      <c r="N370" s="16">
        <f>(IF(G370&gt;0,G370+I370,I370)-(M370*Ventas!AE380*1))</f>
        <v>0</v>
      </c>
      <c r="O370" s="4"/>
      <c r="P370" s="11">
        <v>0</v>
      </c>
      <c r="Q370" s="16">
        <f t="shared" si="26"/>
        <v>0</v>
      </c>
      <c r="R370" s="4"/>
      <c r="S370" s="13">
        <v>46331</v>
      </c>
      <c r="T370" s="10">
        <v>56</v>
      </c>
      <c r="U370" s="16">
        <f>(IF(N370&gt;0,N370+P370,P370)-(T370*Ventas!AE380*1))</f>
        <v>0</v>
      </c>
      <c r="V370" s="4"/>
      <c r="W370" s="16">
        <f>(100*(Ventas!AE380*1.135) - IF(U370&gt;0,U370,0))</f>
        <v>0</v>
      </c>
      <c r="X370" s="16">
        <f t="shared" si="27"/>
        <v>0</v>
      </c>
      <c r="Y370" s="16">
        <f t="shared" si="28"/>
        <v>0</v>
      </c>
      <c r="Z370" s="18">
        <v>25.8</v>
      </c>
      <c r="AA370" s="11">
        <v>3027</v>
      </c>
      <c r="AB370" s="4"/>
      <c r="AC370" s="4"/>
      <c r="AD370" s="1" t="s">
        <v>34</v>
      </c>
      <c r="AE370">
        <f t="shared" si="29"/>
        <v>0</v>
      </c>
    </row>
    <row r="371" spans="1:31" x14ac:dyDescent="0.25">
      <c r="A371" s="1"/>
      <c r="B371" s="1" t="s">
        <v>858</v>
      </c>
      <c r="C371" s="15" t="s">
        <v>857</v>
      </c>
      <c r="D371" s="4"/>
      <c r="E371" s="13">
        <v>46230</v>
      </c>
      <c r="F371" s="10">
        <v>7</v>
      </c>
      <c r="G371" s="16">
        <f>(D371-(0)+0-(F371*Ventas!AE381*1))</f>
        <v>0</v>
      </c>
      <c r="H371" s="4"/>
      <c r="I371" s="11">
        <v>0</v>
      </c>
      <c r="J371" s="16">
        <f t="shared" si="25"/>
        <v>0</v>
      </c>
      <c r="K371" s="4"/>
      <c r="L371" s="13">
        <v>46275</v>
      </c>
      <c r="M371" s="10">
        <v>45</v>
      </c>
      <c r="N371" s="16">
        <f>(IF(G371&gt;0,G371+I371,I371)-(M371*Ventas!AE381*1))</f>
        <v>0</v>
      </c>
      <c r="O371" s="4"/>
      <c r="P371" s="11">
        <v>0</v>
      </c>
      <c r="Q371" s="16">
        <f t="shared" si="26"/>
        <v>0</v>
      </c>
      <c r="R371" s="4"/>
      <c r="S371" s="13">
        <v>46331</v>
      </c>
      <c r="T371" s="10">
        <v>56</v>
      </c>
      <c r="U371" s="16">
        <f>(IF(N371&gt;0,N371+P371,P371)-(T371*Ventas!AE381*1))</f>
        <v>0</v>
      </c>
      <c r="V371" s="4"/>
      <c r="W371" s="16">
        <f>(100*(Ventas!AE381*1.135) - IF(U371&gt;0,U371,0))</f>
        <v>0</v>
      </c>
      <c r="X371" s="16">
        <f t="shared" si="27"/>
        <v>0</v>
      </c>
      <c r="Y371" s="16">
        <f t="shared" si="28"/>
        <v>0</v>
      </c>
      <c r="Z371" s="18">
        <v>26.3</v>
      </c>
      <c r="AA371" s="11">
        <v>3027</v>
      </c>
      <c r="AB371" s="4"/>
      <c r="AC371" s="4"/>
      <c r="AD371" s="1" t="s">
        <v>34</v>
      </c>
      <c r="AE371">
        <f t="shared" si="29"/>
        <v>0</v>
      </c>
    </row>
    <row r="372" spans="1:31" x14ac:dyDescent="0.25">
      <c r="A372" s="1"/>
      <c r="B372" s="1" t="s">
        <v>860</v>
      </c>
      <c r="C372" s="15" t="s">
        <v>859</v>
      </c>
      <c r="D372" s="4"/>
      <c r="E372" s="13">
        <v>46230</v>
      </c>
      <c r="F372" s="10">
        <v>7</v>
      </c>
      <c r="G372" s="16">
        <f>(D372-(0)+0-(F372*Ventas!AE382*1))</f>
        <v>0</v>
      </c>
      <c r="H372" s="4"/>
      <c r="I372" s="11">
        <v>0</v>
      </c>
      <c r="J372" s="16">
        <f t="shared" si="25"/>
        <v>0</v>
      </c>
      <c r="K372" s="4"/>
      <c r="L372" s="13">
        <v>46275</v>
      </c>
      <c r="M372" s="10">
        <v>45</v>
      </c>
      <c r="N372" s="16">
        <f>(IF(G372&gt;0,G372+I372,I372)-(M372*Ventas!AE382*1))</f>
        <v>0</v>
      </c>
      <c r="O372" s="4"/>
      <c r="P372" s="11">
        <v>0</v>
      </c>
      <c r="Q372" s="16">
        <f t="shared" si="26"/>
        <v>0</v>
      </c>
      <c r="R372" s="4"/>
      <c r="S372" s="13">
        <v>46331</v>
      </c>
      <c r="T372" s="10">
        <v>56</v>
      </c>
      <c r="U372" s="16">
        <f>(IF(N372&gt;0,N372+P372,P372)-(T372*Ventas!AE382*1))</f>
        <v>0</v>
      </c>
      <c r="V372" s="4"/>
      <c r="W372" s="16">
        <f>(100*(Ventas!AE382*1.135) - IF(U372&gt;0,U372,0))</f>
        <v>0</v>
      </c>
      <c r="X372" s="16">
        <f t="shared" si="27"/>
        <v>0</v>
      </c>
      <c r="Y372" s="16">
        <f t="shared" si="28"/>
        <v>0</v>
      </c>
      <c r="Z372" s="18">
        <v>21.2</v>
      </c>
      <c r="AA372" s="11">
        <v>3027</v>
      </c>
      <c r="AB372" s="4"/>
      <c r="AC372" s="4"/>
      <c r="AD372" s="1" t="s">
        <v>34</v>
      </c>
      <c r="AE372">
        <f t="shared" si="29"/>
        <v>0</v>
      </c>
    </row>
    <row r="373" spans="1:31" x14ac:dyDescent="0.25">
      <c r="A373" s="1"/>
      <c r="B373" s="1" t="s">
        <v>862</v>
      </c>
      <c r="C373" s="15" t="s">
        <v>861</v>
      </c>
      <c r="D373" s="11">
        <v>22</v>
      </c>
      <c r="E373" s="13">
        <v>46230</v>
      </c>
      <c r="F373" s="10">
        <v>7</v>
      </c>
      <c r="G373" s="16">
        <f>(D373-(0)+0-(F373*Ventas!AE383*1))</f>
        <v>21.895800000000001</v>
      </c>
      <c r="H373" s="17">
        <f>(G373/(Ventas!AE383*1)/40)</f>
        <v>36.773176583493282</v>
      </c>
      <c r="I373" s="11">
        <v>0</v>
      </c>
      <c r="J373" s="16">
        <f t="shared" si="25"/>
        <v>21.895800000000001</v>
      </c>
      <c r="K373" s="4"/>
      <c r="L373" s="13">
        <v>46275</v>
      </c>
      <c r="M373" s="10">
        <v>45</v>
      </c>
      <c r="N373" s="16">
        <f>(IF(G373&gt;0,G373+I373,I373)-(M373*Ventas!AE383*1))</f>
        <v>21.225942857142858</v>
      </c>
      <c r="O373" s="17">
        <f>(N373/(Ventas!AE383*1)/40)</f>
        <v>35.648176583493282</v>
      </c>
      <c r="P373" s="11">
        <v>0</v>
      </c>
      <c r="Q373" s="16">
        <f t="shared" si="26"/>
        <v>21.225942857142858</v>
      </c>
      <c r="R373" s="4"/>
      <c r="S373" s="13">
        <v>46331</v>
      </c>
      <c r="T373" s="10">
        <v>56</v>
      </c>
      <c r="U373" s="16">
        <f>(IF(N373&gt;0,N373+P373,P373)-(T373*Ventas!AE383*1))</f>
        <v>20.392342857142857</v>
      </c>
      <c r="V373" s="17">
        <f>(U373/(Ventas!AE383*1)/40)</f>
        <v>34.248176583493276</v>
      </c>
      <c r="W373" s="16">
        <f>(100*(Ventas!AE383*1.135) - IF(U373&gt;0,U373,0))</f>
        <v>-18.702814285714286</v>
      </c>
      <c r="X373" s="16">
        <f t="shared" si="27"/>
        <v>0</v>
      </c>
      <c r="Y373" s="16">
        <f t="shared" si="28"/>
        <v>20.392342857142857</v>
      </c>
      <c r="Z373" s="18">
        <v>26.8</v>
      </c>
      <c r="AA373" s="11">
        <v>3027</v>
      </c>
      <c r="AB373" s="16">
        <f>(Y373-(60*Ventas!AE383*1.135))</f>
        <v>19.378625714285715</v>
      </c>
      <c r="AC373" s="17">
        <f>(AB373/(Ventas!AE383*1.135)/40)</f>
        <v>28.674604919377337</v>
      </c>
      <c r="AD373" s="1" t="s">
        <v>34</v>
      </c>
      <c r="AE373">
        <f t="shared" si="29"/>
        <v>0</v>
      </c>
    </row>
    <row r="374" spans="1:31" x14ac:dyDescent="0.25">
      <c r="A374" s="1"/>
      <c r="B374" s="1" t="s">
        <v>864</v>
      </c>
      <c r="C374" s="15" t="s">
        <v>863</v>
      </c>
      <c r="D374" s="11">
        <v>41</v>
      </c>
      <c r="E374" s="13">
        <v>46230</v>
      </c>
      <c r="F374" s="10">
        <v>7</v>
      </c>
      <c r="G374" s="16">
        <f>(D374-(0)+0-(F374*Ventas!AE384*1))</f>
        <v>40.697499999999998</v>
      </c>
      <c r="H374" s="17">
        <f>(G374/(Ventas!AE384*1)/40)</f>
        <v>23.544008264462811</v>
      </c>
      <c r="I374" s="11">
        <v>0</v>
      </c>
      <c r="J374" s="16">
        <f t="shared" si="25"/>
        <v>40.697499999999998</v>
      </c>
      <c r="K374" s="4"/>
      <c r="L374" s="13">
        <v>46275</v>
      </c>
      <c r="M374" s="10">
        <v>45</v>
      </c>
      <c r="N374" s="16">
        <f>(IF(G374&gt;0,G374+I374,I374)-(M374*Ventas!AE384*1))</f>
        <v>38.752857142857138</v>
      </c>
      <c r="O374" s="17">
        <f>(N374/(Ventas!AE384*1)/40)</f>
        <v>22.419008264462811</v>
      </c>
      <c r="P374" s="11">
        <v>0</v>
      </c>
      <c r="Q374" s="16">
        <f t="shared" si="26"/>
        <v>38.752857142857138</v>
      </c>
      <c r="R374" s="4"/>
      <c r="S374" s="13">
        <v>46331</v>
      </c>
      <c r="T374" s="10">
        <v>56</v>
      </c>
      <c r="U374" s="16">
        <f>(IF(N374&gt;0,N374+P374,P374)-(T374*Ventas!AE384*1))</f>
        <v>36.332857142857137</v>
      </c>
      <c r="V374" s="17">
        <f>(U374/(Ventas!AE384*1)/40)</f>
        <v>21.019008264462805</v>
      </c>
      <c r="W374" s="16">
        <f>(100*(Ventas!AE384*1.135) - IF(U374&gt;0,U374,0))</f>
        <v>-31.428035714285709</v>
      </c>
      <c r="X374" s="16">
        <f t="shared" si="27"/>
        <v>0</v>
      </c>
      <c r="Y374" s="16">
        <f t="shared" si="28"/>
        <v>36.332857142857137</v>
      </c>
      <c r="Z374" s="4"/>
      <c r="AA374" s="4"/>
      <c r="AB374" s="16">
        <f>(Y374-(60*Ventas!AE384*1.135))</f>
        <v>33.389964285714278</v>
      </c>
      <c r="AC374" s="17">
        <f>(AB374/(Ventas!AE384*1.135)/40)</f>
        <v>17.018950012742557</v>
      </c>
      <c r="AD374" s="1" t="s">
        <v>34</v>
      </c>
      <c r="AE374">
        <f t="shared" si="29"/>
        <v>0</v>
      </c>
    </row>
    <row r="375" spans="1:31" x14ac:dyDescent="0.25">
      <c r="A375" s="1"/>
      <c r="B375" s="1" t="s">
        <v>866</v>
      </c>
      <c r="C375" s="15" t="s">
        <v>865</v>
      </c>
      <c r="D375" s="4"/>
      <c r="E375" s="13">
        <v>46230</v>
      </c>
      <c r="F375" s="10">
        <v>7</v>
      </c>
      <c r="G375" s="16">
        <f>(D375-(0)+0-(F375*Ventas!AE385*1.1))</f>
        <v>0</v>
      </c>
      <c r="H375" s="4"/>
      <c r="I375" s="11">
        <v>0</v>
      </c>
      <c r="J375" s="16">
        <f t="shared" si="25"/>
        <v>0</v>
      </c>
      <c r="K375" s="4"/>
      <c r="L375" s="13">
        <v>46275</v>
      </c>
      <c r="M375" s="10">
        <v>45</v>
      </c>
      <c r="N375" s="16">
        <f>(IF(G375&gt;0,G375+I375,I375)-(M375*Ventas!AE385*1.0456))</f>
        <v>0</v>
      </c>
      <c r="O375" s="4"/>
      <c r="P375" s="11">
        <v>0</v>
      </c>
      <c r="Q375" s="16">
        <f t="shared" si="26"/>
        <v>0</v>
      </c>
      <c r="R375" s="4"/>
      <c r="S375" s="13">
        <v>46331</v>
      </c>
      <c r="T375" s="10">
        <v>56</v>
      </c>
      <c r="U375" s="16">
        <f>(IF(N375&gt;0,N375+P375,P375)-(T375*Ventas!AE385*0.9018))</f>
        <v>0</v>
      </c>
      <c r="V375" s="4"/>
      <c r="W375" s="16">
        <f>(100*(Ventas!AE385*1.325) - IF(U375&gt;0,U375,0))</f>
        <v>0</v>
      </c>
      <c r="X375" s="16">
        <f t="shared" si="27"/>
        <v>0</v>
      </c>
      <c r="Y375" s="16">
        <f t="shared" si="28"/>
        <v>0</v>
      </c>
      <c r="Z375" s="18">
        <v>33.9</v>
      </c>
      <c r="AA375" s="11">
        <v>3027</v>
      </c>
      <c r="AB375" s="4"/>
      <c r="AC375" s="4"/>
      <c r="AD375" s="1" t="s">
        <v>107</v>
      </c>
      <c r="AE375">
        <f t="shared" si="29"/>
        <v>0</v>
      </c>
    </row>
    <row r="376" spans="1:31" x14ac:dyDescent="0.25">
      <c r="A376" s="1"/>
      <c r="B376" s="1" t="s">
        <v>868</v>
      </c>
      <c r="C376" s="15" t="s">
        <v>867</v>
      </c>
      <c r="D376" s="4"/>
      <c r="E376" s="13">
        <v>46230</v>
      </c>
      <c r="F376" s="10">
        <v>7</v>
      </c>
      <c r="G376" s="16">
        <f>(D376-(0)+0-(F376*Ventas!AE386*1.1))</f>
        <v>0</v>
      </c>
      <c r="H376" s="4"/>
      <c r="I376" s="11">
        <v>0</v>
      </c>
      <c r="J376" s="16">
        <f t="shared" si="25"/>
        <v>0</v>
      </c>
      <c r="K376" s="4"/>
      <c r="L376" s="13">
        <v>46275</v>
      </c>
      <c r="M376" s="10">
        <v>45</v>
      </c>
      <c r="N376" s="16">
        <f>(IF(G376&gt;0,G376+I376,I376)-(M376*Ventas!AE386*1.0456))</f>
        <v>0</v>
      </c>
      <c r="O376" s="4"/>
      <c r="P376" s="11">
        <v>0</v>
      </c>
      <c r="Q376" s="16">
        <f t="shared" si="26"/>
        <v>0</v>
      </c>
      <c r="R376" s="4"/>
      <c r="S376" s="13">
        <v>46331</v>
      </c>
      <c r="T376" s="10">
        <v>56</v>
      </c>
      <c r="U376" s="16">
        <f>(IF(N376&gt;0,N376+P376,P376)-(T376*Ventas!AE386*0.9018))</f>
        <v>0</v>
      </c>
      <c r="V376" s="4"/>
      <c r="W376" s="16">
        <f>(100*(Ventas!AE386*1.325) - IF(U376&gt;0,U376,0))</f>
        <v>0</v>
      </c>
      <c r="X376" s="16">
        <f t="shared" si="27"/>
        <v>0</v>
      </c>
      <c r="Y376" s="16">
        <f t="shared" si="28"/>
        <v>0</v>
      </c>
      <c r="Z376" s="18">
        <v>104.9</v>
      </c>
      <c r="AA376" s="11">
        <v>3027</v>
      </c>
      <c r="AB376" s="4"/>
      <c r="AC376" s="4"/>
      <c r="AD376" s="1" t="s">
        <v>107</v>
      </c>
      <c r="AE376">
        <f t="shared" si="29"/>
        <v>0</v>
      </c>
    </row>
    <row r="377" spans="1:31" x14ac:dyDescent="0.25">
      <c r="A377" s="1"/>
      <c r="B377" s="1" t="s">
        <v>870</v>
      </c>
      <c r="C377" s="15" t="s">
        <v>869</v>
      </c>
      <c r="D377" s="4"/>
      <c r="E377" s="13">
        <v>46230</v>
      </c>
      <c r="F377" s="10">
        <v>7</v>
      </c>
      <c r="G377" s="16">
        <f>(D377-(0)+0-(F377*Ventas!AE387*1.1))</f>
        <v>0</v>
      </c>
      <c r="H377" s="4"/>
      <c r="I377" s="11">
        <v>0</v>
      </c>
      <c r="J377" s="16">
        <f t="shared" si="25"/>
        <v>0</v>
      </c>
      <c r="K377" s="4"/>
      <c r="L377" s="13">
        <v>46275</v>
      </c>
      <c r="M377" s="10">
        <v>45</v>
      </c>
      <c r="N377" s="16">
        <f>(IF(G377&gt;0,G377+I377,I377)-(M377*Ventas!AE387*1.0456))</f>
        <v>0</v>
      </c>
      <c r="O377" s="4"/>
      <c r="P377" s="11">
        <v>0</v>
      </c>
      <c r="Q377" s="16">
        <f t="shared" si="26"/>
        <v>0</v>
      </c>
      <c r="R377" s="4"/>
      <c r="S377" s="13">
        <v>46331</v>
      </c>
      <c r="T377" s="10">
        <v>56</v>
      </c>
      <c r="U377" s="16">
        <f>(IF(N377&gt;0,N377+P377,P377)-(T377*Ventas!AE387*0.9018))</f>
        <v>0</v>
      </c>
      <c r="V377" s="4"/>
      <c r="W377" s="16">
        <f>(100*(Ventas!AE387*1.325) - IF(U377&gt;0,U377,0))</f>
        <v>0</v>
      </c>
      <c r="X377" s="16">
        <f t="shared" si="27"/>
        <v>0</v>
      </c>
      <c r="Y377" s="16">
        <f t="shared" si="28"/>
        <v>0</v>
      </c>
      <c r="Z377" s="4"/>
      <c r="AA377" s="4"/>
      <c r="AB377" s="4"/>
      <c r="AC377" s="4"/>
      <c r="AD377" s="1" t="s">
        <v>34</v>
      </c>
      <c r="AE377">
        <f t="shared" si="29"/>
        <v>0</v>
      </c>
    </row>
    <row r="378" spans="1:31" x14ac:dyDescent="0.25">
      <c r="A378" s="1"/>
      <c r="B378" s="1" t="s">
        <v>872</v>
      </c>
      <c r="C378" s="15" t="s">
        <v>871</v>
      </c>
      <c r="D378" s="4"/>
      <c r="E378" s="13">
        <v>46230</v>
      </c>
      <c r="F378" s="10">
        <v>7</v>
      </c>
      <c r="G378" s="16">
        <f>(D378-(0)+0-(F378*Ventas!AE388*1.1))</f>
        <v>0</v>
      </c>
      <c r="H378" s="4"/>
      <c r="I378" s="11">
        <v>0</v>
      </c>
      <c r="J378" s="16">
        <f t="shared" si="25"/>
        <v>0</v>
      </c>
      <c r="K378" s="4"/>
      <c r="L378" s="13">
        <v>46275</v>
      </c>
      <c r="M378" s="10">
        <v>45</v>
      </c>
      <c r="N378" s="16">
        <f>(IF(G378&gt;0,G378+I378,I378)-(M378*Ventas!AE388*1.0456))</f>
        <v>0</v>
      </c>
      <c r="O378" s="4"/>
      <c r="P378" s="11">
        <v>0</v>
      </c>
      <c r="Q378" s="16">
        <f t="shared" si="26"/>
        <v>0</v>
      </c>
      <c r="R378" s="4"/>
      <c r="S378" s="13">
        <v>46331</v>
      </c>
      <c r="T378" s="10">
        <v>56</v>
      </c>
      <c r="U378" s="16">
        <f>(IF(N378&gt;0,N378+P378,P378)-(T378*Ventas!AE388*0.9018))</f>
        <v>0</v>
      </c>
      <c r="V378" s="4"/>
      <c r="W378" s="16">
        <f>(100*(Ventas!AE388*1.325) - IF(U378&gt;0,U378,0))</f>
        <v>0</v>
      </c>
      <c r="X378" s="16">
        <f t="shared" si="27"/>
        <v>0</v>
      </c>
      <c r="Y378" s="16">
        <f t="shared" si="28"/>
        <v>0</v>
      </c>
      <c r="Z378" s="18">
        <v>53.4</v>
      </c>
      <c r="AA378" s="11">
        <v>3027</v>
      </c>
      <c r="AB378" s="4"/>
      <c r="AC378" s="4"/>
      <c r="AD378" s="1" t="s">
        <v>107</v>
      </c>
      <c r="AE378">
        <f t="shared" si="29"/>
        <v>0</v>
      </c>
    </row>
    <row r="379" spans="1:31" x14ac:dyDescent="0.25">
      <c r="A379" s="1"/>
      <c r="B379" s="1" t="s">
        <v>874</v>
      </c>
      <c r="C379" s="15" t="s">
        <v>873</v>
      </c>
      <c r="D379" s="4"/>
      <c r="E379" s="13">
        <v>46230</v>
      </c>
      <c r="F379" s="10">
        <v>7</v>
      </c>
      <c r="G379" s="16">
        <f>(D379-(0)+0-(F379*Ventas!AE389*1.1))</f>
        <v>0</v>
      </c>
      <c r="H379" s="4"/>
      <c r="I379" s="11">
        <v>0</v>
      </c>
      <c r="J379" s="16">
        <f t="shared" si="25"/>
        <v>0</v>
      </c>
      <c r="K379" s="4"/>
      <c r="L379" s="13">
        <v>46275</v>
      </c>
      <c r="M379" s="10">
        <v>45</v>
      </c>
      <c r="N379" s="16">
        <f>(IF(G379&gt;0,G379+I379,I379)-(M379*Ventas!AE389*1.0456))</f>
        <v>0</v>
      </c>
      <c r="O379" s="4"/>
      <c r="P379" s="11">
        <v>0</v>
      </c>
      <c r="Q379" s="16">
        <f t="shared" si="26"/>
        <v>0</v>
      </c>
      <c r="R379" s="4"/>
      <c r="S379" s="13">
        <v>46331</v>
      </c>
      <c r="T379" s="10">
        <v>56</v>
      </c>
      <c r="U379" s="16">
        <f>(IF(N379&gt;0,N379+P379,P379)-(T379*Ventas!AE389*0.9018))</f>
        <v>0</v>
      </c>
      <c r="V379" s="4"/>
      <c r="W379" s="16">
        <f>(100*(Ventas!AE389*1.325) - IF(U379&gt;0,U379,0))</f>
        <v>0</v>
      </c>
      <c r="X379" s="16">
        <f t="shared" si="27"/>
        <v>0</v>
      </c>
      <c r="Y379" s="16">
        <f t="shared" si="28"/>
        <v>0</v>
      </c>
      <c r="Z379" s="4"/>
      <c r="AA379" s="4"/>
      <c r="AB379" s="4"/>
      <c r="AC379" s="4"/>
      <c r="AD379" s="1" t="s">
        <v>34</v>
      </c>
      <c r="AE379">
        <f t="shared" si="29"/>
        <v>0</v>
      </c>
    </row>
    <row r="380" spans="1:31" x14ac:dyDescent="0.25">
      <c r="A380" s="1" t="s">
        <v>877</v>
      </c>
      <c r="B380" s="1" t="s">
        <v>876</v>
      </c>
      <c r="C380" s="15" t="s">
        <v>875</v>
      </c>
      <c r="D380" s="11">
        <v>1</v>
      </c>
      <c r="E380" s="13">
        <v>46230</v>
      </c>
      <c r="F380" s="10">
        <v>7</v>
      </c>
      <c r="G380" s="16">
        <f>(D380-(0)+0-(F380*Ventas!AE390*1.1))</f>
        <v>-1.0527099999999998</v>
      </c>
      <c r="H380" s="17">
        <f>(G380/(Ventas!AE390*1.1)/45)</f>
        <v>-7.9774974978876145E-2</v>
      </c>
      <c r="I380" s="11">
        <v>0</v>
      </c>
      <c r="J380" s="16">
        <f t="shared" si="25"/>
        <v>0</v>
      </c>
      <c r="K380" s="4"/>
      <c r="L380" s="13">
        <v>46275</v>
      </c>
      <c r="M380" s="10">
        <v>45</v>
      </c>
      <c r="N380" s="16">
        <f>(IF(G380&gt;0,G380+I380,I380)-(M380*Ventas!AE390*1.0456))</f>
        <v>-12.543391028571428</v>
      </c>
      <c r="O380" s="17">
        <f>(N380/(Ventas!AE390*1.0456)/45)</f>
        <v>-1</v>
      </c>
      <c r="P380" s="11">
        <v>0</v>
      </c>
      <c r="Q380" s="16">
        <f t="shared" si="26"/>
        <v>0</v>
      </c>
      <c r="R380" s="4"/>
      <c r="S380" s="13">
        <v>46331</v>
      </c>
      <c r="T380" s="10">
        <v>56</v>
      </c>
      <c r="U380" s="16">
        <f>(IF(N380&gt;0,N380+P380,P380)-(T380*Ventas!AE390*0.9018))</f>
        <v>-13.46279184</v>
      </c>
      <c r="V380" s="17">
        <f>(U380/(Ventas!AE390*0.9018)/45)</f>
        <v>-1.2444444444444445</v>
      </c>
      <c r="W380" s="16">
        <f>(100*(Ventas!AE390*1.325) - IF(U380&gt;0,U380,0))</f>
        <v>35.322607142857137</v>
      </c>
      <c r="X380" s="16">
        <f t="shared" si="27"/>
        <v>35.322607142857137</v>
      </c>
      <c r="Y380" s="16">
        <f t="shared" si="28"/>
        <v>35.322607142857137</v>
      </c>
      <c r="Z380" s="18">
        <v>53.9</v>
      </c>
      <c r="AA380" s="11">
        <v>3010</v>
      </c>
      <c r="AB380" s="16">
        <f>(Y380-(60*Ventas!AE390*1.325))</f>
        <v>14.129042857142853</v>
      </c>
      <c r="AC380" s="17">
        <f>(AB380/(Ventas!AE390*1.325)/45)</f>
        <v>0.88888888888888873</v>
      </c>
      <c r="AD380" s="1" t="s">
        <v>34</v>
      </c>
      <c r="AE380">
        <f t="shared" si="29"/>
        <v>1903.8885249999996</v>
      </c>
    </row>
    <row r="381" spans="1:31" x14ac:dyDescent="0.25">
      <c r="A381" s="1" t="s">
        <v>880</v>
      </c>
      <c r="B381" s="1" t="s">
        <v>879</v>
      </c>
      <c r="C381" s="15" t="s">
        <v>878</v>
      </c>
      <c r="D381" s="11">
        <v>18</v>
      </c>
      <c r="E381" s="13">
        <v>46230</v>
      </c>
      <c r="F381" s="10">
        <v>7</v>
      </c>
      <c r="G381" s="16">
        <f>(D381-(0)+0-(F381*Ventas!AE391*1.1))</f>
        <v>17.104050000000001</v>
      </c>
      <c r="H381" s="17">
        <f>(G381/(Ventas!AE391*1.1)/45)</f>
        <v>2.969618840337072</v>
      </c>
      <c r="I381" s="11">
        <v>0</v>
      </c>
      <c r="J381" s="16">
        <f t="shared" si="25"/>
        <v>17.104050000000001</v>
      </c>
      <c r="K381" s="4"/>
      <c r="L381" s="13">
        <v>46275</v>
      </c>
      <c r="M381" s="10">
        <v>45</v>
      </c>
      <c r="N381" s="16">
        <f>(IF(G381&gt;0,G381+I381,I381)-(M381*Ventas!AE391*1.0456))</f>
        <v>11.629213714285715</v>
      </c>
      <c r="O381" s="17">
        <f>(N381/(Ventas!AE391*1.0456)/45)</f>
        <v>2.1241208151977617</v>
      </c>
      <c r="P381" s="11">
        <v>0</v>
      </c>
      <c r="Q381" s="16">
        <f t="shared" si="26"/>
        <v>11.629213714285715</v>
      </c>
      <c r="R381" s="4"/>
      <c r="S381" s="13">
        <v>46331</v>
      </c>
      <c r="T381" s="10">
        <v>56</v>
      </c>
      <c r="U381" s="16">
        <f>(IF(N381&gt;0,N381+P381,P381)-(T381*Ventas!AE391*0.9018))</f>
        <v>5.753084914285715</v>
      </c>
      <c r="V381" s="17">
        <f>(U381/(Ventas!AE391*0.9018)/45)</f>
        <v>1.2183862545695052</v>
      </c>
      <c r="W381" s="16">
        <f>(100*(Ventas!AE391*1.325) - IF(U381&gt;0,U381,0))</f>
        <v>9.6642365142857134</v>
      </c>
      <c r="X381" s="16">
        <f t="shared" si="27"/>
        <v>9.6642365142857134</v>
      </c>
      <c r="Y381" s="16">
        <f t="shared" si="28"/>
        <v>15.417321428571428</v>
      </c>
      <c r="Z381" s="18">
        <v>53.9</v>
      </c>
      <c r="AA381" s="11">
        <v>3025</v>
      </c>
      <c r="AB381" s="16">
        <f>(Y381-(60*Ventas!AE391*1.325))</f>
        <v>6.1669285714285724</v>
      </c>
      <c r="AC381" s="17">
        <f>(AB381/(Ventas!AE391*1.325)/45)</f>
        <v>0.88888888888888906</v>
      </c>
      <c r="AD381" s="1" t="s">
        <v>34</v>
      </c>
      <c r="AE381">
        <f t="shared" si="29"/>
        <v>520.90234811999994</v>
      </c>
    </row>
    <row r="382" spans="1:31" x14ac:dyDescent="0.25">
      <c r="A382" s="1" t="s">
        <v>883</v>
      </c>
      <c r="B382" s="1" t="s">
        <v>882</v>
      </c>
      <c r="C382" s="15" t="s">
        <v>881</v>
      </c>
      <c r="D382" s="4"/>
      <c r="E382" s="13">
        <v>46230</v>
      </c>
      <c r="F382" s="10">
        <v>7</v>
      </c>
      <c r="G382" s="16">
        <f>(D382-(0)+0-(F382*Ventas!AE392*1.1))</f>
        <v>0</v>
      </c>
      <c r="H382" s="4"/>
      <c r="I382" s="11">
        <v>0</v>
      </c>
      <c r="J382" s="16">
        <f t="shared" si="25"/>
        <v>0</v>
      </c>
      <c r="K382" s="4"/>
      <c r="L382" s="13">
        <v>46275</v>
      </c>
      <c r="M382" s="10">
        <v>45</v>
      </c>
      <c r="N382" s="16">
        <f>(IF(G382&gt;0,G382+I382,I382)-(M382*Ventas!AE392*1.0456))</f>
        <v>0</v>
      </c>
      <c r="O382" s="4"/>
      <c r="P382" s="11">
        <v>0</v>
      </c>
      <c r="Q382" s="16">
        <f t="shared" si="26"/>
        <v>0</v>
      </c>
      <c r="R382" s="4"/>
      <c r="S382" s="13">
        <v>46331</v>
      </c>
      <c r="T382" s="10">
        <v>56</v>
      </c>
      <c r="U382" s="16">
        <f>(IF(N382&gt;0,N382+P382,P382)-(T382*Ventas!AE392*0.9018))</f>
        <v>0</v>
      </c>
      <c r="V382" s="4"/>
      <c r="W382" s="16">
        <f>(100*(Ventas!AE392*1.325) - IF(U382&gt;0,U382,0))</f>
        <v>0</v>
      </c>
      <c r="X382" s="16">
        <f t="shared" si="27"/>
        <v>0</v>
      </c>
      <c r="Y382" s="16">
        <f t="shared" si="28"/>
        <v>0</v>
      </c>
      <c r="Z382" s="18">
        <v>54.7</v>
      </c>
      <c r="AA382" s="11">
        <v>3025</v>
      </c>
      <c r="AB382" s="4"/>
      <c r="AC382" s="4"/>
      <c r="AD382" s="1" t="s">
        <v>34</v>
      </c>
      <c r="AE382">
        <f t="shared" si="29"/>
        <v>0</v>
      </c>
    </row>
    <row r="383" spans="1:31" x14ac:dyDescent="0.25">
      <c r="A383" s="1" t="s">
        <v>886</v>
      </c>
      <c r="B383" s="1" t="s">
        <v>885</v>
      </c>
      <c r="C383" s="15" t="s">
        <v>884</v>
      </c>
      <c r="D383" s="11">
        <v>64</v>
      </c>
      <c r="E383" s="13">
        <v>46230</v>
      </c>
      <c r="F383" s="10">
        <v>7</v>
      </c>
      <c r="G383" s="16">
        <f>(D383-(0)+0-(F383*Ventas!AE393*1.1))</f>
        <v>61.955906666666664</v>
      </c>
      <c r="H383" s="17">
        <f>(G383/(Ventas!AE393*1.1)/45)</f>
        <v>4.7148461003810063</v>
      </c>
      <c r="I383" s="11">
        <v>0</v>
      </c>
      <c r="J383" s="16">
        <f t="shared" si="25"/>
        <v>61.955906666666664</v>
      </c>
      <c r="K383" s="4"/>
      <c r="L383" s="13">
        <v>46275</v>
      </c>
      <c r="M383" s="10">
        <v>45</v>
      </c>
      <c r="N383" s="16">
        <f>(IF(G383&gt;0,G383+I383,I383)-(M383*Ventas!AE393*1.0456))</f>
        <v>49.465169066666661</v>
      </c>
      <c r="O383" s="17">
        <f>(N383/(Ventas!AE393*1.0456)/45)</f>
        <v>3.960147963292949</v>
      </c>
      <c r="P383" s="11">
        <v>0</v>
      </c>
      <c r="Q383" s="16">
        <f t="shared" si="26"/>
        <v>49.465169066666661</v>
      </c>
      <c r="R383" s="4"/>
      <c r="S383" s="13">
        <v>46331</v>
      </c>
      <c r="T383" s="10">
        <v>56</v>
      </c>
      <c r="U383" s="16">
        <f>(IF(N383&gt;0,N383+P383,P383)-(T383*Ventas!AE393*0.9018))</f>
        <v>36.05889002666666</v>
      </c>
      <c r="V383" s="17">
        <f>(U383/(Ventas!AE393*0.9018)/45)</f>
        <v>3.3471841987348716</v>
      </c>
      <c r="W383" s="16">
        <f>(100*(Ventas!AE393*1.325) - IF(U383&gt;0,U383,0))</f>
        <v>-0.8845566933333231</v>
      </c>
      <c r="X383" s="16">
        <f t="shared" si="27"/>
        <v>0</v>
      </c>
      <c r="Y383" s="16">
        <f t="shared" si="28"/>
        <v>36.05889002666666</v>
      </c>
      <c r="Z383" s="18">
        <v>41.5</v>
      </c>
      <c r="AA383" s="11">
        <v>3027</v>
      </c>
      <c r="AB383" s="16">
        <f>(Y383-(60*Ventas!AE393*1.325))</f>
        <v>14.954290026666659</v>
      </c>
      <c r="AC383" s="17">
        <f>(AB383/(Ventas!AE393*1.325)/45)</f>
        <v>0.94477286320938925</v>
      </c>
      <c r="AD383" s="1" t="s">
        <v>34</v>
      </c>
      <c r="AE383">
        <f t="shared" si="29"/>
        <v>0</v>
      </c>
    </row>
    <row r="384" spans="1:31" x14ac:dyDescent="0.25">
      <c r="A384" s="1"/>
      <c r="B384" s="1" t="s">
        <v>888</v>
      </c>
      <c r="C384" s="15" t="s">
        <v>887</v>
      </c>
      <c r="D384" s="4"/>
      <c r="E384" s="13">
        <v>46230</v>
      </c>
      <c r="F384" s="10">
        <v>7</v>
      </c>
      <c r="G384" s="16">
        <f>(D384-(0)+0-(F384*Ventas!AE394*1.1))</f>
        <v>0</v>
      </c>
      <c r="H384" s="4"/>
      <c r="I384" s="11">
        <v>0</v>
      </c>
      <c r="J384" s="16">
        <f t="shared" si="25"/>
        <v>0</v>
      </c>
      <c r="K384" s="4"/>
      <c r="L384" s="13">
        <v>46275</v>
      </c>
      <c r="M384" s="10">
        <v>45</v>
      </c>
      <c r="N384" s="16">
        <f>(IF(G384&gt;0,G384+I384,I384)-(M384*Ventas!AE394*1.0456))</f>
        <v>0</v>
      </c>
      <c r="O384" s="4"/>
      <c r="P384" s="11">
        <v>0</v>
      </c>
      <c r="Q384" s="16">
        <f t="shared" si="26"/>
        <v>0</v>
      </c>
      <c r="R384" s="4"/>
      <c r="S384" s="13">
        <v>46331</v>
      </c>
      <c r="T384" s="10">
        <v>56</v>
      </c>
      <c r="U384" s="16">
        <f>(IF(N384&gt;0,N384+P384,P384)-(T384*Ventas!AE394*0.9018))</f>
        <v>0</v>
      </c>
      <c r="V384" s="4"/>
      <c r="W384" s="16">
        <f>(100*(Ventas!AE394*1.325) - IF(U384&gt;0,U384,0))</f>
        <v>0</v>
      </c>
      <c r="X384" s="16">
        <f t="shared" si="27"/>
        <v>0</v>
      </c>
      <c r="Y384" s="16">
        <f t="shared" si="28"/>
        <v>0</v>
      </c>
      <c r="Z384" s="4"/>
      <c r="AA384" s="4"/>
      <c r="AB384" s="4"/>
      <c r="AC384" s="4"/>
      <c r="AD384" s="1" t="s">
        <v>34</v>
      </c>
      <c r="AE384">
        <f t="shared" si="29"/>
        <v>0</v>
      </c>
    </row>
    <row r="385" spans="1:31" x14ac:dyDescent="0.25">
      <c r="A385" s="1"/>
      <c r="B385" s="1" t="s">
        <v>890</v>
      </c>
      <c r="C385" s="15" t="s">
        <v>889</v>
      </c>
      <c r="D385" s="11">
        <v>20</v>
      </c>
      <c r="E385" s="13">
        <v>46230</v>
      </c>
      <c r="F385" s="10">
        <v>7</v>
      </c>
      <c r="G385" s="16">
        <f>(D385-(0)+0-(F385*Ventas!AE395*1.1))</f>
        <v>19.728190000000001</v>
      </c>
      <c r="H385" s="17">
        <f>(G385/(Ventas!AE395*1.1)/45)</f>
        <v>11.290348241623029</v>
      </c>
      <c r="I385" s="11">
        <v>0</v>
      </c>
      <c r="J385" s="16">
        <f t="shared" si="25"/>
        <v>19.728190000000001</v>
      </c>
      <c r="K385" s="4"/>
      <c r="L385" s="13">
        <v>46275</v>
      </c>
      <c r="M385" s="10">
        <v>45</v>
      </c>
      <c r="N385" s="16">
        <f>(IF(G385&gt;0,G385+I385,I385)-(M385*Ventas!AE395*1.0456))</f>
        <v>18.067254400000003</v>
      </c>
      <c r="O385" s="17">
        <f>(N385/(Ventas!AE395*1.0456)/45)</f>
        <v>10.877757331470288</v>
      </c>
      <c r="P385" s="11">
        <v>0</v>
      </c>
      <c r="Q385" s="16">
        <f t="shared" si="26"/>
        <v>18.067254400000003</v>
      </c>
      <c r="R385" s="4"/>
      <c r="S385" s="13">
        <v>46331</v>
      </c>
      <c r="T385" s="10">
        <v>56</v>
      </c>
      <c r="U385" s="16">
        <f>(IF(N385&gt;0,N385+P385,P385)-(T385*Ventas!AE395*0.9018))</f>
        <v>16.284576160000004</v>
      </c>
      <c r="V385" s="17">
        <f>(U385/(Ventas!AE395*0.9018)/45)</f>
        <v>11.367867671085978</v>
      </c>
      <c r="W385" s="16">
        <f>(100*(Ventas!AE395*1.325) - IF(U385&gt;0,U385,0))</f>
        <v>-11.607326160000005</v>
      </c>
      <c r="X385" s="16">
        <f t="shared" si="27"/>
        <v>0</v>
      </c>
      <c r="Y385" s="16">
        <f t="shared" si="28"/>
        <v>16.284576160000004</v>
      </c>
      <c r="Z385" s="18">
        <v>41.5</v>
      </c>
      <c r="AA385" s="11">
        <v>3027</v>
      </c>
      <c r="AB385" s="16">
        <f>(Y385-(60*Ventas!AE395*1.325))</f>
        <v>13.478226160000004</v>
      </c>
      <c r="AC385" s="17">
        <f>(AB385/(Ventas!AE395*1.325)/45)</f>
        <v>6.4036803012216374</v>
      </c>
      <c r="AD385" s="1" t="s">
        <v>34</v>
      </c>
      <c r="AE385">
        <f t="shared" si="29"/>
        <v>0</v>
      </c>
    </row>
    <row r="386" spans="1:31" x14ac:dyDescent="0.25">
      <c r="A386" s="1"/>
      <c r="B386" s="1" t="s">
        <v>892</v>
      </c>
      <c r="C386" s="15" t="s">
        <v>891</v>
      </c>
      <c r="D386" s="11">
        <v>3</v>
      </c>
      <c r="E386" s="13">
        <v>46230</v>
      </c>
      <c r="F386" s="10">
        <v>7</v>
      </c>
      <c r="G386" s="16">
        <f>(D386-(0)+0-(F386*Ventas!AE396*1.1))</f>
        <v>1.7877633333333331</v>
      </c>
      <c r="H386" s="17">
        <f>(G386/(Ventas!AE396*1.1)/45)</f>
        <v>0.22940777668704829</v>
      </c>
      <c r="I386" s="11">
        <v>3</v>
      </c>
      <c r="J386" s="16">
        <f t="shared" si="25"/>
        <v>4.7877633333333334</v>
      </c>
      <c r="K386" s="16">
        <v>98.695999999999998</v>
      </c>
      <c r="L386" s="13">
        <v>46275</v>
      </c>
      <c r="M386" s="10">
        <v>45</v>
      </c>
      <c r="N386" s="16">
        <f>(IF(G386&gt;0,G386+I386,I386)-(M386*Ventas!AE396*1.0456))</f>
        <v>-2.6197898666666672</v>
      </c>
      <c r="O386" s="17">
        <f>(N386/(Ventas!AE396*1.0456)/45)</f>
        <v>-0.35366467117194206</v>
      </c>
      <c r="P386" s="11">
        <v>0</v>
      </c>
      <c r="Q386" s="16">
        <f t="shared" si="26"/>
        <v>0</v>
      </c>
      <c r="R386" s="4"/>
      <c r="S386" s="13">
        <v>46331</v>
      </c>
      <c r="T386" s="10">
        <v>56</v>
      </c>
      <c r="U386" s="16">
        <f>(IF(N386&gt;0,N386+P386,P386)-(T386*Ventas!AE396*0.9018))</f>
        <v>-7.9505092800000012</v>
      </c>
      <c r="V386" s="17">
        <f>(U386/(Ventas!AE396*0.9018)/45)</f>
        <v>-1.2444444444444447</v>
      </c>
      <c r="W386" s="16">
        <f>(100*(Ventas!AE396*1.325) - IF(U386&gt;0,U386,0))</f>
        <v>20.859916666666667</v>
      </c>
      <c r="X386" s="16">
        <f t="shared" si="27"/>
        <v>20.859916666666667</v>
      </c>
      <c r="Y386" s="16">
        <f t="shared" si="28"/>
        <v>20.859916666666667</v>
      </c>
      <c r="Z386" s="18">
        <v>98.695999999999998</v>
      </c>
      <c r="AA386" s="11">
        <v>3027</v>
      </c>
      <c r="AB386" s="16">
        <f>(Y386-(60*Ventas!AE396*1.325))</f>
        <v>8.3439666666666685</v>
      </c>
      <c r="AC386" s="17">
        <f>(AB386/(Ventas!AE396*1.325)/45)</f>
        <v>0.88888888888888906</v>
      </c>
      <c r="AD386" s="1" t="s">
        <v>34</v>
      </c>
      <c r="AE386">
        <f t="shared" si="29"/>
        <v>2058.7903353333331</v>
      </c>
    </row>
    <row r="387" spans="1:31" x14ac:dyDescent="0.25">
      <c r="A387" s="1"/>
      <c r="B387" s="1" t="s">
        <v>894</v>
      </c>
      <c r="C387" s="15" t="s">
        <v>893</v>
      </c>
      <c r="D387" s="11">
        <v>5</v>
      </c>
      <c r="E387" s="13">
        <v>46230</v>
      </c>
      <c r="F387" s="10">
        <v>7</v>
      </c>
      <c r="G387" s="16">
        <f>(D387-(0)+0-(F387*Ventas!AE397*1.1))</f>
        <v>4.1159116666666664</v>
      </c>
      <c r="H387" s="17">
        <f>(G387/(Ventas!AE397*1.1)/45)</f>
        <v>0.72419565080328596</v>
      </c>
      <c r="I387" s="11">
        <v>12</v>
      </c>
      <c r="J387" s="16">
        <f t="shared" si="25"/>
        <v>16.115911666666666</v>
      </c>
      <c r="K387" s="16">
        <v>98.695999999999998</v>
      </c>
      <c r="L387" s="13">
        <v>46275</v>
      </c>
      <c r="M387" s="10">
        <v>45</v>
      </c>
      <c r="N387" s="16">
        <f>(IF(G387&gt;0,G387+I387,I387)-(M387*Ventas!AE397*1.0456))</f>
        <v>10.713557866666665</v>
      </c>
      <c r="O387" s="17">
        <f>(N387/(Ventas!AE397*1.0456)/45)</f>
        <v>1.9831277741688564</v>
      </c>
      <c r="P387" s="11">
        <v>0</v>
      </c>
      <c r="Q387" s="16">
        <f t="shared" si="26"/>
        <v>10.713557866666665</v>
      </c>
      <c r="R387" s="4"/>
      <c r="S387" s="13">
        <v>46331</v>
      </c>
      <c r="T387" s="10">
        <v>56</v>
      </c>
      <c r="U387" s="16">
        <f>(IF(N387&gt;0,N387+P387,P387)-(T387*Ventas!AE397*0.9018))</f>
        <v>4.9152243466666645</v>
      </c>
      <c r="V387" s="17">
        <f>(U387/(Ventas!AE397*0.9018)/45)</f>
        <v>1.0549106239420674</v>
      </c>
      <c r="W387" s="16">
        <f>(100*(Ventas!AE397*1.325) - IF(U387&gt;0,U387,0))</f>
        <v>10.297983986666669</v>
      </c>
      <c r="X387" s="16">
        <f t="shared" si="27"/>
        <v>10.297983986666669</v>
      </c>
      <c r="Y387" s="16">
        <f t="shared" si="28"/>
        <v>15.213208333333334</v>
      </c>
      <c r="Z387" s="18">
        <v>98.695999999999998</v>
      </c>
      <c r="AA387" s="11">
        <v>3027</v>
      </c>
      <c r="AB387" s="16">
        <f>(Y387-(60*Ventas!AE397*1.325))</f>
        <v>6.0852833333333329</v>
      </c>
      <c r="AC387" s="17">
        <f>(AB387/(Ventas!AE397*1.325)/45)</f>
        <v>0.88888888888888884</v>
      </c>
      <c r="AD387" s="1" t="s">
        <v>34</v>
      </c>
      <c r="AE387">
        <f t="shared" si="29"/>
        <v>1016.3698275480535</v>
      </c>
    </row>
    <row r="388" spans="1:31" x14ac:dyDescent="0.25">
      <c r="A388" s="1"/>
      <c r="B388" s="1" t="s">
        <v>896</v>
      </c>
      <c r="C388" s="15" t="s">
        <v>895</v>
      </c>
      <c r="D388" s="4"/>
      <c r="E388" s="13">
        <v>46230</v>
      </c>
      <c r="F388" s="10">
        <v>7</v>
      </c>
      <c r="G388" s="16">
        <f>(D388-(0)+0-(F388*Ventas!AE398*1.1))</f>
        <v>-1.1550000000000002</v>
      </c>
      <c r="H388" s="17">
        <f>(G388/(Ventas!AE398*1.1)/45)</f>
        <v>-0.15555555555555559</v>
      </c>
      <c r="I388" s="11">
        <v>0</v>
      </c>
      <c r="J388" s="16">
        <f t="shared" si="25"/>
        <v>0</v>
      </c>
      <c r="K388" s="4"/>
      <c r="L388" s="13">
        <v>46275</v>
      </c>
      <c r="M388" s="10">
        <v>45</v>
      </c>
      <c r="N388" s="16">
        <f>(IF(G388&gt;0,G388+I388,I388)-(M388*Ventas!AE398*1.0456))</f>
        <v>-7.0578000000000003</v>
      </c>
      <c r="O388" s="17">
        <f>(N388/(Ventas!AE398*1.0456)/45)</f>
        <v>-1</v>
      </c>
      <c r="P388" s="11">
        <v>0</v>
      </c>
      <c r="Q388" s="16">
        <f t="shared" si="26"/>
        <v>0</v>
      </c>
      <c r="R388" s="4"/>
      <c r="S388" s="13">
        <v>46331</v>
      </c>
      <c r="T388" s="10">
        <v>56</v>
      </c>
      <c r="U388" s="16">
        <f>(IF(N388&gt;0,N388+P388,P388)-(T388*Ventas!AE398*0.9018))</f>
        <v>-7.575120000000001</v>
      </c>
      <c r="V388" s="17">
        <f>(U388/(Ventas!AE398*0.9018)/45)</f>
        <v>-1.2444444444444447</v>
      </c>
      <c r="W388" s="16">
        <f>(100*(Ventas!AE398*1.325) - IF(U388&gt;0,U388,0))</f>
        <v>19.875</v>
      </c>
      <c r="X388" s="16">
        <f t="shared" si="27"/>
        <v>19.875</v>
      </c>
      <c r="Y388" s="16">
        <f t="shared" si="28"/>
        <v>19.875</v>
      </c>
      <c r="Z388" s="18">
        <v>96.8</v>
      </c>
      <c r="AA388" s="11">
        <v>3027</v>
      </c>
      <c r="AB388" s="16">
        <f>(Y388-(60*Ventas!AE398*1.325))</f>
        <v>7.9500000000000011</v>
      </c>
      <c r="AC388" s="17">
        <f>(AB388/(Ventas!AE398*1.325)/45)</f>
        <v>0.88888888888888906</v>
      </c>
      <c r="AD388" s="1" t="s">
        <v>34</v>
      </c>
      <c r="AE388">
        <f t="shared" si="29"/>
        <v>1923.8999999999999</v>
      </c>
    </row>
    <row r="389" spans="1:31" x14ac:dyDescent="0.25">
      <c r="A389" s="1"/>
      <c r="B389" s="1" t="s">
        <v>898</v>
      </c>
      <c r="C389" s="15" t="s">
        <v>897</v>
      </c>
      <c r="D389" s="4"/>
      <c r="E389" s="13">
        <v>46230</v>
      </c>
      <c r="F389" s="10">
        <v>7</v>
      </c>
      <c r="G389" s="16">
        <f>(D389-(0)+0-(F389*Ventas!AE399*1))</f>
        <v>0</v>
      </c>
      <c r="H389" s="4"/>
      <c r="I389" s="11">
        <v>100</v>
      </c>
      <c r="J389" s="16">
        <f t="shared" ref="J389:J420" si="30">IF(G389&gt;0,G389+I389,I389)</f>
        <v>100</v>
      </c>
      <c r="K389" s="16">
        <v>2.5</v>
      </c>
      <c r="L389" s="13">
        <v>46275</v>
      </c>
      <c r="M389" s="10">
        <v>45</v>
      </c>
      <c r="N389" s="16">
        <f>(IF(G389&gt;0,G389+I389,I389)-(M389*Ventas!AE399*1))</f>
        <v>100</v>
      </c>
      <c r="O389" s="4"/>
      <c r="P389" s="11">
        <v>0</v>
      </c>
      <c r="Q389" s="16">
        <f t="shared" ref="Q389:Q420" si="31">IF(N389&gt;0,N389+P389,P389)</f>
        <v>100</v>
      </c>
      <c r="R389" s="4"/>
      <c r="S389" s="13">
        <v>46331</v>
      </c>
      <c r="T389" s="10">
        <v>56</v>
      </c>
      <c r="U389" s="16">
        <f>(IF(N389&gt;0,N389+P389,P389)-(T389*Ventas!AE399*1))</f>
        <v>100</v>
      </c>
      <c r="V389" s="4"/>
      <c r="W389" s="16">
        <f>(100*(Ventas!AE399*1) - IF(U389&gt;0,U389,0))</f>
        <v>-100</v>
      </c>
      <c r="X389" s="16">
        <f t="shared" ref="X389:X420" si="32">IF(W389&gt;0,W389,0)</f>
        <v>0</v>
      </c>
      <c r="Y389" s="16">
        <f t="shared" ref="Y389:Y420" si="33">IF(U389&gt;0,U389+IF(X389&gt;0,X389,0),X389)</f>
        <v>100</v>
      </c>
      <c r="Z389" s="18">
        <v>2.5</v>
      </c>
      <c r="AA389" s="11">
        <v>3027</v>
      </c>
      <c r="AB389" s="4"/>
      <c r="AC389" s="4"/>
      <c r="AD389" s="1" t="s">
        <v>34</v>
      </c>
      <c r="AE389">
        <f t="shared" si="29"/>
        <v>0</v>
      </c>
    </row>
    <row r="390" spans="1:31" x14ac:dyDescent="0.25">
      <c r="A390" s="1"/>
      <c r="B390" s="1" t="s">
        <v>900</v>
      </c>
      <c r="C390" s="15" t="s">
        <v>899</v>
      </c>
      <c r="D390" s="4"/>
      <c r="E390" s="13">
        <v>46230</v>
      </c>
      <c r="F390" s="10">
        <v>7</v>
      </c>
      <c r="G390" s="16">
        <f>(D390-(0)+0-(F390*Ventas!AE400*1))</f>
        <v>0</v>
      </c>
      <c r="H390" s="4"/>
      <c r="I390" s="11">
        <v>100</v>
      </c>
      <c r="J390" s="16">
        <f t="shared" si="30"/>
        <v>100</v>
      </c>
      <c r="K390" s="16">
        <v>11.9</v>
      </c>
      <c r="L390" s="13">
        <v>46275</v>
      </c>
      <c r="M390" s="10">
        <v>45</v>
      </c>
      <c r="N390" s="16">
        <f>(IF(G390&gt;0,G390+I390,I390)-(M390*Ventas!AE400*1))</f>
        <v>100</v>
      </c>
      <c r="O390" s="4"/>
      <c r="P390" s="11">
        <v>0</v>
      </c>
      <c r="Q390" s="16">
        <f t="shared" si="31"/>
        <v>100</v>
      </c>
      <c r="R390" s="4"/>
      <c r="S390" s="13">
        <v>46331</v>
      </c>
      <c r="T390" s="10">
        <v>56</v>
      </c>
      <c r="U390" s="16">
        <f>(IF(N390&gt;0,N390+P390,P390)-(T390*Ventas!AE400*1))</f>
        <v>100</v>
      </c>
      <c r="V390" s="4"/>
      <c r="W390" s="16">
        <f>(100*(Ventas!AE400*1) - IF(U390&gt;0,U390,0))</f>
        <v>-100</v>
      </c>
      <c r="X390" s="16">
        <f t="shared" si="32"/>
        <v>0</v>
      </c>
      <c r="Y390" s="16">
        <f t="shared" si="33"/>
        <v>100</v>
      </c>
      <c r="Z390" s="18">
        <v>11.9</v>
      </c>
      <c r="AA390" s="11">
        <v>3027</v>
      </c>
      <c r="AB390" s="4"/>
      <c r="AC390" s="4"/>
      <c r="AD390" s="1" t="s">
        <v>34</v>
      </c>
      <c r="AE390">
        <f t="shared" ref="AE390:AE420" si="34">X390*Z390</f>
        <v>0</v>
      </c>
    </row>
    <row r="391" spans="1:31" x14ac:dyDescent="0.25">
      <c r="A391" s="1"/>
      <c r="B391" s="1" t="s">
        <v>125</v>
      </c>
      <c r="C391" s="15" t="s">
        <v>124</v>
      </c>
      <c r="D391" s="4"/>
      <c r="E391" s="13">
        <v>46230</v>
      </c>
      <c r="F391" s="10">
        <v>7</v>
      </c>
      <c r="G391" s="16">
        <f>(D391-(0)+0-(F391*Ventas!AE48*1))</f>
        <v>0</v>
      </c>
      <c r="H391" s="4"/>
      <c r="I391" s="11">
        <v>0</v>
      </c>
      <c r="J391" s="16">
        <f t="shared" si="30"/>
        <v>0</v>
      </c>
      <c r="K391" s="4"/>
      <c r="L391" s="13">
        <v>46275</v>
      </c>
      <c r="M391" s="10">
        <v>45</v>
      </c>
      <c r="N391" s="16">
        <f>(IF(G391&gt;0,G391+I391,I391)-(M391*Ventas!AE48*1))</f>
        <v>0</v>
      </c>
      <c r="O391" s="4"/>
      <c r="P391" s="11">
        <v>0</v>
      </c>
      <c r="Q391" s="16">
        <f t="shared" si="31"/>
        <v>0</v>
      </c>
      <c r="R391" s="4"/>
      <c r="S391" s="13">
        <v>46331</v>
      </c>
      <c r="T391" s="10">
        <v>56</v>
      </c>
      <c r="U391" s="16">
        <f>(IF(N391&gt;0,N391+P391,P391)-(T391*Ventas!AE48*1))</f>
        <v>0</v>
      </c>
      <c r="V391" s="4"/>
      <c r="W391" s="16">
        <f>(100*(Ventas!AE48*1) - IF(U391&gt;0,U391,0))</f>
        <v>0</v>
      </c>
      <c r="X391" s="16">
        <f t="shared" si="32"/>
        <v>0</v>
      </c>
      <c r="Y391" s="16">
        <f t="shared" si="33"/>
        <v>0</v>
      </c>
      <c r="Z391" s="18">
        <v>13.2</v>
      </c>
      <c r="AA391" s="11">
        <v>3010</v>
      </c>
      <c r="AB391" s="4"/>
      <c r="AC391" s="4"/>
      <c r="AD391" s="1" t="s">
        <v>107</v>
      </c>
      <c r="AE391">
        <f t="shared" si="34"/>
        <v>0</v>
      </c>
    </row>
    <row r="392" spans="1:31" x14ac:dyDescent="0.25">
      <c r="A392" s="1"/>
      <c r="B392" s="1" t="s">
        <v>238</v>
      </c>
      <c r="C392" s="15" t="s">
        <v>237</v>
      </c>
      <c r="D392" s="4"/>
      <c r="E392" s="13">
        <v>46230</v>
      </c>
      <c r="F392" s="10">
        <v>7</v>
      </c>
      <c r="G392" s="16">
        <f>(D392-(0)+0-(F392*Ventas!AE106*1))</f>
        <v>0</v>
      </c>
      <c r="H392" s="4"/>
      <c r="I392" s="11">
        <v>0</v>
      </c>
      <c r="J392" s="16">
        <f t="shared" si="30"/>
        <v>0</v>
      </c>
      <c r="K392" s="4"/>
      <c r="L392" s="13">
        <v>46275</v>
      </c>
      <c r="M392" s="10">
        <v>45</v>
      </c>
      <c r="N392" s="16">
        <f>(IF(G392&gt;0,G392+I392,I392)-(M392*Ventas!AE106*1))</f>
        <v>0</v>
      </c>
      <c r="O392" s="4"/>
      <c r="P392" s="11">
        <v>0</v>
      </c>
      <c r="Q392" s="16">
        <f t="shared" si="31"/>
        <v>0</v>
      </c>
      <c r="R392" s="4"/>
      <c r="S392" s="13">
        <v>46331</v>
      </c>
      <c r="T392" s="10">
        <v>56</v>
      </c>
      <c r="U392" s="16">
        <f>(IF(N392&gt;0,N392+P392,P392)-(T392*Ventas!AE106*1))</f>
        <v>0</v>
      </c>
      <c r="V392" s="4"/>
      <c r="W392" s="16">
        <f>(100*(Ventas!AE106*1) - IF(U392&gt;0,U392,0))</f>
        <v>0</v>
      </c>
      <c r="X392" s="16">
        <f t="shared" si="32"/>
        <v>0</v>
      </c>
      <c r="Y392" s="16">
        <f t="shared" si="33"/>
        <v>0</v>
      </c>
      <c r="Z392" s="4"/>
      <c r="AA392" s="4"/>
      <c r="AB392" s="4"/>
      <c r="AC392" s="4"/>
      <c r="AD392" s="1" t="s">
        <v>34</v>
      </c>
      <c r="AE392">
        <f t="shared" si="34"/>
        <v>0</v>
      </c>
    </row>
    <row r="393" spans="1:31" x14ac:dyDescent="0.25">
      <c r="A393" s="1"/>
      <c r="B393" s="1" t="s">
        <v>902</v>
      </c>
      <c r="C393" s="15" t="s">
        <v>901</v>
      </c>
      <c r="D393" s="11">
        <v>11</v>
      </c>
      <c r="E393" s="13">
        <v>46230</v>
      </c>
      <c r="F393" s="10">
        <v>7</v>
      </c>
      <c r="G393" s="16">
        <f>(D393-(0)+0-(F393*Ventas!AE401*1))</f>
        <v>6.2626999999999997</v>
      </c>
      <c r="H393" s="17">
        <f>(G393/(Ventas!AE401*1)/45)</f>
        <v>0.20564409637932526</v>
      </c>
      <c r="I393" s="11">
        <v>0</v>
      </c>
      <c r="J393" s="16">
        <f t="shared" si="30"/>
        <v>6.2626999999999997</v>
      </c>
      <c r="K393" s="4"/>
      <c r="L393" s="13">
        <v>46275</v>
      </c>
      <c r="M393" s="10">
        <v>45</v>
      </c>
      <c r="N393" s="16">
        <f>(IF(G393&gt;0,G393+I393,I393)-(M393*Ventas!AE401*1))</f>
        <v>-24.191371428571433</v>
      </c>
      <c r="O393" s="17">
        <f>(N393/(Ventas!AE401*1)/45)</f>
        <v>-0.79435590362067465</v>
      </c>
      <c r="P393" s="11">
        <v>100</v>
      </c>
      <c r="Q393" s="16">
        <f t="shared" si="31"/>
        <v>100</v>
      </c>
      <c r="R393" s="16">
        <v>15.6</v>
      </c>
      <c r="S393" s="13">
        <v>46331</v>
      </c>
      <c r="T393" s="10">
        <v>56</v>
      </c>
      <c r="U393" s="16">
        <f>(IF(N393&gt;0,N393+P393,P393)-(T393*Ventas!AE401*1))</f>
        <v>62.101599999999998</v>
      </c>
      <c r="V393" s="17">
        <f>(U393/(Ventas!AE401*1)/45)</f>
        <v>2.039188754963563</v>
      </c>
      <c r="W393" s="16">
        <f>(100*(Ventas!AE401*1) - IF(U393&gt;0,U393,0))</f>
        <v>5.5741142857142947</v>
      </c>
      <c r="X393" s="16">
        <f t="shared" si="32"/>
        <v>5.5741142857142947</v>
      </c>
      <c r="Y393" s="16">
        <f t="shared" si="33"/>
        <v>67.675714285714292</v>
      </c>
      <c r="Z393" s="18">
        <v>15.6</v>
      </c>
      <c r="AA393" s="11">
        <v>3027</v>
      </c>
      <c r="AB393" s="16">
        <f>(Y393-(60*Ventas!AE401*1))</f>
        <v>27.070285714285717</v>
      </c>
      <c r="AC393" s="17">
        <f>(AB393/(Ventas!AE401*1)/45)</f>
        <v>0.88888888888888884</v>
      </c>
      <c r="AD393" s="1" t="s">
        <v>34</v>
      </c>
      <c r="AE393">
        <f t="shared" si="34"/>
        <v>86.956182857142991</v>
      </c>
    </row>
    <row r="394" spans="1:31" x14ac:dyDescent="0.25">
      <c r="A394" s="1"/>
      <c r="B394" s="1" t="s">
        <v>904</v>
      </c>
      <c r="C394" s="15" t="s">
        <v>903</v>
      </c>
      <c r="D394" s="11">
        <v>52</v>
      </c>
      <c r="E394" s="13">
        <v>46230</v>
      </c>
      <c r="F394" s="10">
        <v>7</v>
      </c>
      <c r="G394" s="16">
        <f>(D394-(0)+0-(F394*Ventas!AE402*1))</f>
        <v>51.65</v>
      </c>
      <c r="H394" s="17">
        <f>(G394/(Ventas!AE402*1)/45)</f>
        <v>22.955555555555556</v>
      </c>
      <c r="I394" s="11">
        <v>0</v>
      </c>
      <c r="J394" s="16">
        <f t="shared" si="30"/>
        <v>51.65</v>
      </c>
      <c r="K394" s="4"/>
      <c r="L394" s="13">
        <v>46275</v>
      </c>
      <c r="M394" s="10">
        <v>45</v>
      </c>
      <c r="N394" s="16">
        <f>(IF(G394&gt;0,G394+I394,I394)-(M394*Ventas!AE402*1))</f>
        <v>49.4</v>
      </c>
      <c r="O394" s="17">
        <f>(N394/(Ventas!AE402*1)/45)</f>
        <v>21.955555555555552</v>
      </c>
      <c r="P394" s="11">
        <v>0</v>
      </c>
      <c r="Q394" s="16">
        <f t="shared" si="31"/>
        <v>49.4</v>
      </c>
      <c r="R394" s="4"/>
      <c r="S394" s="13">
        <v>46331</v>
      </c>
      <c r="T394" s="10">
        <v>56</v>
      </c>
      <c r="U394" s="16">
        <f>(IF(N394&gt;0,N394+P394,P394)-(T394*Ventas!AE402*1))</f>
        <v>46.6</v>
      </c>
      <c r="V394" s="17">
        <f>(U394/(Ventas!AE402*1)/45)</f>
        <v>20.711111111111112</v>
      </c>
      <c r="W394" s="16">
        <f>(100*(Ventas!AE402*1) - IF(U394&gt;0,U394,0))</f>
        <v>-41.6</v>
      </c>
      <c r="X394" s="16">
        <f t="shared" si="32"/>
        <v>0</v>
      </c>
      <c r="Y394" s="16">
        <f t="shared" si="33"/>
        <v>46.6</v>
      </c>
      <c r="Z394" s="18">
        <v>20.286000000000001</v>
      </c>
      <c r="AA394" s="11">
        <v>3027</v>
      </c>
      <c r="AB394" s="16">
        <f>(Y394-(60*Ventas!AE402*1))</f>
        <v>43.6</v>
      </c>
      <c r="AC394" s="17">
        <f>(AB394/(Ventas!AE402*1)/45)</f>
        <v>19.377777777777776</v>
      </c>
      <c r="AD394" s="1" t="s">
        <v>34</v>
      </c>
      <c r="AE394">
        <f t="shared" si="34"/>
        <v>0</v>
      </c>
    </row>
    <row r="395" spans="1:31" x14ac:dyDescent="0.25">
      <c r="A395" s="1"/>
      <c r="B395" s="1" t="s">
        <v>300</v>
      </c>
      <c r="C395" s="15" t="s">
        <v>299</v>
      </c>
      <c r="D395" s="11">
        <v>1</v>
      </c>
      <c r="E395" s="13">
        <v>46230</v>
      </c>
      <c r="F395" s="10">
        <v>7</v>
      </c>
      <c r="G395" s="16">
        <f>(D395-(0)+0-(F395*Ventas!AE136*1.3))</f>
        <v>0.20231999999999994</v>
      </c>
      <c r="H395" s="17">
        <f>(G395/(Ventas!AE136*1.3)/60)</f>
        <v>2.9590813358740333E-2</v>
      </c>
      <c r="I395" s="11">
        <v>0</v>
      </c>
      <c r="J395" s="16">
        <f t="shared" si="30"/>
        <v>0.20231999999999994</v>
      </c>
      <c r="K395" s="4"/>
      <c r="L395" s="13">
        <v>46275</v>
      </c>
      <c r="M395" s="10">
        <v>45</v>
      </c>
      <c r="N395" s="16">
        <f>(IF(G395&gt;0,G395+I395,I395)-(M395*Ventas!AE136*0.96))</f>
        <v>-3.5844685714285718</v>
      </c>
      <c r="O395" s="17">
        <f>(N395/(Ventas!AE136*0.96)/60)</f>
        <v>-0.70992910691003908</v>
      </c>
      <c r="P395" s="11">
        <v>0</v>
      </c>
      <c r="Q395" s="16">
        <f t="shared" si="31"/>
        <v>0</v>
      </c>
      <c r="R395" s="4"/>
      <c r="S395" s="13">
        <v>46331</v>
      </c>
      <c r="T395" s="10">
        <v>56</v>
      </c>
      <c r="U395" s="16">
        <f>(IF(N395&gt;0,N395+P395,P395)-(T395*Ventas!AE136*0.925))</f>
        <v>-4.5406400000000007</v>
      </c>
      <c r="V395" s="17">
        <f>(U395/(Ventas!AE136*0.925)/60)</f>
        <v>-0.93333333333333335</v>
      </c>
      <c r="W395" s="16">
        <f>(100*(Ventas!AE136*1.485) - IF(U395&gt;0,U395,0))</f>
        <v>13.017085714285717</v>
      </c>
      <c r="X395" s="16">
        <f t="shared" si="32"/>
        <v>13.017085714285717</v>
      </c>
      <c r="Y395" s="16">
        <f t="shared" si="33"/>
        <v>13.017085714285717</v>
      </c>
      <c r="Z395" s="18">
        <v>2.9466000000000001</v>
      </c>
      <c r="AA395" s="11">
        <v>3010</v>
      </c>
      <c r="AB395" s="16">
        <f>(Y395-(60*Ventas!AE136*1.485))</f>
        <v>5.2068342857142866</v>
      </c>
      <c r="AC395" s="17">
        <f>(AB395/(Ventas!AE136*1.485)/60)</f>
        <v>0.66666666666666663</v>
      </c>
      <c r="AD395" s="1" t="s">
        <v>34</v>
      </c>
      <c r="AE395">
        <f t="shared" si="34"/>
        <v>38.356144765714291</v>
      </c>
    </row>
    <row r="396" spans="1:31" x14ac:dyDescent="0.25">
      <c r="A396" s="1"/>
      <c r="B396" s="1" t="s">
        <v>312</v>
      </c>
      <c r="C396" s="15" t="s">
        <v>311</v>
      </c>
      <c r="D396" s="11">
        <v>27</v>
      </c>
      <c r="E396" s="13">
        <v>46230</v>
      </c>
      <c r="F396" s="10">
        <v>7</v>
      </c>
      <c r="G396" s="16">
        <f>(D396-(0)+0-(F396*Ventas!AE142*1.3))</f>
        <v>24.92182</v>
      </c>
      <c r="H396" s="17">
        <f>(G396/(Ventas!AE142*1.3)/60)</f>
        <v>1.3990826909443197</v>
      </c>
      <c r="I396" s="11">
        <v>0</v>
      </c>
      <c r="J396" s="16">
        <f t="shared" si="30"/>
        <v>24.92182</v>
      </c>
      <c r="K396" s="4"/>
      <c r="L396" s="13">
        <v>46275</v>
      </c>
      <c r="M396" s="10">
        <v>45</v>
      </c>
      <c r="N396" s="16">
        <f>(IF(G396&gt;0,G396+I396,I396)-(M396*Ventas!AE142*0.96))</f>
        <v>15.056174285714286</v>
      </c>
      <c r="O396" s="17">
        <f>(N396/(Ventas!AE142*0.96)/60)</f>
        <v>1.1445911439870997</v>
      </c>
      <c r="P396" s="11">
        <v>0</v>
      </c>
      <c r="Q396" s="16">
        <f t="shared" si="31"/>
        <v>15.056174285714286</v>
      </c>
      <c r="R396" s="4"/>
      <c r="S396" s="13">
        <v>46331</v>
      </c>
      <c r="T396" s="10">
        <v>56</v>
      </c>
      <c r="U396" s="16">
        <f>(IF(N396&gt;0,N396+P396,P396)-(T396*Ventas!AE142*0.925))</f>
        <v>3.2265342857142851</v>
      </c>
      <c r="V396" s="17">
        <f>(U396/(Ventas!AE142*0.925)/60)</f>
        <v>0.2545666647505756</v>
      </c>
      <c r="W396" s="16">
        <f>(100*(Ventas!AE142*1.485) - IF(U396&gt;0,U396,0))</f>
        <v>30.686622857142858</v>
      </c>
      <c r="X396" s="16">
        <f t="shared" si="32"/>
        <v>30.686622857142858</v>
      </c>
      <c r="Y396" s="16">
        <f t="shared" si="33"/>
        <v>33.913157142857145</v>
      </c>
      <c r="Z396" s="18">
        <v>2.9</v>
      </c>
      <c r="AA396" s="11">
        <v>3025</v>
      </c>
      <c r="AB396" s="16">
        <f>(Y396-(60*Ventas!AE142*1.485))</f>
        <v>13.565262857142859</v>
      </c>
      <c r="AC396" s="17">
        <f>(AB396/(Ventas!AE142*1.485)/60)</f>
        <v>0.66666666666666663</v>
      </c>
      <c r="AD396" s="1" t="s">
        <v>34</v>
      </c>
      <c r="AE396">
        <f t="shared" si="34"/>
        <v>88.991206285714284</v>
      </c>
    </row>
    <row r="397" spans="1:31" x14ac:dyDescent="0.25">
      <c r="A397" s="1"/>
      <c r="B397" s="1" t="s">
        <v>314</v>
      </c>
      <c r="C397" s="15" t="s">
        <v>313</v>
      </c>
      <c r="D397" s="11">
        <v>7</v>
      </c>
      <c r="E397" s="13">
        <v>46230</v>
      </c>
      <c r="F397" s="10">
        <v>7</v>
      </c>
      <c r="G397" s="16">
        <f>(D397-(0)+0-(F397*Ventas!AE143*1.3))</f>
        <v>6.0906500000000001</v>
      </c>
      <c r="H397" s="17">
        <f>(G397/(Ventas!AE143*1.3)/60)</f>
        <v>0.78141071461300204</v>
      </c>
      <c r="I397" s="11">
        <v>0</v>
      </c>
      <c r="J397" s="16">
        <f t="shared" si="30"/>
        <v>6.0906500000000001</v>
      </c>
      <c r="K397" s="4"/>
      <c r="L397" s="13">
        <v>46275</v>
      </c>
      <c r="M397" s="10">
        <v>45</v>
      </c>
      <c r="N397" s="16">
        <f>(IF(G397&gt;0,G397+I397,I397)-(M397*Ventas!AE143*0.96))</f>
        <v>1.7737357142857135</v>
      </c>
      <c r="O397" s="17">
        <f>(N397/(Ventas!AE143*0.96)/60)</f>
        <v>0.30816034270510673</v>
      </c>
      <c r="P397" s="11">
        <v>0</v>
      </c>
      <c r="Q397" s="16">
        <f t="shared" si="31"/>
        <v>1.7737357142857135</v>
      </c>
      <c r="R397" s="4"/>
      <c r="S397" s="13">
        <v>46331</v>
      </c>
      <c r="T397" s="10">
        <v>56</v>
      </c>
      <c r="U397" s="16">
        <f>(IF(N397&gt;0,N397+P397,P397)-(T397*Ventas!AE143*0.925))</f>
        <v>-3.4025642857142868</v>
      </c>
      <c r="V397" s="17">
        <f>(U397/(Ventas!AE143*0.925)/60)</f>
        <v>-0.6135128695528983</v>
      </c>
      <c r="W397" s="16">
        <f>(100*(Ventas!AE143*1.485) - IF(U397&gt;0,U397,0))</f>
        <v>14.839392857142858</v>
      </c>
      <c r="X397" s="16">
        <f t="shared" si="32"/>
        <v>14.839392857142858</v>
      </c>
      <c r="Y397" s="16">
        <f t="shared" si="33"/>
        <v>14.839392857142858</v>
      </c>
      <c r="Z397" s="18">
        <v>2.9</v>
      </c>
      <c r="AA397" s="11">
        <v>3025</v>
      </c>
      <c r="AB397" s="16">
        <f>(Y397-(60*Ventas!AE143*1.485))</f>
        <v>5.9357571428571418</v>
      </c>
      <c r="AC397" s="17">
        <f>(AB397/(Ventas!AE143*1.485)/60)</f>
        <v>0.66666666666666652</v>
      </c>
      <c r="AD397" s="1" t="s">
        <v>34</v>
      </c>
      <c r="AE397">
        <f t="shared" si="34"/>
        <v>43.034239285714285</v>
      </c>
    </row>
    <row r="398" spans="1:31" x14ac:dyDescent="0.25">
      <c r="A398" s="1"/>
      <c r="B398" s="1" t="s">
        <v>316</v>
      </c>
      <c r="C398" s="15" t="s">
        <v>315</v>
      </c>
      <c r="D398" s="11">
        <v>11</v>
      </c>
      <c r="E398" s="13">
        <v>46230</v>
      </c>
      <c r="F398" s="10">
        <v>7</v>
      </c>
      <c r="G398" s="16">
        <f>(D398-(0)+0-(F398*Ventas!AE144*1.3))</f>
        <v>10.16046</v>
      </c>
      <c r="H398" s="17">
        <f>(G398/(Ventas!AE144*1.3)/60)</f>
        <v>1.4119482097339018</v>
      </c>
      <c r="I398" s="11">
        <v>0</v>
      </c>
      <c r="J398" s="16">
        <f t="shared" si="30"/>
        <v>10.16046</v>
      </c>
      <c r="K398" s="4"/>
      <c r="L398" s="13">
        <v>46275</v>
      </c>
      <c r="M398" s="10">
        <v>45</v>
      </c>
      <c r="N398" s="16">
        <f>(IF(G398&gt;0,G398+I398,I398)-(M398*Ventas!AE144*0.96))</f>
        <v>6.1749514285714291</v>
      </c>
      <c r="O398" s="17">
        <f>(N398/(Ventas!AE144*0.96)/60)</f>
        <v>1.1620132006813255</v>
      </c>
      <c r="P398" s="11">
        <v>0</v>
      </c>
      <c r="Q398" s="16">
        <f t="shared" si="31"/>
        <v>6.1749514285714291</v>
      </c>
      <c r="R398" s="4"/>
      <c r="S398" s="13">
        <v>46331</v>
      </c>
      <c r="T398" s="10">
        <v>56</v>
      </c>
      <c r="U398" s="16">
        <f>(IF(N398&gt;0,N398+P398,P398)-(T398*Ventas!AE144*0.925))</f>
        <v>1.3960314285714288</v>
      </c>
      <c r="V398" s="17">
        <f>(U398/(Ventas!AE144*0.925)/60)</f>
        <v>0.27264793440079915</v>
      </c>
      <c r="W398" s="16">
        <f>(100*(Ventas!AE144*1.485) - IF(U398&gt;0,U398,0))</f>
        <v>12.304154285714286</v>
      </c>
      <c r="X398" s="16">
        <f t="shared" si="32"/>
        <v>12.304154285714286</v>
      </c>
      <c r="Y398" s="16">
        <f t="shared" si="33"/>
        <v>13.700185714285716</v>
      </c>
      <c r="Z398" s="18">
        <v>2.9</v>
      </c>
      <c r="AA398" s="11">
        <v>3025</v>
      </c>
      <c r="AB398" s="16">
        <f>(Y398-(60*Ventas!AE144*1.485))</f>
        <v>5.4800742857142861</v>
      </c>
      <c r="AC398" s="17">
        <f>(AB398/(Ventas!AE144*1.485)/60)</f>
        <v>0.66666666666666663</v>
      </c>
      <c r="AD398" s="1" t="s">
        <v>34</v>
      </c>
      <c r="AE398">
        <f t="shared" si="34"/>
        <v>35.68204742857143</v>
      </c>
    </row>
    <row r="399" spans="1:31" x14ac:dyDescent="0.25">
      <c r="A399" s="1"/>
      <c r="B399" s="1" t="s">
        <v>553</v>
      </c>
      <c r="C399" s="15" t="s">
        <v>552</v>
      </c>
      <c r="D399" s="4"/>
      <c r="E399" s="13">
        <v>46230</v>
      </c>
      <c r="F399" s="10">
        <v>7</v>
      </c>
      <c r="G399" s="16">
        <f>(D399-(0)+0-(F399*Ventas!AE263*1.3))</f>
        <v>-3.4580000000000002</v>
      </c>
      <c r="H399" s="17">
        <f>(G399/(Ventas!AE263*1.3)/60)</f>
        <v>-0.11666666666666667</v>
      </c>
      <c r="I399" s="11">
        <v>0</v>
      </c>
      <c r="J399" s="16">
        <f t="shared" si="30"/>
        <v>0</v>
      </c>
      <c r="K399" s="4"/>
      <c r="L399" s="13">
        <v>46275</v>
      </c>
      <c r="M399" s="10">
        <v>45</v>
      </c>
      <c r="N399" s="16">
        <f>(IF(G399&gt;0,G399+I399,I399)-(M399*Ventas!AE263*0.96))</f>
        <v>-16.416</v>
      </c>
      <c r="O399" s="17">
        <f>(N399/(Ventas!AE263*0.96)/60)</f>
        <v>-0.75</v>
      </c>
      <c r="P399" s="11">
        <v>0</v>
      </c>
      <c r="Q399" s="16">
        <f t="shared" si="31"/>
        <v>0</v>
      </c>
      <c r="R399" s="4"/>
      <c r="S399" s="13">
        <v>46331</v>
      </c>
      <c r="T399" s="10">
        <v>56</v>
      </c>
      <c r="U399" s="16">
        <f>(IF(N399&gt;0,N399+P399,P399)-(T399*Ventas!AE263*0.925))</f>
        <v>-19.684000000000001</v>
      </c>
      <c r="V399" s="17">
        <f>(U399/(Ventas!AE263*0.925)/60)</f>
        <v>-0.93333333333333335</v>
      </c>
      <c r="W399" s="16">
        <f>(100*(Ventas!AE263*1.485) - IF(U399&gt;0,U399,0))</f>
        <v>56.43</v>
      </c>
      <c r="X399" s="16">
        <f t="shared" si="32"/>
        <v>56.43</v>
      </c>
      <c r="Y399" s="16">
        <f t="shared" si="33"/>
        <v>56.43</v>
      </c>
      <c r="Z399" s="18">
        <v>4.8121</v>
      </c>
      <c r="AA399" s="11">
        <v>3010</v>
      </c>
      <c r="AB399" s="16">
        <f>(Y399-(60*Ventas!AE263*1.485))</f>
        <v>22.571999999999996</v>
      </c>
      <c r="AC399" s="17">
        <f>(AB399/(Ventas!AE263*1.485)/60)</f>
        <v>0.66666666666666652</v>
      </c>
      <c r="AD399" s="1" t="s">
        <v>34</v>
      </c>
      <c r="AE399">
        <f t="shared" si="34"/>
        <v>271.54680300000001</v>
      </c>
    </row>
    <row r="400" spans="1:31" x14ac:dyDescent="0.25">
      <c r="A400" s="1"/>
      <c r="B400" s="1" t="s">
        <v>555</v>
      </c>
      <c r="C400" s="15" t="s">
        <v>554</v>
      </c>
      <c r="D400" s="4"/>
      <c r="E400" s="13">
        <v>46230</v>
      </c>
      <c r="F400" s="10">
        <v>7</v>
      </c>
      <c r="G400" s="16">
        <f>(D400-(0)+0-(F400*Ventas!AE264*1.3))</f>
        <v>0</v>
      </c>
      <c r="H400" s="4"/>
      <c r="I400" s="11">
        <v>0</v>
      </c>
      <c r="J400" s="16">
        <f t="shared" si="30"/>
        <v>0</v>
      </c>
      <c r="K400" s="4"/>
      <c r="L400" s="13">
        <v>46275</v>
      </c>
      <c r="M400" s="10">
        <v>45</v>
      </c>
      <c r="N400" s="16">
        <f>(IF(G400&gt;0,G400+I400,I400)-(M400*Ventas!AE264*0.96))</f>
        <v>0</v>
      </c>
      <c r="O400" s="4"/>
      <c r="P400" s="11">
        <v>0</v>
      </c>
      <c r="Q400" s="16">
        <f t="shared" si="31"/>
        <v>0</v>
      </c>
      <c r="R400" s="4"/>
      <c r="S400" s="13">
        <v>46331</v>
      </c>
      <c r="T400" s="10">
        <v>56</v>
      </c>
      <c r="U400" s="16">
        <f>(IF(N400&gt;0,N400+P400,P400)-(T400*Ventas!AE264*0.925))</f>
        <v>0</v>
      </c>
      <c r="V400" s="4"/>
      <c r="W400" s="16">
        <f>(100*(Ventas!AE264*1.485) - IF(U400&gt;0,U400,0))</f>
        <v>0</v>
      </c>
      <c r="X400" s="16">
        <f t="shared" si="32"/>
        <v>0</v>
      </c>
      <c r="Y400" s="16">
        <f t="shared" si="33"/>
        <v>0</v>
      </c>
      <c r="Z400" s="4"/>
      <c r="AA400" s="4"/>
      <c r="AB400" s="4"/>
      <c r="AC400" s="4"/>
      <c r="AD400" s="1" t="s">
        <v>107</v>
      </c>
      <c r="AE400">
        <f t="shared" si="34"/>
        <v>0</v>
      </c>
    </row>
    <row r="401" spans="1:31" x14ac:dyDescent="0.25">
      <c r="A401" s="1"/>
      <c r="B401" s="1" t="s">
        <v>557</v>
      </c>
      <c r="C401" s="15" t="s">
        <v>556</v>
      </c>
      <c r="D401" s="11">
        <v>24</v>
      </c>
      <c r="E401" s="13">
        <v>46230</v>
      </c>
      <c r="F401" s="10">
        <v>7</v>
      </c>
      <c r="G401" s="16">
        <f>(D401-(0)+0-(F401*Ventas!AE265*1.3))</f>
        <v>20.691967999999999</v>
      </c>
      <c r="H401" s="17">
        <f>(G401/(Ventas!AE265*1.3)/60)</f>
        <v>0.72975803539183803</v>
      </c>
      <c r="I401" s="11">
        <v>0</v>
      </c>
      <c r="J401" s="16">
        <f t="shared" si="30"/>
        <v>20.691967999999999</v>
      </c>
      <c r="K401" s="4"/>
      <c r="L401" s="13">
        <v>46275</v>
      </c>
      <c r="M401" s="10">
        <v>45</v>
      </c>
      <c r="N401" s="16">
        <f>(IF(G401&gt;0,G401+I401,I401)-(M401*Ventas!AE265*0.96))</f>
        <v>4.9879040000000003</v>
      </c>
      <c r="O401" s="17">
        <f>(N401/(Ventas!AE265*0.96)/60)</f>
        <v>0.23821400625978092</v>
      </c>
      <c r="P401" s="11">
        <v>0</v>
      </c>
      <c r="Q401" s="16">
        <f t="shared" si="31"/>
        <v>4.9879040000000003</v>
      </c>
      <c r="R401" s="4"/>
      <c r="S401" s="13">
        <v>46331</v>
      </c>
      <c r="T401" s="10">
        <v>56</v>
      </c>
      <c r="U401" s="16">
        <f>(IF(N401&gt;0,N401+P401,P401)-(T401*Ventas!AE265*0.925))</f>
        <v>-13.842432000000002</v>
      </c>
      <c r="V401" s="17">
        <f>(U401/(Ventas!AE265*0.925)/60)</f>
        <v>-0.68610582413399324</v>
      </c>
      <c r="W401" s="16">
        <f>(100*(Ventas!AE265*1.485) - IF(U401&gt;0,U401,0))</f>
        <v>53.982720000000008</v>
      </c>
      <c r="X401" s="16">
        <f t="shared" si="32"/>
        <v>53.982720000000008</v>
      </c>
      <c r="Y401" s="16">
        <f t="shared" si="33"/>
        <v>53.982720000000008</v>
      </c>
      <c r="Z401" s="18">
        <v>4.8121</v>
      </c>
      <c r="AA401" s="11">
        <v>3010</v>
      </c>
      <c r="AB401" s="16">
        <f>(Y401-(60*Ventas!AE265*1.485))</f>
        <v>21.593088000000009</v>
      </c>
      <c r="AC401" s="17">
        <f>(AB401/(Ventas!AE265*1.485)/60)</f>
        <v>0.66666666666666685</v>
      </c>
      <c r="AD401" s="1" t="s">
        <v>34</v>
      </c>
      <c r="AE401">
        <f t="shared" si="34"/>
        <v>259.77024691200006</v>
      </c>
    </row>
    <row r="402" spans="1:31" x14ac:dyDescent="0.25">
      <c r="A402" s="1"/>
      <c r="B402" s="1" t="s">
        <v>567</v>
      </c>
      <c r="C402" s="15" t="s">
        <v>566</v>
      </c>
      <c r="D402" s="4"/>
      <c r="E402" s="13">
        <v>46230</v>
      </c>
      <c r="F402" s="10">
        <v>7</v>
      </c>
      <c r="G402" s="16">
        <f>(D402-(0)+0-(F402*Ventas!AE269*1.3))</f>
        <v>0</v>
      </c>
      <c r="H402" s="4"/>
      <c r="I402" s="11">
        <v>0</v>
      </c>
      <c r="J402" s="16">
        <f t="shared" si="30"/>
        <v>0</v>
      </c>
      <c r="K402" s="4"/>
      <c r="L402" s="13">
        <v>46275</v>
      </c>
      <c r="M402" s="10">
        <v>45</v>
      </c>
      <c r="N402" s="16">
        <f>(IF(G402&gt;0,G402+I402,I402)-(M402*Ventas!AE269*0.96))</f>
        <v>0</v>
      </c>
      <c r="O402" s="4"/>
      <c r="P402" s="11">
        <v>0</v>
      </c>
      <c r="Q402" s="16">
        <f t="shared" si="31"/>
        <v>0</v>
      </c>
      <c r="R402" s="4"/>
      <c r="S402" s="13">
        <v>46331</v>
      </c>
      <c r="T402" s="10">
        <v>56</v>
      </c>
      <c r="U402" s="16">
        <f>(IF(N402&gt;0,N402+P402,P402)-(T402*Ventas!AE269*0.925))</f>
        <v>0</v>
      </c>
      <c r="V402" s="4"/>
      <c r="W402" s="16">
        <f>(100*(Ventas!AE269*1.485) - IF(U402&gt;0,U402,0))</f>
        <v>0</v>
      </c>
      <c r="X402" s="16">
        <f t="shared" si="32"/>
        <v>0</v>
      </c>
      <c r="Y402" s="16">
        <f t="shared" si="33"/>
        <v>0</v>
      </c>
      <c r="Z402" s="4"/>
      <c r="AA402" s="4"/>
      <c r="AB402" s="4"/>
      <c r="AC402" s="4"/>
      <c r="AD402" s="1" t="s">
        <v>34</v>
      </c>
      <c r="AE402">
        <f t="shared" si="34"/>
        <v>0</v>
      </c>
    </row>
    <row r="403" spans="1:31" x14ac:dyDescent="0.25">
      <c r="A403" s="1" t="s">
        <v>570</v>
      </c>
      <c r="B403" s="1" t="s">
        <v>569</v>
      </c>
      <c r="C403" s="15" t="s">
        <v>568</v>
      </c>
      <c r="D403" s="4"/>
      <c r="E403" s="13">
        <v>46230</v>
      </c>
      <c r="F403" s="10">
        <v>7</v>
      </c>
      <c r="G403" s="16">
        <f>(D403-(0)+0-(F403*Ventas!AE270*1.3))</f>
        <v>-7.3710000000000004</v>
      </c>
      <c r="H403" s="17">
        <f>(G403/(Ventas!AE270*1.3)/60)</f>
        <v>-0.11666666666666665</v>
      </c>
      <c r="I403" s="11">
        <v>60</v>
      </c>
      <c r="J403" s="16">
        <f t="shared" si="30"/>
        <v>60</v>
      </c>
      <c r="K403" s="16">
        <v>7.2</v>
      </c>
      <c r="L403" s="13">
        <v>46275</v>
      </c>
      <c r="M403" s="10">
        <v>45</v>
      </c>
      <c r="N403" s="16">
        <f>(IF(G403&gt;0,G403+I403,I403)-(M403*Ventas!AE270*0.96))</f>
        <v>25.007999999999996</v>
      </c>
      <c r="O403" s="17">
        <f>(N403/(Ventas!AE270*0.96)/60)</f>
        <v>0.53600823045267476</v>
      </c>
      <c r="P403" s="11">
        <v>0</v>
      </c>
      <c r="Q403" s="16">
        <f t="shared" si="31"/>
        <v>25.007999999999996</v>
      </c>
      <c r="R403" s="4"/>
      <c r="S403" s="13">
        <v>46331</v>
      </c>
      <c r="T403" s="10">
        <v>56</v>
      </c>
      <c r="U403" s="16">
        <f>(IF(N403&gt;0,N403+P403,P403)-(T403*Ventas!AE270*0.925))</f>
        <v>-16.950000000000003</v>
      </c>
      <c r="V403" s="17">
        <f>(U403/(Ventas!AE270*0.925)/60)</f>
        <v>-0.37704371037704376</v>
      </c>
      <c r="W403" s="16">
        <f>(100*(Ventas!AE270*1.485) - IF(U403&gt;0,U403,0))</f>
        <v>120.28500000000003</v>
      </c>
      <c r="X403" s="16">
        <f t="shared" si="32"/>
        <v>120.28500000000003</v>
      </c>
      <c r="Y403" s="16">
        <f t="shared" si="33"/>
        <v>120.28500000000003</v>
      </c>
      <c r="Z403" s="18">
        <v>7.2</v>
      </c>
      <c r="AA403" s="11">
        <v>3027</v>
      </c>
      <c r="AB403" s="16">
        <f>(Y403-(60*Ventas!AE270*1.485))</f>
        <v>48.114000000000019</v>
      </c>
      <c r="AC403" s="17">
        <f>(AB403/(Ventas!AE270*1.485)/60)</f>
        <v>0.66666666666666674</v>
      </c>
      <c r="AD403" s="1" t="s">
        <v>34</v>
      </c>
      <c r="AE403">
        <f t="shared" si="34"/>
        <v>866.05200000000025</v>
      </c>
    </row>
    <row r="404" spans="1:31" x14ac:dyDescent="0.25">
      <c r="A404" s="1" t="s">
        <v>573</v>
      </c>
      <c r="B404" s="1" t="s">
        <v>572</v>
      </c>
      <c r="C404" s="15" t="s">
        <v>571</v>
      </c>
      <c r="D404" s="11">
        <v>8</v>
      </c>
      <c r="E404" s="13">
        <v>46230</v>
      </c>
      <c r="F404" s="10">
        <v>7</v>
      </c>
      <c r="G404" s="16">
        <f>(D404-(0)+0-(F404*Ventas!AE271*1.3))</f>
        <v>5.286016</v>
      </c>
      <c r="H404" s="17">
        <f>(G404/(Ventas!AE271*1.3)/60)</f>
        <v>0.22723120942005062</v>
      </c>
      <c r="I404" s="11">
        <v>0</v>
      </c>
      <c r="J404" s="16">
        <f t="shared" si="30"/>
        <v>5.286016</v>
      </c>
      <c r="K404" s="4"/>
      <c r="L404" s="13">
        <v>46275</v>
      </c>
      <c r="M404" s="10">
        <v>45</v>
      </c>
      <c r="N404" s="16">
        <f>(IF(G404&gt;0,G404+I404,I404)-(M404*Ventas!AE271*0.96))</f>
        <v>-7.5979519999999994</v>
      </c>
      <c r="O404" s="17">
        <f>(N404/(Ventas!AE271*0.96)/60)</f>
        <v>-0.44229107057701472</v>
      </c>
      <c r="P404" s="11">
        <v>0</v>
      </c>
      <c r="Q404" s="16">
        <f t="shared" si="31"/>
        <v>0</v>
      </c>
      <c r="R404" s="4"/>
      <c r="S404" s="13">
        <v>46331</v>
      </c>
      <c r="T404" s="10">
        <v>56</v>
      </c>
      <c r="U404" s="16">
        <f>(IF(N404&gt;0,N404+P404,P404)-(T404*Ventas!AE271*0.925))</f>
        <v>-15.448832000000003</v>
      </c>
      <c r="V404" s="17">
        <f>(U404/(Ventas!AE271*0.925)/60)</f>
        <v>-0.93333333333333346</v>
      </c>
      <c r="W404" s="16">
        <f>(100*(Ventas!AE271*1.485) - IF(U404&gt;0,U404,0))</f>
        <v>44.288640000000001</v>
      </c>
      <c r="X404" s="16">
        <f t="shared" si="32"/>
        <v>44.288640000000001</v>
      </c>
      <c r="Y404" s="16">
        <f t="shared" si="33"/>
        <v>44.288640000000001</v>
      </c>
      <c r="Z404" s="18">
        <v>7.0709</v>
      </c>
      <c r="AA404" s="11">
        <v>3010</v>
      </c>
      <c r="AB404" s="16">
        <f>(Y404-(60*Ventas!AE271*1.485))</f>
        <v>17.715455999999996</v>
      </c>
      <c r="AC404" s="17">
        <f>(AB404/(Ventas!AE271*1.485)/60)</f>
        <v>0.66666666666666652</v>
      </c>
      <c r="AD404" s="1" t="s">
        <v>34</v>
      </c>
      <c r="AE404">
        <f t="shared" si="34"/>
        <v>313.16054457600001</v>
      </c>
    </row>
    <row r="405" spans="1:31" x14ac:dyDescent="0.25">
      <c r="A405" s="1" t="s">
        <v>791</v>
      </c>
      <c r="B405" s="1" t="s">
        <v>790</v>
      </c>
      <c r="C405" s="15" t="s">
        <v>789</v>
      </c>
      <c r="D405" s="4"/>
      <c r="E405" s="13">
        <v>46230</v>
      </c>
      <c r="F405" s="10">
        <v>7</v>
      </c>
      <c r="G405" s="16">
        <f>(D405-(0)+0-(F405*Ventas!AE348*1.3))</f>
        <v>0</v>
      </c>
      <c r="H405" s="4"/>
      <c r="I405" s="11">
        <v>0</v>
      </c>
      <c r="J405" s="16">
        <f t="shared" si="30"/>
        <v>0</v>
      </c>
      <c r="K405" s="4"/>
      <c r="L405" s="13">
        <v>46275</v>
      </c>
      <c r="M405" s="10">
        <v>45</v>
      </c>
      <c r="N405" s="16">
        <f>(IF(G405&gt;0,G405+I405,I405)-(M405*Ventas!AE348*0.96))</f>
        <v>0</v>
      </c>
      <c r="O405" s="4"/>
      <c r="P405" s="11">
        <v>0</v>
      </c>
      <c r="Q405" s="16">
        <f t="shared" si="31"/>
        <v>0</v>
      </c>
      <c r="R405" s="4"/>
      <c r="S405" s="13">
        <v>46331</v>
      </c>
      <c r="T405" s="10">
        <v>56</v>
      </c>
      <c r="U405" s="16">
        <f>(IF(N405&gt;0,N405+P405,P405)-(T405*Ventas!AE348*0.925))</f>
        <v>0</v>
      </c>
      <c r="V405" s="4"/>
      <c r="W405" s="16">
        <f>(100*(Ventas!AE348*1.485) - IF(U405&gt;0,U405,0))</f>
        <v>0</v>
      </c>
      <c r="X405" s="16">
        <f t="shared" si="32"/>
        <v>0</v>
      </c>
      <c r="Y405" s="16">
        <f t="shared" si="33"/>
        <v>0</v>
      </c>
      <c r="Z405" s="4"/>
      <c r="AA405" s="4"/>
      <c r="AB405" s="4"/>
      <c r="AC405" s="4"/>
      <c r="AD405" s="1" t="s">
        <v>34</v>
      </c>
      <c r="AE405">
        <f t="shared" si="34"/>
        <v>0</v>
      </c>
    </row>
    <row r="406" spans="1:31" x14ac:dyDescent="0.25">
      <c r="A406" s="1"/>
      <c r="B406" s="1" t="s">
        <v>906</v>
      </c>
      <c r="C406" s="15" t="s">
        <v>905</v>
      </c>
      <c r="D406" s="4"/>
      <c r="E406" s="13">
        <v>46230</v>
      </c>
      <c r="F406" s="10">
        <v>7</v>
      </c>
      <c r="G406" s="16">
        <f>(D406-(0)+0-(F406*Ventas!AE403*1.3))</f>
        <v>0</v>
      </c>
      <c r="H406" s="4"/>
      <c r="I406" s="11">
        <v>100</v>
      </c>
      <c r="J406" s="16">
        <f t="shared" si="30"/>
        <v>100</v>
      </c>
      <c r="K406" s="16">
        <v>7.4</v>
      </c>
      <c r="L406" s="13">
        <v>46275</v>
      </c>
      <c r="M406" s="10">
        <v>45</v>
      </c>
      <c r="N406" s="16">
        <f>(IF(G406&gt;0,G406+I406,I406)-(M406*Ventas!AE403*0.96))</f>
        <v>100</v>
      </c>
      <c r="O406" s="4"/>
      <c r="P406" s="11">
        <v>0</v>
      </c>
      <c r="Q406" s="16">
        <f t="shared" si="31"/>
        <v>100</v>
      </c>
      <c r="R406" s="4"/>
      <c r="S406" s="13">
        <v>46331</v>
      </c>
      <c r="T406" s="10">
        <v>56</v>
      </c>
      <c r="U406" s="16">
        <f>(IF(N406&gt;0,N406+P406,P406)-(T406*Ventas!AE403*0.925))</f>
        <v>100</v>
      </c>
      <c r="V406" s="4"/>
      <c r="W406" s="16">
        <f>(100*(Ventas!AE403*1.485) - IF(U406&gt;0,U406,0))</f>
        <v>-100</v>
      </c>
      <c r="X406" s="16">
        <f t="shared" si="32"/>
        <v>0</v>
      </c>
      <c r="Y406" s="16">
        <f t="shared" si="33"/>
        <v>100</v>
      </c>
      <c r="Z406" s="18">
        <v>7.4</v>
      </c>
      <c r="AA406" s="11">
        <v>3027</v>
      </c>
      <c r="AB406" s="4"/>
      <c r="AC406" s="4"/>
      <c r="AD406" s="1" t="s">
        <v>34</v>
      </c>
      <c r="AE406">
        <f t="shared" si="34"/>
        <v>0</v>
      </c>
    </row>
    <row r="407" spans="1:31" x14ac:dyDescent="0.25">
      <c r="A407" s="1"/>
      <c r="B407" s="1" t="s">
        <v>908</v>
      </c>
      <c r="C407" s="15" t="s">
        <v>907</v>
      </c>
      <c r="D407" s="4"/>
      <c r="E407" s="13">
        <v>46230</v>
      </c>
      <c r="F407" s="10">
        <v>7</v>
      </c>
      <c r="G407" s="16">
        <f>(D407-(0)+0-(F407*Ventas!AE404*1.3))</f>
        <v>0</v>
      </c>
      <c r="H407" s="4"/>
      <c r="I407" s="11">
        <v>100</v>
      </c>
      <c r="J407" s="16">
        <f t="shared" si="30"/>
        <v>100</v>
      </c>
      <c r="K407" s="16">
        <v>7.4</v>
      </c>
      <c r="L407" s="13">
        <v>46275</v>
      </c>
      <c r="M407" s="10">
        <v>45</v>
      </c>
      <c r="N407" s="16">
        <f>(IF(G407&gt;0,G407+I407,I407)-(M407*Ventas!AE404*0.96))</f>
        <v>100</v>
      </c>
      <c r="O407" s="4"/>
      <c r="P407" s="11">
        <v>0</v>
      </c>
      <c r="Q407" s="16">
        <f t="shared" si="31"/>
        <v>100</v>
      </c>
      <c r="R407" s="4"/>
      <c r="S407" s="13">
        <v>46331</v>
      </c>
      <c r="T407" s="10">
        <v>56</v>
      </c>
      <c r="U407" s="16">
        <f>(IF(N407&gt;0,N407+P407,P407)-(T407*Ventas!AE404*0.925))</f>
        <v>100</v>
      </c>
      <c r="V407" s="4"/>
      <c r="W407" s="16">
        <f>(100*(Ventas!AE404*1.485) - IF(U407&gt;0,U407,0))</f>
        <v>-100</v>
      </c>
      <c r="X407" s="16">
        <f t="shared" si="32"/>
        <v>0</v>
      </c>
      <c r="Y407" s="16">
        <f t="shared" si="33"/>
        <v>100</v>
      </c>
      <c r="Z407" s="18">
        <v>7.4</v>
      </c>
      <c r="AA407" s="11">
        <v>3027</v>
      </c>
      <c r="AB407" s="4"/>
      <c r="AC407" s="4"/>
      <c r="AD407" s="1" t="s">
        <v>34</v>
      </c>
      <c r="AE407">
        <f t="shared" si="34"/>
        <v>0</v>
      </c>
    </row>
    <row r="408" spans="1:31" x14ac:dyDescent="0.25">
      <c r="A408" s="1"/>
      <c r="B408" s="1" t="s">
        <v>910</v>
      </c>
      <c r="C408" s="15" t="s">
        <v>909</v>
      </c>
      <c r="D408" s="4"/>
      <c r="E408" s="13">
        <v>46230</v>
      </c>
      <c r="F408" s="10">
        <v>7</v>
      </c>
      <c r="G408" s="16">
        <f>(D408-(0)+0-(F408*Ventas!AE405*1.3))</f>
        <v>0</v>
      </c>
      <c r="H408" s="4"/>
      <c r="I408" s="11">
        <v>50</v>
      </c>
      <c r="J408" s="16">
        <f t="shared" si="30"/>
        <v>50</v>
      </c>
      <c r="K408" s="16">
        <v>7.4</v>
      </c>
      <c r="L408" s="13">
        <v>46275</v>
      </c>
      <c r="M408" s="10">
        <v>45</v>
      </c>
      <c r="N408" s="16">
        <f>(IF(G408&gt;0,G408+I408,I408)-(M408*Ventas!AE405*0.96))</f>
        <v>50</v>
      </c>
      <c r="O408" s="4"/>
      <c r="P408" s="11">
        <v>0</v>
      </c>
      <c r="Q408" s="16">
        <f t="shared" si="31"/>
        <v>50</v>
      </c>
      <c r="R408" s="4"/>
      <c r="S408" s="13">
        <v>46331</v>
      </c>
      <c r="T408" s="10">
        <v>56</v>
      </c>
      <c r="U408" s="16">
        <f>(IF(N408&gt;0,N408+P408,P408)-(T408*Ventas!AE405*0.925))</f>
        <v>50</v>
      </c>
      <c r="V408" s="4"/>
      <c r="W408" s="16">
        <f>(100*(Ventas!AE405*1.485) - IF(U408&gt;0,U408,0))</f>
        <v>-50</v>
      </c>
      <c r="X408" s="16">
        <f t="shared" si="32"/>
        <v>0</v>
      </c>
      <c r="Y408" s="16">
        <f t="shared" si="33"/>
        <v>50</v>
      </c>
      <c r="Z408" s="18">
        <v>7.4</v>
      </c>
      <c r="AA408" s="11">
        <v>3027</v>
      </c>
      <c r="AB408" s="4"/>
      <c r="AC408" s="4"/>
      <c r="AD408" s="1" t="s">
        <v>34</v>
      </c>
      <c r="AE408">
        <f t="shared" si="34"/>
        <v>0</v>
      </c>
    </row>
    <row r="409" spans="1:31" x14ac:dyDescent="0.25">
      <c r="A409" s="1"/>
      <c r="B409" s="1" t="s">
        <v>285</v>
      </c>
      <c r="C409" s="15" t="s">
        <v>284</v>
      </c>
      <c r="D409" s="11">
        <v>7</v>
      </c>
      <c r="E409" s="13">
        <v>46230</v>
      </c>
      <c r="F409" s="10">
        <v>7</v>
      </c>
      <c r="G409" s="16">
        <f>(D409-(0)+0-(F409*Ventas!AE129*1))</f>
        <v>5.9256000000000002</v>
      </c>
      <c r="H409" s="17">
        <f>(G409/(Ventas!AE129*1)/45)</f>
        <v>0.85793000744601644</v>
      </c>
      <c r="I409" s="11">
        <v>0</v>
      </c>
      <c r="J409" s="16">
        <f t="shared" si="30"/>
        <v>5.9256000000000002</v>
      </c>
      <c r="K409" s="4"/>
      <c r="L409" s="13">
        <v>46275</v>
      </c>
      <c r="M409" s="10">
        <v>45</v>
      </c>
      <c r="N409" s="16">
        <f>(IF(G409&gt;0,G409+I409,I409)-(M409*Ventas!AE129*1))</f>
        <v>-0.98125714285714238</v>
      </c>
      <c r="O409" s="17">
        <f>(N409/(Ventas!AE129*1)/45)</f>
        <v>-0.14206999255398356</v>
      </c>
      <c r="P409" s="11">
        <v>0</v>
      </c>
      <c r="Q409" s="16">
        <f t="shared" si="31"/>
        <v>0</v>
      </c>
      <c r="R409" s="4"/>
      <c r="S409" s="13">
        <v>46331</v>
      </c>
      <c r="T409" s="10">
        <v>56</v>
      </c>
      <c r="U409" s="16">
        <f>(IF(N409&gt;0,N409+P409,P409)-(T409*Ventas!AE129*1))</f>
        <v>-8.5952000000000002</v>
      </c>
      <c r="V409" s="17">
        <f>(U409/(Ventas!AE129*1)/45)</f>
        <v>-1.2444444444444445</v>
      </c>
      <c r="W409" s="16">
        <f>(100*(Ventas!AE129*1) - IF(U409&gt;0,U409,0))</f>
        <v>15.348571428571429</v>
      </c>
      <c r="X409" s="16">
        <f t="shared" si="32"/>
        <v>15.348571428571429</v>
      </c>
      <c r="Y409" s="16">
        <f t="shared" si="33"/>
        <v>15.348571428571429</v>
      </c>
      <c r="Z409" s="18">
        <v>16.8</v>
      </c>
      <c r="AA409" s="11">
        <v>3010</v>
      </c>
      <c r="AB409" s="16">
        <f>(Y409-(60*Ventas!AE129*1))</f>
        <v>6.1394285714285726</v>
      </c>
      <c r="AC409" s="17">
        <f>(AB409/(Ventas!AE129*1)/45)</f>
        <v>0.88888888888888906</v>
      </c>
      <c r="AD409" s="1" t="s">
        <v>34</v>
      </c>
      <c r="AE409">
        <f t="shared" si="34"/>
        <v>257.85599999999999</v>
      </c>
    </row>
    <row r="410" spans="1:31" x14ac:dyDescent="0.25">
      <c r="A410" s="1"/>
      <c r="B410" s="1" t="s">
        <v>294</v>
      </c>
      <c r="C410" s="15" t="s">
        <v>293</v>
      </c>
      <c r="D410" s="11">
        <v>27</v>
      </c>
      <c r="E410" s="13">
        <v>46230</v>
      </c>
      <c r="F410" s="10">
        <v>7</v>
      </c>
      <c r="G410" s="16">
        <f>(D410-(0)+0-(F410*Ventas!AE133*1))</f>
        <v>26.292999999999999</v>
      </c>
      <c r="H410" s="17">
        <f>(G410/(Ventas!AE133*1)/45)</f>
        <v>5.7850385038503847</v>
      </c>
      <c r="I410" s="11">
        <v>0</v>
      </c>
      <c r="J410" s="16">
        <f t="shared" si="30"/>
        <v>26.292999999999999</v>
      </c>
      <c r="K410" s="4"/>
      <c r="L410" s="13">
        <v>46275</v>
      </c>
      <c r="M410" s="10">
        <v>45</v>
      </c>
      <c r="N410" s="16">
        <f>(IF(G410&gt;0,G410+I410,I410)-(M410*Ventas!AE133*1))</f>
        <v>21.747999999999998</v>
      </c>
      <c r="O410" s="17">
        <f>(N410/(Ventas!AE133*1)/45)</f>
        <v>4.7850385038503847</v>
      </c>
      <c r="P410" s="11">
        <v>0</v>
      </c>
      <c r="Q410" s="16">
        <f t="shared" si="31"/>
        <v>21.747999999999998</v>
      </c>
      <c r="R410" s="4"/>
      <c r="S410" s="13">
        <v>46331</v>
      </c>
      <c r="T410" s="10">
        <v>56</v>
      </c>
      <c r="U410" s="16">
        <f>(IF(N410&gt;0,N410+P410,P410)-(T410*Ventas!AE133*1))</f>
        <v>16.091999999999999</v>
      </c>
      <c r="V410" s="17">
        <f>(U410/(Ventas!AE133*1)/45)</f>
        <v>3.5405940594059402</v>
      </c>
      <c r="W410" s="16">
        <f>(100*(Ventas!AE133*1) - IF(U410&gt;0,U410,0))</f>
        <v>-5.9919999999999991</v>
      </c>
      <c r="X410" s="16">
        <f t="shared" si="32"/>
        <v>0</v>
      </c>
      <c r="Y410" s="16">
        <f t="shared" si="33"/>
        <v>16.091999999999999</v>
      </c>
      <c r="Z410" s="18">
        <v>18.100000000000001</v>
      </c>
      <c r="AA410" s="11">
        <v>3010</v>
      </c>
      <c r="AB410" s="16">
        <f>(Y410-(60*Ventas!AE133*1))</f>
        <v>10.032</v>
      </c>
      <c r="AC410" s="17">
        <f>(AB410/(Ventas!AE133*1)/45)</f>
        <v>2.2072607260726071</v>
      </c>
      <c r="AD410" s="1" t="s">
        <v>34</v>
      </c>
      <c r="AE410">
        <f t="shared" si="34"/>
        <v>0</v>
      </c>
    </row>
    <row r="411" spans="1:31" x14ac:dyDescent="0.25">
      <c r="A411" s="1"/>
      <c r="B411" s="1" t="s">
        <v>912</v>
      </c>
      <c r="C411" s="15" t="s">
        <v>911</v>
      </c>
      <c r="D411" s="4"/>
      <c r="E411" s="13">
        <v>46230</v>
      </c>
      <c r="F411" s="10">
        <v>7</v>
      </c>
      <c r="G411" s="16">
        <f>(D411-(0)+0-(F411*Ventas!AE406*1.3))</f>
        <v>-9.2367600000000021</v>
      </c>
      <c r="H411" s="17">
        <f>(G411/(Ventas!AE406*1.3)/60)</f>
        <v>-0.11666666666666667</v>
      </c>
      <c r="I411" s="11">
        <v>0</v>
      </c>
      <c r="J411" s="16">
        <f t="shared" si="30"/>
        <v>0</v>
      </c>
      <c r="K411" s="4"/>
      <c r="L411" s="13">
        <v>46275</v>
      </c>
      <c r="M411" s="10">
        <v>45</v>
      </c>
      <c r="N411" s="16">
        <f>(IF(G411&gt;0,G411+I411,I411)-(M411*Ventas!AE406*0.96))</f>
        <v>-43.849234285714296</v>
      </c>
      <c r="O411" s="17">
        <f>(N411/(Ventas!AE406*0.96)/60)</f>
        <v>-0.75</v>
      </c>
      <c r="P411" s="11">
        <v>0</v>
      </c>
      <c r="Q411" s="16">
        <f t="shared" si="31"/>
        <v>0</v>
      </c>
      <c r="R411" s="4"/>
      <c r="S411" s="13">
        <v>46331</v>
      </c>
      <c r="T411" s="10">
        <v>56</v>
      </c>
      <c r="U411" s="16">
        <f>(IF(N411&gt;0,N411+P411,P411)-(T411*Ventas!AE406*0.925))</f>
        <v>-52.578480000000013</v>
      </c>
      <c r="V411" s="17">
        <f>(U411/(Ventas!AE406*0.925)/60)</f>
        <v>-0.93333333333333335</v>
      </c>
      <c r="W411" s="16">
        <f>(100*(Ventas!AE406*1.485) - IF(U411&gt;0,U411,0))</f>
        <v>150.7317428571429</v>
      </c>
      <c r="X411" s="16">
        <f t="shared" si="32"/>
        <v>150.7317428571429</v>
      </c>
      <c r="Y411" s="16">
        <f t="shared" si="33"/>
        <v>150.7317428571429</v>
      </c>
      <c r="Z411" s="18">
        <v>7.7</v>
      </c>
      <c r="AA411" s="11">
        <v>3010</v>
      </c>
      <c r="AB411" s="16">
        <f>(Y411-(60*Ventas!AE406*1.485))</f>
        <v>60.292697142857165</v>
      </c>
      <c r="AC411" s="17">
        <f>(AB411/(Ventas!AE406*1.485)/60)</f>
        <v>0.66666666666666663</v>
      </c>
      <c r="AD411" s="1" t="s">
        <v>34</v>
      </c>
      <c r="AE411">
        <f t="shared" si="34"/>
        <v>1160.6344200000003</v>
      </c>
    </row>
    <row r="412" spans="1:31" x14ac:dyDescent="0.25">
      <c r="A412" s="1"/>
      <c r="B412" s="1" t="s">
        <v>914</v>
      </c>
      <c r="C412" s="15" t="s">
        <v>913</v>
      </c>
      <c r="D412" s="11">
        <v>65</v>
      </c>
      <c r="E412" s="13">
        <v>46230</v>
      </c>
      <c r="F412" s="10">
        <v>7</v>
      </c>
      <c r="G412" s="16">
        <f>(D412-(0)+0-(F412*Ventas!AE407*1.3))</f>
        <v>61.643140000000002</v>
      </c>
      <c r="H412" s="17">
        <f>(G412/(Ventas!AE407*1.3)/60)</f>
        <v>2.1423889190096301</v>
      </c>
      <c r="I412" s="11">
        <v>0</v>
      </c>
      <c r="J412" s="16">
        <f t="shared" si="30"/>
        <v>61.643140000000002</v>
      </c>
      <c r="K412" s="4"/>
      <c r="L412" s="13">
        <v>46275</v>
      </c>
      <c r="M412" s="10">
        <v>45</v>
      </c>
      <c r="N412" s="16">
        <f>(IF(G412&gt;0,G412+I412,I412)-(M412*Ventas!AE407*0.96))</f>
        <v>45.707277142857144</v>
      </c>
      <c r="O412" s="17">
        <f>(N412/(Ventas!AE407*0.96)/60)</f>
        <v>2.1511516611588744</v>
      </c>
      <c r="P412" s="11">
        <v>0</v>
      </c>
      <c r="Q412" s="16">
        <f t="shared" si="31"/>
        <v>45.707277142857144</v>
      </c>
      <c r="R412" s="4"/>
      <c r="S412" s="13">
        <v>46331</v>
      </c>
      <c r="T412" s="10">
        <v>56</v>
      </c>
      <c r="U412" s="16">
        <f>(IF(N412&gt;0,N412+P412,P412)-(T412*Ventas!AE407*0.925))</f>
        <v>26.59899714285714</v>
      </c>
      <c r="V412" s="17">
        <f>(U412/(Ventas!AE407*0.925)/60)</f>
        <v>1.2992132555450653</v>
      </c>
      <c r="W412" s="16">
        <f>(100*(Ventas!AE407*1.485) - IF(U412&gt;0,U412,0))</f>
        <v>28.180531428571445</v>
      </c>
      <c r="X412" s="16">
        <f t="shared" si="32"/>
        <v>28.180531428571445</v>
      </c>
      <c r="Y412" s="16">
        <f t="shared" si="33"/>
        <v>54.779528571428585</v>
      </c>
      <c r="Z412" s="18">
        <v>7.7</v>
      </c>
      <c r="AA412" s="11">
        <v>3010</v>
      </c>
      <c r="AB412" s="16">
        <f>(Y412-(60*Ventas!AE407*1.485))</f>
        <v>21.91181142857144</v>
      </c>
      <c r="AC412" s="17">
        <f>(AB412/(Ventas!AE407*1.485)/60)</f>
        <v>0.66666666666666685</v>
      </c>
      <c r="AD412" s="1" t="s">
        <v>34</v>
      </c>
      <c r="AE412">
        <f t="shared" si="34"/>
        <v>216.99009200000015</v>
      </c>
    </row>
    <row r="413" spans="1:31" x14ac:dyDescent="0.25">
      <c r="A413" s="1"/>
      <c r="B413" s="1" t="s">
        <v>916</v>
      </c>
      <c r="C413" s="15" t="s">
        <v>915</v>
      </c>
      <c r="D413" s="4"/>
      <c r="E413" s="13">
        <v>46230</v>
      </c>
      <c r="F413" s="10">
        <v>7</v>
      </c>
      <c r="G413" s="16">
        <f>(D413-(0)+0-(F413*Ventas!AE408*1.3))</f>
        <v>0</v>
      </c>
      <c r="H413" s="17" t="e">
        <f>(G413/(Ventas!AE408*1.3)/60)</f>
        <v>#DIV/0!</v>
      </c>
      <c r="I413" s="11">
        <v>0</v>
      </c>
      <c r="J413" s="16">
        <f t="shared" si="30"/>
        <v>0</v>
      </c>
      <c r="K413" s="4"/>
      <c r="L413" s="13">
        <v>46275</v>
      </c>
      <c r="M413" s="10">
        <v>45</v>
      </c>
      <c r="N413" s="16">
        <f>(IF(G413&gt;0,G413+I413,I413)-(M413*Ventas!AE408*0.96))</f>
        <v>0</v>
      </c>
      <c r="O413" s="17" t="e">
        <f>(N413/(Ventas!AE408*0.96)/60)</f>
        <v>#DIV/0!</v>
      </c>
      <c r="P413" s="11">
        <v>0</v>
      </c>
      <c r="Q413" s="16">
        <f t="shared" si="31"/>
        <v>0</v>
      </c>
      <c r="R413" s="4"/>
      <c r="S413" s="13">
        <v>46331</v>
      </c>
      <c r="T413" s="10">
        <v>56</v>
      </c>
      <c r="U413" s="16">
        <f>(IF(N413&gt;0,N413+P413,P413)-(T413*Ventas!AE408*0.925))</f>
        <v>0</v>
      </c>
      <c r="V413" s="17" t="e">
        <f>(U413/(Ventas!AE408*0.925)/60)</f>
        <v>#DIV/0!</v>
      </c>
      <c r="W413" s="16">
        <f>(100*(Ventas!AE408*1.485) - IF(U413&gt;0,U413,0))</f>
        <v>0</v>
      </c>
      <c r="X413" s="16">
        <f t="shared" si="32"/>
        <v>0</v>
      </c>
      <c r="Y413" s="16">
        <f t="shared" si="33"/>
        <v>0</v>
      </c>
      <c r="Z413" s="18">
        <v>7.5460000000000003</v>
      </c>
      <c r="AA413" s="11">
        <v>3010</v>
      </c>
      <c r="AB413" s="16">
        <f>(Y413-(60*Ventas!AE408*1.485))</f>
        <v>0</v>
      </c>
      <c r="AC413" s="17" t="e">
        <f>(AB413/(Ventas!AE408*1.485)/60)</f>
        <v>#DIV/0!</v>
      </c>
      <c r="AD413" s="1" t="s">
        <v>34</v>
      </c>
      <c r="AE413">
        <f t="shared" si="34"/>
        <v>0</v>
      </c>
    </row>
    <row r="414" spans="1:31" x14ac:dyDescent="0.25">
      <c r="A414" s="1"/>
      <c r="B414" s="1" t="s">
        <v>918</v>
      </c>
      <c r="C414" s="15" t="s">
        <v>917</v>
      </c>
      <c r="D414" s="4"/>
      <c r="E414" s="13">
        <v>46230</v>
      </c>
      <c r="F414" s="10">
        <v>7</v>
      </c>
      <c r="G414" s="16">
        <f>(D414-(0)+0-(F414*Ventas!AE409*1.3))</f>
        <v>-6.3579100000000004</v>
      </c>
      <c r="H414" s="17">
        <f>(G414/(Ventas!AE409*1.3)/60)</f>
        <v>-0.11666666666666668</v>
      </c>
      <c r="I414" s="11">
        <v>100</v>
      </c>
      <c r="J414" s="16">
        <f t="shared" si="30"/>
        <v>100</v>
      </c>
      <c r="K414" s="16">
        <v>7.1760000000000002</v>
      </c>
      <c r="L414" s="13">
        <v>46275</v>
      </c>
      <c r="M414" s="10">
        <v>45</v>
      </c>
      <c r="N414" s="16">
        <f>(IF(G414&gt;0,G414+I414,I414)-(M414*Ventas!AE409*0.96))</f>
        <v>69.817394285714286</v>
      </c>
      <c r="O414" s="17">
        <f>(N414/(Ventas!AE409*0.96)/60)</f>
        <v>1.7348749213359598</v>
      </c>
      <c r="P414" s="11">
        <v>80</v>
      </c>
      <c r="Q414" s="16">
        <f t="shared" si="31"/>
        <v>149.81739428571427</v>
      </c>
      <c r="R414" s="16">
        <v>7.2</v>
      </c>
      <c r="S414" s="13">
        <v>46331</v>
      </c>
      <c r="T414" s="10">
        <v>56</v>
      </c>
      <c r="U414" s="16">
        <f>(IF(N414&gt;0,N414+P414,P414)-(T414*Ventas!AE409*0.925))</f>
        <v>113.62621428571427</v>
      </c>
      <c r="V414" s="17">
        <f>(U414/(Ventas!AE409*0.925)/60)</f>
        <v>2.9303032764704913</v>
      </c>
      <c r="W414" s="16">
        <f>(100*(Ventas!AE409*1.485) - IF(U414&gt;0,U414,0))</f>
        <v>-9.8735071428571359</v>
      </c>
      <c r="X414" s="16">
        <f t="shared" si="32"/>
        <v>0</v>
      </c>
      <c r="Y414" s="16">
        <f t="shared" si="33"/>
        <v>113.62621428571427</v>
      </c>
      <c r="Z414" s="18">
        <v>7.1760000000000002</v>
      </c>
      <c r="AA414" s="11">
        <v>3027</v>
      </c>
      <c r="AB414" s="16">
        <f>(Y414-(60*Ventas!AE409*1.485))</f>
        <v>51.374589999999984</v>
      </c>
      <c r="AC414" s="17">
        <f>(AB414/(Ventas!AE409*1.485)/60)</f>
        <v>0.82527308467017135</v>
      </c>
      <c r="AD414" s="1" t="s">
        <v>34</v>
      </c>
      <c r="AE414">
        <f t="shared" si="34"/>
        <v>0</v>
      </c>
    </row>
    <row r="415" spans="1:31" x14ac:dyDescent="0.25">
      <c r="A415" s="1"/>
      <c r="B415" s="1" t="s">
        <v>920</v>
      </c>
      <c r="C415" s="15" t="s">
        <v>919</v>
      </c>
      <c r="D415" s="11">
        <v>68</v>
      </c>
      <c r="E415" s="13">
        <v>46230</v>
      </c>
      <c r="F415" s="10">
        <v>7</v>
      </c>
      <c r="G415" s="16">
        <f>(D415-(0)+0-(F415*Ventas!AE410*1.3))</f>
        <v>65.605530000000002</v>
      </c>
      <c r="H415" s="17">
        <f>(G415/(Ventas!AE410*1.3)/60)</f>
        <v>3.1965230301486338</v>
      </c>
      <c r="I415" s="11">
        <v>0</v>
      </c>
      <c r="J415" s="16">
        <f t="shared" si="30"/>
        <v>65.605530000000002</v>
      </c>
      <c r="K415" s="4"/>
      <c r="L415" s="13">
        <v>46275</v>
      </c>
      <c r="M415" s="10">
        <v>45</v>
      </c>
      <c r="N415" s="16">
        <f>(IF(G415&gt;0,G415+I415,I415)-(M415*Ventas!AE410*0.96))</f>
        <v>54.238375714285716</v>
      </c>
      <c r="O415" s="17">
        <f>(N415/(Ventas!AE410*0.96)/60)</f>
        <v>3.5786249366596086</v>
      </c>
      <c r="P415" s="11">
        <v>0</v>
      </c>
      <c r="Q415" s="16">
        <f t="shared" si="31"/>
        <v>54.238375714285716</v>
      </c>
      <c r="R415" s="4"/>
      <c r="S415" s="13">
        <v>46331</v>
      </c>
      <c r="T415" s="10">
        <v>56</v>
      </c>
      <c r="U415" s="16">
        <f>(IF(N415&gt;0,N415+P415,P415)-(T415*Ventas!AE410*0.925))</f>
        <v>40.608315714285716</v>
      </c>
      <c r="V415" s="17">
        <f>(U415/(Ventas!AE410*0.925)/60)</f>
        <v>2.7806990333620445</v>
      </c>
      <c r="W415" s="16">
        <f>(100*(Ventas!AE410*1.485) - IF(U415&gt;0,U415,0))</f>
        <v>-1.5337228571428554</v>
      </c>
      <c r="X415" s="16">
        <f t="shared" si="32"/>
        <v>0</v>
      </c>
      <c r="Y415" s="16">
        <f t="shared" si="33"/>
        <v>40.608315714285716</v>
      </c>
      <c r="Z415" s="18">
        <v>8.6999999999999993</v>
      </c>
      <c r="AA415" s="11">
        <v>3010</v>
      </c>
      <c r="AB415" s="16">
        <f>(Y415-(60*Ventas!AE410*1.485))</f>
        <v>17.16356</v>
      </c>
      <c r="AC415" s="17">
        <f>(AB415/(Ventas!AE410*1.485)/60)</f>
        <v>0.73208525647130718</v>
      </c>
      <c r="AD415" s="1" t="s">
        <v>34</v>
      </c>
      <c r="AE415">
        <f t="shared" si="34"/>
        <v>0</v>
      </c>
    </row>
    <row r="416" spans="1:31" x14ac:dyDescent="0.25">
      <c r="A416" s="1"/>
      <c r="B416" s="1" t="s">
        <v>922</v>
      </c>
      <c r="C416" s="15" t="s">
        <v>921</v>
      </c>
      <c r="D416" s="11">
        <v>84</v>
      </c>
      <c r="E416" s="13">
        <v>46230</v>
      </c>
      <c r="F416" s="10">
        <v>7</v>
      </c>
      <c r="G416" s="16">
        <f>(D416-(0)+0-(F416*Ventas!AE411*1.3))</f>
        <v>82.399180000000001</v>
      </c>
      <c r="H416" s="17">
        <f>(G416/(Ventas!AE411*1.3)/60)</f>
        <v>6.0051958787787925</v>
      </c>
      <c r="I416" s="11">
        <v>0</v>
      </c>
      <c r="J416" s="16">
        <f t="shared" si="30"/>
        <v>82.399180000000001</v>
      </c>
      <c r="K416" s="4"/>
      <c r="L416" s="13">
        <v>46275</v>
      </c>
      <c r="M416" s="10">
        <v>45</v>
      </c>
      <c r="N416" s="16">
        <f>(IF(G416&gt;0,G416+I416,I416)-(M416*Ventas!AE411*0.96))</f>
        <v>74.799682857142855</v>
      </c>
      <c r="O416" s="17">
        <f>(N416/(Ventas!AE411*0.96)/60)</f>
        <v>7.3820360858462823</v>
      </c>
      <c r="P416" s="11">
        <v>0</v>
      </c>
      <c r="Q416" s="16">
        <f t="shared" si="31"/>
        <v>74.799682857142855</v>
      </c>
      <c r="R416" s="4"/>
      <c r="S416" s="13">
        <v>46331</v>
      </c>
      <c r="T416" s="10">
        <v>56</v>
      </c>
      <c r="U416" s="16">
        <f>(IF(N416&gt;0,N416+P416,P416)-(T416*Ventas!AE411*0.925))</f>
        <v>65.68732285714286</v>
      </c>
      <c r="V416" s="17">
        <f>(U416/(Ventas!AE411*0.925)/60)</f>
        <v>6.7280230368422673</v>
      </c>
      <c r="W416" s="16">
        <f>(100*(Ventas!AE411*1.485) - IF(U416&gt;0,U416,0))</f>
        <v>-39.564051428571432</v>
      </c>
      <c r="X416" s="16">
        <f t="shared" si="32"/>
        <v>0</v>
      </c>
      <c r="Y416" s="16">
        <f t="shared" si="33"/>
        <v>65.68732285714286</v>
      </c>
      <c r="Z416" s="18">
        <v>8.6999999999999993</v>
      </c>
      <c r="AA416" s="11">
        <v>3010</v>
      </c>
      <c r="AB416" s="16">
        <f>(Y416-(60*Ventas!AE411*1.485))</f>
        <v>50.013359999999999</v>
      </c>
      <c r="AC416" s="17">
        <f>(AB416/(Ventas!AE411*1.485)/60)</f>
        <v>3.190856100389964</v>
      </c>
      <c r="AD416" s="1" t="s">
        <v>34</v>
      </c>
      <c r="AE416">
        <f t="shared" si="34"/>
        <v>0</v>
      </c>
    </row>
    <row r="417" spans="1:31" x14ac:dyDescent="0.25">
      <c r="A417" s="1"/>
      <c r="B417" s="1" t="s">
        <v>924</v>
      </c>
      <c r="C417" s="15" t="s">
        <v>923</v>
      </c>
      <c r="D417" s="4"/>
      <c r="E417" s="13">
        <v>46230</v>
      </c>
      <c r="F417" s="10">
        <v>7</v>
      </c>
      <c r="G417" s="16">
        <f>(D417-(0)+0-(F417*Ventas!AE412*1.3))</f>
        <v>0</v>
      </c>
      <c r="H417" s="4"/>
      <c r="I417" s="11">
        <v>0</v>
      </c>
      <c r="J417" s="16">
        <f t="shared" si="30"/>
        <v>0</v>
      </c>
      <c r="K417" s="4"/>
      <c r="L417" s="13">
        <v>46275</v>
      </c>
      <c r="M417" s="10">
        <v>45</v>
      </c>
      <c r="N417" s="16">
        <f>(IF(G417&gt;0,G417+I417,I417)-(M417*Ventas!AE412*0.96))</f>
        <v>0</v>
      </c>
      <c r="O417" s="4"/>
      <c r="P417" s="11">
        <v>100</v>
      </c>
      <c r="Q417" s="16">
        <f t="shared" si="31"/>
        <v>100</v>
      </c>
      <c r="R417" s="16">
        <v>8.1999999999999993</v>
      </c>
      <c r="S417" s="13">
        <v>46331</v>
      </c>
      <c r="T417" s="10">
        <v>56</v>
      </c>
      <c r="U417" s="16">
        <f>(IF(N417&gt;0,N417+P417,P417)-(T417*Ventas!AE412*0.925))</f>
        <v>100</v>
      </c>
      <c r="V417" s="4"/>
      <c r="W417" s="16">
        <f>(100*(Ventas!AE412*1.485) - IF(U417&gt;0,U417,0))</f>
        <v>-100</v>
      </c>
      <c r="X417" s="16">
        <f t="shared" si="32"/>
        <v>0</v>
      </c>
      <c r="Y417" s="16">
        <f t="shared" si="33"/>
        <v>100</v>
      </c>
      <c r="Z417" s="18">
        <v>8.7360000000000007</v>
      </c>
      <c r="AA417" s="11">
        <v>3010</v>
      </c>
      <c r="AB417" s="4"/>
      <c r="AC417" s="4"/>
      <c r="AD417" s="1" t="s">
        <v>34</v>
      </c>
      <c r="AE417">
        <f t="shared" si="34"/>
        <v>0</v>
      </c>
    </row>
    <row r="418" spans="1:31" x14ac:dyDescent="0.25">
      <c r="A418" s="1"/>
      <c r="B418" s="1" t="s">
        <v>926</v>
      </c>
      <c r="C418" s="15" t="s">
        <v>925</v>
      </c>
      <c r="D418" s="4"/>
      <c r="E418" s="13">
        <v>46230</v>
      </c>
      <c r="F418" s="10">
        <v>7</v>
      </c>
      <c r="G418" s="16">
        <f>(D418-(0)+0-(F418*Ventas!AE413*1.3))</f>
        <v>-2.8616466666666662</v>
      </c>
      <c r="H418" s="17">
        <f>(G418/(Ventas!AE413*1.3)/60)</f>
        <v>-0.11666666666666667</v>
      </c>
      <c r="I418" s="11">
        <v>40</v>
      </c>
      <c r="J418" s="16">
        <f t="shared" si="30"/>
        <v>40</v>
      </c>
      <c r="K418" s="16">
        <v>5.0960000000000001</v>
      </c>
      <c r="L418" s="13">
        <v>46275</v>
      </c>
      <c r="M418" s="10">
        <v>45</v>
      </c>
      <c r="N418" s="16">
        <f>(IF(G418&gt;0,G418+I418,I418)-(M418*Ventas!AE413*0.96))</f>
        <v>26.415040000000005</v>
      </c>
      <c r="O418" s="17">
        <f>(N418/(Ventas!AE413*0.96)/60)</f>
        <v>1.4583245000353338</v>
      </c>
      <c r="P418" s="11">
        <v>40</v>
      </c>
      <c r="Q418" s="16">
        <f t="shared" si="31"/>
        <v>66.415040000000005</v>
      </c>
      <c r="R418" s="16">
        <v>5.0999999999999996</v>
      </c>
      <c r="S418" s="13">
        <v>46331</v>
      </c>
      <c r="T418" s="10">
        <v>56</v>
      </c>
      <c r="U418" s="16">
        <f>(IF(N418&gt;0,N418+P418,P418)-(T418*Ventas!AE413*0.925))</f>
        <v>50.125666666666675</v>
      </c>
      <c r="V418" s="17">
        <f>(U418/(Ventas!AE413*0.925)/60)</f>
        <v>2.8720537370102779</v>
      </c>
      <c r="W418" s="16">
        <f>(100*(Ventas!AE413*1.485) - IF(U418&gt;0,U418,0))</f>
        <v>-3.4273666666666784</v>
      </c>
      <c r="X418" s="16">
        <f t="shared" si="32"/>
        <v>0</v>
      </c>
      <c r="Y418" s="16">
        <f t="shared" si="33"/>
        <v>50.125666666666675</v>
      </c>
      <c r="Z418" s="18">
        <v>5.0960000000000001</v>
      </c>
      <c r="AA418" s="11">
        <v>3027</v>
      </c>
      <c r="AB418" s="16">
        <f>(Y418-(60*Ventas!AE413*1.485))</f>
        <v>22.106686666666675</v>
      </c>
      <c r="AC418" s="17">
        <f>(AB418/(Ventas!AE413*1.485)/60)</f>
        <v>0.78898970150471848</v>
      </c>
      <c r="AD418" s="1" t="s">
        <v>34</v>
      </c>
      <c r="AE418">
        <f t="shared" si="34"/>
        <v>0</v>
      </c>
    </row>
    <row r="419" spans="1:31" x14ac:dyDescent="0.25">
      <c r="A419" s="1"/>
      <c r="B419" s="1" t="s">
        <v>928</v>
      </c>
      <c r="C419" s="15" t="s">
        <v>927</v>
      </c>
      <c r="D419" s="11">
        <v>153</v>
      </c>
      <c r="E419" s="13">
        <v>46230</v>
      </c>
      <c r="F419" s="10">
        <v>7</v>
      </c>
      <c r="G419" s="16">
        <f>(D419-(0)+0-(F419*Ventas!AE414*1.3))</f>
        <v>151.25826000000001</v>
      </c>
      <c r="H419" s="17">
        <f>(G419/(Ventas!AE414*1.3)/60)</f>
        <v>10.131705650671167</v>
      </c>
      <c r="I419" s="11">
        <v>0</v>
      </c>
      <c r="J419" s="16">
        <f t="shared" si="30"/>
        <v>151.25826000000001</v>
      </c>
      <c r="K419" s="4"/>
      <c r="L419" s="13">
        <v>46275</v>
      </c>
      <c r="M419" s="10">
        <v>45</v>
      </c>
      <c r="N419" s="16">
        <f>(IF(G419&gt;0,G419+I419,I419)-(M419*Ventas!AE414*0.96))</f>
        <v>142.98978</v>
      </c>
      <c r="O419" s="17">
        <f>(N419/(Ventas!AE414*0.96)/60)</f>
        <v>12.970018068617206</v>
      </c>
      <c r="P419" s="11">
        <v>0</v>
      </c>
      <c r="Q419" s="16">
        <f t="shared" si="31"/>
        <v>142.98978</v>
      </c>
      <c r="R419" s="4"/>
      <c r="S419" s="13">
        <v>46331</v>
      </c>
      <c r="T419" s="10">
        <v>56</v>
      </c>
      <c r="U419" s="16">
        <f>(IF(N419&gt;0,N419+P419,P419)-(T419*Ventas!AE414*0.925))</f>
        <v>133.07525999999999</v>
      </c>
      <c r="V419" s="17">
        <f>(U419/(Ventas!AE414*0.925)/60)</f>
        <v>12.527442175718033</v>
      </c>
      <c r="W419" s="16">
        <f>(100*(Ventas!AE414*1.485) - IF(U419&gt;0,U419,0))</f>
        <v>-104.65235999999999</v>
      </c>
      <c r="X419" s="16">
        <f t="shared" si="32"/>
        <v>0</v>
      </c>
      <c r="Y419" s="16">
        <f t="shared" si="33"/>
        <v>133.07525999999999</v>
      </c>
      <c r="Z419" s="18">
        <v>11.3</v>
      </c>
      <c r="AA419" s="11">
        <v>3010</v>
      </c>
      <c r="AB419" s="16">
        <f>(Y419-(60*Ventas!AE414*1.485))</f>
        <v>116.02151999999998</v>
      </c>
      <c r="AC419" s="17">
        <f>(AB419/(Ventas!AE414*1.485)/60)</f>
        <v>6.8032888973327816</v>
      </c>
      <c r="AD419" s="1" t="s">
        <v>34</v>
      </c>
      <c r="AE419">
        <f t="shared" si="34"/>
        <v>0</v>
      </c>
    </row>
    <row r="420" spans="1:31" x14ac:dyDescent="0.25">
      <c r="A420" s="1"/>
      <c r="B420" s="1" t="s">
        <v>930</v>
      </c>
      <c r="C420" s="15" t="s">
        <v>929</v>
      </c>
      <c r="D420" s="11">
        <v>134</v>
      </c>
      <c r="E420" s="13">
        <v>46230</v>
      </c>
      <c r="F420" s="10">
        <v>7</v>
      </c>
      <c r="G420" s="16">
        <f>(D420-(0)+0-(F420*Ventas!AE415*1.3))</f>
        <v>132.99119999999999</v>
      </c>
      <c r="H420" s="17">
        <f>(G420/(Ventas!AE415*1.3)/60)</f>
        <v>15.380293417922282</v>
      </c>
      <c r="I420" s="11">
        <v>0</v>
      </c>
      <c r="J420" s="16">
        <f t="shared" si="30"/>
        <v>132.99119999999999</v>
      </c>
      <c r="K420" s="4"/>
      <c r="L420" s="13">
        <v>46275</v>
      </c>
      <c r="M420" s="10">
        <v>45</v>
      </c>
      <c r="N420" s="16">
        <f>(IF(G420&gt;0,G420+I420,I420)-(M420*Ventas!AE415*0.96))</f>
        <v>128.20217142857143</v>
      </c>
      <c r="O420" s="17">
        <f>(N420/(Ventas!AE415*0.96)/60)</f>
        <v>20.077480670103096</v>
      </c>
      <c r="P420" s="11">
        <v>0</v>
      </c>
      <c r="Q420" s="16">
        <f t="shared" si="31"/>
        <v>128.20217142857143</v>
      </c>
      <c r="R420" s="4"/>
      <c r="S420" s="13">
        <v>46331</v>
      </c>
      <c r="T420" s="10">
        <v>56</v>
      </c>
      <c r="U420" s="16">
        <f>(IF(N420&gt;0,N420+P420,P420)-(T420*Ventas!AE415*0.925))</f>
        <v>122.45977142857143</v>
      </c>
      <c r="V420" s="17">
        <f>(U420/(Ventas!AE415*0.925)/60)</f>
        <v>19.903835794557441</v>
      </c>
      <c r="W420" s="16">
        <f>(100*(Ventas!AE415*1.485) - IF(U420&gt;0,U420,0))</f>
        <v>-105.99748571428572</v>
      </c>
      <c r="X420" s="16">
        <f t="shared" si="32"/>
        <v>0</v>
      </c>
      <c r="Y420" s="16">
        <f t="shared" si="33"/>
        <v>122.45977142857143</v>
      </c>
      <c r="Z420" s="18">
        <v>11.3</v>
      </c>
      <c r="AA420" s="11">
        <v>3010</v>
      </c>
      <c r="AB420" s="16">
        <f>(Y420-(60*Ventas!AE415*1.485))</f>
        <v>112.58239999999999</v>
      </c>
      <c r="AC420" s="17">
        <f>(AB420/(Ventas!AE415*1.485)/60)</f>
        <v>11.398012195263053</v>
      </c>
      <c r="AD420" s="1" t="s">
        <v>34</v>
      </c>
      <c r="AE420">
        <f t="shared" si="34"/>
        <v>0</v>
      </c>
    </row>
  </sheetData>
  <mergeCells count="4">
    <mergeCell ref="E3:K3"/>
    <mergeCell ref="L3:R3"/>
    <mergeCell ref="S3:Y3"/>
    <mergeCell ref="AB3:AC3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Compras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Cabezas</dc:creator>
  <cp:lastModifiedBy>Rodrigo Cabezas</cp:lastModifiedBy>
  <dcterms:created xsi:type="dcterms:W3CDTF">2026-07-20T19:34:51Z</dcterms:created>
  <dcterms:modified xsi:type="dcterms:W3CDTF">2026-08-09T00:27:54Z</dcterms:modified>
</cp:coreProperties>
</file>