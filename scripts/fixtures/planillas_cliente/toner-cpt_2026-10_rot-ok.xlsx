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26e5ef5cd69a787/ESCRITORIO/"/>
    </mc:Choice>
  </mc:AlternateContent>
  <xr:revisionPtr revIDLastSave="0" documentId="8_{6B935362-4A88-4043-8FFF-57D9C7A0C16F}" xr6:coauthVersionLast="47" xr6:coauthVersionMax="47" xr10:uidLastSave="{00000000-0000-0000-0000-000000000000}"/>
  <bookViews>
    <workbookView xWindow="-109" yWindow="-109" windowWidth="29561" windowHeight="19060" activeTab="1" xr2:uid="{00000000-000D-0000-FFFF-FFFF00000000}"/>
  </bookViews>
  <sheets>
    <sheet name="Ventas" sheetId="1" r:id="rId1"/>
    <sheet name="Compras" sheetId="2" r:id="rId2"/>
  </sheets>
  <externalReferences>
    <externalReference r:id="rId3"/>
    <externalReference r:id="rId4"/>
  </externalReferences>
  <definedNames>
    <definedName name="_xlnm._FilterDatabase" localSheetId="1" hidden="1">Compras!$A$4:$BK$500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71" i="2" l="1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110" i="2"/>
  <c r="BK111" i="2"/>
  <c r="BK112" i="2"/>
  <c r="BK113" i="2"/>
  <c r="BK114" i="2"/>
  <c r="BK115" i="2"/>
  <c r="BK116" i="2"/>
  <c r="BK117" i="2"/>
  <c r="BK118" i="2"/>
  <c r="BK119" i="2"/>
  <c r="BK120" i="2"/>
  <c r="BK121" i="2"/>
  <c r="BK122" i="2"/>
  <c r="BK123" i="2"/>
  <c r="BK124" i="2"/>
  <c r="BK125" i="2"/>
  <c r="BK126" i="2"/>
  <c r="BK127" i="2"/>
  <c r="BK128" i="2"/>
  <c r="BK129" i="2"/>
  <c r="BK130" i="2"/>
  <c r="BK131" i="2"/>
  <c r="BK132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K167" i="2"/>
  <c r="BK168" i="2"/>
  <c r="BK169" i="2"/>
  <c r="BK170" i="2"/>
  <c r="BK171" i="2"/>
  <c r="BK172" i="2"/>
  <c r="BK173" i="2"/>
  <c r="BK174" i="2"/>
  <c r="BK175" i="2"/>
  <c r="BK176" i="2"/>
  <c r="BK177" i="2"/>
  <c r="BK178" i="2"/>
  <c r="BK179" i="2"/>
  <c r="BK180" i="2"/>
  <c r="BK181" i="2"/>
  <c r="BK182" i="2"/>
  <c r="BK183" i="2"/>
  <c r="BK184" i="2"/>
  <c r="BK185" i="2"/>
  <c r="BK186" i="2"/>
  <c r="BK187" i="2"/>
  <c r="BK188" i="2"/>
  <c r="BK189" i="2"/>
  <c r="BK190" i="2"/>
  <c r="BK191" i="2"/>
  <c r="BK192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205" i="2"/>
  <c r="BK206" i="2"/>
  <c r="BK207" i="2"/>
  <c r="BK208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23" i="2"/>
  <c r="BK224" i="2"/>
  <c r="BK225" i="2"/>
  <c r="BK226" i="2"/>
  <c r="BK227" i="2"/>
  <c r="BK228" i="2"/>
  <c r="BK229" i="2"/>
  <c r="BK230" i="2"/>
  <c r="BK231" i="2"/>
  <c r="BK232" i="2"/>
  <c r="BK233" i="2"/>
  <c r="BK234" i="2"/>
  <c r="BK235" i="2"/>
  <c r="BK236" i="2"/>
  <c r="BK237" i="2"/>
  <c r="BK238" i="2"/>
  <c r="BK239" i="2"/>
  <c r="BK240" i="2"/>
  <c r="BK241" i="2"/>
  <c r="BK242" i="2"/>
  <c r="BK243" i="2"/>
  <c r="BK244" i="2"/>
  <c r="BK245" i="2"/>
  <c r="BK246" i="2"/>
  <c r="BK247" i="2"/>
  <c r="BK248" i="2"/>
  <c r="BK249" i="2"/>
  <c r="BK250" i="2"/>
  <c r="BK251" i="2"/>
  <c r="BK252" i="2"/>
  <c r="BK253" i="2"/>
  <c r="BK254" i="2"/>
  <c r="BK255" i="2"/>
  <c r="BK256" i="2"/>
  <c r="BK257" i="2"/>
  <c r="BK258" i="2"/>
  <c r="BK259" i="2"/>
  <c r="BK260" i="2"/>
  <c r="BK261" i="2"/>
  <c r="BK262" i="2"/>
  <c r="BK263" i="2"/>
  <c r="BK264" i="2"/>
  <c r="BK265" i="2"/>
  <c r="BK266" i="2"/>
  <c r="BK267" i="2"/>
  <c r="BK268" i="2"/>
  <c r="BK269" i="2"/>
  <c r="BK270" i="2"/>
  <c r="BK271" i="2"/>
  <c r="BK272" i="2"/>
  <c r="BK273" i="2"/>
  <c r="BK274" i="2"/>
  <c r="BK275" i="2"/>
  <c r="BK276" i="2"/>
  <c r="BK277" i="2"/>
  <c r="BK278" i="2"/>
  <c r="BK279" i="2"/>
  <c r="BK280" i="2"/>
  <c r="BK281" i="2"/>
  <c r="BK282" i="2"/>
  <c r="BK283" i="2"/>
  <c r="BK284" i="2"/>
  <c r="BK285" i="2"/>
  <c r="BK286" i="2"/>
  <c r="BK287" i="2"/>
  <c r="BK288" i="2"/>
  <c r="BK289" i="2"/>
  <c r="BK290" i="2"/>
  <c r="BK291" i="2"/>
  <c r="BK292" i="2"/>
  <c r="BK293" i="2"/>
  <c r="BK294" i="2"/>
  <c r="BK295" i="2"/>
  <c r="BK296" i="2"/>
  <c r="BK297" i="2"/>
  <c r="BK298" i="2"/>
  <c r="BK299" i="2"/>
  <c r="BK300" i="2"/>
  <c r="BK301" i="2"/>
  <c r="BK302" i="2"/>
  <c r="BK303" i="2"/>
  <c r="BK304" i="2"/>
  <c r="BK305" i="2"/>
  <c r="BK306" i="2"/>
  <c r="BK307" i="2"/>
  <c r="BK308" i="2"/>
  <c r="BK309" i="2"/>
  <c r="BK310" i="2"/>
  <c r="BK311" i="2"/>
  <c r="BK312" i="2"/>
  <c r="BK313" i="2"/>
  <c r="BK314" i="2"/>
  <c r="BK315" i="2"/>
  <c r="BK316" i="2"/>
  <c r="BK317" i="2"/>
  <c r="BK318" i="2"/>
  <c r="BK319" i="2"/>
  <c r="BK320" i="2"/>
  <c r="BK321" i="2"/>
  <c r="BK322" i="2"/>
  <c r="BK323" i="2"/>
  <c r="BK324" i="2"/>
  <c r="BK325" i="2"/>
  <c r="BK326" i="2"/>
  <c r="BK327" i="2"/>
  <c r="BK328" i="2"/>
  <c r="BK329" i="2"/>
  <c r="BK330" i="2"/>
  <c r="BK331" i="2"/>
  <c r="BK332" i="2"/>
  <c r="BK333" i="2"/>
  <c r="BK334" i="2"/>
  <c r="BK335" i="2"/>
  <c r="BK336" i="2"/>
  <c r="BK337" i="2"/>
  <c r="BK338" i="2"/>
  <c r="BK339" i="2"/>
  <c r="BK340" i="2"/>
  <c r="BK341" i="2"/>
  <c r="BK342" i="2"/>
  <c r="BK343" i="2"/>
  <c r="BK344" i="2"/>
  <c r="BK345" i="2"/>
  <c r="BK346" i="2"/>
  <c r="BK347" i="2"/>
  <c r="BK348" i="2"/>
  <c r="BK349" i="2"/>
  <c r="BK350" i="2"/>
  <c r="BK351" i="2"/>
  <c r="BK352" i="2"/>
  <c r="BK353" i="2"/>
  <c r="BK354" i="2"/>
  <c r="BK355" i="2"/>
  <c r="BK356" i="2"/>
  <c r="BK357" i="2"/>
  <c r="BK358" i="2"/>
  <c r="BK359" i="2"/>
  <c r="BK360" i="2"/>
  <c r="BK361" i="2"/>
  <c r="BK362" i="2"/>
  <c r="BK363" i="2"/>
  <c r="BK364" i="2"/>
  <c r="BK365" i="2"/>
  <c r="BK366" i="2"/>
  <c r="BK367" i="2"/>
  <c r="BK368" i="2"/>
  <c r="BK369" i="2"/>
  <c r="BK370" i="2"/>
  <c r="BK371" i="2"/>
  <c r="BK372" i="2"/>
  <c r="BK373" i="2"/>
  <c r="BK374" i="2"/>
  <c r="BK375" i="2"/>
  <c r="BK376" i="2"/>
  <c r="BK377" i="2"/>
  <c r="BK378" i="2"/>
  <c r="BK379" i="2"/>
  <c r="BK380" i="2"/>
  <c r="BK381" i="2"/>
  <c r="BK382" i="2"/>
  <c r="BK383" i="2"/>
  <c r="BK384" i="2"/>
  <c r="BK385" i="2"/>
  <c r="BK386" i="2"/>
  <c r="BK387" i="2"/>
  <c r="BK388" i="2"/>
  <c r="BK389" i="2"/>
  <c r="BK390" i="2"/>
  <c r="BK391" i="2"/>
  <c r="BK392" i="2"/>
  <c r="BK393" i="2"/>
  <c r="BK394" i="2"/>
  <c r="BK395" i="2"/>
  <c r="BK396" i="2"/>
  <c r="BK397" i="2"/>
  <c r="BK398" i="2"/>
  <c r="BK399" i="2"/>
  <c r="BK400" i="2"/>
  <c r="BK401" i="2"/>
  <c r="BK402" i="2"/>
  <c r="BK403" i="2"/>
  <c r="BK404" i="2"/>
  <c r="BK405" i="2"/>
  <c r="BK406" i="2"/>
  <c r="BK407" i="2"/>
  <c r="BK408" i="2"/>
  <c r="BK409" i="2"/>
  <c r="BK410" i="2"/>
  <c r="BK411" i="2"/>
  <c r="BK412" i="2"/>
  <c r="BK413" i="2"/>
  <c r="BK414" i="2"/>
  <c r="BK415" i="2"/>
  <c r="BK416" i="2"/>
  <c r="BK417" i="2"/>
  <c r="BK418" i="2"/>
  <c r="BK419" i="2"/>
  <c r="BK420" i="2"/>
  <c r="BK421" i="2"/>
  <c r="BK422" i="2"/>
  <c r="BK423" i="2"/>
  <c r="BK424" i="2"/>
  <c r="BK425" i="2"/>
  <c r="BK426" i="2"/>
  <c r="BK427" i="2"/>
  <c r="BK428" i="2"/>
  <c r="BK429" i="2"/>
  <c r="BK430" i="2"/>
  <c r="BK431" i="2"/>
  <c r="BK432" i="2"/>
  <c r="BK433" i="2"/>
  <c r="BK434" i="2"/>
  <c r="BK435" i="2"/>
  <c r="BK436" i="2"/>
  <c r="BK437" i="2"/>
  <c r="BK438" i="2"/>
  <c r="BK439" i="2"/>
  <c r="BK440" i="2"/>
  <c r="BK441" i="2"/>
  <c r="BK442" i="2"/>
  <c r="BK443" i="2"/>
  <c r="BK444" i="2"/>
  <c r="BK445" i="2"/>
  <c r="BK446" i="2"/>
  <c r="BK447" i="2"/>
  <c r="BK448" i="2"/>
  <c r="BK449" i="2"/>
  <c r="BK450" i="2"/>
  <c r="BK451" i="2"/>
  <c r="BK452" i="2"/>
  <c r="BK453" i="2"/>
  <c r="BK454" i="2"/>
  <c r="BK455" i="2"/>
  <c r="BK456" i="2"/>
  <c r="BK457" i="2"/>
  <c r="BK458" i="2"/>
  <c r="BK459" i="2"/>
  <c r="BK460" i="2"/>
  <c r="BK461" i="2"/>
  <c r="BK462" i="2"/>
  <c r="BK463" i="2"/>
  <c r="BK464" i="2"/>
  <c r="BK465" i="2"/>
  <c r="BK466" i="2"/>
  <c r="BK467" i="2"/>
  <c r="BK468" i="2"/>
  <c r="BK469" i="2"/>
  <c r="BK470" i="2"/>
  <c r="BK471" i="2"/>
  <c r="BK472" i="2"/>
  <c r="BK473" i="2"/>
  <c r="BK474" i="2"/>
  <c r="BK475" i="2"/>
  <c r="BK476" i="2"/>
  <c r="BK477" i="2"/>
  <c r="BK478" i="2"/>
  <c r="BK479" i="2"/>
  <c r="BK480" i="2"/>
  <c r="BK481" i="2"/>
  <c r="BK482" i="2"/>
  <c r="BK483" i="2"/>
  <c r="BK484" i="2"/>
  <c r="BK485" i="2"/>
  <c r="BK486" i="2"/>
  <c r="BK487" i="2"/>
  <c r="BK488" i="2"/>
  <c r="BK489" i="2"/>
  <c r="BK490" i="2"/>
  <c r="BK491" i="2"/>
  <c r="BK492" i="2"/>
  <c r="BK493" i="2"/>
  <c r="BK494" i="2"/>
  <c r="BK495" i="2"/>
  <c r="BK496" i="2"/>
  <c r="BK497" i="2"/>
  <c r="BK498" i="2"/>
  <c r="BK499" i="2"/>
  <c r="BK500" i="2"/>
  <c r="BK5" i="2"/>
  <c r="BL6" i="2"/>
  <c r="BL7" i="2"/>
  <c r="BL8" i="2"/>
  <c r="BL9" i="2"/>
  <c r="BL18" i="2"/>
  <c r="BL19" i="2"/>
  <c r="BL20" i="2"/>
  <c r="BL21" i="2"/>
  <c r="BL23" i="2"/>
  <c r="BL24" i="2"/>
  <c r="BL25" i="2"/>
  <c r="BL26" i="2"/>
  <c r="BL27" i="2"/>
  <c r="BL28" i="2"/>
  <c r="BL29" i="2"/>
  <c r="BL38" i="2"/>
  <c r="BL39" i="2"/>
  <c r="BL40" i="2"/>
  <c r="BL41" i="2"/>
  <c r="BL43" i="2"/>
  <c r="BL44" i="2"/>
  <c r="BL45" i="2"/>
  <c r="BL46" i="2"/>
  <c r="BL47" i="2"/>
  <c r="BL48" i="2"/>
  <c r="BL49" i="2"/>
  <c r="BL58" i="2"/>
  <c r="BL59" i="2"/>
  <c r="BL60" i="2"/>
  <c r="BL61" i="2"/>
  <c r="BL63" i="2"/>
  <c r="BL64" i="2"/>
  <c r="BL65" i="2"/>
  <c r="BL66" i="2"/>
  <c r="BL67" i="2"/>
  <c r="BL68" i="2"/>
  <c r="BL69" i="2"/>
  <c r="BL79" i="2"/>
  <c r="BL80" i="2"/>
  <c r="BL81" i="2"/>
  <c r="BL83" i="2"/>
  <c r="BL84" i="2"/>
  <c r="BL85" i="2"/>
  <c r="BL86" i="2"/>
  <c r="BL87" i="2"/>
  <c r="BL88" i="2"/>
  <c r="BL89" i="2"/>
  <c r="BL99" i="2"/>
  <c r="BL100" i="2"/>
  <c r="BL101" i="2"/>
  <c r="BL103" i="2"/>
  <c r="BL104" i="2"/>
  <c r="BL105" i="2"/>
  <c r="BL106" i="2"/>
  <c r="BL107" i="2"/>
  <c r="BL108" i="2"/>
  <c r="BL109" i="2"/>
  <c r="BL119" i="2"/>
  <c r="BL120" i="2"/>
  <c r="BL121" i="2"/>
  <c r="BL123" i="2"/>
  <c r="BL124" i="2"/>
  <c r="BL125" i="2"/>
  <c r="BL126" i="2"/>
  <c r="BL127" i="2"/>
  <c r="BL128" i="2"/>
  <c r="BL129" i="2"/>
  <c r="BL139" i="2"/>
  <c r="BL140" i="2"/>
  <c r="BL141" i="2"/>
  <c r="BL143" i="2"/>
  <c r="BL144" i="2"/>
  <c r="BL145" i="2"/>
  <c r="BL146" i="2"/>
  <c r="BL147" i="2"/>
  <c r="BL148" i="2"/>
  <c r="BL149" i="2"/>
  <c r="BL159" i="2"/>
  <c r="BL160" i="2"/>
  <c r="BL161" i="2"/>
  <c r="BL163" i="2"/>
  <c r="BL164" i="2"/>
  <c r="BL165" i="2"/>
  <c r="BL166" i="2"/>
  <c r="BL167" i="2"/>
  <c r="BL168" i="2"/>
  <c r="BL169" i="2"/>
  <c r="BL179" i="2"/>
  <c r="BL180" i="2"/>
  <c r="BL181" i="2"/>
  <c r="BL183" i="2"/>
  <c r="BL184" i="2"/>
  <c r="BL185" i="2"/>
  <c r="BL186" i="2"/>
  <c r="BL187" i="2"/>
  <c r="BL188" i="2"/>
  <c r="BL189" i="2"/>
  <c r="BL199" i="2"/>
  <c r="BL200" i="2"/>
  <c r="BL201" i="2"/>
  <c r="BL203" i="2"/>
  <c r="BL204" i="2"/>
  <c r="BL205" i="2"/>
  <c r="BL206" i="2"/>
  <c r="BL207" i="2"/>
  <c r="BL208" i="2"/>
  <c r="BL209" i="2"/>
  <c r="BL219" i="2"/>
  <c r="BL220" i="2"/>
  <c r="BL221" i="2"/>
  <c r="BL223" i="2"/>
  <c r="BL224" i="2"/>
  <c r="BL225" i="2"/>
  <c r="BL226" i="2"/>
  <c r="BL227" i="2"/>
  <c r="BL228" i="2"/>
  <c r="BL229" i="2"/>
  <c r="BL239" i="2"/>
  <c r="BL240" i="2"/>
  <c r="BL241" i="2"/>
  <c r="BL243" i="2"/>
  <c r="BL244" i="2"/>
  <c r="BL245" i="2"/>
  <c r="BL246" i="2"/>
  <c r="BL247" i="2"/>
  <c r="BL248" i="2"/>
  <c r="BL249" i="2"/>
  <c r="BL259" i="2"/>
  <c r="BL260" i="2"/>
  <c r="BL261" i="2"/>
  <c r="BL263" i="2"/>
  <c r="BL264" i="2"/>
  <c r="BL265" i="2"/>
  <c r="BL266" i="2"/>
  <c r="BL267" i="2"/>
  <c r="BL268" i="2"/>
  <c r="BL269" i="2"/>
  <c r="BL279" i="2"/>
  <c r="BL280" i="2"/>
  <c r="BL281" i="2"/>
  <c r="BL283" i="2"/>
  <c r="BL284" i="2"/>
  <c r="BL285" i="2"/>
  <c r="BL286" i="2"/>
  <c r="BL287" i="2"/>
  <c r="BL288" i="2"/>
  <c r="BL289" i="2"/>
  <c r="BL299" i="2"/>
  <c r="BL300" i="2"/>
  <c r="BL301" i="2"/>
  <c r="BL303" i="2"/>
  <c r="BL304" i="2"/>
  <c r="BL305" i="2"/>
  <c r="BL306" i="2"/>
  <c r="BL307" i="2"/>
  <c r="BL308" i="2"/>
  <c r="BL309" i="2"/>
  <c r="BL319" i="2"/>
  <c r="BL320" i="2"/>
  <c r="BL323" i="2"/>
  <c r="BL324" i="2"/>
  <c r="BL325" i="2"/>
  <c r="BL326" i="2"/>
  <c r="BL327" i="2"/>
  <c r="BL328" i="2"/>
  <c r="BL329" i="2"/>
  <c r="BL339" i="2"/>
  <c r="BL340" i="2"/>
  <c r="BL343" i="2"/>
  <c r="BL344" i="2"/>
  <c r="BL345" i="2"/>
  <c r="BL346" i="2"/>
  <c r="BL347" i="2"/>
  <c r="BL348" i="2"/>
  <c r="BL349" i="2"/>
  <c r="BL359" i="2"/>
  <c r="BL360" i="2"/>
  <c r="BL363" i="2"/>
  <c r="BL364" i="2"/>
  <c r="BL365" i="2"/>
  <c r="BL366" i="2"/>
  <c r="BL367" i="2"/>
  <c r="BL368" i="2"/>
  <c r="BL369" i="2"/>
  <c r="BL379" i="2"/>
  <c r="BL380" i="2"/>
  <c r="BL383" i="2"/>
  <c r="BL384" i="2"/>
  <c r="BL385" i="2"/>
  <c r="BL386" i="2"/>
  <c r="BL387" i="2"/>
  <c r="BL388" i="2"/>
  <c r="BL389" i="2"/>
  <c r="BL399" i="2"/>
  <c r="BL400" i="2"/>
  <c r="BL403" i="2"/>
  <c r="BL404" i="2"/>
  <c r="BL405" i="2"/>
  <c r="BL406" i="2"/>
  <c r="BL407" i="2"/>
  <c r="BL408" i="2"/>
  <c r="BL409" i="2"/>
  <c r="BL419" i="2"/>
  <c r="BL420" i="2"/>
  <c r="BL423" i="2"/>
  <c r="BL424" i="2"/>
  <c r="BL425" i="2"/>
  <c r="BL426" i="2"/>
  <c r="BL427" i="2"/>
  <c r="BL428" i="2"/>
  <c r="BL429" i="2"/>
  <c r="BL439" i="2"/>
  <c r="BL440" i="2"/>
  <c r="BL443" i="2"/>
  <c r="BL444" i="2"/>
  <c r="BL445" i="2"/>
  <c r="BL446" i="2"/>
  <c r="BL447" i="2"/>
  <c r="BL448" i="2"/>
  <c r="BL449" i="2"/>
  <c r="BL459" i="2"/>
  <c r="BL460" i="2"/>
  <c r="BL463" i="2"/>
  <c r="BL464" i="2"/>
  <c r="BL465" i="2"/>
  <c r="BL466" i="2"/>
  <c r="BL467" i="2"/>
  <c r="BL468" i="2"/>
  <c r="BL469" i="2"/>
  <c r="BL479" i="2"/>
  <c r="BL480" i="2"/>
  <c r="BL483" i="2"/>
  <c r="BL484" i="2"/>
  <c r="BL485" i="2"/>
  <c r="BL486" i="2"/>
  <c r="BL487" i="2"/>
  <c r="BL488" i="2"/>
  <c r="BL489" i="2"/>
  <c r="BL499" i="2"/>
  <c r="BL500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L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L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L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L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L102" i="2"/>
  <c r="BA103" i="2"/>
  <c r="BA104" i="2"/>
  <c r="BA105" i="2"/>
  <c r="BA106" i="2"/>
  <c r="BA107" i="2"/>
  <c r="BA108" i="2"/>
  <c r="BA109" i="2"/>
  <c r="BA110" i="2"/>
  <c r="BA111" i="2"/>
  <c r="BA112" i="2"/>
  <c r="BA113" i="2"/>
  <c r="BA114" i="2"/>
  <c r="BA115" i="2"/>
  <c r="BA116" i="2"/>
  <c r="BA117" i="2"/>
  <c r="BA118" i="2"/>
  <c r="BA119" i="2"/>
  <c r="BA120" i="2"/>
  <c r="BA121" i="2"/>
  <c r="BA122" i="2"/>
  <c r="BL122" i="2"/>
  <c r="BA123" i="2"/>
  <c r="BA124" i="2"/>
  <c r="BA125" i="2"/>
  <c r="BA126" i="2"/>
  <c r="BA127" i="2"/>
  <c r="BA128" i="2"/>
  <c r="BA129" i="2"/>
  <c r="BA130" i="2"/>
  <c r="BA131" i="2"/>
  <c r="BA132" i="2"/>
  <c r="BA133" i="2"/>
  <c r="BA134" i="2"/>
  <c r="BA135" i="2"/>
  <c r="BA136" i="2"/>
  <c r="BA137" i="2"/>
  <c r="BA138" i="2"/>
  <c r="BA139" i="2"/>
  <c r="BA140" i="2"/>
  <c r="BA141" i="2"/>
  <c r="BA142" i="2"/>
  <c r="BL142" i="2"/>
  <c r="BA143" i="2"/>
  <c r="BA144" i="2"/>
  <c r="BA145" i="2"/>
  <c r="BA146" i="2"/>
  <c r="BA147" i="2"/>
  <c r="BA148" i="2"/>
  <c r="BA149" i="2"/>
  <c r="BA150" i="2"/>
  <c r="BA151" i="2"/>
  <c r="BA152" i="2"/>
  <c r="BA153" i="2"/>
  <c r="BA154" i="2"/>
  <c r="BA155" i="2"/>
  <c r="BA156" i="2"/>
  <c r="BA157" i="2"/>
  <c r="BA158" i="2"/>
  <c r="BA159" i="2"/>
  <c r="BA160" i="2"/>
  <c r="BA161" i="2"/>
  <c r="BA162" i="2"/>
  <c r="BL162" i="2"/>
  <c r="BA163" i="2"/>
  <c r="BA164" i="2"/>
  <c r="BA165" i="2"/>
  <c r="BA166" i="2"/>
  <c r="BA167" i="2"/>
  <c r="BA168" i="2"/>
  <c r="BA169" i="2"/>
  <c r="BA170" i="2"/>
  <c r="BA171" i="2"/>
  <c r="BA172" i="2"/>
  <c r="BA173" i="2"/>
  <c r="BA174" i="2"/>
  <c r="BA175" i="2"/>
  <c r="BA176" i="2"/>
  <c r="BA177" i="2"/>
  <c r="BA178" i="2"/>
  <c r="BA179" i="2"/>
  <c r="BA180" i="2"/>
  <c r="BA181" i="2"/>
  <c r="BA182" i="2"/>
  <c r="BL182" i="2"/>
  <c r="BA183" i="2"/>
  <c r="BA184" i="2"/>
  <c r="BA185" i="2"/>
  <c r="BA186" i="2"/>
  <c r="BA187" i="2"/>
  <c r="BA188" i="2"/>
  <c r="BA189" i="2"/>
  <c r="BA190" i="2"/>
  <c r="BA191" i="2"/>
  <c r="BA192" i="2"/>
  <c r="BA193" i="2"/>
  <c r="BA194" i="2"/>
  <c r="BA195" i="2"/>
  <c r="BA196" i="2"/>
  <c r="BA197" i="2"/>
  <c r="BA198" i="2"/>
  <c r="BA199" i="2"/>
  <c r="BA200" i="2"/>
  <c r="BA201" i="2"/>
  <c r="BA202" i="2"/>
  <c r="BL202" i="2"/>
  <c r="BA203" i="2"/>
  <c r="BA204" i="2"/>
  <c r="BA205" i="2"/>
  <c r="BA206" i="2"/>
  <c r="BA207" i="2"/>
  <c r="BA208" i="2"/>
  <c r="BA209" i="2"/>
  <c r="BA210" i="2"/>
  <c r="BA211" i="2"/>
  <c r="BA212" i="2"/>
  <c r="BA213" i="2"/>
  <c r="BA214" i="2"/>
  <c r="BA215" i="2"/>
  <c r="BA216" i="2"/>
  <c r="BA217" i="2"/>
  <c r="BA218" i="2"/>
  <c r="BA219" i="2"/>
  <c r="BA220" i="2"/>
  <c r="BA221" i="2"/>
  <c r="BA222" i="2"/>
  <c r="BL222" i="2"/>
  <c r="BA223" i="2"/>
  <c r="BA224" i="2"/>
  <c r="BA225" i="2"/>
  <c r="BA226" i="2"/>
  <c r="BA227" i="2"/>
  <c r="BA228" i="2"/>
  <c r="BA229" i="2"/>
  <c r="BA230" i="2"/>
  <c r="BA231" i="2"/>
  <c r="BA232" i="2"/>
  <c r="BA233" i="2"/>
  <c r="BA234" i="2"/>
  <c r="BA235" i="2"/>
  <c r="BA236" i="2"/>
  <c r="BA237" i="2"/>
  <c r="BA238" i="2"/>
  <c r="BA239" i="2"/>
  <c r="BA240" i="2"/>
  <c r="BA241" i="2"/>
  <c r="BA242" i="2"/>
  <c r="BL242" i="2"/>
  <c r="BA243" i="2"/>
  <c r="BA244" i="2"/>
  <c r="BA245" i="2"/>
  <c r="BA246" i="2"/>
  <c r="BA247" i="2"/>
  <c r="BA248" i="2"/>
  <c r="BA249" i="2"/>
  <c r="BA250" i="2"/>
  <c r="BA251" i="2"/>
  <c r="BA252" i="2"/>
  <c r="BA253" i="2"/>
  <c r="BA254" i="2"/>
  <c r="BA255" i="2"/>
  <c r="BA256" i="2"/>
  <c r="BA257" i="2"/>
  <c r="BA258" i="2"/>
  <c r="BA259" i="2"/>
  <c r="BA260" i="2"/>
  <c r="BA261" i="2"/>
  <c r="BA262" i="2"/>
  <c r="BL262" i="2"/>
  <c r="BA263" i="2"/>
  <c r="BA264" i="2"/>
  <c r="BA265" i="2"/>
  <c r="BA266" i="2"/>
  <c r="BA267" i="2"/>
  <c r="BA268" i="2"/>
  <c r="BA269" i="2"/>
  <c r="BA270" i="2"/>
  <c r="BA271" i="2"/>
  <c r="BA272" i="2"/>
  <c r="BA273" i="2"/>
  <c r="BA274" i="2"/>
  <c r="BA275" i="2"/>
  <c r="BA276" i="2"/>
  <c r="BA277" i="2"/>
  <c r="BA278" i="2"/>
  <c r="BA279" i="2"/>
  <c r="BA280" i="2"/>
  <c r="BA281" i="2"/>
  <c r="BA282" i="2"/>
  <c r="BL282" i="2"/>
  <c r="BA283" i="2"/>
  <c r="BA284" i="2"/>
  <c r="BA285" i="2"/>
  <c r="BA286" i="2"/>
  <c r="BA287" i="2"/>
  <c r="BA288" i="2"/>
  <c r="BA289" i="2"/>
  <c r="BA290" i="2"/>
  <c r="BA291" i="2"/>
  <c r="BA292" i="2"/>
  <c r="BA293" i="2"/>
  <c r="BA294" i="2"/>
  <c r="BA295" i="2"/>
  <c r="BA296" i="2"/>
  <c r="BA297" i="2"/>
  <c r="BA298" i="2"/>
  <c r="BA299" i="2"/>
  <c r="BA300" i="2"/>
  <c r="BA301" i="2"/>
  <c r="BA302" i="2"/>
  <c r="BL302" i="2"/>
  <c r="BA303" i="2"/>
  <c r="BA304" i="2"/>
  <c r="BA305" i="2"/>
  <c r="BA306" i="2"/>
  <c r="BA307" i="2"/>
  <c r="BA308" i="2"/>
  <c r="BA309" i="2"/>
  <c r="BA310" i="2"/>
  <c r="BA311" i="2"/>
  <c r="BA312" i="2"/>
  <c r="BA313" i="2"/>
  <c r="BA314" i="2"/>
  <c r="BA315" i="2"/>
  <c r="BA316" i="2"/>
  <c r="BA317" i="2"/>
  <c r="BA318" i="2"/>
  <c r="BA319" i="2"/>
  <c r="BA320" i="2"/>
  <c r="BA321" i="2"/>
  <c r="BA322" i="2"/>
  <c r="BL322" i="2"/>
  <c r="BA323" i="2"/>
  <c r="BA324" i="2"/>
  <c r="BA325" i="2"/>
  <c r="BA326" i="2"/>
  <c r="BA327" i="2"/>
  <c r="BA328" i="2"/>
  <c r="BA329" i="2"/>
  <c r="BA330" i="2"/>
  <c r="BA331" i="2"/>
  <c r="BA332" i="2"/>
  <c r="BA333" i="2"/>
  <c r="BA334" i="2"/>
  <c r="BA335" i="2"/>
  <c r="BA336" i="2"/>
  <c r="BA337" i="2"/>
  <c r="BA338" i="2"/>
  <c r="BA339" i="2"/>
  <c r="BA340" i="2"/>
  <c r="BA341" i="2"/>
  <c r="BA342" i="2"/>
  <c r="BL342" i="2"/>
  <c r="BA343" i="2"/>
  <c r="BA344" i="2"/>
  <c r="BA345" i="2"/>
  <c r="BA346" i="2"/>
  <c r="BA347" i="2"/>
  <c r="BA348" i="2"/>
  <c r="BA349" i="2"/>
  <c r="BA350" i="2"/>
  <c r="BA351" i="2"/>
  <c r="BA352" i="2"/>
  <c r="BA353" i="2"/>
  <c r="BA354" i="2"/>
  <c r="BA355" i="2"/>
  <c r="BA356" i="2"/>
  <c r="BA357" i="2"/>
  <c r="BA358" i="2"/>
  <c r="BA359" i="2"/>
  <c r="BA360" i="2"/>
  <c r="BA361" i="2"/>
  <c r="BA362" i="2"/>
  <c r="BL362" i="2"/>
  <c r="BA363" i="2"/>
  <c r="BA364" i="2"/>
  <c r="BA365" i="2"/>
  <c r="BA366" i="2"/>
  <c r="BA367" i="2"/>
  <c r="BA368" i="2"/>
  <c r="BA369" i="2"/>
  <c r="BA370" i="2"/>
  <c r="BA371" i="2"/>
  <c r="BA372" i="2"/>
  <c r="BA373" i="2"/>
  <c r="BA374" i="2"/>
  <c r="BA375" i="2"/>
  <c r="BA376" i="2"/>
  <c r="BA377" i="2"/>
  <c r="BA378" i="2"/>
  <c r="BA379" i="2"/>
  <c r="BA380" i="2"/>
  <c r="BA381" i="2"/>
  <c r="BA382" i="2"/>
  <c r="BL382" i="2"/>
  <c r="BA383" i="2"/>
  <c r="BA384" i="2"/>
  <c r="BA385" i="2"/>
  <c r="BA386" i="2"/>
  <c r="BA387" i="2"/>
  <c r="BA388" i="2"/>
  <c r="BA389" i="2"/>
  <c r="BA390" i="2"/>
  <c r="BA391" i="2"/>
  <c r="BA392" i="2"/>
  <c r="BA393" i="2"/>
  <c r="BA394" i="2"/>
  <c r="BA395" i="2"/>
  <c r="BA396" i="2"/>
  <c r="BA397" i="2"/>
  <c r="BA398" i="2"/>
  <c r="BA399" i="2"/>
  <c r="BA400" i="2"/>
  <c r="BA401" i="2"/>
  <c r="BA402" i="2"/>
  <c r="BL402" i="2"/>
  <c r="BA403" i="2"/>
  <c r="BA404" i="2"/>
  <c r="BA405" i="2"/>
  <c r="BA406" i="2"/>
  <c r="BA407" i="2"/>
  <c r="BA408" i="2"/>
  <c r="BA409" i="2"/>
  <c r="BA410" i="2"/>
  <c r="BA411" i="2"/>
  <c r="BA412" i="2"/>
  <c r="BA413" i="2"/>
  <c r="BA414" i="2"/>
  <c r="BA415" i="2"/>
  <c r="BA416" i="2"/>
  <c r="BA417" i="2"/>
  <c r="BA418" i="2"/>
  <c r="BA419" i="2"/>
  <c r="BA420" i="2"/>
  <c r="BA421" i="2"/>
  <c r="BA422" i="2"/>
  <c r="BL422" i="2"/>
  <c r="BA423" i="2"/>
  <c r="BA424" i="2"/>
  <c r="BA425" i="2"/>
  <c r="BA426" i="2"/>
  <c r="BA427" i="2"/>
  <c r="BA428" i="2"/>
  <c r="BA429" i="2"/>
  <c r="BA430" i="2"/>
  <c r="BA431" i="2"/>
  <c r="BA432" i="2"/>
  <c r="BA433" i="2"/>
  <c r="BA434" i="2"/>
  <c r="BA435" i="2"/>
  <c r="BA436" i="2"/>
  <c r="BA437" i="2"/>
  <c r="BA438" i="2"/>
  <c r="BA439" i="2"/>
  <c r="BA440" i="2"/>
  <c r="BA441" i="2"/>
  <c r="BA442" i="2"/>
  <c r="BL442" i="2"/>
  <c r="BA443" i="2"/>
  <c r="BA444" i="2"/>
  <c r="BA445" i="2"/>
  <c r="BA446" i="2"/>
  <c r="BA447" i="2"/>
  <c r="BA448" i="2"/>
  <c r="BA449" i="2"/>
  <c r="BA450" i="2"/>
  <c r="BA451" i="2"/>
  <c r="BA452" i="2"/>
  <c r="BA453" i="2"/>
  <c r="BA454" i="2"/>
  <c r="BA455" i="2"/>
  <c r="BA456" i="2"/>
  <c r="BA457" i="2"/>
  <c r="BA458" i="2"/>
  <c r="BA459" i="2"/>
  <c r="BA460" i="2"/>
  <c r="BA461" i="2"/>
  <c r="BA462" i="2"/>
  <c r="BL462" i="2"/>
  <c r="BA463" i="2"/>
  <c r="BA464" i="2"/>
  <c r="BA465" i="2"/>
  <c r="BA466" i="2"/>
  <c r="BA467" i="2"/>
  <c r="BA468" i="2"/>
  <c r="BA469" i="2"/>
  <c r="BA470" i="2"/>
  <c r="BA471" i="2"/>
  <c r="BA472" i="2"/>
  <c r="BA473" i="2"/>
  <c r="BA474" i="2"/>
  <c r="BA475" i="2"/>
  <c r="BA476" i="2"/>
  <c r="BA477" i="2"/>
  <c r="BA478" i="2"/>
  <c r="BA479" i="2"/>
  <c r="BA480" i="2"/>
  <c r="BA481" i="2"/>
  <c r="BA482" i="2"/>
  <c r="BL482" i="2"/>
  <c r="BA483" i="2"/>
  <c r="BA484" i="2"/>
  <c r="BA485" i="2"/>
  <c r="BA486" i="2"/>
  <c r="BA487" i="2"/>
  <c r="BA488" i="2"/>
  <c r="BA489" i="2"/>
  <c r="BA490" i="2"/>
  <c r="BA491" i="2"/>
  <c r="BA492" i="2"/>
  <c r="BA493" i="2"/>
  <c r="BA494" i="2"/>
  <c r="BA495" i="2"/>
  <c r="BA496" i="2"/>
  <c r="BA497" i="2"/>
  <c r="BA498" i="2"/>
  <c r="BA499" i="2"/>
  <c r="BA500" i="2"/>
  <c r="BA5" i="2"/>
  <c r="AZ6" i="2"/>
  <c r="AZ7" i="2"/>
  <c r="AZ8" i="2"/>
  <c r="AZ9" i="2"/>
  <c r="AZ10" i="2"/>
  <c r="BL10" i="2"/>
  <c r="AZ11" i="2"/>
  <c r="BL11" i="2"/>
  <c r="AZ12" i="2"/>
  <c r="BL12" i="2"/>
  <c r="AZ13" i="2"/>
  <c r="BL13" i="2"/>
  <c r="AZ14" i="2"/>
  <c r="BL14" i="2"/>
  <c r="AZ15" i="2"/>
  <c r="BL15" i="2"/>
  <c r="AZ16" i="2"/>
  <c r="BL16" i="2"/>
  <c r="AZ17" i="2"/>
  <c r="BL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BL30" i="2"/>
  <c r="AZ31" i="2"/>
  <c r="BL31" i="2"/>
  <c r="AZ32" i="2"/>
  <c r="BL32" i="2"/>
  <c r="AZ33" i="2"/>
  <c r="BL33" i="2"/>
  <c r="AZ34" i="2"/>
  <c r="BL34" i="2"/>
  <c r="AZ35" i="2"/>
  <c r="BL35" i="2"/>
  <c r="AZ36" i="2"/>
  <c r="BL36" i="2"/>
  <c r="AZ37" i="2"/>
  <c r="BL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BL50" i="2"/>
  <c r="AZ51" i="2"/>
  <c r="BL51" i="2"/>
  <c r="AZ52" i="2"/>
  <c r="BL52" i="2"/>
  <c r="AZ53" i="2"/>
  <c r="BL53" i="2"/>
  <c r="AZ54" i="2"/>
  <c r="BL54" i="2"/>
  <c r="AZ55" i="2"/>
  <c r="BL55" i="2"/>
  <c r="AZ56" i="2"/>
  <c r="BL56" i="2"/>
  <c r="AZ57" i="2"/>
  <c r="BL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BL70" i="2"/>
  <c r="AZ71" i="2"/>
  <c r="BL71" i="2"/>
  <c r="AZ72" i="2"/>
  <c r="BL72" i="2"/>
  <c r="AZ73" i="2"/>
  <c r="BL73" i="2"/>
  <c r="AZ74" i="2"/>
  <c r="BL74" i="2"/>
  <c r="AZ75" i="2"/>
  <c r="BL75" i="2"/>
  <c r="AZ76" i="2"/>
  <c r="BL76" i="2"/>
  <c r="AZ77" i="2"/>
  <c r="BL77" i="2"/>
  <c r="AZ78" i="2"/>
  <c r="BL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BL90" i="2"/>
  <c r="AZ91" i="2"/>
  <c r="BL91" i="2"/>
  <c r="AZ92" i="2"/>
  <c r="BL92" i="2"/>
  <c r="AZ93" i="2"/>
  <c r="BL93" i="2"/>
  <c r="AZ94" i="2"/>
  <c r="BL94" i="2"/>
  <c r="AZ95" i="2"/>
  <c r="BL95" i="2"/>
  <c r="AZ96" i="2"/>
  <c r="BL96" i="2"/>
  <c r="AZ97" i="2"/>
  <c r="BL97" i="2"/>
  <c r="AZ98" i="2"/>
  <c r="BL98" i="2"/>
  <c r="AZ99" i="2"/>
  <c r="AZ100" i="2"/>
  <c r="AZ101" i="2"/>
  <c r="AZ102" i="2"/>
  <c r="AZ103" i="2"/>
  <c r="AZ104" i="2"/>
  <c r="AZ105" i="2"/>
  <c r="AZ106" i="2"/>
  <c r="AZ107" i="2"/>
  <c r="AZ108" i="2"/>
  <c r="AZ109" i="2"/>
  <c r="AZ110" i="2"/>
  <c r="BL110" i="2"/>
  <c r="AZ111" i="2"/>
  <c r="BL111" i="2"/>
  <c r="AZ112" i="2"/>
  <c r="BL112" i="2"/>
  <c r="AZ113" i="2"/>
  <c r="BL113" i="2"/>
  <c r="AZ114" i="2"/>
  <c r="BL114" i="2"/>
  <c r="AZ115" i="2"/>
  <c r="BL115" i="2"/>
  <c r="AZ116" i="2"/>
  <c r="BL116" i="2"/>
  <c r="AZ117" i="2"/>
  <c r="BL117" i="2"/>
  <c r="AZ118" i="2"/>
  <c r="BL118" i="2"/>
  <c r="AZ119" i="2"/>
  <c r="AZ120" i="2"/>
  <c r="AZ121" i="2"/>
  <c r="AZ122" i="2"/>
  <c r="AZ123" i="2"/>
  <c r="AZ124" i="2"/>
  <c r="AZ125" i="2"/>
  <c r="AZ126" i="2"/>
  <c r="AZ127" i="2"/>
  <c r="AZ128" i="2"/>
  <c r="AZ129" i="2"/>
  <c r="AZ130" i="2"/>
  <c r="BL130" i="2"/>
  <c r="AZ131" i="2"/>
  <c r="BL131" i="2"/>
  <c r="AZ132" i="2"/>
  <c r="BL132" i="2"/>
  <c r="AZ133" i="2"/>
  <c r="BL133" i="2"/>
  <c r="AZ134" i="2"/>
  <c r="BL134" i="2"/>
  <c r="AZ135" i="2"/>
  <c r="BL135" i="2"/>
  <c r="AZ136" i="2"/>
  <c r="BL136" i="2"/>
  <c r="AZ137" i="2"/>
  <c r="BL137" i="2"/>
  <c r="AZ138" i="2"/>
  <c r="BL138" i="2"/>
  <c r="AZ139" i="2"/>
  <c r="AZ140" i="2"/>
  <c r="AZ141" i="2"/>
  <c r="AZ142" i="2"/>
  <c r="AZ143" i="2"/>
  <c r="AZ144" i="2"/>
  <c r="AZ145" i="2"/>
  <c r="AZ146" i="2"/>
  <c r="AZ147" i="2"/>
  <c r="AZ148" i="2"/>
  <c r="AZ149" i="2"/>
  <c r="AZ150" i="2"/>
  <c r="BL150" i="2"/>
  <c r="AZ151" i="2"/>
  <c r="BL151" i="2"/>
  <c r="AZ152" i="2"/>
  <c r="BL152" i="2"/>
  <c r="AZ153" i="2"/>
  <c r="BL153" i="2"/>
  <c r="AZ154" i="2"/>
  <c r="BL154" i="2"/>
  <c r="AZ155" i="2"/>
  <c r="BL155" i="2"/>
  <c r="AZ156" i="2"/>
  <c r="BL156" i="2"/>
  <c r="AZ157" i="2"/>
  <c r="BL157" i="2"/>
  <c r="AZ158" i="2"/>
  <c r="BL158" i="2"/>
  <c r="AZ159" i="2"/>
  <c r="AZ160" i="2"/>
  <c r="AZ161" i="2"/>
  <c r="AZ162" i="2"/>
  <c r="AZ163" i="2"/>
  <c r="AZ164" i="2"/>
  <c r="AZ165" i="2"/>
  <c r="AZ166" i="2"/>
  <c r="AZ167" i="2"/>
  <c r="AZ168" i="2"/>
  <c r="AZ169" i="2"/>
  <c r="AZ170" i="2"/>
  <c r="BL170" i="2"/>
  <c r="AZ171" i="2"/>
  <c r="BL171" i="2"/>
  <c r="AZ172" i="2"/>
  <c r="BL172" i="2"/>
  <c r="AZ173" i="2"/>
  <c r="BL173" i="2"/>
  <c r="AZ174" i="2"/>
  <c r="BL174" i="2"/>
  <c r="AZ175" i="2"/>
  <c r="BL175" i="2"/>
  <c r="AZ176" i="2"/>
  <c r="BL176" i="2"/>
  <c r="AZ177" i="2"/>
  <c r="BL177" i="2"/>
  <c r="AZ178" i="2"/>
  <c r="BL178" i="2"/>
  <c r="AZ179" i="2"/>
  <c r="AZ180" i="2"/>
  <c r="AZ181" i="2"/>
  <c r="AZ182" i="2"/>
  <c r="AZ183" i="2"/>
  <c r="AZ184" i="2"/>
  <c r="AZ185" i="2"/>
  <c r="AZ186" i="2"/>
  <c r="AZ187" i="2"/>
  <c r="AZ188" i="2"/>
  <c r="AZ189" i="2"/>
  <c r="AZ190" i="2"/>
  <c r="BL190" i="2"/>
  <c r="AZ191" i="2"/>
  <c r="BL191" i="2"/>
  <c r="AZ192" i="2"/>
  <c r="BL192" i="2"/>
  <c r="AZ193" i="2"/>
  <c r="BL193" i="2"/>
  <c r="AZ194" i="2"/>
  <c r="BL194" i="2"/>
  <c r="AZ195" i="2"/>
  <c r="BL195" i="2"/>
  <c r="AZ196" i="2"/>
  <c r="BL196" i="2"/>
  <c r="AZ197" i="2"/>
  <c r="BL197" i="2"/>
  <c r="AZ198" i="2"/>
  <c r="BL198" i="2"/>
  <c r="AZ199" i="2"/>
  <c r="AZ200" i="2"/>
  <c r="AZ201" i="2"/>
  <c r="AZ202" i="2"/>
  <c r="AZ203" i="2"/>
  <c r="AZ204" i="2"/>
  <c r="AZ205" i="2"/>
  <c r="AZ206" i="2"/>
  <c r="AZ207" i="2"/>
  <c r="AZ208" i="2"/>
  <c r="AZ209" i="2"/>
  <c r="AZ210" i="2"/>
  <c r="BL210" i="2"/>
  <c r="AZ211" i="2"/>
  <c r="BL211" i="2"/>
  <c r="AZ212" i="2"/>
  <c r="BL212" i="2"/>
  <c r="AZ213" i="2"/>
  <c r="BL213" i="2"/>
  <c r="AZ214" i="2"/>
  <c r="BL214" i="2"/>
  <c r="AZ215" i="2"/>
  <c r="BL215" i="2"/>
  <c r="AZ216" i="2"/>
  <c r="BL216" i="2"/>
  <c r="AZ217" i="2"/>
  <c r="BL217" i="2"/>
  <c r="AZ218" i="2"/>
  <c r="BL218" i="2"/>
  <c r="AZ219" i="2"/>
  <c r="AZ220" i="2"/>
  <c r="AZ221" i="2"/>
  <c r="AZ222" i="2"/>
  <c r="AZ223" i="2"/>
  <c r="AZ224" i="2"/>
  <c r="AZ225" i="2"/>
  <c r="AZ226" i="2"/>
  <c r="AZ227" i="2"/>
  <c r="AZ228" i="2"/>
  <c r="AZ229" i="2"/>
  <c r="AZ230" i="2"/>
  <c r="BL230" i="2"/>
  <c r="AZ231" i="2"/>
  <c r="BL231" i="2"/>
  <c r="AZ232" i="2"/>
  <c r="BL232" i="2"/>
  <c r="AZ233" i="2"/>
  <c r="BL233" i="2"/>
  <c r="AZ234" i="2"/>
  <c r="BL234" i="2"/>
  <c r="AZ235" i="2"/>
  <c r="BL235" i="2"/>
  <c r="AZ236" i="2"/>
  <c r="BL236" i="2"/>
  <c r="AZ237" i="2"/>
  <c r="BL237" i="2"/>
  <c r="AZ238" i="2"/>
  <c r="BL238" i="2"/>
  <c r="AZ239" i="2"/>
  <c r="AZ240" i="2"/>
  <c r="AZ241" i="2"/>
  <c r="AZ242" i="2"/>
  <c r="AZ243" i="2"/>
  <c r="AZ244" i="2"/>
  <c r="AZ245" i="2"/>
  <c r="AZ246" i="2"/>
  <c r="AZ247" i="2"/>
  <c r="AZ248" i="2"/>
  <c r="AZ249" i="2"/>
  <c r="AZ250" i="2"/>
  <c r="BL250" i="2"/>
  <c r="AZ251" i="2"/>
  <c r="BL251" i="2"/>
  <c r="AZ252" i="2"/>
  <c r="BL252" i="2"/>
  <c r="AZ253" i="2"/>
  <c r="BL253" i="2"/>
  <c r="AZ254" i="2"/>
  <c r="BL254" i="2"/>
  <c r="AZ255" i="2"/>
  <c r="BL255" i="2"/>
  <c r="AZ256" i="2"/>
  <c r="BL256" i="2"/>
  <c r="AZ257" i="2"/>
  <c r="BL257" i="2"/>
  <c r="AZ258" i="2"/>
  <c r="BL258" i="2"/>
  <c r="AZ259" i="2"/>
  <c r="AZ260" i="2"/>
  <c r="AZ261" i="2"/>
  <c r="AZ262" i="2"/>
  <c r="AZ263" i="2"/>
  <c r="AZ264" i="2"/>
  <c r="AZ265" i="2"/>
  <c r="AZ266" i="2"/>
  <c r="AZ267" i="2"/>
  <c r="AZ268" i="2"/>
  <c r="AZ269" i="2"/>
  <c r="AZ270" i="2"/>
  <c r="BL270" i="2"/>
  <c r="AZ271" i="2"/>
  <c r="BL271" i="2"/>
  <c r="AZ272" i="2"/>
  <c r="BL272" i="2"/>
  <c r="AZ273" i="2"/>
  <c r="BL273" i="2"/>
  <c r="AZ274" i="2"/>
  <c r="BL274" i="2"/>
  <c r="AZ275" i="2"/>
  <c r="BL275" i="2"/>
  <c r="AZ276" i="2"/>
  <c r="BL276" i="2"/>
  <c r="AZ277" i="2"/>
  <c r="BL277" i="2"/>
  <c r="AZ278" i="2"/>
  <c r="BL278" i="2"/>
  <c r="AZ279" i="2"/>
  <c r="AZ280" i="2"/>
  <c r="AZ281" i="2"/>
  <c r="AZ282" i="2"/>
  <c r="AZ283" i="2"/>
  <c r="AZ284" i="2"/>
  <c r="AZ285" i="2"/>
  <c r="AZ286" i="2"/>
  <c r="AZ287" i="2"/>
  <c r="AZ288" i="2"/>
  <c r="AZ289" i="2"/>
  <c r="AZ290" i="2"/>
  <c r="BL290" i="2"/>
  <c r="AZ291" i="2"/>
  <c r="BL291" i="2"/>
  <c r="AZ292" i="2"/>
  <c r="BL292" i="2"/>
  <c r="AZ293" i="2"/>
  <c r="BL293" i="2"/>
  <c r="AZ294" i="2"/>
  <c r="BL294" i="2"/>
  <c r="AZ295" i="2"/>
  <c r="BL295" i="2"/>
  <c r="AZ296" i="2"/>
  <c r="BL296" i="2"/>
  <c r="AZ297" i="2"/>
  <c r="BL297" i="2"/>
  <c r="AZ298" i="2"/>
  <c r="BL298" i="2"/>
  <c r="AZ299" i="2"/>
  <c r="AZ300" i="2"/>
  <c r="AZ301" i="2"/>
  <c r="AZ302" i="2"/>
  <c r="AZ303" i="2"/>
  <c r="AZ304" i="2"/>
  <c r="AZ305" i="2"/>
  <c r="AZ306" i="2"/>
  <c r="AZ307" i="2"/>
  <c r="AZ308" i="2"/>
  <c r="AZ309" i="2"/>
  <c r="AZ310" i="2"/>
  <c r="BL310" i="2"/>
  <c r="AZ311" i="2"/>
  <c r="BL311" i="2"/>
  <c r="AZ312" i="2"/>
  <c r="BL312" i="2"/>
  <c r="AZ313" i="2"/>
  <c r="BL313" i="2"/>
  <c r="AZ314" i="2"/>
  <c r="BL314" i="2"/>
  <c r="AZ315" i="2"/>
  <c r="BL315" i="2"/>
  <c r="AZ316" i="2"/>
  <c r="BL316" i="2"/>
  <c r="AZ317" i="2"/>
  <c r="BL317" i="2"/>
  <c r="AZ318" i="2"/>
  <c r="BL318" i="2"/>
  <c r="AZ319" i="2"/>
  <c r="AZ320" i="2"/>
  <c r="AZ321" i="2"/>
  <c r="BL321" i="2"/>
  <c r="AZ322" i="2"/>
  <c r="AZ323" i="2"/>
  <c r="AZ324" i="2"/>
  <c r="AZ325" i="2"/>
  <c r="AZ326" i="2"/>
  <c r="AZ327" i="2"/>
  <c r="AZ328" i="2"/>
  <c r="AZ329" i="2"/>
  <c r="AZ330" i="2"/>
  <c r="BL330" i="2"/>
  <c r="AZ331" i="2"/>
  <c r="BL331" i="2"/>
  <c r="AZ332" i="2"/>
  <c r="BL332" i="2"/>
  <c r="AZ333" i="2"/>
  <c r="BL333" i="2"/>
  <c r="AZ334" i="2"/>
  <c r="BL334" i="2"/>
  <c r="AZ335" i="2"/>
  <c r="BL335" i="2"/>
  <c r="AZ336" i="2"/>
  <c r="BL336" i="2"/>
  <c r="AZ337" i="2"/>
  <c r="BL337" i="2"/>
  <c r="AZ338" i="2"/>
  <c r="BL338" i="2"/>
  <c r="AZ339" i="2"/>
  <c r="AZ340" i="2"/>
  <c r="AZ341" i="2"/>
  <c r="BL341" i="2"/>
  <c r="AZ342" i="2"/>
  <c r="AZ343" i="2"/>
  <c r="AZ344" i="2"/>
  <c r="AZ345" i="2"/>
  <c r="AZ346" i="2"/>
  <c r="AZ347" i="2"/>
  <c r="AZ348" i="2"/>
  <c r="AZ349" i="2"/>
  <c r="AZ350" i="2"/>
  <c r="BL350" i="2"/>
  <c r="AZ351" i="2"/>
  <c r="BL351" i="2"/>
  <c r="AZ352" i="2"/>
  <c r="BL352" i="2"/>
  <c r="AZ353" i="2"/>
  <c r="BL353" i="2"/>
  <c r="AZ354" i="2"/>
  <c r="BL354" i="2"/>
  <c r="AZ355" i="2"/>
  <c r="BL355" i="2"/>
  <c r="AZ356" i="2"/>
  <c r="BL356" i="2"/>
  <c r="AZ357" i="2"/>
  <c r="BL357" i="2"/>
  <c r="AZ358" i="2"/>
  <c r="BL358" i="2"/>
  <c r="AZ359" i="2"/>
  <c r="AZ360" i="2"/>
  <c r="AZ361" i="2"/>
  <c r="BL361" i="2"/>
  <c r="AZ362" i="2"/>
  <c r="AZ363" i="2"/>
  <c r="AZ364" i="2"/>
  <c r="AZ365" i="2"/>
  <c r="AZ366" i="2"/>
  <c r="AZ367" i="2"/>
  <c r="AZ368" i="2"/>
  <c r="AZ369" i="2"/>
  <c r="AZ370" i="2"/>
  <c r="BL370" i="2"/>
  <c r="AZ371" i="2"/>
  <c r="BL371" i="2"/>
  <c r="AZ372" i="2"/>
  <c r="BL372" i="2"/>
  <c r="AZ373" i="2"/>
  <c r="BL373" i="2"/>
  <c r="AZ374" i="2"/>
  <c r="BL374" i="2"/>
  <c r="AZ375" i="2"/>
  <c r="BL375" i="2"/>
  <c r="AZ376" i="2"/>
  <c r="BL376" i="2"/>
  <c r="AZ377" i="2"/>
  <c r="BL377" i="2"/>
  <c r="AZ378" i="2"/>
  <c r="BL378" i="2"/>
  <c r="AZ379" i="2"/>
  <c r="AZ380" i="2"/>
  <c r="AZ381" i="2"/>
  <c r="BL381" i="2"/>
  <c r="AZ382" i="2"/>
  <c r="AZ383" i="2"/>
  <c r="AZ384" i="2"/>
  <c r="AZ385" i="2"/>
  <c r="AZ386" i="2"/>
  <c r="AZ387" i="2"/>
  <c r="AZ388" i="2"/>
  <c r="AZ389" i="2"/>
  <c r="AZ390" i="2"/>
  <c r="BL390" i="2"/>
  <c r="AZ391" i="2"/>
  <c r="BL391" i="2"/>
  <c r="AZ392" i="2"/>
  <c r="BL392" i="2"/>
  <c r="AZ393" i="2"/>
  <c r="BL393" i="2"/>
  <c r="AZ394" i="2"/>
  <c r="BL394" i="2"/>
  <c r="AZ395" i="2"/>
  <c r="BL395" i="2"/>
  <c r="AZ396" i="2"/>
  <c r="BL396" i="2"/>
  <c r="AZ397" i="2"/>
  <c r="BL397" i="2"/>
  <c r="AZ398" i="2"/>
  <c r="BL398" i="2"/>
  <c r="AZ399" i="2"/>
  <c r="AZ400" i="2"/>
  <c r="AZ401" i="2"/>
  <c r="BL401" i="2"/>
  <c r="AZ402" i="2"/>
  <c r="AZ403" i="2"/>
  <c r="AZ404" i="2"/>
  <c r="AZ405" i="2"/>
  <c r="AZ406" i="2"/>
  <c r="AZ407" i="2"/>
  <c r="AZ408" i="2"/>
  <c r="AZ409" i="2"/>
  <c r="AZ410" i="2"/>
  <c r="BL410" i="2"/>
  <c r="AZ411" i="2"/>
  <c r="BL411" i="2"/>
  <c r="AZ412" i="2"/>
  <c r="BL412" i="2"/>
  <c r="AZ413" i="2"/>
  <c r="BL413" i="2"/>
  <c r="AZ414" i="2"/>
  <c r="BL414" i="2"/>
  <c r="AZ415" i="2"/>
  <c r="BL415" i="2"/>
  <c r="AZ416" i="2"/>
  <c r="BL416" i="2"/>
  <c r="AZ417" i="2"/>
  <c r="BL417" i="2"/>
  <c r="AZ418" i="2"/>
  <c r="BL418" i="2"/>
  <c r="AZ419" i="2"/>
  <c r="AZ420" i="2"/>
  <c r="AZ421" i="2"/>
  <c r="BL421" i="2"/>
  <c r="AZ422" i="2"/>
  <c r="AZ423" i="2"/>
  <c r="AZ424" i="2"/>
  <c r="AZ425" i="2"/>
  <c r="AZ426" i="2"/>
  <c r="AZ427" i="2"/>
  <c r="AZ428" i="2"/>
  <c r="AZ429" i="2"/>
  <c r="AZ430" i="2"/>
  <c r="BL430" i="2"/>
  <c r="AZ431" i="2"/>
  <c r="BL431" i="2"/>
  <c r="AZ432" i="2"/>
  <c r="BL432" i="2"/>
  <c r="AZ433" i="2"/>
  <c r="BL433" i="2"/>
  <c r="AZ434" i="2"/>
  <c r="BL434" i="2"/>
  <c r="AZ435" i="2"/>
  <c r="BL435" i="2"/>
  <c r="AZ436" i="2"/>
  <c r="BL436" i="2"/>
  <c r="AZ437" i="2"/>
  <c r="BL437" i="2"/>
  <c r="AZ438" i="2"/>
  <c r="BL438" i="2"/>
  <c r="AZ439" i="2"/>
  <c r="AZ440" i="2"/>
  <c r="AZ441" i="2"/>
  <c r="BL441" i="2"/>
  <c r="AZ442" i="2"/>
  <c r="AZ443" i="2"/>
  <c r="AZ444" i="2"/>
  <c r="AZ445" i="2"/>
  <c r="AZ446" i="2"/>
  <c r="AZ447" i="2"/>
  <c r="AZ448" i="2"/>
  <c r="AZ449" i="2"/>
  <c r="AZ450" i="2"/>
  <c r="BL450" i="2"/>
  <c r="AZ451" i="2"/>
  <c r="BL451" i="2"/>
  <c r="AZ452" i="2"/>
  <c r="BL452" i="2"/>
  <c r="AZ453" i="2"/>
  <c r="BL453" i="2"/>
  <c r="AZ454" i="2"/>
  <c r="BL454" i="2"/>
  <c r="AZ455" i="2"/>
  <c r="BL455" i="2"/>
  <c r="AZ456" i="2"/>
  <c r="BL456" i="2"/>
  <c r="AZ457" i="2"/>
  <c r="BL457" i="2"/>
  <c r="AZ458" i="2"/>
  <c r="BL458" i="2"/>
  <c r="AZ459" i="2"/>
  <c r="AZ460" i="2"/>
  <c r="AZ461" i="2"/>
  <c r="BL461" i="2"/>
  <c r="AZ462" i="2"/>
  <c r="AZ463" i="2"/>
  <c r="AZ464" i="2"/>
  <c r="AZ465" i="2"/>
  <c r="AZ466" i="2"/>
  <c r="AZ467" i="2"/>
  <c r="AZ468" i="2"/>
  <c r="AZ469" i="2"/>
  <c r="AZ470" i="2"/>
  <c r="BL470" i="2"/>
  <c r="AZ471" i="2"/>
  <c r="BL471" i="2"/>
  <c r="AZ472" i="2"/>
  <c r="BL472" i="2"/>
  <c r="AZ473" i="2"/>
  <c r="BL473" i="2"/>
  <c r="AZ474" i="2"/>
  <c r="BL474" i="2"/>
  <c r="AZ475" i="2"/>
  <c r="BL475" i="2"/>
  <c r="AZ476" i="2"/>
  <c r="BL476" i="2"/>
  <c r="AZ477" i="2"/>
  <c r="BL477" i="2"/>
  <c r="AZ478" i="2"/>
  <c r="BL478" i="2"/>
  <c r="AZ479" i="2"/>
  <c r="AZ480" i="2"/>
  <c r="AZ481" i="2"/>
  <c r="BL481" i="2"/>
  <c r="AZ482" i="2"/>
  <c r="AZ483" i="2"/>
  <c r="AZ484" i="2"/>
  <c r="AZ485" i="2"/>
  <c r="AZ486" i="2"/>
  <c r="AZ487" i="2"/>
  <c r="AZ488" i="2"/>
  <c r="AZ489" i="2"/>
  <c r="AZ490" i="2"/>
  <c r="BL490" i="2"/>
  <c r="AZ491" i="2"/>
  <c r="BL491" i="2"/>
  <c r="AZ492" i="2"/>
  <c r="BL492" i="2"/>
  <c r="AZ493" i="2"/>
  <c r="BL493" i="2"/>
  <c r="AZ494" i="2"/>
  <c r="BL494" i="2"/>
  <c r="AZ495" i="2"/>
  <c r="BL495" i="2"/>
  <c r="AZ496" i="2"/>
  <c r="BL496" i="2"/>
  <c r="AZ497" i="2"/>
  <c r="BL497" i="2"/>
  <c r="AZ498" i="2"/>
  <c r="BL498" i="2"/>
  <c r="AZ499" i="2"/>
  <c r="AZ500" i="2"/>
  <c r="AZ5" i="2"/>
  <c r="BL5" i="2"/>
  <c r="AQ498" i="2"/>
  <c r="AQ499" i="2"/>
  <c r="AU324" i="2"/>
  <c r="AU308" i="2"/>
  <c r="AU163" i="2"/>
  <c r="AU204" i="2"/>
  <c r="AU86" i="2"/>
  <c r="AU23" i="2"/>
  <c r="AU171" i="2"/>
  <c r="AU151" i="2"/>
  <c r="AU25" i="2"/>
  <c r="AU247" i="2"/>
  <c r="AU169" i="2"/>
  <c r="AU241" i="2"/>
  <c r="AU480" i="2"/>
  <c r="AU479" i="2"/>
  <c r="AU6" i="2"/>
  <c r="AU172" i="2"/>
  <c r="AU176" i="2"/>
  <c r="AU298" i="2"/>
  <c r="AU273" i="2"/>
  <c r="AU485" i="2"/>
  <c r="AU483" i="2"/>
  <c r="AU61" i="2"/>
  <c r="AU43" i="2"/>
  <c r="AU322" i="2"/>
  <c r="AU267" i="2"/>
  <c r="AU304" i="2"/>
  <c r="AU271" i="2"/>
  <c r="AU40" i="2"/>
  <c r="AU102" i="2"/>
  <c r="AU115" i="2"/>
  <c r="AU142" i="2"/>
  <c r="AU108" i="2"/>
  <c r="AU106" i="2"/>
  <c r="AU335" i="2"/>
  <c r="AU45" i="2"/>
  <c r="AU129" i="2"/>
  <c r="AU274" i="2"/>
  <c r="AU96" i="2"/>
  <c r="AU114" i="2"/>
  <c r="AU128" i="2"/>
  <c r="AU5" i="2"/>
  <c r="AU79" i="2"/>
  <c r="AU91" i="2"/>
  <c r="AU251" i="2"/>
  <c r="AU109" i="2"/>
  <c r="AU214" i="2"/>
  <c r="AU26" i="2"/>
  <c r="AU134" i="2"/>
  <c r="AU493" i="2"/>
  <c r="AU113" i="2"/>
  <c r="AU345" i="2"/>
  <c r="AU282" i="2"/>
  <c r="AU20" i="2"/>
  <c r="AU198" i="2"/>
  <c r="AU116" i="2"/>
  <c r="AU240" i="2"/>
  <c r="AU195" i="2"/>
  <c r="AU279" i="2"/>
  <c r="AU492" i="2"/>
  <c r="AU16" i="2"/>
  <c r="AU305" i="2"/>
  <c r="AU323" i="2"/>
  <c r="AU168" i="2"/>
  <c r="AU222" i="2"/>
  <c r="AU136" i="2"/>
  <c r="AU104" i="2"/>
  <c r="AU60" i="2"/>
  <c r="AU132" i="2"/>
  <c r="AU112" i="2"/>
  <c r="AU170" i="2"/>
  <c r="AU272" i="2"/>
  <c r="AU299" i="2"/>
  <c r="AU205" i="2"/>
  <c r="AU232" i="2"/>
  <c r="AU15" i="2"/>
  <c r="AU107" i="2"/>
  <c r="AU84" i="2"/>
  <c r="AU46" i="2"/>
  <c r="AU231" i="2"/>
  <c r="AU303" i="2"/>
  <c r="AU248" i="2"/>
  <c r="AU213" i="2"/>
  <c r="AU8" i="2"/>
  <c r="AU42" i="2"/>
  <c r="AU206" i="2"/>
  <c r="AU156" i="2"/>
  <c r="AU223" i="2"/>
  <c r="AU165" i="2"/>
  <c r="AU49" i="2"/>
  <c r="AU295" i="2"/>
  <c r="AU275" i="2"/>
  <c r="AU301" i="2"/>
  <c r="AU270" i="2"/>
  <c r="AU44" i="2"/>
  <c r="AU193" i="2"/>
  <c r="AU250" i="2"/>
  <c r="AU201" i="2"/>
  <c r="AU229" i="2"/>
  <c r="AU283" i="2"/>
  <c r="AU164" i="2"/>
  <c r="AU278" i="2"/>
  <c r="AU59" i="2"/>
  <c r="AU491" i="2"/>
  <c r="AU294" i="2"/>
  <c r="AU145" i="2"/>
  <c r="AU202" i="2"/>
  <c r="AU314" i="2"/>
  <c r="AU290" i="2"/>
  <c r="AU360" i="2"/>
  <c r="AU238" i="2"/>
  <c r="AU199" i="2"/>
  <c r="AU486" i="2"/>
  <c r="AU230" i="2"/>
  <c r="AU281" i="2"/>
  <c r="AU144" i="2"/>
  <c r="AU62" i="2"/>
  <c r="AU52" i="2"/>
  <c r="AU19" i="2"/>
  <c r="AU482" i="2"/>
  <c r="AU190" i="2"/>
  <c r="AU47" i="2"/>
  <c r="AU80" i="2"/>
  <c r="AU333" i="2"/>
  <c r="AU465" i="2"/>
  <c r="AU97" i="2"/>
  <c r="AU242" i="2"/>
  <c r="AU36" i="2"/>
  <c r="AU477" i="2"/>
  <c r="AU53" i="2"/>
  <c r="AU37" i="2"/>
  <c r="AU39" i="2"/>
  <c r="AU155" i="2"/>
  <c r="AU50" i="2"/>
  <c r="AU256" i="2"/>
  <c r="AU196" i="2"/>
  <c r="AU234" i="2"/>
  <c r="AU328" i="2"/>
  <c r="AU38" i="2"/>
  <c r="AU346" i="2"/>
  <c r="AU150" i="2"/>
  <c r="AU289" i="2"/>
  <c r="AU41" i="2"/>
  <c r="AU489" i="2"/>
  <c r="AU162" i="2"/>
  <c r="AU119" i="2"/>
  <c r="AU481" i="2"/>
  <c r="AU342" i="2"/>
  <c r="AU90" i="2"/>
  <c r="AU210" i="2"/>
  <c r="AU488" i="2"/>
  <c r="AU336" i="2"/>
  <c r="AU287" i="2"/>
  <c r="AU215" i="2"/>
  <c r="AU82" i="2"/>
  <c r="AU51" i="2"/>
  <c r="AU327" i="2"/>
  <c r="AU141" i="2"/>
  <c r="AU139" i="2"/>
  <c r="AU216" i="2"/>
  <c r="AU7" i="2"/>
  <c r="AU9" i="2"/>
  <c r="AU10" i="2"/>
  <c r="AU11" i="2"/>
  <c r="AU12" i="2"/>
  <c r="AU13" i="2"/>
  <c r="AU14" i="2"/>
  <c r="AU17" i="2"/>
  <c r="AU18" i="2"/>
  <c r="AU21" i="2"/>
  <c r="AU22" i="2"/>
  <c r="AU24" i="2"/>
  <c r="AU27" i="2"/>
  <c r="AU28" i="2"/>
  <c r="AU29" i="2"/>
  <c r="AU30" i="2"/>
  <c r="AU31" i="2"/>
  <c r="AU32" i="2"/>
  <c r="AU33" i="2"/>
  <c r="AU34" i="2"/>
  <c r="AU35" i="2"/>
  <c r="AU48" i="2"/>
  <c r="AU54" i="2"/>
  <c r="AU55" i="2"/>
  <c r="AU56" i="2"/>
  <c r="AU57" i="2"/>
  <c r="AU58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81" i="2"/>
  <c r="AU83" i="2"/>
  <c r="AU85" i="2"/>
  <c r="AU87" i="2"/>
  <c r="AU88" i="2"/>
  <c r="AU89" i="2"/>
  <c r="AU92" i="2"/>
  <c r="AU93" i="2"/>
  <c r="AU94" i="2"/>
  <c r="AU95" i="2"/>
  <c r="AU98" i="2"/>
  <c r="AU99" i="2"/>
  <c r="AU100" i="2"/>
  <c r="AU101" i="2"/>
  <c r="AU103" i="2"/>
  <c r="AU105" i="2"/>
  <c r="AU111" i="2"/>
  <c r="AU117" i="2"/>
  <c r="AU118" i="2"/>
  <c r="AU120" i="2"/>
  <c r="AU121" i="2"/>
  <c r="AU122" i="2"/>
  <c r="AU123" i="2"/>
  <c r="AU124" i="2"/>
  <c r="AU125" i="2"/>
  <c r="AU126" i="2"/>
  <c r="AU127" i="2"/>
  <c r="AU130" i="2"/>
  <c r="AU131" i="2"/>
  <c r="AU133" i="2"/>
  <c r="AU135" i="2"/>
  <c r="AU137" i="2"/>
  <c r="AU138" i="2"/>
  <c r="AU140" i="2"/>
  <c r="AU143" i="2"/>
  <c r="AU146" i="2"/>
  <c r="AU147" i="2"/>
  <c r="AU148" i="2"/>
  <c r="AU149" i="2"/>
  <c r="AU152" i="2"/>
  <c r="AU153" i="2"/>
  <c r="AU154" i="2"/>
  <c r="AU157" i="2"/>
  <c r="AU158" i="2"/>
  <c r="AU159" i="2"/>
  <c r="AU160" i="2"/>
  <c r="AU161" i="2"/>
  <c r="AU166" i="2"/>
  <c r="AU167" i="2"/>
  <c r="AU173" i="2"/>
  <c r="AU174" i="2"/>
  <c r="AU175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1" i="2"/>
  <c r="AU192" i="2"/>
  <c r="AU197" i="2"/>
  <c r="AU200" i="2"/>
  <c r="AU203" i="2"/>
  <c r="AU207" i="2"/>
  <c r="AU208" i="2"/>
  <c r="AU209" i="2"/>
  <c r="AU211" i="2"/>
  <c r="AU212" i="2"/>
  <c r="AU217" i="2"/>
  <c r="AU218" i="2"/>
  <c r="AU219" i="2"/>
  <c r="AU220" i="2"/>
  <c r="AU221" i="2"/>
  <c r="AU224" i="2"/>
  <c r="AU225" i="2"/>
  <c r="AU226" i="2"/>
  <c r="AU227" i="2"/>
  <c r="AU228" i="2"/>
  <c r="AU233" i="2"/>
  <c r="AU235" i="2"/>
  <c r="AU236" i="2"/>
  <c r="AU237" i="2"/>
  <c r="AU239" i="2"/>
  <c r="AU243" i="2"/>
  <c r="AU244" i="2"/>
  <c r="AU245" i="2"/>
  <c r="AU246" i="2"/>
  <c r="AU249" i="2"/>
  <c r="AU252" i="2"/>
  <c r="AU253" i="2"/>
  <c r="AU254" i="2"/>
  <c r="AU255" i="2"/>
  <c r="AU257" i="2"/>
  <c r="AU259" i="2"/>
  <c r="AU260" i="2"/>
  <c r="AU261" i="2"/>
  <c r="AU262" i="2"/>
  <c r="AU263" i="2"/>
  <c r="AU264" i="2"/>
  <c r="AU265" i="2"/>
  <c r="AU266" i="2"/>
  <c r="AU268" i="2"/>
  <c r="AU276" i="2"/>
  <c r="AU277" i="2"/>
  <c r="AU280" i="2"/>
  <c r="AU284" i="2"/>
  <c r="AU285" i="2"/>
  <c r="AU286" i="2"/>
  <c r="AU288" i="2"/>
  <c r="AU291" i="2"/>
  <c r="AU292" i="2"/>
  <c r="AU293" i="2"/>
  <c r="AU296" i="2"/>
  <c r="AU297" i="2"/>
  <c r="AU300" i="2"/>
  <c r="AU302" i="2"/>
  <c r="AU306" i="2"/>
  <c r="AU307" i="2"/>
  <c r="AU309" i="2"/>
  <c r="AU310" i="2"/>
  <c r="AU311" i="2"/>
  <c r="AU312" i="2"/>
  <c r="AU313" i="2"/>
  <c r="AU315" i="2"/>
  <c r="AU316" i="2"/>
  <c r="AU317" i="2"/>
  <c r="AU318" i="2"/>
  <c r="AU319" i="2"/>
  <c r="AU320" i="2"/>
  <c r="AU321" i="2"/>
  <c r="AU325" i="2"/>
  <c r="AU326" i="2"/>
  <c r="AU329" i="2"/>
  <c r="AU330" i="2"/>
  <c r="AU331" i="2"/>
  <c r="AU332" i="2"/>
  <c r="AU334" i="2"/>
  <c r="AU337" i="2"/>
  <c r="AU338" i="2"/>
  <c r="AU339" i="2"/>
  <c r="AU340" i="2"/>
  <c r="AU341" i="2"/>
  <c r="AU343" i="2"/>
  <c r="AU344" i="2"/>
  <c r="AU347" i="2"/>
  <c r="AU348" i="2"/>
  <c r="AU349" i="2"/>
  <c r="AU350" i="2"/>
  <c r="AU351" i="2"/>
  <c r="AU352" i="2"/>
  <c r="AU353" i="2"/>
  <c r="AU354" i="2"/>
  <c r="AU356" i="2"/>
  <c r="AU357" i="2"/>
  <c r="AU358" i="2"/>
  <c r="AU359" i="2"/>
  <c r="AU361" i="2"/>
  <c r="AU362" i="2"/>
  <c r="AU363" i="2"/>
  <c r="AU364" i="2"/>
  <c r="AU365" i="2"/>
  <c r="AU366" i="2"/>
  <c r="AU367" i="2"/>
  <c r="AU368" i="2"/>
  <c r="AU369" i="2"/>
  <c r="AU370" i="2"/>
  <c r="AU371" i="2"/>
  <c r="AU372" i="2"/>
  <c r="AU373" i="2"/>
  <c r="AU374" i="2"/>
  <c r="AU375" i="2"/>
  <c r="AU376" i="2"/>
  <c r="AU377" i="2"/>
  <c r="AU378" i="2"/>
  <c r="AU379" i="2"/>
  <c r="AU380" i="2"/>
  <c r="AU381" i="2"/>
  <c r="AU382" i="2"/>
  <c r="AU383" i="2"/>
  <c r="AU384" i="2"/>
  <c r="AU385" i="2"/>
  <c r="AU386" i="2"/>
  <c r="AU387" i="2"/>
  <c r="AU388" i="2"/>
  <c r="AU389" i="2"/>
  <c r="AU390" i="2"/>
  <c r="AU391" i="2"/>
  <c r="AU392" i="2"/>
  <c r="AU393" i="2"/>
  <c r="AU394" i="2"/>
  <c r="AU395" i="2"/>
  <c r="AU396" i="2"/>
  <c r="AU397" i="2"/>
  <c r="AU398" i="2"/>
  <c r="AU399" i="2"/>
  <c r="AU400" i="2"/>
  <c r="AU401" i="2"/>
  <c r="AU402" i="2"/>
  <c r="AU403" i="2"/>
  <c r="AU404" i="2"/>
  <c r="AU405" i="2"/>
  <c r="AU406" i="2"/>
  <c r="AU407" i="2"/>
  <c r="AU408" i="2"/>
  <c r="AU409" i="2"/>
  <c r="AU410" i="2"/>
  <c r="AU411" i="2"/>
  <c r="AU412" i="2"/>
  <c r="AU413" i="2"/>
  <c r="AU414" i="2"/>
  <c r="AU415" i="2"/>
  <c r="AU416" i="2"/>
  <c r="AU417" i="2"/>
  <c r="AU418" i="2"/>
  <c r="AU419" i="2"/>
  <c r="AU420" i="2"/>
  <c r="AU421" i="2"/>
  <c r="AU422" i="2"/>
  <c r="AU423" i="2"/>
  <c r="AU424" i="2"/>
  <c r="AU425" i="2"/>
  <c r="AU426" i="2"/>
  <c r="AU427" i="2"/>
  <c r="AU428" i="2"/>
  <c r="AU429" i="2"/>
  <c r="AU430" i="2"/>
  <c r="AU431" i="2"/>
  <c r="AU432" i="2"/>
  <c r="AU433" i="2"/>
  <c r="AU434" i="2"/>
  <c r="AU435" i="2"/>
  <c r="AU436" i="2"/>
  <c r="AU437" i="2"/>
  <c r="AU438" i="2"/>
  <c r="AU439" i="2"/>
  <c r="AU440" i="2"/>
  <c r="AU441" i="2"/>
  <c r="AU442" i="2"/>
  <c r="AU443" i="2"/>
  <c r="AU444" i="2"/>
  <c r="AU445" i="2"/>
  <c r="AU446" i="2"/>
  <c r="AU447" i="2"/>
  <c r="AU448" i="2"/>
  <c r="AU449" i="2"/>
  <c r="AU450" i="2"/>
  <c r="AU451" i="2"/>
  <c r="AU452" i="2"/>
  <c r="AU453" i="2"/>
  <c r="AU454" i="2"/>
  <c r="AU455" i="2"/>
  <c r="AU456" i="2"/>
  <c r="AU457" i="2"/>
  <c r="AU458" i="2"/>
  <c r="AU459" i="2"/>
  <c r="AU460" i="2"/>
  <c r="AU461" i="2"/>
  <c r="AU462" i="2"/>
  <c r="AU463" i="2"/>
  <c r="AU464" i="2"/>
  <c r="AU466" i="2"/>
  <c r="AU467" i="2"/>
  <c r="AU468" i="2"/>
  <c r="AU469" i="2"/>
  <c r="AU470" i="2"/>
  <c r="AU471" i="2"/>
  <c r="AU472" i="2"/>
  <c r="AU473" i="2"/>
  <c r="AU474" i="2"/>
  <c r="AU475" i="2"/>
  <c r="AU476" i="2"/>
  <c r="AU478" i="2"/>
  <c r="AU484" i="2"/>
  <c r="AU487" i="2"/>
  <c r="AU490" i="2"/>
  <c r="AU494" i="2"/>
  <c r="AU495" i="2"/>
  <c r="AU496" i="2"/>
  <c r="AU497" i="2"/>
  <c r="AU500" i="2"/>
  <c r="AU110" i="2"/>
  <c r="AU258" i="2"/>
  <c r="AU269" i="2"/>
  <c r="AU355" i="2"/>
  <c r="AU194" i="2"/>
  <c r="AR324" i="2"/>
  <c r="AR308" i="2"/>
  <c r="AR163" i="2"/>
  <c r="AR204" i="2"/>
  <c r="AR86" i="2"/>
  <c r="AR23" i="2"/>
  <c r="AR171" i="2"/>
  <c r="AR151" i="2"/>
  <c r="AR25" i="2"/>
  <c r="AR247" i="2"/>
  <c r="AR169" i="2"/>
  <c r="AR241" i="2"/>
  <c r="AR480" i="2"/>
  <c r="AR479" i="2"/>
  <c r="AR6" i="2"/>
  <c r="AR172" i="2"/>
  <c r="AR176" i="2"/>
  <c r="AR298" i="2"/>
  <c r="AR273" i="2"/>
  <c r="AR485" i="2"/>
  <c r="AR483" i="2"/>
  <c r="AR61" i="2"/>
  <c r="AR43" i="2"/>
  <c r="AR322" i="2"/>
  <c r="AR267" i="2"/>
  <c r="AR304" i="2"/>
  <c r="AR271" i="2"/>
  <c r="AR40" i="2"/>
  <c r="AR102" i="2"/>
  <c r="AR115" i="2"/>
  <c r="AR142" i="2"/>
  <c r="AR108" i="2"/>
  <c r="AR106" i="2"/>
  <c r="AR335" i="2"/>
  <c r="AR45" i="2"/>
  <c r="AR129" i="2"/>
  <c r="AR274" i="2"/>
  <c r="AR96" i="2"/>
  <c r="AR114" i="2"/>
  <c r="AR128" i="2"/>
  <c r="AR5" i="2"/>
  <c r="AR79" i="2"/>
  <c r="AR91" i="2"/>
  <c r="AR251" i="2"/>
  <c r="AR109" i="2"/>
  <c r="AR214" i="2"/>
  <c r="AR26" i="2"/>
  <c r="AR134" i="2"/>
  <c r="AR493" i="2"/>
  <c r="AR113" i="2"/>
  <c r="AR345" i="2"/>
  <c r="AR282" i="2"/>
  <c r="AR20" i="2"/>
  <c r="AR198" i="2"/>
  <c r="AR116" i="2"/>
  <c r="AR240" i="2"/>
  <c r="AR195" i="2"/>
  <c r="AR279" i="2"/>
  <c r="AR492" i="2"/>
  <c r="AR16" i="2"/>
  <c r="AR305" i="2"/>
  <c r="AR323" i="2"/>
  <c r="AR168" i="2"/>
  <c r="AR222" i="2"/>
  <c r="AR136" i="2"/>
  <c r="AR104" i="2"/>
  <c r="AR60" i="2"/>
  <c r="AR132" i="2"/>
  <c r="AR112" i="2"/>
  <c r="AR170" i="2"/>
  <c r="AR272" i="2"/>
  <c r="AR299" i="2"/>
  <c r="AR205" i="2"/>
  <c r="AR232" i="2"/>
  <c r="AR15" i="2"/>
  <c r="AR107" i="2"/>
  <c r="AR84" i="2"/>
  <c r="AR46" i="2"/>
  <c r="AR231" i="2"/>
  <c r="AR303" i="2"/>
  <c r="AR248" i="2"/>
  <c r="AR213" i="2"/>
  <c r="AR8" i="2"/>
  <c r="AR42" i="2"/>
  <c r="AR206" i="2"/>
  <c r="AR156" i="2"/>
  <c r="AR223" i="2"/>
  <c r="AR165" i="2"/>
  <c r="AR49" i="2"/>
  <c r="AR295" i="2"/>
  <c r="AR275" i="2"/>
  <c r="AR301" i="2"/>
  <c r="AR270" i="2"/>
  <c r="AR44" i="2"/>
  <c r="AR193" i="2"/>
  <c r="AR250" i="2"/>
  <c r="AR201" i="2"/>
  <c r="AR229" i="2"/>
  <c r="AR283" i="2"/>
  <c r="AR164" i="2"/>
  <c r="AR278" i="2"/>
  <c r="AR59" i="2"/>
  <c r="AR491" i="2"/>
  <c r="AR294" i="2"/>
  <c r="AR145" i="2"/>
  <c r="AR202" i="2"/>
  <c r="AR314" i="2"/>
  <c r="AR290" i="2"/>
  <c r="AR360" i="2"/>
  <c r="AR238" i="2"/>
  <c r="AR199" i="2"/>
  <c r="AR486" i="2"/>
  <c r="AR230" i="2"/>
  <c r="AR281" i="2"/>
  <c r="AR144" i="2"/>
  <c r="AR62" i="2"/>
  <c r="AR52" i="2"/>
  <c r="AR19" i="2"/>
  <c r="AR482" i="2"/>
  <c r="AR190" i="2"/>
  <c r="AR47" i="2"/>
  <c r="AR80" i="2"/>
  <c r="AR333" i="2"/>
  <c r="AR465" i="2"/>
  <c r="AR97" i="2"/>
  <c r="AR242" i="2"/>
  <c r="AR36" i="2"/>
  <c r="AR477" i="2"/>
  <c r="AR53" i="2"/>
  <c r="AR37" i="2"/>
  <c r="AR39" i="2"/>
  <c r="AR155" i="2"/>
  <c r="AR50" i="2"/>
  <c r="AR256" i="2"/>
  <c r="AR196" i="2"/>
  <c r="AR234" i="2"/>
  <c r="AR328" i="2"/>
  <c r="AR38" i="2"/>
  <c r="AR346" i="2"/>
  <c r="AR150" i="2"/>
  <c r="AR289" i="2"/>
  <c r="AR41" i="2"/>
  <c r="AR489" i="2"/>
  <c r="AR162" i="2"/>
  <c r="AR119" i="2"/>
  <c r="AR481" i="2"/>
  <c r="AR342" i="2"/>
  <c r="AR90" i="2"/>
  <c r="AR210" i="2"/>
  <c r="AR488" i="2"/>
  <c r="AR336" i="2"/>
  <c r="AR287" i="2"/>
  <c r="AR215" i="2"/>
  <c r="AR82" i="2"/>
  <c r="AR51" i="2"/>
  <c r="AR327" i="2"/>
  <c r="AR141" i="2"/>
  <c r="AR139" i="2"/>
  <c r="AR216" i="2"/>
  <c r="AR7" i="2"/>
  <c r="AR9" i="2"/>
  <c r="AR10" i="2"/>
  <c r="AR11" i="2"/>
  <c r="AR12" i="2"/>
  <c r="AR13" i="2"/>
  <c r="AR14" i="2"/>
  <c r="AR17" i="2"/>
  <c r="AR18" i="2"/>
  <c r="AR21" i="2"/>
  <c r="AR22" i="2"/>
  <c r="AR24" i="2"/>
  <c r="AR27" i="2"/>
  <c r="AR28" i="2"/>
  <c r="AR29" i="2"/>
  <c r="AR30" i="2"/>
  <c r="AR31" i="2"/>
  <c r="AR32" i="2"/>
  <c r="AR33" i="2"/>
  <c r="AR34" i="2"/>
  <c r="AR35" i="2"/>
  <c r="AR48" i="2"/>
  <c r="AR54" i="2"/>
  <c r="AR55" i="2"/>
  <c r="AR56" i="2"/>
  <c r="AR57" i="2"/>
  <c r="AR58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81" i="2"/>
  <c r="AR83" i="2"/>
  <c r="AR85" i="2"/>
  <c r="AR87" i="2"/>
  <c r="AR88" i="2"/>
  <c r="AR89" i="2"/>
  <c r="AR92" i="2"/>
  <c r="AR93" i="2"/>
  <c r="AR94" i="2"/>
  <c r="AR95" i="2"/>
  <c r="AR98" i="2"/>
  <c r="AR99" i="2"/>
  <c r="AR100" i="2"/>
  <c r="AR101" i="2"/>
  <c r="AR103" i="2"/>
  <c r="AR105" i="2"/>
  <c r="AR111" i="2"/>
  <c r="AR117" i="2"/>
  <c r="AR118" i="2"/>
  <c r="AR120" i="2"/>
  <c r="AR121" i="2"/>
  <c r="AR122" i="2"/>
  <c r="AR123" i="2"/>
  <c r="AR124" i="2"/>
  <c r="AR125" i="2"/>
  <c r="AR126" i="2"/>
  <c r="AR127" i="2"/>
  <c r="AR130" i="2"/>
  <c r="AR131" i="2"/>
  <c r="AR133" i="2"/>
  <c r="AR135" i="2"/>
  <c r="AR137" i="2"/>
  <c r="AR138" i="2"/>
  <c r="AR140" i="2"/>
  <c r="AR143" i="2"/>
  <c r="AR146" i="2"/>
  <c r="AR147" i="2"/>
  <c r="AR148" i="2"/>
  <c r="AR149" i="2"/>
  <c r="AR152" i="2"/>
  <c r="AR153" i="2"/>
  <c r="AR154" i="2"/>
  <c r="AR157" i="2"/>
  <c r="AR158" i="2"/>
  <c r="AR159" i="2"/>
  <c r="AR160" i="2"/>
  <c r="AR161" i="2"/>
  <c r="AR166" i="2"/>
  <c r="AR167" i="2"/>
  <c r="AR173" i="2"/>
  <c r="AR174" i="2"/>
  <c r="AR175" i="2"/>
  <c r="AR177" i="2"/>
  <c r="AR178" i="2"/>
  <c r="AR179" i="2"/>
  <c r="AR180" i="2"/>
  <c r="AR181" i="2"/>
  <c r="AR182" i="2"/>
  <c r="AR183" i="2"/>
  <c r="AR184" i="2"/>
  <c r="AR185" i="2"/>
  <c r="AR186" i="2"/>
  <c r="AR187" i="2"/>
  <c r="AR188" i="2"/>
  <c r="AR189" i="2"/>
  <c r="AR191" i="2"/>
  <c r="AR192" i="2"/>
  <c r="AR197" i="2"/>
  <c r="AR200" i="2"/>
  <c r="AR203" i="2"/>
  <c r="AR207" i="2"/>
  <c r="AR208" i="2"/>
  <c r="AR209" i="2"/>
  <c r="AR211" i="2"/>
  <c r="AR212" i="2"/>
  <c r="AR217" i="2"/>
  <c r="AR218" i="2"/>
  <c r="AR219" i="2"/>
  <c r="AR220" i="2"/>
  <c r="AR221" i="2"/>
  <c r="AR224" i="2"/>
  <c r="AR225" i="2"/>
  <c r="AR226" i="2"/>
  <c r="AR227" i="2"/>
  <c r="AR228" i="2"/>
  <c r="AR233" i="2"/>
  <c r="AR235" i="2"/>
  <c r="AR236" i="2"/>
  <c r="AR237" i="2"/>
  <c r="AR239" i="2"/>
  <c r="AR243" i="2"/>
  <c r="AR244" i="2"/>
  <c r="AR245" i="2"/>
  <c r="AR246" i="2"/>
  <c r="AR249" i="2"/>
  <c r="AR252" i="2"/>
  <c r="AR253" i="2"/>
  <c r="AR254" i="2"/>
  <c r="AR255" i="2"/>
  <c r="AR257" i="2"/>
  <c r="AR259" i="2"/>
  <c r="AR260" i="2"/>
  <c r="AR261" i="2"/>
  <c r="AR262" i="2"/>
  <c r="AR263" i="2"/>
  <c r="AR264" i="2"/>
  <c r="AR265" i="2"/>
  <c r="AR266" i="2"/>
  <c r="AR268" i="2"/>
  <c r="AR276" i="2"/>
  <c r="AR277" i="2"/>
  <c r="AR280" i="2"/>
  <c r="AR284" i="2"/>
  <c r="AR285" i="2"/>
  <c r="AR286" i="2"/>
  <c r="AR288" i="2"/>
  <c r="AR291" i="2"/>
  <c r="AR292" i="2"/>
  <c r="AR293" i="2"/>
  <c r="AR296" i="2"/>
  <c r="AR297" i="2"/>
  <c r="AR300" i="2"/>
  <c r="AR302" i="2"/>
  <c r="AR306" i="2"/>
  <c r="AR307" i="2"/>
  <c r="AR309" i="2"/>
  <c r="AR310" i="2"/>
  <c r="AR311" i="2"/>
  <c r="AR312" i="2"/>
  <c r="AR313" i="2"/>
  <c r="AR315" i="2"/>
  <c r="AR316" i="2"/>
  <c r="AR317" i="2"/>
  <c r="AR318" i="2"/>
  <c r="AR319" i="2"/>
  <c r="AR320" i="2"/>
  <c r="AR321" i="2"/>
  <c r="AR325" i="2"/>
  <c r="AR326" i="2"/>
  <c r="AR329" i="2"/>
  <c r="AR330" i="2"/>
  <c r="AR331" i="2"/>
  <c r="AR332" i="2"/>
  <c r="AR334" i="2"/>
  <c r="AR337" i="2"/>
  <c r="AR338" i="2"/>
  <c r="AR339" i="2"/>
  <c r="AR340" i="2"/>
  <c r="AR341" i="2"/>
  <c r="AR343" i="2"/>
  <c r="AR344" i="2"/>
  <c r="AR347" i="2"/>
  <c r="AR348" i="2"/>
  <c r="AR349" i="2"/>
  <c r="AR350" i="2"/>
  <c r="AR351" i="2"/>
  <c r="AR352" i="2"/>
  <c r="AR353" i="2"/>
  <c r="AR354" i="2"/>
  <c r="AR356" i="2"/>
  <c r="AR357" i="2"/>
  <c r="AR358" i="2"/>
  <c r="AR359" i="2"/>
  <c r="AR361" i="2"/>
  <c r="AR362" i="2"/>
  <c r="AR363" i="2"/>
  <c r="AR364" i="2"/>
  <c r="AR365" i="2"/>
  <c r="AR366" i="2"/>
  <c r="AR367" i="2"/>
  <c r="AR368" i="2"/>
  <c r="AR369" i="2"/>
  <c r="AR370" i="2"/>
  <c r="AR371" i="2"/>
  <c r="AR372" i="2"/>
  <c r="AR373" i="2"/>
  <c r="AR374" i="2"/>
  <c r="AR375" i="2"/>
  <c r="AR376" i="2"/>
  <c r="AR377" i="2"/>
  <c r="AR378" i="2"/>
  <c r="AR379" i="2"/>
  <c r="AR380" i="2"/>
  <c r="AR381" i="2"/>
  <c r="AR382" i="2"/>
  <c r="AR383" i="2"/>
  <c r="AR384" i="2"/>
  <c r="AR385" i="2"/>
  <c r="AR386" i="2"/>
  <c r="AR387" i="2"/>
  <c r="AR388" i="2"/>
  <c r="AR389" i="2"/>
  <c r="AR390" i="2"/>
  <c r="AR391" i="2"/>
  <c r="AR392" i="2"/>
  <c r="AR393" i="2"/>
  <c r="AR394" i="2"/>
  <c r="AR395" i="2"/>
  <c r="AR396" i="2"/>
  <c r="AR397" i="2"/>
  <c r="AR398" i="2"/>
  <c r="AR399" i="2"/>
  <c r="AR400" i="2"/>
  <c r="AR401" i="2"/>
  <c r="AR402" i="2"/>
  <c r="AR403" i="2"/>
  <c r="AR404" i="2"/>
  <c r="AR405" i="2"/>
  <c r="AR406" i="2"/>
  <c r="AR407" i="2"/>
  <c r="AR408" i="2"/>
  <c r="AR409" i="2"/>
  <c r="AR410" i="2"/>
  <c r="AR411" i="2"/>
  <c r="AR412" i="2"/>
  <c r="AR413" i="2"/>
  <c r="AR414" i="2"/>
  <c r="AR415" i="2"/>
  <c r="AR416" i="2"/>
  <c r="AR417" i="2"/>
  <c r="AR418" i="2"/>
  <c r="AR419" i="2"/>
  <c r="AR420" i="2"/>
  <c r="AR421" i="2"/>
  <c r="AR422" i="2"/>
  <c r="AR423" i="2"/>
  <c r="AR424" i="2"/>
  <c r="AR425" i="2"/>
  <c r="AR426" i="2"/>
  <c r="AR427" i="2"/>
  <c r="AR428" i="2"/>
  <c r="AR429" i="2"/>
  <c r="AR430" i="2"/>
  <c r="AR431" i="2"/>
  <c r="AR432" i="2"/>
  <c r="AR433" i="2"/>
  <c r="AR434" i="2"/>
  <c r="AR435" i="2"/>
  <c r="AR436" i="2"/>
  <c r="AR437" i="2"/>
  <c r="AR438" i="2"/>
  <c r="AR439" i="2"/>
  <c r="AR440" i="2"/>
  <c r="AR441" i="2"/>
  <c r="AR442" i="2"/>
  <c r="AR443" i="2"/>
  <c r="AR444" i="2"/>
  <c r="AR445" i="2"/>
  <c r="AR446" i="2"/>
  <c r="AR447" i="2"/>
  <c r="AR448" i="2"/>
  <c r="AR449" i="2"/>
  <c r="AR450" i="2"/>
  <c r="AR451" i="2"/>
  <c r="AR452" i="2"/>
  <c r="AR453" i="2"/>
  <c r="AR454" i="2"/>
  <c r="AR455" i="2"/>
  <c r="AR456" i="2"/>
  <c r="AR457" i="2"/>
  <c r="AR458" i="2"/>
  <c r="AR459" i="2"/>
  <c r="AR460" i="2"/>
  <c r="AR461" i="2"/>
  <c r="AR462" i="2"/>
  <c r="AR463" i="2"/>
  <c r="AR464" i="2"/>
  <c r="AR466" i="2"/>
  <c r="AR467" i="2"/>
  <c r="AR468" i="2"/>
  <c r="AR469" i="2"/>
  <c r="AR470" i="2"/>
  <c r="AR471" i="2"/>
  <c r="AR472" i="2"/>
  <c r="AR473" i="2"/>
  <c r="AR474" i="2"/>
  <c r="AR475" i="2"/>
  <c r="AR476" i="2"/>
  <c r="AR478" i="2"/>
  <c r="AR484" i="2"/>
  <c r="AR487" i="2"/>
  <c r="AR490" i="2"/>
  <c r="AR494" i="2"/>
  <c r="AR495" i="2"/>
  <c r="AR496" i="2"/>
  <c r="AR497" i="2"/>
  <c r="AR500" i="2"/>
  <c r="AR110" i="2"/>
  <c r="AR258" i="2"/>
  <c r="AR269" i="2"/>
  <c r="AR355" i="2"/>
  <c r="AR194" i="2"/>
  <c r="AQ194" i="2"/>
  <c r="AQ324" i="2"/>
  <c r="AQ308" i="2"/>
  <c r="AQ163" i="2"/>
  <c r="AQ86" i="2"/>
  <c r="AQ25" i="2"/>
  <c r="AQ169" i="2"/>
  <c r="AQ241" i="2"/>
  <c r="AQ480" i="2"/>
  <c r="AQ479" i="2"/>
  <c r="AQ267" i="2"/>
  <c r="AQ20" i="2"/>
  <c r="AQ112" i="2"/>
  <c r="AP355" i="2"/>
  <c r="AP269" i="2"/>
  <c r="AP500" i="2"/>
  <c r="AP497" i="2"/>
  <c r="AP496" i="2"/>
  <c r="AP495" i="2"/>
  <c r="AP494" i="2"/>
  <c r="AP490" i="2"/>
  <c r="AP487" i="2"/>
  <c r="AP484" i="2"/>
  <c r="AP478" i="2"/>
  <c r="AP476" i="2"/>
  <c r="AP475" i="2"/>
  <c r="AP474" i="2"/>
  <c r="AP473" i="2"/>
  <c r="AP472" i="2"/>
  <c r="AP471" i="2"/>
  <c r="AP470" i="2"/>
  <c r="AP469" i="2"/>
  <c r="AP468" i="2"/>
  <c r="AP467" i="2"/>
  <c r="AP466" i="2"/>
  <c r="AP464" i="2"/>
  <c r="AP463" i="2"/>
  <c r="AP462" i="2"/>
  <c r="AP461" i="2"/>
  <c r="AP460" i="2"/>
  <c r="AP459" i="2"/>
  <c r="AP458" i="2"/>
  <c r="AP457" i="2"/>
  <c r="AP456" i="2"/>
  <c r="AP455" i="2"/>
  <c r="AP454" i="2"/>
  <c r="AP453" i="2"/>
  <c r="AP452" i="2"/>
  <c r="AP451" i="2"/>
  <c r="AP450" i="2"/>
  <c r="AP449" i="2"/>
  <c r="AP448" i="2"/>
  <c r="AP447" i="2"/>
  <c r="AP446" i="2"/>
  <c r="AP445" i="2"/>
  <c r="AP444" i="2"/>
  <c r="AP443" i="2"/>
  <c r="AP442" i="2"/>
  <c r="AP441" i="2"/>
  <c r="AP440" i="2"/>
  <c r="AP439" i="2"/>
  <c r="AP438" i="2"/>
  <c r="AP437" i="2"/>
  <c r="AP436" i="2"/>
  <c r="AP435" i="2"/>
  <c r="AP434" i="2"/>
  <c r="AP433" i="2"/>
  <c r="AP432" i="2"/>
  <c r="AP431" i="2"/>
  <c r="AP430" i="2"/>
  <c r="AP429" i="2"/>
  <c r="AP428" i="2"/>
  <c r="AP427" i="2"/>
  <c r="AP426" i="2"/>
  <c r="AP425" i="2"/>
  <c r="AP424" i="2"/>
  <c r="AP423" i="2"/>
  <c r="AP422" i="2"/>
  <c r="AP421" i="2"/>
  <c r="AP420" i="2"/>
  <c r="AP419" i="2"/>
  <c r="AP418" i="2"/>
  <c r="AP417" i="2"/>
  <c r="AP416" i="2"/>
  <c r="AP415" i="2"/>
  <c r="AP414" i="2"/>
  <c r="AP413" i="2"/>
  <c r="AP412" i="2"/>
  <c r="AP411" i="2"/>
  <c r="AP410" i="2"/>
  <c r="AP409" i="2"/>
  <c r="AP408" i="2"/>
  <c r="AP407" i="2"/>
  <c r="AP406" i="2"/>
  <c r="AP405" i="2"/>
  <c r="AP404" i="2"/>
  <c r="AP403" i="2"/>
  <c r="AP402" i="2"/>
  <c r="AP401" i="2"/>
  <c r="AP400" i="2"/>
  <c r="AP399" i="2"/>
  <c r="AP398" i="2"/>
  <c r="AP397" i="2"/>
  <c r="AP396" i="2"/>
  <c r="AP395" i="2"/>
  <c r="AP394" i="2"/>
  <c r="AP393" i="2"/>
  <c r="AP392" i="2"/>
  <c r="AP391" i="2"/>
  <c r="AP390" i="2"/>
  <c r="AP389" i="2"/>
  <c r="AP388" i="2"/>
  <c r="AP387" i="2"/>
  <c r="AP386" i="2"/>
  <c r="AP385" i="2"/>
  <c r="AP384" i="2"/>
  <c r="AP383" i="2"/>
  <c r="AP382" i="2"/>
  <c r="AP381" i="2"/>
  <c r="AP380" i="2"/>
  <c r="AP379" i="2"/>
  <c r="AP378" i="2"/>
  <c r="AP377" i="2"/>
  <c r="AP376" i="2"/>
  <c r="AP375" i="2"/>
  <c r="AP374" i="2"/>
  <c r="AP373" i="2"/>
  <c r="AP372" i="2"/>
  <c r="AP371" i="2"/>
  <c r="AP370" i="2"/>
  <c r="AP369" i="2"/>
  <c r="AP368" i="2"/>
  <c r="AP367" i="2"/>
  <c r="AP366" i="2"/>
  <c r="AP365" i="2"/>
  <c r="AP364" i="2"/>
  <c r="AP363" i="2"/>
  <c r="AP362" i="2"/>
  <c r="AP361" i="2"/>
  <c r="AP359" i="2"/>
  <c r="AP358" i="2"/>
  <c r="AP357" i="2"/>
  <c r="AP356" i="2"/>
  <c r="AP354" i="2"/>
  <c r="AP353" i="2"/>
  <c r="AP352" i="2"/>
  <c r="AP351" i="2"/>
  <c r="AP350" i="2"/>
  <c r="AP349" i="2"/>
  <c r="AP348" i="2"/>
  <c r="AP347" i="2"/>
  <c r="AP344" i="2"/>
  <c r="AP343" i="2"/>
  <c r="AP341" i="2"/>
  <c r="AP340" i="2"/>
  <c r="AP339" i="2"/>
  <c r="AP338" i="2"/>
  <c r="AP337" i="2"/>
  <c r="AP334" i="2"/>
  <c r="AP332" i="2"/>
  <c r="AP331" i="2"/>
  <c r="AP330" i="2"/>
  <c r="AP329" i="2"/>
  <c r="AP326" i="2"/>
  <c r="AP325" i="2"/>
  <c r="AP321" i="2"/>
  <c r="AP320" i="2"/>
  <c r="AP319" i="2"/>
  <c r="AP318" i="2"/>
  <c r="AP317" i="2"/>
  <c r="AP316" i="2"/>
  <c r="AP315" i="2"/>
  <c r="AP313" i="2"/>
  <c r="AP312" i="2"/>
  <c r="AP311" i="2"/>
  <c r="AP310" i="2"/>
  <c r="AP309" i="2"/>
  <c r="AP307" i="2"/>
  <c r="AP306" i="2"/>
  <c r="AP302" i="2"/>
  <c r="AP300" i="2"/>
  <c r="AP297" i="2"/>
  <c r="AP296" i="2"/>
  <c r="AP293" i="2"/>
  <c r="AP292" i="2"/>
  <c r="AP291" i="2"/>
  <c r="AP288" i="2"/>
  <c r="AP286" i="2"/>
  <c r="AP285" i="2"/>
  <c r="AP284" i="2"/>
  <c r="AP280" i="2"/>
  <c r="AP277" i="2"/>
  <c r="AP276" i="2"/>
  <c r="AP268" i="2"/>
  <c r="AP266" i="2"/>
  <c r="AP265" i="2"/>
  <c r="AP264" i="2"/>
  <c r="AP263" i="2"/>
  <c r="AP262" i="2"/>
  <c r="AP261" i="2"/>
  <c r="AP260" i="2"/>
  <c r="AP259" i="2"/>
  <c r="AP257" i="2"/>
  <c r="AP255" i="2"/>
  <c r="AP254" i="2"/>
  <c r="AP253" i="2"/>
  <c r="AP252" i="2"/>
  <c r="AP249" i="2"/>
  <c r="AP246" i="2"/>
  <c r="AP245" i="2"/>
  <c r="AP244" i="2"/>
  <c r="AP243" i="2"/>
  <c r="AP239" i="2"/>
  <c r="AP237" i="2"/>
  <c r="AP236" i="2"/>
  <c r="AP235" i="2"/>
  <c r="AP233" i="2"/>
  <c r="AP228" i="2"/>
  <c r="AP227" i="2"/>
  <c r="AP226" i="2"/>
  <c r="AP225" i="2"/>
  <c r="AP224" i="2"/>
  <c r="AP221" i="2"/>
  <c r="AP220" i="2"/>
  <c r="AP219" i="2"/>
  <c r="AP218" i="2"/>
  <c r="AP217" i="2"/>
  <c r="AP212" i="2"/>
  <c r="AP211" i="2"/>
  <c r="AP209" i="2"/>
  <c r="AP208" i="2"/>
  <c r="AP207" i="2"/>
  <c r="AP203" i="2"/>
  <c r="AP200" i="2"/>
  <c r="AP197" i="2"/>
  <c r="AP192" i="2"/>
  <c r="AP191" i="2"/>
  <c r="AP189" i="2"/>
  <c r="AP188" i="2"/>
  <c r="AP187" i="2"/>
  <c r="AP186" i="2"/>
  <c r="AP185" i="2"/>
  <c r="AP184" i="2"/>
  <c r="AP183" i="2"/>
  <c r="AP182" i="2"/>
  <c r="AP181" i="2"/>
  <c r="AP180" i="2"/>
  <c r="AP179" i="2"/>
  <c r="AP178" i="2"/>
  <c r="AP177" i="2"/>
  <c r="AP175" i="2"/>
  <c r="AP174" i="2"/>
  <c r="AP173" i="2"/>
  <c r="AP167" i="2"/>
  <c r="AP166" i="2"/>
  <c r="AP161" i="2"/>
  <c r="AP160" i="2"/>
  <c r="AP159" i="2"/>
  <c r="AP158" i="2"/>
  <c r="AP157" i="2"/>
  <c r="AP154" i="2"/>
  <c r="AP153" i="2"/>
  <c r="AP152" i="2"/>
  <c r="AP149" i="2"/>
  <c r="AP148" i="2"/>
  <c r="AP147" i="2"/>
  <c r="AP146" i="2"/>
  <c r="AP143" i="2"/>
  <c r="AP140" i="2"/>
  <c r="AP138" i="2"/>
  <c r="AP137" i="2"/>
  <c r="AP135" i="2"/>
  <c r="AP133" i="2"/>
  <c r="AP131" i="2"/>
  <c r="AP130" i="2"/>
  <c r="AP126" i="2"/>
  <c r="AP125" i="2"/>
  <c r="AP124" i="2"/>
  <c r="AP122" i="2"/>
  <c r="AP121" i="2"/>
  <c r="AP120" i="2"/>
  <c r="AP118" i="2"/>
  <c r="AP117" i="2"/>
  <c r="AP105" i="2"/>
  <c r="AP103" i="2"/>
  <c r="AP101" i="2"/>
  <c r="AP100" i="2"/>
  <c r="AP99" i="2"/>
  <c r="AP98" i="2"/>
  <c r="AP95" i="2"/>
  <c r="AP94" i="2"/>
  <c r="AP93" i="2"/>
  <c r="AP92" i="2"/>
  <c r="AP89" i="2"/>
  <c r="AP88" i="2"/>
  <c r="AP87" i="2"/>
  <c r="AP85" i="2"/>
  <c r="AP83" i="2"/>
  <c r="AP81" i="2"/>
  <c r="AP78" i="2"/>
  <c r="AP77" i="2"/>
  <c r="AP76" i="2"/>
  <c r="AP75" i="2"/>
  <c r="AP74" i="2"/>
  <c r="AP73" i="2"/>
  <c r="AP72" i="2"/>
  <c r="AP71" i="2"/>
  <c r="AP70" i="2"/>
  <c r="AP69" i="2"/>
  <c r="AP68" i="2"/>
  <c r="AP67" i="2"/>
  <c r="AP66" i="2"/>
  <c r="AP65" i="2"/>
  <c r="AP64" i="2"/>
  <c r="AP63" i="2"/>
  <c r="AP58" i="2"/>
  <c r="AP57" i="2"/>
  <c r="AP56" i="2"/>
  <c r="AP55" i="2"/>
  <c r="AP54" i="2"/>
  <c r="AP48" i="2"/>
  <c r="AP35" i="2"/>
  <c r="AP34" i="2"/>
  <c r="AP33" i="2"/>
  <c r="AP32" i="2"/>
  <c r="AP31" i="2"/>
  <c r="AP30" i="2"/>
  <c r="AP29" i="2"/>
  <c r="AP28" i="2"/>
  <c r="AP27" i="2"/>
  <c r="AP24" i="2"/>
  <c r="AP22" i="2"/>
  <c r="AP21" i="2"/>
  <c r="AP18" i="2"/>
  <c r="AP17" i="2"/>
  <c r="AP14" i="2"/>
  <c r="AP13" i="2"/>
  <c r="AP12" i="2"/>
  <c r="AP11" i="2"/>
  <c r="AP10" i="2"/>
  <c r="AP216" i="2"/>
  <c r="AP139" i="2"/>
  <c r="AP141" i="2"/>
  <c r="AP327" i="2"/>
  <c r="AP51" i="2"/>
  <c r="AP82" i="2"/>
  <c r="AP215" i="2"/>
  <c r="AP287" i="2"/>
  <c r="AP336" i="2"/>
  <c r="AP488" i="2"/>
  <c r="AP210" i="2"/>
  <c r="AP90" i="2"/>
  <c r="AP342" i="2"/>
  <c r="AP481" i="2"/>
  <c r="AP119" i="2"/>
  <c r="AP162" i="2"/>
  <c r="AP489" i="2"/>
  <c r="AP41" i="2"/>
  <c r="AP289" i="2"/>
  <c r="AP150" i="2"/>
  <c r="AP346" i="2"/>
  <c r="AP38" i="2"/>
  <c r="AP328" i="2"/>
  <c r="AP234" i="2"/>
  <c r="AP196" i="2"/>
  <c r="AP256" i="2"/>
  <c r="AP50" i="2"/>
  <c r="AP155" i="2"/>
  <c r="AP39" i="2"/>
  <c r="AP37" i="2"/>
  <c r="AP53" i="2"/>
  <c r="AP477" i="2"/>
  <c r="AP36" i="2"/>
  <c r="AP242" i="2"/>
  <c r="AP97" i="2"/>
  <c r="AP465" i="2"/>
  <c r="AP333" i="2"/>
  <c r="AP80" i="2"/>
  <c r="AP47" i="2"/>
  <c r="AP190" i="2"/>
  <c r="AP482" i="2"/>
  <c r="AP52" i="2"/>
  <c r="AP62" i="2"/>
  <c r="AP144" i="2"/>
  <c r="AP281" i="2"/>
  <c r="AP230" i="2"/>
  <c r="AP486" i="2"/>
  <c r="AP199" i="2"/>
  <c r="AP238" i="2"/>
  <c r="AP360" i="2"/>
  <c r="AP290" i="2"/>
  <c r="AP314" i="2"/>
  <c r="AP202" i="2"/>
  <c r="AP145" i="2"/>
  <c r="AP294" i="2"/>
  <c r="AP491" i="2"/>
  <c r="AP59" i="2"/>
  <c r="AP278" i="2"/>
  <c r="AP164" i="2"/>
  <c r="AP283" i="2"/>
  <c r="AP229" i="2"/>
  <c r="AP201" i="2"/>
  <c r="AP250" i="2"/>
  <c r="AP193" i="2"/>
  <c r="AP44" i="2"/>
  <c r="AP270" i="2"/>
  <c r="AP301" i="2"/>
  <c r="AP275" i="2"/>
  <c r="AP295" i="2"/>
  <c r="AP49" i="2"/>
  <c r="AP165" i="2"/>
  <c r="AP223" i="2"/>
  <c r="AP156" i="2"/>
  <c r="AP206" i="2"/>
  <c r="AP8" i="2"/>
  <c r="AP213" i="2"/>
  <c r="AP248" i="2"/>
  <c r="AP303" i="2"/>
  <c r="AP231" i="2"/>
  <c r="AP46" i="2"/>
  <c r="AP107" i="2"/>
  <c r="AP232" i="2"/>
  <c r="AP205" i="2"/>
  <c r="AP299" i="2"/>
  <c r="AP170" i="2"/>
  <c r="AP132" i="2"/>
  <c r="AP60" i="2"/>
  <c r="AP104" i="2"/>
  <c r="AP222" i="2"/>
  <c r="AP168" i="2"/>
  <c r="AP323" i="2"/>
  <c r="AQ323" i="2"/>
  <c r="AP305" i="2"/>
  <c r="AP16" i="2"/>
  <c r="AP492" i="2"/>
  <c r="AQ492" i="2"/>
  <c r="AP195" i="2"/>
  <c r="AP240" i="2"/>
  <c r="AP116" i="2"/>
  <c r="AP198" i="2"/>
  <c r="AP282" i="2"/>
  <c r="AP345" i="2"/>
  <c r="AP113" i="2"/>
  <c r="AP493" i="2"/>
  <c r="AP109" i="2"/>
  <c r="AP251" i="2"/>
  <c r="AP274" i="2"/>
  <c r="AQ274" i="2"/>
  <c r="AP45" i="2"/>
  <c r="AQ45" i="2"/>
  <c r="AP335" i="2"/>
  <c r="AP106" i="2"/>
  <c r="AP108" i="2"/>
  <c r="AP142" i="2"/>
  <c r="AP102" i="2"/>
  <c r="AP304" i="2"/>
  <c r="AP322" i="2"/>
  <c r="AP61" i="2"/>
  <c r="AQ61" i="2"/>
  <c r="AP483" i="2"/>
  <c r="AQ483" i="2"/>
  <c r="AP485" i="2"/>
  <c r="AP298" i="2"/>
  <c r="AQ298" i="2"/>
  <c r="AP176" i="2"/>
  <c r="AQ176" i="2"/>
  <c r="AP172" i="2"/>
  <c r="AE43" i="1"/>
  <c r="Q502" i="1"/>
  <c r="T502" i="1"/>
  <c r="X502" i="1"/>
  <c r="W502" i="1"/>
  <c r="AA502" i="1"/>
  <c r="AB495" i="1"/>
  <c r="AB494" i="1"/>
  <c r="AB490" i="1"/>
  <c r="AA490" i="1"/>
  <c r="Z490" i="1"/>
  <c r="AE490" i="1"/>
  <c r="V490" i="1"/>
  <c r="AA488" i="1"/>
  <c r="W489" i="1"/>
  <c r="U489" i="1"/>
  <c r="T489" i="1"/>
  <c r="T483" i="1"/>
  <c r="S483" i="1"/>
  <c r="R483" i="1"/>
  <c r="Q483" i="1"/>
  <c r="T482" i="1"/>
  <c r="Y481" i="1"/>
  <c r="AA487" i="1"/>
  <c r="U488" i="1"/>
  <c r="X488" i="1"/>
  <c r="S457" i="1"/>
  <c r="T462" i="1"/>
  <c r="S462" i="1"/>
  <c r="Q462" i="1"/>
  <c r="Y381" i="1"/>
  <c r="Q357" i="1"/>
  <c r="AA357" i="1"/>
  <c r="AB342" i="1"/>
  <c r="AA342" i="1"/>
  <c r="Z342" i="1"/>
  <c r="Y342" i="1"/>
  <c r="S332" i="1"/>
  <c r="AA332" i="1"/>
  <c r="Z332" i="1"/>
  <c r="W332" i="1"/>
  <c r="W330" i="1"/>
  <c r="AE330" i="1"/>
  <c r="U330" i="1"/>
  <c r="T330" i="1"/>
  <c r="R330" i="1"/>
  <c r="Q330" i="1"/>
  <c r="W321" i="1"/>
  <c r="Q319" i="1"/>
  <c r="Q321" i="1"/>
  <c r="AB321" i="1"/>
  <c r="Z305" i="1"/>
  <c r="W305" i="1"/>
  <c r="V305" i="1"/>
  <c r="T305" i="1"/>
  <c r="R305" i="1"/>
  <c r="Q305" i="1"/>
  <c r="V302" i="1"/>
  <c r="S302" i="1"/>
  <c r="W278" i="1"/>
  <c r="V278" i="1"/>
  <c r="AA272" i="1"/>
  <c r="Z272" i="1"/>
  <c r="Y272" i="1"/>
  <c r="X272" i="1"/>
  <c r="AE272" i="1"/>
  <c r="X267" i="1"/>
  <c r="AA239" i="1"/>
  <c r="Q239" i="1"/>
  <c r="T238" i="1"/>
  <c r="W238" i="1"/>
  <c r="T212" i="1"/>
  <c r="T207" i="1"/>
  <c r="S201" i="1"/>
  <c r="Q191" i="1"/>
  <c r="Q195" i="1"/>
  <c r="X196" i="1"/>
  <c r="AB191" i="1"/>
  <c r="AE191" i="1"/>
  <c r="Q173" i="1"/>
  <c r="T167" i="1"/>
  <c r="V166" i="1"/>
  <c r="W168" i="1"/>
  <c r="AA168" i="1"/>
  <c r="AA166" i="1"/>
  <c r="W165" i="1"/>
  <c r="AE165" i="1"/>
  <c r="T165" i="1"/>
  <c r="R165" i="1"/>
  <c r="Q150" i="1"/>
  <c r="Y148" i="1"/>
  <c r="W147" i="1"/>
  <c r="T141" i="1"/>
  <c r="Q139" i="1"/>
  <c r="AB129" i="1"/>
  <c r="AA129" i="1"/>
  <c r="AE129" i="1"/>
  <c r="Z129" i="1"/>
  <c r="T118" i="1"/>
  <c r="AA112" i="1"/>
  <c r="Q104" i="1"/>
  <c r="R102" i="1"/>
  <c r="Y101" i="1"/>
  <c r="S99" i="1"/>
  <c r="Q83" i="1"/>
  <c r="AA83" i="1"/>
  <c r="Z57" i="1"/>
  <c r="AA49" i="1"/>
  <c r="Y49" i="1"/>
  <c r="T49" i="1"/>
  <c r="X46" i="1"/>
  <c r="W43" i="1"/>
  <c r="V43" i="1"/>
  <c r="U43" i="1"/>
  <c r="Q35" i="1"/>
  <c r="T33" i="1"/>
  <c r="R33" i="1"/>
  <c r="AB22" i="1"/>
  <c r="AE22" i="1"/>
  <c r="R6" i="1"/>
  <c r="T9" i="1"/>
  <c r="AA9" i="1"/>
  <c r="AB9" i="1"/>
  <c r="AE9" i="1"/>
  <c r="AE511" i="1"/>
  <c r="AE3" i="1"/>
  <c r="AE4" i="1"/>
  <c r="AE5" i="1"/>
  <c r="AE6" i="1"/>
  <c r="AE7" i="1"/>
  <c r="AE8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4" i="1"/>
  <c r="AE45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7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9" i="1"/>
  <c r="AE270" i="1"/>
  <c r="AE271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3" i="1"/>
  <c r="AE304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2" i="1"/>
  <c r="AE323" i="1"/>
  <c r="AE324" i="1"/>
  <c r="AE325" i="1"/>
  <c r="AE326" i="1"/>
  <c r="AE327" i="1"/>
  <c r="AE328" i="1"/>
  <c r="AE329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7" i="1"/>
  <c r="AE478" i="1"/>
  <c r="AE479" i="1"/>
  <c r="AE480" i="1"/>
  <c r="AE481" i="1"/>
  <c r="AE482" i="1"/>
  <c r="AE484" i="1"/>
  <c r="AE485" i="1"/>
  <c r="AE486" i="1"/>
  <c r="AE487" i="1"/>
  <c r="AE491" i="1"/>
  <c r="AE493" i="1"/>
  <c r="AE496" i="1"/>
  <c r="AE497" i="1"/>
  <c r="AE498" i="1"/>
  <c r="AE499" i="1"/>
  <c r="AE500" i="1"/>
  <c r="AE501" i="1"/>
  <c r="AE503" i="1"/>
  <c r="AE504" i="1"/>
  <c r="AE505" i="1"/>
  <c r="AE506" i="1"/>
  <c r="AE507" i="1"/>
  <c r="AE508" i="1"/>
  <c r="AE509" i="1"/>
  <c r="AE512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9" i="1"/>
  <c r="AE2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  <c r="AQ106" i="2"/>
  <c r="AQ495" i="2"/>
  <c r="AQ384" i="2"/>
  <c r="AQ49" i="2"/>
  <c r="AQ205" i="2"/>
  <c r="AQ195" i="2"/>
  <c r="AQ240" i="2"/>
  <c r="AQ198" i="2"/>
  <c r="AQ282" i="2"/>
  <c r="AQ345" i="2"/>
  <c r="AQ113" i="2"/>
  <c r="AQ251" i="2"/>
  <c r="AQ108" i="2"/>
  <c r="AQ142" i="2"/>
  <c r="AQ497" i="2"/>
  <c r="AQ309" i="2"/>
  <c r="AQ132" i="2"/>
  <c r="AQ304" i="2"/>
  <c r="AQ322" i="2"/>
  <c r="AQ109" i="2"/>
  <c r="BI355" i="2"/>
  <c r="BH355" i="2"/>
  <c r="AL355" i="2"/>
  <c r="AI355" i="2"/>
  <c r="AG355" i="2"/>
  <c r="O355" i="2"/>
  <c r="W355" i="2"/>
  <c r="M355" i="2"/>
  <c r="V355" i="2"/>
  <c r="K355" i="2"/>
  <c r="AI96" i="2"/>
  <c r="O96" i="2"/>
  <c r="W96" i="2"/>
  <c r="M96" i="2"/>
  <c r="N96" i="2"/>
  <c r="K96" i="2"/>
  <c r="L96" i="2"/>
  <c r="AI128" i="2"/>
  <c r="O128" i="2"/>
  <c r="W128" i="2"/>
  <c r="M128" i="2"/>
  <c r="K128" i="2"/>
  <c r="AI26" i="2"/>
  <c r="O26" i="2"/>
  <c r="W26" i="2"/>
  <c r="M26" i="2"/>
  <c r="AG26" i="2"/>
  <c r="K26" i="2"/>
  <c r="AI274" i="2"/>
  <c r="AG274" i="2"/>
  <c r="O274" i="2"/>
  <c r="W274" i="2"/>
  <c r="M274" i="2"/>
  <c r="K274" i="2"/>
  <c r="L274" i="2"/>
  <c r="AI272" i="2"/>
  <c r="O272" i="2"/>
  <c r="W272" i="2"/>
  <c r="M272" i="2"/>
  <c r="K272" i="2"/>
  <c r="AI271" i="2"/>
  <c r="O271" i="2"/>
  <c r="W271" i="2"/>
  <c r="M271" i="2"/>
  <c r="AG271" i="2"/>
  <c r="K271" i="2"/>
  <c r="AE271" i="2"/>
  <c r="BI269" i="2"/>
  <c r="BH269" i="2"/>
  <c r="AL269" i="2"/>
  <c r="AI269" i="2"/>
  <c r="AG269" i="2"/>
  <c r="O269" i="2"/>
  <c r="W269" i="2"/>
  <c r="M269" i="2"/>
  <c r="K269" i="2"/>
  <c r="AE269" i="2"/>
  <c r="AM269" i="2"/>
  <c r="BI258" i="2"/>
  <c r="BH258" i="2"/>
  <c r="AL258" i="2"/>
  <c r="AI258" i="2"/>
  <c r="O258" i="2"/>
  <c r="W258" i="2"/>
  <c r="M258" i="2"/>
  <c r="V258" i="2"/>
  <c r="K258" i="2"/>
  <c r="BI110" i="2"/>
  <c r="BH110" i="2"/>
  <c r="AL110" i="2"/>
  <c r="AI110" i="2"/>
  <c r="O110" i="2"/>
  <c r="W110" i="2"/>
  <c r="M110" i="2"/>
  <c r="K110" i="2"/>
  <c r="AE110" i="2"/>
  <c r="AI40" i="2"/>
  <c r="O40" i="2"/>
  <c r="W40" i="2"/>
  <c r="M40" i="2"/>
  <c r="K40" i="2"/>
  <c r="L40" i="2"/>
  <c r="AI20" i="2"/>
  <c r="O20" i="2"/>
  <c r="W20" i="2"/>
  <c r="M20" i="2"/>
  <c r="K20" i="2"/>
  <c r="AE20" i="2"/>
  <c r="BI500" i="2"/>
  <c r="BH500" i="2"/>
  <c r="AL500" i="2"/>
  <c r="AI500" i="2"/>
  <c r="AG500" i="2"/>
  <c r="O500" i="2"/>
  <c r="W500" i="2"/>
  <c r="M500" i="2"/>
  <c r="V500" i="2"/>
  <c r="K500" i="2"/>
  <c r="BI497" i="2"/>
  <c r="BH497" i="2"/>
  <c r="AL497" i="2"/>
  <c r="AI497" i="2"/>
  <c r="AG497" i="2"/>
  <c r="O497" i="2"/>
  <c r="W497" i="2"/>
  <c r="M497" i="2"/>
  <c r="V497" i="2"/>
  <c r="K497" i="2"/>
  <c r="BI496" i="2"/>
  <c r="BH496" i="2"/>
  <c r="AL496" i="2"/>
  <c r="AI496" i="2"/>
  <c r="AG496" i="2"/>
  <c r="O496" i="2"/>
  <c r="W496" i="2"/>
  <c r="M496" i="2"/>
  <c r="V496" i="2"/>
  <c r="K496" i="2"/>
  <c r="BI495" i="2"/>
  <c r="BH495" i="2"/>
  <c r="AL495" i="2"/>
  <c r="AI495" i="2"/>
  <c r="AG495" i="2"/>
  <c r="O495" i="2"/>
  <c r="W495" i="2"/>
  <c r="M495" i="2"/>
  <c r="V495" i="2"/>
  <c r="K495" i="2"/>
  <c r="BI494" i="2"/>
  <c r="BH494" i="2"/>
  <c r="AL494" i="2"/>
  <c r="AI494" i="2"/>
  <c r="AG494" i="2"/>
  <c r="O494" i="2"/>
  <c r="W494" i="2"/>
  <c r="M494" i="2"/>
  <c r="V494" i="2"/>
  <c r="K494" i="2"/>
  <c r="AI493" i="2"/>
  <c r="AG493" i="2"/>
  <c r="O493" i="2"/>
  <c r="W493" i="2"/>
  <c r="M493" i="2"/>
  <c r="V493" i="2"/>
  <c r="K493" i="2"/>
  <c r="AI492" i="2"/>
  <c r="AG492" i="2"/>
  <c r="O492" i="2"/>
  <c r="W492" i="2"/>
  <c r="M492" i="2"/>
  <c r="V492" i="2"/>
  <c r="K492" i="2"/>
  <c r="AI491" i="2"/>
  <c r="AG491" i="2"/>
  <c r="O491" i="2"/>
  <c r="W491" i="2"/>
  <c r="M491" i="2"/>
  <c r="V491" i="2"/>
  <c r="K491" i="2"/>
  <c r="L491" i="2"/>
  <c r="BI490" i="2"/>
  <c r="BH490" i="2"/>
  <c r="AL490" i="2"/>
  <c r="AI490" i="2"/>
  <c r="AG490" i="2"/>
  <c r="O490" i="2"/>
  <c r="W490" i="2"/>
  <c r="M490" i="2"/>
  <c r="V490" i="2"/>
  <c r="K490" i="2"/>
  <c r="AI489" i="2"/>
  <c r="AG489" i="2"/>
  <c r="O489" i="2"/>
  <c r="W489" i="2"/>
  <c r="M489" i="2"/>
  <c r="V489" i="2"/>
  <c r="K489" i="2"/>
  <c r="AE489" i="2"/>
  <c r="AI488" i="2"/>
  <c r="AG488" i="2"/>
  <c r="O488" i="2"/>
  <c r="W488" i="2"/>
  <c r="M488" i="2"/>
  <c r="K488" i="2"/>
  <c r="U488" i="2"/>
  <c r="BI487" i="2"/>
  <c r="BH487" i="2"/>
  <c r="AL487" i="2"/>
  <c r="AI487" i="2"/>
  <c r="AG487" i="2"/>
  <c r="O487" i="2"/>
  <c r="W487" i="2"/>
  <c r="M487" i="2"/>
  <c r="V487" i="2"/>
  <c r="K487" i="2"/>
  <c r="AI486" i="2"/>
  <c r="AG486" i="2"/>
  <c r="O486" i="2"/>
  <c r="W486" i="2"/>
  <c r="M486" i="2"/>
  <c r="V486" i="2"/>
  <c r="K486" i="2"/>
  <c r="AI485" i="2"/>
  <c r="AG485" i="2"/>
  <c r="O485" i="2"/>
  <c r="W485" i="2"/>
  <c r="M485" i="2"/>
  <c r="V485" i="2"/>
  <c r="K485" i="2"/>
  <c r="L485" i="2"/>
  <c r="BI484" i="2"/>
  <c r="BH484" i="2"/>
  <c r="AL484" i="2"/>
  <c r="AI484" i="2"/>
  <c r="AG484" i="2"/>
  <c r="O484" i="2"/>
  <c r="W484" i="2"/>
  <c r="M484" i="2"/>
  <c r="V484" i="2"/>
  <c r="K484" i="2"/>
  <c r="U484" i="2"/>
  <c r="AI483" i="2"/>
  <c r="AG483" i="2"/>
  <c r="O483" i="2"/>
  <c r="M483" i="2"/>
  <c r="V483" i="2"/>
  <c r="K483" i="2"/>
  <c r="L483" i="2"/>
  <c r="AI482" i="2"/>
  <c r="AG482" i="2"/>
  <c r="O482" i="2"/>
  <c r="W482" i="2"/>
  <c r="M482" i="2"/>
  <c r="V482" i="2"/>
  <c r="K482" i="2"/>
  <c r="L482" i="2"/>
  <c r="AI481" i="2"/>
  <c r="AG481" i="2"/>
  <c r="O481" i="2"/>
  <c r="W481" i="2"/>
  <c r="M481" i="2"/>
  <c r="V481" i="2"/>
  <c r="K481" i="2"/>
  <c r="AI480" i="2"/>
  <c r="AG480" i="2"/>
  <c r="O480" i="2"/>
  <c r="W480" i="2"/>
  <c r="M480" i="2"/>
  <c r="K480" i="2"/>
  <c r="U480" i="2"/>
  <c r="AI479" i="2"/>
  <c r="AG479" i="2"/>
  <c r="O479" i="2"/>
  <c r="W479" i="2"/>
  <c r="M479" i="2"/>
  <c r="V479" i="2"/>
  <c r="K479" i="2"/>
  <c r="BI478" i="2"/>
  <c r="BH478" i="2"/>
  <c r="AL478" i="2"/>
  <c r="AI478" i="2"/>
  <c r="AG478" i="2"/>
  <c r="O478" i="2"/>
  <c r="W478" i="2"/>
  <c r="M478" i="2"/>
  <c r="V478" i="2"/>
  <c r="K478" i="2"/>
  <c r="U478" i="2"/>
  <c r="AI477" i="2"/>
  <c r="AG477" i="2"/>
  <c r="O477" i="2"/>
  <c r="W477" i="2"/>
  <c r="M477" i="2"/>
  <c r="V477" i="2"/>
  <c r="K477" i="2"/>
  <c r="L477" i="2"/>
  <c r="BI476" i="2"/>
  <c r="BH476" i="2"/>
  <c r="AL476" i="2"/>
  <c r="AI476" i="2"/>
  <c r="AG476" i="2"/>
  <c r="O476" i="2"/>
  <c r="W476" i="2"/>
  <c r="M476" i="2"/>
  <c r="V476" i="2"/>
  <c r="K476" i="2"/>
  <c r="BI475" i="2"/>
  <c r="BH475" i="2"/>
  <c r="AL475" i="2"/>
  <c r="AI475" i="2"/>
  <c r="AG475" i="2"/>
  <c r="O475" i="2"/>
  <c r="W475" i="2"/>
  <c r="M475" i="2"/>
  <c r="V475" i="2"/>
  <c r="K475" i="2"/>
  <c r="AE475" i="2"/>
  <c r="BI474" i="2"/>
  <c r="BH474" i="2"/>
  <c r="AL474" i="2"/>
  <c r="AI474" i="2"/>
  <c r="AG474" i="2"/>
  <c r="O474" i="2"/>
  <c r="W474" i="2"/>
  <c r="M474" i="2"/>
  <c r="V474" i="2"/>
  <c r="K474" i="2"/>
  <c r="BI473" i="2"/>
  <c r="BH473" i="2"/>
  <c r="AL473" i="2"/>
  <c r="AI473" i="2"/>
  <c r="AG473" i="2"/>
  <c r="O473" i="2"/>
  <c r="W473" i="2"/>
  <c r="M473" i="2"/>
  <c r="K473" i="2"/>
  <c r="U473" i="2"/>
  <c r="BI472" i="2"/>
  <c r="BH472" i="2"/>
  <c r="AL472" i="2"/>
  <c r="AI472" i="2"/>
  <c r="AG472" i="2"/>
  <c r="O472" i="2"/>
  <c r="W472" i="2"/>
  <c r="M472" i="2"/>
  <c r="V472" i="2"/>
  <c r="K472" i="2"/>
  <c r="BI471" i="2"/>
  <c r="BH471" i="2"/>
  <c r="AL471" i="2"/>
  <c r="AI471" i="2"/>
  <c r="AG471" i="2"/>
  <c r="O471" i="2"/>
  <c r="W471" i="2"/>
  <c r="M471" i="2"/>
  <c r="V471" i="2"/>
  <c r="K471" i="2"/>
  <c r="BI470" i="2"/>
  <c r="BH470" i="2"/>
  <c r="AL470" i="2"/>
  <c r="AI470" i="2"/>
  <c r="AG470" i="2"/>
  <c r="O470" i="2"/>
  <c r="W470" i="2"/>
  <c r="M470" i="2"/>
  <c r="V470" i="2"/>
  <c r="K470" i="2"/>
  <c r="U470" i="2"/>
  <c r="BI469" i="2"/>
  <c r="BH469" i="2"/>
  <c r="AL469" i="2"/>
  <c r="AI469" i="2"/>
  <c r="AG469" i="2"/>
  <c r="O469" i="2"/>
  <c r="W469" i="2"/>
  <c r="M469" i="2"/>
  <c r="K469" i="2"/>
  <c r="AE469" i="2"/>
  <c r="AM469" i="2"/>
  <c r="AN469" i="2"/>
  <c r="BI468" i="2"/>
  <c r="BH468" i="2"/>
  <c r="AL468" i="2"/>
  <c r="AI468" i="2"/>
  <c r="AG468" i="2"/>
  <c r="O468" i="2"/>
  <c r="M468" i="2"/>
  <c r="V468" i="2"/>
  <c r="K468" i="2"/>
  <c r="BI467" i="2"/>
  <c r="BH467" i="2"/>
  <c r="AL467" i="2"/>
  <c r="AI467" i="2"/>
  <c r="AG467" i="2"/>
  <c r="O467" i="2"/>
  <c r="W467" i="2"/>
  <c r="M467" i="2"/>
  <c r="V467" i="2"/>
  <c r="K467" i="2"/>
  <c r="BI466" i="2"/>
  <c r="BH466" i="2"/>
  <c r="AL466" i="2"/>
  <c r="AI466" i="2"/>
  <c r="AG466" i="2"/>
  <c r="O466" i="2"/>
  <c r="W466" i="2"/>
  <c r="M466" i="2"/>
  <c r="V466" i="2"/>
  <c r="K466" i="2"/>
  <c r="AE466" i="2"/>
  <c r="AI465" i="2"/>
  <c r="AG465" i="2"/>
  <c r="O465" i="2"/>
  <c r="M465" i="2"/>
  <c r="V465" i="2"/>
  <c r="K465" i="2"/>
  <c r="AE465" i="2"/>
  <c r="BI464" i="2"/>
  <c r="BH464" i="2"/>
  <c r="AL464" i="2"/>
  <c r="AI464" i="2"/>
  <c r="AG464" i="2"/>
  <c r="O464" i="2"/>
  <c r="W464" i="2"/>
  <c r="M464" i="2"/>
  <c r="V464" i="2"/>
  <c r="K464" i="2"/>
  <c r="BI463" i="2"/>
  <c r="BH463" i="2"/>
  <c r="AL463" i="2"/>
  <c r="AI463" i="2"/>
  <c r="AG463" i="2"/>
  <c r="O463" i="2"/>
  <c r="W463" i="2"/>
  <c r="M463" i="2"/>
  <c r="V463" i="2"/>
  <c r="K463" i="2"/>
  <c r="BI462" i="2"/>
  <c r="BH462" i="2"/>
  <c r="AL462" i="2"/>
  <c r="AI462" i="2"/>
  <c r="AG462" i="2"/>
  <c r="O462" i="2"/>
  <c r="W462" i="2"/>
  <c r="M462" i="2"/>
  <c r="V462" i="2"/>
  <c r="K462" i="2"/>
  <c r="BI461" i="2"/>
  <c r="BH461" i="2"/>
  <c r="AL461" i="2"/>
  <c r="AI461" i="2"/>
  <c r="AG461" i="2"/>
  <c r="O461" i="2"/>
  <c r="W461" i="2"/>
  <c r="M461" i="2"/>
  <c r="K461" i="2"/>
  <c r="AE461" i="2"/>
  <c r="AM461" i="2"/>
  <c r="BI460" i="2"/>
  <c r="BH460" i="2"/>
  <c r="AL460" i="2"/>
  <c r="AI460" i="2"/>
  <c r="AG460" i="2"/>
  <c r="O460" i="2"/>
  <c r="W460" i="2"/>
  <c r="M460" i="2"/>
  <c r="V460" i="2"/>
  <c r="K460" i="2"/>
  <c r="U460" i="2"/>
  <c r="BI459" i="2"/>
  <c r="BH459" i="2"/>
  <c r="AL459" i="2"/>
  <c r="AI459" i="2"/>
  <c r="AG459" i="2"/>
  <c r="O459" i="2"/>
  <c r="W459" i="2"/>
  <c r="M459" i="2"/>
  <c r="V459" i="2"/>
  <c r="K459" i="2"/>
  <c r="BI458" i="2"/>
  <c r="BH458" i="2"/>
  <c r="AL458" i="2"/>
  <c r="AI458" i="2"/>
  <c r="AG458" i="2"/>
  <c r="O458" i="2"/>
  <c r="W458" i="2"/>
  <c r="M458" i="2"/>
  <c r="V458" i="2"/>
  <c r="K458" i="2"/>
  <c r="BI457" i="2"/>
  <c r="BH457" i="2"/>
  <c r="AL457" i="2"/>
  <c r="AI457" i="2"/>
  <c r="AG457" i="2"/>
  <c r="O457" i="2"/>
  <c r="W457" i="2"/>
  <c r="M457" i="2"/>
  <c r="V457" i="2"/>
  <c r="K457" i="2"/>
  <c r="BI456" i="2"/>
  <c r="BH456" i="2"/>
  <c r="AL456" i="2"/>
  <c r="AI456" i="2"/>
  <c r="AG456" i="2"/>
  <c r="O456" i="2"/>
  <c r="M456" i="2"/>
  <c r="V456" i="2"/>
  <c r="K456" i="2"/>
  <c r="AE456" i="2"/>
  <c r="BI455" i="2"/>
  <c r="BH455" i="2"/>
  <c r="AL455" i="2"/>
  <c r="AI455" i="2"/>
  <c r="AG455" i="2"/>
  <c r="O455" i="2"/>
  <c r="W455" i="2"/>
  <c r="M455" i="2"/>
  <c r="V455" i="2"/>
  <c r="K455" i="2"/>
  <c r="BI454" i="2"/>
  <c r="BH454" i="2"/>
  <c r="AL454" i="2"/>
  <c r="AI454" i="2"/>
  <c r="AG454" i="2"/>
  <c r="O454" i="2"/>
  <c r="W454" i="2"/>
  <c r="M454" i="2"/>
  <c r="V454" i="2"/>
  <c r="K454" i="2"/>
  <c r="AE454" i="2"/>
  <c r="AM454" i="2"/>
  <c r="AN454" i="2"/>
  <c r="BI453" i="2"/>
  <c r="BH453" i="2"/>
  <c r="AL453" i="2"/>
  <c r="AI453" i="2"/>
  <c r="AG453" i="2"/>
  <c r="O453" i="2"/>
  <c r="W453" i="2"/>
  <c r="M453" i="2"/>
  <c r="V453" i="2"/>
  <c r="K453" i="2"/>
  <c r="BI452" i="2"/>
  <c r="BH452" i="2"/>
  <c r="AL452" i="2"/>
  <c r="AI452" i="2"/>
  <c r="AG452" i="2"/>
  <c r="O452" i="2"/>
  <c r="W452" i="2"/>
  <c r="M452" i="2"/>
  <c r="V452" i="2"/>
  <c r="K452" i="2"/>
  <c r="AE452" i="2"/>
  <c r="BI451" i="2"/>
  <c r="BH451" i="2"/>
  <c r="AL451" i="2"/>
  <c r="AI451" i="2"/>
  <c r="AG451" i="2"/>
  <c r="O451" i="2"/>
  <c r="W451" i="2"/>
  <c r="M451" i="2"/>
  <c r="V451" i="2"/>
  <c r="K451" i="2"/>
  <c r="AE451" i="2"/>
  <c r="BI450" i="2"/>
  <c r="BH450" i="2"/>
  <c r="AL450" i="2"/>
  <c r="AI450" i="2"/>
  <c r="AG450" i="2"/>
  <c r="O450" i="2"/>
  <c r="W450" i="2"/>
  <c r="M450" i="2"/>
  <c r="V450" i="2"/>
  <c r="K450" i="2"/>
  <c r="BI449" i="2"/>
  <c r="BH449" i="2"/>
  <c r="AL449" i="2"/>
  <c r="AI449" i="2"/>
  <c r="AG449" i="2"/>
  <c r="O449" i="2"/>
  <c r="W449" i="2"/>
  <c r="M449" i="2"/>
  <c r="V449" i="2"/>
  <c r="K449" i="2"/>
  <c r="AE449" i="2"/>
  <c r="BI448" i="2"/>
  <c r="BH448" i="2"/>
  <c r="AL448" i="2"/>
  <c r="AI448" i="2"/>
  <c r="AG448" i="2"/>
  <c r="O448" i="2"/>
  <c r="W448" i="2"/>
  <c r="M448" i="2"/>
  <c r="V448" i="2"/>
  <c r="K448" i="2"/>
  <c r="U448" i="2"/>
  <c r="BI447" i="2"/>
  <c r="BH447" i="2"/>
  <c r="AL447" i="2"/>
  <c r="AI447" i="2"/>
  <c r="AG447" i="2"/>
  <c r="O447" i="2"/>
  <c r="W447" i="2"/>
  <c r="M447" i="2"/>
  <c r="V447" i="2"/>
  <c r="K447" i="2"/>
  <c r="AE447" i="2"/>
  <c r="BI446" i="2"/>
  <c r="BH446" i="2"/>
  <c r="AL446" i="2"/>
  <c r="AI446" i="2"/>
  <c r="AG446" i="2"/>
  <c r="O446" i="2"/>
  <c r="W446" i="2"/>
  <c r="M446" i="2"/>
  <c r="V446" i="2"/>
  <c r="K446" i="2"/>
  <c r="BI445" i="2"/>
  <c r="BH445" i="2"/>
  <c r="AL445" i="2"/>
  <c r="AI445" i="2"/>
  <c r="AG445" i="2"/>
  <c r="O445" i="2"/>
  <c r="W445" i="2"/>
  <c r="M445" i="2"/>
  <c r="K445" i="2"/>
  <c r="AE445" i="2"/>
  <c r="AM445" i="2"/>
  <c r="AN445" i="2"/>
  <c r="BI444" i="2"/>
  <c r="BH444" i="2"/>
  <c r="AL444" i="2"/>
  <c r="AI444" i="2"/>
  <c r="AG444" i="2"/>
  <c r="O444" i="2"/>
  <c r="W444" i="2"/>
  <c r="M444" i="2"/>
  <c r="V444" i="2"/>
  <c r="K444" i="2"/>
  <c r="BI443" i="2"/>
  <c r="BH443" i="2"/>
  <c r="AL443" i="2"/>
  <c r="AI443" i="2"/>
  <c r="AG443" i="2"/>
  <c r="O443" i="2"/>
  <c r="W443" i="2"/>
  <c r="M443" i="2"/>
  <c r="K443" i="2"/>
  <c r="AE443" i="2"/>
  <c r="AM443" i="2"/>
  <c r="AN443" i="2"/>
  <c r="BI442" i="2"/>
  <c r="BH442" i="2"/>
  <c r="AL442" i="2"/>
  <c r="AI442" i="2"/>
  <c r="AG442" i="2"/>
  <c r="O442" i="2"/>
  <c r="W442" i="2"/>
  <c r="M442" i="2"/>
  <c r="V442" i="2"/>
  <c r="K442" i="2"/>
  <c r="BI441" i="2"/>
  <c r="BH441" i="2"/>
  <c r="AL441" i="2"/>
  <c r="AI441" i="2"/>
  <c r="AG441" i="2"/>
  <c r="O441" i="2"/>
  <c r="W441" i="2"/>
  <c r="M441" i="2"/>
  <c r="K441" i="2"/>
  <c r="AE441" i="2"/>
  <c r="AM441" i="2"/>
  <c r="BI440" i="2"/>
  <c r="BH440" i="2"/>
  <c r="AL440" i="2"/>
  <c r="AI440" i="2"/>
  <c r="AG440" i="2"/>
  <c r="O440" i="2"/>
  <c r="W440" i="2"/>
  <c r="M440" i="2"/>
  <c r="V440" i="2"/>
  <c r="K440" i="2"/>
  <c r="BI439" i="2"/>
  <c r="BH439" i="2"/>
  <c r="AL439" i="2"/>
  <c r="AI439" i="2"/>
  <c r="AG439" i="2"/>
  <c r="O439" i="2"/>
  <c r="W439" i="2"/>
  <c r="M439" i="2"/>
  <c r="V439" i="2"/>
  <c r="K439" i="2"/>
  <c r="BI438" i="2"/>
  <c r="BH438" i="2"/>
  <c r="AL438" i="2"/>
  <c r="AI438" i="2"/>
  <c r="AG438" i="2"/>
  <c r="O438" i="2"/>
  <c r="W438" i="2"/>
  <c r="M438" i="2"/>
  <c r="V438" i="2"/>
  <c r="K438" i="2"/>
  <c r="AE438" i="2"/>
  <c r="BI437" i="2"/>
  <c r="BH437" i="2"/>
  <c r="AL437" i="2"/>
  <c r="AI437" i="2"/>
  <c r="AG437" i="2"/>
  <c r="O437" i="2"/>
  <c r="W437" i="2"/>
  <c r="M437" i="2"/>
  <c r="V437" i="2"/>
  <c r="K437" i="2"/>
  <c r="AE437" i="2"/>
  <c r="BI436" i="2"/>
  <c r="BH436" i="2"/>
  <c r="AL436" i="2"/>
  <c r="AI436" i="2"/>
  <c r="AG436" i="2"/>
  <c r="O436" i="2"/>
  <c r="M436" i="2"/>
  <c r="V436" i="2"/>
  <c r="K436" i="2"/>
  <c r="BI435" i="2"/>
  <c r="BH435" i="2"/>
  <c r="AL435" i="2"/>
  <c r="AI435" i="2"/>
  <c r="AG435" i="2"/>
  <c r="O435" i="2"/>
  <c r="W435" i="2"/>
  <c r="M435" i="2"/>
  <c r="V435" i="2"/>
  <c r="K435" i="2"/>
  <c r="BI434" i="2"/>
  <c r="BH434" i="2"/>
  <c r="AL434" i="2"/>
  <c r="AI434" i="2"/>
  <c r="AG434" i="2"/>
  <c r="O434" i="2"/>
  <c r="W434" i="2"/>
  <c r="M434" i="2"/>
  <c r="V434" i="2"/>
  <c r="K434" i="2"/>
  <c r="BI433" i="2"/>
  <c r="BH433" i="2"/>
  <c r="AL433" i="2"/>
  <c r="AI433" i="2"/>
  <c r="AG433" i="2"/>
  <c r="O433" i="2"/>
  <c r="M433" i="2"/>
  <c r="V433" i="2"/>
  <c r="K433" i="2"/>
  <c r="BI432" i="2"/>
  <c r="BH432" i="2"/>
  <c r="AL432" i="2"/>
  <c r="AI432" i="2"/>
  <c r="AG432" i="2"/>
  <c r="O432" i="2"/>
  <c r="W432" i="2"/>
  <c r="M432" i="2"/>
  <c r="V432" i="2"/>
  <c r="K432" i="2"/>
  <c r="AE432" i="2"/>
  <c r="BI431" i="2"/>
  <c r="BH431" i="2"/>
  <c r="AL431" i="2"/>
  <c r="AI431" i="2"/>
  <c r="AG431" i="2"/>
  <c r="O431" i="2"/>
  <c r="W431" i="2"/>
  <c r="M431" i="2"/>
  <c r="V431" i="2"/>
  <c r="K431" i="2"/>
  <c r="BI430" i="2"/>
  <c r="BH430" i="2"/>
  <c r="AL430" i="2"/>
  <c r="AI430" i="2"/>
  <c r="AG430" i="2"/>
  <c r="O430" i="2"/>
  <c r="W430" i="2"/>
  <c r="M430" i="2"/>
  <c r="V430" i="2"/>
  <c r="K430" i="2"/>
  <c r="AE430" i="2"/>
  <c r="AM430" i="2"/>
  <c r="AN430" i="2"/>
  <c r="BI429" i="2"/>
  <c r="BH429" i="2"/>
  <c r="AL429" i="2"/>
  <c r="AI429" i="2"/>
  <c r="AG429" i="2"/>
  <c r="O429" i="2"/>
  <c r="W429" i="2"/>
  <c r="M429" i="2"/>
  <c r="V429" i="2"/>
  <c r="K429" i="2"/>
  <c r="AE429" i="2"/>
  <c r="BI428" i="2"/>
  <c r="BH428" i="2"/>
  <c r="AL428" i="2"/>
  <c r="AI428" i="2"/>
  <c r="AG428" i="2"/>
  <c r="O428" i="2"/>
  <c r="W428" i="2"/>
  <c r="M428" i="2"/>
  <c r="V428" i="2"/>
  <c r="K428" i="2"/>
  <c r="BI427" i="2"/>
  <c r="BH427" i="2"/>
  <c r="AL427" i="2"/>
  <c r="AI427" i="2"/>
  <c r="AG427" i="2"/>
  <c r="O427" i="2"/>
  <c r="W427" i="2"/>
  <c r="M427" i="2"/>
  <c r="V427" i="2"/>
  <c r="K427" i="2"/>
  <c r="AE427" i="2"/>
  <c r="BI426" i="2"/>
  <c r="BH426" i="2"/>
  <c r="AL426" i="2"/>
  <c r="AI426" i="2"/>
  <c r="AG426" i="2"/>
  <c r="O426" i="2"/>
  <c r="W426" i="2"/>
  <c r="M426" i="2"/>
  <c r="V426" i="2"/>
  <c r="K426" i="2"/>
  <c r="AE426" i="2"/>
  <c r="AM426" i="2"/>
  <c r="AN426" i="2"/>
  <c r="BI425" i="2"/>
  <c r="BH425" i="2"/>
  <c r="AL425" i="2"/>
  <c r="AI425" i="2"/>
  <c r="AG425" i="2"/>
  <c r="O425" i="2"/>
  <c r="W425" i="2"/>
  <c r="M425" i="2"/>
  <c r="K425" i="2"/>
  <c r="BI424" i="2"/>
  <c r="BH424" i="2"/>
  <c r="AL424" i="2"/>
  <c r="AI424" i="2"/>
  <c r="AG424" i="2"/>
  <c r="O424" i="2"/>
  <c r="W424" i="2"/>
  <c r="M424" i="2"/>
  <c r="V424" i="2"/>
  <c r="K424" i="2"/>
  <c r="AE424" i="2"/>
  <c r="AM424" i="2"/>
  <c r="AN424" i="2"/>
  <c r="BI423" i="2"/>
  <c r="BH423" i="2"/>
  <c r="AL423" i="2"/>
  <c r="AI423" i="2"/>
  <c r="AG423" i="2"/>
  <c r="O423" i="2"/>
  <c r="W423" i="2"/>
  <c r="M423" i="2"/>
  <c r="V423" i="2"/>
  <c r="K423" i="2"/>
  <c r="AE423" i="2"/>
  <c r="BI422" i="2"/>
  <c r="BH422" i="2"/>
  <c r="AL422" i="2"/>
  <c r="AI422" i="2"/>
  <c r="AG422" i="2"/>
  <c r="O422" i="2"/>
  <c r="W422" i="2"/>
  <c r="M422" i="2"/>
  <c r="V422" i="2"/>
  <c r="K422" i="2"/>
  <c r="U422" i="2"/>
  <c r="BI421" i="2"/>
  <c r="BH421" i="2"/>
  <c r="AL421" i="2"/>
  <c r="AI421" i="2"/>
  <c r="AG421" i="2"/>
  <c r="O421" i="2"/>
  <c r="W421" i="2"/>
  <c r="M421" i="2"/>
  <c r="V421" i="2"/>
  <c r="K421" i="2"/>
  <c r="AE421" i="2"/>
  <c r="BI420" i="2"/>
  <c r="BH420" i="2"/>
  <c r="AL420" i="2"/>
  <c r="AI420" i="2"/>
  <c r="AG420" i="2"/>
  <c r="O420" i="2"/>
  <c r="W420" i="2"/>
  <c r="M420" i="2"/>
  <c r="V420" i="2"/>
  <c r="K420" i="2"/>
  <c r="BI419" i="2"/>
  <c r="BH419" i="2"/>
  <c r="AL419" i="2"/>
  <c r="AI419" i="2"/>
  <c r="AG419" i="2"/>
  <c r="O419" i="2"/>
  <c r="W419" i="2"/>
  <c r="M419" i="2"/>
  <c r="V419" i="2"/>
  <c r="K419" i="2"/>
  <c r="U419" i="2"/>
  <c r="BI418" i="2"/>
  <c r="BH418" i="2"/>
  <c r="AL418" i="2"/>
  <c r="AI418" i="2"/>
  <c r="AG418" i="2"/>
  <c r="O418" i="2"/>
  <c r="W418" i="2"/>
  <c r="M418" i="2"/>
  <c r="V418" i="2"/>
  <c r="K418" i="2"/>
  <c r="U418" i="2"/>
  <c r="BI417" i="2"/>
  <c r="BH417" i="2"/>
  <c r="AL417" i="2"/>
  <c r="AI417" i="2"/>
  <c r="AG417" i="2"/>
  <c r="O417" i="2"/>
  <c r="M417" i="2"/>
  <c r="V417" i="2"/>
  <c r="K417" i="2"/>
  <c r="AE417" i="2"/>
  <c r="AM417" i="2"/>
  <c r="BI416" i="2"/>
  <c r="BH416" i="2"/>
  <c r="AL416" i="2"/>
  <c r="AI416" i="2"/>
  <c r="AG416" i="2"/>
  <c r="O416" i="2"/>
  <c r="W416" i="2"/>
  <c r="M416" i="2"/>
  <c r="V416" i="2"/>
  <c r="K416" i="2"/>
  <c r="AE416" i="2"/>
  <c r="BI415" i="2"/>
  <c r="BH415" i="2"/>
  <c r="AL415" i="2"/>
  <c r="AI415" i="2"/>
  <c r="AG415" i="2"/>
  <c r="O415" i="2"/>
  <c r="W415" i="2"/>
  <c r="M415" i="2"/>
  <c r="V415" i="2"/>
  <c r="K415" i="2"/>
  <c r="BI414" i="2"/>
  <c r="BH414" i="2"/>
  <c r="AL414" i="2"/>
  <c r="AI414" i="2"/>
  <c r="AG414" i="2"/>
  <c r="O414" i="2"/>
  <c r="W414" i="2"/>
  <c r="M414" i="2"/>
  <c r="V414" i="2"/>
  <c r="K414" i="2"/>
  <c r="BI413" i="2"/>
  <c r="BH413" i="2"/>
  <c r="AL413" i="2"/>
  <c r="AI413" i="2"/>
  <c r="AG413" i="2"/>
  <c r="O413" i="2"/>
  <c r="W413" i="2"/>
  <c r="M413" i="2"/>
  <c r="V413" i="2"/>
  <c r="K413" i="2"/>
  <c r="BI412" i="2"/>
  <c r="BH412" i="2"/>
  <c r="AL412" i="2"/>
  <c r="AI412" i="2"/>
  <c r="AG412" i="2"/>
  <c r="O412" i="2"/>
  <c r="W412" i="2"/>
  <c r="M412" i="2"/>
  <c r="V412" i="2"/>
  <c r="K412" i="2"/>
  <c r="U412" i="2"/>
  <c r="BI411" i="2"/>
  <c r="BH411" i="2"/>
  <c r="AL411" i="2"/>
  <c r="AI411" i="2"/>
  <c r="AG411" i="2"/>
  <c r="O411" i="2"/>
  <c r="W411" i="2"/>
  <c r="M411" i="2"/>
  <c r="V411" i="2"/>
  <c r="K411" i="2"/>
  <c r="U411" i="2"/>
  <c r="BI410" i="2"/>
  <c r="BH410" i="2"/>
  <c r="AL410" i="2"/>
  <c r="AI410" i="2"/>
  <c r="AG410" i="2"/>
  <c r="O410" i="2"/>
  <c r="W410" i="2"/>
  <c r="M410" i="2"/>
  <c r="V410" i="2"/>
  <c r="K410" i="2"/>
  <c r="BI409" i="2"/>
  <c r="BH409" i="2"/>
  <c r="AL409" i="2"/>
  <c r="AI409" i="2"/>
  <c r="AG409" i="2"/>
  <c r="O409" i="2"/>
  <c r="W409" i="2"/>
  <c r="M409" i="2"/>
  <c r="V409" i="2"/>
  <c r="K409" i="2"/>
  <c r="BI408" i="2"/>
  <c r="BH408" i="2"/>
  <c r="AL408" i="2"/>
  <c r="AI408" i="2"/>
  <c r="AG408" i="2"/>
  <c r="O408" i="2"/>
  <c r="W408" i="2"/>
  <c r="M408" i="2"/>
  <c r="V408" i="2"/>
  <c r="K408" i="2"/>
  <c r="U408" i="2"/>
  <c r="BI407" i="2"/>
  <c r="BH407" i="2"/>
  <c r="AL407" i="2"/>
  <c r="AI407" i="2"/>
  <c r="AG407" i="2"/>
  <c r="O407" i="2"/>
  <c r="W407" i="2"/>
  <c r="M407" i="2"/>
  <c r="K407" i="2"/>
  <c r="AE407" i="2"/>
  <c r="BI406" i="2"/>
  <c r="BH406" i="2"/>
  <c r="AL406" i="2"/>
  <c r="AI406" i="2"/>
  <c r="AG406" i="2"/>
  <c r="O406" i="2"/>
  <c r="W406" i="2"/>
  <c r="M406" i="2"/>
  <c r="V406" i="2"/>
  <c r="K406" i="2"/>
  <c r="AE406" i="2"/>
  <c r="BI405" i="2"/>
  <c r="BH405" i="2"/>
  <c r="AL405" i="2"/>
  <c r="AI405" i="2"/>
  <c r="AG405" i="2"/>
  <c r="O405" i="2"/>
  <c r="W405" i="2"/>
  <c r="M405" i="2"/>
  <c r="V405" i="2"/>
  <c r="K405" i="2"/>
  <c r="BI404" i="2"/>
  <c r="BH404" i="2"/>
  <c r="AL404" i="2"/>
  <c r="AI404" i="2"/>
  <c r="AG404" i="2"/>
  <c r="O404" i="2"/>
  <c r="W404" i="2"/>
  <c r="M404" i="2"/>
  <c r="V404" i="2"/>
  <c r="K404" i="2"/>
  <c r="BI403" i="2"/>
  <c r="BH403" i="2"/>
  <c r="AL403" i="2"/>
  <c r="AI403" i="2"/>
  <c r="AG403" i="2"/>
  <c r="O403" i="2"/>
  <c r="W403" i="2"/>
  <c r="M403" i="2"/>
  <c r="V403" i="2"/>
  <c r="K403" i="2"/>
  <c r="BI402" i="2"/>
  <c r="BH402" i="2"/>
  <c r="AL402" i="2"/>
  <c r="AI402" i="2"/>
  <c r="AG402" i="2"/>
  <c r="O402" i="2"/>
  <c r="W402" i="2"/>
  <c r="M402" i="2"/>
  <c r="V402" i="2"/>
  <c r="K402" i="2"/>
  <c r="AE402" i="2"/>
  <c r="BI401" i="2"/>
  <c r="BH401" i="2"/>
  <c r="AL401" i="2"/>
  <c r="AI401" i="2"/>
  <c r="AG401" i="2"/>
  <c r="O401" i="2"/>
  <c r="W401" i="2"/>
  <c r="M401" i="2"/>
  <c r="V401" i="2"/>
  <c r="K401" i="2"/>
  <c r="AE401" i="2"/>
  <c r="BI400" i="2"/>
  <c r="BH400" i="2"/>
  <c r="AL400" i="2"/>
  <c r="AI400" i="2"/>
  <c r="AG400" i="2"/>
  <c r="O400" i="2"/>
  <c r="W400" i="2"/>
  <c r="M400" i="2"/>
  <c r="V400" i="2"/>
  <c r="K400" i="2"/>
  <c r="AE400" i="2"/>
  <c r="AM400" i="2"/>
  <c r="AN400" i="2"/>
  <c r="BI399" i="2"/>
  <c r="BH399" i="2"/>
  <c r="AL399" i="2"/>
  <c r="AI399" i="2"/>
  <c r="AG399" i="2"/>
  <c r="O399" i="2"/>
  <c r="W399" i="2"/>
  <c r="M399" i="2"/>
  <c r="V399" i="2"/>
  <c r="K399" i="2"/>
  <c r="U399" i="2"/>
  <c r="BI398" i="2"/>
  <c r="BH398" i="2"/>
  <c r="AL398" i="2"/>
  <c r="AI398" i="2"/>
  <c r="AG398" i="2"/>
  <c r="O398" i="2"/>
  <c r="W398" i="2"/>
  <c r="M398" i="2"/>
  <c r="V398" i="2"/>
  <c r="K398" i="2"/>
  <c r="BI397" i="2"/>
  <c r="BH397" i="2"/>
  <c r="AL397" i="2"/>
  <c r="AI397" i="2"/>
  <c r="AG397" i="2"/>
  <c r="O397" i="2"/>
  <c r="M397" i="2"/>
  <c r="V397" i="2"/>
  <c r="K397" i="2"/>
  <c r="U397" i="2"/>
  <c r="BI396" i="2"/>
  <c r="BH396" i="2"/>
  <c r="AL396" i="2"/>
  <c r="AI396" i="2"/>
  <c r="AG396" i="2"/>
  <c r="O396" i="2"/>
  <c r="W396" i="2"/>
  <c r="M396" i="2"/>
  <c r="V396" i="2"/>
  <c r="K396" i="2"/>
  <c r="AE396" i="2"/>
  <c r="BI395" i="2"/>
  <c r="BH395" i="2"/>
  <c r="AL395" i="2"/>
  <c r="AI395" i="2"/>
  <c r="AG395" i="2"/>
  <c r="O395" i="2"/>
  <c r="W395" i="2"/>
  <c r="M395" i="2"/>
  <c r="V395" i="2"/>
  <c r="K395" i="2"/>
  <c r="BI394" i="2"/>
  <c r="BH394" i="2"/>
  <c r="AL394" i="2"/>
  <c r="AI394" i="2"/>
  <c r="AG394" i="2"/>
  <c r="O394" i="2"/>
  <c r="W394" i="2"/>
  <c r="M394" i="2"/>
  <c r="V394" i="2"/>
  <c r="K394" i="2"/>
  <c r="BI393" i="2"/>
  <c r="BH393" i="2"/>
  <c r="AL393" i="2"/>
  <c r="AI393" i="2"/>
  <c r="AG393" i="2"/>
  <c r="O393" i="2"/>
  <c r="W393" i="2"/>
  <c r="M393" i="2"/>
  <c r="V393" i="2"/>
  <c r="K393" i="2"/>
  <c r="AE393" i="2"/>
  <c r="BI392" i="2"/>
  <c r="BH392" i="2"/>
  <c r="AL392" i="2"/>
  <c r="AI392" i="2"/>
  <c r="AG392" i="2"/>
  <c r="O392" i="2"/>
  <c r="W392" i="2"/>
  <c r="M392" i="2"/>
  <c r="V392" i="2"/>
  <c r="K392" i="2"/>
  <c r="U392" i="2"/>
  <c r="BI391" i="2"/>
  <c r="BH391" i="2"/>
  <c r="AL391" i="2"/>
  <c r="AI391" i="2"/>
  <c r="AG391" i="2"/>
  <c r="O391" i="2"/>
  <c r="W391" i="2"/>
  <c r="M391" i="2"/>
  <c r="V391" i="2"/>
  <c r="K391" i="2"/>
  <c r="BI390" i="2"/>
  <c r="BH390" i="2"/>
  <c r="AL390" i="2"/>
  <c r="AI390" i="2"/>
  <c r="AG390" i="2"/>
  <c r="O390" i="2"/>
  <c r="W390" i="2"/>
  <c r="M390" i="2"/>
  <c r="V390" i="2"/>
  <c r="K390" i="2"/>
  <c r="U390" i="2"/>
  <c r="BI389" i="2"/>
  <c r="BH389" i="2"/>
  <c r="AL389" i="2"/>
  <c r="AI389" i="2"/>
  <c r="AG389" i="2"/>
  <c r="O389" i="2"/>
  <c r="W389" i="2"/>
  <c r="M389" i="2"/>
  <c r="V389" i="2"/>
  <c r="K389" i="2"/>
  <c r="AE389" i="2"/>
  <c r="BI388" i="2"/>
  <c r="BH388" i="2"/>
  <c r="AL388" i="2"/>
  <c r="AI388" i="2"/>
  <c r="AG388" i="2"/>
  <c r="O388" i="2"/>
  <c r="W388" i="2"/>
  <c r="M388" i="2"/>
  <c r="V388" i="2"/>
  <c r="K388" i="2"/>
  <c r="AE388" i="2"/>
  <c r="AM388" i="2"/>
  <c r="BI387" i="2"/>
  <c r="BH387" i="2"/>
  <c r="AL387" i="2"/>
  <c r="AI387" i="2"/>
  <c r="AG387" i="2"/>
  <c r="O387" i="2"/>
  <c r="W387" i="2"/>
  <c r="M387" i="2"/>
  <c r="V387" i="2"/>
  <c r="K387" i="2"/>
  <c r="BI386" i="2"/>
  <c r="BH386" i="2"/>
  <c r="AL386" i="2"/>
  <c r="AI386" i="2"/>
  <c r="AG386" i="2"/>
  <c r="O386" i="2"/>
  <c r="W386" i="2"/>
  <c r="M386" i="2"/>
  <c r="V386" i="2"/>
  <c r="K386" i="2"/>
  <c r="AE386" i="2"/>
  <c r="BI385" i="2"/>
  <c r="BH385" i="2"/>
  <c r="AL385" i="2"/>
  <c r="AI385" i="2"/>
  <c r="AG385" i="2"/>
  <c r="O385" i="2"/>
  <c r="M385" i="2"/>
  <c r="V385" i="2"/>
  <c r="K385" i="2"/>
  <c r="BI384" i="2"/>
  <c r="BH384" i="2"/>
  <c r="AL384" i="2"/>
  <c r="AI384" i="2"/>
  <c r="AG384" i="2"/>
  <c r="O384" i="2"/>
  <c r="W384" i="2"/>
  <c r="M384" i="2"/>
  <c r="V384" i="2"/>
  <c r="K384" i="2"/>
  <c r="BI383" i="2"/>
  <c r="BH383" i="2"/>
  <c r="AL383" i="2"/>
  <c r="AI383" i="2"/>
  <c r="AG383" i="2"/>
  <c r="O383" i="2"/>
  <c r="W383" i="2"/>
  <c r="M383" i="2"/>
  <c r="V383" i="2"/>
  <c r="K383" i="2"/>
  <c r="BI382" i="2"/>
  <c r="BH382" i="2"/>
  <c r="AL382" i="2"/>
  <c r="AI382" i="2"/>
  <c r="AG382" i="2"/>
  <c r="O382" i="2"/>
  <c r="W382" i="2"/>
  <c r="M382" i="2"/>
  <c r="V382" i="2"/>
  <c r="K382" i="2"/>
  <c r="BI381" i="2"/>
  <c r="BH381" i="2"/>
  <c r="AL381" i="2"/>
  <c r="AI381" i="2"/>
  <c r="AG381" i="2"/>
  <c r="O381" i="2"/>
  <c r="W381" i="2"/>
  <c r="M381" i="2"/>
  <c r="V381" i="2"/>
  <c r="K381" i="2"/>
  <c r="AE381" i="2"/>
  <c r="BI380" i="2"/>
  <c r="BH380" i="2"/>
  <c r="AL380" i="2"/>
  <c r="AI380" i="2"/>
  <c r="AG380" i="2"/>
  <c r="O380" i="2"/>
  <c r="W380" i="2"/>
  <c r="M380" i="2"/>
  <c r="V380" i="2"/>
  <c r="K380" i="2"/>
  <c r="U380" i="2"/>
  <c r="BI379" i="2"/>
  <c r="BH379" i="2"/>
  <c r="AL379" i="2"/>
  <c r="AI379" i="2"/>
  <c r="AG379" i="2"/>
  <c r="O379" i="2"/>
  <c r="W379" i="2"/>
  <c r="M379" i="2"/>
  <c r="K379" i="2"/>
  <c r="BI378" i="2"/>
  <c r="BH378" i="2"/>
  <c r="AL378" i="2"/>
  <c r="AI378" i="2"/>
  <c r="AG378" i="2"/>
  <c r="O378" i="2"/>
  <c r="W378" i="2"/>
  <c r="M378" i="2"/>
  <c r="V378" i="2"/>
  <c r="K378" i="2"/>
  <c r="U378" i="2"/>
  <c r="BI377" i="2"/>
  <c r="BH377" i="2"/>
  <c r="AL377" i="2"/>
  <c r="AI377" i="2"/>
  <c r="AG377" i="2"/>
  <c r="O377" i="2"/>
  <c r="W377" i="2"/>
  <c r="M377" i="2"/>
  <c r="V377" i="2"/>
  <c r="K377" i="2"/>
  <c r="BI376" i="2"/>
  <c r="BH376" i="2"/>
  <c r="AL376" i="2"/>
  <c r="AI376" i="2"/>
  <c r="AG376" i="2"/>
  <c r="O376" i="2"/>
  <c r="W376" i="2"/>
  <c r="M376" i="2"/>
  <c r="V376" i="2"/>
  <c r="K376" i="2"/>
  <c r="BI375" i="2"/>
  <c r="BH375" i="2"/>
  <c r="AL375" i="2"/>
  <c r="AI375" i="2"/>
  <c r="AG375" i="2"/>
  <c r="O375" i="2"/>
  <c r="W375" i="2"/>
  <c r="M375" i="2"/>
  <c r="V375" i="2"/>
  <c r="K375" i="2"/>
  <c r="AE375" i="2"/>
  <c r="BI374" i="2"/>
  <c r="BH374" i="2"/>
  <c r="AL374" i="2"/>
  <c r="AI374" i="2"/>
  <c r="AG374" i="2"/>
  <c r="O374" i="2"/>
  <c r="W374" i="2"/>
  <c r="M374" i="2"/>
  <c r="K374" i="2"/>
  <c r="AE374" i="2"/>
  <c r="AM374" i="2"/>
  <c r="BI373" i="2"/>
  <c r="BH373" i="2"/>
  <c r="AL373" i="2"/>
  <c r="AI373" i="2"/>
  <c r="AG373" i="2"/>
  <c r="O373" i="2"/>
  <c r="W373" i="2"/>
  <c r="M373" i="2"/>
  <c r="V373" i="2"/>
  <c r="K373" i="2"/>
  <c r="U373" i="2"/>
  <c r="BI372" i="2"/>
  <c r="BH372" i="2"/>
  <c r="AL372" i="2"/>
  <c r="AI372" i="2"/>
  <c r="AG372" i="2"/>
  <c r="O372" i="2"/>
  <c r="W372" i="2"/>
  <c r="M372" i="2"/>
  <c r="K372" i="2"/>
  <c r="U372" i="2"/>
  <c r="BI371" i="2"/>
  <c r="BH371" i="2"/>
  <c r="AL371" i="2"/>
  <c r="AI371" i="2"/>
  <c r="AG371" i="2"/>
  <c r="O371" i="2"/>
  <c r="W371" i="2"/>
  <c r="M371" i="2"/>
  <c r="V371" i="2"/>
  <c r="K371" i="2"/>
  <c r="U371" i="2"/>
  <c r="BI370" i="2"/>
  <c r="BH370" i="2"/>
  <c r="AL370" i="2"/>
  <c r="AI370" i="2"/>
  <c r="AG370" i="2"/>
  <c r="O370" i="2"/>
  <c r="W370" i="2"/>
  <c r="M370" i="2"/>
  <c r="V370" i="2"/>
  <c r="K370" i="2"/>
  <c r="BI369" i="2"/>
  <c r="BH369" i="2"/>
  <c r="AL369" i="2"/>
  <c r="AI369" i="2"/>
  <c r="AG369" i="2"/>
  <c r="O369" i="2"/>
  <c r="W369" i="2"/>
  <c r="M369" i="2"/>
  <c r="V369" i="2"/>
  <c r="K369" i="2"/>
  <c r="U369" i="2"/>
  <c r="BI368" i="2"/>
  <c r="BH368" i="2"/>
  <c r="AL368" i="2"/>
  <c r="AI368" i="2"/>
  <c r="AG368" i="2"/>
  <c r="O368" i="2"/>
  <c r="W368" i="2"/>
  <c r="M368" i="2"/>
  <c r="V368" i="2"/>
  <c r="K368" i="2"/>
  <c r="BI367" i="2"/>
  <c r="BH367" i="2"/>
  <c r="AL367" i="2"/>
  <c r="AI367" i="2"/>
  <c r="AG367" i="2"/>
  <c r="O367" i="2"/>
  <c r="W367" i="2"/>
  <c r="M367" i="2"/>
  <c r="K367" i="2"/>
  <c r="BI366" i="2"/>
  <c r="BH366" i="2"/>
  <c r="AL366" i="2"/>
  <c r="AI366" i="2"/>
  <c r="AG366" i="2"/>
  <c r="O366" i="2"/>
  <c r="W366" i="2"/>
  <c r="M366" i="2"/>
  <c r="V366" i="2"/>
  <c r="K366" i="2"/>
  <c r="U366" i="2"/>
  <c r="BI365" i="2"/>
  <c r="BH365" i="2"/>
  <c r="AL365" i="2"/>
  <c r="AI365" i="2"/>
  <c r="AG365" i="2"/>
  <c r="O365" i="2"/>
  <c r="W365" i="2"/>
  <c r="M365" i="2"/>
  <c r="V365" i="2"/>
  <c r="K365" i="2"/>
  <c r="AE365" i="2"/>
  <c r="AM365" i="2"/>
  <c r="BI364" i="2"/>
  <c r="BH364" i="2"/>
  <c r="AL364" i="2"/>
  <c r="AI364" i="2"/>
  <c r="AG364" i="2"/>
  <c r="O364" i="2"/>
  <c r="W364" i="2"/>
  <c r="M364" i="2"/>
  <c r="V364" i="2"/>
  <c r="K364" i="2"/>
  <c r="AE364" i="2"/>
  <c r="BI363" i="2"/>
  <c r="BH363" i="2"/>
  <c r="AL363" i="2"/>
  <c r="AI363" i="2"/>
  <c r="AG363" i="2"/>
  <c r="O363" i="2"/>
  <c r="M363" i="2"/>
  <c r="V363" i="2"/>
  <c r="K363" i="2"/>
  <c r="BI362" i="2"/>
  <c r="BH362" i="2"/>
  <c r="AL362" i="2"/>
  <c r="AI362" i="2"/>
  <c r="AG362" i="2"/>
  <c r="O362" i="2"/>
  <c r="W362" i="2"/>
  <c r="M362" i="2"/>
  <c r="V362" i="2"/>
  <c r="K362" i="2"/>
  <c r="BI361" i="2"/>
  <c r="BH361" i="2"/>
  <c r="AL361" i="2"/>
  <c r="AI361" i="2"/>
  <c r="AG361" i="2"/>
  <c r="O361" i="2"/>
  <c r="W361" i="2"/>
  <c r="M361" i="2"/>
  <c r="K361" i="2"/>
  <c r="U361" i="2"/>
  <c r="AI360" i="2"/>
  <c r="AG360" i="2"/>
  <c r="O360" i="2"/>
  <c r="W360" i="2"/>
  <c r="M360" i="2"/>
  <c r="V360" i="2"/>
  <c r="K360" i="2"/>
  <c r="AE360" i="2"/>
  <c r="BI359" i="2"/>
  <c r="BH359" i="2"/>
  <c r="AL359" i="2"/>
  <c r="AI359" i="2"/>
  <c r="AG359" i="2"/>
  <c r="O359" i="2"/>
  <c r="W359" i="2"/>
  <c r="M359" i="2"/>
  <c r="V359" i="2"/>
  <c r="K359" i="2"/>
  <c r="AE359" i="2"/>
  <c r="BI358" i="2"/>
  <c r="BH358" i="2"/>
  <c r="AL358" i="2"/>
  <c r="AI358" i="2"/>
  <c r="AG358" i="2"/>
  <c r="O358" i="2"/>
  <c r="W358" i="2"/>
  <c r="M358" i="2"/>
  <c r="V358" i="2"/>
  <c r="K358" i="2"/>
  <c r="AE358" i="2"/>
  <c r="AM358" i="2"/>
  <c r="AN358" i="2"/>
  <c r="BI357" i="2"/>
  <c r="BH357" i="2"/>
  <c r="AL357" i="2"/>
  <c r="AI357" i="2"/>
  <c r="AG357" i="2"/>
  <c r="O357" i="2"/>
  <c r="W357" i="2"/>
  <c r="M357" i="2"/>
  <c r="V357" i="2"/>
  <c r="K357" i="2"/>
  <c r="AE357" i="2"/>
  <c r="BI356" i="2"/>
  <c r="BH356" i="2"/>
  <c r="AL356" i="2"/>
  <c r="AI356" i="2"/>
  <c r="AG356" i="2"/>
  <c r="O356" i="2"/>
  <c r="W356" i="2"/>
  <c r="M356" i="2"/>
  <c r="V356" i="2"/>
  <c r="K356" i="2"/>
  <c r="AE356" i="2"/>
  <c r="BI354" i="2"/>
  <c r="BH354" i="2"/>
  <c r="AL354" i="2"/>
  <c r="AI354" i="2"/>
  <c r="AG354" i="2"/>
  <c r="O354" i="2"/>
  <c r="W354" i="2"/>
  <c r="M354" i="2"/>
  <c r="K354" i="2"/>
  <c r="BI353" i="2"/>
  <c r="BH353" i="2"/>
  <c r="AL353" i="2"/>
  <c r="AI353" i="2"/>
  <c r="AG353" i="2"/>
  <c r="O353" i="2"/>
  <c r="W353" i="2"/>
  <c r="M353" i="2"/>
  <c r="V353" i="2"/>
  <c r="K353" i="2"/>
  <c r="BI352" i="2"/>
  <c r="BH352" i="2"/>
  <c r="AL352" i="2"/>
  <c r="AI352" i="2"/>
  <c r="AG352" i="2"/>
  <c r="O352" i="2"/>
  <c r="W352" i="2"/>
  <c r="M352" i="2"/>
  <c r="V352" i="2"/>
  <c r="K352" i="2"/>
  <c r="BI351" i="2"/>
  <c r="BH351" i="2"/>
  <c r="AL351" i="2"/>
  <c r="AI351" i="2"/>
  <c r="AG351" i="2"/>
  <c r="O351" i="2"/>
  <c r="W351" i="2"/>
  <c r="M351" i="2"/>
  <c r="V351" i="2"/>
  <c r="K351" i="2"/>
  <c r="U351" i="2"/>
  <c r="BI350" i="2"/>
  <c r="BH350" i="2"/>
  <c r="AL350" i="2"/>
  <c r="AI350" i="2"/>
  <c r="AG350" i="2"/>
  <c r="O350" i="2"/>
  <c r="W350" i="2"/>
  <c r="M350" i="2"/>
  <c r="V350" i="2"/>
  <c r="K350" i="2"/>
  <c r="AE350" i="2"/>
  <c r="BI349" i="2"/>
  <c r="BH349" i="2"/>
  <c r="AL349" i="2"/>
  <c r="AI349" i="2"/>
  <c r="AG349" i="2"/>
  <c r="O349" i="2"/>
  <c r="W349" i="2"/>
  <c r="M349" i="2"/>
  <c r="K349" i="2"/>
  <c r="U349" i="2"/>
  <c r="BI348" i="2"/>
  <c r="BH348" i="2"/>
  <c r="AL348" i="2"/>
  <c r="AI348" i="2"/>
  <c r="AG348" i="2"/>
  <c r="O348" i="2"/>
  <c r="W348" i="2"/>
  <c r="M348" i="2"/>
  <c r="V348" i="2"/>
  <c r="K348" i="2"/>
  <c r="U348" i="2"/>
  <c r="BI347" i="2"/>
  <c r="BH347" i="2"/>
  <c r="AL347" i="2"/>
  <c r="AI347" i="2"/>
  <c r="AG347" i="2"/>
  <c r="O347" i="2"/>
  <c r="W347" i="2"/>
  <c r="M347" i="2"/>
  <c r="V347" i="2"/>
  <c r="K347" i="2"/>
  <c r="AI346" i="2"/>
  <c r="AG346" i="2"/>
  <c r="O346" i="2"/>
  <c r="W346" i="2"/>
  <c r="M346" i="2"/>
  <c r="V346" i="2"/>
  <c r="K346" i="2"/>
  <c r="U346" i="2"/>
  <c r="AI345" i="2"/>
  <c r="AG345" i="2"/>
  <c r="O345" i="2"/>
  <c r="W345" i="2"/>
  <c r="M345" i="2"/>
  <c r="V345" i="2"/>
  <c r="K345" i="2"/>
  <c r="L345" i="2"/>
  <c r="BI344" i="2"/>
  <c r="BH344" i="2"/>
  <c r="AL344" i="2"/>
  <c r="AI344" i="2"/>
  <c r="AG344" i="2"/>
  <c r="O344" i="2"/>
  <c r="W344" i="2"/>
  <c r="M344" i="2"/>
  <c r="V344" i="2"/>
  <c r="K344" i="2"/>
  <c r="U344" i="2"/>
  <c r="BI343" i="2"/>
  <c r="BH343" i="2"/>
  <c r="AL343" i="2"/>
  <c r="AI343" i="2"/>
  <c r="AG343" i="2"/>
  <c r="O343" i="2"/>
  <c r="W343" i="2"/>
  <c r="M343" i="2"/>
  <c r="K343" i="2"/>
  <c r="AE343" i="2"/>
  <c r="AI342" i="2"/>
  <c r="AG342" i="2"/>
  <c r="O342" i="2"/>
  <c r="W342" i="2"/>
  <c r="M342" i="2"/>
  <c r="K342" i="2"/>
  <c r="L342" i="2"/>
  <c r="BI341" i="2"/>
  <c r="BH341" i="2"/>
  <c r="AL341" i="2"/>
  <c r="AI341" i="2"/>
  <c r="AG341" i="2"/>
  <c r="O341" i="2"/>
  <c r="W341" i="2"/>
  <c r="M341" i="2"/>
  <c r="V341" i="2"/>
  <c r="K341" i="2"/>
  <c r="BI340" i="2"/>
  <c r="BH340" i="2"/>
  <c r="AL340" i="2"/>
  <c r="AI340" i="2"/>
  <c r="AG340" i="2"/>
  <c r="O340" i="2"/>
  <c r="W340" i="2"/>
  <c r="M340" i="2"/>
  <c r="V340" i="2"/>
  <c r="K340" i="2"/>
  <c r="AE340" i="2"/>
  <c r="AM340" i="2"/>
  <c r="BI339" i="2"/>
  <c r="BH339" i="2"/>
  <c r="AL339" i="2"/>
  <c r="AI339" i="2"/>
  <c r="AG339" i="2"/>
  <c r="O339" i="2"/>
  <c r="W339" i="2"/>
  <c r="M339" i="2"/>
  <c r="V339" i="2"/>
  <c r="K339" i="2"/>
  <c r="BI338" i="2"/>
  <c r="BH338" i="2"/>
  <c r="AL338" i="2"/>
  <c r="AI338" i="2"/>
  <c r="AG338" i="2"/>
  <c r="O338" i="2"/>
  <c r="W338" i="2"/>
  <c r="M338" i="2"/>
  <c r="V338" i="2"/>
  <c r="K338" i="2"/>
  <c r="BI337" i="2"/>
  <c r="BH337" i="2"/>
  <c r="AL337" i="2"/>
  <c r="AI337" i="2"/>
  <c r="AG337" i="2"/>
  <c r="O337" i="2"/>
  <c r="W337" i="2"/>
  <c r="M337" i="2"/>
  <c r="V337" i="2"/>
  <c r="K337" i="2"/>
  <c r="AI336" i="2"/>
  <c r="AG336" i="2"/>
  <c r="O336" i="2"/>
  <c r="W336" i="2"/>
  <c r="M336" i="2"/>
  <c r="V336" i="2"/>
  <c r="K336" i="2"/>
  <c r="U336" i="2"/>
  <c r="AI335" i="2"/>
  <c r="AG335" i="2"/>
  <c r="O335" i="2"/>
  <c r="W335" i="2"/>
  <c r="M335" i="2"/>
  <c r="V335" i="2"/>
  <c r="K335" i="2"/>
  <c r="AE335" i="2"/>
  <c r="BI334" i="2"/>
  <c r="BH334" i="2"/>
  <c r="AL334" i="2"/>
  <c r="AI334" i="2"/>
  <c r="AG334" i="2"/>
  <c r="O334" i="2"/>
  <c r="W334" i="2"/>
  <c r="M334" i="2"/>
  <c r="V334" i="2"/>
  <c r="K334" i="2"/>
  <c r="U334" i="2"/>
  <c r="AI333" i="2"/>
  <c r="AG333" i="2"/>
  <c r="O333" i="2"/>
  <c r="W333" i="2"/>
  <c r="M333" i="2"/>
  <c r="V333" i="2"/>
  <c r="K333" i="2"/>
  <c r="AE333" i="2"/>
  <c r="AF333" i="2"/>
  <c r="AL333" i="2"/>
  <c r="BI332" i="2"/>
  <c r="BH332" i="2"/>
  <c r="AL332" i="2"/>
  <c r="AI332" i="2"/>
  <c r="AG332" i="2"/>
  <c r="O332" i="2"/>
  <c r="W332" i="2"/>
  <c r="M332" i="2"/>
  <c r="V332" i="2"/>
  <c r="K332" i="2"/>
  <c r="BI331" i="2"/>
  <c r="BH331" i="2"/>
  <c r="AL331" i="2"/>
  <c r="AI331" i="2"/>
  <c r="AG331" i="2"/>
  <c r="O331" i="2"/>
  <c r="W331" i="2"/>
  <c r="M331" i="2"/>
  <c r="V331" i="2"/>
  <c r="K331" i="2"/>
  <c r="BI330" i="2"/>
  <c r="BH330" i="2"/>
  <c r="AL330" i="2"/>
  <c r="AI330" i="2"/>
  <c r="AG330" i="2"/>
  <c r="O330" i="2"/>
  <c r="W330" i="2"/>
  <c r="M330" i="2"/>
  <c r="K330" i="2"/>
  <c r="BI329" i="2"/>
  <c r="BH329" i="2"/>
  <c r="AL329" i="2"/>
  <c r="AI329" i="2"/>
  <c r="AG329" i="2"/>
  <c r="O329" i="2"/>
  <c r="W329" i="2"/>
  <c r="M329" i="2"/>
  <c r="V329" i="2"/>
  <c r="K329" i="2"/>
  <c r="AE329" i="2"/>
  <c r="AM329" i="2"/>
  <c r="AN329" i="2"/>
  <c r="AI328" i="2"/>
  <c r="AG328" i="2"/>
  <c r="O328" i="2"/>
  <c r="W328" i="2"/>
  <c r="M328" i="2"/>
  <c r="V328" i="2"/>
  <c r="K328" i="2"/>
  <c r="AI327" i="2"/>
  <c r="AG327" i="2"/>
  <c r="O327" i="2"/>
  <c r="W327" i="2"/>
  <c r="M327" i="2"/>
  <c r="V327" i="2"/>
  <c r="K327" i="2"/>
  <c r="U327" i="2"/>
  <c r="BI326" i="2"/>
  <c r="BH326" i="2"/>
  <c r="AL326" i="2"/>
  <c r="AI326" i="2"/>
  <c r="AG326" i="2"/>
  <c r="O326" i="2"/>
  <c r="W326" i="2"/>
  <c r="M326" i="2"/>
  <c r="V326" i="2"/>
  <c r="K326" i="2"/>
  <c r="BI325" i="2"/>
  <c r="BH325" i="2"/>
  <c r="AL325" i="2"/>
  <c r="AI325" i="2"/>
  <c r="AG325" i="2"/>
  <c r="O325" i="2"/>
  <c r="M325" i="2"/>
  <c r="V325" i="2"/>
  <c r="K325" i="2"/>
  <c r="AI324" i="2"/>
  <c r="AG324" i="2"/>
  <c r="O324" i="2"/>
  <c r="W324" i="2"/>
  <c r="M324" i="2"/>
  <c r="V324" i="2"/>
  <c r="K324" i="2"/>
  <c r="U324" i="2"/>
  <c r="AI323" i="2"/>
  <c r="AG323" i="2"/>
  <c r="O323" i="2"/>
  <c r="W323" i="2"/>
  <c r="M323" i="2"/>
  <c r="K323" i="2"/>
  <c r="L323" i="2"/>
  <c r="AI322" i="2"/>
  <c r="AG322" i="2"/>
  <c r="O322" i="2"/>
  <c r="W322" i="2"/>
  <c r="M322" i="2"/>
  <c r="K322" i="2"/>
  <c r="BI321" i="2"/>
  <c r="BH321" i="2"/>
  <c r="AL321" i="2"/>
  <c r="AI321" i="2"/>
  <c r="AG321" i="2"/>
  <c r="O321" i="2"/>
  <c r="M321" i="2"/>
  <c r="V321" i="2"/>
  <c r="K321" i="2"/>
  <c r="AE321" i="2"/>
  <c r="BI320" i="2"/>
  <c r="BH320" i="2"/>
  <c r="AL320" i="2"/>
  <c r="AI320" i="2"/>
  <c r="AG320" i="2"/>
  <c r="O320" i="2"/>
  <c r="W320" i="2"/>
  <c r="M320" i="2"/>
  <c r="V320" i="2"/>
  <c r="K320" i="2"/>
  <c r="U320" i="2"/>
  <c r="BI319" i="2"/>
  <c r="BH319" i="2"/>
  <c r="AL319" i="2"/>
  <c r="AI319" i="2"/>
  <c r="AG319" i="2"/>
  <c r="O319" i="2"/>
  <c r="W319" i="2"/>
  <c r="M319" i="2"/>
  <c r="V319" i="2"/>
  <c r="K319" i="2"/>
  <c r="AE319" i="2"/>
  <c r="AM319" i="2"/>
  <c r="BI318" i="2"/>
  <c r="BH318" i="2"/>
  <c r="AL318" i="2"/>
  <c r="AI318" i="2"/>
  <c r="AG318" i="2"/>
  <c r="O318" i="2"/>
  <c r="W318" i="2"/>
  <c r="M318" i="2"/>
  <c r="V318" i="2"/>
  <c r="K318" i="2"/>
  <c r="BI317" i="2"/>
  <c r="BH317" i="2"/>
  <c r="AL317" i="2"/>
  <c r="AI317" i="2"/>
  <c r="AG317" i="2"/>
  <c r="O317" i="2"/>
  <c r="W317" i="2"/>
  <c r="M317" i="2"/>
  <c r="V317" i="2"/>
  <c r="K317" i="2"/>
  <c r="BI316" i="2"/>
  <c r="BH316" i="2"/>
  <c r="AL316" i="2"/>
  <c r="AI316" i="2"/>
  <c r="AG316" i="2"/>
  <c r="O316" i="2"/>
  <c r="W316" i="2"/>
  <c r="M316" i="2"/>
  <c r="V316" i="2"/>
  <c r="K316" i="2"/>
  <c r="U316" i="2"/>
  <c r="BI315" i="2"/>
  <c r="BH315" i="2"/>
  <c r="AL315" i="2"/>
  <c r="AI315" i="2"/>
  <c r="AG315" i="2"/>
  <c r="O315" i="2"/>
  <c r="W315" i="2"/>
  <c r="M315" i="2"/>
  <c r="V315" i="2"/>
  <c r="K315" i="2"/>
  <c r="AI314" i="2"/>
  <c r="AG314" i="2"/>
  <c r="O314" i="2"/>
  <c r="W314" i="2"/>
  <c r="M314" i="2"/>
  <c r="V314" i="2"/>
  <c r="K314" i="2"/>
  <c r="BI313" i="2"/>
  <c r="BH313" i="2"/>
  <c r="AL313" i="2"/>
  <c r="AI313" i="2"/>
  <c r="AG313" i="2"/>
  <c r="O313" i="2"/>
  <c r="W313" i="2"/>
  <c r="M313" i="2"/>
  <c r="V313" i="2"/>
  <c r="K313" i="2"/>
  <c r="U313" i="2"/>
  <c r="BI312" i="2"/>
  <c r="BH312" i="2"/>
  <c r="AL312" i="2"/>
  <c r="AI312" i="2"/>
  <c r="AG312" i="2"/>
  <c r="O312" i="2"/>
  <c r="W312" i="2"/>
  <c r="M312" i="2"/>
  <c r="V312" i="2"/>
  <c r="K312" i="2"/>
  <c r="U312" i="2"/>
  <c r="BI311" i="2"/>
  <c r="BH311" i="2"/>
  <c r="AL311" i="2"/>
  <c r="AI311" i="2"/>
  <c r="AG311" i="2"/>
  <c r="O311" i="2"/>
  <c r="W311" i="2"/>
  <c r="M311" i="2"/>
  <c r="V311" i="2"/>
  <c r="K311" i="2"/>
  <c r="AE311" i="2"/>
  <c r="AM311" i="2"/>
  <c r="BI310" i="2"/>
  <c r="BH310" i="2"/>
  <c r="AL310" i="2"/>
  <c r="AI310" i="2"/>
  <c r="AG310" i="2"/>
  <c r="O310" i="2"/>
  <c r="W310" i="2"/>
  <c r="M310" i="2"/>
  <c r="V310" i="2"/>
  <c r="K310" i="2"/>
  <c r="AE310" i="2"/>
  <c r="BI309" i="2"/>
  <c r="BH309" i="2"/>
  <c r="AL309" i="2"/>
  <c r="AI309" i="2"/>
  <c r="AG309" i="2"/>
  <c r="O309" i="2"/>
  <c r="M309" i="2"/>
  <c r="V309" i="2"/>
  <c r="K309" i="2"/>
  <c r="AE309" i="2"/>
  <c r="AM309" i="2"/>
  <c r="AS309" i="2"/>
  <c r="AI308" i="2"/>
  <c r="AG308" i="2"/>
  <c r="O308" i="2"/>
  <c r="W308" i="2"/>
  <c r="M308" i="2"/>
  <c r="V308" i="2"/>
  <c r="K308" i="2"/>
  <c r="BI307" i="2"/>
  <c r="BH307" i="2"/>
  <c r="AL307" i="2"/>
  <c r="AI307" i="2"/>
  <c r="AG307" i="2"/>
  <c r="O307" i="2"/>
  <c r="W307" i="2"/>
  <c r="M307" i="2"/>
  <c r="K307" i="2"/>
  <c r="AE307" i="2"/>
  <c r="BI306" i="2"/>
  <c r="BH306" i="2"/>
  <c r="AL306" i="2"/>
  <c r="AI306" i="2"/>
  <c r="AG306" i="2"/>
  <c r="O306" i="2"/>
  <c r="W306" i="2"/>
  <c r="M306" i="2"/>
  <c r="V306" i="2"/>
  <c r="K306" i="2"/>
  <c r="AE306" i="2"/>
  <c r="AI305" i="2"/>
  <c r="AG305" i="2"/>
  <c r="O305" i="2"/>
  <c r="W305" i="2"/>
  <c r="M305" i="2"/>
  <c r="V305" i="2"/>
  <c r="K305" i="2"/>
  <c r="AE305" i="2"/>
  <c r="AI304" i="2"/>
  <c r="AG304" i="2"/>
  <c r="O304" i="2"/>
  <c r="W304" i="2"/>
  <c r="M304" i="2"/>
  <c r="V304" i="2"/>
  <c r="K304" i="2"/>
  <c r="AI303" i="2"/>
  <c r="AG303" i="2"/>
  <c r="O303" i="2"/>
  <c r="W303" i="2"/>
  <c r="M303" i="2"/>
  <c r="V303" i="2"/>
  <c r="K303" i="2"/>
  <c r="L303" i="2"/>
  <c r="BI302" i="2"/>
  <c r="BH302" i="2"/>
  <c r="AL302" i="2"/>
  <c r="AI302" i="2"/>
  <c r="AG302" i="2"/>
  <c r="O302" i="2"/>
  <c r="W302" i="2"/>
  <c r="M302" i="2"/>
  <c r="V302" i="2"/>
  <c r="K302" i="2"/>
  <c r="AE302" i="2"/>
  <c r="AI301" i="2"/>
  <c r="AG301" i="2"/>
  <c r="O301" i="2"/>
  <c r="W301" i="2"/>
  <c r="M301" i="2"/>
  <c r="V301" i="2"/>
  <c r="K301" i="2"/>
  <c r="U301" i="2"/>
  <c r="BI300" i="2"/>
  <c r="BH300" i="2"/>
  <c r="AL300" i="2"/>
  <c r="AI300" i="2"/>
  <c r="AG300" i="2"/>
  <c r="O300" i="2"/>
  <c r="W300" i="2"/>
  <c r="M300" i="2"/>
  <c r="V300" i="2"/>
  <c r="K300" i="2"/>
  <c r="AE300" i="2"/>
  <c r="AI299" i="2"/>
  <c r="AG299" i="2"/>
  <c r="O299" i="2"/>
  <c r="W299" i="2"/>
  <c r="M299" i="2"/>
  <c r="V299" i="2"/>
  <c r="K299" i="2"/>
  <c r="AI298" i="2"/>
  <c r="AG298" i="2"/>
  <c r="O298" i="2"/>
  <c r="W298" i="2"/>
  <c r="M298" i="2"/>
  <c r="K298" i="2"/>
  <c r="U298" i="2"/>
  <c r="BI297" i="2"/>
  <c r="BH297" i="2"/>
  <c r="AL297" i="2"/>
  <c r="AI297" i="2"/>
  <c r="AG297" i="2"/>
  <c r="O297" i="2"/>
  <c r="M297" i="2"/>
  <c r="V297" i="2"/>
  <c r="K297" i="2"/>
  <c r="AE297" i="2"/>
  <c r="BI296" i="2"/>
  <c r="BH296" i="2"/>
  <c r="AL296" i="2"/>
  <c r="AI296" i="2"/>
  <c r="AG296" i="2"/>
  <c r="O296" i="2"/>
  <c r="W296" i="2"/>
  <c r="M296" i="2"/>
  <c r="V296" i="2"/>
  <c r="K296" i="2"/>
  <c r="U296" i="2"/>
  <c r="AI295" i="2"/>
  <c r="AG295" i="2"/>
  <c r="O295" i="2"/>
  <c r="W295" i="2"/>
  <c r="M295" i="2"/>
  <c r="V295" i="2"/>
  <c r="K295" i="2"/>
  <c r="AE295" i="2"/>
  <c r="AI294" i="2"/>
  <c r="AG294" i="2"/>
  <c r="O294" i="2"/>
  <c r="W294" i="2"/>
  <c r="M294" i="2"/>
  <c r="V294" i="2"/>
  <c r="K294" i="2"/>
  <c r="AE294" i="2"/>
  <c r="AM294" i="2"/>
  <c r="AN294" i="2"/>
  <c r="BI293" i="2"/>
  <c r="BH293" i="2"/>
  <c r="AL293" i="2"/>
  <c r="AI293" i="2"/>
  <c r="AG293" i="2"/>
  <c r="O293" i="2"/>
  <c r="W293" i="2"/>
  <c r="M293" i="2"/>
  <c r="V293" i="2"/>
  <c r="K293" i="2"/>
  <c r="BI292" i="2"/>
  <c r="BH292" i="2"/>
  <c r="AL292" i="2"/>
  <c r="AI292" i="2"/>
  <c r="AG292" i="2"/>
  <c r="O292" i="2"/>
  <c r="M292" i="2"/>
  <c r="V292" i="2"/>
  <c r="K292" i="2"/>
  <c r="U292" i="2"/>
  <c r="BI291" i="2"/>
  <c r="BH291" i="2"/>
  <c r="AL291" i="2"/>
  <c r="AI291" i="2"/>
  <c r="AG291" i="2"/>
  <c r="O291" i="2"/>
  <c r="W291" i="2"/>
  <c r="M291" i="2"/>
  <c r="V291" i="2"/>
  <c r="K291" i="2"/>
  <c r="AI290" i="2"/>
  <c r="AG290" i="2"/>
  <c r="O290" i="2"/>
  <c r="W290" i="2"/>
  <c r="M290" i="2"/>
  <c r="V290" i="2"/>
  <c r="K290" i="2"/>
  <c r="AI289" i="2"/>
  <c r="AG289" i="2"/>
  <c r="O289" i="2"/>
  <c r="W289" i="2"/>
  <c r="M289" i="2"/>
  <c r="V289" i="2"/>
  <c r="K289" i="2"/>
  <c r="AE289" i="2"/>
  <c r="BI288" i="2"/>
  <c r="BH288" i="2"/>
  <c r="AL288" i="2"/>
  <c r="AI288" i="2"/>
  <c r="AG288" i="2"/>
  <c r="O288" i="2"/>
  <c r="W288" i="2"/>
  <c r="M288" i="2"/>
  <c r="V288" i="2"/>
  <c r="K288" i="2"/>
  <c r="AI287" i="2"/>
  <c r="AG287" i="2"/>
  <c r="O287" i="2"/>
  <c r="W287" i="2"/>
  <c r="M287" i="2"/>
  <c r="V287" i="2"/>
  <c r="K287" i="2"/>
  <c r="AE287" i="2"/>
  <c r="BI286" i="2"/>
  <c r="BH286" i="2"/>
  <c r="AL286" i="2"/>
  <c r="AI286" i="2"/>
  <c r="AG286" i="2"/>
  <c r="O286" i="2"/>
  <c r="W286" i="2"/>
  <c r="M286" i="2"/>
  <c r="V286" i="2"/>
  <c r="K286" i="2"/>
  <c r="BI285" i="2"/>
  <c r="BH285" i="2"/>
  <c r="AL285" i="2"/>
  <c r="AI285" i="2"/>
  <c r="AG285" i="2"/>
  <c r="O285" i="2"/>
  <c r="M285" i="2"/>
  <c r="V285" i="2"/>
  <c r="K285" i="2"/>
  <c r="U285" i="2"/>
  <c r="BI284" i="2"/>
  <c r="BH284" i="2"/>
  <c r="AL284" i="2"/>
  <c r="AI284" i="2"/>
  <c r="AG284" i="2"/>
  <c r="O284" i="2"/>
  <c r="W284" i="2"/>
  <c r="M284" i="2"/>
  <c r="V284" i="2"/>
  <c r="K284" i="2"/>
  <c r="AI283" i="2"/>
  <c r="AG283" i="2"/>
  <c r="O283" i="2"/>
  <c r="W283" i="2"/>
  <c r="M283" i="2"/>
  <c r="V283" i="2"/>
  <c r="K283" i="2"/>
  <c r="AI282" i="2"/>
  <c r="AG282" i="2"/>
  <c r="O282" i="2"/>
  <c r="M282" i="2"/>
  <c r="V282" i="2"/>
  <c r="K282" i="2"/>
  <c r="AE282" i="2"/>
  <c r="AF282" i="2"/>
  <c r="AL282" i="2"/>
  <c r="AI281" i="2"/>
  <c r="AG281" i="2"/>
  <c r="O281" i="2"/>
  <c r="W281" i="2"/>
  <c r="M281" i="2"/>
  <c r="V281" i="2"/>
  <c r="K281" i="2"/>
  <c r="L281" i="2"/>
  <c r="BI280" i="2"/>
  <c r="BH280" i="2"/>
  <c r="AL280" i="2"/>
  <c r="AI280" i="2"/>
  <c r="AG280" i="2"/>
  <c r="O280" i="2"/>
  <c r="M280" i="2"/>
  <c r="V280" i="2"/>
  <c r="K280" i="2"/>
  <c r="AE280" i="2"/>
  <c r="AM280" i="2"/>
  <c r="AI279" i="2"/>
  <c r="O279" i="2"/>
  <c r="W279" i="2"/>
  <c r="M279" i="2"/>
  <c r="AG279" i="2"/>
  <c r="K279" i="2"/>
  <c r="AE279" i="2"/>
  <c r="AI278" i="2"/>
  <c r="AG278" i="2"/>
  <c r="O278" i="2"/>
  <c r="W278" i="2"/>
  <c r="M278" i="2"/>
  <c r="V278" i="2"/>
  <c r="K278" i="2"/>
  <c r="L278" i="2"/>
  <c r="BI277" i="2"/>
  <c r="BH277" i="2"/>
  <c r="AL277" i="2"/>
  <c r="AI277" i="2"/>
  <c r="AG277" i="2"/>
  <c r="O277" i="2"/>
  <c r="W277" i="2"/>
  <c r="M277" i="2"/>
  <c r="V277" i="2"/>
  <c r="K277" i="2"/>
  <c r="BI276" i="2"/>
  <c r="BH276" i="2"/>
  <c r="AL276" i="2"/>
  <c r="AI276" i="2"/>
  <c r="AG276" i="2"/>
  <c r="O276" i="2"/>
  <c r="W276" i="2"/>
  <c r="M276" i="2"/>
  <c r="V276" i="2"/>
  <c r="K276" i="2"/>
  <c r="AE276" i="2"/>
  <c r="AM276" i="2"/>
  <c r="AI275" i="2"/>
  <c r="AG275" i="2"/>
  <c r="O275" i="2"/>
  <c r="W275" i="2"/>
  <c r="M275" i="2"/>
  <c r="V275" i="2"/>
  <c r="K275" i="2"/>
  <c r="AI273" i="2"/>
  <c r="O273" i="2"/>
  <c r="W273" i="2"/>
  <c r="M273" i="2"/>
  <c r="K273" i="2"/>
  <c r="AE273" i="2"/>
  <c r="AM273" i="2"/>
  <c r="AN273" i="2"/>
  <c r="AI270" i="2"/>
  <c r="AG270" i="2"/>
  <c r="O270" i="2"/>
  <c r="W270" i="2"/>
  <c r="M270" i="2"/>
  <c r="V270" i="2"/>
  <c r="K270" i="2"/>
  <c r="BI268" i="2"/>
  <c r="BH268" i="2"/>
  <c r="AL268" i="2"/>
  <c r="AI268" i="2"/>
  <c r="AG268" i="2"/>
  <c r="O268" i="2"/>
  <c r="W268" i="2"/>
  <c r="M268" i="2"/>
  <c r="V268" i="2"/>
  <c r="K268" i="2"/>
  <c r="AI267" i="2"/>
  <c r="O267" i="2"/>
  <c r="W267" i="2"/>
  <c r="M267" i="2"/>
  <c r="AG267" i="2"/>
  <c r="K267" i="2"/>
  <c r="AE267" i="2"/>
  <c r="AF267" i="2"/>
  <c r="BI266" i="2"/>
  <c r="BH266" i="2"/>
  <c r="AL266" i="2"/>
  <c r="AI266" i="2"/>
  <c r="AG266" i="2"/>
  <c r="O266" i="2"/>
  <c r="W266" i="2"/>
  <c r="M266" i="2"/>
  <c r="V266" i="2"/>
  <c r="K266" i="2"/>
  <c r="AE266" i="2"/>
  <c r="BI265" i="2"/>
  <c r="BH265" i="2"/>
  <c r="AL265" i="2"/>
  <c r="AI265" i="2"/>
  <c r="AG265" i="2"/>
  <c r="O265" i="2"/>
  <c r="W265" i="2"/>
  <c r="M265" i="2"/>
  <c r="V265" i="2"/>
  <c r="K265" i="2"/>
  <c r="BI264" i="2"/>
  <c r="BH264" i="2"/>
  <c r="AL264" i="2"/>
  <c r="AI264" i="2"/>
  <c r="AG264" i="2"/>
  <c r="O264" i="2"/>
  <c r="W264" i="2"/>
  <c r="M264" i="2"/>
  <c r="V264" i="2"/>
  <c r="K264" i="2"/>
  <c r="BI263" i="2"/>
  <c r="BH263" i="2"/>
  <c r="AL263" i="2"/>
  <c r="AI263" i="2"/>
  <c r="AG263" i="2"/>
  <c r="O263" i="2"/>
  <c r="W263" i="2"/>
  <c r="M263" i="2"/>
  <c r="V263" i="2"/>
  <c r="K263" i="2"/>
  <c r="BI262" i="2"/>
  <c r="BH262" i="2"/>
  <c r="AL262" i="2"/>
  <c r="AI262" i="2"/>
  <c r="AG262" i="2"/>
  <c r="O262" i="2"/>
  <c r="W262" i="2"/>
  <c r="M262" i="2"/>
  <c r="V262" i="2"/>
  <c r="K262" i="2"/>
  <c r="BI261" i="2"/>
  <c r="BH261" i="2"/>
  <c r="AL261" i="2"/>
  <c r="AI261" i="2"/>
  <c r="AG261" i="2"/>
  <c r="O261" i="2"/>
  <c r="W261" i="2"/>
  <c r="M261" i="2"/>
  <c r="V261" i="2"/>
  <c r="K261" i="2"/>
  <c r="U261" i="2"/>
  <c r="BI260" i="2"/>
  <c r="BH260" i="2"/>
  <c r="AL260" i="2"/>
  <c r="AI260" i="2"/>
  <c r="AG260" i="2"/>
  <c r="O260" i="2"/>
  <c r="W260" i="2"/>
  <c r="M260" i="2"/>
  <c r="V260" i="2"/>
  <c r="K260" i="2"/>
  <c r="BI259" i="2"/>
  <c r="BH259" i="2"/>
  <c r="AL259" i="2"/>
  <c r="AI259" i="2"/>
  <c r="AG259" i="2"/>
  <c r="O259" i="2"/>
  <c r="W259" i="2"/>
  <c r="M259" i="2"/>
  <c r="V259" i="2"/>
  <c r="K259" i="2"/>
  <c r="U259" i="2"/>
  <c r="BI257" i="2"/>
  <c r="BH257" i="2"/>
  <c r="AL257" i="2"/>
  <c r="AI257" i="2"/>
  <c r="AG257" i="2"/>
  <c r="O257" i="2"/>
  <c r="W257" i="2"/>
  <c r="M257" i="2"/>
  <c r="V257" i="2"/>
  <c r="K257" i="2"/>
  <c r="U257" i="2"/>
  <c r="AI256" i="2"/>
  <c r="AG256" i="2"/>
  <c r="O256" i="2"/>
  <c r="W256" i="2"/>
  <c r="M256" i="2"/>
  <c r="V256" i="2"/>
  <c r="K256" i="2"/>
  <c r="L256" i="2"/>
  <c r="BI255" i="2"/>
  <c r="BH255" i="2"/>
  <c r="AL255" i="2"/>
  <c r="AI255" i="2"/>
  <c r="AG255" i="2"/>
  <c r="O255" i="2"/>
  <c r="W255" i="2"/>
  <c r="M255" i="2"/>
  <c r="V255" i="2"/>
  <c r="K255" i="2"/>
  <c r="BI254" i="2"/>
  <c r="BH254" i="2"/>
  <c r="AL254" i="2"/>
  <c r="AI254" i="2"/>
  <c r="AG254" i="2"/>
  <c r="O254" i="2"/>
  <c r="W254" i="2"/>
  <c r="M254" i="2"/>
  <c r="V254" i="2"/>
  <c r="K254" i="2"/>
  <c r="BI253" i="2"/>
  <c r="BH253" i="2"/>
  <c r="AL253" i="2"/>
  <c r="AI253" i="2"/>
  <c r="AG253" i="2"/>
  <c r="O253" i="2"/>
  <c r="W253" i="2"/>
  <c r="M253" i="2"/>
  <c r="V253" i="2"/>
  <c r="K253" i="2"/>
  <c r="BI252" i="2"/>
  <c r="BH252" i="2"/>
  <c r="AL252" i="2"/>
  <c r="AI252" i="2"/>
  <c r="AG252" i="2"/>
  <c r="O252" i="2"/>
  <c r="W252" i="2"/>
  <c r="M252" i="2"/>
  <c r="V252" i="2"/>
  <c r="K252" i="2"/>
  <c r="U252" i="2"/>
  <c r="AI251" i="2"/>
  <c r="AG251" i="2"/>
  <c r="O251" i="2"/>
  <c r="W251" i="2"/>
  <c r="M251" i="2"/>
  <c r="V251" i="2"/>
  <c r="K251" i="2"/>
  <c r="AE251" i="2"/>
  <c r="AI250" i="2"/>
  <c r="AG250" i="2"/>
  <c r="O250" i="2"/>
  <c r="W250" i="2"/>
  <c r="M250" i="2"/>
  <c r="V250" i="2"/>
  <c r="K250" i="2"/>
  <c r="AE250" i="2"/>
  <c r="BI249" i="2"/>
  <c r="BH249" i="2"/>
  <c r="AL249" i="2"/>
  <c r="AI249" i="2"/>
  <c r="AG249" i="2"/>
  <c r="O249" i="2"/>
  <c r="W249" i="2"/>
  <c r="M249" i="2"/>
  <c r="V249" i="2"/>
  <c r="K249" i="2"/>
  <c r="AI248" i="2"/>
  <c r="AG248" i="2"/>
  <c r="O248" i="2"/>
  <c r="W248" i="2"/>
  <c r="M248" i="2"/>
  <c r="V248" i="2"/>
  <c r="K248" i="2"/>
  <c r="AE248" i="2"/>
  <c r="AI247" i="2"/>
  <c r="AG247" i="2"/>
  <c r="O247" i="2"/>
  <c r="W247" i="2"/>
  <c r="M247" i="2"/>
  <c r="K247" i="2"/>
  <c r="U247" i="2"/>
  <c r="BI246" i="2"/>
  <c r="BH246" i="2"/>
  <c r="AL246" i="2"/>
  <c r="AI246" i="2"/>
  <c r="AG246" i="2"/>
  <c r="O246" i="2"/>
  <c r="W246" i="2"/>
  <c r="M246" i="2"/>
  <c r="V246" i="2"/>
  <c r="K246" i="2"/>
  <c r="BI245" i="2"/>
  <c r="BH245" i="2"/>
  <c r="AL245" i="2"/>
  <c r="AI245" i="2"/>
  <c r="AG245" i="2"/>
  <c r="O245" i="2"/>
  <c r="W245" i="2"/>
  <c r="M245" i="2"/>
  <c r="V245" i="2"/>
  <c r="K245" i="2"/>
  <c r="AE245" i="2"/>
  <c r="BI244" i="2"/>
  <c r="BH244" i="2"/>
  <c r="AL244" i="2"/>
  <c r="AI244" i="2"/>
  <c r="AG244" i="2"/>
  <c r="O244" i="2"/>
  <c r="W244" i="2"/>
  <c r="M244" i="2"/>
  <c r="V244" i="2"/>
  <c r="K244" i="2"/>
  <c r="AE244" i="2"/>
  <c r="AM244" i="2"/>
  <c r="BI243" i="2"/>
  <c r="BH243" i="2"/>
  <c r="AL243" i="2"/>
  <c r="AI243" i="2"/>
  <c r="AG243" i="2"/>
  <c r="O243" i="2"/>
  <c r="M243" i="2"/>
  <c r="V243" i="2"/>
  <c r="K243" i="2"/>
  <c r="AI242" i="2"/>
  <c r="AG242" i="2"/>
  <c r="O242" i="2"/>
  <c r="W242" i="2"/>
  <c r="M242" i="2"/>
  <c r="V242" i="2"/>
  <c r="K242" i="2"/>
  <c r="AE242" i="2"/>
  <c r="AM242" i="2"/>
  <c r="AN242" i="2"/>
  <c r="AI241" i="2"/>
  <c r="AG241" i="2"/>
  <c r="O241" i="2"/>
  <c r="W241" i="2"/>
  <c r="M241" i="2"/>
  <c r="V241" i="2"/>
  <c r="K241" i="2"/>
  <c r="AI240" i="2"/>
  <c r="AG240" i="2"/>
  <c r="O240" i="2"/>
  <c r="M240" i="2"/>
  <c r="V240" i="2"/>
  <c r="K240" i="2"/>
  <c r="U240" i="2"/>
  <c r="BI239" i="2"/>
  <c r="BH239" i="2"/>
  <c r="AL239" i="2"/>
  <c r="AI239" i="2"/>
  <c r="AG239" i="2"/>
  <c r="O239" i="2"/>
  <c r="W239" i="2"/>
  <c r="M239" i="2"/>
  <c r="V239" i="2"/>
  <c r="K239" i="2"/>
  <c r="AI238" i="2"/>
  <c r="AG238" i="2"/>
  <c r="O238" i="2"/>
  <c r="W238" i="2"/>
  <c r="M238" i="2"/>
  <c r="V238" i="2"/>
  <c r="K238" i="2"/>
  <c r="BI237" i="2"/>
  <c r="BH237" i="2"/>
  <c r="AL237" i="2"/>
  <c r="AI237" i="2"/>
  <c r="AG237" i="2"/>
  <c r="O237" i="2"/>
  <c r="W237" i="2"/>
  <c r="M237" i="2"/>
  <c r="V237" i="2"/>
  <c r="K237" i="2"/>
  <c r="BI236" i="2"/>
  <c r="BH236" i="2"/>
  <c r="AL236" i="2"/>
  <c r="AI236" i="2"/>
  <c r="AG236" i="2"/>
  <c r="O236" i="2"/>
  <c r="W236" i="2"/>
  <c r="M236" i="2"/>
  <c r="V236" i="2"/>
  <c r="K236" i="2"/>
  <c r="BI235" i="2"/>
  <c r="BH235" i="2"/>
  <c r="AL235" i="2"/>
  <c r="AI235" i="2"/>
  <c r="AG235" i="2"/>
  <c r="O235" i="2"/>
  <c r="W235" i="2"/>
  <c r="M235" i="2"/>
  <c r="V235" i="2"/>
  <c r="K235" i="2"/>
  <c r="AE235" i="2"/>
  <c r="AI234" i="2"/>
  <c r="AG234" i="2"/>
  <c r="O234" i="2"/>
  <c r="W234" i="2"/>
  <c r="M234" i="2"/>
  <c r="V234" i="2"/>
  <c r="K234" i="2"/>
  <c r="AE234" i="2"/>
  <c r="BI233" i="2"/>
  <c r="BH233" i="2"/>
  <c r="AL233" i="2"/>
  <c r="AI233" i="2"/>
  <c r="AG233" i="2"/>
  <c r="O233" i="2"/>
  <c r="W233" i="2"/>
  <c r="M233" i="2"/>
  <c r="V233" i="2"/>
  <c r="K233" i="2"/>
  <c r="AI232" i="2"/>
  <c r="AG232" i="2"/>
  <c r="O232" i="2"/>
  <c r="W232" i="2"/>
  <c r="M232" i="2"/>
  <c r="V232" i="2"/>
  <c r="K232" i="2"/>
  <c r="AI231" i="2"/>
  <c r="AG231" i="2"/>
  <c r="O231" i="2"/>
  <c r="W231" i="2"/>
  <c r="M231" i="2"/>
  <c r="V231" i="2"/>
  <c r="K231" i="2"/>
  <c r="AE231" i="2"/>
  <c r="AM231" i="2"/>
  <c r="AN231" i="2"/>
  <c r="AI230" i="2"/>
  <c r="AG230" i="2"/>
  <c r="O230" i="2"/>
  <c r="W230" i="2"/>
  <c r="M230" i="2"/>
  <c r="V230" i="2"/>
  <c r="K230" i="2"/>
  <c r="U230" i="2"/>
  <c r="AI229" i="2"/>
  <c r="AG229" i="2"/>
  <c r="O229" i="2"/>
  <c r="W229" i="2"/>
  <c r="M229" i="2"/>
  <c r="V229" i="2"/>
  <c r="K229" i="2"/>
  <c r="AE229" i="2"/>
  <c r="AM229" i="2"/>
  <c r="AN229" i="2"/>
  <c r="BI228" i="2"/>
  <c r="BH228" i="2"/>
  <c r="AL228" i="2"/>
  <c r="AI228" i="2"/>
  <c r="AG228" i="2"/>
  <c r="O228" i="2"/>
  <c r="W228" i="2"/>
  <c r="M228" i="2"/>
  <c r="V228" i="2"/>
  <c r="K228" i="2"/>
  <c r="AE228" i="2"/>
  <c r="BI227" i="2"/>
  <c r="BH227" i="2"/>
  <c r="AL227" i="2"/>
  <c r="AI227" i="2"/>
  <c r="AG227" i="2"/>
  <c r="O227" i="2"/>
  <c r="W227" i="2"/>
  <c r="M227" i="2"/>
  <c r="V227" i="2"/>
  <c r="K227" i="2"/>
  <c r="BI226" i="2"/>
  <c r="BH226" i="2"/>
  <c r="AL226" i="2"/>
  <c r="AI226" i="2"/>
  <c r="AG226" i="2"/>
  <c r="O226" i="2"/>
  <c r="W226" i="2"/>
  <c r="M226" i="2"/>
  <c r="V226" i="2"/>
  <c r="K226" i="2"/>
  <c r="BI225" i="2"/>
  <c r="BH225" i="2"/>
  <c r="AL225" i="2"/>
  <c r="AI225" i="2"/>
  <c r="AG225" i="2"/>
  <c r="O225" i="2"/>
  <c r="W225" i="2"/>
  <c r="M225" i="2"/>
  <c r="V225" i="2"/>
  <c r="K225" i="2"/>
  <c r="AE225" i="2"/>
  <c r="BI224" i="2"/>
  <c r="BH224" i="2"/>
  <c r="AL224" i="2"/>
  <c r="AI224" i="2"/>
  <c r="AG224" i="2"/>
  <c r="O224" i="2"/>
  <c r="W224" i="2"/>
  <c r="M224" i="2"/>
  <c r="V224" i="2"/>
  <c r="K224" i="2"/>
  <c r="AE224" i="2"/>
  <c r="AM224" i="2"/>
  <c r="AN224" i="2"/>
  <c r="AI223" i="2"/>
  <c r="AG223" i="2"/>
  <c r="O223" i="2"/>
  <c r="W223" i="2"/>
  <c r="M223" i="2"/>
  <c r="V223" i="2"/>
  <c r="K223" i="2"/>
  <c r="AI222" i="2"/>
  <c r="AG222" i="2"/>
  <c r="O222" i="2"/>
  <c r="W222" i="2"/>
  <c r="M222" i="2"/>
  <c r="V222" i="2"/>
  <c r="K222" i="2"/>
  <c r="U222" i="2"/>
  <c r="BI221" i="2"/>
  <c r="BH221" i="2"/>
  <c r="AL221" i="2"/>
  <c r="AI221" i="2"/>
  <c r="AG221" i="2"/>
  <c r="O221" i="2"/>
  <c r="W221" i="2"/>
  <c r="M221" i="2"/>
  <c r="V221" i="2"/>
  <c r="K221" i="2"/>
  <c r="BI220" i="2"/>
  <c r="BH220" i="2"/>
  <c r="AL220" i="2"/>
  <c r="AI220" i="2"/>
  <c r="AG220" i="2"/>
  <c r="O220" i="2"/>
  <c r="W220" i="2"/>
  <c r="M220" i="2"/>
  <c r="V220" i="2"/>
  <c r="K220" i="2"/>
  <c r="BI219" i="2"/>
  <c r="BH219" i="2"/>
  <c r="AL219" i="2"/>
  <c r="AI219" i="2"/>
  <c r="AG219" i="2"/>
  <c r="O219" i="2"/>
  <c r="W219" i="2"/>
  <c r="M219" i="2"/>
  <c r="V219" i="2"/>
  <c r="K219" i="2"/>
  <c r="AE219" i="2"/>
  <c r="BI218" i="2"/>
  <c r="BH218" i="2"/>
  <c r="AL218" i="2"/>
  <c r="AI218" i="2"/>
  <c r="AG218" i="2"/>
  <c r="O218" i="2"/>
  <c r="W218" i="2"/>
  <c r="M218" i="2"/>
  <c r="V218" i="2"/>
  <c r="K218" i="2"/>
  <c r="BI217" i="2"/>
  <c r="BH217" i="2"/>
  <c r="AL217" i="2"/>
  <c r="AI217" i="2"/>
  <c r="AG217" i="2"/>
  <c r="O217" i="2"/>
  <c r="W217" i="2"/>
  <c r="M217" i="2"/>
  <c r="V217" i="2"/>
  <c r="K217" i="2"/>
  <c r="AE217" i="2"/>
  <c r="AM217" i="2"/>
  <c r="AN217" i="2"/>
  <c r="AI216" i="2"/>
  <c r="AG216" i="2"/>
  <c r="O216" i="2"/>
  <c r="W216" i="2"/>
  <c r="M216" i="2"/>
  <c r="V216" i="2"/>
  <c r="K216" i="2"/>
  <c r="AE216" i="2"/>
  <c r="AI215" i="2"/>
  <c r="AG215" i="2"/>
  <c r="O215" i="2"/>
  <c r="W215" i="2"/>
  <c r="M215" i="2"/>
  <c r="V215" i="2"/>
  <c r="K215" i="2"/>
  <c r="AE215" i="2"/>
  <c r="AI214" i="2"/>
  <c r="O214" i="2"/>
  <c r="W214" i="2"/>
  <c r="M214" i="2"/>
  <c r="V214" i="2"/>
  <c r="K214" i="2"/>
  <c r="AE214" i="2"/>
  <c r="AI213" i="2"/>
  <c r="AG213" i="2"/>
  <c r="O213" i="2"/>
  <c r="W213" i="2"/>
  <c r="M213" i="2"/>
  <c r="K213" i="2"/>
  <c r="BI212" i="2"/>
  <c r="BH212" i="2"/>
  <c r="AL212" i="2"/>
  <c r="AI212" i="2"/>
  <c r="AG212" i="2"/>
  <c r="O212" i="2"/>
  <c r="W212" i="2"/>
  <c r="M212" i="2"/>
  <c r="V212" i="2"/>
  <c r="K212" i="2"/>
  <c r="AE212" i="2"/>
  <c r="BI211" i="2"/>
  <c r="BH211" i="2"/>
  <c r="AL211" i="2"/>
  <c r="AI211" i="2"/>
  <c r="AG211" i="2"/>
  <c r="O211" i="2"/>
  <c r="W211" i="2"/>
  <c r="M211" i="2"/>
  <c r="V211" i="2"/>
  <c r="K211" i="2"/>
  <c r="AI210" i="2"/>
  <c r="AG210" i="2"/>
  <c r="O210" i="2"/>
  <c r="W210" i="2"/>
  <c r="M210" i="2"/>
  <c r="V210" i="2"/>
  <c r="K210" i="2"/>
  <c r="L210" i="2"/>
  <c r="BI209" i="2"/>
  <c r="BH209" i="2"/>
  <c r="AL209" i="2"/>
  <c r="AI209" i="2"/>
  <c r="AG209" i="2"/>
  <c r="O209" i="2"/>
  <c r="W209" i="2"/>
  <c r="M209" i="2"/>
  <c r="V209" i="2"/>
  <c r="K209" i="2"/>
  <c r="BI208" i="2"/>
  <c r="BH208" i="2"/>
  <c r="AL208" i="2"/>
  <c r="AI208" i="2"/>
  <c r="AG208" i="2"/>
  <c r="O208" i="2"/>
  <c r="W208" i="2"/>
  <c r="M208" i="2"/>
  <c r="V208" i="2"/>
  <c r="K208" i="2"/>
  <c r="U208" i="2"/>
  <c r="BI207" i="2"/>
  <c r="BH207" i="2"/>
  <c r="AL207" i="2"/>
  <c r="AI207" i="2"/>
  <c r="AG207" i="2"/>
  <c r="O207" i="2"/>
  <c r="W207" i="2"/>
  <c r="M207" i="2"/>
  <c r="V207" i="2"/>
  <c r="K207" i="2"/>
  <c r="U207" i="2"/>
  <c r="AI206" i="2"/>
  <c r="AG206" i="2"/>
  <c r="O206" i="2"/>
  <c r="W206" i="2"/>
  <c r="M206" i="2"/>
  <c r="V206" i="2"/>
  <c r="K206" i="2"/>
  <c r="AE206" i="2"/>
  <c r="AF206" i="2"/>
  <c r="AL206" i="2"/>
  <c r="AI205" i="2"/>
  <c r="AG205" i="2"/>
  <c r="O205" i="2"/>
  <c r="W205" i="2"/>
  <c r="M205" i="2"/>
  <c r="V205" i="2"/>
  <c r="K205" i="2"/>
  <c r="AI204" i="2"/>
  <c r="AG204" i="2"/>
  <c r="O204" i="2"/>
  <c r="M204" i="2"/>
  <c r="V204" i="2"/>
  <c r="K204" i="2"/>
  <c r="AE204" i="2"/>
  <c r="BI203" i="2"/>
  <c r="BH203" i="2"/>
  <c r="AL203" i="2"/>
  <c r="AI203" i="2"/>
  <c r="AG203" i="2"/>
  <c r="O203" i="2"/>
  <c r="W203" i="2"/>
  <c r="M203" i="2"/>
  <c r="V203" i="2"/>
  <c r="K203" i="2"/>
  <c r="AI202" i="2"/>
  <c r="AG202" i="2"/>
  <c r="O202" i="2"/>
  <c r="W202" i="2"/>
  <c r="M202" i="2"/>
  <c r="V202" i="2"/>
  <c r="K202" i="2"/>
  <c r="U202" i="2"/>
  <c r="AI201" i="2"/>
  <c r="AG201" i="2"/>
  <c r="O201" i="2"/>
  <c r="W201" i="2"/>
  <c r="M201" i="2"/>
  <c r="V201" i="2"/>
  <c r="K201" i="2"/>
  <c r="AE201" i="2"/>
  <c r="BI200" i="2"/>
  <c r="BH200" i="2"/>
  <c r="AL200" i="2"/>
  <c r="AI200" i="2"/>
  <c r="AG200" i="2"/>
  <c r="O200" i="2"/>
  <c r="W200" i="2"/>
  <c r="M200" i="2"/>
  <c r="V200" i="2"/>
  <c r="K200" i="2"/>
  <c r="AE200" i="2"/>
  <c r="AI199" i="2"/>
  <c r="AG199" i="2"/>
  <c r="O199" i="2"/>
  <c r="W199" i="2"/>
  <c r="M199" i="2"/>
  <c r="V199" i="2"/>
  <c r="K199" i="2"/>
  <c r="U199" i="2"/>
  <c r="AI198" i="2"/>
  <c r="AG198" i="2"/>
  <c r="O198" i="2"/>
  <c r="W198" i="2"/>
  <c r="M198" i="2"/>
  <c r="V198" i="2"/>
  <c r="K198" i="2"/>
  <c r="L198" i="2"/>
  <c r="BI197" i="2"/>
  <c r="BH197" i="2"/>
  <c r="AL197" i="2"/>
  <c r="AI197" i="2"/>
  <c r="AG197" i="2"/>
  <c r="O197" i="2"/>
  <c r="W197" i="2"/>
  <c r="M197" i="2"/>
  <c r="V197" i="2"/>
  <c r="K197" i="2"/>
  <c r="AI196" i="2"/>
  <c r="AG196" i="2"/>
  <c r="O196" i="2"/>
  <c r="W196" i="2"/>
  <c r="M196" i="2"/>
  <c r="V196" i="2"/>
  <c r="K196" i="2"/>
  <c r="L196" i="2"/>
  <c r="AI195" i="2"/>
  <c r="AG195" i="2"/>
  <c r="O195" i="2"/>
  <c r="W195" i="2"/>
  <c r="M195" i="2"/>
  <c r="V195" i="2"/>
  <c r="K195" i="2"/>
  <c r="AI194" i="2"/>
  <c r="AG194" i="2"/>
  <c r="O194" i="2"/>
  <c r="W194" i="2"/>
  <c r="M194" i="2"/>
  <c r="V194" i="2"/>
  <c r="K194" i="2"/>
  <c r="U194" i="2"/>
  <c r="AI193" i="2"/>
  <c r="AG193" i="2"/>
  <c r="O193" i="2"/>
  <c r="W193" i="2"/>
  <c r="M193" i="2"/>
  <c r="V193" i="2"/>
  <c r="K193" i="2"/>
  <c r="U193" i="2"/>
  <c r="BI192" i="2"/>
  <c r="BH192" i="2"/>
  <c r="AL192" i="2"/>
  <c r="AI192" i="2"/>
  <c r="AG192" i="2"/>
  <c r="O192" i="2"/>
  <c r="W192" i="2"/>
  <c r="M192" i="2"/>
  <c r="V192" i="2"/>
  <c r="K192" i="2"/>
  <c r="BI191" i="2"/>
  <c r="BH191" i="2"/>
  <c r="AL191" i="2"/>
  <c r="AI191" i="2"/>
  <c r="AG191" i="2"/>
  <c r="O191" i="2"/>
  <c r="W191" i="2"/>
  <c r="M191" i="2"/>
  <c r="V191" i="2"/>
  <c r="K191" i="2"/>
  <c r="AI190" i="2"/>
  <c r="AG190" i="2"/>
  <c r="O190" i="2"/>
  <c r="W190" i="2"/>
  <c r="M190" i="2"/>
  <c r="V190" i="2"/>
  <c r="K190" i="2"/>
  <c r="BI189" i="2"/>
  <c r="BH189" i="2"/>
  <c r="AL189" i="2"/>
  <c r="AI189" i="2"/>
  <c r="AG189" i="2"/>
  <c r="O189" i="2"/>
  <c r="W189" i="2"/>
  <c r="M189" i="2"/>
  <c r="V189" i="2"/>
  <c r="K189" i="2"/>
  <c r="AE189" i="2"/>
  <c r="BI188" i="2"/>
  <c r="BH188" i="2"/>
  <c r="AL188" i="2"/>
  <c r="AI188" i="2"/>
  <c r="AG188" i="2"/>
  <c r="O188" i="2"/>
  <c r="W188" i="2"/>
  <c r="M188" i="2"/>
  <c r="V188" i="2"/>
  <c r="K188" i="2"/>
  <c r="AE188" i="2"/>
  <c r="BI187" i="2"/>
  <c r="BH187" i="2"/>
  <c r="AL187" i="2"/>
  <c r="AI187" i="2"/>
  <c r="AG187" i="2"/>
  <c r="O187" i="2"/>
  <c r="W187" i="2"/>
  <c r="M187" i="2"/>
  <c r="V187" i="2"/>
  <c r="K187" i="2"/>
  <c r="BI186" i="2"/>
  <c r="BH186" i="2"/>
  <c r="AL186" i="2"/>
  <c r="AI186" i="2"/>
  <c r="AG186" i="2"/>
  <c r="O186" i="2"/>
  <c r="W186" i="2"/>
  <c r="M186" i="2"/>
  <c r="V186" i="2"/>
  <c r="K186" i="2"/>
  <c r="AE186" i="2"/>
  <c r="BI185" i="2"/>
  <c r="BH185" i="2"/>
  <c r="AL185" i="2"/>
  <c r="AI185" i="2"/>
  <c r="AG185" i="2"/>
  <c r="O185" i="2"/>
  <c r="W185" i="2"/>
  <c r="M185" i="2"/>
  <c r="V185" i="2"/>
  <c r="K185" i="2"/>
  <c r="U185" i="2"/>
  <c r="BI184" i="2"/>
  <c r="BH184" i="2"/>
  <c r="AL184" i="2"/>
  <c r="AI184" i="2"/>
  <c r="AG184" i="2"/>
  <c r="O184" i="2"/>
  <c r="W184" i="2"/>
  <c r="M184" i="2"/>
  <c r="V184" i="2"/>
  <c r="K184" i="2"/>
  <c r="BI183" i="2"/>
  <c r="BH183" i="2"/>
  <c r="AL183" i="2"/>
  <c r="AI183" i="2"/>
  <c r="AG183" i="2"/>
  <c r="O183" i="2"/>
  <c r="W183" i="2"/>
  <c r="M183" i="2"/>
  <c r="V183" i="2"/>
  <c r="K183" i="2"/>
  <c r="AE183" i="2"/>
  <c r="BI182" i="2"/>
  <c r="BH182" i="2"/>
  <c r="AL182" i="2"/>
  <c r="AI182" i="2"/>
  <c r="AG182" i="2"/>
  <c r="O182" i="2"/>
  <c r="W182" i="2"/>
  <c r="M182" i="2"/>
  <c r="V182" i="2"/>
  <c r="K182" i="2"/>
  <c r="AE182" i="2"/>
  <c r="BI181" i="2"/>
  <c r="BH181" i="2"/>
  <c r="AL181" i="2"/>
  <c r="AI181" i="2"/>
  <c r="AG181" i="2"/>
  <c r="O181" i="2"/>
  <c r="W181" i="2"/>
  <c r="M181" i="2"/>
  <c r="K181" i="2"/>
  <c r="U181" i="2"/>
  <c r="BI180" i="2"/>
  <c r="BH180" i="2"/>
  <c r="AL180" i="2"/>
  <c r="AI180" i="2"/>
  <c r="AG180" i="2"/>
  <c r="O180" i="2"/>
  <c r="W180" i="2"/>
  <c r="M180" i="2"/>
  <c r="V180" i="2"/>
  <c r="K180" i="2"/>
  <c r="U180" i="2"/>
  <c r="BI179" i="2"/>
  <c r="BH179" i="2"/>
  <c r="AL179" i="2"/>
  <c r="AI179" i="2"/>
  <c r="AG179" i="2"/>
  <c r="O179" i="2"/>
  <c r="W179" i="2"/>
  <c r="M179" i="2"/>
  <c r="V179" i="2"/>
  <c r="K179" i="2"/>
  <c r="U179" i="2"/>
  <c r="BI178" i="2"/>
  <c r="BH178" i="2"/>
  <c r="AL178" i="2"/>
  <c r="AI178" i="2"/>
  <c r="AG178" i="2"/>
  <c r="O178" i="2"/>
  <c r="W178" i="2"/>
  <c r="M178" i="2"/>
  <c r="V178" i="2"/>
  <c r="K178" i="2"/>
  <c r="U178" i="2"/>
  <c r="BI177" i="2"/>
  <c r="BH177" i="2"/>
  <c r="AL177" i="2"/>
  <c r="AI177" i="2"/>
  <c r="AG177" i="2"/>
  <c r="O177" i="2"/>
  <c r="W177" i="2"/>
  <c r="M177" i="2"/>
  <c r="V177" i="2"/>
  <c r="K177" i="2"/>
  <c r="AI176" i="2"/>
  <c r="AG176" i="2"/>
  <c r="O176" i="2"/>
  <c r="W176" i="2"/>
  <c r="M176" i="2"/>
  <c r="K176" i="2"/>
  <c r="L176" i="2"/>
  <c r="BI175" i="2"/>
  <c r="BH175" i="2"/>
  <c r="AL175" i="2"/>
  <c r="AI175" i="2"/>
  <c r="AG175" i="2"/>
  <c r="O175" i="2"/>
  <c r="W175" i="2"/>
  <c r="M175" i="2"/>
  <c r="V175" i="2"/>
  <c r="K175" i="2"/>
  <c r="AE175" i="2"/>
  <c r="BI174" i="2"/>
  <c r="BH174" i="2"/>
  <c r="AL174" i="2"/>
  <c r="AI174" i="2"/>
  <c r="AG174" i="2"/>
  <c r="O174" i="2"/>
  <c r="W174" i="2"/>
  <c r="M174" i="2"/>
  <c r="V174" i="2"/>
  <c r="K174" i="2"/>
  <c r="BI173" i="2"/>
  <c r="BH173" i="2"/>
  <c r="AL173" i="2"/>
  <c r="AI173" i="2"/>
  <c r="AG173" i="2"/>
  <c r="O173" i="2"/>
  <c r="W173" i="2"/>
  <c r="M173" i="2"/>
  <c r="V173" i="2"/>
  <c r="K173" i="2"/>
  <c r="AE173" i="2"/>
  <c r="AI172" i="2"/>
  <c r="AG172" i="2"/>
  <c r="O172" i="2"/>
  <c r="W172" i="2"/>
  <c r="M172" i="2"/>
  <c r="V172" i="2"/>
  <c r="K172" i="2"/>
  <c r="AI171" i="2"/>
  <c r="AG171" i="2"/>
  <c r="O171" i="2"/>
  <c r="W171" i="2"/>
  <c r="M171" i="2"/>
  <c r="K171" i="2"/>
  <c r="AE171" i="2"/>
  <c r="AI170" i="2"/>
  <c r="AG170" i="2"/>
  <c r="O170" i="2"/>
  <c r="W170" i="2"/>
  <c r="M170" i="2"/>
  <c r="K170" i="2"/>
  <c r="L170" i="2"/>
  <c r="AI169" i="2"/>
  <c r="AG169" i="2"/>
  <c r="O169" i="2"/>
  <c r="W169" i="2"/>
  <c r="M169" i="2"/>
  <c r="V169" i="2"/>
  <c r="K169" i="2"/>
  <c r="AI168" i="2"/>
  <c r="AG168" i="2"/>
  <c r="O168" i="2"/>
  <c r="W168" i="2"/>
  <c r="M168" i="2"/>
  <c r="V168" i="2"/>
  <c r="K168" i="2"/>
  <c r="BI167" i="2"/>
  <c r="BH167" i="2"/>
  <c r="AL167" i="2"/>
  <c r="AI167" i="2"/>
  <c r="AG167" i="2"/>
  <c r="O167" i="2"/>
  <c r="W167" i="2"/>
  <c r="M167" i="2"/>
  <c r="V167" i="2"/>
  <c r="K167" i="2"/>
  <c r="AE167" i="2"/>
  <c r="BI166" i="2"/>
  <c r="BH166" i="2"/>
  <c r="AL166" i="2"/>
  <c r="AI166" i="2"/>
  <c r="AG166" i="2"/>
  <c r="O166" i="2"/>
  <c r="W166" i="2"/>
  <c r="M166" i="2"/>
  <c r="V166" i="2"/>
  <c r="K166" i="2"/>
  <c r="AI165" i="2"/>
  <c r="AG165" i="2"/>
  <c r="O165" i="2"/>
  <c r="W165" i="2"/>
  <c r="M165" i="2"/>
  <c r="V165" i="2"/>
  <c r="K165" i="2"/>
  <c r="L165" i="2"/>
  <c r="AI164" i="2"/>
  <c r="AG164" i="2"/>
  <c r="O164" i="2"/>
  <c r="W164" i="2"/>
  <c r="M164" i="2"/>
  <c r="V164" i="2"/>
  <c r="K164" i="2"/>
  <c r="L164" i="2"/>
  <c r="AI163" i="2"/>
  <c r="AG163" i="2"/>
  <c r="O163" i="2"/>
  <c r="W163" i="2"/>
  <c r="M163" i="2"/>
  <c r="V163" i="2"/>
  <c r="K163" i="2"/>
  <c r="L163" i="2"/>
  <c r="AI162" i="2"/>
  <c r="AG162" i="2"/>
  <c r="O162" i="2"/>
  <c r="W162" i="2"/>
  <c r="M162" i="2"/>
  <c r="V162" i="2"/>
  <c r="K162" i="2"/>
  <c r="AE162" i="2"/>
  <c r="BI161" i="2"/>
  <c r="BH161" i="2"/>
  <c r="AL161" i="2"/>
  <c r="AI161" i="2"/>
  <c r="AG161" i="2"/>
  <c r="O161" i="2"/>
  <c r="W161" i="2"/>
  <c r="M161" i="2"/>
  <c r="V161" i="2"/>
  <c r="K161" i="2"/>
  <c r="BI160" i="2"/>
  <c r="BH160" i="2"/>
  <c r="AL160" i="2"/>
  <c r="AI160" i="2"/>
  <c r="AG160" i="2"/>
  <c r="O160" i="2"/>
  <c r="W160" i="2"/>
  <c r="M160" i="2"/>
  <c r="V160" i="2"/>
  <c r="K160" i="2"/>
  <c r="BI159" i="2"/>
  <c r="BH159" i="2"/>
  <c r="AL159" i="2"/>
  <c r="AI159" i="2"/>
  <c r="AG159" i="2"/>
  <c r="O159" i="2"/>
  <c r="W159" i="2"/>
  <c r="M159" i="2"/>
  <c r="V159" i="2"/>
  <c r="K159" i="2"/>
  <c r="Q159" i="2"/>
  <c r="BI158" i="2"/>
  <c r="BH158" i="2"/>
  <c r="AL158" i="2"/>
  <c r="AI158" i="2"/>
  <c r="AG158" i="2"/>
  <c r="O158" i="2"/>
  <c r="W158" i="2"/>
  <c r="M158" i="2"/>
  <c r="V158" i="2"/>
  <c r="K158" i="2"/>
  <c r="AE158" i="2"/>
  <c r="BI157" i="2"/>
  <c r="BH157" i="2"/>
  <c r="AL157" i="2"/>
  <c r="AI157" i="2"/>
  <c r="AG157" i="2"/>
  <c r="O157" i="2"/>
  <c r="W157" i="2"/>
  <c r="M157" i="2"/>
  <c r="V157" i="2"/>
  <c r="K157" i="2"/>
  <c r="U157" i="2"/>
  <c r="AI156" i="2"/>
  <c r="AG156" i="2"/>
  <c r="O156" i="2"/>
  <c r="W156" i="2"/>
  <c r="M156" i="2"/>
  <c r="V156" i="2"/>
  <c r="K156" i="2"/>
  <c r="AI155" i="2"/>
  <c r="AG155" i="2"/>
  <c r="O155" i="2"/>
  <c r="W155" i="2"/>
  <c r="M155" i="2"/>
  <c r="V155" i="2"/>
  <c r="K155" i="2"/>
  <c r="AE155" i="2"/>
  <c r="BI154" i="2"/>
  <c r="BH154" i="2"/>
  <c r="AL154" i="2"/>
  <c r="AI154" i="2"/>
  <c r="AG154" i="2"/>
  <c r="O154" i="2"/>
  <c r="W154" i="2"/>
  <c r="M154" i="2"/>
  <c r="V154" i="2"/>
  <c r="K154" i="2"/>
  <c r="AE154" i="2"/>
  <c r="BI153" i="2"/>
  <c r="BH153" i="2"/>
  <c r="AL153" i="2"/>
  <c r="AI153" i="2"/>
  <c r="AG153" i="2"/>
  <c r="O153" i="2"/>
  <c r="W153" i="2"/>
  <c r="M153" i="2"/>
  <c r="V153" i="2"/>
  <c r="K153" i="2"/>
  <c r="BI152" i="2"/>
  <c r="BH152" i="2"/>
  <c r="AL152" i="2"/>
  <c r="AI152" i="2"/>
  <c r="AG152" i="2"/>
  <c r="O152" i="2"/>
  <c r="W152" i="2"/>
  <c r="M152" i="2"/>
  <c r="V152" i="2"/>
  <c r="K152" i="2"/>
  <c r="AI151" i="2"/>
  <c r="AG151" i="2"/>
  <c r="O151" i="2"/>
  <c r="W151" i="2"/>
  <c r="M151" i="2"/>
  <c r="V151" i="2"/>
  <c r="K151" i="2"/>
  <c r="AI150" i="2"/>
  <c r="AG150" i="2"/>
  <c r="O150" i="2"/>
  <c r="W150" i="2"/>
  <c r="M150" i="2"/>
  <c r="V150" i="2"/>
  <c r="K150" i="2"/>
  <c r="AE150" i="2"/>
  <c r="BI149" i="2"/>
  <c r="BH149" i="2"/>
  <c r="AL149" i="2"/>
  <c r="AI149" i="2"/>
  <c r="AG149" i="2"/>
  <c r="O149" i="2"/>
  <c r="W149" i="2"/>
  <c r="M149" i="2"/>
  <c r="V149" i="2"/>
  <c r="K149" i="2"/>
  <c r="BI148" i="2"/>
  <c r="BH148" i="2"/>
  <c r="AL148" i="2"/>
  <c r="AI148" i="2"/>
  <c r="AG148" i="2"/>
  <c r="O148" i="2"/>
  <c r="W148" i="2"/>
  <c r="M148" i="2"/>
  <c r="V148" i="2"/>
  <c r="K148" i="2"/>
  <c r="BI147" i="2"/>
  <c r="BH147" i="2"/>
  <c r="AL147" i="2"/>
  <c r="AI147" i="2"/>
  <c r="AG147" i="2"/>
  <c r="O147" i="2"/>
  <c r="W147" i="2"/>
  <c r="M147" i="2"/>
  <c r="V147" i="2"/>
  <c r="K147" i="2"/>
  <c r="AE147" i="2"/>
  <c r="BI146" i="2"/>
  <c r="BH146" i="2"/>
  <c r="AL146" i="2"/>
  <c r="AI146" i="2"/>
  <c r="AG146" i="2"/>
  <c r="O146" i="2"/>
  <c r="W146" i="2"/>
  <c r="M146" i="2"/>
  <c r="V146" i="2"/>
  <c r="K146" i="2"/>
  <c r="U146" i="2"/>
  <c r="AI145" i="2"/>
  <c r="AG145" i="2"/>
  <c r="O145" i="2"/>
  <c r="W145" i="2"/>
  <c r="M145" i="2"/>
  <c r="V145" i="2"/>
  <c r="K145" i="2"/>
  <c r="AI144" i="2"/>
  <c r="AG144" i="2"/>
  <c r="O144" i="2"/>
  <c r="W144" i="2"/>
  <c r="M144" i="2"/>
  <c r="V144" i="2"/>
  <c r="K144" i="2"/>
  <c r="AE144" i="2"/>
  <c r="BI143" i="2"/>
  <c r="BH143" i="2"/>
  <c r="AL143" i="2"/>
  <c r="AI143" i="2"/>
  <c r="AG143" i="2"/>
  <c r="O143" i="2"/>
  <c r="W143" i="2"/>
  <c r="M143" i="2"/>
  <c r="V143" i="2"/>
  <c r="K143" i="2"/>
  <c r="AI142" i="2"/>
  <c r="AG142" i="2"/>
  <c r="O142" i="2"/>
  <c r="W142" i="2"/>
  <c r="M142" i="2"/>
  <c r="V142" i="2"/>
  <c r="K142" i="2"/>
  <c r="AI141" i="2"/>
  <c r="AG141" i="2"/>
  <c r="O141" i="2"/>
  <c r="W141" i="2"/>
  <c r="M141" i="2"/>
  <c r="V141" i="2"/>
  <c r="K141" i="2"/>
  <c r="AE141" i="2"/>
  <c r="BI140" i="2"/>
  <c r="BH140" i="2"/>
  <c r="AL140" i="2"/>
  <c r="AI140" i="2"/>
  <c r="AG140" i="2"/>
  <c r="O140" i="2"/>
  <c r="W140" i="2"/>
  <c r="M140" i="2"/>
  <c r="V140" i="2"/>
  <c r="K140" i="2"/>
  <c r="AE140" i="2"/>
  <c r="AI139" i="2"/>
  <c r="AG139" i="2"/>
  <c r="O139" i="2"/>
  <c r="W139" i="2"/>
  <c r="M139" i="2"/>
  <c r="V139" i="2"/>
  <c r="K139" i="2"/>
  <c r="BI138" i="2"/>
  <c r="BH138" i="2"/>
  <c r="AL138" i="2"/>
  <c r="AI138" i="2"/>
  <c r="AG138" i="2"/>
  <c r="O138" i="2"/>
  <c r="W138" i="2"/>
  <c r="M138" i="2"/>
  <c r="V138" i="2"/>
  <c r="K138" i="2"/>
  <c r="AE138" i="2"/>
  <c r="BI137" i="2"/>
  <c r="BH137" i="2"/>
  <c r="AL137" i="2"/>
  <c r="AI137" i="2"/>
  <c r="AG137" i="2"/>
  <c r="O137" i="2"/>
  <c r="W137" i="2"/>
  <c r="M137" i="2"/>
  <c r="V137" i="2"/>
  <c r="K137" i="2"/>
  <c r="AI136" i="2"/>
  <c r="O136" i="2"/>
  <c r="W136" i="2"/>
  <c r="M136" i="2"/>
  <c r="K136" i="2"/>
  <c r="AE136" i="2"/>
  <c r="BI135" i="2"/>
  <c r="BH135" i="2"/>
  <c r="AL135" i="2"/>
  <c r="AI135" i="2"/>
  <c r="AG135" i="2"/>
  <c r="O135" i="2"/>
  <c r="M135" i="2"/>
  <c r="V135" i="2"/>
  <c r="K135" i="2"/>
  <c r="U135" i="2"/>
  <c r="AI134" i="2"/>
  <c r="O134" i="2"/>
  <c r="W134" i="2"/>
  <c r="M134" i="2"/>
  <c r="AG134" i="2"/>
  <c r="AO134" i="2"/>
  <c r="K134" i="2"/>
  <c r="BI133" i="2"/>
  <c r="BH133" i="2"/>
  <c r="AL133" i="2"/>
  <c r="AI133" i="2"/>
  <c r="AG133" i="2"/>
  <c r="O133" i="2"/>
  <c r="W133" i="2"/>
  <c r="M133" i="2"/>
  <c r="V133" i="2"/>
  <c r="K133" i="2"/>
  <c r="AI132" i="2"/>
  <c r="AG132" i="2"/>
  <c r="O132" i="2"/>
  <c r="W132" i="2"/>
  <c r="M132" i="2"/>
  <c r="V132" i="2"/>
  <c r="K132" i="2"/>
  <c r="BI131" i="2"/>
  <c r="BH131" i="2"/>
  <c r="AL131" i="2"/>
  <c r="AI131" i="2"/>
  <c r="AG131" i="2"/>
  <c r="O131" i="2"/>
  <c r="W131" i="2"/>
  <c r="M131" i="2"/>
  <c r="V131" i="2"/>
  <c r="K131" i="2"/>
  <c r="U131" i="2"/>
  <c r="BI130" i="2"/>
  <c r="BH130" i="2"/>
  <c r="AL130" i="2"/>
  <c r="AI130" i="2"/>
  <c r="AG130" i="2"/>
  <c r="O130" i="2"/>
  <c r="W130" i="2"/>
  <c r="M130" i="2"/>
  <c r="V130" i="2"/>
  <c r="K130" i="2"/>
  <c r="AE130" i="2"/>
  <c r="AI129" i="2"/>
  <c r="O129" i="2"/>
  <c r="W129" i="2"/>
  <c r="M129" i="2"/>
  <c r="K129" i="2"/>
  <c r="BI127" i="2"/>
  <c r="BH127" i="2"/>
  <c r="AL127" i="2"/>
  <c r="AI127" i="2"/>
  <c r="O127" i="2"/>
  <c r="W127" i="2"/>
  <c r="M127" i="2"/>
  <c r="V127" i="2"/>
  <c r="K127" i="2"/>
  <c r="U127" i="2"/>
  <c r="BI126" i="2"/>
  <c r="BH126" i="2"/>
  <c r="AL126" i="2"/>
  <c r="AI126" i="2"/>
  <c r="AG126" i="2"/>
  <c r="O126" i="2"/>
  <c r="W126" i="2"/>
  <c r="M126" i="2"/>
  <c r="V126" i="2"/>
  <c r="K126" i="2"/>
  <c r="U126" i="2"/>
  <c r="BI125" i="2"/>
  <c r="BH125" i="2"/>
  <c r="AL125" i="2"/>
  <c r="AI125" i="2"/>
  <c r="AG125" i="2"/>
  <c r="O125" i="2"/>
  <c r="W125" i="2"/>
  <c r="M125" i="2"/>
  <c r="V125" i="2"/>
  <c r="K125" i="2"/>
  <c r="AE125" i="2"/>
  <c r="BI124" i="2"/>
  <c r="BH124" i="2"/>
  <c r="AL124" i="2"/>
  <c r="AI124" i="2"/>
  <c r="AG124" i="2"/>
  <c r="O124" i="2"/>
  <c r="M124" i="2"/>
  <c r="V124" i="2"/>
  <c r="K124" i="2"/>
  <c r="AE124" i="2"/>
  <c r="BI123" i="2"/>
  <c r="BH123" i="2"/>
  <c r="AL123" i="2"/>
  <c r="AI123" i="2"/>
  <c r="O123" i="2"/>
  <c r="W123" i="2"/>
  <c r="M123" i="2"/>
  <c r="AG123" i="2"/>
  <c r="K123" i="2"/>
  <c r="AE123" i="2"/>
  <c r="BI122" i="2"/>
  <c r="BH122" i="2"/>
  <c r="AL122" i="2"/>
  <c r="AI122" i="2"/>
  <c r="AG122" i="2"/>
  <c r="O122" i="2"/>
  <c r="W122" i="2"/>
  <c r="M122" i="2"/>
  <c r="V122" i="2"/>
  <c r="K122" i="2"/>
  <c r="AE122" i="2"/>
  <c r="AM122" i="2"/>
  <c r="AN122" i="2"/>
  <c r="BI121" i="2"/>
  <c r="BH121" i="2"/>
  <c r="AL121" i="2"/>
  <c r="AI121" i="2"/>
  <c r="AG121" i="2"/>
  <c r="O121" i="2"/>
  <c r="W121" i="2"/>
  <c r="M121" i="2"/>
  <c r="K121" i="2"/>
  <c r="BI120" i="2"/>
  <c r="BH120" i="2"/>
  <c r="AL120" i="2"/>
  <c r="AI120" i="2"/>
  <c r="AG120" i="2"/>
  <c r="O120" i="2"/>
  <c r="W120" i="2"/>
  <c r="M120" i="2"/>
  <c r="V120" i="2"/>
  <c r="K120" i="2"/>
  <c r="AE120" i="2"/>
  <c r="AI119" i="2"/>
  <c r="AG119" i="2"/>
  <c r="O119" i="2"/>
  <c r="W119" i="2"/>
  <c r="M119" i="2"/>
  <c r="V119" i="2"/>
  <c r="K119" i="2"/>
  <c r="U119" i="2"/>
  <c r="BI118" i="2"/>
  <c r="BH118" i="2"/>
  <c r="AL118" i="2"/>
  <c r="AI118" i="2"/>
  <c r="AG118" i="2"/>
  <c r="O118" i="2"/>
  <c r="W118" i="2"/>
  <c r="M118" i="2"/>
  <c r="V118" i="2"/>
  <c r="K118" i="2"/>
  <c r="BI117" i="2"/>
  <c r="BH117" i="2"/>
  <c r="AL117" i="2"/>
  <c r="AI117" i="2"/>
  <c r="AG117" i="2"/>
  <c r="O117" i="2"/>
  <c r="W117" i="2"/>
  <c r="M117" i="2"/>
  <c r="V117" i="2"/>
  <c r="K117" i="2"/>
  <c r="AE117" i="2"/>
  <c r="AM117" i="2"/>
  <c r="AI116" i="2"/>
  <c r="AG116" i="2"/>
  <c r="O116" i="2"/>
  <c r="W116" i="2"/>
  <c r="M116" i="2"/>
  <c r="V116" i="2"/>
  <c r="K116" i="2"/>
  <c r="AI115" i="2"/>
  <c r="O115" i="2"/>
  <c r="W115" i="2"/>
  <c r="M115" i="2"/>
  <c r="AG115" i="2"/>
  <c r="K115" i="2"/>
  <c r="AI114" i="2"/>
  <c r="O114" i="2"/>
  <c r="W114" i="2"/>
  <c r="M114" i="2"/>
  <c r="V114" i="2"/>
  <c r="K114" i="2"/>
  <c r="AE114" i="2"/>
  <c r="AI113" i="2"/>
  <c r="AG113" i="2"/>
  <c r="O113" i="2"/>
  <c r="W113" i="2"/>
  <c r="M113" i="2"/>
  <c r="V113" i="2"/>
  <c r="K113" i="2"/>
  <c r="U113" i="2"/>
  <c r="AI112" i="2"/>
  <c r="O112" i="2"/>
  <c r="W112" i="2"/>
  <c r="M112" i="2"/>
  <c r="V112" i="2"/>
  <c r="K112" i="2"/>
  <c r="L112" i="2"/>
  <c r="BI111" i="2"/>
  <c r="BH111" i="2"/>
  <c r="AL111" i="2"/>
  <c r="AI111" i="2"/>
  <c r="O111" i="2"/>
  <c r="W111" i="2"/>
  <c r="M111" i="2"/>
  <c r="AG111" i="2"/>
  <c r="AO111" i="2"/>
  <c r="AP111" i="2"/>
  <c r="K111" i="2"/>
  <c r="AI109" i="2"/>
  <c r="AG109" i="2"/>
  <c r="O109" i="2"/>
  <c r="W109" i="2"/>
  <c r="M109" i="2"/>
  <c r="V109" i="2"/>
  <c r="K109" i="2"/>
  <c r="AI108" i="2"/>
  <c r="AG108" i="2"/>
  <c r="O108" i="2"/>
  <c r="W108" i="2"/>
  <c r="M108" i="2"/>
  <c r="V108" i="2"/>
  <c r="K108" i="2"/>
  <c r="AI107" i="2"/>
  <c r="AG107" i="2"/>
  <c r="O107" i="2"/>
  <c r="W107" i="2"/>
  <c r="M107" i="2"/>
  <c r="V107" i="2"/>
  <c r="K107" i="2"/>
  <c r="AE107" i="2"/>
  <c r="AI106" i="2"/>
  <c r="AG106" i="2"/>
  <c r="O106" i="2"/>
  <c r="W106" i="2"/>
  <c r="M106" i="2"/>
  <c r="V106" i="2"/>
  <c r="K106" i="2"/>
  <c r="BI105" i="2"/>
  <c r="BH105" i="2"/>
  <c r="AL105" i="2"/>
  <c r="AI105" i="2"/>
  <c r="AG105" i="2"/>
  <c r="O105" i="2"/>
  <c r="W105" i="2"/>
  <c r="M105" i="2"/>
  <c r="V105" i="2"/>
  <c r="K105" i="2"/>
  <c r="AI104" i="2"/>
  <c r="AG104" i="2"/>
  <c r="O104" i="2"/>
  <c r="M104" i="2"/>
  <c r="V104" i="2"/>
  <c r="K104" i="2"/>
  <c r="L104" i="2"/>
  <c r="BI103" i="2"/>
  <c r="BH103" i="2"/>
  <c r="AL103" i="2"/>
  <c r="AI103" i="2"/>
  <c r="AG103" i="2"/>
  <c r="O103" i="2"/>
  <c r="W103" i="2"/>
  <c r="M103" i="2"/>
  <c r="V103" i="2"/>
  <c r="K103" i="2"/>
  <c r="AI102" i="2"/>
  <c r="AG102" i="2"/>
  <c r="O102" i="2"/>
  <c r="W102" i="2"/>
  <c r="M102" i="2"/>
  <c r="V102" i="2"/>
  <c r="K102" i="2"/>
  <c r="L102" i="2"/>
  <c r="BI101" i="2"/>
  <c r="BH101" i="2"/>
  <c r="AL101" i="2"/>
  <c r="AI101" i="2"/>
  <c r="AG101" i="2"/>
  <c r="O101" i="2"/>
  <c r="W101" i="2"/>
  <c r="M101" i="2"/>
  <c r="V101" i="2"/>
  <c r="K101" i="2"/>
  <c r="AE101" i="2"/>
  <c r="AM101" i="2"/>
  <c r="AN101" i="2"/>
  <c r="BI100" i="2"/>
  <c r="BH100" i="2"/>
  <c r="AL100" i="2"/>
  <c r="AI100" i="2"/>
  <c r="AG100" i="2"/>
  <c r="O100" i="2"/>
  <c r="W100" i="2"/>
  <c r="M100" i="2"/>
  <c r="V100" i="2"/>
  <c r="K100" i="2"/>
  <c r="U100" i="2"/>
  <c r="BI99" i="2"/>
  <c r="BH99" i="2"/>
  <c r="AL99" i="2"/>
  <c r="AI99" i="2"/>
  <c r="AG99" i="2"/>
  <c r="O99" i="2"/>
  <c r="W99" i="2"/>
  <c r="M99" i="2"/>
  <c r="K99" i="2"/>
  <c r="U99" i="2"/>
  <c r="BI98" i="2"/>
  <c r="BH98" i="2"/>
  <c r="AL98" i="2"/>
  <c r="AI98" i="2"/>
  <c r="AG98" i="2"/>
  <c r="O98" i="2"/>
  <c r="W98" i="2"/>
  <c r="M98" i="2"/>
  <c r="V98" i="2"/>
  <c r="K98" i="2"/>
  <c r="AE98" i="2"/>
  <c r="AI97" i="2"/>
  <c r="AG97" i="2"/>
  <c r="O97" i="2"/>
  <c r="W97" i="2"/>
  <c r="M97" i="2"/>
  <c r="V97" i="2"/>
  <c r="K97" i="2"/>
  <c r="AE97" i="2"/>
  <c r="AF97" i="2"/>
  <c r="AL97" i="2"/>
  <c r="BI95" i="2"/>
  <c r="BH95" i="2"/>
  <c r="AL95" i="2"/>
  <c r="AI95" i="2"/>
  <c r="AG95" i="2"/>
  <c r="O95" i="2"/>
  <c r="W95" i="2"/>
  <c r="M95" i="2"/>
  <c r="V95" i="2"/>
  <c r="K95" i="2"/>
  <c r="AE95" i="2"/>
  <c r="BI94" i="2"/>
  <c r="BH94" i="2"/>
  <c r="AL94" i="2"/>
  <c r="AI94" i="2"/>
  <c r="AG94" i="2"/>
  <c r="O94" i="2"/>
  <c r="W94" i="2"/>
  <c r="M94" i="2"/>
  <c r="V94" i="2"/>
  <c r="K94" i="2"/>
  <c r="BI93" i="2"/>
  <c r="BH93" i="2"/>
  <c r="AL93" i="2"/>
  <c r="AI93" i="2"/>
  <c r="AG93" i="2"/>
  <c r="O93" i="2"/>
  <c r="W93" i="2"/>
  <c r="M93" i="2"/>
  <c r="V93" i="2"/>
  <c r="K93" i="2"/>
  <c r="AE93" i="2"/>
  <c r="BI92" i="2"/>
  <c r="BH92" i="2"/>
  <c r="AL92" i="2"/>
  <c r="AI92" i="2"/>
  <c r="AG92" i="2"/>
  <c r="O92" i="2"/>
  <c r="W92" i="2"/>
  <c r="M92" i="2"/>
  <c r="K92" i="2"/>
  <c r="AE92" i="2"/>
  <c r="AM92" i="2"/>
  <c r="AN92" i="2"/>
  <c r="AI91" i="2"/>
  <c r="O91" i="2"/>
  <c r="W91" i="2"/>
  <c r="M91" i="2"/>
  <c r="K91" i="2"/>
  <c r="AI90" i="2"/>
  <c r="AG90" i="2"/>
  <c r="O90" i="2"/>
  <c r="W90" i="2"/>
  <c r="M90" i="2"/>
  <c r="V90" i="2"/>
  <c r="K90" i="2"/>
  <c r="L90" i="2"/>
  <c r="BI89" i="2"/>
  <c r="BH89" i="2"/>
  <c r="AL89" i="2"/>
  <c r="AI89" i="2"/>
  <c r="AG89" i="2"/>
  <c r="O89" i="2"/>
  <c r="W89" i="2"/>
  <c r="M89" i="2"/>
  <c r="V89" i="2"/>
  <c r="K89" i="2"/>
  <c r="BI88" i="2"/>
  <c r="BH88" i="2"/>
  <c r="AL88" i="2"/>
  <c r="AI88" i="2"/>
  <c r="AG88" i="2"/>
  <c r="O88" i="2"/>
  <c r="W88" i="2"/>
  <c r="M88" i="2"/>
  <c r="V88" i="2"/>
  <c r="K88" i="2"/>
  <c r="AE88" i="2"/>
  <c r="BI87" i="2"/>
  <c r="BH87" i="2"/>
  <c r="AL87" i="2"/>
  <c r="AI87" i="2"/>
  <c r="AG87" i="2"/>
  <c r="O87" i="2"/>
  <c r="W87" i="2"/>
  <c r="M87" i="2"/>
  <c r="V87" i="2"/>
  <c r="K87" i="2"/>
  <c r="AI86" i="2"/>
  <c r="AG86" i="2"/>
  <c r="O86" i="2"/>
  <c r="W86" i="2"/>
  <c r="M86" i="2"/>
  <c r="V86" i="2"/>
  <c r="K86" i="2"/>
  <c r="BI85" i="2"/>
  <c r="BH85" i="2"/>
  <c r="AL85" i="2"/>
  <c r="AI85" i="2"/>
  <c r="AG85" i="2"/>
  <c r="O85" i="2"/>
  <c r="W85" i="2"/>
  <c r="M85" i="2"/>
  <c r="V85" i="2"/>
  <c r="K85" i="2"/>
  <c r="AI84" i="2"/>
  <c r="O84" i="2"/>
  <c r="W84" i="2"/>
  <c r="M84" i="2"/>
  <c r="N84" i="2"/>
  <c r="K84" i="2"/>
  <c r="U84" i="2"/>
  <c r="BI83" i="2"/>
  <c r="BH83" i="2"/>
  <c r="AL83" i="2"/>
  <c r="AI83" i="2"/>
  <c r="AG83" i="2"/>
  <c r="O83" i="2"/>
  <c r="W83" i="2"/>
  <c r="M83" i="2"/>
  <c r="V83" i="2"/>
  <c r="K83" i="2"/>
  <c r="AI82" i="2"/>
  <c r="AG82" i="2"/>
  <c r="O82" i="2"/>
  <c r="W82" i="2"/>
  <c r="M82" i="2"/>
  <c r="V82" i="2"/>
  <c r="K82" i="2"/>
  <c r="BI81" i="2"/>
  <c r="BH81" i="2"/>
  <c r="AL81" i="2"/>
  <c r="AI81" i="2"/>
  <c r="AG81" i="2"/>
  <c r="O81" i="2"/>
  <c r="W81" i="2"/>
  <c r="M81" i="2"/>
  <c r="V81" i="2"/>
  <c r="K81" i="2"/>
  <c r="U81" i="2"/>
  <c r="AI80" i="2"/>
  <c r="AG80" i="2"/>
  <c r="O80" i="2"/>
  <c r="W80" i="2"/>
  <c r="M80" i="2"/>
  <c r="V80" i="2"/>
  <c r="K80" i="2"/>
  <c r="AI79" i="2"/>
  <c r="O79" i="2"/>
  <c r="W79" i="2"/>
  <c r="M79" i="2"/>
  <c r="K79" i="2"/>
  <c r="AE79" i="2"/>
  <c r="AF79" i="2"/>
  <c r="AL79" i="2"/>
  <c r="BI78" i="2"/>
  <c r="BH78" i="2"/>
  <c r="AL78" i="2"/>
  <c r="AI78" i="2"/>
  <c r="AG78" i="2"/>
  <c r="O78" i="2"/>
  <c r="W78" i="2"/>
  <c r="M78" i="2"/>
  <c r="V78" i="2"/>
  <c r="K78" i="2"/>
  <c r="BI77" i="2"/>
  <c r="BH77" i="2"/>
  <c r="AL77" i="2"/>
  <c r="AI77" i="2"/>
  <c r="AG77" i="2"/>
  <c r="O77" i="2"/>
  <c r="W77" i="2"/>
  <c r="M77" i="2"/>
  <c r="V77" i="2"/>
  <c r="K77" i="2"/>
  <c r="AE77" i="2"/>
  <c r="AM77" i="2"/>
  <c r="BI76" i="2"/>
  <c r="BH76" i="2"/>
  <c r="AL76" i="2"/>
  <c r="AI76" i="2"/>
  <c r="AG76" i="2"/>
  <c r="O76" i="2"/>
  <c r="W76" i="2"/>
  <c r="M76" i="2"/>
  <c r="V76" i="2"/>
  <c r="K76" i="2"/>
  <c r="AE76" i="2"/>
  <c r="BI75" i="2"/>
  <c r="BH75" i="2"/>
  <c r="AL75" i="2"/>
  <c r="AI75" i="2"/>
  <c r="AG75" i="2"/>
  <c r="O75" i="2"/>
  <c r="W75" i="2"/>
  <c r="M75" i="2"/>
  <c r="V75" i="2"/>
  <c r="K75" i="2"/>
  <c r="AE75" i="2"/>
  <c r="AM75" i="2"/>
  <c r="AN75" i="2"/>
  <c r="BI74" i="2"/>
  <c r="BH74" i="2"/>
  <c r="AL74" i="2"/>
  <c r="AI74" i="2"/>
  <c r="AG74" i="2"/>
  <c r="O74" i="2"/>
  <c r="W74" i="2"/>
  <c r="M74" i="2"/>
  <c r="V74" i="2"/>
  <c r="K74" i="2"/>
  <c r="BI73" i="2"/>
  <c r="BH73" i="2"/>
  <c r="AL73" i="2"/>
  <c r="AI73" i="2"/>
  <c r="AG73" i="2"/>
  <c r="O73" i="2"/>
  <c r="M73" i="2"/>
  <c r="V73" i="2"/>
  <c r="K73" i="2"/>
  <c r="AE73" i="2"/>
  <c r="BI72" i="2"/>
  <c r="BH72" i="2"/>
  <c r="AL72" i="2"/>
  <c r="AI72" i="2"/>
  <c r="AG72" i="2"/>
  <c r="O72" i="2"/>
  <c r="W72" i="2"/>
  <c r="M72" i="2"/>
  <c r="V72" i="2"/>
  <c r="K72" i="2"/>
  <c r="AE72" i="2"/>
  <c r="BI71" i="2"/>
  <c r="BH71" i="2"/>
  <c r="AL71" i="2"/>
  <c r="AI71" i="2"/>
  <c r="AG71" i="2"/>
  <c r="O71" i="2"/>
  <c r="W71" i="2"/>
  <c r="M71" i="2"/>
  <c r="V71" i="2"/>
  <c r="K71" i="2"/>
  <c r="AE71" i="2"/>
  <c r="AM71" i="2"/>
  <c r="AN71" i="2"/>
  <c r="BI70" i="2"/>
  <c r="BH70" i="2"/>
  <c r="AL70" i="2"/>
  <c r="AI70" i="2"/>
  <c r="AG70" i="2"/>
  <c r="O70" i="2"/>
  <c r="W70" i="2"/>
  <c r="M70" i="2"/>
  <c r="V70" i="2"/>
  <c r="K70" i="2"/>
  <c r="U70" i="2"/>
  <c r="BI69" i="2"/>
  <c r="BH69" i="2"/>
  <c r="AL69" i="2"/>
  <c r="AI69" i="2"/>
  <c r="AG69" i="2"/>
  <c r="O69" i="2"/>
  <c r="W69" i="2"/>
  <c r="M69" i="2"/>
  <c r="V69" i="2"/>
  <c r="K69" i="2"/>
  <c r="BI68" i="2"/>
  <c r="BH68" i="2"/>
  <c r="AL68" i="2"/>
  <c r="AI68" i="2"/>
  <c r="AG68" i="2"/>
  <c r="O68" i="2"/>
  <c r="W68" i="2"/>
  <c r="M68" i="2"/>
  <c r="V68" i="2"/>
  <c r="K68" i="2"/>
  <c r="BI67" i="2"/>
  <c r="BH67" i="2"/>
  <c r="AL67" i="2"/>
  <c r="AI67" i="2"/>
  <c r="AG67" i="2"/>
  <c r="O67" i="2"/>
  <c r="W67" i="2"/>
  <c r="M67" i="2"/>
  <c r="V67" i="2"/>
  <c r="K67" i="2"/>
  <c r="AE67" i="2"/>
  <c r="BI66" i="2"/>
  <c r="BH66" i="2"/>
  <c r="AL66" i="2"/>
  <c r="AI66" i="2"/>
  <c r="AG66" i="2"/>
  <c r="O66" i="2"/>
  <c r="W66" i="2"/>
  <c r="M66" i="2"/>
  <c r="V66" i="2"/>
  <c r="K66" i="2"/>
  <c r="BI65" i="2"/>
  <c r="BH65" i="2"/>
  <c r="AL65" i="2"/>
  <c r="AI65" i="2"/>
  <c r="AG65" i="2"/>
  <c r="O65" i="2"/>
  <c r="W65" i="2"/>
  <c r="M65" i="2"/>
  <c r="V65" i="2"/>
  <c r="K65" i="2"/>
  <c r="U65" i="2"/>
  <c r="BI64" i="2"/>
  <c r="BH64" i="2"/>
  <c r="AL64" i="2"/>
  <c r="AI64" i="2"/>
  <c r="AG64" i="2"/>
  <c r="O64" i="2"/>
  <c r="W64" i="2"/>
  <c r="M64" i="2"/>
  <c r="V64" i="2"/>
  <c r="K64" i="2"/>
  <c r="BI63" i="2"/>
  <c r="BH63" i="2"/>
  <c r="AL63" i="2"/>
  <c r="AI63" i="2"/>
  <c r="AG63" i="2"/>
  <c r="O63" i="2"/>
  <c r="W63" i="2"/>
  <c r="M63" i="2"/>
  <c r="K63" i="2"/>
  <c r="AE63" i="2"/>
  <c r="AM63" i="2"/>
  <c r="AI62" i="2"/>
  <c r="AG62" i="2"/>
  <c r="O62" i="2"/>
  <c r="W62" i="2"/>
  <c r="M62" i="2"/>
  <c r="V62" i="2"/>
  <c r="K62" i="2"/>
  <c r="U62" i="2"/>
  <c r="AI61" i="2"/>
  <c r="AG61" i="2"/>
  <c r="O61" i="2"/>
  <c r="W61" i="2"/>
  <c r="M61" i="2"/>
  <c r="V61" i="2"/>
  <c r="K61" i="2"/>
  <c r="AI60" i="2"/>
  <c r="AG60" i="2"/>
  <c r="O60" i="2"/>
  <c r="W60" i="2"/>
  <c r="M60" i="2"/>
  <c r="V60" i="2"/>
  <c r="K60" i="2"/>
  <c r="AE60" i="2"/>
  <c r="AI59" i="2"/>
  <c r="AG59" i="2"/>
  <c r="O59" i="2"/>
  <c r="W59" i="2"/>
  <c r="M59" i="2"/>
  <c r="V59" i="2"/>
  <c r="K59" i="2"/>
  <c r="L59" i="2"/>
  <c r="BI58" i="2"/>
  <c r="BH58" i="2"/>
  <c r="AL58" i="2"/>
  <c r="AI58" i="2"/>
  <c r="AG58" i="2"/>
  <c r="O58" i="2"/>
  <c r="M58" i="2"/>
  <c r="V58" i="2"/>
  <c r="K58" i="2"/>
  <c r="AE58" i="2"/>
  <c r="BI57" i="2"/>
  <c r="BH57" i="2"/>
  <c r="AL57" i="2"/>
  <c r="AI57" i="2"/>
  <c r="AG57" i="2"/>
  <c r="O57" i="2"/>
  <c r="W57" i="2"/>
  <c r="M57" i="2"/>
  <c r="V57" i="2"/>
  <c r="K57" i="2"/>
  <c r="AE57" i="2"/>
  <c r="AM57" i="2"/>
  <c r="BI56" i="2"/>
  <c r="BH56" i="2"/>
  <c r="AL56" i="2"/>
  <c r="AI56" i="2"/>
  <c r="AG56" i="2"/>
  <c r="O56" i="2"/>
  <c r="W56" i="2"/>
  <c r="M56" i="2"/>
  <c r="V56" i="2"/>
  <c r="K56" i="2"/>
  <c r="BI55" i="2"/>
  <c r="BH55" i="2"/>
  <c r="AL55" i="2"/>
  <c r="AI55" i="2"/>
  <c r="AG55" i="2"/>
  <c r="O55" i="2"/>
  <c r="W55" i="2"/>
  <c r="M55" i="2"/>
  <c r="V55" i="2"/>
  <c r="K55" i="2"/>
  <c r="BI54" i="2"/>
  <c r="BH54" i="2"/>
  <c r="AL54" i="2"/>
  <c r="AI54" i="2"/>
  <c r="AG54" i="2"/>
  <c r="O54" i="2"/>
  <c r="W54" i="2"/>
  <c r="M54" i="2"/>
  <c r="K54" i="2"/>
  <c r="U54" i="2"/>
  <c r="AI53" i="2"/>
  <c r="AG53" i="2"/>
  <c r="O53" i="2"/>
  <c r="W53" i="2"/>
  <c r="M53" i="2"/>
  <c r="V53" i="2"/>
  <c r="K53" i="2"/>
  <c r="L53" i="2"/>
  <c r="AI52" i="2"/>
  <c r="AG52" i="2"/>
  <c r="O52" i="2"/>
  <c r="W52" i="2"/>
  <c r="M52" i="2"/>
  <c r="V52" i="2"/>
  <c r="K52" i="2"/>
  <c r="AE52" i="2"/>
  <c r="AI51" i="2"/>
  <c r="AG51" i="2"/>
  <c r="O51" i="2"/>
  <c r="W51" i="2"/>
  <c r="M51" i="2"/>
  <c r="V51" i="2"/>
  <c r="K51" i="2"/>
  <c r="AI50" i="2"/>
  <c r="AG50" i="2"/>
  <c r="O50" i="2"/>
  <c r="W50" i="2"/>
  <c r="M50" i="2"/>
  <c r="V50" i="2"/>
  <c r="K50" i="2"/>
  <c r="AE50" i="2"/>
  <c r="AI49" i="2"/>
  <c r="AG49" i="2"/>
  <c r="O49" i="2"/>
  <c r="M49" i="2"/>
  <c r="V49" i="2"/>
  <c r="K49" i="2"/>
  <c r="BI48" i="2"/>
  <c r="BH48" i="2"/>
  <c r="AL48" i="2"/>
  <c r="AI48" i="2"/>
  <c r="AG48" i="2"/>
  <c r="O48" i="2"/>
  <c r="W48" i="2"/>
  <c r="M48" i="2"/>
  <c r="V48" i="2"/>
  <c r="K48" i="2"/>
  <c r="AI47" i="2"/>
  <c r="AG47" i="2"/>
  <c r="O47" i="2"/>
  <c r="W47" i="2"/>
  <c r="M47" i="2"/>
  <c r="V47" i="2"/>
  <c r="K47" i="2"/>
  <c r="U47" i="2"/>
  <c r="AI46" i="2"/>
  <c r="AG46" i="2"/>
  <c r="O46" i="2"/>
  <c r="W46" i="2"/>
  <c r="M46" i="2"/>
  <c r="V46" i="2"/>
  <c r="K46" i="2"/>
  <c r="AI45" i="2"/>
  <c r="AG45" i="2"/>
  <c r="O45" i="2"/>
  <c r="W45" i="2"/>
  <c r="M45" i="2"/>
  <c r="V45" i="2"/>
  <c r="K45" i="2"/>
  <c r="AE45" i="2"/>
  <c r="AI44" i="2"/>
  <c r="AG44" i="2"/>
  <c r="O44" i="2"/>
  <c r="W44" i="2"/>
  <c r="M44" i="2"/>
  <c r="K44" i="2"/>
  <c r="U44" i="2"/>
  <c r="AI43" i="2"/>
  <c r="O43" i="2"/>
  <c r="W43" i="2"/>
  <c r="M43" i="2"/>
  <c r="K43" i="2"/>
  <c r="AE43" i="2"/>
  <c r="AI42" i="2"/>
  <c r="O42" i="2"/>
  <c r="W42" i="2"/>
  <c r="M42" i="2"/>
  <c r="AG42" i="2"/>
  <c r="AO42" i="2"/>
  <c r="K42" i="2"/>
  <c r="L42" i="2"/>
  <c r="AI41" i="2"/>
  <c r="AG41" i="2"/>
  <c r="O41" i="2"/>
  <c r="W41" i="2"/>
  <c r="M41" i="2"/>
  <c r="V41" i="2"/>
  <c r="K41" i="2"/>
  <c r="U41" i="2"/>
  <c r="AI39" i="2"/>
  <c r="AG39" i="2"/>
  <c r="O39" i="2"/>
  <c r="W39" i="2"/>
  <c r="M39" i="2"/>
  <c r="V39" i="2"/>
  <c r="K39" i="2"/>
  <c r="AI38" i="2"/>
  <c r="AG38" i="2"/>
  <c r="O38" i="2"/>
  <c r="M38" i="2"/>
  <c r="V38" i="2"/>
  <c r="K38" i="2"/>
  <c r="AI37" i="2"/>
  <c r="AG37" i="2"/>
  <c r="O37" i="2"/>
  <c r="W37" i="2"/>
  <c r="M37" i="2"/>
  <c r="V37" i="2"/>
  <c r="K37" i="2"/>
  <c r="AI36" i="2"/>
  <c r="AG36" i="2"/>
  <c r="O36" i="2"/>
  <c r="W36" i="2"/>
  <c r="M36" i="2"/>
  <c r="V36" i="2"/>
  <c r="K36" i="2"/>
  <c r="AE36" i="2"/>
  <c r="BI35" i="2"/>
  <c r="BH35" i="2"/>
  <c r="AL35" i="2"/>
  <c r="AI35" i="2"/>
  <c r="AG35" i="2"/>
  <c r="O35" i="2"/>
  <c r="W35" i="2"/>
  <c r="M35" i="2"/>
  <c r="V35" i="2"/>
  <c r="K35" i="2"/>
  <c r="BI34" i="2"/>
  <c r="BH34" i="2"/>
  <c r="AL34" i="2"/>
  <c r="AI34" i="2"/>
  <c r="AG34" i="2"/>
  <c r="O34" i="2"/>
  <c r="W34" i="2"/>
  <c r="M34" i="2"/>
  <c r="V34" i="2"/>
  <c r="K34" i="2"/>
  <c r="AE34" i="2"/>
  <c r="BI33" i="2"/>
  <c r="BH33" i="2"/>
  <c r="AL33" i="2"/>
  <c r="AI33" i="2"/>
  <c r="AG33" i="2"/>
  <c r="O33" i="2"/>
  <c r="W33" i="2"/>
  <c r="M33" i="2"/>
  <c r="K33" i="2"/>
  <c r="AE33" i="2"/>
  <c r="AM33" i="2"/>
  <c r="AN33" i="2"/>
  <c r="BI32" i="2"/>
  <c r="BH32" i="2"/>
  <c r="AL32" i="2"/>
  <c r="AI32" i="2"/>
  <c r="AG32" i="2"/>
  <c r="O32" i="2"/>
  <c r="W32" i="2"/>
  <c r="M32" i="2"/>
  <c r="V32" i="2"/>
  <c r="K32" i="2"/>
  <c r="AE32" i="2"/>
  <c r="AM32" i="2"/>
  <c r="BI31" i="2"/>
  <c r="BH31" i="2"/>
  <c r="AL31" i="2"/>
  <c r="AI31" i="2"/>
  <c r="AG31" i="2"/>
  <c r="O31" i="2"/>
  <c r="W31" i="2"/>
  <c r="M31" i="2"/>
  <c r="V31" i="2"/>
  <c r="K31" i="2"/>
  <c r="AE31" i="2"/>
  <c r="BI30" i="2"/>
  <c r="BH30" i="2"/>
  <c r="AL30" i="2"/>
  <c r="AI30" i="2"/>
  <c r="AG30" i="2"/>
  <c r="O30" i="2"/>
  <c r="W30" i="2"/>
  <c r="M30" i="2"/>
  <c r="V30" i="2"/>
  <c r="K30" i="2"/>
  <c r="AE30" i="2"/>
  <c r="BI29" i="2"/>
  <c r="BH29" i="2"/>
  <c r="AL29" i="2"/>
  <c r="AI29" i="2"/>
  <c r="AG29" i="2"/>
  <c r="O29" i="2"/>
  <c r="W29" i="2"/>
  <c r="M29" i="2"/>
  <c r="V29" i="2"/>
  <c r="K29" i="2"/>
  <c r="BI28" i="2"/>
  <c r="BH28" i="2"/>
  <c r="AL28" i="2"/>
  <c r="AI28" i="2"/>
  <c r="AG28" i="2"/>
  <c r="O28" i="2"/>
  <c r="W28" i="2"/>
  <c r="M28" i="2"/>
  <c r="V28" i="2"/>
  <c r="K28" i="2"/>
  <c r="BI27" i="2"/>
  <c r="BH27" i="2"/>
  <c r="AL27" i="2"/>
  <c r="AI27" i="2"/>
  <c r="AG27" i="2"/>
  <c r="O27" i="2"/>
  <c r="W27" i="2"/>
  <c r="M27" i="2"/>
  <c r="V27" i="2"/>
  <c r="K27" i="2"/>
  <c r="AI25" i="2"/>
  <c r="AG25" i="2"/>
  <c r="O25" i="2"/>
  <c r="W25" i="2"/>
  <c r="M25" i="2"/>
  <c r="V25" i="2"/>
  <c r="K25" i="2"/>
  <c r="U25" i="2"/>
  <c r="BI24" i="2"/>
  <c r="BH24" i="2"/>
  <c r="AL24" i="2"/>
  <c r="AI24" i="2"/>
  <c r="AG24" i="2"/>
  <c r="O24" i="2"/>
  <c r="W24" i="2"/>
  <c r="M24" i="2"/>
  <c r="V24" i="2"/>
  <c r="K24" i="2"/>
  <c r="AI23" i="2"/>
  <c r="O23" i="2"/>
  <c r="W23" i="2"/>
  <c r="M23" i="2"/>
  <c r="K23" i="2"/>
  <c r="L23" i="2"/>
  <c r="BI22" i="2"/>
  <c r="BH22" i="2"/>
  <c r="AL22" i="2"/>
  <c r="AI22" i="2"/>
  <c r="AG22" i="2"/>
  <c r="O22" i="2"/>
  <c r="W22" i="2"/>
  <c r="M22" i="2"/>
  <c r="V22" i="2"/>
  <c r="K22" i="2"/>
  <c r="BI21" i="2"/>
  <c r="BH21" i="2"/>
  <c r="AL21" i="2"/>
  <c r="AI21" i="2"/>
  <c r="AG21" i="2"/>
  <c r="O21" i="2"/>
  <c r="M21" i="2"/>
  <c r="V21" i="2"/>
  <c r="K21" i="2"/>
  <c r="AE21" i="2"/>
  <c r="AI19" i="2"/>
  <c r="O19" i="2"/>
  <c r="W19" i="2"/>
  <c r="M19" i="2"/>
  <c r="K19" i="2"/>
  <c r="BI18" i="2"/>
  <c r="BH18" i="2"/>
  <c r="AL18" i="2"/>
  <c r="AI18" i="2"/>
  <c r="AG18" i="2"/>
  <c r="O18" i="2"/>
  <c r="W18" i="2"/>
  <c r="M18" i="2"/>
  <c r="V18" i="2"/>
  <c r="K18" i="2"/>
  <c r="BI17" i="2"/>
  <c r="BH17" i="2"/>
  <c r="AL17" i="2"/>
  <c r="AI17" i="2"/>
  <c r="AG17" i="2"/>
  <c r="O17" i="2"/>
  <c r="W17" i="2"/>
  <c r="M17" i="2"/>
  <c r="V17" i="2"/>
  <c r="K17" i="2"/>
  <c r="AE17" i="2"/>
  <c r="AM17" i="2"/>
  <c r="AN17" i="2"/>
  <c r="AI16" i="2"/>
  <c r="AG16" i="2"/>
  <c r="O16" i="2"/>
  <c r="W16" i="2"/>
  <c r="M16" i="2"/>
  <c r="K16" i="2"/>
  <c r="U16" i="2"/>
  <c r="AI15" i="2"/>
  <c r="O15" i="2"/>
  <c r="W15" i="2"/>
  <c r="M15" i="2"/>
  <c r="AG15" i="2"/>
  <c r="AO15" i="2"/>
  <c r="AP15" i="2"/>
  <c r="K15" i="2"/>
  <c r="L15" i="2"/>
  <c r="BI14" i="2"/>
  <c r="BH14" i="2"/>
  <c r="AL14" i="2"/>
  <c r="AI14" i="2"/>
  <c r="AG14" i="2"/>
  <c r="O14" i="2"/>
  <c r="W14" i="2"/>
  <c r="M14" i="2"/>
  <c r="V14" i="2"/>
  <c r="K14" i="2"/>
  <c r="AE14" i="2"/>
  <c r="BI13" i="2"/>
  <c r="BH13" i="2"/>
  <c r="AL13" i="2"/>
  <c r="AI13" i="2"/>
  <c r="AG13" i="2"/>
  <c r="O13" i="2"/>
  <c r="M13" i="2"/>
  <c r="V13" i="2"/>
  <c r="K13" i="2"/>
  <c r="U13" i="2"/>
  <c r="BI12" i="2"/>
  <c r="BH12" i="2"/>
  <c r="AL12" i="2"/>
  <c r="AI12" i="2"/>
  <c r="AG12" i="2"/>
  <c r="O12" i="2"/>
  <c r="W12" i="2"/>
  <c r="M12" i="2"/>
  <c r="V12" i="2"/>
  <c r="K12" i="2"/>
  <c r="BI11" i="2"/>
  <c r="BH11" i="2"/>
  <c r="AL11" i="2"/>
  <c r="AI11" i="2"/>
  <c r="AG11" i="2"/>
  <c r="O11" i="2"/>
  <c r="W11" i="2"/>
  <c r="M11" i="2"/>
  <c r="V11" i="2"/>
  <c r="K11" i="2"/>
  <c r="U11" i="2"/>
  <c r="BI10" i="2"/>
  <c r="BH10" i="2"/>
  <c r="AL10" i="2"/>
  <c r="AI10" i="2"/>
  <c r="AG10" i="2"/>
  <c r="O10" i="2"/>
  <c r="W10" i="2"/>
  <c r="M10" i="2"/>
  <c r="V10" i="2"/>
  <c r="K10" i="2"/>
  <c r="AE10" i="2"/>
  <c r="AM10" i="2"/>
  <c r="BI9" i="2"/>
  <c r="BH9" i="2"/>
  <c r="AL9" i="2"/>
  <c r="AI9" i="2"/>
  <c r="O9" i="2"/>
  <c r="W9" i="2"/>
  <c r="M9" i="2"/>
  <c r="AG9" i="2"/>
  <c r="K9" i="2"/>
  <c r="U9" i="2"/>
  <c r="AI8" i="2"/>
  <c r="AG8" i="2"/>
  <c r="O8" i="2"/>
  <c r="W8" i="2"/>
  <c r="M8" i="2"/>
  <c r="V8" i="2"/>
  <c r="K8" i="2"/>
  <c r="U8" i="2"/>
  <c r="BI7" i="2"/>
  <c r="BH7" i="2"/>
  <c r="AL7" i="2"/>
  <c r="AI7" i="2"/>
  <c r="O7" i="2"/>
  <c r="W7" i="2"/>
  <c r="M7" i="2"/>
  <c r="AG7" i="2"/>
  <c r="AO7" i="2"/>
  <c r="AP7" i="2"/>
  <c r="K7" i="2"/>
  <c r="U7" i="2"/>
  <c r="AI6" i="2"/>
  <c r="O6" i="2"/>
  <c r="W6" i="2"/>
  <c r="M6" i="2"/>
  <c r="K6" i="2"/>
  <c r="AI5" i="2"/>
  <c r="O5" i="2"/>
  <c r="W5" i="2"/>
  <c r="M5" i="2"/>
  <c r="N5" i="2"/>
  <c r="K5" i="2"/>
  <c r="AH401" i="1" a="1"/>
  <c r="AG171" i="1" a="1"/>
  <c r="AG285" i="1" a="1"/>
  <c r="AH493" i="1" a="1"/>
  <c r="AH460" i="1" a="1"/>
  <c r="AH379" i="1" a="1"/>
  <c r="AH164" i="1" a="1"/>
  <c r="AG472" i="1" a="1"/>
  <c r="AH476" i="1" a="1"/>
  <c r="AH130" i="1" a="1"/>
  <c r="AG105" i="1" a="1"/>
  <c r="AG441" i="1" a="1"/>
  <c r="AG319" i="1" a="1"/>
  <c r="AG26" i="1" a="1"/>
  <c r="AG347" i="1" a="1"/>
  <c r="AH340" i="1" a="1"/>
  <c r="AG374" i="1" a="1"/>
  <c r="AG287" i="1" a="1"/>
  <c r="AG280" i="1" a="1"/>
  <c r="AH107" i="1" a="1"/>
  <c r="AH163" i="1" a="1"/>
  <c r="AG97" i="1" a="1"/>
  <c r="AH289" i="1" a="1"/>
  <c r="AG201" i="1" a="1"/>
  <c r="AG320" i="1" a="1"/>
  <c r="AG202" i="1" a="1"/>
  <c r="AG426" i="1" a="1"/>
  <c r="AH257" i="1" a="1"/>
  <c r="AG466" i="1" a="1"/>
  <c r="AH230" i="1" a="1"/>
  <c r="AH189" i="1" a="1"/>
  <c r="AH454" i="1" a="1"/>
  <c r="AG416" i="1" a="1"/>
  <c r="AH285" i="1" a="1"/>
  <c r="AH201" i="1" a="1"/>
  <c r="AG514" i="1" a="1"/>
  <c r="AH39" i="1" a="1"/>
  <c r="AG520" i="1" a="1"/>
  <c r="AH504" i="1" a="1"/>
  <c r="AG238" i="1" a="1"/>
  <c r="AG400" i="1" a="1"/>
  <c r="AG191" i="1" a="1"/>
  <c r="AH154" i="1" a="1"/>
  <c r="AG395" i="1" a="1"/>
  <c r="AG364" i="1" a="1"/>
  <c r="AG271" i="1" a="1"/>
  <c r="AH517" i="1" a="1"/>
  <c r="AH417" i="1" a="1"/>
  <c r="AH124" i="1" a="1"/>
  <c r="AG65" i="1" a="1"/>
  <c r="AG281" i="1" a="1"/>
  <c r="AG46" i="1" a="1"/>
  <c r="AG218" i="1" a="1"/>
  <c r="AH449" i="1" a="1"/>
  <c r="AG422" i="1" a="1"/>
  <c r="AG91" i="1" a="1"/>
  <c r="AG321" i="1" a="1"/>
  <c r="AH79" i="1" a="1"/>
  <c r="AH364" i="1" a="1"/>
  <c r="AG504" i="1" a="1"/>
  <c r="AG479" i="1" a="1"/>
  <c r="AG193" i="1" a="1"/>
  <c r="AG89" i="1" a="1"/>
  <c r="AG464" i="1" a="1"/>
  <c r="AH372" i="1" a="1"/>
  <c r="AH513" i="1" a="1"/>
  <c r="AG367" i="1" a="1"/>
  <c r="AG71" i="1" a="1"/>
  <c r="AG109" i="1" a="1"/>
  <c r="AH215" i="1" a="1"/>
  <c r="AG303" i="1" a="1"/>
  <c r="AH118" i="1" a="1"/>
  <c r="AH277" i="1" a="1"/>
  <c r="AG87" i="1" a="1"/>
  <c r="AH158" i="1" a="1"/>
  <c r="AG44" i="1" a="1"/>
  <c r="AH286" i="1" a="1"/>
  <c r="AG187" i="1" a="1"/>
  <c r="AG315" i="1" a="1"/>
  <c r="AH156" i="1" a="1"/>
  <c r="AG486" i="1" a="1"/>
  <c r="AH246" i="1" a="1"/>
  <c r="AH299" i="1" a="1"/>
  <c r="AH501" i="1" a="1"/>
  <c r="AG272" i="1" a="1"/>
  <c r="AG154" i="1" a="1"/>
  <c r="AH120" i="1" a="1"/>
  <c r="AG305" i="1" a="1"/>
  <c r="AG150" i="1" a="1"/>
  <c r="AG524" i="1" a="1"/>
  <c r="AH422" i="1" a="1"/>
  <c r="AG317" i="1" a="1"/>
  <c r="AH225" i="1" a="1"/>
  <c r="AH468" i="1" a="1"/>
  <c r="AH70" i="1" a="1"/>
  <c r="AH211" i="1" a="1"/>
  <c r="AG209" i="1" a="1"/>
  <c r="AG75" i="1" a="1"/>
  <c r="AG104" i="1" a="1"/>
  <c r="AG82" i="1" a="1"/>
  <c r="AH149" i="1" a="1"/>
  <c r="AH251" i="1" a="1"/>
  <c r="AH209" i="1" a="1"/>
  <c r="AG197" i="1" a="1"/>
  <c r="AH439" i="1" a="1"/>
  <c r="AH522" i="1" a="1"/>
  <c r="AG425" i="1" a="1"/>
  <c r="AG208" i="1" a="1"/>
  <c r="AH199" i="1" a="1"/>
  <c r="AG293" i="1" a="1"/>
  <c r="AG60" i="1" a="1"/>
  <c r="AG487" i="1" a="1"/>
  <c r="AG501" i="1" a="1"/>
  <c r="AG397" i="1" a="1"/>
  <c r="AH412" i="1" a="1"/>
  <c r="AG517" i="1" a="1"/>
  <c r="AG349" i="1" a="1"/>
  <c r="AH520" i="1" a="1"/>
  <c r="AH309" i="1" a="1"/>
  <c r="AG153" i="1" a="1"/>
  <c r="AH360" i="1" a="1"/>
  <c r="AG76" i="1" a="1"/>
  <c r="AH313" i="1" a="1"/>
  <c r="AH176" i="1" a="1"/>
  <c r="AH293" i="1" a="1"/>
  <c r="AH73" i="1" a="1"/>
  <c r="AG266" i="1" a="1"/>
  <c r="AH52" i="1" a="1"/>
  <c r="AH153" i="1" a="1"/>
  <c r="AH452" i="1" a="1"/>
  <c r="AH448" i="1" a="1"/>
  <c r="AH437" i="1" a="1"/>
  <c r="AH283" i="1" a="1"/>
  <c r="AG14" i="1" a="1"/>
  <c r="AG325" i="1" a="1"/>
  <c r="AG454" i="1" a="1"/>
  <c r="AG55" i="1" a="1"/>
  <c r="AG366" i="1" a="1"/>
  <c r="AG485" i="1" a="1"/>
  <c r="AH384" i="1" a="1"/>
  <c r="AH455" i="1" a="1"/>
  <c r="AG23" i="1" a="1"/>
  <c r="AH523" i="1" a="1"/>
  <c r="AH387" i="1" a="1"/>
  <c r="AG199" i="1" a="1"/>
  <c r="AH390" i="1" a="1"/>
  <c r="AH72" i="1" a="1"/>
  <c r="AH296" i="1" a="1"/>
  <c r="AG158" i="1" a="1"/>
  <c r="AH280" i="1" a="1"/>
  <c r="AH35" i="1" a="1"/>
  <c r="AH263" i="1" a="1"/>
  <c r="AH334" i="1" a="1"/>
  <c r="AH148" i="1" a="1"/>
  <c r="AG7" i="1" a="1"/>
  <c r="AG267" i="1" a="1"/>
  <c r="AG160" i="1" a="1"/>
  <c r="AG299" i="1" a="1"/>
  <c r="AG480" i="1" a="1"/>
  <c r="AG10" i="1" a="1"/>
  <c r="AG411" i="1" a="1"/>
  <c r="AH106" i="1" a="1"/>
  <c r="AH138" i="1" a="1"/>
  <c r="AH142" i="1" a="1"/>
  <c r="AH400" i="1" a="1"/>
  <c r="AG468" i="1" a="1"/>
  <c r="AH108" i="1" a="1"/>
  <c r="AG94" i="1" a="1"/>
  <c r="AG380" i="1" a="1"/>
  <c r="AG418" i="1" a="1"/>
  <c r="AH228" i="1" a="1"/>
  <c r="AH47" i="1" a="1"/>
  <c r="AG478" i="1" a="1"/>
  <c r="AG90" i="1" a="1"/>
  <c r="AG174" i="1" a="1"/>
  <c r="AG273" i="1" a="1"/>
  <c r="AH244" i="1" a="1"/>
  <c r="AH322" i="1" a="1"/>
  <c r="AH492" i="1" a="1"/>
  <c r="AG481" i="1" a="1"/>
  <c r="AG447" i="1" a="1"/>
  <c r="AG195" i="1" a="1"/>
  <c r="AG81" i="1" a="1"/>
  <c r="AG122" i="1" a="1"/>
  <c r="AG296" i="1" a="1"/>
  <c r="AG332" i="1" a="1"/>
  <c r="AH336" i="1" a="1"/>
  <c r="AG516" i="1" a="1"/>
  <c r="AH132" i="1" a="1"/>
  <c r="AH270" i="1" a="1"/>
  <c r="AG340" i="1" a="1"/>
  <c r="AH326" i="1" a="1"/>
  <c r="AH436" i="1" a="1"/>
  <c r="AH105" i="1" a="1"/>
  <c r="AH421" i="1" a="1"/>
  <c r="AH49" i="1" a="1"/>
  <c r="AG373" i="1" a="1"/>
  <c r="AH325" i="1" a="1"/>
  <c r="AG30" i="1" a="1"/>
  <c r="AH383" i="1" a="1"/>
  <c r="AG387" i="1" a="1"/>
  <c r="AG283" i="1" a="1"/>
  <c r="AG141" i="1" a="1"/>
  <c r="AG277" i="1" a="1"/>
  <c r="AH23" i="1" a="1"/>
  <c r="AG255" i="1" a="1"/>
  <c r="AH259" i="1" a="1"/>
  <c r="AH143" i="1" a="1"/>
  <c r="AG35" i="1" a="1"/>
  <c r="AH408" i="1" a="1"/>
  <c r="AG424" i="1" a="1"/>
  <c r="AH361" i="1" a="1"/>
  <c r="AH377" i="1" a="1"/>
  <c r="AH310" i="1" a="1"/>
  <c r="AG220" i="1" a="1"/>
  <c r="AH393" i="1" a="1"/>
  <c r="AH179" i="1" a="1"/>
  <c r="AG421" i="1" a="1"/>
  <c r="AG178" i="1" a="1"/>
  <c r="AH84" i="1" a="1"/>
  <c r="AG163" i="1" a="1"/>
  <c r="AG249" i="1" a="1"/>
  <c r="AH69" i="1" a="1"/>
  <c r="AH307" i="1" a="1"/>
  <c r="AH391" i="1" a="1"/>
  <c r="AG136" i="1" a="1"/>
  <c r="AH41" i="1" a="1"/>
  <c r="AG311" i="1" a="1"/>
  <c r="AG34" i="1" a="1"/>
  <c r="AH232" i="1" a="1"/>
  <c r="AG509" i="1" a="1"/>
  <c r="AG476" i="1" a="1"/>
  <c r="AH345" i="1" a="1"/>
  <c r="AG129" i="1" a="1"/>
  <c r="AG286" i="1" a="1"/>
  <c r="AG180" i="1" a="1"/>
  <c r="AG33" i="1" a="1"/>
  <c r="AH99" i="1" a="1"/>
  <c r="AG214" i="1" a="1"/>
  <c r="AG455" i="1" a="1"/>
  <c r="AH279" i="1" a="1"/>
  <c r="AH126" i="1" a="1"/>
  <c r="AG301" i="1" a="1"/>
  <c r="AH354" i="1" a="1"/>
  <c r="AG528" i="1" a="1"/>
  <c r="AH180" i="1" a="1"/>
  <c r="AH465" i="1" a="1"/>
  <c r="AG128" i="1" a="1"/>
  <c r="AH260" i="1" a="1"/>
  <c r="AG294" i="1" a="1"/>
  <c r="AG116" i="1" a="1"/>
  <c r="AH298" i="1" a="1"/>
  <c r="AG413" i="1" a="1"/>
  <c r="AH376" i="1" a="1"/>
  <c r="AH370" i="1" a="1"/>
  <c r="AH264" i="1" a="1"/>
  <c r="AG107" i="1" a="1"/>
  <c r="AG261" i="1" a="1"/>
  <c r="AG508" i="1" a="1"/>
  <c r="AG490" i="1" a="1"/>
  <c r="AG473" i="1" a="1"/>
  <c r="AG452" i="1" a="1"/>
  <c r="AG446" i="1" a="1"/>
  <c r="AH324" i="1" a="1"/>
  <c r="AH8" i="1" a="1"/>
  <c r="AG327" i="1" a="1"/>
  <c r="AG278" i="1" a="1"/>
  <c r="AH48" i="1" a="1"/>
  <c r="AH499" i="1" a="1"/>
  <c r="AG338" i="1" a="1"/>
  <c r="AG17" i="1" a="1"/>
  <c r="AG437" i="1" a="1"/>
  <c r="AH308" i="1" a="1"/>
  <c r="AH430" i="1" a="1"/>
  <c r="AG73" i="1" a="1"/>
  <c r="AG40" i="1" a="1"/>
  <c r="AH258" i="1" a="1"/>
  <c r="AG70" i="1" a="1"/>
  <c r="AG354" i="1" a="1"/>
  <c r="AH92" i="1" a="1"/>
  <c r="AH382" i="1" a="1"/>
  <c r="AH4" i="1" a="1"/>
  <c r="AH196" i="1" a="1"/>
  <c r="AG42" i="1" a="1"/>
  <c r="AH214" i="1" a="1"/>
  <c r="AG227" i="1" a="1"/>
  <c r="AG346" i="1" a="1"/>
  <c r="AH128" i="1" a="1"/>
  <c r="AG377" i="1" a="1"/>
  <c r="AH227" i="1" a="1"/>
  <c r="AH486" i="1" a="1"/>
  <c r="AH243" i="1" a="1"/>
  <c r="AH96" i="1" a="1"/>
  <c r="AH331" i="1" a="1"/>
  <c r="AG147" i="1" a="1"/>
  <c r="AG257" i="1" a="1"/>
  <c r="AG522" i="1" a="1"/>
  <c r="AG432" i="1" a="1"/>
  <c r="AH219" i="1" a="1"/>
  <c r="AG98" i="1" a="1"/>
  <c r="AG360" i="1" a="1"/>
  <c r="AG162" i="1" a="1"/>
  <c r="AG361" i="1" a="1"/>
  <c r="AG252" i="1" a="1"/>
  <c r="AH351" i="1" a="1"/>
  <c r="AH63" i="1" a="1"/>
  <c r="AG53" i="1" a="1"/>
  <c r="AG469" i="1" a="1"/>
  <c r="AH389" i="1" a="1"/>
  <c r="AG190" i="1" a="1"/>
  <c r="AH414" i="1" a="1"/>
  <c r="AH122" i="1" a="1"/>
  <c r="AG213" i="1" a="1"/>
  <c r="AG379" i="1" a="1"/>
  <c r="AG239" i="1" a="1"/>
  <c r="AG457" i="1" a="1"/>
  <c r="AG330" i="1" a="1"/>
  <c r="AH339" i="1" a="1"/>
  <c r="AG217" i="1" a="1"/>
  <c r="AH397" i="1" a="1"/>
  <c r="AH252" i="1" a="1"/>
  <c r="AH337" i="1" a="1"/>
  <c r="AG279" i="1" a="1"/>
  <c r="AH470" i="1" a="1"/>
  <c r="AG390" i="1" a="1"/>
  <c r="AG391" i="1" a="1"/>
  <c r="AG306" i="1" a="1"/>
  <c r="AH80" i="1" a="1"/>
  <c r="AG378" i="1" a="1"/>
  <c r="AG357" i="1" a="1"/>
  <c r="AH490" i="1" a="1"/>
  <c r="AH5" i="1" a="1"/>
  <c r="AH32" i="1" a="1"/>
  <c r="AG505" i="1" a="1"/>
  <c r="AH463" i="1" a="1"/>
  <c r="AH268" i="1" a="1"/>
  <c r="AG250" i="1" a="1"/>
  <c r="AH508" i="1" a="1"/>
  <c r="AH222" i="1" a="1"/>
  <c r="AG164" i="1" a="1"/>
  <c r="AH2" i="1" a="1"/>
  <c r="AG269" i="1" a="1"/>
  <c r="AG110" i="1" a="1"/>
  <c r="AH302" i="1" a="1"/>
  <c r="AH231" i="1" a="1"/>
  <c r="AH323" i="1" a="1"/>
  <c r="AG50" i="1" a="1"/>
  <c r="AG206" i="1" a="1"/>
  <c r="AH51" i="1" a="1"/>
  <c r="AH524" i="1" a="1"/>
  <c r="AH152" i="1" a="1"/>
  <c r="AG179" i="1" a="1"/>
  <c r="AG381" i="1" a="1"/>
  <c r="AH62" i="1" a="1"/>
  <c r="AH100" i="1" a="1"/>
  <c r="AH216" i="1" a="1"/>
  <c r="AG205" i="1" a="1"/>
  <c r="AH34" i="1" a="1"/>
  <c r="AH335" i="1" a="1"/>
  <c r="AG167" i="1" a="1"/>
  <c r="AH462" i="1" a="1"/>
  <c r="AG290" i="1" a="1"/>
  <c r="AG344" i="1" a="1"/>
  <c r="AH139" i="1" a="1"/>
  <c r="AH358" i="1" a="1"/>
  <c r="AH320" i="1" a="1"/>
  <c r="AH203" i="1" a="1"/>
  <c r="AH485" i="1" a="1"/>
  <c r="AH311" i="1" a="1"/>
  <c r="AH16" i="1" a="1"/>
  <c r="AG345" i="1" a="1"/>
  <c r="AH461" i="1" a="1"/>
  <c r="AH11" i="1" a="1"/>
  <c r="AH217" i="1" a="1"/>
  <c r="AH477" i="1" a="1"/>
  <c r="AH3" i="1" a="1"/>
  <c r="AG39" i="1" a="1"/>
  <c r="AG403" i="1" a="1"/>
  <c r="AG198" i="1" a="1"/>
  <c r="AH33" i="1" a="1"/>
  <c r="AG219" i="1" a="1"/>
  <c r="AH111" i="1" a="1"/>
  <c r="AG99" i="1" a="1"/>
  <c r="AH432" i="1" a="1"/>
  <c r="AH371" i="1" a="1"/>
  <c r="AG85" i="1" a="1"/>
  <c r="AH526" i="1" a="1"/>
  <c r="AH186" i="1" a="1"/>
  <c r="AG79" i="1" a="1"/>
  <c r="AG341" i="1" a="1"/>
  <c r="AG45" i="1" a="1"/>
  <c r="AH161" i="1" a="1"/>
  <c r="AH182" i="1" a="1"/>
  <c r="AG134" i="1" a="1"/>
  <c r="AG342" i="1" a="1"/>
  <c r="AH469" i="1" a="1"/>
  <c r="AH315" i="1" a="1"/>
  <c r="AH478" i="1" a="1"/>
  <c r="AH178" i="1" a="1"/>
  <c r="AG237" i="1" a="1"/>
  <c r="AH187" i="1" a="1"/>
  <c r="AH185" i="1" a="1"/>
  <c r="AH348" i="1" a="1"/>
  <c r="AG312" i="1" a="1"/>
  <c r="AH438" i="1" a="1"/>
  <c r="AG113" i="1" a="1"/>
  <c r="AG56" i="1" a="1"/>
  <c r="AG265" i="1" a="1"/>
  <c r="AH525" i="1" a="1"/>
  <c r="AH363" i="1" a="1"/>
  <c r="AG339" i="1" a="1"/>
  <c r="AG460" i="1" a="1"/>
  <c r="AH91" i="1" a="1"/>
  <c r="AH77" i="1" a="1"/>
  <c r="AG302" i="1" a="1"/>
  <c r="AG402" i="1" a="1"/>
  <c r="AG196" i="1" a="1"/>
  <c r="AG146" i="1" a="1"/>
  <c r="AH137" i="1" a="1"/>
  <c r="AH89" i="1" a="1"/>
  <c r="AH488" i="1" a="1"/>
  <c r="AH282" i="1" a="1"/>
  <c r="AG185" i="1" a="1"/>
  <c r="AG385" i="1" a="1"/>
  <c r="AH287" i="1" a="1"/>
  <c r="AH450" i="1" a="1"/>
  <c r="AH249" i="1" a="1"/>
  <c r="AH472" i="1" a="1"/>
  <c r="AG43" i="1" a="1"/>
  <c r="AH21" i="1" a="1"/>
  <c r="AH410" i="1" a="1"/>
  <c r="AH234" i="1" a="1"/>
  <c r="AG506" i="1" a="1"/>
  <c r="AG77" i="1" a="1"/>
  <c r="AH497" i="1" a="1"/>
  <c r="AH341" i="1" a="1"/>
  <c r="AH145" i="1" a="1"/>
  <c r="AH247" i="1" a="1"/>
  <c r="AH276" i="1" a="1"/>
  <c r="AH28" i="1" a="1"/>
  <c r="AG288" i="1" a="1"/>
  <c r="AG519" i="1" a="1"/>
  <c r="AH328" i="1" a="1"/>
  <c r="AG67" i="1" a="1"/>
  <c r="AG232" i="1" a="1"/>
  <c r="AH446" i="1" a="1"/>
  <c r="AG256" i="1" a="1"/>
  <c r="AH17" i="1" a="1"/>
  <c r="AG513" i="1" a="1"/>
  <c r="AG148" i="1" a="1"/>
  <c r="AG500" i="1" a="1"/>
  <c r="AH226" i="1" a="1"/>
  <c r="AH14" i="1" a="1"/>
  <c r="AH162" i="1" a="1"/>
  <c r="AG461" i="1" a="1"/>
  <c r="AG11" i="1" a="1"/>
  <c r="AG38" i="1" a="1"/>
  <c r="AG433" i="1" a="1"/>
  <c r="AG74" i="1" a="1"/>
  <c r="AG384" i="1" a="1"/>
  <c r="AH237" i="1" a="1"/>
  <c r="AG493" i="1" a="1"/>
  <c r="AG248" i="1" a="1"/>
  <c r="AG27" i="1" a="1"/>
  <c r="AH238" i="1" a="1"/>
  <c r="AG392" i="1" a="1"/>
  <c r="AG4" i="1" a="1"/>
  <c r="AG258" i="1" a="1"/>
  <c r="AG483" i="1" a="1"/>
  <c r="AH306" i="1" a="1"/>
  <c r="AH281" i="1" a="1"/>
  <c r="AH378" i="1" a="1"/>
  <c r="AG474" i="1" a="1"/>
  <c r="AG328" i="1" a="1"/>
  <c r="AH112" i="1" a="1"/>
  <c r="AG456" i="1" a="1"/>
  <c r="AH443" i="1" a="1"/>
  <c r="AG331" i="1" a="1"/>
  <c r="AG393" i="1" a="1"/>
  <c r="AG494" i="1" a="1"/>
  <c r="AH366" i="1" a="1"/>
  <c r="AH26" i="1" a="1"/>
  <c r="AH245" i="1" a="1"/>
  <c r="AH93" i="1" a="1"/>
  <c r="AG84" i="1" a="1"/>
  <c r="AH464" i="1" a="1"/>
  <c r="AH45" i="1" a="1"/>
  <c r="AG470" i="1" a="1"/>
  <c r="AG216" i="1" a="1"/>
  <c r="AH353" i="1" a="1"/>
  <c r="AH86" i="1" a="1"/>
  <c r="AG102" i="1" a="1"/>
  <c r="AH527" i="1" a="1"/>
  <c r="AH514" i="1" a="1"/>
  <c r="AG245" i="1" a="1"/>
  <c r="AG488" i="1" a="1"/>
  <c r="AG356" i="1" a="1"/>
  <c r="AH55" i="1" a="1"/>
  <c r="AH357" i="1" a="1"/>
  <c r="AG234" i="1" a="1"/>
  <c r="AH291" i="1" a="1"/>
  <c r="AH301" i="1" a="1"/>
  <c r="AG442" i="1" a="1"/>
  <c r="AH458" i="1" a="1"/>
  <c r="AH235" i="1" a="1"/>
  <c r="AH394" i="1" a="1"/>
  <c r="AG114" i="1" a="1"/>
  <c r="AG80" i="1" a="1"/>
  <c r="AG376" i="1" a="1"/>
  <c r="AG427" i="1" a="1"/>
  <c r="AG215" i="1" a="1"/>
  <c r="AH171" i="1" a="1"/>
  <c r="AG355" i="1" a="1"/>
  <c r="AH500" i="1" a="1"/>
  <c r="AH359" i="1" a="1"/>
  <c r="AH27" i="1" a="1"/>
  <c r="AG477" i="1" a="1"/>
  <c r="AG21" i="1" a="1"/>
  <c r="AG308" i="1" a="1"/>
  <c r="AH242" i="1" a="1"/>
  <c r="AG57" i="1" a="1"/>
  <c r="AH40" i="1" a="1"/>
  <c r="AH511" i="1" a="1"/>
  <c r="AG304" i="1" a="1"/>
  <c r="AG523" i="1" a="1"/>
  <c r="AH123" i="1" a="1"/>
  <c r="AG221" i="1" a="1"/>
  <c r="AG143" i="1" a="1"/>
  <c r="AH119" i="1" a="1"/>
  <c r="AG370" i="1" a="1"/>
  <c r="AH518" i="1" a="1"/>
  <c r="AH135" i="1" a="1"/>
  <c r="AG362" i="1" a="1"/>
  <c r="AG408" i="1" a="1"/>
  <c r="AH25" i="1" a="1"/>
  <c r="AG103" i="1" a="1"/>
  <c r="AH253" i="1" a="1"/>
  <c r="AH144" i="1" a="1"/>
  <c r="AG369" i="1" a="1"/>
  <c r="AG242" i="1" a="1"/>
  <c r="AG462" i="1" a="1"/>
  <c r="AG343" i="1" a="1"/>
  <c r="AG241" i="1" a="1"/>
  <c r="AG222" i="1" a="1"/>
  <c r="AH484" i="1" a="1"/>
  <c r="AG314" i="1" a="1"/>
  <c r="AG335" i="1" a="1"/>
  <c r="AG6" i="1" a="1"/>
  <c r="AG166" i="1" a="1"/>
  <c r="AG307" i="1" a="1"/>
  <c r="AH495" i="1" a="1"/>
  <c r="AG212" i="1" a="1"/>
  <c r="AH404" i="1" a="1"/>
  <c r="AG363" i="1" a="1"/>
  <c r="AH473" i="1" a="1"/>
  <c r="AG274" i="1" a="1"/>
  <c r="AG210" i="1" a="1"/>
  <c r="AH66" i="1" a="1"/>
  <c r="AG29" i="1" a="1"/>
  <c r="AG448" i="1" a="1"/>
  <c r="AH521" i="1" a="1"/>
  <c r="AG495" i="1" a="1"/>
  <c r="AG404" i="1" a="1"/>
  <c r="AH369" i="1" a="1"/>
  <c r="AH30" i="1" a="1"/>
  <c r="AH134" i="1" a="1"/>
  <c r="AG155" i="1" a="1"/>
  <c r="AG430" i="1" a="1"/>
  <c r="AH435" i="1" a="1"/>
  <c r="AH409" i="1" a="1"/>
  <c r="AH352" i="1" a="1"/>
  <c r="AH442" i="1" a="1"/>
  <c r="AH167" i="1" a="1"/>
  <c r="AH195" i="1" a="1"/>
  <c r="AG131" i="1" a="1"/>
  <c r="AH200" i="1" a="1"/>
  <c r="AG124" i="1" a="1"/>
  <c r="AG119" i="1" a="1"/>
  <c r="AG51" i="1" a="1"/>
  <c r="AH431" i="1" a="1"/>
  <c r="AG489" i="1" a="1"/>
  <c r="AH295" i="1" a="1"/>
  <c r="AG511" i="1" a="1"/>
  <c r="AH37" i="1" a="1"/>
  <c r="AG63" i="1" a="1"/>
  <c r="AG322" i="1" a="1"/>
  <c r="AG503" i="1" a="1"/>
  <c r="AG132" i="1" a="1"/>
  <c r="AH224" i="1" a="1"/>
  <c r="AG444" i="1" a="1"/>
  <c r="AG318" i="1" a="1"/>
  <c r="AG262" i="1" a="1"/>
  <c r="AH429" i="1" a="1"/>
  <c r="AH71" i="1" a="1"/>
  <c r="AH94" i="1" a="1"/>
  <c r="AG149" i="1" a="1"/>
  <c r="AG182" i="1" a="1"/>
  <c r="AH480" i="1" a="1"/>
  <c r="AH392" i="1" a="1"/>
  <c r="AG92" i="1" a="1"/>
  <c r="AG521" i="1" a="1"/>
  <c r="AH479" i="1" a="1"/>
  <c r="AH223" i="1" a="1"/>
  <c r="AH423" i="1" a="1"/>
  <c r="AH483" i="1" a="1"/>
  <c r="AH183" i="1" a="1"/>
  <c r="AG527" i="1" a="1"/>
  <c r="AH36" i="1" a="1"/>
  <c r="AG88" i="1" a="1"/>
  <c r="AH338" i="1" a="1"/>
  <c r="AG436" i="1" a="1"/>
  <c r="AH304" i="1" a="1"/>
  <c r="AG235" i="1" a="1"/>
  <c r="AG496" i="1" a="1"/>
  <c r="AH241" i="1" a="1"/>
  <c r="AG510" i="1" a="1"/>
  <c r="AH516" i="1" a="1"/>
  <c r="AG423" i="1" a="1"/>
  <c r="AH146" i="1" a="1"/>
  <c r="AG353" i="1" a="1"/>
  <c r="AG117" i="1" a="1"/>
  <c r="AG439" i="1" a="1"/>
  <c r="AH344" i="1" a="1"/>
  <c r="AG137" i="1" a="1"/>
  <c r="AG8" i="1" a="1"/>
  <c r="AG507" i="1" a="1"/>
  <c r="AH67" i="1" a="1"/>
  <c r="AH427" i="1" a="1"/>
  <c r="AH510" i="1" a="1"/>
  <c r="AH300" i="1" a="1"/>
  <c r="AG375" i="1" a="1"/>
  <c r="AG93" i="1" a="1"/>
  <c r="AG352" i="1" a="1"/>
  <c r="AH29" i="1" a="1"/>
  <c r="AH275" i="1" a="1"/>
  <c r="AG229" i="1" a="1"/>
  <c r="AH155" i="1" a="1"/>
  <c r="AG515" i="1" a="1"/>
  <c r="AH175" i="1" a="1"/>
  <c r="AH274" i="1" a="1"/>
  <c r="AG419" i="1" a="1"/>
  <c r="AH398" i="1" a="1"/>
  <c r="AH181" i="1" a="1"/>
  <c r="AH114" i="1" a="1"/>
  <c r="AG142" i="1" a="1"/>
  <c r="AG512" i="1" a="1"/>
  <c r="AG48" i="1" a="1"/>
  <c r="AG18" i="1" a="1"/>
  <c r="AG251" i="1" a="1"/>
  <c r="AH317" i="1" a="1"/>
  <c r="AH133" i="1" a="1"/>
  <c r="AG200" i="1" a="1"/>
  <c r="AH445" i="1" a="1"/>
  <c r="AG329" i="1" a="1"/>
  <c r="AG394" i="1" a="1"/>
  <c r="AH85" i="1" a="1"/>
  <c r="AG36" i="1" a="1"/>
  <c r="AG440" i="1" a="1"/>
  <c r="AH248" i="1" a="1"/>
  <c r="AH208" i="1" a="1"/>
  <c r="AG169" i="1" a="1"/>
  <c r="AG295" i="1" a="1"/>
  <c r="AH43" i="1" a="1"/>
  <c r="AH184" i="1" a="1"/>
  <c r="AH529" i="1" a="1"/>
  <c r="AH53" i="1" a="1"/>
  <c r="AG365" i="1" a="1"/>
  <c r="AH198" i="1" a="1"/>
  <c r="AH60" i="1" a="1"/>
  <c r="AG401" i="1" a="1"/>
  <c r="AG108" i="1" a="1"/>
  <c r="AH68" i="1" a="1"/>
  <c r="AG144" i="1" a="1"/>
  <c r="AH98" i="1" a="1"/>
  <c r="AG309" i="1" a="1"/>
  <c r="AG32" i="1" a="1"/>
  <c r="AG156" i="1" a="1"/>
  <c r="AH466" i="1" a="1"/>
  <c r="AH415" i="1" a="1"/>
  <c r="AH102" i="1" a="1"/>
  <c r="AH38" i="1" a="1"/>
  <c r="AH453" i="1" a="1"/>
  <c r="AG254" i="1" a="1"/>
  <c r="AH349" i="1" a="1"/>
  <c r="AG326" i="1" a="1"/>
  <c r="AH81" i="1" a="1"/>
  <c r="AG253" i="1" a="1"/>
  <c r="AG19" i="1" a="1"/>
  <c r="AH109" i="1" a="1"/>
  <c r="AH428" i="1" a="1"/>
  <c r="AH20" i="1" a="1"/>
  <c r="AH174" i="1" a="1"/>
  <c r="AH64" i="1" a="1"/>
  <c r="AG138" i="1" a="1"/>
  <c r="AH350" i="1" a="1"/>
  <c r="AG118" i="1" a="1"/>
  <c r="AG176" i="1" a="1"/>
  <c r="AH380" i="1" a="1"/>
  <c r="AG49" i="1" a="1"/>
  <c r="AH61" i="1" a="1"/>
  <c r="AH206" i="1" a="1"/>
  <c r="AG498" i="1" a="1"/>
  <c r="AG152" i="1" a="1"/>
  <c r="AG58" i="1" a="1"/>
  <c r="AH396" i="1" a="1"/>
  <c r="AH451" i="1" a="1"/>
  <c r="AG316" i="1" a="1"/>
  <c r="AH165" i="1" a="1"/>
  <c r="AH12" i="1" a="1"/>
  <c r="AH192" i="1" a="1"/>
  <c r="AG406" i="1" a="1"/>
  <c r="AH444" i="1" a="1"/>
  <c r="AG96" i="1" a="1"/>
  <c r="AG405" i="1" a="1"/>
  <c r="AG188" i="1" a="1"/>
  <c r="AG37" i="1" a="1"/>
  <c r="AG139" i="1" a="1"/>
  <c r="AH121" i="1" a="1"/>
  <c r="AG66" i="1" a="1"/>
  <c r="AG15" i="1" a="1"/>
  <c r="AH365" i="1" a="1"/>
  <c r="AH271" i="1" a="1"/>
  <c r="AG502" i="1" a="1"/>
  <c r="AG291" i="1" a="1"/>
  <c r="AG382" i="1" a="1"/>
  <c r="AG28" i="1" a="1"/>
  <c r="AG159" i="1" a="1"/>
  <c r="AG207" i="1" a="1"/>
  <c r="AH498" i="1" a="1"/>
  <c r="AG420" i="1" a="1"/>
  <c r="AG348" i="1" a="1"/>
  <c r="AH169" i="1" a="1"/>
  <c r="AH6" i="1" a="1"/>
  <c r="AG300" i="1" a="1"/>
  <c r="AG263" i="1" a="1"/>
  <c r="AG264" i="1" a="1"/>
  <c r="AH87" i="1" a="1"/>
  <c r="AH115" i="1" a="1"/>
  <c r="AH57" i="1" a="1"/>
  <c r="AG247" i="1" a="1"/>
  <c r="AH42" i="1" a="1"/>
  <c r="AG133" i="1" a="1"/>
  <c r="AG449" i="1" a="1"/>
  <c r="AH482" i="1" a="1"/>
  <c r="AH502" i="1" a="1"/>
  <c r="AH459" i="1" a="1"/>
  <c r="AH425" i="1" a="1"/>
  <c r="AH419" i="1" a="1"/>
  <c r="AH46" i="1" a="1"/>
  <c r="AG112" i="1" a="1"/>
  <c r="AG270" i="1" a="1"/>
  <c r="AG260" i="1" a="1"/>
  <c r="AG529" i="1" a="1"/>
  <c r="AG463" i="1" a="1"/>
  <c r="AH22" i="1" a="1"/>
  <c r="AH19" i="1" a="1"/>
  <c r="AH343" i="1" a="1"/>
  <c r="AH261" i="1" a="1"/>
  <c r="AH117" i="1" a="1"/>
  <c r="AH229" i="1" a="1"/>
  <c r="AG78" i="1" a="1"/>
  <c r="AH131" i="1" a="1"/>
  <c r="AH104" i="1" a="1"/>
  <c r="AG16" i="1" a="1"/>
  <c r="AH82" i="1" a="1"/>
  <c r="AG173" i="1" a="1"/>
  <c r="AG445" i="1" a="1"/>
  <c r="AG499" i="1" a="1"/>
  <c r="AG351" i="1" a="1"/>
  <c r="AH342" i="1" a="1"/>
  <c r="AG388" i="1" a="1"/>
  <c r="AH503" i="1" a="1"/>
  <c r="AG72" i="1" a="1"/>
  <c r="AG204" i="1" a="1"/>
  <c r="AH332" i="1" a="1"/>
  <c r="AH267" i="1" a="1"/>
  <c r="AG453" i="1" a="1"/>
  <c r="AG465" i="1" a="1"/>
  <c r="AG389" i="1" a="1"/>
  <c r="AH101" i="1" a="1"/>
  <c r="AG396" i="1" a="1"/>
  <c r="AH207" i="1" a="1"/>
  <c r="AH265" i="1" a="1"/>
  <c r="AG203" i="1" a="1"/>
  <c r="AH494" i="1" a="1"/>
  <c r="AH212" i="1" a="1"/>
  <c r="AG431" i="1" a="1"/>
  <c r="AH236" i="1" a="1"/>
  <c r="AG236" i="1" a="1"/>
  <c r="AH420" i="1" a="1"/>
  <c r="AH395" i="1" a="1"/>
  <c r="AG525" i="1" a="1"/>
  <c r="AG13" i="1" a="1"/>
  <c r="AH406" i="1" a="1"/>
  <c r="AG161" i="1" a="1"/>
  <c r="AG518" i="1" a="1"/>
  <c r="AG12" i="1" a="1"/>
  <c r="AG41" i="1" a="1"/>
  <c r="AH388" i="1" a="1"/>
  <c r="AG231" i="1" a="1"/>
  <c r="AG435" i="1" a="1"/>
  <c r="AH314" i="1" a="1"/>
  <c r="AH44" i="1" a="1"/>
  <c r="AH356" i="1" a="1"/>
  <c r="AH220" i="1" a="1"/>
  <c r="AG223" i="1" a="1"/>
  <c r="AH221" i="1" a="1"/>
  <c r="AG225" i="1" a="1"/>
  <c r="AH457" i="1" a="1"/>
  <c r="AG491" i="1" a="1"/>
  <c r="AH407" i="1" a="1"/>
  <c r="AH166" i="1" a="1"/>
  <c r="AG276" i="1" a="1"/>
  <c r="AG429" i="1" a="1"/>
  <c r="AH347" i="1" a="1"/>
  <c r="AH297" i="1" a="1"/>
  <c r="AG324" i="1" a="1"/>
  <c r="AH116" i="1" a="1"/>
  <c r="AG20" i="1" a="1"/>
  <c r="AG398" i="1" a="1"/>
  <c r="AH202" i="1" a="1"/>
  <c r="AH197" i="1" a="1"/>
  <c r="AH56" i="1" a="1"/>
  <c r="AH147" i="1" a="1"/>
  <c r="AG475" i="1" a="1"/>
  <c r="AG47" i="1" a="1"/>
  <c r="AG52" i="1" a="1"/>
  <c r="AH13" i="1" a="1"/>
  <c r="AH9" i="1" a="1"/>
  <c r="AH129" i="1" a="1"/>
  <c r="AG2" i="1" a="1"/>
  <c r="AH368" i="1" a="1"/>
  <c r="AG414" i="1" a="1"/>
  <c r="AH75" i="1" a="1"/>
  <c r="AG106" i="1" a="1"/>
  <c r="AH374" i="1" a="1"/>
  <c r="AH515" i="1" a="1"/>
  <c r="AG492" i="1" a="1"/>
  <c r="AH367" i="1" a="1"/>
  <c r="AH330" i="1" a="1"/>
  <c r="AG157" i="1" a="1"/>
  <c r="AH240" i="1" a="1"/>
  <c r="AG127" i="1" a="1"/>
  <c r="AH160" i="1" a="1"/>
  <c r="AH170" i="1" a="1"/>
  <c r="AH381" i="1" a="1"/>
  <c r="AH140" i="1" a="1"/>
  <c r="AH269" i="1" a="1"/>
  <c r="AG350" i="1" a="1"/>
  <c r="AG64" i="1" a="1"/>
  <c r="AH157" i="1" a="1"/>
  <c r="AG69" i="1" a="1"/>
  <c r="AH402" i="1" a="1"/>
  <c r="AH288" i="1" a="1"/>
  <c r="AG297" i="1" a="1"/>
  <c r="AH256" i="1" a="1"/>
  <c r="AG61" i="1" a="1"/>
  <c r="AH65" i="1" a="1"/>
  <c r="AH90" i="1" a="1"/>
  <c r="AH386" i="1" a="1"/>
  <c r="AG298" i="1" a="1"/>
  <c r="AH136" i="1" a="1"/>
  <c r="AG145" i="1" a="1"/>
  <c r="AG184" i="1" a="1"/>
  <c r="AH471" i="1" a="1"/>
  <c r="AH7" i="1" a="1"/>
  <c r="AH491" i="1" a="1"/>
  <c r="AG95" i="1" a="1"/>
  <c r="AG100" i="1" a="1"/>
  <c r="AG372" i="1" a="1"/>
  <c r="AH294" i="1" a="1"/>
  <c r="AG31" i="1" a="1"/>
  <c r="AG282" i="1" a="1"/>
  <c r="AH355" i="1" a="1"/>
  <c r="AH292" i="1" a="1"/>
  <c r="AH507" i="1" a="1"/>
  <c r="AH403" i="1" a="1"/>
  <c r="AH456" i="1" a="1"/>
  <c r="AH103" i="1" a="1"/>
  <c r="AG115" i="1" a="1"/>
  <c r="AH88" i="1" a="1"/>
  <c r="AH218" i="1" a="1"/>
  <c r="AG417" i="1" a="1"/>
  <c r="AH272" i="1" a="1"/>
  <c r="AH83" i="1" a="1"/>
  <c r="AG243" i="1" a="1"/>
  <c r="AH447" i="1" a="1"/>
  <c r="AG438" i="1" a="1"/>
  <c r="AH426" i="1" a="1"/>
  <c r="AH18" i="1" a="1"/>
  <c r="AG399" i="1" a="1"/>
  <c r="AG121" i="1" a="1"/>
  <c r="AG62" i="1" a="1"/>
  <c r="AH519" i="1" a="1"/>
  <c r="AG368" i="1" a="1"/>
  <c r="AG244" i="1" a="1"/>
  <c r="AH405" i="1" a="1"/>
  <c r="AG450" i="1" a="1"/>
  <c r="AG434" i="1" a="1"/>
  <c r="AG467" i="1" a="1"/>
  <c r="AG233" i="1" a="1"/>
  <c r="AG170" i="1" a="1"/>
  <c r="AG25" i="1" a="1"/>
  <c r="AG313" i="1" a="1"/>
  <c r="AH373" i="1" a="1"/>
  <c r="AG135" i="1" a="1"/>
  <c r="AH254" i="1" a="1"/>
  <c r="AH312" i="1" a="1"/>
  <c r="AG123" i="1" a="1"/>
  <c r="AG412" i="1" a="1"/>
  <c r="AG183" i="1" a="1"/>
  <c r="AH316" i="1" a="1"/>
  <c r="AH327" i="1" a="1"/>
  <c r="AH375" i="1" a="1"/>
  <c r="AG275" i="1" a="1"/>
  <c r="AH489" i="1" a="1"/>
  <c r="AH496" i="1" a="1"/>
  <c r="AH416" i="1" a="1"/>
  <c r="AG334" i="1" a="1"/>
  <c r="AG289" i="1" a="1"/>
  <c r="AH266" i="1" a="1"/>
  <c r="AG259" i="1" a="1"/>
  <c r="AH193" i="1" a="1"/>
  <c r="AG333" i="1" a="1"/>
  <c r="AH141" i="1" a="1"/>
  <c r="AH474" i="1" a="1"/>
  <c r="AH509" i="1" a="1"/>
  <c r="AG22" i="1" a="1"/>
  <c r="AH239" i="1" a="1"/>
  <c r="AG165" i="1" a="1"/>
  <c r="AG410" i="1" a="1"/>
  <c r="AH59" i="1" a="1"/>
  <c r="AG192" i="1" a="1"/>
  <c r="AH10" i="1" a="1"/>
  <c r="AH413" i="1" a="1"/>
  <c r="AH512" i="1" a="1"/>
  <c r="AH113" i="1" a="1"/>
  <c r="AH290" i="1" a="1"/>
  <c r="AG284" i="1" a="1"/>
  <c r="AH76" i="1" a="1"/>
  <c r="AG471" i="1" a="1"/>
  <c r="AH58" i="1" a="1"/>
  <c r="AG140" i="1" a="1"/>
  <c r="AH467" i="1" a="1"/>
  <c r="AG226" i="1" a="1"/>
  <c r="AG151" i="1" a="1"/>
  <c r="AH205" i="1" a="1"/>
  <c r="AG54" i="1" a="1"/>
  <c r="AG459" i="1" a="1"/>
  <c r="AG268" i="1" a="1"/>
  <c r="AH31" i="1" a="1"/>
  <c r="AH54" i="1" a="1"/>
  <c r="AH151" i="1" a="1"/>
  <c r="AG211" i="1" a="1"/>
  <c r="AG451" i="1" a="1"/>
  <c r="AH385" i="1" a="1"/>
  <c r="AG246" i="1" a="1"/>
  <c r="AH204" i="1" a="1"/>
  <c r="AG177" i="1" a="1"/>
  <c r="AH329" i="1" a="1"/>
  <c r="AH78" i="1" a="1"/>
  <c r="AH210" i="1" a="1"/>
  <c r="AG168" i="1" a="1"/>
  <c r="AG125" i="1" a="1"/>
  <c r="AH433" i="1" a="1"/>
  <c r="AH319" i="1" a="1"/>
  <c r="AG194" i="1" a="1"/>
  <c r="AG59" i="1" a="1"/>
  <c r="AH506" i="1" a="1"/>
  <c r="AG458" i="1" a="1"/>
  <c r="AG358" i="1" a="1"/>
  <c r="AG359" i="1" a="1"/>
  <c r="AH188" i="1" a="1"/>
  <c r="AG484" i="1" a="1"/>
  <c r="AH273" i="1" a="1"/>
  <c r="AH191" i="1" a="1"/>
  <c r="AG409" i="1" a="1"/>
  <c r="AG415" i="1" a="1"/>
  <c r="AH440" i="1" a="1"/>
  <c r="AH475" i="1" a="1"/>
  <c r="AG86" i="1" a="1"/>
  <c r="AH250" i="1" a="1"/>
  <c r="AH159" i="1" a="1"/>
  <c r="AG111" i="1" a="1"/>
  <c r="AG3" i="1" a="1"/>
  <c r="AG126" i="1" a="1"/>
  <c r="AH418" i="1" a="1"/>
  <c r="AG24" i="1" a="1"/>
  <c r="AH74" i="1" a="1"/>
  <c r="AH505" i="1" a="1"/>
  <c r="AG5" i="1" a="1"/>
  <c r="AH528" i="1" a="1"/>
  <c r="AG120" i="1" a="1"/>
  <c r="AH15" i="1" a="1"/>
  <c r="AG130" i="1" a="1"/>
  <c r="AH424" i="1" a="1"/>
  <c r="AH110" i="1" a="1"/>
  <c r="AH278" i="1" a="1"/>
  <c r="AG68" i="1" a="1"/>
  <c r="AG337" i="1" a="1"/>
  <c r="AH150" i="1" a="1"/>
  <c r="AG386" i="1" a="1"/>
  <c r="AH125" i="1" a="1"/>
  <c r="AH50" i="1" a="1"/>
  <c r="AH97" i="1" a="1"/>
  <c r="AH262" i="1" a="1"/>
  <c r="AG181" i="1" a="1"/>
  <c r="AG230" i="1" a="1"/>
  <c r="AG383" i="1" a="1"/>
  <c r="AG292" i="1" a="1"/>
  <c r="AH305" i="1" a="1"/>
  <c r="AH213" i="1" a="1"/>
  <c r="AG336" i="1" a="1"/>
  <c r="AH172" i="1" a="1"/>
  <c r="AG224" i="1" a="1"/>
  <c r="AH173" i="1" a="1"/>
  <c r="AH318" i="1" a="1"/>
  <c r="AH333" i="1" a="1"/>
  <c r="AG186" i="1" a="1"/>
  <c r="AG83" i="1" a="1"/>
  <c r="AG482" i="1" a="1"/>
  <c r="AG371" i="1" a="1"/>
  <c r="AH127" i="1" a="1"/>
  <c r="AH303" i="1" a="1"/>
  <c r="AH441" i="1" a="1"/>
  <c r="AH481" i="1" a="1"/>
  <c r="AH399" i="1" a="1"/>
  <c r="AG497" i="1" a="1"/>
  <c r="AH434" i="1" a="1"/>
  <c r="AG310" i="1" a="1"/>
  <c r="AH194" i="1" a="1"/>
  <c r="AG240" i="1" a="1"/>
  <c r="AH487" i="1" a="1"/>
  <c r="AH346" i="1" a="1"/>
  <c r="AH177" i="1" a="1"/>
  <c r="AG175" i="1" a="1"/>
  <c r="AG443" i="1" a="1"/>
  <c r="AH24" i="1" a="1"/>
  <c r="AH362" i="1" a="1"/>
  <c r="AG189" i="1" a="1"/>
  <c r="AH168" i="1" a="1"/>
  <c r="AG428" i="1" a="1"/>
  <c r="AG323" i="1" a="1"/>
  <c r="AH411" i="1" a="1"/>
  <c r="AH190" i="1" a="1"/>
  <c r="AH233" i="1" a="1"/>
  <c r="AH321" i="1" a="1"/>
  <c r="AG407" i="1" a="1"/>
  <c r="AG101" i="1" a="1"/>
  <c r="AG9" i="1" a="1"/>
  <c r="AH255" i="1" a="1"/>
  <c r="AG172" i="1" a="1"/>
  <c r="AH95" i="1" a="1"/>
  <c r="AH284" i="1" a="1"/>
  <c r="AG228" i="1" a="1"/>
  <c r="AG526" i="1" a="1"/>
  <c r="Q293" i="2"/>
  <c r="AK245" i="2"/>
  <c r="Q177" i="2"/>
  <c r="AK95" i="2"/>
  <c r="Q415" i="2"/>
  <c r="AG258" i="2"/>
  <c r="AO258" i="2"/>
  <c r="AP258" i="2"/>
  <c r="AK305" i="2"/>
  <c r="AK350" i="2"/>
  <c r="U15" i="2"/>
  <c r="AE15" i="2"/>
  <c r="AF15" i="2"/>
  <c r="AL15" i="2"/>
  <c r="Q391" i="2"/>
  <c r="AN417" i="2"/>
  <c r="AQ424" i="2"/>
  <c r="Q458" i="2"/>
  <c r="AE135" i="2"/>
  <c r="AM135" i="2"/>
  <c r="AQ231" i="2"/>
  <c r="AN319" i="2"/>
  <c r="AS319" i="2"/>
  <c r="AE256" i="2"/>
  <c r="AM256" i="2"/>
  <c r="AQ273" i="2"/>
  <c r="AM245" i="2"/>
  <c r="AN245" i="2"/>
  <c r="Q440" i="2"/>
  <c r="AQ445" i="2"/>
  <c r="AE482" i="2"/>
  <c r="AK482" i="2"/>
  <c r="AQ17" i="2"/>
  <c r="AK30" i="2"/>
  <c r="AK63" i="2"/>
  <c r="AE334" i="2"/>
  <c r="AK334" i="2"/>
  <c r="AN57" i="2"/>
  <c r="AQ101" i="2"/>
  <c r="AN276" i="2"/>
  <c r="AS276" i="2"/>
  <c r="AN340" i="2"/>
  <c r="AS340" i="2"/>
  <c r="AQ400" i="2"/>
  <c r="Q428" i="2"/>
  <c r="AS454" i="2"/>
  <c r="AE371" i="2"/>
  <c r="AK371" i="2"/>
  <c r="AN311" i="2"/>
  <c r="AE369" i="2"/>
  <c r="AM369" i="2"/>
  <c r="AN369" i="2"/>
  <c r="AN374" i="2"/>
  <c r="AS374" i="2"/>
  <c r="AQ443" i="2"/>
  <c r="AK445" i="2"/>
  <c r="AQ224" i="2"/>
  <c r="AQ229" i="2"/>
  <c r="Q85" i="2"/>
  <c r="AN77" i="2"/>
  <c r="AS77" i="2"/>
  <c r="AQ33" i="2"/>
  <c r="AQ71" i="2"/>
  <c r="AN244" i="2"/>
  <c r="AS244" i="2"/>
  <c r="U340" i="2"/>
  <c r="AS445" i="2"/>
  <c r="AQ454" i="2"/>
  <c r="AQ469" i="2"/>
  <c r="AQ75" i="2"/>
  <c r="AQ329" i="2"/>
  <c r="AN63" i="2"/>
  <c r="AS63" i="2"/>
  <c r="AQ122" i="2"/>
  <c r="AN365" i="2"/>
  <c r="AQ426" i="2"/>
  <c r="AQ358" i="2"/>
  <c r="AN32" i="2"/>
  <c r="AE380" i="2"/>
  <c r="AK380" i="2"/>
  <c r="AE44" i="2"/>
  <c r="AF44" i="2"/>
  <c r="AL44" i="2"/>
  <c r="L162" i="2"/>
  <c r="Q189" i="2"/>
  <c r="AQ217" i="2"/>
  <c r="AQ294" i="2"/>
  <c r="AN441" i="2"/>
  <c r="AS441" i="2"/>
  <c r="AK475" i="2"/>
  <c r="AN280" i="2"/>
  <c r="AN461" i="2"/>
  <c r="U138" i="2"/>
  <c r="AN269" i="2"/>
  <c r="AS269" i="2"/>
  <c r="AQ430" i="2"/>
  <c r="AN388" i="2"/>
  <c r="AK52" i="2"/>
  <c r="AN117" i="2"/>
  <c r="AP134" i="2"/>
  <c r="U189" i="2"/>
  <c r="AP42" i="2"/>
  <c r="AT42" i="2"/>
  <c r="AQ92" i="2"/>
  <c r="AE320" i="2"/>
  <c r="AM320" i="2"/>
  <c r="AN320" i="2"/>
  <c r="AN10" i="2"/>
  <c r="Q18" i="2"/>
  <c r="AK125" i="2"/>
  <c r="AQ242" i="2"/>
  <c r="U319" i="2"/>
  <c r="AG526" i="1"/>
  <c r="AG228" i="1"/>
  <c r="AI228" i="1"/>
  <c r="AJ228" i="1"/>
  <c r="AL228" i="1"/>
  <c r="AH284" i="1"/>
  <c r="AH95" i="1"/>
  <c r="AG172" i="1"/>
  <c r="AI172" i="1"/>
  <c r="AJ172" i="1"/>
  <c r="AL172" i="1"/>
  <c r="AH255" i="1"/>
  <c r="AG9" i="1"/>
  <c r="AG101" i="1"/>
  <c r="AG407" i="1"/>
  <c r="AI407" i="1"/>
  <c r="AJ407" i="1"/>
  <c r="AL407" i="1"/>
  <c r="AH321" i="1"/>
  <c r="AH233" i="1"/>
  <c r="AH190" i="1"/>
  <c r="AH411" i="1"/>
  <c r="AG323" i="1"/>
  <c r="AI323" i="1"/>
  <c r="AJ323" i="1"/>
  <c r="AL323" i="1"/>
  <c r="AG428" i="1"/>
  <c r="AI428" i="1"/>
  <c r="AJ428" i="1"/>
  <c r="AL428" i="1"/>
  <c r="AH168" i="1"/>
  <c r="AG189" i="1"/>
  <c r="AH362" i="1"/>
  <c r="AH24" i="1"/>
  <c r="AG443" i="1"/>
  <c r="AG175" i="1"/>
  <c r="AH177" i="1"/>
  <c r="AH346" i="1"/>
  <c r="AH487" i="1"/>
  <c r="AG240" i="1"/>
  <c r="AH194" i="1"/>
  <c r="AG310" i="1"/>
  <c r="AH434" i="1"/>
  <c r="AG497" i="1"/>
  <c r="AI497" i="1"/>
  <c r="AJ497" i="1"/>
  <c r="AL497" i="1"/>
  <c r="AH399" i="1"/>
  <c r="AH481" i="1"/>
  <c r="AH441" i="1"/>
  <c r="AH303" i="1"/>
  <c r="AH127" i="1"/>
  <c r="AG371" i="1"/>
  <c r="AI371" i="1"/>
  <c r="AJ371" i="1"/>
  <c r="AL371" i="1"/>
  <c r="AG482" i="1"/>
  <c r="AI482" i="1"/>
  <c r="AJ482" i="1"/>
  <c r="AL482" i="1"/>
  <c r="AG83" i="1"/>
  <c r="AG186" i="1"/>
  <c r="AH333" i="1"/>
  <c r="AH318" i="1"/>
  <c r="AH173" i="1"/>
  <c r="AG224" i="1"/>
  <c r="AH172" i="1"/>
  <c r="AG336" i="1"/>
  <c r="AI336" i="1"/>
  <c r="AJ336" i="1"/>
  <c r="AL336" i="1"/>
  <c r="AH213" i="1"/>
  <c r="AH305" i="1"/>
  <c r="AG292" i="1"/>
  <c r="AG383" i="1"/>
  <c r="AI383" i="1"/>
  <c r="AJ383" i="1"/>
  <c r="AL383" i="1"/>
  <c r="AG230" i="1"/>
  <c r="AI230" i="1"/>
  <c r="AJ230" i="1"/>
  <c r="AL230" i="1"/>
  <c r="AG181" i="1"/>
  <c r="AH262" i="1"/>
  <c r="AH97" i="1"/>
  <c r="AH50" i="1"/>
  <c r="AH125" i="1"/>
  <c r="AG386" i="1"/>
  <c r="AH150" i="1"/>
  <c r="AG337" i="1"/>
  <c r="AG68" i="1"/>
  <c r="AH278" i="1"/>
  <c r="AH110" i="1"/>
  <c r="AH424" i="1"/>
  <c r="AG130" i="1"/>
  <c r="AI130" i="1"/>
  <c r="AJ130" i="1"/>
  <c r="AL130" i="1"/>
  <c r="AH15" i="1"/>
  <c r="AG120" i="1"/>
  <c r="AI120" i="1"/>
  <c r="AJ120" i="1"/>
  <c r="AL120" i="1"/>
  <c r="AH528" i="1"/>
  <c r="AG5" i="1"/>
  <c r="AH505" i="1"/>
  <c r="AH74" i="1"/>
  <c r="AG24" i="1"/>
  <c r="AH418" i="1"/>
  <c r="AG126" i="1"/>
  <c r="AG3" i="1"/>
  <c r="AI3" i="1"/>
  <c r="AJ3" i="1"/>
  <c r="AL3" i="1"/>
  <c r="AG111" i="1"/>
  <c r="AH159" i="1"/>
  <c r="AH250" i="1"/>
  <c r="AG86" i="1"/>
  <c r="AI86" i="1"/>
  <c r="AJ86" i="1"/>
  <c r="AL86" i="1"/>
  <c r="AH475" i="1"/>
  <c r="AH440" i="1"/>
  <c r="AG415" i="1"/>
  <c r="AG409" i="1"/>
  <c r="AH191" i="1"/>
  <c r="AH273" i="1"/>
  <c r="AG484" i="1"/>
  <c r="AH188" i="1"/>
  <c r="AG359" i="1"/>
  <c r="AI359" i="1"/>
  <c r="AJ359" i="1"/>
  <c r="AL359" i="1"/>
  <c r="AG358" i="1"/>
  <c r="AG458" i="1"/>
  <c r="AH506" i="1"/>
  <c r="AG59" i="1"/>
  <c r="AG194" i="1"/>
  <c r="AI194" i="1"/>
  <c r="AJ194" i="1"/>
  <c r="AL194" i="1"/>
  <c r="AH319" i="1"/>
  <c r="AH433" i="1"/>
  <c r="AG125" i="1"/>
  <c r="AG168" i="1"/>
  <c r="AH210" i="1"/>
  <c r="AH78" i="1"/>
  <c r="AH329" i="1"/>
  <c r="AG177" i="1"/>
  <c r="AH204" i="1"/>
  <c r="AG246" i="1"/>
  <c r="AH385" i="1"/>
  <c r="AG451" i="1"/>
  <c r="AG211" i="1"/>
  <c r="AI211" i="1"/>
  <c r="AJ211" i="1"/>
  <c r="AL211" i="1"/>
  <c r="AH151" i="1"/>
  <c r="AH54" i="1"/>
  <c r="AH31" i="1"/>
  <c r="AG268" i="1"/>
  <c r="AG459" i="1"/>
  <c r="AG54" i="1"/>
  <c r="AH205" i="1"/>
  <c r="AG151" i="1"/>
  <c r="AG226" i="1"/>
  <c r="AH467" i="1"/>
  <c r="AG140" i="1"/>
  <c r="AH58" i="1"/>
  <c r="AG471" i="1"/>
  <c r="AI471" i="1"/>
  <c r="AJ471" i="1"/>
  <c r="AL471" i="1"/>
  <c r="AH76" i="1"/>
  <c r="AG284" i="1"/>
  <c r="AH290" i="1"/>
  <c r="AH113" i="1"/>
  <c r="AH512" i="1"/>
  <c r="AH413" i="1"/>
  <c r="AH10" i="1"/>
  <c r="AG192" i="1"/>
  <c r="AH59" i="1"/>
  <c r="AG410" i="1"/>
  <c r="AG165" i="1"/>
  <c r="AH239" i="1"/>
  <c r="AG22" i="1"/>
  <c r="AI22" i="1"/>
  <c r="AJ22" i="1"/>
  <c r="AL22" i="1"/>
  <c r="AH509" i="1"/>
  <c r="AH474" i="1"/>
  <c r="AH141" i="1"/>
  <c r="AG333" i="1"/>
  <c r="AH193" i="1"/>
  <c r="AG259" i="1"/>
  <c r="AI259" i="1"/>
  <c r="AJ259" i="1"/>
  <c r="AL259" i="1"/>
  <c r="AH266" i="1"/>
  <c r="AG289" i="1"/>
  <c r="AG334" i="1"/>
  <c r="AH416" i="1"/>
  <c r="AH496" i="1"/>
  <c r="AH489" i="1"/>
  <c r="AG275" i="1"/>
  <c r="AH375" i="1"/>
  <c r="AH327" i="1"/>
  <c r="AH316" i="1"/>
  <c r="AG183" i="1"/>
  <c r="AG412" i="1"/>
  <c r="AG123" i="1"/>
  <c r="AH312" i="1"/>
  <c r="AH254" i="1"/>
  <c r="AG135" i="1"/>
  <c r="AH373" i="1"/>
  <c r="AG313" i="1"/>
  <c r="AG25" i="1"/>
  <c r="AI25" i="1"/>
  <c r="AJ25" i="1"/>
  <c r="AL25" i="1"/>
  <c r="AG170" i="1"/>
  <c r="AI170" i="1"/>
  <c r="AJ170" i="1"/>
  <c r="AL170" i="1"/>
  <c r="AG233" i="1"/>
  <c r="AI233" i="1"/>
  <c r="AJ233" i="1"/>
  <c r="AL233" i="1"/>
  <c r="AG467" i="1"/>
  <c r="AG434" i="1"/>
  <c r="AG450" i="1"/>
  <c r="AH405" i="1"/>
  <c r="AG244" i="1"/>
  <c r="AI244" i="1"/>
  <c r="AJ244" i="1"/>
  <c r="AL244" i="1"/>
  <c r="AG368" i="1"/>
  <c r="AH519" i="1"/>
  <c r="AG62" i="1"/>
  <c r="AI62" i="1"/>
  <c r="AJ62" i="1"/>
  <c r="AL62" i="1"/>
  <c r="AG121" i="1"/>
  <c r="AG399" i="1"/>
  <c r="AH18" i="1"/>
  <c r="AH426" i="1"/>
  <c r="AG438" i="1"/>
  <c r="AH447" i="1"/>
  <c r="AG243" i="1"/>
  <c r="AH83" i="1"/>
  <c r="AH272" i="1"/>
  <c r="AG417" i="1"/>
  <c r="AI417" i="1"/>
  <c r="AJ417" i="1"/>
  <c r="AL417" i="1"/>
  <c r="AH218" i="1"/>
  <c r="AH88" i="1"/>
  <c r="AG115" i="1"/>
  <c r="AH103" i="1"/>
  <c r="AH456" i="1"/>
  <c r="AH403" i="1"/>
  <c r="AH507" i="1"/>
  <c r="AH292" i="1"/>
  <c r="AH355" i="1"/>
  <c r="AG282" i="1"/>
  <c r="AG31" i="1"/>
  <c r="AH294" i="1"/>
  <c r="AG372" i="1"/>
  <c r="AG100" i="1"/>
  <c r="AG95" i="1"/>
  <c r="AH491" i="1"/>
  <c r="AH7" i="1"/>
  <c r="AH471" i="1"/>
  <c r="AG184" i="1"/>
  <c r="AG145" i="1"/>
  <c r="AH136" i="1"/>
  <c r="AG298" i="1"/>
  <c r="AI298" i="1"/>
  <c r="AJ298" i="1"/>
  <c r="AL298" i="1"/>
  <c r="AH386" i="1"/>
  <c r="AH90" i="1"/>
  <c r="AH65" i="1"/>
  <c r="AG61" i="1"/>
  <c r="AI61" i="1"/>
  <c r="AJ61" i="1"/>
  <c r="AL61" i="1"/>
  <c r="AH256" i="1"/>
  <c r="AG297" i="1"/>
  <c r="AI297" i="1"/>
  <c r="AJ297" i="1"/>
  <c r="AL297" i="1"/>
  <c r="AH288" i="1"/>
  <c r="AH402" i="1"/>
  <c r="AG69" i="1"/>
  <c r="AH157" i="1"/>
  <c r="AG64" i="1"/>
  <c r="AG350" i="1"/>
  <c r="AH269" i="1"/>
  <c r="AH140" i="1"/>
  <c r="AH381" i="1"/>
  <c r="AH170" i="1"/>
  <c r="AH160" i="1"/>
  <c r="AG127" i="1"/>
  <c r="AI127" i="1"/>
  <c r="AJ127" i="1"/>
  <c r="AL127" i="1"/>
  <c r="AH240" i="1"/>
  <c r="AG157" i="1"/>
  <c r="AI157" i="1"/>
  <c r="AJ157" i="1"/>
  <c r="AL157" i="1"/>
  <c r="AH330" i="1"/>
  <c r="AH367" i="1"/>
  <c r="AG492" i="1"/>
  <c r="AH515" i="1"/>
  <c r="AH374" i="1"/>
  <c r="AG106" i="1"/>
  <c r="AH75" i="1"/>
  <c r="AG414" i="1"/>
  <c r="AI414" i="1"/>
  <c r="AJ414" i="1"/>
  <c r="AL414" i="1"/>
  <c r="AH368" i="1"/>
  <c r="AG2" i="1"/>
  <c r="AH129" i="1"/>
  <c r="AH9" i="1"/>
  <c r="AH13" i="1"/>
  <c r="AG52" i="1"/>
  <c r="AI52" i="1"/>
  <c r="AJ52" i="1"/>
  <c r="AL52" i="1"/>
  <c r="AG47" i="1"/>
  <c r="AG475" i="1"/>
  <c r="AH147" i="1"/>
  <c r="AH56" i="1"/>
  <c r="AH197" i="1"/>
  <c r="AH202" i="1"/>
  <c r="AG398" i="1"/>
  <c r="AG20" i="1"/>
  <c r="AI20" i="1"/>
  <c r="AJ20" i="1"/>
  <c r="AL20" i="1"/>
  <c r="AH116" i="1"/>
  <c r="AG324" i="1"/>
  <c r="AH297" i="1"/>
  <c r="AH347" i="1"/>
  <c r="AG429" i="1"/>
  <c r="AG276" i="1"/>
  <c r="AH166" i="1"/>
  <c r="AH407" i="1"/>
  <c r="AG491" i="1"/>
  <c r="AH457" i="1"/>
  <c r="AG225" i="1"/>
  <c r="AH221" i="1"/>
  <c r="AG223" i="1"/>
  <c r="AH220" i="1"/>
  <c r="AH356" i="1"/>
  <c r="AH44" i="1"/>
  <c r="AH314" i="1"/>
  <c r="AG435" i="1"/>
  <c r="AI435" i="1"/>
  <c r="AJ435" i="1"/>
  <c r="AL435" i="1"/>
  <c r="AG231" i="1"/>
  <c r="AH388" i="1"/>
  <c r="AG41" i="1"/>
  <c r="AG12" i="1"/>
  <c r="AG518" i="1"/>
  <c r="AG161" i="1"/>
  <c r="AH406" i="1"/>
  <c r="AG13" i="1"/>
  <c r="AG525" i="1"/>
  <c r="AH395" i="1"/>
  <c r="AH420" i="1"/>
  <c r="AG236" i="1"/>
  <c r="AH236" i="1"/>
  <c r="AG431" i="1"/>
  <c r="AI431" i="1"/>
  <c r="AJ431" i="1"/>
  <c r="AL431" i="1"/>
  <c r="AH212" i="1"/>
  <c r="AH494" i="1"/>
  <c r="AG203" i="1"/>
  <c r="AH265" i="1"/>
  <c r="AH207" i="1"/>
  <c r="AG396" i="1"/>
  <c r="AI396" i="1"/>
  <c r="AJ396" i="1"/>
  <c r="AL396" i="1"/>
  <c r="AH101" i="1"/>
  <c r="AG389" i="1"/>
  <c r="AG465" i="1"/>
  <c r="AG453" i="1"/>
  <c r="AH267" i="1"/>
  <c r="AH332" i="1"/>
  <c r="AG204" i="1"/>
  <c r="AG72" i="1"/>
  <c r="AI72" i="1"/>
  <c r="AJ72" i="1"/>
  <c r="AL72" i="1"/>
  <c r="AH503" i="1"/>
  <c r="AG388" i="1"/>
  <c r="AH342" i="1"/>
  <c r="AG351" i="1"/>
  <c r="AG499" i="1"/>
  <c r="AI499" i="1"/>
  <c r="AJ499" i="1"/>
  <c r="AL499" i="1"/>
  <c r="AG445" i="1"/>
  <c r="AG173" i="1"/>
  <c r="AI173" i="1"/>
  <c r="AJ173" i="1"/>
  <c r="AL173" i="1"/>
  <c r="AH82" i="1"/>
  <c r="AG16" i="1"/>
  <c r="AH104" i="1"/>
  <c r="AH131" i="1"/>
  <c r="AG78" i="1"/>
  <c r="AI78" i="1"/>
  <c r="AJ78" i="1"/>
  <c r="AL78" i="1"/>
  <c r="AH229" i="1"/>
  <c r="AH117" i="1"/>
  <c r="AH261" i="1"/>
  <c r="AH343" i="1"/>
  <c r="AH19" i="1"/>
  <c r="AH22" i="1"/>
  <c r="AG463" i="1"/>
  <c r="AG529" i="1"/>
  <c r="AG260" i="1"/>
  <c r="AI260" i="1"/>
  <c r="AJ260" i="1"/>
  <c r="AL260" i="1"/>
  <c r="AG270" i="1"/>
  <c r="AG112" i="1"/>
  <c r="AH46" i="1"/>
  <c r="AH419" i="1"/>
  <c r="AH425" i="1"/>
  <c r="AH459" i="1"/>
  <c r="AH502" i="1"/>
  <c r="AH482" i="1"/>
  <c r="AG449" i="1"/>
  <c r="AI449" i="1"/>
  <c r="AJ449" i="1"/>
  <c r="AL449" i="1"/>
  <c r="AG133" i="1"/>
  <c r="AI133" i="1"/>
  <c r="AJ133" i="1"/>
  <c r="AL133" i="1"/>
  <c r="AH42" i="1"/>
  <c r="AG247" i="1"/>
  <c r="AH57" i="1"/>
  <c r="AH115" i="1"/>
  <c r="AH87" i="1"/>
  <c r="AG264" i="1"/>
  <c r="AG263" i="1"/>
  <c r="AG300" i="1"/>
  <c r="AH6" i="1"/>
  <c r="AH169" i="1"/>
  <c r="AG348" i="1"/>
  <c r="AG420" i="1"/>
  <c r="AI420" i="1"/>
  <c r="AJ420" i="1"/>
  <c r="AL420" i="1"/>
  <c r="AH498" i="1"/>
  <c r="AG207" i="1"/>
  <c r="AG159" i="1"/>
  <c r="AG28" i="1"/>
  <c r="AG382" i="1"/>
  <c r="AG291" i="1"/>
  <c r="AG502" i="1"/>
  <c r="AI502" i="1"/>
  <c r="AJ502" i="1"/>
  <c r="AL502" i="1"/>
  <c r="AH271" i="1"/>
  <c r="AH365" i="1"/>
  <c r="AG15" i="1"/>
  <c r="AG66" i="1"/>
  <c r="AH121" i="1"/>
  <c r="AG139" i="1"/>
  <c r="AG37" i="1"/>
  <c r="AG188" i="1"/>
  <c r="AG405" i="1"/>
  <c r="AG96" i="1"/>
  <c r="AH444" i="1"/>
  <c r="AG406" i="1"/>
  <c r="AH192" i="1"/>
  <c r="AH12" i="1"/>
  <c r="AH165" i="1"/>
  <c r="AG316" i="1"/>
  <c r="AH451" i="1"/>
  <c r="AH396" i="1"/>
  <c r="AG58" i="1"/>
  <c r="AG152" i="1"/>
  <c r="AI152" i="1"/>
  <c r="AJ152" i="1"/>
  <c r="AL152" i="1"/>
  <c r="AG498" i="1"/>
  <c r="AH206" i="1"/>
  <c r="AH61" i="1"/>
  <c r="AG49" i="1"/>
  <c r="AH380" i="1"/>
  <c r="AG176" i="1"/>
  <c r="AG118" i="1"/>
  <c r="AH350" i="1"/>
  <c r="AG138" i="1"/>
  <c r="AH64" i="1"/>
  <c r="AH174" i="1"/>
  <c r="AH20" i="1"/>
  <c r="AH428" i="1"/>
  <c r="AH109" i="1"/>
  <c r="AG19" i="1"/>
  <c r="AI19" i="1"/>
  <c r="AJ19" i="1"/>
  <c r="AL19" i="1"/>
  <c r="AG253" i="1"/>
  <c r="AH81" i="1"/>
  <c r="AG326" i="1"/>
  <c r="AI326" i="1"/>
  <c r="AJ326" i="1"/>
  <c r="AL326" i="1"/>
  <c r="AH349" i="1"/>
  <c r="AG254" i="1"/>
  <c r="AH453" i="1"/>
  <c r="AH38" i="1"/>
  <c r="AH102" i="1"/>
  <c r="AH415" i="1"/>
  <c r="AH466" i="1"/>
  <c r="AG156" i="1"/>
  <c r="AI156" i="1"/>
  <c r="AJ156" i="1"/>
  <c r="AL156" i="1"/>
  <c r="AG32" i="1"/>
  <c r="AG309" i="1"/>
  <c r="AI309" i="1"/>
  <c r="AJ309" i="1"/>
  <c r="AL309" i="1"/>
  <c r="AH98" i="1"/>
  <c r="AG144" i="1"/>
  <c r="AH68" i="1"/>
  <c r="AG108" i="1"/>
  <c r="AG401" i="1"/>
  <c r="AH60" i="1"/>
  <c r="AH198" i="1"/>
  <c r="AG365" i="1"/>
  <c r="AH53" i="1"/>
  <c r="AH529" i="1"/>
  <c r="AH184" i="1"/>
  <c r="AH43" i="1"/>
  <c r="AG295" i="1"/>
  <c r="AG169" i="1"/>
  <c r="AI169" i="1"/>
  <c r="AJ169" i="1"/>
  <c r="AL169" i="1"/>
  <c r="AH208" i="1"/>
  <c r="AH248" i="1"/>
  <c r="AG440" i="1"/>
  <c r="AI440" i="1"/>
  <c r="AJ440" i="1"/>
  <c r="AL440" i="1"/>
  <c r="AG36" i="1"/>
  <c r="AH85" i="1"/>
  <c r="AG394" i="1"/>
  <c r="AG329" i="1"/>
  <c r="AH445" i="1"/>
  <c r="AG200" i="1"/>
  <c r="AI200" i="1"/>
  <c r="AJ200" i="1"/>
  <c r="AL200" i="1"/>
  <c r="AH133" i="1"/>
  <c r="AH317" i="1"/>
  <c r="AG251" i="1"/>
  <c r="AG18" i="1"/>
  <c r="AI18" i="1"/>
  <c r="AJ18" i="1"/>
  <c r="AL18" i="1"/>
  <c r="AG48" i="1"/>
  <c r="AI48" i="1"/>
  <c r="AJ48" i="1"/>
  <c r="AL48" i="1"/>
  <c r="AG512" i="1"/>
  <c r="AI512" i="1"/>
  <c r="AJ512" i="1"/>
  <c r="AL512" i="1"/>
  <c r="AG142" i="1"/>
  <c r="AH114" i="1"/>
  <c r="AH181" i="1"/>
  <c r="AH398" i="1"/>
  <c r="AG419" i="1"/>
  <c r="AH274" i="1"/>
  <c r="AH175" i="1"/>
  <c r="AG515" i="1"/>
  <c r="AH155" i="1"/>
  <c r="AG229" i="1"/>
  <c r="AH275" i="1"/>
  <c r="AH29" i="1"/>
  <c r="AG352" i="1"/>
  <c r="AG93" i="1"/>
  <c r="AG375" i="1"/>
  <c r="AH300" i="1"/>
  <c r="AH510" i="1"/>
  <c r="AH427" i="1"/>
  <c r="AH67" i="1"/>
  <c r="AG507" i="1"/>
  <c r="AI507" i="1"/>
  <c r="AJ507" i="1"/>
  <c r="AL507" i="1"/>
  <c r="AG8" i="1"/>
  <c r="AG137" i="1"/>
  <c r="AH344" i="1"/>
  <c r="AG439" i="1"/>
  <c r="AI439" i="1"/>
  <c r="AJ439" i="1"/>
  <c r="AL439" i="1"/>
  <c r="AG117" i="1"/>
  <c r="AG353" i="1"/>
  <c r="AH146" i="1"/>
  <c r="AG423" i="1"/>
  <c r="AH516" i="1"/>
  <c r="AG510" i="1"/>
  <c r="AH241" i="1"/>
  <c r="AG496" i="1"/>
  <c r="AG235" i="1"/>
  <c r="AH304" i="1"/>
  <c r="AG436" i="1"/>
  <c r="AH338" i="1"/>
  <c r="AG88" i="1"/>
  <c r="AH36" i="1"/>
  <c r="AG527" i="1"/>
  <c r="AH183" i="1"/>
  <c r="AH483" i="1"/>
  <c r="AH423" i="1"/>
  <c r="AH223" i="1"/>
  <c r="AH479" i="1"/>
  <c r="AG521" i="1"/>
  <c r="AG92" i="1"/>
  <c r="AH392" i="1"/>
  <c r="AH480" i="1"/>
  <c r="AG182" i="1"/>
  <c r="AG149" i="1"/>
  <c r="AH94" i="1"/>
  <c r="AH71" i="1"/>
  <c r="AH429" i="1"/>
  <c r="AG262" i="1"/>
  <c r="AI262" i="1"/>
  <c r="AJ262" i="1"/>
  <c r="AL262" i="1"/>
  <c r="AG318" i="1"/>
  <c r="AG444" i="1"/>
  <c r="AH224" i="1"/>
  <c r="AG132" i="1"/>
  <c r="AI132" i="1"/>
  <c r="AJ132" i="1"/>
  <c r="AL132" i="1"/>
  <c r="AG503" i="1"/>
  <c r="AG322" i="1"/>
  <c r="AI322" i="1"/>
  <c r="AJ322" i="1"/>
  <c r="AL322" i="1"/>
  <c r="AG63" i="1"/>
  <c r="AI63" i="1"/>
  <c r="AJ63" i="1"/>
  <c r="AL63" i="1"/>
  <c r="AH37" i="1"/>
  <c r="AG511" i="1"/>
  <c r="AH295" i="1"/>
  <c r="AG489" i="1"/>
  <c r="AI489" i="1"/>
  <c r="AJ489" i="1"/>
  <c r="AL489" i="1"/>
  <c r="AH431" i="1"/>
  <c r="AG51" i="1"/>
  <c r="AG119" i="1"/>
  <c r="AG124" i="1"/>
  <c r="AH200" i="1"/>
  <c r="AG131" i="1"/>
  <c r="AH195" i="1"/>
  <c r="AH167" i="1"/>
  <c r="AH442" i="1"/>
  <c r="AH352" i="1"/>
  <c r="AH409" i="1"/>
  <c r="AH435" i="1"/>
  <c r="AG430" i="1"/>
  <c r="AG155" i="1"/>
  <c r="AH134" i="1"/>
  <c r="AH30" i="1"/>
  <c r="AH369" i="1"/>
  <c r="AG404" i="1"/>
  <c r="AI404" i="1"/>
  <c r="AJ404" i="1"/>
  <c r="AL404" i="1"/>
  <c r="AG495" i="1"/>
  <c r="AI495" i="1"/>
  <c r="AJ495" i="1"/>
  <c r="AL495" i="1"/>
  <c r="AH521" i="1"/>
  <c r="AG448" i="1"/>
  <c r="AG29" i="1"/>
  <c r="AH66" i="1"/>
  <c r="AG210" i="1"/>
  <c r="AG274" i="1"/>
  <c r="AH473" i="1"/>
  <c r="AG363" i="1"/>
  <c r="AH404" i="1"/>
  <c r="AG212" i="1"/>
  <c r="AI212" i="1"/>
  <c r="AJ212" i="1"/>
  <c r="AL212" i="1"/>
  <c r="AH495" i="1"/>
  <c r="AG307" i="1"/>
  <c r="AG166" i="1"/>
  <c r="AG6" i="1"/>
  <c r="AG335" i="1"/>
  <c r="AG314" i="1"/>
  <c r="AH484" i="1"/>
  <c r="AG222" i="1"/>
  <c r="AG241" i="1"/>
  <c r="AI241" i="1"/>
  <c r="AJ241" i="1"/>
  <c r="AL241" i="1"/>
  <c r="AG343" i="1"/>
  <c r="AG462" i="1"/>
  <c r="AG242" i="1"/>
  <c r="AG369" i="1"/>
  <c r="AH144" i="1"/>
  <c r="AH253" i="1"/>
  <c r="AG103" i="1"/>
  <c r="AH25" i="1"/>
  <c r="AG408" i="1"/>
  <c r="AI408" i="1"/>
  <c r="AJ408" i="1"/>
  <c r="AL408" i="1"/>
  <c r="AG362" i="1"/>
  <c r="AH135" i="1"/>
  <c r="AH518" i="1"/>
  <c r="AG370" i="1"/>
  <c r="AH119" i="1"/>
  <c r="AG143" i="1"/>
  <c r="AG221" i="1"/>
  <c r="AI221" i="1"/>
  <c r="AJ221" i="1"/>
  <c r="AL221" i="1"/>
  <c r="AH123" i="1"/>
  <c r="AG523" i="1"/>
  <c r="AG304" i="1"/>
  <c r="AI304" i="1"/>
  <c r="AJ304" i="1"/>
  <c r="AL304" i="1"/>
  <c r="AH511" i="1"/>
  <c r="AH40" i="1"/>
  <c r="AG57" i="1"/>
  <c r="AH242" i="1"/>
  <c r="AG308" i="1"/>
  <c r="AG21" i="1"/>
  <c r="AG477" i="1"/>
  <c r="AH27" i="1"/>
  <c r="AH359" i="1"/>
  <c r="AH500" i="1"/>
  <c r="AG355" i="1"/>
  <c r="AI355" i="1"/>
  <c r="AJ355" i="1"/>
  <c r="AL355" i="1"/>
  <c r="AH171" i="1"/>
  <c r="AG215" i="1"/>
  <c r="AG427" i="1"/>
  <c r="AG376" i="1"/>
  <c r="AG80" i="1"/>
  <c r="AG114" i="1"/>
  <c r="AH394" i="1"/>
  <c r="AH235" i="1"/>
  <c r="AH458" i="1"/>
  <c r="AG442" i="1"/>
  <c r="AI442" i="1"/>
  <c r="AJ442" i="1"/>
  <c r="AL442" i="1"/>
  <c r="AH301" i="1"/>
  <c r="AH291" i="1"/>
  <c r="AG234" i="1"/>
  <c r="AH357" i="1"/>
  <c r="AH55" i="1"/>
  <c r="AG356" i="1"/>
  <c r="AG488" i="1"/>
  <c r="AG245" i="1"/>
  <c r="AH514" i="1"/>
  <c r="AH527" i="1"/>
  <c r="AG102" i="1"/>
  <c r="AH86" i="1"/>
  <c r="AH353" i="1"/>
  <c r="AG216" i="1"/>
  <c r="AI216" i="1"/>
  <c r="AJ216" i="1"/>
  <c r="AL216" i="1"/>
  <c r="AG470" i="1"/>
  <c r="AH45" i="1"/>
  <c r="AH464" i="1"/>
  <c r="AG84" i="1"/>
  <c r="AI84" i="1"/>
  <c r="AJ84" i="1"/>
  <c r="AL84" i="1"/>
  <c r="AH93" i="1"/>
  <c r="AH245" i="1"/>
  <c r="AH26" i="1"/>
  <c r="AH366" i="1"/>
  <c r="AG494" i="1"/>
  <c r="AG393" i="1"/>
  <c r="AG331" i="1"/>
  <c r="AH443" i="1"/>
  <c r="AG456" i="1"/>
  <c r="AH112" i="1"/>
  <c r="AG328" i="1"/>
  <c r="AG474" i="1"/>
  <c r="AH378" i="1"/>
  <c r="AH281" i="1"/>
  <c r="AH306" i="1"/>
  <c r="AG483" i="1"/>
  <c r="AG258" i="1"/>
  <c r="AI258" i="1"/>
  <c r="AJ258" i="1"/>
  <c r="AL258" i="1"/>
  <c r="AG4" i="1"/>
  <c r="AG392" i="1"/>
  <c r="AH238" i="1"/>
  <c r="AG27" i="1"/>
  <c r="AI27" i="1"/>
  <c r="AJ27" i="1"/>
  <c r="AL27" i="1"/>
  <c r="AG248" i="1"/>
  <c r="AG493" i="1"/>
  <c r="AI493" i="1"/>
  <c r="AJ493" i="1"/>
  <c r="AL493" i="1"/>
  <c r="AH237" i="1"/>
  <c r="AG384" i="1"/>
  <c r="AG74" i="1"/>
  <c r="AG433" i="1"/>
  <c r="AG38" i="1"/>
  <c r="AG11" i="1"/>
  <c r="AG461" i="1"/>
  <c r="AH162" i="1"/>
  <c r="AH14" i="1"/>
  <c r="AH226" i="1"/>
  <c r="AG500" i="1"/>
  <c r="AG148" i="1"/>
  <c r="AG513" i="1"/>
  <c r="AH17" i="1"/>
  <c r="AG256" i="1"/>
  <c r="AI256" i="1"/>
  <c r="AJ256" i="1"/>
  <c r="AL256" i="1"/>
  <c r="AH446" i="1"/>
  <c r="AG232" i="1"/>
  <c r="AI232" i="1"/>
  <c r="AJ232" i="1"/>
  <c r="AL232" i="1"/>
  <c r="AG67" i="1"/>
  <c r="AH328" i="1"/>
  <c r="AG519" i="1"/>
  <c r="AI519" i="1"/>
  <c r="AJ519" i="1"/>
  <c r="AL519" i="1"/>
  <c r="AG288" i="1"/>
  <c r="AI288" i="1"/>
  <c r="AJ288" i="1"/>
  <c r="AL288" i="1"/>
  <c r="AH28" i="1"/>
  <c r="AH276" i="1"/>
  <c r="AH247" i="1"/>
  <c r="AH145" i="1"/>
  <c r="AH341" i="1"/>
  <c r="AH497" i="1"/>
  <c r="AG77" i="1"/>
  <c r="AG506" i="1"/>
  <c r="AH234" i="1"/>
  <c r="AH410" i="1"/>
  <c r="AH21" i="1"/>
  <c r="AG43" i="1"/>
  <c r="AH472" i="1"/>
  <c r="AH249" i="1"/>
  <c r="AH450" i="1"/>
  <c r="AH287" i="1"/>
  <c r="AG385" i="1"/>
  <c r="AI385" i="1"/>
  <c r="AJ385" i="1"/>
  <c r="AL385" i="1"/>
  <c r="AG185" i="1"/>
  <c r="AH282" i="1"/>
  <c r="AH488" i="1"/>
  <c r="AH89" i="1"/>
  <c r="AH137" i="1"/>
  <c r="AG146" i="1"/>
  <c r="AI146" i="1"/>
  <c r="AJ146" i="1"/>
  <c r="AL146" i="1"/>
  <c r="AG196" i="1"/>
  <c r="AG402" i="1"/>
  <c r="AG302" i="1"/>
  <c r="AH77" i="1"/>
  <c r="AH91" i="1"/>
  <c r="AG460" i="1"/>
  <c r="AG339" i="1"/>
  <c r="AH363" i="1"/>
  <c r="AH525" i="1"/>
  <c r="AG265" i="1"/>
  <c r="AG56" i="1"/>
  <c r="AG113" i="1"/>
  <c r="AH438" i="1"/>
  <c r="AG312" i="1"/>
  <c r="AH348" i="1"/>
  <c r="AH185" i="1"/>
  <c r="AH187" i="1"/>
  <c r="AG237" i="1"/>
  <c r="AH178" i="1"/>
  <c r="AH478" i="1"/>
  <c r="AH315" i="1"/>
  <c r="AH469" i="1"/>
  <c r="AG342" i="1"/>
  <c r="AG134" i="1"/>
  <c r="AH182" i="1"/>
  <c r="AH161" i="1"/>
  <c r="AG45" i="1"/>
  <c r="AG341" i="1"/>
  <c r="AG79" i="1"/>
  <c r="AI79" i="1"/>
  <c r="AJ79" i="1"/>
  <c r="AL79" i="1"/>
  <c r="AH186" i="1"/>
  <c r="AH526" i="1"/>
  <c r="AG85" i="1"/>
  <c r="AI85" i="1"/>
  <c r="AJ85" i="1"/>
  <c r="AL85" i="1"/>
  <c r="AH371" i="1"/>
  <c r="AH432" i="1"/>
  <c r="AG99" i="1"/>
  <c r="AI99" i="1"/>
  <c r="AJ99" i="1"/>
  <c r="AL99" i="1"/>
  <c r="AH111" i="1"/>
  <c r="AG219" i="1"/>
  <c r="AI219" i="1"/>
  <c r="AJ219" i="1"/>
  <c r="AL219" i="1"/>
  <c r="AH33" i="1"/>
  <c r="AG198" i="1"/>
  <c r="AG403" i="1"/>
  <c r="AG39" i="1"/>
  <c r="AH3" i="1"/>
  <c r="AH477" i="1"/>
  <c r="AH217" i="1"/>
  <c r="AH11" i="1"/>
  <c r="AH461" i="1"/>
  <c r="AG345" i="1"/>
  <c r="AH16" i="1"/>
  <c r="AH311" i="1"/>
  <c r="AH485" i="1"/>
  <c r="AH203" i="1"/>
  <c r="AH320" i="1"/>
  <c r="AH358" i="1"/>
  <c r="AH139" i="1"/>
  <c r="AG344" i="1"/>
  <c r="AI344" i="1"/>
  <c r="AJ344" i="1"/>
  <c r="AL344" i="1"/>
  <c r="AG290" i="1"/>
  <c r="AH462" i="1"/>
  <c r="AG167" i="1"/>
  <c r="AH335" i="1"/>
  <c r="AH34" i="1"/>
  <c r="AG205" i="1"/>
  <c r="AH216" i="1"/>
  <c r="AH100" i="1"/>
  <c r="AH62" i="1"/>
  <c r="AG381" i="1"/>
  <c r="AG179" i="1"/>
  <c r="AI179" i="1"/>
  <c r="AJ179" i="1"/>
  <c r="AL179" i="1"/>
  <c r="AH152" i="1"/>
  <c r="AH524" i="1"/>
  <c r="AH51" i="1"/>
  <c r="AG206" i="1"/>
  <c r="AG50" i="1"/>
  <c r="AH323" i="1"/>
  <c r="AH231" i="1"/>
  <c r="AH302" i="1"/>
  <c r="AG110" i="1"/>
  <c r="AG269" i="1"/>
  <c r="AH2" i="1"/>
  <c r="AG164" i="1"/>
  <c r="AH222" i="1"/>
  <c r="AH508" i="1"/>
  <c r="AG250" i="1"/>
  <c r="AH268" i="1"/>
  <c r="AH463" i="1"/>
  <c r="AG505" i="1"/>
  <c r="AH32" i="1"/>
  <c r="AH5" i="1"/>
  <c r="AH490" i="1"/>
  <c r="AG357" i="1"/>
  <c r="AG378" i="1"/>
  <c r="AH80" i="1"/>
  <c r="AG306" i="1"/>
  <c r="AI306" i="1"/>
  <c r="AJ306" i="1"/>
  <c r="AL306" i="1"/>
  <c r="AG391" i="1"/>
  <c r="AG390" i="1"/>
  <c r="AI390" i="1"/>
  <c r="AJ390" i="1"/>
  <c r="AL390" i="1"/>
  <c r="AH470" i="1"/>
  <c r="AG279" i="1"/>
  <c r="AH337" i="1"/>
  <c r="AH252" i="1"/>
  <c r="AH397" i="1"/>
  <c r="AG217" i="1"/>
  <c r="AH339" i="1"/>
  <c r="AG330" i="1"/>
  <c r="AI330" i="1"/>
  <c r="AJ330" i="1"/>
  <c r="AL330" i="1"/>
  <c r="AG457" i="1"/>
  <c r="AG239" i="1"/>
  <c r="AG379" i="1"/>
  <c r="AG213" i="1"/>
  <c r="AH122" i="1"/>
  <c r="AH414" i="1"/>
  <c r="AG190" i="1"/>
  <c r="AH389" i="1"/>
  <c r="AG469" i="1"/>
  <c r="AI469" i="1"/>
  <c r="AJ469" i="1"/>
  <c r="AL469" i="1"/>
  <c r="AG53" i="1"/>
  <c r="AH63" i="1"/>
  <c r="AH351" i="1"/>
  <c r="AG252" i="1"/>
  <c r="AG361" i="1"/>
  <c r="AI361" i="1"/>
  <c r="AJ361" i="1"/>
  <c r="AL361" i="1"/>
  <c r="AG162" i="1"/>
  <c r="AI162" i="1"/>
  <c r="AJ162" i="1"/>
  <c r="AL162" i="1"/>
  <c r="AG360" i="1"/>
  <c r="AG98" i="1"/>
  <c r="AH219" i="1"/>
  <c r="AG432" i="1"/>
  <c r="AG522" i="1"/>
  <c r="AG257" i="1"/>
  <c r="AG147" i="1"/>
  <c r="AH331" i="1"/>
  <c r="AH96" i="1"/>
  <c r="AH243" i="1"/>
  <c r="AH486" i="1"/>
  <c r="AH227" i="1"/>
  <c r="AG377" i="1"/>
  <c r="AH128" i="1"/>
  <c r="AG346" i="1"/>
  <c r="AI346" i="1"/>
  <c r="AJ346" i="1"/>
  <c r="AL346" i="1"/>
  <c r="AG227" i="1"/>
  <c r="AI227" i="1"/>
  <c r="AJ227" i="1"/>
  <c r="AL227" i="1"/>
  <c r="AH214" i="1"/>
  <c r="AG42" i="1"/>
  <c r="AH196" i="1"/>
  <c r="AH4" i="1"/>
  <c r="AH382" i="1"/>
  <c r="AH92" i="1"/>
  <c r="AG354" i="1"/>
  <c r="AG70" i="1"/>
  <c r="AH258" i="1"/>
  <c r="AG40" i="1"/>
  <c r="AG73" i="1"/>
  <c r="AH430" i="1"/>
  <c r="AH308" i="1"/>
  <c r="AG437" i="1"/>
  <c r="AG17" i="1"/>
  <c r="AG338" i="1"/>
  <c r="AI338" i="1"/>
  <c r="AJ338" i="1"/>
  <c r="AL338" i="1"/>
  <c r="AH499" i="1"/>
  <c r="AH48" i="1"/>
  <c r="AG278" i="1"/>
  <c r="AG327" i="1"/>
  <c r="AH8" i="1"/>
  <c r="AH324" i="1"/>
  <c r="AG446" i="1"/>
  <c r="AI446" i="1"/>
  <c r="AJ446" i="1"/>
  <c r="AL446" i="1"/>
  <c r="AG452" i="1"/>
  <c r="AI452" i="1"/>
  <c r="AJ452" i="1"/>
  <c r="AL452" i="1"/>
  <c r="AG473" i="1"/>
  <c r="AI473" i="1"/>
  <c r="AJ473" i="1"/>
  <c r="AL473" i="1"/>
  <c r="AG490" i="1"/>
  <c r="AI490" i="1"/>
  <c r="AJ490" i="1"/>
  <c r="AL490" i="1"/>
  <c r="AG508" i="1"/>
  <c r="AG261" i="1"/>
  <c r="AI261" i="1"/>
  <c r="AJ261" i="1"/>
  <c r="AL261" i="1"/>
  <c r="AG107" i="1"/>
  <c r="AI107" i="1"/>
  <c r="AJ107" i="1"/>
  <c r="AL107" i="1"/>
  <c r="AH264" i="1"/>
  <c r="AH370" i="1"/>
  <c r="AH376" i="1"/>
  <c r="AG413" i="1"/>
  <c r="AI413" i="1"/>
  <c r="AJ413" i="1"/>
  <c r="AL413" i="1"/>
  <c r="AH298" i="1"/>
  <c r="AG116" i="1"/>
  <c r="AG294" i="1"/>
  <c r="AI294" i="1"/>
  <c r="AJ294" i="1"/>
  <c r="AL294" i="1"/>
  <c r="AH260" i="1"/>
  <c r="AG128" i="1"/>
  <c r="AI128" i="1"/>
  <c r="AJ128" i="1"/>
  <c r="AL128" i="1"/>
  <c r="AH465" i="1"/>
  <c r="AH180" i="1"/>
  <c r="AG528" i="1"/>
  <c r="AH354" i="1"/>
  <c r="AG301" i="1"/>
  <c r="AH126" i="1"/>
  <c r="AH279" i="1"/>
  <c r="AG455" i="1"/>
  <c r="AG214" i="1"/>
  <c r="AH99" i="1"/>
  <c r="AG33" i="1"/>
  <c r="AI33" i="1"/>
  <c r="AJ33" i="1"/>
  <c r="AL33" i="1"/>
  <c r="AG180" i="1"/>
  <c r="AG286" i="1"/>
  <c r="AI286" i="1"/>
  <c r="AJ286" i="1"/>
  <c r="AL286" i="1"/>
  <c r="AG129" i="1"/>
  <c r="AH345" i="1"/>
  <c r="AG476" i="1"/>
  <c r="AI476" i="1"/>
  <c r="AJ476" i="1"/>
  <c r="AL476" i="1"/>
  <c r="AG509" i="1"/>
  <c r="AH232" i="1"/>
  <c r="AG34" i="1"/>
  <c r="AG311" i="1"/>
  <c r="AI311" i="1"/>
  <c r="AJ311" i="1"/>
  <c r="AL311" i="1"/>
  <c r="AH41" i="1"/>
  <c r="AG136" i="1"/>
  <c r="AH391" i="1"/>
  <c r="AH307" i="1"/>
  <c r="AH69" i="1"/>
  <c r="AG249" i="1"/>
  <c r="AG163" i="1"/>
  <c r="AH84" i="1"/>
  <c r="AG178" i="1"/>
  <c r="AI178" i="1"/>
  <c r="AJ178" i="1"/>
  <c r="AL178" i="1"/>
  <c r="AG421" i="1"/>
  <c r="AH179" i="1"/>
  <c r="AH393" i="1"/>
  <c r="AG220" i="1"/>
  <c r="AH310" i="1"/>
  <c r="AH377" i="1"/>
  <c r="AH361" i="1"/>
  <c r="AG424" i="1"/>
  <c r="AH408" i="1"/>
  <c r="AG35" i="1"/>
  <c r="AI35" i="1"/>
  <c r="AJ35" i="1"/>
  <c r="AL35" i="1"/>
  <c r="AH143" i="1"/>
  <c r="AH259" i="1"/>
  <c r="AG255" i="1"/>
  <c r="AH23" i="1"/>
  <c r="AG277" i="1"/>
  <c r="AI277" i="1"/>
  <c r="AJ277" i="1"/>
  <c r="AL277" i="1"/>
  <c r="AG141" i="1"/>
  <c r="AI141" i="1"/>
  <c r="AJ141" i="1"/>
  <c r="AL141" i="1"/>
  <c r="AG283" i="1"/>
  <c r="AI283" i="1"/>
  <c r="AJ283" i="1"/>
  <c r="AL283" i="1"/>
  <c r="AG387" i="1"/>
  <c r="AI387" i="1"/>
  <c r="AJ387" i="1"/>
  <c r="AL387" i="1"/>
  <c r="AH383" i="1"/>
  <c r="AG30" i="1"/>
  <c r="AH325" i="1"/>
  <c r="AG373" i="1"/>
  <c r="AH49" i="1"/>
  <c r="AH421" i="1"/>
  <c r="AH105" i="1"/>
  <c r="AH436" i="1"/>
  <c r="AH326" i="1"/>
  <c r="AG340" i="1"/>
  <c r="AH270" i="1"/>
  <c r="AH132" i="1"/>
  <c r="AG516" i="1"/>
  <c r="AH336" i="1"/>
  <c r="AG332" i="1"/>
  <c r="AI332" i="1"/>
  <c r="AJ332" i="1"/>
  <c r="AL332" i="1"/>
  <c r="AG296" i="1"/>
  <c r="AI296" i="1"/>
  <c r="AJ296" i="1"/>
  <c r="AL296" i="1"/>
  <c r="AG122" i="1"/>
  <c r="AI122" i="1"/>
  <c r="AJ122" i="1"/>
  <c r="AL122" i="1"/>
  <c r="AG81" i="1"/>
  <c r="AI81" i="1"/>
  <c r="AJ81" i="1"/>
  <c r="AL81" i="1"/>
  <c r="AG195" i="1"/>
  <c r="AI195" i="1"/>
  <c r="AJ195" i="1"/>
  <c r="AL195" i="1"/>
  <c r="AG447" i="1"/>
  <c r="AG481" i="1"/>
  <c r="AH492" i="1"/>
  <c r="AH322" i="1"/>
  <c r="AH244" i="1"/>
  <c r="AG273" i="1"/>
  <c r="AG174" i="1"/>
  <c r="AG90" i="1"/>
  <c r="AG478" i="1"/>
  <c r="AH47" i="1"/>
  <c r="AH228" i="1"/>
  <c r="AG418" i="1"/>
  <c r="AG380" i="1"/>
  <c r="AG94" i="1"/>
  <c r="AI94" i="1"/>
  <c r="AJ94" i="1"/>
  <c r="AL94" i="1"/>
  <c r="AH108" i="1"/>
  <c r="AG468" i="1"/>
  <c r="AI468" i="1"/>
  <c r="AJ468" i="1"/>
  <c r="AL468" i="1"/>
  <c r="AH400" i="1"/>
  <c r="AH142" i="1"/>
  <c r="AH138" i="1"/>
  <c r="AH106" i="1"/>
  <c r="AG411" i="1"/>
  <c r="AI411" i="1"/>
  <c r="AJ411" i="1"/>
  <c r="AL411" i="1"/>
  <c r="AG10" i="1"/>
  <c r="AG480" i="1"/>
  <c r="AG299" i="1"/>
  <c r="AG160" i="1"/>
  <c r="AG267" i="1"/>
  <c r="AI267" i="1"/>
  <c r="AJ267" i="1"/>
  <c r="AL267" i="1"/>
  <c r="AG7" i="1"/>
  <c r="AH148" i="1"/>
  <c r="AH334" i="1"/>
  <c r="AH263" i="1"/>
  <c r="AH35" i="1"/>
  <c r="AH280" i="1"/>
  <c r="AG158" i="1"/>
  <c r="AH296" i="1"/>
  <c r="AH72" i="1"/>
  <c r="AH390" i="1"/>
  <c r="AG199" i="1"/>
  <c r="AI199" i="1"/>
  <c r="AJ199" i="1"/>
  <c r="AL199" i="1"/>
  <c r="AH387" i="1"/>
  <c r="AH523" i="1"/>
  <c r="AG23" i="1"/>
  <c r="AI23" i="1"/>
  <c r="AJ23" i="1"/>
  <c r="AL23" i="1"/>
  <c r="AH455" i="1"/>
  <c r="AH384" i="1"/>
  <c r="AG485" i="1"/>
  <c r="AG366" i="1"/>
  <c r="AG55" i="1"/>
  <c r="AI55" i="1"/>
  <c r="AJ55" i="1"/>
  <c r="AL55" i="1"/>
  <c r="AG454" i="1"/>
  <c r="AG325" i="1"/>
  <c r="AI325" i="1"/>
  <c r="AJ325" i="1"/>
  <c r="AL325" i="1"/>
  <c r="AG14" i="1"/>
  <c r="AH283" i="1"/>
  <c r="AH437" i="1"/>
  <c r="AH448" i="1"/>
  <c r="AH452" i="1"/>
  <c r="AH153" i="1"/>
  <c r="AH52" i="1"/>
  <c r="AG266" i="1"/>
  <c r="AH73" i="1"/>
  <c r="AH293" i="1"/>
  <c r="AH176" i="1"/>
  <c r="AH313" i="1"/>
  <c r="AG76" i="1"/>
  <c r="AH360" i="1"/>
  <c r="AG153" i="1"/>
  <c r="AH309" i="1"/>
  <c r="AH520" i="1"/>
  <c r="AG349" i="1"/>
  <c r="AG517" i="1"/>
  <c r="AH412" i="1"/>
  <c r="AG397" i="1"/>
  <c r="AG501" i="1"/>
  <c r="AG487" i="1"/>
  <c r="AI487" i="1"/>
  <c r="AJ487" i="1"/>
  <c r="AL487" i="1"/>
  <c r="AG60" i="1"/>
  <c r="AG293" i="1"/>
  <c r="AH199" i="1"/>
  <c r="AG208" i="1"/>
  <c r="AG425" i="1"/>
  <c r="AI425" i="1"/>
  <c r="AJ425" i="1"/>
  <c r="AL425" i="1"/>
  <c r="AH522" i="1"/>
  <c r="AH439" i="1"/>
  <c r="AG197" i="1"/>
  <c r="AH209" i="1"/>
  <c r="AH251" i="1"/>
  <c r="AH149" i="1"/>
  <c r="AG82" i="1"/>
  <c r="AG104" i="1"/>
  <c r="AG75" i="1"/>
  <c r="AG209" i="1"/>
  <c r="AH211" i="1"/>
  <c r="AH70" i="1"/>
  <c r="AH468" i="1"/>
  <c r="AH225" i="1"/>
  <c r="AG317" i="1"/>
  <c r="AH422" i="1"/>
  <c r="AG524" i="1"/>
  <c r="AI524" i="1"/>
  <c r="AJ524" i="1"/>
  <c r="AL524" i="1"/>
  <c r="AG150" i="1"/>
  <c r="AG305" i="1"/>
  <c r="AI305" i="1"/>
  <c r="AJ305" i="1"/>
  <c r="AL305" i="1"/>
  <c r="AH120" i="1"/>
  <c r="AG154" i="1"/>
  <c r="AG272" i="1"/>
  <c r="AH501" i="1"/>
  <c r="AH299" i="1"/>
  <c r="AH246" i="1"/>
  <c r="AG486" i="1"/>
  <c r="AI486" i="1"/>
  <c r="AJ486" i="1"/>
  <c r="AL486" i="1"/>
  <c r="AH156" i="1"/>
  <c r="AG315" i="1"/>
  <c r="AG187" i="1"/>
  <c r="AH286" i="1"/>
  <c r="AG44" i="1"/>
  <c r="AH158" i="1"/>
  <c r="AG87" i="1"/>
  <c r="AH277" i="1"/>
  <c r="AH118" i="1"/>
  <c r="AG303" i="1"/>
  <c r="AH215" i="1"/>
  <c r="AG109" i="1"/>
  <c r="AI109" i="1"/>
  <c r="AJ109" i="1"/>
  <c r="AL109" i="1"/>
  <c r="AG71" i="1"/>
  <c r="AG367" i="1"/>
  <c r="AH513" i="1"/>
  <c r="AH372" i="1"/>
  <c r="AG464" i="1"/>
  <c r="AI464" i="1"/>
  <c r="AJ464" i="1"/>
  <c r="AL464" i="1"/>
  <c r="AG89" i="1"/>
  <c r="AG193" i="1"/>
  <c r="AI193" i="1"/>
  <c r="AJ193" i="1"/>
  <c r="AL193" i="1"/>
  <c r="AG479" i="1"/>
  <c r="AI479" i="1"/>
  <c r="AJ479" i="1"/>
  <c r="AL479" i="1"/>
  <c r="AG504" i="1"/>
  <c r="AH364" i="1"/>
  <c r="AH79" i="1"/>
  <c r="AG321" i="1"/>
  <c r="AG91" i="1"/>
  <c r="AG422" i="1"/>
  <c r="AI422" i="1"/>
  <c r="AJ422" i="1"/>
  <c r="AL422" i="1"/>
  <c r="AH449" i="1"/>
  <c r="AG218" i="1"/>
  <c r="AG46" i="1"/>
  <c r="AG281" i="1"/>
  <c r="AI281" i="1"/>
  <c r="AJ281" i="1"/>
  <c r="AL281" i="1"/>
  <c r="AG65" i="1"/>
  <c r="AH124" i="1"/>
  <c r="AH417" i="1"/>
  <c r="AH517" i="1"/>
  <c r="AG271" i="1"/>
  <c r="AG364" i="1"/>
  <c r="AI364" i="1"/>
  <c r="AJ364" i="1"/>
  <c r="AL364" i="1"/>
  <c r="AG395" i="1"/>
  <c r="AH154" i="1"/>
  <c r="AG191" i="1"/>
  <c r="AI191" i="1"/>
  <c r="AJ191" i="1"/>
  <c r="AL191" i="1"/>
  <c r="AG400" i="1"/>
  <c r="AI400" i="1"/>
  <c r="AJ400" i="1"/>
  <c r="AL400" i="1"/>
  <c r="AG238" i="1"/>
  <c r="AH504" i="1"/>
  <c r="AG520" i="1"/>
  <c r="AI520" i="1"/>
  <c r="AJ520" i="1"/>
  <c r="AL520" i="1"/>
  <c r="AH39" i="1"/>
  <c r="AG514" i="1"/>
  <c r="AH201" i="1"/>
  <c r="AH285" i="1"/>
  <c r="AG416" i="1"/>
  <c r="AH454" i="1"/>
  <c r="AH189" i="1"/>
  <c r="AH230" i="1"/>
  <c r="AG466" i="1"/>
  <c r="AH257" i="1"/>
  <c r="AG426" i="1"/>
  <c r="AI426" i="1"/>
  <c r="AJ426" i="1"/>
  <c r="AL426" i="1"/>
  <c r="AG202" i="1"/>
  <c r="AG320" i="1"/>
  <c r="AI320" i="1"/>
  <c r="AJ320" i="1"/>
  <c r="AL320" i="1"/>
  <c r="AG201" i="1"/>
  <c r="AI201" i="1"/>
  <c r="AJ201" i="1"/>
  <c r="AL201" i="1"/>
  <c r="AH289" i="1"/>
  <c r="AG97" i="1"/>
  <c r="AI97" i="1"/>
  <c r="AJ97" i="1"/>
  <c r="AL97" i="1"/>
  <c r="AH163" i="1"/>
  <c r="AH107" i="1"/>
  <c r="AG280" i="1"/>
  <c r="AG287" i="1"/>
  <c r="AG374" i="1"/>
  <c r="AH340" i="1"/>
  <c r="AG347" i="1"/>
  <c r="AI347" i="1"/>
  <c r="AJ347" i="1"/>
  <c r="AL347" i="1"/>
  <c r="AG26" i="1"/>
  <c r="AG319" i="1"/>
  <c r="AG441" i="1"/>
  <c r="AG105" i="1"/>
  <c r="AH130" i="1"/>
  <c r="AH476" i="1"/>
  <c r="AG472" i="1"/>
  <c r="AI472" i="1"/>
  <c r="AJ472" i="1"/>
  <c r="AL472" i="1"/>
  <c r="AH164" i="1"/>
  <c r="AH379" i="1"/>
  <c r="AH460" i="1"/>
  <c r="AH493" i="1"/>
  <c r="AG285" i="1"/>
  <c r="AI285" i="1"/>
  <c r="AJ285" i="1"/>
  <c r="AL285" i="1"/>
  <c r="AG171" i="1"/>
  <c r="AI171" i="1"/>
  <c r="AJ171" i="1"/>
  <c r="AL171" i="1"/>
  <c r="AH401" i="1"/>
  <c r="L204" i="2"/>
  <c r="U235" i="2"/>
  <c r="U201" i="2"/>
  <c r="AE298" i="2"/>
  <c r="AM298" i="2"/>
  <c r="U210" i="2"/>
  <c r="AE257" i="2"/>
  <c r="AM257" i="2"/>
  <c r="AN257" i="2"/>
  <c r="AK417" i="2"/>
  <c r="AE185" i="2"/>
  <c r="AM185" i="2"/>
  <c r="AE346" i="2"/>
  <c r="AK346" i="2"/>
  <c r="U388" i="2"/>
  <c r="Q42" i="2"/>
  <c r="AE40" i="2"/>
  <c r="AF40" i="2"/>
  <c r="U269" i="2"/>
  <c r="U42" i="2"/>
  <c r="AE176" i="2"/>
  <c r="AM176" i="2"/>
  <c r="AS176" i="2"/>
  <c r="BB176" i="2"/>
  <c r="AE349" i="2"/>
  <c r="AM349" i="2"/>
  <c r="Q386" i="2"/>
  <c r="U417" i="2"/>
  <c r="Q491" i="2"/>
  <c r="AE419" i="2"/>
  <c r="AK419" i="2"/>
  <c r="U465" i="2"/>
  <c r="AE470" i="2"/>
  <c r="AK470" i="2"/>
  <c r="U122" i="2"/>
  <c r="U266" i="2"/>
  <c r="U393" i="2"/>
  <c r="U21" i="2"/>
  <c r="AE165" i="2"/>
  <c r="AM165" i="2"/>
  <c r="L234" i="2"/>
  <c r="U323" i="2"/>
  <c r="AE54" i="2"/>
  <c r="AK54" i="2"/>
  <c r="U72" i="2"/>
  <c r="AE323" i="2"/>
  <c r="AF323" i="2"/>
  <c r="AL323" i="2"/>
  <c r="U456" i="2"/>
  <c r="U162" i="2"/>
  <c r="Q380" i="2"/>
  <c r="U454" i="2"/>
  <c r="U461" i="2"/>
  <c r="U343" i="2"/>
  <c r="AE16" i="2"/>
  <c r="AF16" i="2"/>
  <c r="AL16" i="2"/>
  <c r="Q183" i="2"/>
  <c r="AE281" i="2"/>
  <c r="AF281" i="2"/>
  <c r="AL281" i="2"/>
  <c r="AE415" i="2"/>
  <c r="AK415" i="2"/>
  <c r="U40" i="2"/>
  <c r="AE480" i="2"/>
  <c r="AF480" i="2"/>
  <c r="AL480" i="2"/>
  <c r="Q72" i="2"/>
  <c r="U59" i="2"/>
  <c r="U415" i="2"/>
  <c r="AE59" i="2"/>
  <c r="AM59" i="2"/>
  <c r="U245" i="2"/>
  <c r="Q319" i="2"/>
  <c r="AE342" i="2"/>
  <c r="AK342" i="2"/>
  <c r="Q201" i="2"/>
  <c r="AE399" i="2"/>
  <c r="AK399" i="2"/>
  <c r="Q413" i="2"/>
  <c r="AK73" i="2"/>
  <c r="AM73" i="2"/>
  <c r="AO123" i="2"/>
  <c r="L114" i="2"/>
  <c r="L294" i="2"/>
  <c r="AE13" i="2"/>
  <c r="AK13" i="2"/>
  <c r="Q75" i="2"/>
  <c r="U124" i="2"/>
  <c r="L155" i="2"/>
  <c r="U198" i="2"/>
  <c r="AK206" i="2"/>
  <c r="U278" i="2"/>
  <c r="U302" i="2"/>
  <c r="Q321" i="2"/>
  <c r="U365" i="2"/>
  <c r="AE484" i="2"/>
  <c r="AM484" i="2"/>
  <c r="Q110" i="2"/>
  <c r="U50" i="2"/>
  <c r="U58" i="2"/>
  <c r="U73" i="2"/>
  <c r="U75" i="2"/>
  <c r="U77" i="2"/>
  <c r="U120" i="2"/>
  <c r="U147" i="2"/>
  <c r="AE198" i="2"/>
  <c r="AF198" i="2"/>
  <c r="AL198" i="2"/>
  <c r="AE278" i="2"/>
  <c r="AK278" i="2"/>
  <c r="AE292" i="2"/>
  <c r="AK292" i="2"/>
  <c r="AE312" i="2"/>
  <c r="AK312" i="2"/>
  <c r="U321" i="2"/>
  <c r="AE344" i="2"/>
  <c r="AK344" i="2"/>
  <c r="U374" i="2"/>
  <c r="AE47" i="2"/>
  <c r="AM47" i="2"/>
  <c r="AM79" i="2"/>
  <c r="AS79" i="2"/>
  <c r="BB79" i="2"/>
  <c r="BH79" i="2"/>
  <c r="U97" i="2"/>
  <c r="Q104" i="2"/>
  <c r="AK248" i="2"/>
  <c r="AK365" i="2"/>
  <c r="U407" i="2"/>
  <c r="U441" i="2"/>
  <c r="U110" i="2"/>
  <c r="AE179" i="2"/>
  <c r="AK179" i="2"/>
  <c r="U114" i="2"/>
  <c r="AE11" i="2"/>
  <c r="AK11" i="2"/>
  <c r="U104" i="2"/>
  <c r="U256" i="2"/>
  <c r="U281" i="2"/>
  <c r="AK374" i="2"/>
  <c r="U101" i="2"/>
  <c r="AS75" i="2"/>
  <c r="U92" i="2"/>
  <c r="AG127" i="2"/>
  <c r="AO127" i="2"/>
  <c r="U173" i="2"/>
  <c r="U204" i="2"/>
  <c r="Q234" i="2"/>
  <c r="Q242" i="2"/>
  <c r="AE252" i="2"/>
  <c r="AK252" i="2"/>
  <c r="U267" i="2"/>
  <c r="AE392" i="2"/>
  <c r="AK392" i="2"/>
  <c r="Q401" i="2"/>
  <c r="N271" i="2"/>
  <c r="AE99" i="2"/>
  <c r="AM99" i="2"/>
  <c r="AN99" i="2"/>
  <c r="AE104" i="2"/>
  <c r="AF104" i="2"/>
  <c r="AL104" i="2"/>
  <c r="N279" i="2"/>
  <c r="U98" i="2"/>
  <c r="U102" i="2"/>
  <c r="AG112" i="2"/>
  <c r="AH112" i="2"/>
  <c r="U123" i="2"/>
  <c r="U186" i="2"/>
  <c r="U234" i="2"/>
  <c r="U242" i="2"/>
  <c r="U273" i="2"/>
  <c r="V279" i="2"/>
  <c r="L298" i="2"/>
  <c r="U401" i="2"/>
  <c r="AE412" i="2"/>
  <c r="AM412" i="2"/>
  <c r="AN412" i="2"/>
  <c r="L488" i="2"/>
  <c r="AK75" i="2"/>
  <c r="U309" i="2"/>
  <c r="U311" i="2"/>
  <c r="U381" i="2"/>
  <c r="U271" i="2"/>
  <c r="AE102" i="2"/>
  <c r="AF102" i="2"/>
  <c r="AL102" i="2"/>
  <c r="V123" i="2"/>
  <c r="U57" i="2"/>
  <c r="V134" i="2"/>
  <c r="Q170" i="2"/>
  <c r="V271" i="2"/>
  <c r="AK57" i="2"/>
  <c r="AK67" i="2"/>
  <c r="U167" i="2"/>
  <c r="L250" i="2"/>
  <c r="AM282" i="2"/>
  <c r="AS282" i="2"/>
  <c r="BB282" i="2"/>
  <c r="BH282" i="2"/>
  <c r="U359" i="2"/>
  <c r="U375" i="2"/>
  <c r="U386" i="2"/>
  <c r="U423" i="2"/>
  <c r="U430" i="2"/>
  <c r="U483" i="2"/>
  <c r="U491" i="2"/>
  <c r="AS358" i="2"/>
  <c r="U10" i="2"/>
  <c r="V42" i="2"/>
  <c r="L194" i="2"/>
  <c r="U200" i="2"/>
  <c r="AE210" i="2"/>
  <c r="AK210" i="2"/>
  <c r="Q217" i="2"/>
  <c r="AE316" i="2"/>
  <c r="AK316" i="2"/>
  <c r="AE397" i="2"/>
  <c r="AK397" i="2"/>
  <c r="AE491" i="2"/>
  <c r="AF491" i="2"/>
  <c r="AL491" i="2"/>
  <c r="V15" i="2"/>
  <c r="Q267" i="2"/>
  <c r="L335" i="2"/>
  <c r="AE42" i="2"/>
  <c r="AM42" i="2"/>
  <c r="AE208" i="2"/>
  <c r="AM208" i="2"/>
  <c r="AN208" i="2"/>
  <c r="AS242" i="2"/>
  <c r="BB242" i="2"/>
  <c r="BH242" i="2"/>
  <c r="AE336" i="2"/>
  <c r="AM336" i="2"/>
  <c r="AN336" i="2"/>
  <c r="AE483" i="2"/>
  <c r="AM483" i="2"/>
  <c r="AS483" i="2"/>
  <c r="BB483" i="2"/>
  <c r="AE181" i="2"/>
  <c r="AM181" i="2"/>
  <c r="U206" i="2"/>
  <c r="AF242" i="2"/>
  <c r="AL242" i="2"/>
  <c r="AK10" i="2"/>
  <c r="U176" i="2"/>
  <c r="U217" i="2"/>
  <c r="U250" i="2"/>
  <c r="AK280" i="2"/>
  <c r="Q369" i="2"/>
  <c r="Q193" i="2"/>
  <c r="Q260" i="2"/>
  <c r="AE260" i="2"/>
  <c r="AK260" i="2"/>
  <c r="U260" i="2"/>
  <c r="U105" i="2"/>
  <c r="AE105" i="2"/>
  <c r="AK105" i="2"/>
  <c r="Q105" i="2"/>
  <c r="AM215" i="2"/>
  <c r="AN215" i="2"/>
  <c r="AS215" i="2"/>
  <c r="BB215" i="2"/>
  <c r="BH215" i="2"/>
  <c r="AK215" i="2"/>
  <c r="U68" i="2"/>
  <c r="AE68" i="2"/>
  <c r="AK68" i="2"/>
  <c r="Q68" i="2"/>
  <c r="AE66" i="2"/>
  <c r="U66" i="2"/>
  <c r="AE6" i="2"/>
  <c r="U6" i="2"/>
  <c r="Q6" i="2"/>
  <c r="Q54" i="2"/>
  <c r="V54" i="2"/>
  <c r="Q64" i="2"/>
  <c r="AE64" i="2"/>
  <c r="AM64" i="2"/>
  <c r="AN64" i="2"/>
  <c r="U64" i="2"/>
  <c r="L91" i="2"/>
  <c r="AE91" i="2"/>
  <c r="AM91" i="2"/>
  <c r="U91" i="2"/>
  <c r="AF171" i="2"/>
  <c r="AL171" i="2"/>
  <c r="AM171" i="2"/>
  <c r="U174" i="2"/>
  <c r="AE174" i="2"/>
  <c r="AK174" i="2"/>
  <c r="Q352" i="2"/>
  <c r="N6" i="2"/>
  <c r="AG6" i="2"/>
  <c r="AH6" i="2"/>
  <c r="V6" i="2"/>
  <c r="AG19" i="2"/>
  <c r="AO19" i="2"/>
  <c r="AP19" i="2"/>
  <c r="V19" i="2"/>
  <c r="L240" i="2"/>
  <c r="AE240" i="2"/>
  <c r="AF240" i="2"/>
  <c r="AL240" i="2"/>
  <c r="Q285" i="2"/>
  <c r="W285" i="2"/>
  <c r="AE285" i="2"/>
  <c r="AM285" i="2"/>
  <c r="AK454" i="2"/>
  <c r="U93" i="2"/>
  <c r="U262" i="2"/>
  <c r="AE262" i="2"/>
  <c r="AM262" i="2"/>
  <c r="Q262" i="2"/>
  <c r="V176" i="2"/>
  <c r="Q176" i="2"/>
  <c r="Q266" i="2"/>
  <c r="L25" i="2"/>
  <c r="AE25" i="2"/>
  <c r="AM25" i="2"/>
  <c r="AS25" i="2"/>
  <c r="BB25" i="2"/>
  <c r="BH25" i="2"/>
  <c r="AE70" i="2"/>
  <c r="AM70" i="2"/>
  <c r="U363" i="2"/>
  <c r="AE363" i="2"/>
  <c r="AM363" i="2"/>
  <c r="AN363" i="2"/>
  <c r="AM72" i="2"/>
  <c r="Q235" i="2"/>
  <c r="U74" i="2"/>
  <c r="AE74" i="2"/>
  <c r="AK74" i="2"/>
  <c r="AF136" i="2"/>
  <c r="AL136" i="2"/>
  <c r="AM136" i="2"/>
  <c r="AS136" i="2"/>
  <c r="BB136" i="2"/>
  <c r="BC136" i="2"/>
  <c r="BI136" i="2"/>
  <c r="AE425" i="2"/>
  <c r="U425" i="2"/>
  <c r="AE220" i="2"/>
  <c r="AK220" i="2"/>
  <c r="U220" i="2"/>
  <c r="Q220" i="2"/>
  <c r="AE243" i="2"/>
  <c r="AK243" i="2"/>
  <c r="U243" i="2"/>
  <c r="L283" i="2"/>
  <c r="Q283" i="2"/>
  <c r="AE291" i="2"/>
  <c r="U291" i="2"/>
  <c r="AG91" i="2"/>
  <c r="AO91" i="2"/>
  <c r="AP91" i="2"/>
  <c r="V91" i="2"/>
  <c r="AK437" i="2"/>
  <c r="AK452" i="2"/>
  <c r="AE29" i="2"/>
  <c r="U29" i="2"/>
  <c r="V115" i="2"/>
  <c r="U159" i="2"/>
  <c r="AE159" i="2"/>
  <c r="AM159" i="2"/>
  <c r="AE238" i="2"/>
  <c r="AK238" i="2"/>
  <c r="U238" i="2"/>
  <c r="Q238" i="2"/>
  <c r="L241" i="2"/>
  <c r="AE241" i="2"/>
  <c r="AM241" i="2"/>
  <c r="AS241" i="2"/>
  <c r="BB241" i="2"/>
  <c r="U241" i="2"/>
  <c r="U270" i="2"/>
  <c r="Q270" i="2"/>
  <c r="AE270" i="2"/>
  <c r="Q96" i="2"/>
  <c r="Q157" i="2"/>
  <c r="AE157" i="2"/>
  <c r="AM157" i="2"/>
  <c r="L270" i="2"/>
  <c r="U283" i="2"/>
  <c r="AE361" i="2"/>
  <c r="AM361" i="2"/>
  <c r="AN361" i="2"/>
  <c r="Q421" i="2"/>
  <c r="V96" i="2"/>
  <c r="L43" i="2"/>
  <c r="U43" i="2"/>
  <c r="L62" i="2"/>
  <c r="AE62" i="2"/>
  <c r="AF62" i="2"/>
  <c r="AL62" i="2"/>
  <c r="L113" i="2"/>
  <c r="AE113" i="2"/>
  <c r="AK113" i="2"/>
  <c r="AE339" i="2"/>
  <c r="AK339" i="2"/>
  <c r="U339" i="2"/>
  <c r="U421" i="2"/>
  <c r="U437" i="2"/>
  <c r="L213" i="2"/>
  <c r="AE213" i="2"/>
  <c r="AF213" i="2"/>
  <c r="AL213" i="2"/>
  <c r="U236" i="2"/>
  <c r="AE236" i="2"/>
  <c r="AK236" i="2"/>
  <c r="Q236" i="2"/>
  <c r="U385" i="2"/>
  <c r="AE385" i="2"/>
  <c r="AK385" i="2"/>
  <c r="L84" i="2"/>
  <c r="V121" i="2"/>
  <c r="Q121" i="2"/>
  <c r="AF234" i="2"/>
  <c r="AL234" i="2"/>
  <c r="AM234" i="2"/>
  <c r="Q303" i="2"/>
  <c r="Q339" i="2"/>
  <c r="AM437" i="2"/>
  <c r="AE26" i="2"/>
  <c r="AF26" i="2"/>
  <c r="U26" i="2"/>
  <c r="AG43" i="2"/>
  <c r="AO43" i="2"/>
  <c r="AP43" i="2"/>
  <c r="V43" i="2"/>
  <c r="AE383" i="2"/>
  <c r="AK383" i="2"/>
  <c r="U383" i="2"/>
  <c r="Q383" i="2"/>
  <c r="AE354" i="2"/>
  <c r="AM354" i="2"/>
  <c r="U354" i="2"/>
  <c r="L26" i="2"/>
  <c r="AE283" i="2"/>
  <c r="AF283" i="2"/>
  <c r="AL283" i="2"/>
  <c r="Q274" i="2"/>
  <c r="V274" i="2"/>
  <c r="AM36" i="2"/>
  <c r="AF36" i="2"/>
  <c r="AL36" i="2"/>
  <c r="U36" i="2"/>
  <c r="AE27" i="2"/>
  <c r="AM27" i="2"/>
  <c r="AN27" i="2"/>
  <c r="U27" i="2"/>
  <c r="AE87" i="2"/>
  <c r="AK87" i="2"/>
  <c r="U87" i="2"/>
  <c r="AM173" i="2"/>
  <c r="AN173" i="2"/>
  <c r="AS173" i="2"/>
  <c r="U213" i="2"/>
  <c r="Q77" i="2"/>
  <c r="Q84" i="2"/>
  <c r="U170" i="2"/>
  <c r="L279" i="2"/>
  <c r="U32" i="2"/>
  <c r="AE41" i="2"/>
  <c r="U79" i="2"/>
  <c r="AE84" i="2"/>
  <c r="Q87" i="2"/>
  <c r="L107" i="2"/>
  <c r="U107" i="2"/>
  <c r="Q107" i="2"/>
  <c r="AE131" i="2"/>
  <c r="AK131" i="2"/>
  <c r="Q136" i="2"/>
  <c r="U141" i="2"/>
  <c r="Q165" i="2"/>
  <c r="AE170" i="2"/>
  <c r="U196" i="2"/>
  <c r="AE196" i="2"/>
  <c r="AM196" i="2"/>
  <c r="AM201" i="2"/>
  <c r="AK201" i="2"/>
  <c r="AF201" i="2"/>
  <c r="AL201" i="2"/>
  <c r="Q320" i="2"/>
  <c r="Q373" i="2"/>
  <c r="AE373" i="2"/>
  <c r="AK373" i="2"/>
  <c r="AG96" i="2"/>
  <c r="AO96" i="2"/>
  <c r="AE149" i="2"/>
  <c r="AM149" i="2"/>
  <c r="U149" i="2"/>
  <c r="Q21" i="2"/>
  <c r="W21" i="2"/>
  <c r="L136" i="2"/>
  <c r="AM279" i="2"/>
  <c r="AS279" i="2"/>
  <c r="BB279" i="2"/>
  <c r="BC279" i="2"/>
  <c r="AF279" i="2"/>
  <c r="U82" i="2"/>
  <c r="AE82" i="2"/>
  <c r="AM82" i="2"/>
  <c r="AE330" i="2"/>
  <c r="AM330" i="2"/>
  <c r="U330" i="2"/>
  <c r="AE379" i="2"/>
  <c r="AM379" i="2"/>
  <c r="AN379" i="2"/>
  <c r="U379" i="2"/>
  <c r="AE431" i="2"/>
  <c r="AM431" i="2"/>
  <c r="AN431" i="2"/>
  <c r="U431" i="2"/>
  <c r="AK32" i="2"/>
  <c r="AE53" i="2"/>
  <c r="AK53" i="2"/>
  <c r="AS71" i="2"/>
  <c r="W104" i="2"/>
  <c r="Q134" i="2"/>
  <c r="U136" i="2"/>
  <c r="U165" i="2"/>
  <c r="Q327" i="2"/>
  <c r="U352" i="2"/>
  <c r="AE352" i="2"/>
  <c r="AK352" i="2"/>
  <c r="AE18" i="2"/>
  <c r="U18" i="2"/>
  <c r="U111" i="2"/>
  <c r="AE111" i="2"/>
  <c r="AM111" i="2"/>
  <c r="L231" i="2"/>
  <c r="V136" i="2"/>
  <c r="AG136" i="2"/>
  <c r="AK136" i="2"/>
  <c r="Q206" i="2"/>
  <c r="L16" i="2"/>
  <c r="U53" i="2"/>
  <c r="V111" i="2"/>
  <c r="L134" i="2"/>
  <c r="AE134" i="2"/>
  <c r="AM134" i="2"/>
  <c r="V170" i="2"/>
  <c r="AE322" i="2"/>
  <c r="U322" i="2"/>
  <c r="AE468" i="2"/>
  <c r="U468" i="2"/>
  <c r="Q82" i="2"/>
  <c r="U85" i="2"/>
  <c r="AE85" i="2"/>
  <c r="AK85" i="2"/>
  <c r="U134" i="2"/>
  <c r="AE178" i="2"/>
  <c r="AM178" i="2"/>
  <c r="AN178" i="2"/>
  <c r="Q178" i="2"/>
  <c r="L199" i="2"/>
  <c r="AE199" i="2"/>
  <c r="AK199" i="2"/>
  <c r="U297" i="2"/>
  <c r="AE325" i="2"/>
  <c r="AK325" i="2"/>
  <c r="U325" i="2"/>
  <c r="Q431" i="2"/>
  <c r="Q483" i="2"/>
  <c r="W483" i="2"/>
  <c r="V20" i="2"/>
  <c r="AG20" i="2"/>
  <c r="AH20" i="2"/>
  <c r="N20" i="2"/>
  <c r="AK72" i="2"/>
  <c r="Q168" i="2"/>
  <c r="AM183" i="2"/>
  <c r="U293" i="2"/>
  <c r="AE293" i="2"/>
  <c r="Q300" i="2"/>
  <c r="U300" i="2"/>
  <c r="AE497" i="2"/>
  <c r="AK497" i="2"/>
  <c r="Q497" i="2"/>
  <c r="AK36" i="2"/>
  <c r="U121" i="2"/>
  <c r="AE121" i="2"/>
  <c r="AM121" i="2"/>
  <c r="Q123" i="2"/>
  <c r="Q185" i="2"/>
  <c r="Q241" i="2"/>
  <c r="AK343" i="2"/>
  <c r="U364" i="2"/>
  <c r="Q364" i="2"/>
  <c r="Q381" i="2"/>
  <c r="Q418" i="2"/>
  <c r="AE418" i="2"/>
  <c r="AE420" i="2"/>
  <c r="U420" i="2"/>
  <c r="Q420" i="2"/>
  <c r="AE479" i="2"/>
  <c r="U479" i="2"/>
  <c r="L479" i="2"/>
  <c r="N26" i="2"/>
  <c r="AK401" i="2"/>
  <c r="U438" i="2"/>
  <c r="Q438" i="2"/>
  <c r="Q455" i="2"/>
  <c r="U355" i="2"/>
  <c r="AE355" i="2"/>
  <c r="AK355" i="2"/>
  <c r="Q355" i="2"/>
  <c r="AF289" i="2"/>
  <c r="AL289" i="2"/>
  <c r="AM289" i="2"/>
  <c r="Q404" i="2"/>
  <c r="AE404" i="2"/>
  <c r="AM404" i="2"/>
  <c r="AN404" i="2"/>
  <c r="AE436" i="2"/>
  <c r="AM436" i="2"/>
  <c r="U436" i="2"/>
  <c r="AE462" i="2"/>
  <c r="AK462" i="2"/>
  <c r="U462" i="2"/>
  <c r="AE495" i="2"/>
  <c r="AM495" i="2"/>
  <c r="U495" i="2"/>
  <c r="U497" i="2"/>
  <c r="L305" i="2"/>
  <c r="Q467" i="2"/>
  <c r="Q479" i="2"/>
  <c r="V26" i="2"/>
  <c r="Q245" i="2"/>
  <c r="AK92" i="2"/>
  <c r="L230" i="2"/>
  <c r="Q261" i="2"/>
  <c r="U307" i="2"/>
  <c r="U400" i="2"/>
  <c r="U404" i="2"/>
  <c r="U469" i="2"/>
  <c r="Q473" i="2"/>
  <c r="L171" i="2"/>
  <c r="U183" i="2"/>
  <c r="Q90" i="2"/>
  <c r="Q13" i="2"/>
  <c r="U63" i="2"/>
  <c r="U90" i="2"/>
  <c r="U117" i="2"/>
  <c r="U171" i="2"/>
  <c r="AE247" i="2"/>
  <c r="AM247" i="2"/>
  <c r="AN247" i="2"/>
  <c r="AE261" i="2"/>
  <c r="AM261" i="2"/>
  <c r="U289" i="2"/>
  <c r="U305" i="2"/>
  <c r="U333" i="2"/>
  <c r="U356" i="2"/>
  <c r="U358" i="2"/>
  <c r="Q366" i="2"/>
  <c r="U424" i="2"/>
  <c r="U467" i="2"/>
  <c r="Q475" i="2"/>
  <c r="AE164" i="2"/>
  <c r="U164" i="2"/>
  <c r="L289" i="2"/>
  <c r="Q49" i="2"/>
  <c r="L214" i="2"/>
  <c r="L282" i="2"/>
  <c r="L44" i="2"/>
  <c r="U52" i="2"/>
  <c r="V5" i="2"/>
  <c r="V7" i="2"/>
  <c r="AE9" i="2"/>
  <c r="AM9" i="2"/>
  <c r="U33" i="2"/>
  <c r="AM97" i="2"/>
  <c r="Q202" i="2"/>
  <c r="Q228" i="2"/>
  <c r="U228" i="2"/>
  <c r="Q276" i="2"/>
  <c r="U282" i="2"/>
  <c r="AK289" i="2"/>
  <c r="Q316" i="2"/>
  <c r="U360" i="2"/>
  <c r="AK388" i="2"/>
  <c r="Q392" i="2"/>
  <c r="U426" i="2"/>
  <c r="U428" i="2"/>
  <c r="U445" i="2"/>
  <c r="V473" i="2"/>
  <c r="U475" i="2"/>
  <c r="L128" i="2"/>
  <c r="AE128" i="2"/>
  <c r="AM128" i="2"/>
  <c r="AN128" i="2"/>
  <c r="U128" i="2"/>
  <c r="Q128" i="2"/>
  <c r="AM52" i="2"/>
  <c r="AF52" i="2"/>
  <c r="AL52" i="2"/>
  <c r="L247" i="2"/>
  <c r="Q101" i="2"/>
  <c r="AM321" i="2"/>
  <c r="AN321" i="2"/>
  <c r="AS321" i="2"/>
  <c r="AK321" i="2"/>
  <c r="AK97" i="2"/>
  <c r="AG5" i="2"/>
  <c r="AH5" i="2"/>
  <c r="AE7" i="2"/>
  <c r="AK7" i="2"/>
  <c r="AK77" i="2"/>
  <c r="AE90" i="2"/>
  <c r="AF90" i="2"/>
  <c r="AL90" i="2"/>
  <c r="AS92" i="2"/>
  <c r="Q98" i="2"/>
  <c r="U112" i="2"/>
  <c r="AG214" i="2"/>
  <c r="AO214" i="2"/>
  <c r="AP214" i="2"/>
  <c r="Q219" i="2"/>
  <c r="Q250" i="2"/>
  <c r="AE255" i="2"/>
  <c r="AK255" i="2"/>
  <c r="U255" i="2"/>
  <c r="U276" i="2"/>
  <c r="U280" i="2"/>
  <c r="L287" i="2"/>
  <c r="U287" i="2"/>
  <c r="Q287" i="2"/>
  <c r="L324" i="2"/>
  <c r="AE324" i="2"/>
  <c r="L336" i="2"/>
  <c r="Q344" i="2"/>
  <c r="AE366" i="2"/>
  <c r="AK366" i="2"/>
  <c r="AK400" i="2"/>
  <c r="U402" i="2"/>
  <c r="Q430" i="2"/>
  <c r="Q441" i="2"/>
  <c r="U447" i="2"/>
  <c r="L465" i="2"/>
  <c r="AE467" i="2"/>
  <c r="AK467" i="2"/>
  <c r="Q27" i="2"/>
  <c r="Q436" i="2"/>
  <c r="W436" i="2"/>
  <c r="W49" i="2"/>
  <c r="W13" i="2"/>
  <c r="Q47" i="2"/>
  <c r="AK71" i="2"/>
  <c r="AE112" i="2"/>
  <c r="AK122" i="2"/>
  <c r="AK171" i="2"/>
  <c r="U219" i="2"/>
  <c r="AE230" i="2"/>
  <c r="Q257" i="2"/>
  <c r="L273" i="2"/>
  <c r="AE301" i="2"/>
  <c r="AM301" i="2"/>
  <c r="Q301" i="2"/>
  <c r="U342" i="2"/>
  <c r="AK358" i="2"/>
  <c r="AE372" i="2"/>
  <c r="AM372" i="2"/>
  <c r="AE428" i="2"/>
  <c r="U443" i="2"/>
  <c r="AE473" i="2"/>
  <c r="AK217" i="2"/>
  <c r="Q312" i="2"/>
  <c r="Q375" i="2"/>
  <c r="Q423" i="2"/>
  <c r="AK469" i="2"/>
  <c r="U274" i="2"/>
  <c r="AK101" i="2"/>
  <c r="AK124" i="2"/>
  <c r="Q174" i="2"/>
  <c r="Q200" i="2"/>
  <c r="AM206" i="2"/>
  <c r="Q230" i="2"/>
  <c r="AK319" i="2"/>
  <c r="Q393" i="2"/>
  <c r="Q484" i="2"/>
  <c r="AE488" i="2"/>
  <c r="Q482" i="2"/>
  <c r="AE274" i="2"/>
  <c r="AF274" i="2"/>
  <c r="AL274" i="2"/>
  <c r="Q117" i="2"/>
  <c r="AK234" i="2"/>
  <c r="L346" i="2"/>
  <c r="U482" i="2"/>
  <c r="V63" i="2"/>
  <c r="Q63" i="2"/>
  <c r="AE143" i="2"/>
  <c r="Q143" i="2"/>
  <c r="U143" i="2"/>
  <c r="AE86" i="2"/>
  <c r="Q86" i="2"/>
  <c r="L86" i="2"/>
  <c r="U86" i="2"/>
  <c r="Q147" i="2"/>
  <c r="AK186" i="2"/>
  <c r="AM186" i="2"/>
  <c r="AM225" i="2"/>
  <c r="AK225" i="2"/>
  <c r="AE299" i="2"/>
  <c r="U299" i="2"/>
  <c r="Q299" i="2"/>
  <c r="L299" i="2"/>
  <c r="U39" i="2"/>
  <c r="Q39" i="2"/>
  <c r="AE39" i="2"/>
  <c r="L39" i="2"/>
  <c r="AF43" i="2"/>
  <c r="AL43" i="2"/>
  <c r="AO267" i="2"/>
  <c r="AT267" i="2"/>
  <c r="BD267" i="2"/>
  <c r="BE267" i="2"/>
  <c r="AH267" i="2"/>
  <c r="AL267" i="2"/>
  <c r="AM300" i="2"/>
  <c r="AK300" i="2"/>
  <c r="AM45" i="2"/>
  <c r="AS45" i="2"/>
  <c r="BB45" i="2"/>
  <c r="AK45" i="2"/>
  <c r="Q55" i="2"/>
  <c r="AE55" i="2"/>
  <c r="AE89" i="2"/>
  <c r="U89" i="2"/>
  <c r="Q89" i="2"/>
  <c r="Q94" i="2"/>
  <c r="AE94" i="2"/>
  <c r="U94" i="2"/>
  <c r="AM130" i="2"/>
  <c r="AK130" i="2"/>
  <c r="U142" i="2"/>
  <c r="Q142" i="2"/>
  <c r="AE142" i="2"/>
  <c r="AK158" i="2"/>
  <c r="AM158" i="2"/>
  <c r="AK423" i="2"/>
  <c r="AM423" i="2"/>
  <c r="V33" i="2"/>
  <c r="Q33" i="2"/>
  <c r="AM43" i="2"/>
  <c r="Q152" i="2"/>
  <c r="U152" i="2"/>
  <c r="AE152" i="2"/>
  <c r="AM216" i="2"/>
  <c r="AN216" i="2"/>
  <c r="AS216" i="2"/>
  <c r="BB216" i="2"/>
  <c r="AK216" i="2"/>
  <c r="AF216" i="2"/>
  <c r="AL216" i="2"/>
  <c r="AE264" i="2"/>
  <c r="Q264" i="2"/>
  <c r="W282" i="2"/>
  <c r="Q282" i="2"/>
  <c r="V298" i="2"/>
  <c r="Q298" i="2"/>
  <c r="AK465" i="2"/>
  <c r="AM465" i="2"/>
  <c r="AF465" i="2"/>
  <c r="AL465" i="2"/>
  <c r="AM31" i="2"/>
  <c r="AK31" i="2"/>
  <c r="Q37" i="2"/>
  <c r="U37" i="2"/>
  <c r="AE37" i="2"/>
  <c r="W73" i="2"/>
  <c r="Q73" i="2"/>
  <c r="Q138" i="2"/>
  <c r="AE184" i="2"/>
  <c r="Q184" i="2"/>
  <c r="U184" i="2"/>
  <c r="U326" i="2"/>
  <c r="AE326" i="2"/>
  <c r="Q326" i="2"/>
  <c r="Q25" i="2"/>
  <c r="L37" i="2"/>
  <c r="U55" i="2"/>
  <c r="AM60" i="2"/>
  <c r="AS60" i="2"/>
  <c r="BB60" i="2"/>
  <c r="AK60" i="2"/>
  <c r="Q164" i="2"/>
  <c r="AM182" i="2"/>
  <c r="AK182" i="2"/>
  <c r="AE192" i="2"/>
  <c r="U192" i="2"/>
  <c r="Q192" i="2"/>
  <c r="AM200" i="2"/>
  <c r="AK200" i="2"/>
  <c r="AK212" i="2"/>
  <c r="AM212" i="2"/>
  <c r="AE315" i="2"/>
  <c r="Q315" i="2"/>
  <c r="U315" i="2"/>
  <c r="Q367" i="2"/>
  <c r="V367" i="2"/>
  <c r="Q446" i="2"/>
  <c r="U446" i="2"/>
  <c r="AE446" i="2"/>
  <c r="Q48" i="2"/>
  <c r="U48" i="2"/>
  <c r="AE48" i="2"/>
  <c r="AF60" i="2"/>
  <c r="AL60" i="2"/>
  <c r="Q66" i="2"/>
  <c r="Q109" i="2"/>
  <c r="AE190" i="2"/>
  <c r="U190" i="2"/>
  <c r="Q190" i="2"/>
  <c r="W204" i="2"/>
  <c r="Q204" i="2"/>
  <c r="AM214" i="2"/>
  <c r="AS214" i="2"/>
  <c r="BB214" i="2"/>
  <c r="AF214" i="2"/>
  <c r="AL214" i="2"/>
  <c r="U227" i="2"/>
  <c r="AE227" i="2"/>
  <c r="Q227" i="2"/>
  <c r="U264" i="2"/>
  <c r="U337" i="2"/>
  <c r="Q337" i="2"/>
  <c r="AE337" i="2"/>
  <c r="W417" i="2"/>
  <c r="Q417" i="2"/>
  <c r="AF271" i="2"/>
  <c r="AK271" i="2"/>
  <c r="AM271" i="2"/>
  <c r="V44" i="2"/>
  <c r="Q44" i="2"/>
  <c r="Q80" i="2"/>
  <c r="AE80" i="2"/>
  <c r="L80" i="2"/>
  <c r="U80" i="2"/>
  <c r="AE133" i="2"/>
  <c r="U133" i="2"/>
  <c r="Q133" i="2"/>
  <c r="AK140" i="2"/>
  <c r="AM140" i="2"/>
  <c r="AN140" i="2"/>
  <c r="AS140" i="2"/>
  <c r="AM144" i="2"/>
  <c r="AK144" i="2"/>
  <c r="Q162" i="2"/>
  <c r="L190" i="2"/>
  <c r="AK235" i="2"/>
  <c r="AM235" i="2"/>
  <c r="U28" i="2"/>
  <c r="Q28" i="2"/>
  <c r="AE28" i="2"/>
  <c r="Q35" i="2"/>
  <c r="Q99" i="2"/>
  <c r="V99" i="2"/>
  <c r="AF144" i="2"/>
  <c r="AL144" i="2"/>
  <c r="V307" i="2"/>
  <c r="Q307" i="2"/>
  <c r="AE394" i="2"/>
  <c r="U394" i="2"/>
  <c r="Q394" i="2"/>
  <c r="W135" i="2"/>
  <c r="Q135" i="2"/>
  <c r="Q377" i="2"/>
  <c r="U377" i="2"/>
  <c r="AE377" i="2"/>
  <c r="Q131" i="2"/>
  <c r="AE153" i="2"/>
  <c r="U153" i="2"/>
  <c r="Q153" i="2"/>
  <c r="Q289" i="2"/>
  <c r="U435" i="2"/>
  <c r="AE435" i="2"/>
  <c r="Q435" i="2"/>
  <c r="Q472" i="2"/>
  <c r="AE472" i="2"/>
  <c r="U472" i="2"/>
  <c r="AE115" i="2"/>
  <c r="L115" i="2"/>
  <c r="U115" i="2"/>
  <c r="AM421" i="2"/>
  <c r="AK421" i="2"/>
  <c r="AE434" i="2"/>
  <c r="Q434" i="2"/>
  <c r="U434" i="2"/>
  <c r="Q481" i="2"/>
  <c r="L481" i="2"/>
  <c r="U481" i="2"/>
  <c r="AE481" i="2"/>
  <c r="AF45" i="2"/>
  <c r="AL45" i="2"/>
  <c r="AK76" i="2"/>
  <c r="AM76" i="2"/>
  <c r="L142" i="2"/>
  <c r="Q10" i="2"/>
  <c r="U23" i="2"/>
  <c r="AE23" i="2"/>
  <c r="Q23" i="2"/>
  <c r="Q115" i="2"/>
  <c r="AK17" i="2"/>
  <c r="AS17" i="2"/>
  <c r="AM188" i="2"/>
  <c r="AK188" i="2"/>
  <c r="AF248" i="2"/>
  <c r="AL248" i="2"/>
  <c r="AM248" i="2"/>
  <c r="AF250" i="2"/>
  <c r="AL250" i="2"/>
  <c r="AM250" i="2"/>
  <c r="AK250" i="2"/>
  <c r="U486" i="2"/>
  <c r="Q486" i="2"/>
  <c r="AE486" i="2"/>
  <c r="L486" i="2"/>
  <c r="U56" i="2"/>
  <c r="Q56" i="2"/>
  <c r="AE56" i="2"/>
  <c r="AE103" i="2"/>
  <c r="Q103" i="2"/>
  <c r="U103" i="2"/>
  <c r="U108" i="2"/>
  <c r="Q108" i="2"/>
  <c r="AE108" i="2"/>
  <c r="Q139" i="2"/>
  <c r="L139" i="2"/>
  <c r="AE139" i="2"/>
  <c r="U139" i="2"/>
  <c r="W297" i="2"/>
  <c r="Q297" i="2"/>
  <c r="AO9" i="2"/>
  <c r="L108" i="2"/>
  <c r="Q111" i="2"/>
  <c r="AE116" i="2"/>
  <c r="Q116" i="2"/>
  <c r="L116" i="2"/>
  <c r="U116" i="2"/>
  <c r="Q151" i="2"/>
  <c r="U151" i="2"/>
  <c r="AE151" i="2"/>
  <c r="L151" i="2"/>
  <c r="L169" i="2"/>
  <c r="AE169" i="2"/>
  <c r="U169" i="2"/>
  <c r="Q169" i="2"/>
  <c r="AE191" i="2"/>
  <c r="U191" i="2"/>
  <c r="L195" i="2"/>
  <c r="Q195" i="2"/>
  <c r="AE195" i="2"/>
  <c r="U195" i="2"/>
  <c r="AE265" i="2"/>
  <c r="Q265" i="2"/>
  <c r="U265" i="2"/>
  <c r="V445" i="2"/>
  <c r="Q445" i="2"/>
  <c r="Q38" i="2"/>
  <c r="W38" i="2"/>
  <c r="AG79" i="2"/>
  <c r="V79" i="2"/>
  <c r="Q203" i="2"/>
  <c r="U203" i="2"/>
  <c r="AE203" i="2"/>
  <c r="W433" i="2"/>
  <c r="Q433" i="2"/>
  <c r="AM14" i="2"/>
  <c r="U51" i="2"/>
  <c r="Q51" i="2"/>
  <c r="AE51" i="2"/>
  <c r="AM93" i="2"/>
  <c r="AN93" i="2"/>
  <c r="AS93" i="2"/>
  <c r="AK93" i="2"/>
  <c r="AF251" i="2"/>
  <c r="AL251" i="2"/>
  <c r="AM251" i="2"/>
  <c r="AS251" i="2"/>
  <c r="BB251" i="2"/>
  <c r="AK251" i="2"/>
  <c r="Q308" i="2"/>
  <c r="U308" i="2"/>
  <c r="AE308" i="2"/>
  <c r="Q336" i="2"/>
  <c r="V480" i="2"/>
  <c r="Q480" i="2"/>
  <c r="Q36" i="2"/>
  <c r="L51" i="2"/>
  <c r="W58" i="2"/>
  <c r="Q58" i="2"/>
  <c r="Q79" i="2"/>
  <c r="AM114" i="2"/>
  <c r="AK167" i="2"/>
  <c r="AM167" i="2"/>
  <c r="U187" i="2"/>
  <c r="Q187" i="2"/>
  <c r="AE187" i="2"/>
  <c r="Q191" i="2"/>
  <c r="U226" i="2"/>
  <c r="AE226" i="2"/>
  <c r="Q263" i="2"/>
  <c r="L308" i="2"/>
  <c r="AM162" i="2"/>
  <c r="AK162" i="2"/>
  <c r="AF162" i="2"/>
  <c r="AL162" i="2"/>
  <c r="AK175" i="2"/>
  <c r="AM175" i="2"/>
  <c r="U341" i="2"/>
  <c r="Q341" i="2"/>
  <c r="AE341" i="2"/>
  <c r="U19" i="2"/>
  <c r="Q19" i="2"/>
  <c r="L19" i="2"/>
  <c r="AE19" i="2"/>
  <c r="Q61" i="2"/>
  <c r="AE209" i="2"/>
  <c r="U209" i="2"/>
  <c r="Q209" i="2"/>
  <c r="W243" i="2"/>
  <c r="Q243" i="2"/>
  <c r="Q255" i="2"/>
  <c r="Q32" i="2"/>
  <c r="U22" i="2"/>
  <c r="Q22" i="2"/>
  <c r="AE22" i="2"/>
  <c r="AE127" i="2"/>
  <c r="Q127" i="2"/>
  <c r="Q494" i="2"/>
  <c r="AE494" i="2"/>
  <c r="U494" i="2"/>
  <c r="Q281" i="2"/>
  <c r="Q16" i="2"/>
  <c r="V16" i="2"/>
  <c r="Q53" i="2"/>
  <c r="U83" i="2"/>
  <c r="AE83" i="2"/>
  <c r="Q83" i="2"/>
  <c r="AF114" i="2"/>
  <c r="AM125" i="2"/>
  <c r="AK141" i="2"/>
  <c r="AM141" i="2"/>
  <c r="AF141" i="2"/>
  <c r="AL141" i="2"/>
  <c r="AE156" i="2"/>
  <c r="U156" i="2"/>
  <c r="Q156" i="2"/>
  <c r="AM357" i="2"/>
  <c r="AN357" i="2"/>
  <c r="AS357" i="2"/>
  <c r="AK357" i="2"/>
  <c r="U5" i="2"/>
  <c r="AE5" i="2"/>
  <c r="Q5" i="2"/>
  <c r="AK14" i="2"/>
  <c r="AK34" i="2"/>
  <c r="AM34" i="2"/>
  <c r="AM67" i="2"/>
  <c r="AN67" i="2"/>
  <c r="AS67" i="2"/>
  <c r="U69" i="2"/>
  <c r="Q69" i="2"/>
  <c r="AE69" i="2"/>
  <c r="L156" i="2"/>
  <c r="U218" i="2"/>
  <c r="AE218" i="2"/>
  <c r="Q218" i="2"/>
  <c r="AK224" i="2"/>
  <c r="AS224" i="2"/>
  <c r="Q278" i="2"/>
  <c r="AE290" i="2"/>
  <c r="Q290" i="2"/>
  <c r="U290" i="2"/>
  <c r="L5" i="2"/>
  <c r="U31" i="2"/>
  <c r="Q31" i="2"/>
  <c r="AM58" i="2"/>
  <c r="AK58" i="2"/>
  <c r="Q62" i="2"/>
  <c r="U76" i="2"/>
  <c r="Q76" i="2"/>
  <c r="Q113" i="2"/>
  <c r="U148" i="2"/>
  <c r="Q148" i="2"/>
  <c r="AE148" i="2"/>
  <c r="V171" i="2"/>
  <c r="Q171" i="2"/>
  <c r="Q173" i="2"/>
  <c r="Q182" i="2"/>
  <c r="U182" i="2"/>
  <c r="Q226" i="2"/>
  <c r="L290" i="2"/>
  <c r="AE328" i="2"/>
  <c r="U328" i="2"/>
  <c r="L328" i="2"/>
  <c r="Q328" i="2"/>
  <c r="V349" i="2"/>
  <c r="Q349" i="2"/>
  <c r="AK389" i="2"/>
  <c r="AM389" i="2"/>
  <c r="W465" i="2"/>
  <c r="Q465" i="2"/>
  <c r="AM30" i="2"/>
  <c r="Q160" i="2"/>
  <c r="AE160" i="2"/>
  <c r="AM295" i="2"/>
  <c r="AM88" i="2"/>
  <c r="L97" i="2"/>
  <c r="AG129" i="2"/>
  <c r="N129" i="2"/>
  <c r="AF295" i="2"/>
  <c r="AL295" i="2"/>
  <c r="U49" i="2"/>
  <c r="AE49" i="2"/>
  <c r="Q180" i="2"/>
  <c r="AE180" i="2"/>
  <c r="Q46" i="2"/>
  <c r="U46" i="2"/>
  <c r="AE46" i="2"/>
  <c r="L49" i="2"/>
  <c r="AK50" i="2"/>
  <c r="AM50" i="2"/>
  <c r="L61" i="2"/>
  <c r="U61" i="2"/>
  <c r="AE61" i="2"/>
  <c r="Q67" i="2"/>
  <c r="U67" i="2"/>
  <c r="Q70" i="2"/>
  <c r="U78" i="2"/>
  <c r="Q78" i="2"/>
  <c r="AE78" i="2"/>
  <c r="AS101" i="2"/>
  <c r="Q106" i="2"/>
  <c r="U106" i="2"/>
  <c r="AE106" i="2"/>
  <c r="L109" i="2"/>
  <c r="AE109" i="2"/>
  <c r="U109" i="2"/>
  <c r="AO115" i="2"/>
  <c r="V129" i="2"/>
  <c r="Q145" i="2"/>
  <c r="U145" i="2"/>
  <c r="AE145" i="2"/>
  <c r="U160" i="2"/>
  <c r="AS229" i="2"/>
  <c r="BB229" i="2"/>
  <c r="AK229" i="2"/>
  <c r="V372" i="2"/>
  <c r="Q372" i="2"/>
  <c r="U387" i="2"/>
  <c r="Q387" i="2"/>
  <c r="AE387" i="2"/>
  <c r="U492" i="2"/>
  <c r="AE492" i="2"/>
  <c r="Q492" i="2"/>
  <c r="Q14" i="2"/>
  <c r="U14" i="2"/>
  <c r="L129" i="2"/>
  <c r="AE129" i="2"/>
  <c r="U129" i="2"/>
  <c r="Q129" i="2"/>
  <c r="AE132" i="2"/>
  <c r="U132" i="2"/>
  <c r="Q132" i="2"/>
  <c r="N267" i="2"/>
  <c r="V267" i="2"/>
  <c r="AE258" i="2"/>
  <c r="U258" i="2"/>
  <c r="Q258" i="2"/>
  <c r="L52" i="2"/>
  <c r="AK98" i="2"/>
  <c r="AM98" i="2"/>
  <c r="AK107" i="2"/>
  <c r="AM107" i="2"/>
  <c r="L132" i="2"/>
  <c r="AK297" i="2"/>
  <c r="AM297" i="2"/>
  <c r="AK333" i="2"/>
  <c r="AM333" i="2"/>
  <c r="AE347" i="2"/>
  <c r="U347" i="2"/>
  <c r="Q347" i="2"/>
  <c r="AM375" i="2"/>
  <c r="AK375" i="2"/>
  <c r="U17" i="2"/>
  <c r="Q17" i="2"/>
  <c r="Q81" i="2"/>
  <c r="AE81" i="2"/>
  <c r="V84" i="2"/>
  <c r="AG84" i="2"/>
  <c r="AF107" i="2"/>
  <c r="AL107" i="2"/>
  <c r="AM120" i="2"/>
  <c r="AK120" i="2"/>
  <c r="AM123" i="2"/>
  <c r="AK123" i="2"/>
  <c r="U140" i="2"/>
  <c r="Q140" i="2"/>
  <c r="Q198" i="2"/>
  <c r="U211" i="2"/>
  <c r="AE211" i="2"/>
  <c r="Q211" i="2"/>
  <c r="W240" i="2"/>
  <c r="Q240" i="2"/>
  <c r="AG273" i="2"/>
  <c r="Q273" i="2"/>
  <c r="N273" i="2"/>
  <c r="V273" i="2"/>
  <c r="W292" i="2"/>
  <c r="Q292" i="2"/>
  <c r="Q7" i="2"/>
  <c r="AE24" i="2"/>
  <c r="U24" i="2"/>
  <c r="Q24" i="2"/>
  <c r="Q43" i="2"/>
  <c r="L46" i="2"/>
  <c r="AF50" i="2"/>
  <c r="AL50" i="2"/>
  <c r="Q52" i="2"/>
  <c r="AK88" i="2"/>
  <c r="Q97" i="2"/>
  <c r="L106" i="2"/>
  <c r="Q122" i="2"/>
  <c r="L145" i="2"/>
  <c r="AM155" i="2"/>
  <c r="AN155" i="2"/>
  <c r="AF155" i="2"/>
  <c r="AL155" i="2"/>
  <c r="AS155" i="2"/>
  <c r="BB155" i="2"/>
  <c r="AK155" i="2"/>
  <c r="AK185" i="2"/>
  <c r="AF229" i="2"/>
  <c r="AL229" i="2"/>
  <c r="V247" i="2"/>
  <c r="Q247" i="2"/>
  <c r="U253" i="2"/>
  <c r="Q253" i="2"/>
  <c r="AE253" i="2"/>
  <c r="AH279" i="2"/>
  <c r="AL279" i="2"/>
  <c r="AO279" i="2"/>
  <c r="AK295" i="2"/>
  <c r="Q324" i="2"/>
  <c r="Q330" i="2"/>
  <c r="V330" i="2"/>
  <c r="V343" i="2"/>
  <c r="Q343" i="2"/>
  <c r="Q365" i="2"/>
  <c r="AK406" i="2"/>
  <c r="AM406" i="2"/>
  <c r="U476" i="2"/>
  <c r="Q476" i="2"/>
  <c r="AE476" i="2"/>
  <c r="L492" i="2"/>
  <c r="Q60" i="2"/>
  <c r="L60" i="2"/>
  <c r="AM150" i="2"/>
  <c r="AK150" i="2"/>
  <c r="U158" i="2"/>
  <c r="Q158" i="2"/>
  <c r="AM287" i="2"/>
  <c r="AF287" i="2"/>
  <c r="AL287" i="2"/>
  <c r="AK287" i="2"/>
  <c r="Q57" i="2"/>
  <c r="AM95" i="2"/>
  <c r="AK154" i="2"/>
  <c r="AM154" i="2"/>
  <c r="AM228" i="2"/>
  <c r="AK228" i="2"/>
  <c r="U246" i="2"/>
  <c r="Q246" i="2"/>
  <c r="AE246" i="2"/>
  <c r="V323" i="2"/>
  <c r="Q323" i="2"/>
  <c r="Q437" i="2"/>
  <c r="AT15" i="2"/>
  <c r="AK33" i="2"/>
  <c r="AS33" i="2"/>
  <c r="AM124" i="2"/>
  <c r="U130" i="2"/>
  <c r="Q130" i="2"/>
  <c r="Q149" i="2"/>
  <c r="Q186" i="2"/>
  <c r="AS217" i="2"/>
  <c r="U221" i="2"/>
  <c r="Q221" i="2"/>
  <c r="AE221" i="2"/>
  <c r="Q237" i="2"/>
  <c r="V342" i="2"/>
  <c r="Q342" i="2"/>
  <c r="AM466" i="2"/>
  <c r="AK466" i="2"/>
  <c r="U487" i="2"/>
  <c r="Q487" i="2"/>
  <c r="AE487" i="2"/>
  <c r="Q124" i="2"/>
  <c r="W124" i="2"/>
  <c r="Q212" i="2"/>
  <c r="U212" i="2"/>
  <c r="AM306" i="2"/>
  <c r="AK306" i="2"/>
  <c r="V407" i="2"/>
  <c r="Q407" i="2"/>
  <c r="AM416" i="2"/>
  <c r="AK416" i="2"/>
  <c r="Q493" i="2"/>
  <c r="L493" i="2"/>
  <c r="U493" i="2"/>
  <c r="AE493" i="2"/>
  <c r="AH271" i="2"/>
  <c r="AO271" i="2"/>
  <c r="AT271" i="2"/>
  <c r="BD271" i="2"/>
  <c r="BE271" i="2"/>
  <c r="Q9" i="2"/>
  <c r="V9" i="2"/>
  <c r="AE12" i="2"/>
  <c r="U12" i="2"/>
  <c r="Q12" i="2"/>
  <c r="AM21" i="2"/>
  <c r="AK21" i="2"/>
  <c r="U45" i="2"/>
  <c r="L45" i="2"/>
  <c r="Q45" i="2"/>
  <c r="Q112" i="2"/>
  <c r="AS122" i="2"/>
  <c r="AF150" i="2"/>
  <c r="AL150" i="2"/>
  <c r="AE161" i="2"/>
  <c r="U161" i="2"/>
  <c r="Q161" i="2"/>
  <c r="AK189" i="2"/>
  <c r="AM189" i="2"/>
  <c r="Q210" i="2"/>
  <c r="AM219" i="2"/>
  <c r="AK219" i="2"/>
  <c r="AE268" i="2"/>
  <c r="U268" i="2"/>
  <c r="Q268" i="2"/>
  <c r="AE314" i="2"/>
  <c r="Q314" i="2"/>
  <c r="U314" i="2"/>
  <c r="Q384" i="2"/>
  <c r="AE384" i="2"/>
  <c r="U384" i="2"/>
  <c r="AE405" i="2"/>
  <c r="U405" i="2"/>
  <c r="Q405" i="2"/>
  <c r="U409" i="2"/>
  <c r="AE409" i="2"/>
  <c r="Q409" i="2"/>
  <c r="V92" i="2"/>
  <c r="Q92" i="2"/>
  <c r="Q179" i="2"/>
  <c r="Q252" i="2"/>
  <c r="AK266" i="2"/>
  <c r="AM266" i="2"/>
  <c r="L314" i="2"/>
  <c r="U439" i="2"/>
  <c r="AE439" i="2"/>
  <c r="Q439" i="2"/>
  <c r="W468" i="2"/>
  <c r="Q468" i="2"/>
  <c r="Q30" i="2"/>
  <c r="U35" i="2"/>
  <c r="AE35" i="2"/>
  <c r="U60" i="2"/>
  <c r="U30" i="2"/>
  <c r="AE65" i="2"/>
  <c r="Q65" i="2"/>
  <c r="AT111" i="2"/>
  <c r="Q118" i="2"/>
  <c r="AE118" i="2"/>
  <c r="U118" i="2"/>
  <c r="AE126" i="2"/>
  <c r="Q126" i="2"/>
  <c r="AK138" i="2"/>
  <c r="AM138" i="2"/>
  <c r="AE163" i="2"/>
  <c r="U163" i="2"/>
  <c r="Q163" i="2"/>
  <c r="Q166" i="2"/>
  <c r="U166" i="2"/>
  <c r="AE166" i="2"/>
  <c r="V181" i="2"/>
  <c r="Q181" i="2"/>
  <c r="L216" i="2"/>
  <c r="U216" i="2"/>
  <c r="Q216" i="2"/>
  <c r="Q340" i="2"/>
  <c r="AM364" i="2"/>
  <c r="AK364" i="2"/>
  <c r="W456" i="2"/>
  <c r="Q456" i="2"/>
  <c r="U144" i="2"/>
  <c r="L144" i="2"/>
  <c r="Q188" i="2"/>
  <c r="U188" i="2"/>
  <c r="AE222" i="2"/>
  <c r="L222" i="2"/>
  <c r="AE284" i="2"/>
  <c r="U284" i="2"/>
  <c r="W325" i="2"/>
  <c r="Q325" i="2"/>
  <c r="W397" i="2"/>
  <c r="Q397" i="2"/>
  <c r="AM402" i="2"/>
  <c r="AK402" i="2"/>
  <c r="AM427" i="2"/>
  <c r="AT7" i="2"/>
  <c r="AG114" i="2"/>
  <c r="AK114" i="2"/>
  <c r="N114" i="2"/>
  <c r="AE193" i="2"/>
  <c r="L193" i="2"/>
  <c r="AE202" i="2"/>
  <c r="L202" i="2"/>
  <c r="AE205" i="2"/>
  <c r="Q205" i="2"/>
  <c r="U205" i="2"/>
  <c r="U224" i="2"/>
  <c r="Q224" i="2"/>
  <c r="L229" i="2"/>
  <c r="U229" i="2"/>
  <c r="Q229" i="2"/>
  <c r="U232" i="2"/>
  <c r="Q232" i="2"/>
  <c r="AE232" i="2"/>
  <c r="Q291" i="2"/>
  <c r="AK329" i="2"/>
  <c r="AS329" i="2"/>
  <c r="AE338" i="2"/>
  <c r="U338" i="2"/>
  <c r="Q338" i="2"/>
  <c r="Q353" i="2"/>
  <c r="U353" i="2"/>
  <c r="AE353" i="2"/>
  <c r="AE390" i="2"/>
  <c r="Q390" i="2"/>
  <c r="Q399" i="2"/>
  <c r="Q422" i="2"/>
  <c r="AE422" i="2"/>
  <c r="AE458" i="2"/>
  <c r="U458" i="2"/>
  <c r="U471" i="2"/>
  <c r="Q471" i="2"/>
  <c r="AE471" i="2"/>
  <c r="Q50" i="2"/>
  <c r="L50" i="2"/>
  <c r="U95" i="2"/>
  <c r="Q95" i="2"/>
  <c r="Q100" i="2"/>
  <c r="AE100" i="2"/>
  <c r="Q196" i="2"/>
  <c r="Q199" i="2"/>
  <c r="L205" i="2"/>
  <c r="U237" i="2"/>
  <c r="AE237" i="2"/>
  <c r="AE275" i="2"/>
  <c r="U275" i="2"/>
  <c r="Q275" i="2"/>
  <c r="U317" i="2"/>
  <c r="Q317" i="2"/>
  <c r="AE317" i="2"/>
  <c r="AM432" i="2"/>
  <c r="AK432" i="2"/>
  <c r="Q450" i="2"/>
  <c r="V23" i="2"/>
  <c r="AG23" i="2"/>
  <c r="N23" i="2"/>
  <c r="L36" i="2"/>
  <c r="Q119" i="2"/>
  <c r="AE119" i="2"/>
  <c r="Q167" i="2"/>
  <c r="L232" i="2"/>
  <c r="Q15" i="2"/>
  <c r="Q29" i="2"/>
  <c r="Q59" i="2"/>
  <c r="L79" i="2"/>
  <c r="Q91" i="2"/>
  <c r="N112" i="2"/>
  <c r="Q114" i="2"/>
  <c r="L119" i="2"/>
  <c r="Q144" i="2"/>
  <c r="U155" i="2"/>
  <c r="Q155" i="2"/>
  <c r="Q213" i="2"/>
  <c r="V213" i="2"/>
  <c r="Q222" i="2"/>
  <c r="AE259" i="2"/>
  <c r="Q259" i="2"/>
  <c r="L275" i="2"/>
  <c r="Q284" i="2"/>
  <c r="AM310" i="2"/>
  <c r="AK310" i="2"/>
  <c r="Q333" i="2"/>
  <c r="L333" i="2"/>
  <c r="AK427" i="2"/>
  <c r="V441" i="2"/>
  <c r="Q464" i="2"/>
  <c r="AE464" i="2"/>
  <c r="U464" i="2"/>
  <c r="L8" i="2"/>
  <c r="AE8" i="2"/>
  <c r="U137" i="2"/>
  <c r="Q137" i="2"/>
  <c r="U150" i="2"/>
  <c r="Q150" i="2"/>
  <c r="U254" i="2"/>
  <c r="Q254" i="2"/>
  <c r="U277" i="2"/>
  <c r="Q277" i="2"/>
  <c r="AE277" i="2"/>
  <c r="AM396" i="2"/>
  <c r="AE459" i="2"/>
  <c r="U459" i="2"/>
  <c r="Q459" i="2"/>
  <c r="U197" i="2"/>
  <c r="Q197" i="2"/>
  <c r="AE197" i="2"/>
  <c r="AF204" i="2"/>
  <c r="AL204" i="2"/>
  <c r="AM204" i="2"/>
  <c r="AN204" i="2"/>
  <c r="AS204" i="2"/>
  <c r="BB204" i="2"/>
  <c r="AK204" i="2"/>
  <c r="L206" i="2"/>
  <c r="W280" i="2"/>
  <c r="Q280" i="2"/>
  <c r="U304" i="2"/>
  <c r="Q304" i="2"/>
  <c r="AE304" i="2"/>
  <c r="L304" i="2"/>
  <c r="AM449" i="2"/>
  <c r="AK449" i="2"/>
  <c r="AK451" i="2"/>
  <c r="AM451" i="2"/>
  <c r="Q500" i="2"/>
  <c r="U500" i="2"/>
  <c r="AE500" i="2"/>
  <c r="AM147" i="2"/>
  <c r="U154" i="2"/>
  <c r="Q154" i="2"/>
  <c r="U233" i="2"/>
  <c r="AE233" i="2"/>
  <c r="Q233" i="2"/>
  <c r="AE249" i="2"/>
  <c r="U249" i="2"/>
  <c r="Q461" i="2"/>
  <c r="V461" i="2"/>
  <c r="L6" i="2"/>
  <c r="U38" i="2"/>
  <c r="AE38" i="2"/>
  <c r="U88" i="2"/>
  <c r="Q88" i="2"/>
  <c r="U125" i="2"/>
  <c r="Q125" i="2"/>
  <c r="Q141" i="2"/>
  <c r="Q146" i="2"/>
  <c r="AE146" i="2"/>
  <c r="L150" i="2"/>
  <c r="AE168" i="2"/>
  <c r="U168" i="2"/>
  <c r="AE172" i="2"/>
  <c r="Q172" i="2"/>
  <c r="U172" i="2"/>
  <c r="U175" i="2"/>
  <c r="Q175" i="2"/>
  <c r="Q215" i="2"/>
  <c r="Q311" i="2"/>
  <c r="Q346" i="2"/>
  <c r="Q400" i="2"/>
  <c r="AK447" i="2"/>
  <c r="AM447" i="2"/>
  <c r="U453" i="2"/>
  <c r="AE453" i="2"/>
  <c r="Q453" i="2"/>
  <c r="Q496" i="2"/>
  <c r="V272" i="2"/>
  <c r="AG272" i="2"/>
  <c r="L38" i="2"/>
  <c r="L47" i="2"/>
  <c r="L82" i="2"/>
  <c r="L141" i="2"/>
  <c r="L168" i="2"/>
  <c r="L172" i="2"/>
  <c r="Q8" i="2"/>
  <c r="U34" i="2"/>
  <c r="Q34" i="2"/>
  <c r="Q74" i="2"/>
  <c r="Q93" i="2"/>
  <c r="Q102" i="2"/>
  <c r="AK117" i="2"/>
  <c r="AE137" i="2"/>
  <c r="AK147" i="2"/>
  <c r="Q194" i="2"/>
  <c r="AE194" i="2"/>
  <c r="U214" i="2"/>
  <c r="Q214" i="2"/>
  <c r="Q223" i="2"/>
  <c r="Q225" i="2"/>
  <c r="U225" i="2"/>
  <c r="Q249" i="2"/>
  <c r="U251" i="2"/>
  <c r="Q251" i="2"/>
  <c r="L251" i="2"/>
  <c r="AE254" i="2"/>
  <c r="Q313" i="2"/>
  <c r="AE313" i="2"/>
  <c r="W321" i="2"/>
  <c r="AK396" i="2"/>
  <c r="Q425" i="2"/>
  <c r="V425" i="2"/>
  <c r="V354" i="2"/>
  <c r="Q354" i="2"/>
  <c r="AE411" i="2"/>
  <c r="Q411" i="2"/>
  <c r="U463" i="2"/>
  <c r="AE463" i="2"/>
  <c r="Q463" i="2"/>
  <c r="Q269" i="2"/>
  <c r="V269" i="2"/>
  <c r="U71" i="2"/>
  <c r="Q71" i="2"/>
  <c r="AK244" i="2"/>
  <c r="U263" i="2"/>
  <c r="AE263" i="2"/>
  <c r="AK279" i="2"/>
  <c r="Q310" i="2"/>
  <c r="U310" i="2"/>
  <c r="AK386" i="2"/>
  <c r="AM386" i="2"/>
  <c r="Q388" i="2"/>
  <c r="AK393" i="2"/>
  <c r="AM393" i="2"/>
  <c r="U395" i="2"/>
  <c r="AE395" i="2"/>
  <c r="Q395" i="2"/>
  <c r="AM429" i="2"/>
  <c r="AK429" i="2"/>
  <c r="U248" i="2"/>
  <c r="Q248" i="2"/>
  <c r="U288" i="2"/>
  <c r="Q288" i="2"/>
  <c r="AE288" i="2"/>
  <c r="AM302" i="2"/>
  <c r="AK302" i="2"/>
  <c r="Q322" i="2"/>
  <c r="V322" i="2"/>
  <c r="Q41" i="2"/>
  <c r="AK183" i="2"/>
  <c r="AF215" i="2"/>
  <c r="AL215" i="2"/>
  <c r="L248" i="2"/>
  <c r="AM267" i="2"/>
  <c r="AK267" i="2"/>
  <c r="AS267" i="2"/>
  <c r="BB267" i="2"/>
  <c r="AK276" i="2"/>
  <c r="AS294" i="2"/>
  <c r="BB294" i="2"/>
  <c r="AK294" i="2"/>
  <c r="AF294" i="2"/>
  <c r="AL294" i="2"/>
  <c r="L301" i="2"/>
  <c r="AE327" i="2"/>
  <c r="L327" i="2"/>
  <c r="AM335" i="2"/>
  <c r="AK335" i="2"/>
  <c r="Q348" i="2"/>
  <c r="AE348" i="2"/>
  <c r="AK489" i="2"/>
  <c r="AF489" i="2"/>
  <c r="AL489" i="2"/>
  <c r="AM489" i="2"/>
  <c r="AE177" i="2"/>
  <c r="U177" i="2"/>
  <c r="AE239" i="2"/>
  <c r="U239" i="2"/>
  <c r="Q239" i="2"/>
  <c r="U449" i="2"/>
  <c r="Q449" i="2"/>
  <c r="U451" i="2"/>
  <c r="Q451" i="2"/>
  <c r="Q11" i="2"/>
  <c r="L41" i="2"/>
  <c r="Q120" i="2"/>
  <c r="AE207" i="2"/>
  <c r="Q207" i="2"/>
  <c r="L267" i="2"/>
  <c r="Q296" i="2"/>
  <c r="AE296" i="2"/>
  <c r="W309" i="2"/>
  <c r="Q309" i="2"/>
  <c r="U329" i="2"/>
  <c r="Q329" i="2"/>
  <c r="AF335" i="2"/>
  <c r="AL335" i="2"/>
  <c r="Q368" i="2"/>
  <c r="Q382" i="2"/>
  <c r="AE382" i="2"/>
  <c r="U382" i="2"/>
  <c r="U389" i="2"/>
  <c r="Q389" i="2"/>
  <c r="AE414" i="2"/>
  <c r="U414" i="2"/>
  <c r="Q414" i="2"/>
  <c r="AH26" i="2"/>
  <c r="AO26" i="2"/>
  <c r="L215" i="2"/>
  <c r="U215" i="2"/>
  <c r="AE223" i="2"/>
  <c r="U223" i="2"/>
  <c r="AS231" i="2"/>
  <c r="BB231" i="2"/>
  <c r="AK231" i="2"/>
  <c r="U244" i="2"/>
  <c r="Q244" i="2"/>
  <c r="AK311" i="2"/>
  <c r="U331" i="2"/>
  <c r="Q331" i="2"/>
  <c r="AE331" i="2"/>
  <c r="AE378" i="2"/>
  <c r="Q378" i="2"/>
  <c r="U427" i="2"/>
  <c r="Q427" i="2"/>
  <c r="AG40" i="2"/>
  <c r="V40" i="2"/>
  <c r="Q40" i="2"/>
  <c r="N40" i="2"/>
  <c r="U272" i="2"/>
  <c r="AE272" i="2"/>
  <c r="Q272" i="2"/>
  <c r="AK173" i="2"/>
  <c r="L201" i="2"/>
  <c r="L223" i="2"/>
  <c r="AF231" i="2"/>
  <c r="AL231" i="2"/>
  <c r="U286" i="2"/>
  <c r="Q286" i="2"/>
  <c r="AE286" i="2"/>
  <c r="U303" i="2"/>
  <c r="AE303" i="2"/>
  <c r="AS320" i="2"/>
  <c r="AE368" i="2"/>
  <c r="U368" i="2"/>
  <c r="AM381" i="2"/>
  <c r="AK381" i="2"/>
  <c r="Q442" i="2"/>
  <c r="U442" i="2"/>
  <c r="AE442" i="2"/>
  <c r="L272" i="2"/>
  <c r="AF20" i="2"/>
  <c r="AM20" i="2"/>
  <c r="AS20" i="2"/>
  <c r="BB20" i="2"/>
  <c r="Q208" i="2"/>
  <c r="AK242" i="2"/>
  <c r="AM307" i="2"/>
  <c r="AK307" i="2"/>
  <c r="AE332" i="2"/>
  <c r="U332" i="2"/>
  <c r="Q332" i="2"/>
  <c r="AM360" i="2"/>
  <c r="AK360" i="2"/>
  <c r="AF360" i="2"/>
  <c r="AL360" i="2"/>
  <c r="Q374" i="2"/>
  <c r="V374" i="2"/>
  <c r="V379" i="2"/>
  <c r="Q379" i="2"/>
  <c r="V443" i="2"/>
  <c r="Q443" i="2"/>
  <c r="AE496" i="2"/>
  <c r="U496" i="2"/>
  <c r="U231" i="2"/>
  <c r="Q231" i="2"/>
  <c r="AF273" i="2"/>
  <c r="AS273" i="2"/>
  <c r="BB273" i="2"/>
  <c r="AF305" i="2"/>
  <c r="AL305" i="2"/>
  <c r="AM305" i="2"/>
  <c r="U357" i="2"/>
  <c r="Q357" i="2"/>
  <c r="AE367" i="2"/>
  <c r="U367" i="2"/>
  <c r="W385" i="2"/>
  <c r="Q385" i="2"/>
  <c r="AE398" i="2"/>
  <c r="U398" i="2"/>
  <c r="Q398" i="2"/>
  <c r="U406" i="2"/>
  <c r="Q406" i="2"/>
  <c r="U432" i="2"/>
  <c r="Q432" i="2"/>
  <c r="AM438" i="2"/>
  <c r="AK438" i="2"/>
  <c r="V469" i="2"/>
  <c r="Q469" i="2"/>
  <c r="AT258" i="2"/>
  <c r="Q295" i="2"/>
  <c r="U295" i="2"/>
  <c r="AM350" i="2"/>
  <c r="Q361" i="2"/>
  <c r="V361" i="2"/>
  <c r="AE391" i="2"/>
  <c r="U391" i="2"/>
  <c r="AS426" i="2"/>
  <c r="AK426" i="2"/>
  <c r="L238" i="2"/>
  <c r="L295" i="2"/>
  <c r="Q302" i="2"/>
  <c r="U306" i="2"/>
  <c r="Q306" i="2"/>
  <c r="AK309" i="2"/>
  <c r="AE318" i="2"/>
  <c r="U318" i="2"/>
  <c r="Q318" i="2"/>
  <c r="U345" i="2"/>
  <c r="AE345" i="2"/>
  <c r="Q345" i="2"/>
  <c r="Q356" i="2"/>
  <c r="AK359" i="2"/>
  <c r="AM359" i="2"/>
  <c r="AE376" i="2"/>
  <c r="U376" i="2"/>
  <c r="Q376" i="2"/>
  <c r="V488" i="2"/>
  <c r="Q488" i="2"/>
  <c r="Q490" i="2"/>
  <c r="U490" i="2"/>
  <c r="AE490" i="2"/>
  <c r="Q256" i="2"/>
  <c r="AK282" i="2"/>
  <c r="AM343" i="2"/>
  <c r="W363" i="2"/>
  <c r="Q363" i="2"/>
  <c r="Q371" i="2"/>
  <c r="AM452" i="2"/>
  <c r="AN452" i="2"/>
  <c r="AS452" i="2"/>
  <c r="U396" i="2"/>
  <c r="Q396" i="2"/>
  <c r="U429" i="2"/>
  <c r="Q429" i="2"/>
  <c r="AE440" i="2"/>
  <c r="U440" i="2"/>
  <c r="AM456" i="2"/>
  <c r="AK456" i="2"/>
  <c r="Q466" i="2"/>
  <c r="U466" i="2"/>
  <c r="U20" i="2"/>
  <c r="L20" i="2"/>
  <c r="Q20" i="2"/>
  <c r="L242" i="2"/>
  <c r="U279" i="2"/>
  <c r="Q279" i="2"/>
  <c r="AE351" i="2"/>
  <c r="Q351" i="2"/>
  <c r="AM407" i="2"/>
  <c r="AK407" i="2"/>
  <c r="Q412" i="2"/>
  <c r="AS424" i="2"/>
  <c r="AK424" i="2"/>
  <c r="AE448" i="2"/>
  <c r="Q448" i="2"/>
  <c r="AM475" i="2"/>
  <c r="AN475" i="2"/>
  <c r="AS475" i="2"/>
  <c r="U294" i="2"/>
  <c r="Q294" i="2"/>
  <c r="Q359" i="2"/>
  <c r="AS400" i="2"/>
  <c r="Q419" i="2"/>
  <c r="AK430" i="2"/>
  <c r="AS430" i="2"/>
  <c r="Q452" i="2"/>
  <c r="U452" i="2"/>
  <c r="Q485" i="2"/>
  <c r="U485" i="2"/>
  <c r="AE485" i="2"/>
  <c r="AM110" i="2"/>
  <c r="AG128" i="2"/>
  <c r="V128" i="2"/>
  <c r="Q305" i="2"/>
  <c r="U335" i="2"/>
  <c r="Q335" i="2"/>
  <c r="AE370" i="2"/>
  <c r="U370" i="2"/>
  <c r="Q370" i="2"/>
  <c r="AM401" i="2"/>
  <c r="AE403" i="2"/>
  <c r="U403" i="2"/>
  <c r="Q403" i="2"/>
  <c r="Q408" i="2"/>
  <c r="AE408" i="2"/>
  <c r="U457" i="2"/>
  <c r="Q457" i="2"/>
  <c r="AE457" i="2"/>
  <c r="Q495" i="2"/>
  <c r="V110" i="2"/>
  <c r="AG110" i="2"/>
  <c r="N128" i="2"/>
  <c r="AK340" i="2"/>
  <c r="AE413" i="2"/>
  <c r="U413" i="2"/>
  <c r="U444" i="2"/>
  <c r="AE444" i="2"/>
  <c r="Q444" i="2"/>
  <c r="L322" i="2"/>
  <c r="Q334" i="2"/>
  <c r="U416" i="2"/>
  <c r="Q416" i="2"/>
  <c r="AE450" i="2"/>
  <c r="U450" i="2"/>
  <c r="Q478" i="2"/>
  <c r="AE478" i="2"/>
  <c r="U433" i="2"/>
  <c r="AE433" i="2"/>
  <c r="AK356" i="2"/>
  <c r="AM356" i="2"/>
  <c r="Q358" i="2"/>
  <c r="Q402" i="2"/>
  <c r="AE455" i="2"/>
  <c r="U455" i="2"/>
  <c r="Q474" i="2"/>
  <c r="U474" i="2"/>
  <c r="Q350" i="2"/>
  <c r="Q362" i="2"/>
  <c r="AE362" i="2"/>
  <c r="AE410" i="2"/>
  <c r="Q410" i="2"/>
  <c r="Q489" i="2"/>
  <c r="L489" i="2"/>
  <c r="Q26" i="2"/>
  <c r="AE96" i="2"/>
  <c r="U96" i="2"/>
  <c r="U350" i="2"/>
  <c r="U362" i="2"/>
  <c r="U410" i="2"/>
  <c r="Q424" i="2"/>
  <c r="AK441" i="2"/>
  <c r="AS443" i="2"/>
  <c r="Q447" i="2"/>
  <c r="AE474" i="2"/>
  <c r="Q477" i="2"/>
  <c r="AE477" i="2"/>
  <c r="U477" i="2"/>
  <c r="U489" i="2"/>
  <c r="Q271" i="2"/>
  <c r="L271" i="2"/>
  <c r="L360" i="2"/>
  <c r="Q360" i="2"/>
  <c r="AK443" i="2"/>
  <c r="AE460" i="2"/>
  <c r="Q460" i="2"/>
  <c r="AK461" i="2"/>
  <c r="AS469" i="2"/>
  <c r="Q454" i="2"/>
  <c r="Q470" i="2"/>
  <c r="Q426" i="2"/>
  <c r="Q462" i="2"/>
  <c r="AK269" i="2"/>
  <c r="L480" i="2"/>
  <c r="AK274" i="2"/>
  <c r="AM274" i="2"/>
  <c r="AM54" i="2"/>
  <c r="AS363" i="2"/>
  <c r="AM236" i="2"/>
  <c r="AN236" i="2"/>
  <c r="AS236" i="2"/>
  <c r="AM334" i="2"/>
  <c r="AM415" i="2"/>
  <c r="AN415" i="2"/>
  <c r="AS415" i="2"/>
  <c r="AK165" i="2"/>
  <c r="AM179" i="2"/>
  <c r="AN179" i="2"/>
  <c r="AS179" i="2"/>
  <c r="AF165" i="2"/>
  <c r="AL165" i="2"/>
  <c r="AK15" i="2"/>
  <c r="BC79" i="2"/>
  <c r="BI79" i="2"/>
  <c r="AF256" i="2"/>
  <c r="AL256" i="2"/>
  <c r="AO136" i="2"/>
  <c r="AP136" i="2"/>
  <c r="AT136" i="2"/>
  <c r="AM323" i="2"/>
  <c r="AS323" i="2"/>
  <c r="BB323" i="2"/>
  <c r="BC323" i="2"/>
  <c r="BI323" i="2"/>
  <c r="AK181" i="2"/>
  <c r="AM373" i="2"/>
  <c r="AN373" i="2"/>
  <c r="AF346" i="2"/>
  <c r="AL346" i="2"/>
  <c r="AK256" i="2"/>
  <c r="AF82" i="2"/>
  <c r="AL82" i="2"/>
  <c r="AM15" i="2"/>
  <c r="AN15" i="2"/>
  <c r="AM342" i="2"/>
  <c r="AN342" i="2"/>
  <c r="AM325" i="2"/>
  <c r="AN325" i="2"/>
  <c r="AS325" i="2"/>
  <c r="AF91" i="2"/>
  <c r="AL91" i="2"/>
  <c r="AM68" i="2"/>
  <c r="AK320" i="2"/>
  <c r="AF128" i="2"/>
  <c r="AK285" i="2"/>
  <c r="AO112" i="2"/>
  <c r="AT112" i="2"/>
  <c r="BD112" i="2"/>
  <c r="BE112" i="2"/>
  <c r="AI279" i="1"/>
  <c r="AJ279" i="1"/>
  <c r="AL279" i="1"/>
  <c r="AI523" i="1"/>
  <c r="AJ523" i="1"/>
  <c r="AL523" i="1"/>
  <c r="AI142" i="1"/>
  <c r="AJ142" i="1"/>
  <c r="AL142" i="1"/>
  <c r="AI154" i="1"/>
  <c r="AJ154" i="1"/>
  <c r="AL154" i="1"/>
  <c r="AI391" i="1"/>
  <c r="AJ391" i="1"/>
  <c r="AL391" i="1"/>
  <c r="AI47" i="1"/>
  <c r="AJ47" i="1"/>
  <c r="AL47" i="1"/>
  <c r="AI243" i="1"/>
  <c r="AJ243" i="1"/>
  <c r="AL243" i="1"/>
  <c r="AI126" i="1"/>
  <c r="AJ126" i="1"/>
  <c r="AL126" i="1"/>
  <c r="AI266" i="1"/>
  <c r="AJ266" i="1"/>
  <c r="AL266" i="1"/>
  <c r="AI53" i="1"/>
  <c r="AJ53" i="1"/>
  <c r="AL53" i="1"/>
  <c r="AI50" i="1"/>
  <c r="AJ50" i="1"/>
  <c r="AL50" i="1"/>
  <c r="AI56" i="1"/>
  <c r="AJ56" i="1"/>
  <c r="AL56" i="1"/>
  <c r="AI4" i="1"/>
  <c r="AJ4" i="1"/>
  <c r="AL4" i="1"/>
  <c r="AI114" i="1"/>
  <c r="AJ114" i="1"/>
  <c r="AL114" i="1"/>
  <c r="AI503" i="1"/>
  <c r="AJ503" i="1"/>
  <c r="AL503" i="1"/>
  <c r="AI527" i="1"/>
  <c r="AJ527" i="1"/>
  <c r="AL527" i="1"/>
  <c r="AI365" i="1"/>
  <c r="AJ365" i="1"/>
  <c r="AL365" i="1"/>
  <c r="AI316" i="1"/>
  <c r="AJ316" i="1"/>
  <c r="AL316" i="1"/>
  <c r="AI159" i="1"/>
  <c r="AJ159" i="1"/>
  <c r="AL159" i="1"/>
  <c r="AI445" i="1"/>
  <c r="AJ445" i="1"/>
  <c r="AL445" i="1"/>
  <c r="AI181" i="1"/>
  <c r="AJ181" i="1"/>
  <c r="AL181" i="1"/>
  <c r="AI71" i="1"/>
  <c r="AJ71" i="1"/>
  <c r="AL71" i="1"/>
  <c r="AI206" i="1"/>
  <c r="AJ206" i="1"/>
  <c r="AL206" i="1"/>
  <c r="AI265" i="1"/>
  <c r="AJ265" i="1"/>
  <c r="AL265" i="1"/>
  <c r="AI470" i="1"/>
  <c r="AJ470" i="1"/>
  <c r="AL470" i="1"/>
  <c r="AI143" i="1"/>
  <c r="AJ143" i="1"/>
  <c r="AL143" i="1"/>
  <c r="AI6" i="1"/>
  <c r="AJ6" i="1"/>
  <c r="AL6" i="1"/>
  <c r="AI430" i="1"/>
  <c r="AJ430" i="1"/>
  <c r="AL430" i="1"/>
  <c r="AI207" i="1"/>
  <c r="AJ207" i="1"/>
  <c r="AL207" i="1"/>
  <c r="AI225" i="1"/>
  <c r="AJ225" i="1"/>
  <c r="AL225" i="1"/>
  <c r="AI95" i="1"/>
  <c r="AJ95" i="1"/>
  <c r="AL95" i="1"/>
  <c r="AI438" i="1"/>
  <c r="AJ438" i="1"/>
  <c r="AL438" i="1"/>
  <c r="AI54" i="1"/>
  <c r="AJ54" i="1"/>
  <c r="AL54" i="1"/>
  <c r="AI59" i="1"/>
  <c r="AJ59" i="1"/>
  <c r="AL59" i="1"/>
  <c r="AI158" i="1"/>
  <c r="AJ158" i="1"/>
  <c r="AL158" i="1"/>
  <c r="AI377" i="1"/>
  <c r="AJ377" i="1"/>
  <c r="AL377" i="1"/>
  <c r="AI378" i="1"/>
  <c r="AJ378" i="1"/>
  <c r="AL378" i="1"/>
  <c r="AI43" i="1"/>
  <c r="AJ43" i="1"/>
  <c r="AL43" i="1"/>
  <c r="AI513" i="1"/>
  <c r="AJ513" i="1"/>
  <c r="AL513" i="1"/>
  <c r="AI483" i="1"/>
  <c r="AJ483" i="1"/>
  <c r="AL483" i="1"/>
  <c r="AI376" i="1"/>
  <c r="AJ376" i="1"/>
  <c r="AL376" i="1"/>
  <c r="AI166" i="1"/>
  <c r="AJ166" i="1"/>
  <c r="AL166" i="1"/>
  <c r="AI251" i="1"/>
  <c r="AJ251" i="1"/>
  <c r="AL251" i="1"/>
  <c r="AI351" i="1"/>
  <c r="AJ351" i="1"/>
  <c r="AL351" i="1"/>
  <c r="AI350" i="1"/>
  <c r="AJ350" i="1"/>
  <c r="AL350" i="1"/>
  <c r="AI100" i="1"/>
  <c r="AJ100" i="1"/>
  <c r="AL100" i="1"/>
  <c r="AI123" i="1"/>
  <c r="AJ123" i="1"/>
  <c r="AL123" i="1"/>
  <c r="AI459" i="1"/>
  <c r="AJ459" i="1"/>
  <c r="AL459" i="1"/>
  <c r="AI293" i="1"/>
  <c r="AJ293" i="1"/>
  <c r="AL293" i="1"/>
  <c r="AI190" i="1"/>
  <c r="AJ190" i="1"/>
  <c r="AL190" i="1"/>
  <c r="AI341" i="1"/>
  <c r="AJ341" i="1"/>
  <c r="AL341" i="1"/>
  <c r="AI148" i="1"/>
  <c r="AJ148" i="1"/>
  <c r="AL148" i="1"/>
  <c r="AI370" i="1"/>
  <c r="AJ370" i="1"/>
  <c r="AL370" i="1"/>
  <c r="AI307" i="1"/>
  <c r="AJ307" i="1"/>
  <c r="AL307" i="1"/>
  <c r="AI444" i="1"/>
  <c r="AJ444" i="1"/>
  <c r="AL444" i="1"/>
  <c r="AI401" i="1"/>
  <c r="AJ401" i="1"/>
  <c r="AL401" i="1"/>
  <c r="AI112" i="1"/>
  <c r="AJ112" i="1"/>
  <c r="AL112" i="1"/>
  <c r="AI64" i="1"/>
  <c r="AJ64" i="1"/>
  <c r="AL64" i="1"/>
  <c r="AI372" i="1"/>
  <c r="AJ372" i="1"/>
  <c r="AL372" i="1"/>
  <c r="AI412" i="1"/>
  <c r="AJ412" i="1"/>
  <c r="AL412" i="1"/>
  <c r="AI268" i="1"/>
  <c r="AJ268" i="1"/>
  <c r="AL268" i="1"/>
  <c r="AI458" i="1"/>
  <c r="AJ458" i="1"/>
  <c r="AL458" i="1"/>
  <c r="AI292" i="1"/>
  <c r="AJ292" i="1"/>
  <c r="AL292" i="1"/>
  <c r="AI310" i="1"/>
  <c r="AJ310" i="1"/>
  <c r="AL310" i="1"/>
  <c r="AI105" i="1"/>
  <c r="AJ105" i="1"/>
  <c r="AL105" i="1"/>
  <c r="AI303" i="1"/>
  <c r="AJ303" i="1"/>
  <c r="AL303" i="1"/>
  <c r="AI340" i="1"/>
  <c r="AJ340" i="1"/>
  <c r="AL340" i="1"/>
  <c r="AI424" i="1"/>
  <c r="AJ424" i="1"/>
  <c r="AL424" i="1"/>
  <c r="AI345" i="1"/>
  <c r="AJ345" i="1"/>
  <c r="AL345" i="1"/>
  <c r="AI339" i="1"/>
  <c r="AJ339" i="1"/>
  <c r="AL339" i="1"/>
  <c r="AI500" i="1"/>
  <c r="AJ500" i="1"/>
  <c r="AL500" i="1"/>
  <c r="AI215" i="1"/>
  <c r="AJ215" i="1"/>
  <c r="AL215" i="1"/>
  <c r="AI436" i="1"/>
  <c r="AJ436" i="1"/>
  <c r="AL436" i="1"/>
  <c r="AI375" i="1"/>
  <c r="AJ375" i="1"/>
  <c r="AL375" i="1"/>
  <c r="AI108" i="1"/>
  <c r="AJ108" i="1"/>
  <c r="AL108" i="1"/>
  <c r="AI406" i="1"/>
  <c r="AJ406" i="1"/>
  <c r="AL406" i="1"/>
  <c r="AI270" i="1"/>
  <c r="AJ270" i="1"/>
  <c r="AL270" i="1"/>
  <c r="AI183" i="1"/>
  <c r="AJ183" i="1"/>
  <c r="AL183" i="1"/>
  <c r="AI358" i="1"/>
  <c r="AJ358" i="1"/>
  <c r="AL358" i="1"/>
  <c r="AI5" i="1"/>
  <c r="AJ5" i="1"/>
  <c r="AL5" i="1"/>
  <c r="AI382" i="1"/>
  <c r="AJ382" i="1"/>
  <c r="AL382" i="1"/>
  <c r="AI441" i="1"/>
  <c r="AJ441" i="1"/>
  <c r="AL441" i="1"/>
  <c r="AI460" i="1"/>
  <c r="AJ460" i="1"/>
  <c r="AL460" i="1"/>
  <c r="AI501" i="1"/>
  <c r="AJ501" i="1"/>
  <c r="AL501" i="1"/>
  <c r="AI381" i="1"/>
  <c r="AJ381" i="1"/>
  <c r="AL381" i="1"/>
  <c r="AI474" i="1"/>
  <c r="AJ474" i="1"/>
  <c r="AL474" i="1"/>
  <c r="AI394" i="1"/>
  <c r="AJ394" i="1"/>
  <c r="AL394" i="1"/>
  <c r="AI263" i="1"/>
  <c r="AJ263" i="1"/>
  <c r="AL263" i="1"/>
  <c r="AI517" i="1"/>
  <c r="AJ517" i="1"/>
  <c r="AL517" i="1"/>
  <c r="AI273" i="1"/>
  <c r="AJ273" i="1"/>
  <c r="AL273" i="1"/>
  <c r="AI180" i="1"/>
  <c r="AJ180" i="1"/>
  <c r="AL180" i="1"/>
  <c r="AI257" i="1"/>
  <c r="AJ257" i="1"/>
  <c r="AL257" i="1"/>
  <c r="AI374" i="1"/>
  <c r="AJ374" i="1"/>
  <c r="AL374" i="1"/>
  <c r="AI373" i="1"/>
  <c r="AJ373" i="1"/>
  <c r="AL373" i="1"/>
  <c r="AI250" i="1"/>
  <c r="AJ250" i="1"/>
  <c r="AL250" i="1"/>
  <c r="AI38" i="1"/>
  <c r="AJ38" i="1"/>
  <c r="AL38" i="1"/>
  <c r="AI356" i="1"/>
  <c r="AJ356" i="1"/>
  <c r="AL356" i="1"/>
  <c r="AI182" i="1"/>
  <c r="AJ182" i="1"/>
  <c r="AL182" i="1"/>
  <c r="AI176" i="1"/>
  <c r="AJ176" i="1"/>
  <c r="AL176" i="1"/>
  <c r="AI287" i="1"/>
  <c r="AJ287" i="1"/>
  <c r="AL287" i="1"/>
  <c r="AI187" i="1"/>
  <c r="AJ187" i="1"/>
  <c r="AL187" i="1"/>
  <c r="AI75" i="1"/>
  <c r="AJ75" i="1"/>
  <c r="AL75" i="1"/>
  <c r="AI366" i="1"/>
  <c r="AJ366" i="1"/>
  <c r="AL366" i="1"/>
  <c r="AI299" i="1"/>
  <c r="AJ299" i="1"/>
  <c r="AL299" i="1"/>
  <c r="AI421" i="1"/>
  <c r="AJ421" i="1"/>
  <c r="AL421" i="1"/>
  <c r="AI70" i="1"/>
  <c r="AJ70" i="1"/>
  <c r="AL70" i="1"/>
  <c r="AI432" i="1"/>
  <c r="AJ432" i="1"/>
  <c r="AL432" i="1"/>
  <c r="AI433" i="1"/>
  <c r="AJ433" i="1"/>
  <c r="AL433" i="1"/>
  <c r="AI331" i="1"/>
  <c r="AJ331" i="1"/>
  <c r="AL331" i="1"/>
  <c r="AI21" i="1"/>
  <c r="AJ21" i="1"/>
  <c r="AL21" i="1"/>
  <c r="AI119" i="1"/>
  <c r="AJ119" i="1"/>
  <c r="AL119" i="1"/>
  <c r="AI423" i="1"/>
  <c r="AJ423" i="1"/>
  <c r="AL423" i="1"/>
  <c r="AI465" i="1"/>
  <c r="AJ465" i="1"/>
  <c r="AL465" i="1"/>
  <c r="AI41" i="1"/>
  <c r="AJ41" i="1"/>
  <c r="AL41" i="1"/>
  <c r="AI492" i="1"/>
  <c r="AJ492" i="1"/>
  <c r="AL492" i="1"/>
  <c r="AI450" i="1"/>
  <c r="AJ450" i="1"/>
  <c r="AL450" i="1"/>
  <c r="AI415" i="1"/>
  <c r="AJ415" i="1"/>
  <c r="AL415" i="1"/>
  <c r="AI163" i="1"/>
  <c r="AJ163" i="1"/>
  <c r="AL163" i="1"/>
  <c r="AI69" i="1"/>
  <c r="AJ69" i="1"/>
  <c r="AL69" i="1"/>
  <c r="AI138" i="1"/>
  <c r="AJ138" i="1"/>
  <c r="AL138" i="1"/>
  <c r="AI106" i="1"/>
  <c r="AJ106" i="1"/>
  <c r="AL106" i="1"/>
  <c r="AI454" i="1"/>
  <c r="AJ454" i="1"/>
  <c r="AL454" i="1"/>
  <c r="AI149" i="1"/>
  <c r="AJ149" i="1"/>
  <c r="AL149" i="1"/>
  <c r="AI118" i="1"/>
  <c r="AJ118" i="1"/>
  <c r="AL118" i="1"/>
  <c r="AI321" i="1"/>
  <c r="AJ321" i="1"/>
  <c r="AL321" i="1"/>
  <c r="AI349" i="1"/>
  <c r="AJ349" i="1"/>
  <c r="AL349" i="1"/>
  <c r="AI39" i="1"/>
  <c r="AJ39" i="1"/>
  <c r="AL39" i="1"/>
  <c r="AI477" i="1"/>
  <c r="AJ477" i="1"/>
  <c r="AL477" i="1"/>
  <c r="AI124" i="1"/>
  <c r="AJ124" i="1"/>
  <c r="AL124" i="1"/>
  <c r="AI36" i="1"/>
  <c r="AJ36" i="1"/>
  <c r="AL36" i="1"/>
  <c r="AI139" i="1"/>
  <c r="AJ139" i="1"/>
  <c r="AL139" i="1"/>
  <c r="AI453" i="1"/>
  <c r="AJ453" i="1"/>
  <c r="AL453" i="1"/>
  <c r="AI324" i="1"/>
  <c r="AJ324" i="1"/>
  <c r="AL324" i="1"/>
  <c r="AI246" i="1"/>
  <c r="AJ246" i="1"/>
  <c r="AL246" i="1"/>
  <c r="AI409" i="1"/>
  <c r="AJ409" i="1"/>
  <c r="AL409" i="1"/>
  <c r="AI280" i="1"/>
  <c r="AJ280" i="1"/>
  <c r="AL280" i="1"/>
  <c r="AI104" i="1"/>
  <c r="AJ104" i="1"/>
  <c r="AL104" i="1"/>
  <c r="AI485" i="1"/>
  <c r="AJ485" i="1"/>
  <c r="AL485" i="1"/>
  <c r="AI30" i="1"/>
  <c r="AJ30" i="1"/>
  <c r="AL30" i="1"/>
  <c r="AI214" i="1"/>
  <c r="AJ214" i="1"/>
  <c r="AL214" i="1"/>
  <c r="AI354" i="1"/>
  <c r="AJ354" i="1"/>
  <c r="AL354" i="1"/>
  <c r="AI217" i="1"/>
  <c r="AJ217" i="1"/>
  <c r="AL217" i="1"/>
  <c r="AI198" i="1"/>
  <c r="AJ198" i="1"/>
  <c r="AL198" i="1"/>
  <c r="AI74" i="1"/>
  <c r="AJ74" i="1"/>
  <c r="AL74" i="1"/>
  <c r="AI393" i="1"/>
  <c r="AJ393" i="1"/>
  <c r="AL393" i="1"/>
  <c r="AI308" i="1"/>
  <c r="AJ308" i="1"/>
  <c r="AL308" i="1"/>
  <c r="AI369" i="1"/>
  <c r="AJ369" i="1"/>
  <c r="AL369" i="1"/>
  <c r="AI29" i="1"/>
  <c r="AJ29" i="1"/>
  <c r="AL29" i="1"/>
  <c r="AI51" i="1"/>
  <c r="AJ51" i="1"/>
  <c r="AL51" i="1"/>
  <c r="AI49" i="1"/>
  <c r="AJ49" i="1"/>
  <c r="AL49" i="1"/>
  <c r="AI389" i="1"/>
  <c r="AJ389" i="1"/>
  <c r="AL389" i="1"/>
  <c r="AI434" i="1"/>
  <c r="AJ434" i="1"/>
  <c r="AL434" i="1"/>
  <c r="AI334" i="1"/>
  <c r="AJ334" i="1"/>
  <c r="AL334" i="1"/>
  <c r="AI284" i="1"/>
  <c r="AJ284" i="1"/>
  <c r="AL284" i="1"/>
  <c r="AI177" i="1"/>
  <c r="AJ177" i="1"/>
  <c r="AL177" i="1"/>
  <c r="AI68" i="1"/>
  <c r="AJ68" i="1"/>
  <c r="AL68" i="1"/>
  <c r="AI186" i="1"/>
  <c r="AJ186" i="1"/>
  <c r="AL186" i="1"/>
  <c r="AI360" i="1"/>
  <c r="AJ360" i="1"/>
  <c r="AL360" i="1"/>
  <c r="AI313" i="1"/>
  <c r="AJ313" i="1"/>
  <c r="AL313" i="1"/>
  <c r="AI8" i="1"/>
  <c r="AJ8" i="1"/>
  <c r="AL8" i="1"/>
  <c r="AI437" i="1"/>
  <c r="AJ437" i="1"/>
  <c r="AL437" i="1"/>
  <c r="AI319" i="1"/>
  <c r="AJ319" i="1"/>
  <c r="AL319" i="1"/>
  <c r="AI96" i="1"/>
  <c r="AJ96" i="1"/>
  <c r="AL96" i="1"/>
  <c r="AI379" i="1"/>
  <c r="AJ379" i="1"/>
  <c r="AL379" i="1"/>
  <c r="AI134" i="1"/>
  <c r="AJ134" i="1"/>
  <c r="AL134" i="1"/>
  <c r="AI7" i="1"/>
  <c r="AJ7" i="1"/>
  <c r="AL7" i="1"/>
  <c r="AI73" i="1"/>
  <c r="AJ73" i="1"/>
  <c r="AL73" i="1"/>
  <c r="AI451" i="1"/>
  <c r="AJ451" i="1"/>
  <c r="AL451" i="1"/>
  <c r="AI264" i="1"/>
  <c r="AJ264" i="1"/>
  <c r="AL264" i="1"/>
  <c r="AI209" i="1"/>
  <c r="AJ209" i="1"/>
  <c r="AL209" i="1"/>
  <c r="AI160" i="1"/>
  <c r="AJ160" i="1"/>
  <c r="AL160" i="1"/>
  <c r="AI522" i="1"/>
  <c r="AJ522" i="1"/>
  <c r="AL522" i="1"/>
  <c r="AI205" i="1"/>
  <c r="AJ205" i="1"/>
  <c r="AL205" i="1"/>
  <c r="AI196" i="1"/>
  <c r="AJ196" i="1"/>
  <c r="AL196" i="1"/>
  <c r="AI210" i="1"/>
  <c r="AJ210" i="1"/>
  <c r="AL210" i="1"/>
  <c r="AI12" i="1"/>
  <c r="AJ12" i="1"/>
  <c r="AL12" i="1"/>
  <c r="AI238" i="1"/>
  <c r="AJ238" i="1"/>
  <c r="AL238" i="1"/>
  <c r="AI504" i="1"/>
  <c r="AJ504" i="1"/>
  <c r="AL504" i="1"/>
  <c r="AI82" i="1"/>
  <c r="AJ82" i="1"/>
  <c r="AL82" i="1"/>
  <c r="AI153" i="1"/>
  <c r="AJ153" i="1"/>
  <c r="AL153" i="1"/>
  <c r="AI10" i="1"/>
  <c r="AJ10" i="1"/>
  <c r="AL10" i="1"/>
  <c r="AI481" i="1"/>
  <c r="AJ481" i="1"/>
  <c r="AL481" i="1"/>
  <c r="AI455" i="1"/>
  <c r="AJ455" i="1"/>
  <c r="AL455" i="1"/>
  <c r="AI98" i="1"/>
  <c r="AJ98" i="1"/>
  <c r="AL98" i="1"/>
  <c r="AI164" i="1"/>
  <c r="AJ164" i="1"/>
  <c r="AL164" i="1"/>
  <c r="AI167" i="1"/>
  <c r="AJ167" i="1"/>
  <c r="AL167" i="1"/>
  <c r="AI237" i="1"/>
  <c r="AJ237" i="1"/>
  <c r="AL237" i="1"/>
  <c r="AI384" i="1"/>
  <c r="AJ384" i="1"/>
  <c r="AL384" i="1"/>
  <c r="AI494" i="1"/>
  <c r="AJ494" i="1"/>
  <c r="AL494" i="1"/>
  <c r="AI234" i="1"/>
  <c r="AJ234" i="1"/>
  <c r="AL234" i="1"/>
  <c r="AI448" i="1"/>
  <c r="AJ448" i="1"/>
  <c r="AL448" i="1"/>
  <c r="AI92" i="1"/>
  <c r="AJ92" i="1"/>
  <c r="AL92" i="1"/>
  <c r="AI353" i="1"/>
  <c r="AJ353" i="1"/>
  <c r="AL353" i="1"/>
  <c r="AI15" i="1"/>
  <c r="AJ15" i="1"/>
  <c r="AL15" i="1"/>
  <c r="AI231" i="1"/>
  <c r="AJ231" i="1"/>
  <c r="AL231" i="1"/>
  <c r="AI398" i="1"/>
  <c r="AJ398" i="1"/>
  <c r="AL398" i="1"/>
  <c r="AI467" i="1"/>
  <c r="AJ467" i="1"/>
  <c r="AL467" i="1"/>
  <c r="AI289" i="1"/>
  <c r="AJ289" i="1"/>
  <c r="AL289" i="1"/>
  <c r="AI337" i="1"/>
  <c r="AJ337" i="1"/>
  <c r="AL337" i="1"/>
  <c r="AI83" i="1"/>
  <c r="AJ83" i="1"/>
  <c r="AL83" i="1"/>
  <c r="AI189" i="1"/>
  <c r="AJ189" i="1"/>
  <c r="AL189" i="1"/>
  <c r="AQ257" i="2"/>
  <c r="AN285" i="2"/>
  <c r="AN300" i="2"/>
  <c r="AS300" i="2"/>
  <c r="AP127" i="2"/>
  <c r="AT127" i="2"/>
  <c r="AQ60" i="2"/>
  <c r="AN144" i="2"/>
  <c r="AN31" i="2"/>
  <c r="AS31" i="2"/>
  <c r="AK47" i="2"/>
  <c r="AN206" i="2"/>
  <c r="AS206" i="2"/>
  <c r="BB206" i="2"/>
  <c r="AN183" i="2"/>
  <c r="AS183" i="2"/>
  <c r="AQ369" i="2"/>
  <c r="AN150" i="2"/>
  <c r="AN36" i="2"/>
  <c r="AS36" i="2"/>
  <c r="BB36" i="2"/>
  <c r="AN489" i="2"/>
  <c r="AS489" i="2"/>
  <c r="BB489" i="2"/>
  <c r="AN50" i="2"/>
  <c r="AN165" i="2"/>
  <c r="AN141" i="2"/>
  <c r="AK369" i="2"/>
  <c r="AQ236" i="2"/>
  <c r="AN333" i="2"/>
  <c r="AS333" i="2"/>
  <c r="BB333" i="2"/>
  <c r="BC333" i="2"/>
  <c r="BI333" i="2"/>
  <c r="AK112" i="2"/>
  <c r="AQ321" i="2"/>
  <c r="AN72" i="2"/>
  <c r="AS72" i="2"/>
  <c r="AQ10" i="2"/>
  <c r="AQ461" i="2"/>
  <c r="AQ245" i="2"/>
  <c r="AN110" i="2"/>
  <c r="AS110" i="2"/>
  <c r="AS369" i="2"/>
  <c r="AP26" i="2"/>
  <c r="AT26" i="2"/>
  <c r="BD26" i="2"/>
  <c r="BE26" i="2"/>
  <c r="AN402" i="2"/>
  <c r="AS402" i="2"/>
  <c r="AM380" i="2"/>
  <c r="AN380" i="2"/>
  <c r="AS380" i="2"/>
  <c r="AN30" i="2"/>
  <c r="AN125" i="2"/>
  <c r="AN130" i="2"/>
  <c r="AN289" i="2"/>
  <c r="AM470" i="2"/>
  <c r="AN470" i="2"/>
  <c r="AQ363" i="2"/>
  <c r="AS10" i="2"/>
  <c r="AS461" i="2"/>
  <c r="AQ365" i="2"/>
  <c r="AN124" i="2"/>
  <c r="AN14" i="2"/>
  <c r="AN47" i="2"/>
  <c r="AS47" i="2"/>
  <c r="BB47" i="2"/>
  <c r="AN375" i="2"/>
  <c r="AQ311" i="2"/>
  <c r="AQ204" i="2"/>
  <c r="AN364" i="2"/>
  <c r="AS364" i="2"/>
  <c r="AN149" i="2"/>
  <c r="AQ269" i="2"/>
  <c r="AN436" i="2"/>
  <c r="AS436" i="2"/>
  <c r="AN162" i="2"/>
  <c r="AS64" i="2"/>
  <c r="AN189" i="2"/>
  <c r="AS189" i="2"/>
  <c r="AP115" i="2"/>
  <c r="AN359" i="2"/>
  <c r="AF482" i="2"/>
  <c r="AL482" i="2"/>
  <c r="AM482" i="2"/>
  <c r="AN432" i="2"/>
  <c r="AN120" i="2"/>
  <c r="AS120" i="2"/>
  <c r="AN297" i="2"/>
  <c r="AS297" i="2"/>
  <c r="AN212" i="2"/>
  <c r="AN354" i="2"/>
  <c r="AS354" i="2"/>
  <c r="AN157" i="2"/>
  <c r="AS157" i="2"/>
  <c r="AP123" i="2"/>
  <c r="AT123" i="2"/>
  <c r="AQ320" i="2"/>
  <c r="AQ280" i="2"/>
  <c r="AS365" i="2"/>
  <c r="AN256" i="2"/>
  <c r="AS256" i="2"/>
  <c r="BB256" i="2"/>
  <c r="AQ374" i="2"/>
  <c r="AN266" i="2"/>
  <c r="AN188" i="2"/>
  <c r="AN456" i="2"/>
  <c r="AS456" i="2"/>
  <c r="AN295" i="2"/>
  <c r="AS295" i="2"/>
  <c r="BB295" i="2"/>
  <c r="AN465" i="2"/>
  <c r="AS465" i="2"/>
  <c r="BB465" i="2"/>
  <c r="BH465" i="2"/>
  <c r="AQ64" i="2"/>
  <c r="AQ32" i="2"/>
  <c r="AS257" i="2"/>
  <c r="AK257" i="2"/>
  <c r="AS311" i="2"/>
  <c r="AQ140" i="2"/>
  <c r="AN334" i="2"/>
  <c r="AN427" i="2"/>
  <c r="AQ404" i="2"/>
  <c r="AQ361" i="2"/>
  <c r="AN123" i="2"/>
  <c r="AN356" i="2"/>
  <c r="AN407" i="2"/>
  <c r="AM344" i="2"/>
  <c r="AS361" i="2"/>
  <c r="AN350" i="2"/>
  <c r="AS350" i="2"/>
  <c r="AM13" i="2"/>
  <c r="AN406" i="2"/>
  <c r="AS406" i="2"/>
  <c r="AK44" i="2"/>
  <c r="AQ91" i="2"/>
  <c r="AM371" i="2"/>
  <c r="AQ99" i="2"/>
  <c r="AN73" i="2"/>
  <c r="AS73" i="2"/>
  <c r="AN349" i="2"/>
  <c r="AS280" i="2"/>
  <c r="AQ77" i="2"/>
  <c r="AQ340" i="2"/>
  <c r="AQ319" i="2"/>
  <c r="AN301" i="2"/>
  <c r="AS301" i="2"/>
  <c r="BB301" i="2"/>
  <c r="AQ475" i="2"/>
  <c r="AN158" i="2"/>
  <c r="AQ244" i="2"/>
  <c r="AM462" i="2"/>
  <c r="AN219" i="2"/>
  <c r="AS219" i="2"/>
  <c r="AT96" i="2"/>
  <c r="BD96" i="2"/>
  <c r="BE96" i="2"/>
  <c r="AM44" i="2"/>
  <c r="AN389" i="2"/>
  <c r="AS389" i="2"/>
  <c r="AN52" i="2"/>
  <c r="AQ431" i="2"/>
  <c r="AN88" i="2"/>
  <c r="AN423" i="2"/>
  <c r="AS423" i="2"/>
  <c r="AQ388" i="2"/>
  <c r="AQ357" i="2"/>
  <c r="AN159" i="2"/>
  <c r="AS388" i="2"/>
  <c r="AN68" i="2"/>
  <c r="AN175" i="2"/>
  <c r="AS175" i="2"/>
  <c r="AN421" i="2"/>
  <c r="AS421" i="2"/>
  <c r="AS32" i="2"/>
  <c r="AN386" i="2"/>
  <c r="AN466" i="2"/>
  <c r="AN147" i="2"/>
  <c r="AM316" i="2"/>
  <c r="AN381" i="2"/>
  <c r="AN335" i="2"/>
  <c r="AS335" i="2"/>
  <c r="BB335" i="2"/>
  <c r="AN302" i="2"/>
  <c r="AN451" i="2"/>
  <c r="AN185" i="2"/>
  <c r="AS185" i="2"/>
  <c r="AQ452" i="2"/>
  <c r="AN416" i="2"/>
  <c r="AN228" i="2"/>
  <c r="AN107" i="2"/>
  <c r="AQ67" i="2"/>
  <c r="AN76" i="2"/>
  <c r="AS76" i="2"/>
  <c r="AN200" i="2"/>
  <c r="AK134" i="2"/>
  <c r="AN97" i="2"/>
  <c r="AS97" i="2"/>
  <c r="BB97" i="2"/>
  <c r="AN70" i="2"/>
  <c r="AN181" i="2"/>
  <c r="AS181" i="2"/>
  <c r="AQ441" i="2"/>
  <c r="AQ63" i="2"/>
  <c r="AQ276" i="2"/>
  <c r="AQ216" i="2"/>
  <c r="AN121" i="2"/>
  <c r="AS121" i="2"/>
  <c r="AQ379" i="2"/>
  <c r="AN396" i="2"/>
  <c r="AS396" i="2"/>
  <c r="AN98" i="2"/>
  <c r="AS98" i="2"/>
  <c r="AN58" i="2"/>
  <c r="AQ93" i="2"/>
  <c r="AS128" i="2"/>
  <c r="BB128" i="2"/>
  <c r="BC128" i="2"/>
  <c r="AN9" i="2"/>
  <c r="AN201" i="2"/>
  <c r="AQ336" i="2"/>
  <c r="AN135" i="2"/>
  <c r="AS135" i="2"/>
  <c r="AN393" i="2"/>
  <c r="AK283" i="2"/>
  <c r="AM293" i="2"/>
  <c r="AN293" i="2"/>
  <c r="AS293" i="2"/>
  <c r="AN95" i="2"/>
  <c r="AS95" i="2"/>
  <c r="AQ155" i="2"/>
  <c r="AN167" i="2"/>
  <c r="AP9" i="2"/>
  <c r="AT9" i="2"/>
  <c r="AN235" i="2"/>
  <c r="AS235" i="2"/>
  <c r="AN261" i="2"/>
  <c r="AN330" i="2"/>
  <c r="AN196" i="2"/>
  <c r="AS196" i="2"/>
  <c r="BB196" i="2"/>
  <c r="AQ134" i="2"/>
  <c r="AN234" i="2"/>
  <c r="AN438" i="2"/>
  <c r="AS438" i="2"/>
  <c r="AN449" i="2"/>
  <c r="AS449" i="2"/>
  <c r="AN111" i="2"/>
  <c r="AN82" i="2"/>
  <c r="AQ173" i="2"/>
  <c r="AL26" i="2"/>
  <c r="AS298" i="2"/>
  <c r="BB298" i="2"/>
  <c r="BH298" i="2"/>
  <c r="AS171" i="2"/>
  <c r="BB171" i="2"/>
  <c r="AQ215" i="2"/>
  <c r="AQ208" i="2"/>
  <c r="AQ412" i="2"/>
  <c r="AS245" i="2"/>
  <c r="AN484" i="2"/>
  <c r="AT134" i="2"/>
  <c r="AQ57" i="2"/>
  <c r="AQ27" i="2"/>
  <c r="AN154" i="2"/>
  <c r="AN34" i="2"/>
  <c r="AN360" i="2"/>
  <c r="AS360" i="2"/>
  <c r="BB360" i="2"/>
  <c r="AN343" i="2"/>
  <c r="AS343" i="2"/>
  <c r="AM366" i="2"/>
  <c r="AN366" i="2"/>
  <c r="AS366" i="2"/>
  <c r="AS283" i="2"/>
  <c r="BB283" i="2"/>
  <c r="BH283" i="2"/>
  <c r="AK64" i="2"/>
  <c r="AN306" i="2"/>
  <c r="AF47" i="2"/>
  <c r="AL47" i="2"/>
  <c r="AN54" i="2"/>
  <c r="AN250" i="2"/>
  <c r="AS250" i="2"/>
  <c r="BB250" i="2"/>
  <c r="AS271" i="2"/>
  <c r="BB271" i="2"/>
  <c r="AN225" i="2"/>
  <c r="AN372" i="2"/>
  <c r="AS372" i="2"/>
  <c r="AK480" i="2"/>
  <c r="AN305" i="2"/>
  <c r="AK330" i="2"/>
  <c r="AM283" i="2"/>
  <c r="AN283" i="2"/>
  <c r="AN310" i="2"/>
  <c r="AN138" i="2"/>
  <c r="AS138" i="2"/>
  <c r="AT43" i="2"/>
  <c r="AN114" i="2"/>
  <c r="AS114" i="2"/>
  <c r="BB114" i="2"/>
  <c r="BC114" i="2"/>
  <c r="AF210" i="2"/>
  <c r="AL210" i="2"/>
  <c r="AN182" i="2"/>
  <c r="AS43" i="2"/>
  <c r="BB43" i="2"/>
  <c r="AN186" i="2"/>
  <c r="AQ214" i="2"/>
  <c r="AK135" i="2"/>
  <c r="AQ247" i="2"/>
  <c r="AQ178" i="2"/>
  <c r="AN437" i="2"/>
  <c r="AF298" i="2"/>
  <c r="AL298" i="2"/>
  <c r="AN42" i="2"/>
  <c r="AQ117" i="2"/>
  <c r="AS57" i="2"/>
  <c r="AN447" i="2"/>
  <c r="AM480" i="2"/>
  <c r="AS480" i="2"/>
  <c r="BB480" i="2"/>
  <c r="BC480" i="2"/>
  <c r="BI480" i="2"/>
  <c r="AM312" i="2"/>
  <c r="AM281" i="2"/>
  <c r="AN429" i="2"/>
  <c r="AM397" i="2"/>
  <c r="AN397" i="2"/>
  <c r="AS397" i="2"/>
  <c r="AN248" i="2"/>
  <c r="AS248" i="2"/>
  <c r="BB248" i="2"/>
  <c r="AM210" i="2"/>
  <c r="AK298" i="2"/>
  <c r="AN59" i="2"/>
  <c r="AS59" i="2"/>
  <c r="BB59" i="2"/>
  <c r="AS117" i="2"/>
  <c r="AQ417" i="2"/>
  <c r="AN401" i="2"/>
  <c r="AS401" i="2"/>
  <c r="AN307" i="2"/>
  <c r="AK281" i="2"/>
  <c r="AN21" i="2"/>
  <c r="AS21" i="2"/>
  <c r="AN287" i="2"/>
  <c r="AT279" i="2"/>
  <c r="BD279" i="2"/>
  <c r="AN262" i="2"/>
  <c r="AS417" i="2"/>
  <c r="AI403" i="1"/>
  <c r="AJ403" i="1"/>
  <c r="AL403" i="1"/>
  <c r="AI515" i="1"/>
  <c r="AJ515" i="1"/>
  <c r="AL515" i="1"/>
  <c r="AI315" i="1"/>
  <c r="AJ315" i="1"/>
  <c r="AL315" i="1"/>
  <c r="AI480" i="1"/>
  <c r="AJ480" i="1"/>
  <c r="AL480" i="1"/>
  <c r="AI508" i="1"/>
  <c r="AJ508" i="1"/>
  <c r="AL508" i="1"/>
  <c r="AI66" i="1"/>
  <c r="AJ66" i="1"/>
  <c r="AL66" i="1"/>
  <c r="AI242" i="1"/>
  <c r="AJ242" i="1"/>
  <c r="AL242" i="1"/>
  <c r="AI247" i="1"/>
  <c r="AJ247" i="1"/>
  <c r="AL247" i="1"/>
  <c r="AI115" i="1"/>
  <c r="AJ115" i="1"/>
  <c r="AL115" i="1"/>
  <c r="AI447" i="1"/>
  <c r="AJ447" i="1"/>
  <c r="AL447" i="1"/>
  <c r="AI57" i="1"/>
  <c r="AJ57" i="1"/>
  <c r="AL57" i="1"/>
  <c r="AI462" i="1"/>
  <c r="AJ462" i="1"/>
  <c r="AL462" i="1"/>
  <c r="AI521" i="1"/>
  <c r="AJ521" i="1"/>
  <c r="AL521" i="1"/>
  <c r="AI117" i="1"/>
  <c r="AJ117" i="1"/>
  <c r="AL117" i="1"/>
  <c r="AI419" i="1"/>
  <c r="AJ419" i="1"/>
  <c r="AL419" i="1"/>
  <c r="AI76" i="1"/>
  <c r="AJ76" i="1"/>
  <c r="AL76" i="1"/>
  <c r="AI249" i="1"/>
  <c r="AJ249" i="1"/>
  <c r="AL249" i="1"/>
  <c r="AI269" i="1"/>
  <c r="AJ269" i="1"/>
  <c r="AL269" i="1"/>
  <c r="AI290" i="1"/>
  <c r="AJ290" i="1"/>
  <c r="AL290" i="1"/>
  <c r="AI343" i="1"/>
  <c r="AJ343" i="1"/>
  <c r="AL343" i="1"/>
  <c r="AI295" i="1"/>
  <c r="AJ295" i="1"/>
  <c r="AL295" i="1"/>
  <c r="AI498" i="1"/>
  <c r="AJ498" i="1"/>
  <c r="AL498" i="1"/>
  <c r="AI386" i="1"/>
  <c r="AJ386" i="1"/>
  <c r="AL386" i="1"/>
  <c r="AI89" i="1"/>
  <c r="AJ89" i="1"/>
  <c r="AL89" i="1"/>
  <c r="AI301" i="1"/>
  <c r="AJ301" i="1"/>
  <c r="AL301" i="1"/>
  <c r="AI110" i="1"/>
  <c r="AJ110" i="1"/>
  <c r="AL110" i="1"/>
  <c r="AI185" i="1"/>
  <c r="AJ185" i="1"/>
  <c r="AL185" i="1"/>
  <c r="AI248" i="1"/>
  <c r="AJ248" i="1"/>
  <c r="AL248" i="1"/>
  <c r="AI511" i="1"/>
  <c r="AJ511" i="1"/>
  <c r="AL511" i="1"/>
  <c r="AI254" i="1"/>
  <c r="AJ254" i="1"/>
  <c r="AL254" i="1"/>
  <c r="AI145" i="1"/>
  <c r="AJ145" i="1"/>
  <c r="AL145" i="1"/>
  <c r="AI140" i="1"/>
  <c r="AJ140" i="1"/>
  <c r="AL140" i="1"/>
  <c r="AI168" i="1"/>
  <c r="AJ168" i="1"/>
  <c r="AL168" i="1"/>
  <c r="AI395" i="1"/>
  <c r="AJ395" i="1"/>
  <c r="AL395" i="1"/>
  <c r="AI197" i="1"/>
  <c r="AJ197" i="1"/>
  <c r="AL197" i="1"/>
  <c r="AI42" i="1"/>
  <c r="AJ42" i="1"/>
  <c r="AL42" i="1"/>
  <c r="AI252" i="1"/>
  <c r="AJ252" i="1"/>
  <c r="AL252" i="1"/>
  <c r="AI312" i="1"/>
  <c r="AJ312" i="1"/>
  <c r="AL312" i="1"/>
  <c r="AI67" i="1"/>
  <c r="AJ67" i="1"/>
  <c r="AL67" i="1"/>
  <c r="AI222" i="1"/>
  <c r="AJ222" i="1"/>
  <c r="AL222" i="1"/>
  <c r="AI137" i="1"/>
  <c r="AJ137" i="1"/>
  <c r="AL137" i="1"/>
  <c r="AI58" i="1"/>
  <c r="AJ58" i="1"/>
  <c r="AL58" i="1"/>
  <c r="AI291" i="1"/>
  <c r="AJ291" i="1"/>
  <c r="AL291" i="1"/>
  <c r="AI16" i="1"/>
  <c r="AJ16" i="1"/>
  <c r="AL16" i="1"/>
  <c r="AI203" i="1"/>
  <c r="AJ203" i="1"/>
  <c r="AL203" i="1"/>
  <c r="AI184" i="1"/>
  <c r="AJ184" i="1"/>
  <c r="AL184" i="1"/>
  <c r="AI333" i="1"/>
  <c r="AJ333" i="1"/>
  <c r="AL333" i="1"/>
  <c r="AI125" i="1"/>
  <c r="AJ125" i="1"/>
  <c r="AL125" i="1"/>
  <c r="AI111" i="1"/>
  <c r="AJ111" i="1"/>
  <c r="AL111" i="1"/>
  <c r="AI272" i="1"/>
  <c r="AJ272" i="1"/>
  <c r="AL272" i="1"/>
  <c r="AI528" i="1"/>
  <c r="AJ528" i="1"/>
  <c r="AL528" i="1"/>
  <c r="AI475" i="1"/>
  <c r="AJ475" i="1"/>
  <c r="AL475" i="1"/>
  <c r="AI226" i="1"/>
  <c r="AJ226" i="1"/>
  <c r="AL226" i="1"/>
  <c r="AI202" i="1"/>
  <c r="AJ202" i="1"/>
  <c r="AL202" i="1"/>
  <c r="AI271" i="1"/>
  <c r="AJ271" i="1"/>
  <c r="AL271" i="1"/>
  <c r="AI255" i="1"/>
  <c r="AJ255" i="1"/>
  <c r="AL255" i="1"/>
  <c r="AI136" i="1"/>
  <c r="AJ136" i="1"/>
  <c r="AL136" i="1"/>
  <c r="AI327" i="1"/>
  <c r="AJ327" i="1"/>
  <c r="AL327" i="1"/>
  <c r="AI113" i="1"/>
  <c r="AJ113" i="1"/>
  <c r="AL113" i="1"/>
  <c r="AI392" i="1"/>
  <c r="AJ392" i="1"/>
  <c r="AL392" i="1"/>
  <c r="AI314" i="1"/>
  <c r="AJ314" i="1"/>
  <c r="AL314" i="1"/>
  <c r="AI28" i="1"/>
  <c r="AJ28" i="1"/>
  <c r="AL28" i="1"/>
  <c r="AI223" i="1"/>
  <c r="AJ223" i="1"/>
  <c r="AL223" i="1"/>
  <c r="AI135" i="1"/>
  <c r="AJ135" i="1"/>
  <c r="AL135" i="1"/>
  <c r="AI151" i="1"/>
  <c r="AJ151" i="1"/>
  <c r="AL151" i="1"/>
  <c r="AI399" i="1"/>
  <c r="AJ399" i="1"/>
  <c r="AL399" i="1"/>
  <c r="AI26" i="1"/>
  <c r="AJ26" i="1"/>
  <c r="AL26" i="1"/>
  <c r="AI87" i="1"/>
  <c r="AJ87" i="1"/>
  <c r="AL87" i="1"/>
  <c r="AI397" i="1"/>
  <c r="AJ397" i="1"/>
  <c r="AL397" i="1"/>
  <c r="AI14" i="1"/>
  <c r="AJ14" i="1"/>
  <c r="AL14" i="1"/>
  <c r="AI90" i="1"/>
  <c r="AJ90" i="1"/>
  <c r="AL90" i="1"/>
  <c r="AI129" i="1"/>
  <c r="AJ129" i="1"/>
  <c r="AL129" i="1"/>
  <c r="AI505" i="1"/>
  <c r="AJ505" i="1"/>
  <c r="AL505" i="1"/>
  <c r="AI77" i="1"/>
  <c r="AJ77" i="1"/>
  <c r="AL77" i="1"/>
  <c r="AI328" i="1"/>
  <c r="AJ328" i="1"/>
  <c r="AL328" i="1"/>
  <c r="AI363" i="1"/>
  <c r="AJ363" i="1"/>
  <c r="AL363" i="1"/>
  <c r="AI496" i="1"/>
  <c r="AJ496" i="1"/>
  <c r="AL496" i="1"/>
  <c r="AI329" i="1"/>
  <c r="AJ329" i="1"/>
  <c r="AL329" i="1"/>
  <c r="AI405" i="1"/>
  <c r="AJ405" i="1"/>
  <c r="AL405" i="1"/>
  <c r="AI300" i="1"/>
  <c r="AJ300" i="1"/>
  <c r="AL300" i="1"/>
  <c r="AI463" i="1"/>
  <c r="AJ463" i="1"/>
  <c r="AL463" i="1"/>
  <c r="AI204" i="1"/>
  <c r="AJ204" i="1"/>
  <c r="AL204" i="1"/>
  <c r="AI429" i="1"/>
  <c r="AJ429" i="1"/>
  <c r="AL429" i="1"/>
  <c r="AI484" i="1"/>
  <c r="AJ484" i="1"/>
  <c r="AL484" i="1"/>
  <c r="AI335" i="1"/>
  <c r="AJ335" i="1"/>
  <c r="AL335" i="1"/>
  <c r="AI253" i="1"/>
  <c r="AJ253" i="1"/>
  <c r="AL253" i="1"/>
  <c r="AI88" i="1"/>
  <c r="AJ88" i="1"/>
  <c r="AL88" i="1"/>
  <c r="AI101" i="1"/>
  <c r="AJ101" i="1"/>
  <c r="AL101" i="1"/>
  <c r="AI357" i="1"/>
  <c r="AJ357" i="1"/>
  <c r="AL357" i="1"/>
  <c r="AI491" i="1"/>
  <c r="AJ491" i="1"/>
  <c r="AL491" i="1"/>
  <c r="AI165" i="1"/>
  <c r="AJ165" i="1"/>
  <c r="AL165" i="1"/>
  <c r="AI509" i="1"/>
  <c r="AJ509" i="1"/>
  <c r="AL509" i="1"/>
  <c r="AI17" i="1"/>
  <c r="AJ17" i="1"/>
  <c r="AL17" i="1"/>
  <c r="AI45" i="1"/>
  <c r="AJ45" i="1"/>
  <c r="AL45" i="1"/>
  <c r="AI318" i="1"/>
  <c r="AJ318" i="1"/>
  <c r="AL318" i="1"/>
  <c r="AI2" i="1"/>
  <c r="AJ2" i="1"/>
  <c r="AL2" i="1"/>
  <c r="AI410" i="1"/>
  <c r="AJ410" i="1"/>
  <c r="AL410" i="1"/>
  <c r="AI93" i="1"/>
  <c r="AJ93" i="1"/>
  <c r="AL93" i="1"/>
  <c r="AI525" i="1"/>
  <c r="AJ525" i="1"/>
  <c r="AL525" i="1"/>
  <c r="AI121" i="1"/>
  <c r="AJ121" i="1"/>
  <c r="AL121" i="1"/>
  <c r="AI240" i="1"/>
  <c r="AJ240" i="1"/>
  <c r="AL240" i="1"/>
  <c r="AI218" i="1"/>
  <c r="AJ218" i="1"/>
  <c r="AL218" i="1"/>
  <c r="AI478" i="1"/>
  <c r="AJ478" i="1"/>
  <c r="AL478" i="1"/>
  <c r="AI506" i="1"/>
  <c r="AJ506" i="1"/>
  <c r="AL506" i="1"/>
  <c r="AI235" i="1"/>
  <c r="AJ235" i="1"/>
  <c r="AL235" i="1"/>
  <c r="AI144" i="1"/>
  <c r="AJ144" i="1"/>
  <c r="AL144" i="1"/>
  <c r="AI276" i="1"/>
  <c r="AJ276" i="1"/>
  <c r="AL276" i="1"/>
  <c r="AI192" i="1"/>
  <c r="AJ192" i="1"/>
  <c r="AL192" i="1"/>
  <c r="AI174" i="1"/>
  <c r="AJ174" i="1"/>
  <c r="AL174" i="1"/>
  <c r="AI220" i="1"/>
  <c r="AJ220" i="1"/>
  <c r="AL220" i="1"/>
  <c r="AI147" i="1"/>
  <c r="AJ147" i="1"/>
  <c r="AL147" i="1"/>
  <c r="AI239" i="1"/>
  <c r="AJ239" i="1"/>
  <c r="AL239" i="1"/>
  <c r="AI342" i="1"/>
  <c r="AJ342" i="1"/>
  <c r="AL342" i="1"/>
  <c r="AI302" i="1"/>
  <c r="AJ302" i="1"/>
  <c r="AL302" i="1"/>
  <c r="AI461" i="1"/>
  <c r="AJ461" i="1"/>
  <c r="AL461" i="1"/>
  <c r="AI245" i="1"/>
  <c r="AJ245" i="1"/>
  <c r="AL245" i="1"/>
  <c r="AI131" i="1"/>
  <c r="AJ131" i="1"/>
  <c r="AL131" i="1"/>
  <c r="AI188" i="1"/>
  <c r="AJ188" i="1"/>
  <c r="AL188" i="1"/>
  <c r="AI161" i="1"/>
  <c r="AJ161" i="1"/>
  <c r="AL161" i="1"/>
  <c r="AI368" i="1"/>
  <c r="AJ368" i="1"/>
  <c r="AL368" i="1"/>
  <c r="AI275" i="1"/>
  <c r="AJ275" i="1"/>
  <c r="AL275" i="1"/>
  <c r="AI224" i="1"/>
  <c r="AJ224" i="1"/>
  <c r="AL224" i="1"/>
  <c r="AI443" i="1"/>
  <c r="AJ443" i="1"/>
  <c r="AL443" i="1"/>
  <c r="AI367" i="1"/>
  <c r="AJ367" i="1"/>
  <c r="AL367" i="1"/>
  <c r="AI278" i="1"/>
  <c r="AJ278" i="1"/>
  <c r="AL278" i="1"/>
  <c r="AI155" i="1"/>
  <c r="AJ155" i="1"/>
  <c r="AL155" i="1"/>
  <c r="AI208" i="1"/>
  <c r="AJ208" i="1"/>
  <c r="AL208" i="1"/>
  <c r="AI516" i="1"/>
  <c r="AJ516" i="1"/>
  <c r="AL516" i="1"/>
  <c r="AI80" i="1"/>
  <c r="AJ80" i="1"/>
  <c r="AL80" i="1"/>
  <c r="AI24" i="1"/>
  <c r="AJ24" i="1"/>
  <c r="AL24" i="1"/>
  <c r="AI466" i="1"/>
  <c r="AJ466" i="1"/>
  <c r="AL466" i="1"/>
  <c r="AI150" i="1"/>
  <c r="AJ150" i="1"/>
  <c r="AL150" i="1"/>
  <c r="AI380" i="1"/>
  <c r="AJ380" i="1"/>
  <c r="AL380" i="1"/>
  <c r="AI34" i="1"/>
  <c r="AJ34" i="1"/>
  <c r="AL34" i="1"/>
  <c r="AI236" i="1"/>
  <c r="AJ236" i="1"/>
  <c r="AL236" i="1"/>
  <c r="AI65" i="1"/>
  <c r="AJ65" i="1"/>
  <c r="AL65" i="1"/>
  <c r="AI418" i="1"/>
  <c r="AJ418" i="1"/>
  <c r="AL418" i="1"/>
  <c r="AI427" i="1"/>
  <c r="AJ427" i="1"/>
  <c r="AL427" i="1"/>
  <c r="AI9" i="1"/>
  <c r="AJ9" i="1"/>
  <c r="AL9" i="1"/>
  <c r="AI60" i="1"/>
  <c r="AJ60" i="1"/>
  <c r="AL60" i="1"/>
  <c r="AI116" i="1"/>
  <c r="AJ116" i="1"/>
  <c r="AL116" i="1"/>
  <c r="AI348" i="1"/>
  <c r="AJ348" i="1"/>
  <c r="AL348" i="1"/>
  <c r="AI388" i="1"/>
  <c r="AJ388" i="1"/>
  <c r="AL388" i="1"/>
  <c r="AI46" i="1"/>
  <c r="AJ46" i="1"/>
  <c r="AL46" i="1"/>
  <c r="AI317" i="1"/>
  <c r="AJ317" i="1"/>
  <c r="AL317" i="1"/>
  <c r="AI102" i="1"/>
  <c r="AJ102" i="1"/>
  <c r="AL102" i="1"/>
  <c r="AI31" i="1"/>
  <c r="AJ31" i="1"/>
  <c r="AL31" i="1"/>
  <c r="AI416" i="1"/>
  <c r="AJ416" i="1"/>
  <c r="AL416" i="1"/>
  <c r="AI213" i="1"/>
  <c r="AJ213" i="1"/>
  <c r="AL213" i="1"/>
  <c r="AI362" i="1"/>
  <c r="AJ362" i="1"/>
  <c r="AL362" i="1"/>
  <c r="AI352" i="1"/>
  <c r="AJ352" i="1"/>
  <c r="AL352" i="1"/>
  <c r="AI529" i="1"/>
  <c r="AJ529" i="1"/>
  <c r="AL529" i="1"/>
  <c r="AI13" i="1"/>
  <c r="AJ13" i="1"/>
  <c r="AL13" i="1"/>
  <c r="AI282" i="1"/>
  <c r="AJ282" i="1"/>
  <c r="AL282" i="1"/>
  <c r="AI514" i="1"/>
  <c r="AJ514" i="1"/>
  <c r="AL514" i="1"/>
  <c r="AI91" i="1"/>
  <c r="AJ91" i="1"/>
  <c r="AL91" i="1"/>
  <c r="AI44" i="1"/>
  <c r="AJ44" i="1"/>
  <c r="AL44" i="1"/>
  <c r="AI40" i="1"/>
  <c r="AJ40" i="1"/>
  <c r="AL40" i="1"/>
  <c r="AI457" i="1"/>
  <c r="AJ457" i="1"/>
  <c r="AL457" i="1"/>
  <c r="AI402" i="1"/>
  <c r="AJ402" i="1"/>
  <c r="AL402" i="1"/>
  <c r="AI11" i="1"/>
  <c r="AJ11" i="1"/>
  <c r="AL11" i="1"/>
  <c r="AI456" i="1"/>
  <c r="AJ456" i="1"/>
  <c r="AL456" i="1"/>
  <c r="AI488" i="1"/>
  <c r="AJ488" i="1"/>
  <c r="AL488" i="1"/>
  <c r="AI103" i="1"/>
  <c r="AJ103" i="1"/>
  <c r="AL103" i="1"/>
  <c r="AI274" i="1"/>
  <c r="AJ274" i="1"/>
  <c r="AL274" i="1"/>
  <c r="AI510" i="1"/>
  <c r="AJ510" i="1"/>
  <c r="AL510" i="1"/>
  <c r="AI229" i="1"/>
  <c r="AJ229" i="1"/>
  <c r="AL229" i="1"/>
  <c r="AI32" i="1"/>
  <c r="AJ32" i="1"/>
  <c r="AL32" i="1"/>
  <c r="AI37" i="1"/>
  <c r="AJ37" i="1"/>
  <c r="AL37" i="1"/>
  <c r="AI518" i="1"/>
  <c r="AJ518" i="1"/>
  <c r="AL518" i="1"/>
  <c r="AI175" i="1"/>
  <c r="AJ175" i="1"/>
  <c r="AL175" i="1"/>
  <c r="AI526" i="1"/>
  <c r="AJ526" i="1"/>
  <c r="AL526" i="1"/>
  <c r="AK301" i="2"/>
  <c r="AK102" i="2"/>
  <c r="AK111" i="2"/>
  <c r="AM16" i="2"/>
  <c r="AK26" i="2"/>
  <c r="AM497" i="2"/>
  <c r="AS497" i="2"/>
  <c r="AM90" i="2"/>
  <c r="AN90" i="2"/>
  <c r="AS90" i="2"/>
  <c r="BB90" i="2"/>
  <c r="AK91" i="2"/>
  <c r="AM26" i="2"/>
  <c r="AF196" i="2"/>
  <c r="AL196" i="2"/>
  <c r="AK90" i="2"/>
  <c r="AM7" i="2"/>
  <c r="AM102" i="2"/>
  <c r="AK196" i="2"/>
  <c r="AK43" i="2"/>
  <c r="AS247" i="2"/>
  <c r="BB247" i="2"/>
  <c r="BH247" i="2"/>
  <c r="AM419" i="2"/>
  <c r="AM383" i="2"/>
  <c r="AS495" i="2"/>
  <c r="AF278" i="2"/>
  <c r="AL278" i="2"/>
  <c r="AM113" i="2"/>
  <c r="AS113" i="2"/>
  <c r="BB113" i="2"/>
  <c r="BH113" i="2"/>
  <c r="AM11" i="2"/>
  <c r="AM292" i="2"/>
  <c r="AF176" i="2"/>
  <c r="AL176" i="2"/>
  <c r="AM339" i="2"/>
  <c r="AM392" i="2"/>
  <c r="AK178" i="2"/>
  <c r="AM278" i="2"/>
  <c r="AM85" i="2"/>
  <c r="AK16" i="2"/>
  <c r="AM198" i="2"/>
  <c r="AS198" i="2"/>
  <c r="BB198" i="2"/>
  <c r="BH198" i="2"/>
  <c r="AK495" i="2"/>
  <c r="AF113" i="2"/>
  <c r="AL113" i="2"/>
  <c r="AS178" i="2"/>
  <c r="AM346" i="2"/>
  <c r="AM104" i="2"/>
  <c r="AF199" i="2"/>
  <c r="AL199" i="2"/>
  <c r="AM40" i="2"/>
  <c r="AF342" i="2"/>
  <c r="AL342" i="2"/>
  <c r="AK104" i="2"/>
  <c r="AF59" i="2"/>
  <c r="AL59" i="2"/>
  <c r="AK247" i="2"/>
  <c r="AS99" i="2"/>
  <c r="AK198" i="2"/>
  <c r="AF301" i="2"/>
  <c r="AL301" i="2"/>
  <c r="AK323" i="2"/>
  <c r="AM399" i="2"/>
  <c r="AK82" i="2"/>
  <c r="AK59" i="2"/>
  <c r="AM199" i="2"/>
  <c r="AK176" i="2"/>
  <c r="AK121" i="2"/>
  <c r="AK349" i="2"/>
  <c r="AK293" i="2"/>
  <c r="AK99" i="2"/>
  <c r="AF134" i="2"/>
  <c r="AL134" i="2"/>
  <c r="AL271" i="2"/>
  <c r="AK149" i="2"/>
  <c r="AM252" i="2"/>
  <c r="AL20" i="2"/>
  <c r="AK208" i="2"/>
  <c r="AK42" i="2"/>
  <c r="AK262" i="2"/>
  <c r="AS208" i="2"/>
  <c r="AS134" i="2"/>
  <c r="BB134" i="2"/>
  <c r="BH134" i="2"/>
  <c r="AF42" i="2"/>
  <c r="AL42" i="2"/>
  <c r="AM220" i="2"/>
  <c r="AF336" i="2"/>
  <c r="AL336" i="2"/>
  <c r="AO20" i="2"/>
  <c r="AT20" i="2"/>
  <c r="BD20" i="2"/>
  <c r="AK483" i="2"/>
  <c r="AM491" i="2"/>
  <c r="AT214" i="2"/>
  <c r="AK157" i="2"/>
  <c r="BC282" i="2"/>
  <c r="BI282" i="2"/>
  <c r="AK484" i="2"/>
  <c r="AK363" i="2"/>
  <c r="AK336" i="2"/>
  <c r="AF483" i="2"/>
  <c r="AL483" i="2"/>
  <c r="AM260" i="2"/>
  <c r="BC242" i="2"/>
  <c r="BI242" i="2"/>
  <c r="AK491" i="2"/>
  <c r="AK354" i="2"/>
  <c r="AK213" i="2"/>
  <c r="AM53" i="2"/>
  <c r="AM213" i="2"/>
  <c r="AF53" i="2"/>
  <c r="AL53" i="2"/>
  <c r="AM355" i="2"/>
  <c r="AM105" i="2"/>
  <c r="AK20" i="2"/>
  <c r="AS336" i="2"/>
  <c r="BB336" i="2"/>
  <c r="BC215" i="2"/>
  <c r="BI215" i="2"/>
  <c r="AK261" i="2"/>
  <c r="AS412" i="2"/>
  <c r="AS27" i="2"/>
  <c r="BH136" i="2"/>
  <c r="AS274" i="2"/>
  <c r="BB274" i="2"/>
  <c r="BH274" i="2"/>
  <c r="AK412" i="2"/>
  <c r="AM473" i="2"/>
  <c r="AK473" i="2"/>
  <c r="AM322" i="2"/>
  <c r="AS322" i="2"/>
  <c r="BB322" i="2"/>
  <c r="AF322" i="2"/>
  <c r="AL322" i="2"/>
  <c r="AK66" i="2"/>
  <c r="AM66" i="2"/>
  <c r="AM352" i="2"/>
  <c r="AF488" i="2"/>
  <c r="AL488" i="2"/>
  <c r="AK488" i="2"/>
  <c r="AM488" i="2"/>
  <c r="AM255" i="2"/>
  <c r="AK159" i="2"/>
  <c r="AF238" i="2"/>
  <c r="AL238" i="2"/>
  <c r="AM238" i="2"/>
  <c r="AK436" i="2"/>
  <c r="AK372" i="2"/>
  <c r="AF247" i="2"/>
  <c r="AL247" i="2"/>
  <c r="AM84" i="2"/>
  <c r="AN84" i="2"/>
  <c r="AS84" i="2"/>
  <c r="BB84" i="2"/>
  <c r="BC84" i="2"/>
  <c r="AM74" i="2"/>
  <c r="AK322" i="2"/>
  <c r="AM174" i="2"/>
  <c r="AK29" i="2"/>
  <c r="AM29" i="2"/>
  <c r="AK361" i="2"/>
  <c r="AT19" i="2"/>
  <c r="AT91" i="2"/>
  <c r="AK240" i="2"/>
  <c r="AK62" i="2"/>
  <c r="AM62" i="2"/>
  <c r="AM131" i="2"/>
  <c r="AM425" i="2"/>
  <c r="AK425" i="2"/>
  <c r="AK230" i="2"/>
  <c r="AM230" i="2"/>
  <c r="AF230" i="2"/>
  <c r="AL230" i="2"/>
  <c r="AM240" i="2"/>
  <c r="AS240" i="2"/>
  <c r="BB240" i="2"/>
  <c r="BC240" i="2"/>
  <c r="BI240" i="2"/>
  <c r="AM243" i="2"/>
  <c r="AO6" i="2"/>
  <c r="AM6" i="2"/>
  <c r="AF6" i="2"/>
  <c r="AL6" i="2"/>
  <c r="AK428" i="2"/>
  <c r="AM428" i="2"/>
  <c r="AF84" i="2"/>
  <c r="AF41" i="2"/>
  <c r="AL41" i="2"/>
  <c r="AK41" i="2"/>
  <c r="AM41" i="2"/>
  <c r="AK404" i="2"/>
  <c r="AK6" i="2"/>
  <c r="AF25" i="2"/>
  <c r="AL25" i="2"/>
  <c r="AM385" i="2"/>
  <c r="AK379" i="2"/>
  <c r="AM468" i="2"/>
  <c r="AK214" i="2"/>
  <c r="AK324" i="2"/>
  <c r="AF324" i="2"/>
  <c r="AL324" i="2"/>
  <c r="AM324" i="2"/>
  <c r="AS324" i="2"/>
  <c r="BB324" i="2"/>
  <c r="AM479" i="2"/>
  <c r="AS479" i="2"/>
  <c r="BB479" i="2"/>
  <c r="AK479" i="2"/>
  <c r="AF479" i="2"/>
  <c r="AL479" i="2"/>
  <c r="AK70" i="2"/>
  <c r="AK241" i="2"/>
  <c r="AF241" i="2"/>
  <c r="AL241" i="2"/>
  <c r="AK9" i="2"/>
  <c r="AS404" i="2"/>
  <c r="AM467" i="2"/>
  <c r="AO5" i="2"/>
  <c r="AS379" i="2"/>
  <c r="AS431" i="2"/>
  <c r="AK468" i="2"/>
  <c r="AS91" i="2"/>
  <c r="BB91" i="2"/>
  <c r="BC91" i="2"/>
  <c r="BI91" i="2"/>
  <c r="AK27" i="2"/>
  <c r="BC25" i="2"/>
  <c r="BI25" i="2"/>
  <c r="AF164" i="2"/>
  <c r="AL164" i="2"/>
  <c r="AK164" i="2"/>
  <c r="AM164" i="2"/>
  <c r="AF270" i="2"/>
  <c r="AL270" i="2"/>
  <c r="AM270" i="2"/>
  <c r="AK270" i="2"/>
  <c r="AM420" i="2"/>
  <c r="AK420" i="2"/>
  <c r="AM87" i="2"/>
  <c r="AK418" i="2"/>
  <c r="AM418" i="2"/>
  <c r="AK25" i="2"/>
  <c r="AH96" i="2"/>
  <c r="AK431" i="2"/>
  <c r="AM112" i="2"/>
  <c r="AS112" i="2"/>
  <c r="BB112" i="2"/>
  <c r="BC112" i="2"/>
  <c r="AF112" i="2"/>
  <c r="AL112" i="2"/>
  <c r="AM18" i="2"/>
  <c r="AK18" i="2"/>
  <c r="AK170" i="2"/>
  <c r="AM170" i="2"/>
  <c r="AF170" i="2"/>
  <c r="AL170" i="2"/>
  <c r="AM291" i="2"/>
  <c r="AK291" i="2"/>
  <c r="BH241" i="2"/>
  <c r="BC241" i="2"/>
  <c r="BI241" i="2"/>
  <c r="BH483" i="2"/>
  <c r="BC483" i="2"/>
  <c r="BI483" i="2"/>
  <c r="AM378" i="2"/>
  <c r="AK378" i="2"/>
  <c r="AK275" i="2"/>
  <c r="AM275" i="2"/>
  <c r="AF275" i="2"/>
  <c r="AL275" i="2"/>
  <c r="AM409" i="2"/>
  <c r="AN409" i="2"/>
  <c r="AS409" i="2"/>
  <c r="AK409" i="2"/>
  <c r="AK153" i="2"/>
  <c r="AM153" i="2"/>
  <c r="AM345" i="2"/>
  <c r="AK345" i="2"/>
  <c r="AF345" i="2"/>
  <c r="AL345" i="2"/>
  <c r="AS345" i="2"/>
  <c r="BB345" i="2"/>
  <c r="AM286" i="2"/>
  <c r="AK286" i="2"/>
  <c r="AK211" i="2"/>
  <c r="AM211" i="2"/>
  <c r="AM460" i="2"/>
  <c r="AK460" i="2"/>
  <c r="AM96" i="2"/>
  <c r="AK96" i="2"/>
  <c r="AF96" i="2"/>
  <c r="AK433" i="2"/>
  <c r="AM433" i="2"/>
  <c r="AN433" i="2"/>
  <c r="AS433" i="2"/>
  <c r="AK414" i="2"/>
  <c r="AM414" i="2"/>
  <c r="AN414" i="2"/>
  <c r="AS414" i="2"/>
  <c r="AM177" i="2"/>
  <c r="AK177" i="2"/>
  <c r="AM288" i="2"/>
  <c r="AK288" i="2"/>
  <c r="AK500" i="2"/>
  <c r="AM500" i="2"/>
  <c r="AK277" i="2"/>
  <c r="AM277" i="2"/>
  <c r="AK221" i="2"/>
  <c r="AM221" i="2"/>
  <c r="AM246" i="2"/>
  <c r="AK246" i="2"/>
  <c r="AH129" i="2"/>
  <c r="AO129" i="2"/>
  <c r="AK191" i="2"/>
  <c r="AM191" i="2"/>
  <c r="AM80" i="2"/>
  <c r="AF80" i="2"/>
  <c r="AL80" i="2"/>
  <c r="AK80" i="2"/>
  <c r="AO110" i="2"/>
  <c r="AP110" i="2"/>
  <c r="AT110" i="2"/>
  <c r="AK263" i="2"/>
  <c r="AM263" i="2"/>
  <c r="AO23" i="2"/>
  <c r="AP23" i="2"/>
  <c r="AT23" i="2"/>
  <c r="BD23" i="2"/>
  <c r="BE23" i="2"/>
  <c r="AH23" i="2"/>
  <c r="AM405" i="2"/>
  <c r="AK405" i="2"/>
  <c r="AM209" i="2"/>
  <c r="AK209" i="2"/>
  <c r="AH128" i="2"/>
  <c r="AL128" i="2"/>
  <c r="AO128" i="2"/>
  <c r="AK128" i="2"/>
  <c r="AM318" i="2"/>
  <c r="AK318" i="2"/>
  <c r="AM398" i="2"/>
  <c r="AK398" i="2"/>
  <c r="BH294" i="2"/>
  <c r="BC294" i="2"/>
  <c r="BI294" i="2"/>
  <c r="BC204" i="2"/>
  <c r="BI204" i="2"/>
  <c r="BH204" i="2"/>
  <c r="AF205" i="2"/>
  <c r="AL205" i="2"/>
  <c r="AK205" i="2"/>
  <c r="AM205" i="2"/>
  <c r="AS205" i="2"/>
  <c r="BB205" i="2"/>
  <c r="AM203" i="2"/>
  <c r="AK203" i="2"/>
  <c r="AM486" i="2"/>
  <c r="AK486" i="2"/>
  <c r="AF486" i="2"/>
  <c r="AL486" i="2"/>
  <c r="BC214" i="2"/>
  <c r="BI214" i="2"/>
  <c r="BH214" i="2"/>
  <c r="AK315" i="2"/>
  <c r="AM315" i="2"/>
  <c r="AM38" i="2"/>
  <c r="AN38" i="2"/>
  <c r="AS38" i="2"/>
  <c r="BB38" i="2"/>
  <c r="AK38" i="2"/>
  <c r="AF38" i="2"/>
  <c r="AL38" i="2"/>
  <c r="AM100" i="2"/>
  <c r="AK100" i="2"/>
  <c r="AK284" i="2"/>
  <c r="AM284" i="2"/>
  <c r="AN284" i="2"/>
  <c r="AS284" i="2"/>
  <c r="AK384" i="2"/>
  <c r="AM384" i="2"/>
  <c r="AS384" i="2"/>
  <c r="BH155" i="2"/>
  <c r="BC155" i="2"/>
  <c r="BI155" i="2"/>
  <c r="AK24" i="2"/>
  <c r="AM24" i="2"/>
  <c r="AK494" i="2"/>
  <c r="AM494" i="2"/>
  <c r="AF169" i="2"/>
  <c r="AL169" i="2"/>
  <c r="AK169" i="2"/>
  <c r="AM169" i="2"/>
  <c r="AS169" i="2"/>
  <c r="BB169" i="2"/>
  <c r="AK326" i="2"/>
  <c r="AM326" i="2"/>
  <c r="AK89" i="2"/>
  <c r="AM89" i="2"/>
  <c r="AN89" i="2"/>
  <c r="AS89" i="2"/>
  <c r="AK478" i="2"/>
  <c r="AM478" i="2"/>
  <c r="AK457" i="2"/>
  <c r="AM457" i="2"/>
  <c r="AK448" i="2"/>
  <c r="AM448" i="2"/>
  <c r="AK490" i="2"/>
  <c r="AM490" i="2"/>
  <c r="AM496" i="2"/>
  <c r="AK496" i="2"/>
  <c r="AM382" i="2"/>
  <c r="AK382" i="2"/>
  <c r="AK338" i="2"/>
  <c r="AM338" i="2"/>
  <c r="AK202" i="2"/>
  <c r="AF202" i="2"/>
  <c r="AL202" i="2"/>
  <c r="AM202" i="2"/>
  <c r="AK126" i="2"/>
  <c r="AM126" i="2"/>
  <c r="AM439" i="2"/>
  <c r="AK439" i="2"/>
  <c r="AK218" i="2"/>
  <c r="AM218" i="2"/>
  <c r="AM156" i="2"/>
  <c r="AF156" i="2"/>
  <c r="AL156" i="2"/>
  <c r="AK156" i="2"/>
  <c r="AK19" i="2"/>
  <c r="AM19" i="2"/>
  <c r="AF19" i="2"/>
  <c r="AL19" i="2"/>
  <c r="AM55" i="2"/>
  <c r="AK55" i="2"/>
  <c r="AM410" i="2"/>
  <c r="AK410" i="2"/>
  <c r="AK110" i="2"/>
  <c r="BC20" i="2"/>
  <c r="BH231" i="2"/>
  <c r="BC231" i="2"/>
  <c r="BI231" i="2"/>
  <c r="AF492" i="2"/>
  <c r="AL492" i="2"/>
  <c r="AM492" i="2"/>
  <c r="AS492" i="2"/>
  <c r="BB492" i="2"/>
  <c r="AK492" i="2"/>
  <c r="AF109" i="2"/>
  <c r="AL109" i="2"/>
  <c r="AM109" i="2"/>
  <c r="AS109" i="2"/>
  <c r="BB109" i="2"/>
  <c r="AK109" i="2"/>
  <c r="AK411" i="2"/>
  <c r="AM411" i="2"/>
  <c r="AM5" i="2"/>
  <c r="AS5" i="2"/>
  <c r="BB5" i="2"/>
  <c r="AF5" i="2"/>
  <c r="AL5" i="2"/>
  <c r="AK5" i="2"/>
  <c r="BC60" i="2"/>
  <c r="BI60" i="2"/>
  <c r="BH60" i="2"/>
  <c r="AM332" i="2"/>
  <c r="AK332" i="2"/>
  <c r="AM237" i="2"/>
  <c r="AK237" i="2"/>
  <c r="AK227" i="2"/>
  <c r="AM227" i="2"/>
  <c r="BC273" i="2"/>
  <c r="AK353" i="2"/>
  <c r="AM353" i="2"/>
  <c r="AK377" i="2"/>
  <c r="AM377" i="2"/>
  <c r="AM94" i="2"/>
  <c r="AK94" i="2"/>
  <c r="AF194" i="2"/>
  <c r="AL194" i="2"/>
  <c r="AM194" i="2"/>
  <c r="AS194" i="2"/>
  <c r="BB194" i="2"/>
  <c r="AK194" i="2"/>
  <c r="AM197" i="2"/>
  <c r="AK197" i="2"/>
  <c r="AK258" i="2"/>
  <c r="AM258" i="2"/>
  <c r="AM23" i="2"/>
  <c r="AS23" i="2"/>
  <c r="BB23" i="2"/>
  <c r="AF23" i="2"/>
  <c r="AK23" i="2"/>
  <c r="BH45" i="2"/>
  <c r="BC45" i="2"/>
  <c r="BI45" i="2"/>
  <c r="AF314" i="2"/>
  <c r="AL314" i="2"/>
  <c r="AK314" i="2"/>
  <c r="AM314" i="2"/>
  <c r="AM387" i="2"/>
  <c r="AK387" i="2"/>
  <c r="AF272" i="2"/>
  <c r="AL272" i="2"/>
  <c r="AK272" i="2"/>
  <c r="AM272" i="2"/>
  <c r="AS272" i="2"/>
  <c r="BB272" i="2"/>
  <c r="AO114" i="2"/>
  <c r="AT114" i="2"/>
  <c r="BD114" i="2"/>
  <c r="AH114" i="2"/>
  <c r="AL114" i="2"/>
  <c r="AK341" i="2"/>
  <c r="AM341" i="2"/>
  <c r="AM226" i="2"/>
  <c r="AK226" i="2"/>
  <c r="AF39" i="2"/>
  <c r="AL39" i="2"/>
  <c r="AM39" i="2"/>
  <c r="AK39" i="2"/>
  <c r="AM328" i="2"/>
  <c r="AF328" i="2"/>
  <c r="AL328" i="2"/>
  <c r="AK328" i="2"/>
  <c r="AM108" i="2"/>
  <c r="AS108" i="2"/>
  <c r="BB108" i="2"/>
  <c r="AF108" i="2"/>
  <c r="AL108" i="2"/>
  <c r="AK108" i="2"/>
  <c r="AK249" i="2"/>
  <c r="AM249" i="2"/>
  <c r="AM476" i="2"/>
  <c r="AN476" i="2"/>
  <c r="AS476" i="2"/>
  <c r="AK476" i="2"/>
  <c r="AF172" i="2"/>
  <c r="AL172" i="2"/>
  <c r="AM172" i="2"/>
  <c r="AK172" i="2"/>
  <c r="AH84" i="2"/>
  <c r="AO84" i="2"/>
  <c r="AF116" i="2"/>
  <c r="AL116" i="2"/>
  <c r="AK116" i="2"/>
  <c r="AM116" i="2"/>
  <c r="AK166" i="2"/>
  <c r="AM166" i="2"/>
  <c r="BC229" i="2"/>
  <c r="BI229" i="2"/>
  <c r="BH229" i="2"/>
  <c r="AM180" i="2"/>
  <c r="AK180" i="2"/>
  <c r="AM83" i="2"/>
  <c r="AN83" i="2"/>
  <c r="AS83" i="2"/>
  <c r="AK83" i="2"/>
  <c r="AK187" i="2"/>
  <c r="AM187" i="2"/>
  <c r="AK481" i="2"/>
  <c r="AM481" i="2"/>
  <c r="AF481" i="2"/>
  <c r="AL481" i="2"/>
  <c r="AM133" i="2"/>
  <c r="AK133" i="2"/>
  <c r="AF37" i="2"/>
  <c r="AL37" i="2"/>
  <c r="AK37" i="2"/>
  <c r="AM37" i="2"/>
  <c r="AM331" i="2"/>
  <c r="AN331" i="2"/>
  <c r="AS331" i="2"/>
  <c r="AK331" i="2"/>
  <c r="AK145" i="2"/>
  <c r="AF145" i="2"/>
  <c r="AL145" i="2"/>
  <c r="AM145" i="2"/>
  <c r="BC176" i="2"/>
  <c r="BI176" i="2"/>
  <c r="BH176" i="2"/>
  <c r="AM290" i="2"/>
  <c r="AF290" i="2"/>
  <c r="AL290" i="2"/>
  <c r="AK290" i="2"/>
  <c r="AK118" i="2"/>
  <c r="AM118" i="2"/>
  <c r="AM394" i="2"/>
  <c r="AK394" i="2"/>
  <c r="AM408" i="2"/>
  <c r="AK408" i="2"/>
  <c r="AF223" i="2"/>
  <c r="AL223" i="2"/>
  <c r="AM223" i="2"/>
  <c r="AK223" i="2"/>
  <c r="BH267" i="2"/>
  <c r="BC267" i="2"/>
  <c r="BI267" i="2"/>
  <c r="AK106" i="2"/>
  <c r="AF106" i="2"/>
  <c r="AL106" i="2"/>
  <c r="AM106" i="2"/>
  <c r="AS106" i="2"/>
  <c r="BB106" i="2"/>
  <c r="AM22" i="2"/>
  <c r="AK22" i="2"/>
  <c r="AK139" i="2"/>
  <c r="AM139" i="2"/>
  <c r="AF139" i="2"/>
  <c r="AL139" i="2"/>
  <c r="AK477" i="2"/>
  <c r="AF477" i="2"/>
  <c r="AL477" i="2"/>
  <c r="AM477" i="2"/>
  <c r="AK440" i="2"/>
  <c r="AM440" i="2"/>
  <c r="AK487" i="2"/>
  <c r="AM487" i="2"/>
  <c r="AN487" i="2"/>
  <c r="AS487" i="2"/>
  <c r="AK51" i="2"/>
  <c r="AM51" i="2"/>
  <c r="AN51" i="2"/>
  <c r="AS51" i="2"/>
  <c r="BB51" i="2"/>
  <c r="AF51" i="2"/>
  <c r="AL51" i="2"/>
  <c r="AM137" i="2"/>
  <c r="AK137" i="2"/>
  <c r="AM313" i="2"/>
  <c r="AK313" i="2"/>
  <c r="AM453" i="2"/>
  <c r="AK453" i="2"/>
  <c r="AK65" i="2"/>
  <c r="AM65" i="2"/>
  <c r="AK160" i="2"/>
  <c r="AM160" i="2"/>
  <c r="AK142" i="2"/>
  <c r="AM142" i="2"/>
  <c r="AS142" i="2"/>
  <c r="BB142" i="2"/>
  <c r="AF142" i="2"/>
  <c r="AL142" i="2"/>
  <c r="AK233" i="2"/>
  <c r="AM233" i="2"/>
  <c r="AM259" i="2"/>
  <c r="AN259" i="2"/>
  <c r="AS259" i="2"/>
  <c r="AK259" i="2"/>
  <c r="AM463" i="2"/>
  <c r="AK463" i="2"/>
  <c r="AF168" i="2"/>
  <c r="AL168" i="2"/>
  <c r="AM168" i="2"/>
  <c r="AK168" i="2"/>
  <c r="AK459" i="2"/>
  <c r="AM459" i="2"/>
  <c r="AK422" i="2"/>
  <c r="AM422" i="2"/>
  <c r="AM81" i="2"/>
  <c r="AK81" i="2"/>
  <c r="AF129" i="2"/>
  <c r="AK129" i="2"/>
  <c r="AM129" i="2"/>
  <c r="AS129" i="2"/>
  <c r="BB129" i="2"/>
  <c r="AK265" i="2"/>
  <c r="AM265" i="2"/>
  <c r="AK28" i="2"/>
  <c r="AM28" i="2"/>
  <c r="AK143" i="2"/>
  <c r="AM143" i="2"/>
  <c r="AM303" i="2"/>
  <c r="AF303" i="2"/>
  <c r="AL303" i="2"/>
  <c r="AK303" i="2"/>
  <c r="AM61" i="2"/>
  <c r="AS61" i="2"/>
  <c r="BB61" i="2"/>
  <c r="AK61" i="2"/>
  <c r="AF61" i="2"/>
  <c r="AL61" i="2"/>
  <c r="AM327" i="2"/>
  <c r="AK327" i="2"/>
  <c r="AF327" i="2"/>
  <c r="AL327" i="2"/>
  <c r="AK390" i="2"/>
  <c r="AM390" i="2"/>
  <c r="AM163" i="2"/>
  <c r="AS163" i="2"/>
  <c r="BB163" i="2"/>
  <c r="AK163" i="2"/>
  <c r="AF163" i="2"/>
  <c r="AL163" i="2"/>
  <c r="AK485" i="2"/>
  <c r="AM485" i="2"/>
  <c r="AF485" i="2"/>
  <c r="AL485" i="2"/>
  <c r="AM12" i="2"/>
  <c r="AK12" i="2"/>
  <c r="AK127" i="2"/>
  <c r="AM127" i="2"/>
  <c r="AK362" i="2"/>
  <c r="AM362" i="2"/>
  <c r="AK69" i="2"/>
  <c r="AM69" i="2"/>
  <c r="AM161" i="2"/>
  <c r="AK161" i="2"/>
  <c r="AF190" i="2"/>
  <c r="AL190" i="2"/>
  <c r="AK190" i="2"/>
  <c r="AM190" i="2"/>
  <c r="AM367" i="2"/>
  <c r="AK367" i="2"/>
  <c r="AM8" i="2"/>
  <c r="AK8" i="2"/>
  <c r="AF8" i="2"/>
  <c r="AL8" i="2"/>
  <c r="AK347" i="2"/>
  <c r="AM347" i="2"/>
  <c r="AM472" i="2"/>
  <c r="AK472" i="2"/>
  <c r="AM474" i="2"/>
  <c r="AK474" i="2"/>
  <c r="AM395" i="2"/>
  <c r="AK395" i="2"/>
  <c r="AK376" i="2"/>
  <c r="AM376" i="2"/>
  <c r="AM132" i="2"/>
  <c r="AS132" i="2"/>
  <c r="BB132" i="2"/>
  <c r="AF132" i="2"/>
  <c r="AL132" i="2"/>
  <c r="AK132" i="2"/>
  <c r="AM296" i="2"/>
  <c r="AK296" i="2"/>
  <c r="AM304" i="2"/>
  <c r="AS304" i="2"/>
  <c r="BB304" i="2"/>
  <c r="AK304" i="2"/>
  <c r="AF304" i="2"/>
  <c r="AL304" i="2"/>
  <c r="AK317" i="2"/>
  <c r="AM317" i="2"/>
  <c r="AM308" i="2"/>
  <c r="AF308" i="2"/>
  <c r="AL308" i="2"/>
  <c r="AS308" i="2"/>
  <c r="BB308" i="2"/>
  <c r="AK308" i="2"/>
  <c r="AK435" i="2"/>
  <c r="AM435" i="2"/>
  <c r="AM444" i="2"/>
  <c r="AK444" i="2"/>
  <c r="AM351" i="2"/>
  <c r="AK351" i="2"/>
  <c r="AK368" i="2"/>
  <c r="AM368" i="2"/>
  <c r="AM254" i="2"/>
  <c r="AK254" i="2"/>
  <c r="AK119" i="2"/>
  <c r="AM119" i="2"/>
  <c r="AF119" i="2"/>
  <c r="AL119" i="2"/>
  <c r="AK273" i="2"/>
  <c r="AH273" i="2"/>
  <c r="AL273" i="2"/>
  <c r="AO273" i="2"/>
  <c r="AT273" i="2"/>
  <c r="BD273" i="2"/>
  <c r="BE273" i="2"/>
  <c r="AM49" i="2"/>
  <c r="AF49" i="2"/>
  <c r="AL49" i="2"/>
  <c r="AS49" i="2"/>
  <c r="BB49" i="2"/>
  <c r="AK49" i="2"/>
  <c r="AM103" i="2"/>
  <c r="AN103" i="2"/>
  <c r="AS103" i="2"/>
  <c r="AK103" i="2"/>
  <c r="AM446" i="2"/>
  <c r="AK446" i="2"/>
  <c r="AF299" i="2"/>
  <c r="AL299" i="2"/>
  <c r="AM299" i="2"/>
  <c r="AK299" i="2"/>
  <c r="BH251" i="2"/>
  <c r="BC251" i="2"/>
  <c r="BI251" i="2"/>
  <c r="BC216" i="2"/>
  <c r="BI216" i="2"/>
  <c r="BH216" i="2"/>
  <c r="AK239" i="2"/>
  <c r="AM239" i="2"/>
  <c r="AM148" i="2"/>
  <c r="AK148" i="2"/>
  <c r="AK434" i="2"/>
  <c r="AM434" i="2"/>
  <c r="AK152" i="2"/>
  <c r="AM152" i="2"/>
  <c r="AO272" i="2"/>
  <c r="AP272" i="2"/>
  <c r="AT272" i="2"/>
  <c r="AM193" i="2"/>
  <c r="AF193" i="2"/>
  <c r="AL193" i="2"/>
  <c r="AK193" i="2"/>
  <c r="AF151" i="2"/>
  <c r="AL151" i="2"/>
  <c r="AK151" i="2"/>
  <c r="AM151" i="2"/>
  <c r="AK450" i="2"/>
  <c r="AM450" i="2"/>
  <c r="AO79" i="2"/>
  <c r="AK79" i="2"/>
  <c r="AK115" i="2"/>
  <c r="AF115" i="2"/>
  <c r="AL115" i="2"/>
  <c r="AM115" i="2"/>
  <c r="AS115" i="2"/>
  <c r="BB115" i="2"/>
  <c r="AK184" i="2"/>
  <c r="AM184" i="2"/>
  <c r="AN184" i="2"/>
  <c r="AS184" i="2"/>
  <c r="AM442" i="2"/>
  <c r="AK442" i="2"/>
  <c r="AM232" i="2"/>
  <c r="AK232" i="2"/>
  <c r="AF232" i="2"/>
  <c r="AL232" i="2"/>
  <c r="AF222" i="2"/>
  <c r="AL222" i="2"/>
  <c r="AM222" i="2"/>
  <c r="AK222" i="2"/>
  <c r="AM253" i="2"/>
  <c r="AK253" i="2"/>
  <c r="AK46" i="2"/>
  <c r="AF46" i="2"/>
  <c r="AL46" i="2"/>
  <c r="AM46" i="2"/>
  <c r="AM471" i="2"/>
  <c r="AK471" i="2"/>
  <c r="AM337" i="2"/>
  <c r="AK337" i="2"/>
  <c r="AM264" i="2"/>
  <c r="AK264" i="2"/>
  <c r="AM403" i="2"/>
  <c r="AK403" i="2"/>
  <c r="AM78" i="2"/>
  <c r="AK78" i="2"/>
  <c r="AM192" i="2"/>
  <c r="AK192" i="2"/>
  <c r="AM86" i="2"/>
  <c r="AS86" i="2"/>
  <c r="BB86" i="2"/>
  <c r="AK86" i="2"/>
  <c r="AF86" i="2"/>
  <c r="AL86" i="2"/>
  <c r="AM348" i="2"/>
  <c r="AK348" i="2"/>
  <c r="AK493" i="2"/>
  <c r="AF493" i="2"/>
  <c r="AL493" i="2"/>
  <c r="AM493" i="2"/>
  <c r="AN493" i="2"/>
  <c r="AS493" i="2"/>
  <c r="BB493" i="2"/>
  <c r="AK48" i="2"/>
  <c r="AM48" i="2"/>
  <c r="AK455" i="2"/>
  <c r="AM455" i="2"/>
  <c r="AK391" i="2"/>
  <c r="AM391" i="2"/>
  <c r="AO40" i="2"/>
  <c r="AT40" i="2"/>
  <c r="BD40" i="2"/>
  <c r="AH40" i="2"/>
  <c r="AL40" i="2"/>
  <c r="AK40" i="2"/>
  <c r="AM458" i="2"/>
  <c r="AN458" i="2"/>
  <c r="AS458" i="2"/>
  <c r="AK458" i="2"/>
  <c r="AK413" i="2"/>
  <c r="AM413" i="2"/>
  <c r="AM370" i="2"/>
  <c r="AK370" i="2"/>
  <c r="AK207" i="2"/>
  <c r="AM207" i="2"/>
  <c r="AM146" i="2"/>
  <c r="AN146" i="2"/>
  <c r="AS146" i="2"/>
  <c r="AK146" i="2"/>
  <c r="AK464" i="2"/>
  <c r="AM464" i="2"/>
  <c r="AK35" i="2"/>
  <c r="AM35" i="2"/>
  <c r="AM268" i="2"/>
  <c r="AK268" i="2"/>
  <c r="AK195" i="2"/>
  <c r="AF195" i="2"/>
  <c r="AL195" i="2"/>
  <c r="AM195" i="2"/>
  <c r="AS195" i="2"/>
  <c r="BB195" i="2"/>
  <c r="AK84" i="2"/>
  <c r="AM56" i="2"/>
  <c r="AK56" i="2"/>
  <c r="BH323" i="2"/>
  <c r="BI112" i="2"/>
  <c r="BH240" i="2"/>
  <c r="BH47" i="2"/>
  <c r="BC47" i="2"/>
  <c r="BI47" i="2"/>
  <c r="BH90" i="2"/>
  <c r="BC90" i="2"/>
  <c r="BI90" i="2"/>
  <c r="BC36" i="2"/>
  <c r="BI36" i="2"/>
  <c r="BH36" i="2"/>
  <c r="BH196" i="2"/>
  <c r="BC196" i="2"/>
  <c r="BI196" i="2"/>
  <c r="BH59" i="2"/>
  <c r="BC59" i="2"/>
  <c r="BI59" i="2"/>
  <c r="BH335" i="2"/>
  <c r="BC335" i="2"/>
  <c r="BI335" i="2"/>
  <c r="AQ325" i="2"/>
  <c r="BC274" i="2"/>
  <c r="BI274" i="2"/>
  <c r="BC283" i="2"/>
  <c r="BI283" i="2"/>
  <c r="BH489" i="2"/>
  <c r="BC489" i="2"/>
  <c r="BI489" i="2"/>
  <c r="BC250" i="2"/>
  <c r="BI250" i="2"/>
  <c r="BH250" i="2"/>
  <c r="BC171" i="2"/>
  <c r="BI171" i="2"/>
  <c r="BH171" i="2"/>
  <c r="BH206" i="2"/>
  <c r="BC206" i="2"/>
  <c r="BI206" i="2"/>
  <c r="BE279" i="2"/>
  <c r="BI279" i="2"/>
  <c r="BH279" i="2"/>
  <c r="BC360" i="2"/>
  <c r="BI360" i="2"/>
  <c r="BH360" i="2"/>
  <c r="BC97" i="2"/>
  <c r="BI97" i="2"/>
  <c r="BH97" i="2"/>
  <c r="BH271" i="2"/>
  <c r="BC271" i="2"/>
  <c r="BI271" i="2"/>
  <c r="BH301" i="2"/>
  <c r="BC301" i="2"/>
  <c r="BI301" i="2"/>
  <c r="BC295" i="2"/>
  <c r="BI295" i="2"/>
  <c r="BH295" i="2"/>
  <c r="BH43" i="2"/>
  <c r="BC43" i="2"/>
  <c r="BI43" i="2"/>
  <c r="BC248" i="2"/>
  <c r="BI248" i="2"/>
  <c r="BH248" i="2"/>
  <c r="AN148" i="2"/>
  <c r="AQ427" i="2"/>
  <c r="AN69" i="2"/>
  <c r="AS69" i="2"/>
  <c r="AN327" i="2"/>
  <c r="AS327" i="2"/>
  <c r="BB327" i="2"/>
  <c r="AN422" i="2"/>
  <c r="AS422" i="2"/>
  <c r="AN394" i="2"/>
  <c r="AN39" i="2"/>
  <c r="AS39" i="2"/>
  <c r="BB39" i="2"/>
  <c r="AN237" i="2"/>
  <c r="AS237" i="2"/>
  <c r="AN439" i="2"/>
  <c r="AN246" i="2"/>
  <c r="AN170" i="2"/>
  <c r="AN468" i="2"/>
  <c r="AS468" i="2"/>
  <c r="AN238" i="2"/>
  <c r="AS238" i="2"/>
  <c r="BB238" i="2"/>
  <c r="AN419" i="2"/>
  <c r="AS419" i="2"/>
  <c r="AN312" i="2"/>
  <c r="AQ135" i="2"/>
  <c r="AQ121" i="2"/>
  <c r="AQ465" i="2"/>
  <c r="AQ189" i="2"/>
  <c r="AQ380" i="2"/>
  <c r="AQ333" i="2"/>
  <c r="AQ14" i="2"/>
  <c r="AN226" i="2"/>
  <c r="AS226" i="2"/>
  <c r="AQ34" i="2"/>
  <c r="AN316" i="2"/>
  <c r="AS316" i="2"/>
  <c r="AQ124" i="2"/>
  <c r="AN460" i="2"/>
  <c r="AQ201" i="2"/>
  <c r="AN168" i="2"/>
  <c r="AN303" i="2"/>
  <c r="AQ38" i="2"/>
  <c r="AN12" i="2"/>
  <c r="AS12" i="2"/>
  <c r="AN352" i="2"/>
  <c r="AS352" i="2"/>
  <c r="AQ416" i="2"/>
  <c r="AN494" i="2"/>
  <c r="AN66" i="2"/>
  <c r="AS66" i="2"/>
  <c r="AQ386" i="2"/>
  <c r="AQ266" i="2"/>
  <c r="AQ144" i="2"/>
  <c r="AS485" i="2"/>
  <c r="BB485" i="2"/>
  <c r="AN28" i="2"/>
  <c r="AS28" i="2"/>
  <c r="AN137" i="2"/>
  <c r="AN249" i="2"/>
  <c r="AN382" i="2"/>
  <c r="AS382" i="2"/>
  <c r="AN398" i="2"/>
  <c r="AS398" i="2"/>
  <c r="BH480" i="2"/>
  <c r="AN418" i="2"/>
  <c r="AS418" i="2"/>
  <c r="AN220" i="2"/>
  <c r="AN278" i="2"/>
  <c r="AQ42" i="2"/>
  <c r="AQ54" i="2"/>
  <c r="AQ111" i="2"/>
  <c r="AQ167" i="2"/>
  <c r="AS386" i="2"/>
  <c r="AN13" i="2"/>
  <c r="AQ334" i="2"/>
  <c r="AS266" i="2"/>
  <c r="AQ149" i="2"/>
  <c r="AQ50" i="2"/>
  <c r="AS144" i="2"/>
  <c r="BB144" i="2"/>
  <c r="AN268" i="2"/>
  <c r="AN254" i="2"/>
  <c r="AS254" i="2"/>
  <c r="AN8" i="2"/>
  <c r="AS8" i="2"/>
  <c r="BB8" i="2"/>
  <c r="AN19" i="2"/>
  <c r="AN315" i="2"/>
  <c r="AS315" i="2"/>
  <c r="AN428" i="2"/>
  <c r="AS428" i="2"/>
  <c r="AN213" i="2"/>
  <c r="AN399" i="2"/>
  <c r="AS399" i="2"/>
  <c r="AQ90" i="2"/>
  <c r="AQ59" i="2"/>
  <c r="AS42" i="2"/>
  <c r="BB42" i="2"/>
  <c r="AS54" i="2"/>
  <c r="AS111" i="2"/>
  <c r="AS167" i="2"/>
  <c r="AQ181" i="2"/>
  <c r="AQ350" i="2"/>
  <c r="AS334" i="2"/>
  <c r="AQ120" i="2"/>
  <c r="AS149" i="2"/>
  <c r="AS50" i="2"/>
  <c r="BB50" i="2"/>
  <c r="AN471" i="2"/>
  <c r="AS471" i="2"/>
  <c r="AN462" i="2"/>
  <c r="AS462" i="2"/>
  <c r="AQ228" i="2"/>
  <c r="AN450" i="2"/>
  <c r="AN143" i="2"/>
  <c r="AS143" i="2"/>
  <c r="AQ82" i="2"/>
  <c r="AQ114" i="2"/>
  <c r="AQ51" i="2"/>
  <c r="AN387" i="2"/>
  <c r="AN377" i="2"/>
  <c r="AN490" i="2"/>
  <c r="AS490" i="2"/>
  <c r="AN24" i="2"/>
  <c r="AS24" i="2"/>
  <c r="AN339" i="2"/>
  <c r="AQ262" i="2"/>
  <c r="AQ437" i="2"/>
  <c r="AQ306" i="2"/>
  <c r="AQ484" i="2"/>
  <c r="AQ58" i="2"/>
  <c r="AQ70" i="2"/>
  <c r="AQ52" i="2"/>
  <c r="AQ432" i="2"/>
  <c r="AQ289" i="2"/>
  <c r="AQ373" i="2"/>
  <c r="AN459" i="2"/>
  <c r="AN371" i="2"/>
  <c r="AS371" i="2"/>
  <c r="AN472" i="2"/>
  <c r="AS472" i="2"/>
  <c r="AQ188" i="2"/>
  <c r="AQ23" i="2"/>
  <c r="AS188" i="2"/>
  <c r="AN190" i="2"/>
  <c r="AS190" i="2"/>
  <c r="BB190" i="2"/>
  <c r="AN180" i="2"/>
  <c r="AS180" i="2"/>
  <c r="AN314" i="2"/>
  <c r="AS314" i="2"/>
  <c r="BB314" i="2"/>
  <c r="BH314" i="2"/>
  <c r="AT128" i="2"/>
  <c r="BD128" i="2"/>
  <c r="AN177" i="2"/>
  <c r="AN153" i="2"/>
  <c r="AN420" i="2"/>
  <c r="AS420" i="2"/>
  <c r="AN174" i="2"/>
  <c r="AS174" i="2"/>
  <c r="AN473" i="2"/>
  <c r="AS473" i="2"/>
  <c r="AS262" i="2"/>
  <c r="AN210" i="2"/>
  <c r="AS437" i="2"/>
  <c r="AS306" i="2"/>
  <c r="AS484" i="2"/>
  <c r="AQ438" i="2"/>
  <c r="AQ95" i="2"/>
  <c r="AS58" i="2"/>
  <c r="AS70" i="2"/>
  <c r="AQ175" i="2"/>
  <c r="AS52" i="2"/>
  <c r="BB52" i="2"/>
  <c r="AN344" i="2"/>
  <c r="AS344" i="2"/>
  <c r="AQ256" i="2"/>
  <c r="AS432" i="2"/>
  <c r="AS289" i="2"/>
  <c r="BB289" i="2"/>
  <c r="AQ36" i="2"/>
  <c r="AQ456" i="2"/>
  <c r="AN395" i="2"/>
  <c r="AS395" i="2"/>
  <c r="AP84" i="2"/>
  <c r="AT84" i="2"/>
  <c r="BD84" i="2"/>
  <c r="BE84" i="2"/>
  <c r="BI84" i="2"/>
  <c r="AQ89" i="2"/>
  <c r="AN221" i="2"/>
  <c r="AN104" i="2"/>
  <c r="AS104" i="2"/>
  <c r="BB104" i="2"/>
  <c r="AQ372" i="2"/>
  <c r="AQ493" i="2"/>
  <c r="AN65" i="2"/>
  <c r="AN378" i="2"/>
  <c r="AQ447" i="2"/>
  <c r="AP79" i="2"/>
  <c r="AT79" i="2"/>
  <c r="AN133" i="2"/>
  <c r="AS133" i="2"/>
  <c r="AN202" i="2"/>
  <c r="AN255" i="2"/>
  <c r="AQ401" i="2"/>
  <c r="AN102" i="2"/>
  <c r="AS102" i="2"/>
  <c r="BB102" i="2"/>
  <c r="AQ147" i="2"/>
  <c r="AQ31" i="2"/>
  <c r="AN317" i="2"/>
  <c r="AQ182" i="2"/>
  <c r="AQ141" i="2"/>
  <c r="AQ458" i="2"/>
  <c r="AN347" i="2"/>
  <c r="AN197" i="2"/>
  <c r="AN41" i="2"/>
  <c r="AS41" i="2"/>
  <c r="BB41" i="2"/>
  <c r="AS182" i="2"/>
  <c r="AQ466" i="2"/>
  <c r="AN187" i="2"/>
  <c r="AS187" i="2"/>
  <c r="AN467" i="2"/>
  <c r="AS466" i="2"/>
  <c r="AQ476" i="2"/>
  <c r="AQ128" i="2"/>
  <c r="AQ301" i="2"/>
  <c r="AN192" i="2"/>
  <c r="AS192" i="2"/>
  <c r="AQ449" i="2"/>
  <c r="AQ470" i="2"/>
  <c r="AN442" i="2"/>
  <c r="AS442" i="2"/>
  <c r="AQ310" i="2"/>
  <c r="AQ407" i="2"/>
  <c r="AN482" i="2"/>
  <c r="AS482" i="2"/>
  <c r="BB482" i="2"/>
  <c r="AQ130" i="2"/>
  <c r="AN403" i="2"/>
  <c r="AQ272" i="2"/>
  <c r="AQ103" i="2"/>
  <c r="AN223" i="2"/>
  <c r="AN218" i="2"/>
  <c r="AS218" i="2"/>
  <c r="AN191" i="2"/>
  <c r="AS191" i="2"/>
  <c r="AQ414" i="2"/>
  <c r="AN270" i="2"/>
  <c r="AP6" i="2"/>
  <c r="AT6" i="2"/>
  <c r="BD6" i="2"/>
  <c r="AN74" i="2"/>
  <c r="AN11" i="2"/>
  <c r="AS11" i="2"/>
  <c r="AS310" i="2"/>
  <c r="AQ234" i="2"/>
  <c r="AQ451" i="2"/>
  <c r="AQ68" i="2"/>
  <c r="AS407" i="2"/>
  <c r="AS130" i="2"/>
  <c r="AQ150" i="2"/>
  <c r="AN477" i="2"/>
  <c r="AS477" i="2"/>
  <c r="BB477" i="2"/>
  <c r="AQ186" i="2"/>
  <c r="AQ381" i="2"/>
  <c r="AN209" i="2"/>
  <c r="AS209" i="2"/>
  <c r="AN385" i="2"/>
  <c r="AS385" i="2"/>
  <c r="AN474" i="2"/>
  <c r="AN326" i="2"/>
  <c r="AQ261" i="2"/>
  <c r="AQ162" i="2"/>
  <c r="AS34" i="2"/>
  <c r="AS162" i="2"/>
  <c r="BB162" i="2"/>
  <c r="AN453" i="2"/>
  <c r="AN62" i="2"/>
  <c r="AN7" i="2"/>
  <c r="AS7" i="2"/>
  <c r="AS201" i="2"/>
  <c r="BB201" i="2"/>
  <c r="AN277" i="2"/>
  <c r="AQ88" i="2"/>
  <c r="AQ212" i="2"/>
  <c r="AN105" i="2"/>
  <c r="AS222" i="2"/>
  <c r="BB222" i="2"/>
  <c r="AN22" i="2"/>
  <c r="AS22" i="2"/>
  <c r="AN286" i="2"/>
  <c r="AN355" i="2"/>
  <c r="AS355" i="2"/>
  <c r="AN265" i="2"/>
  <c r="AN145" i="2"/>
  <c r="AS145" i="2"/>
  <c r="BB145" i="2"/>
  <c r="AN496" i="2"/>
  <c r="AN87" i="2"/>
  <c r="AS87" i="2"/>
  <c r="AQ138" i="2"/>
  <c r="AQ185" i="2"/>
  <c r="AQ364" i="2"/>
  <c r="AN232" i="2"/>
  <c r="AS232" i="2"/>
  <c r="BB232" i="2"/>
  <c r="AN455" i="2"/>
  <c r="AN353" i="2"/>
  <c r="AN292" i="2"/>
  <c r="AQ248" i="2"/>
  <c r="AQ97" i="2"/>
  <c r="BH256" i="2"/>
  <c r="BC256" i="2"/>
  <c r="BI256" i="2"/>
  <c r="AQ184" i="2"/>
  <c r="AN351" i="2"/>
  <c r="AQ331" i="2"/>
  <c r="AN166" i="2"/>
  <c r="AS166" i="2"/>
  <c r="AN328" i="2"/>
  <c r="AN457" i="2"/>
  <c r="AN486" i="2"/>
  <c r="AS486" i="2"/>
  <c r="BB486" i="2"/>
  <c r="AN243" i="2"/>
  <c r="AS243" i="2"/>
  <c r="AQ287" i="2"/>
  <c r="AQ397" i="2"/>
  <c r="AQ283" i="2"/>
  <c r="AQ366" i="2"/>
  <c r="AS234" i="2"/>
  <c r="BB234" i="2"/>
  <c r="AQ293" i="2"/>
  <c r="AQ396" i="2"/>
  <c r="AS451" i="2"/>
  <c r="AS68" i="2"/>
  <c r="AN44" i="2"/>
  <c r="AQ356" i="2"/>
  <c r="AQ359" i="2"/>
  <c r="AQ125" i="2"/>
  <c r="AS470" i="2"/>
  <c r="AS150" i="2"/>
  <c r="BB150" i="2"/>
  <c r="AQ285" i="2"/>
  <c r="AQ307" i="2"/>
  <c r="AQ402" i="2"/>
  <c r="AN413" i="2"/>
  <c r="AS413" i="2"/>
  <c r="AN362" i="2"/>
  <c r="AS14" i="2"/>
  <c r="AN258" i="2"/>
  <c r="AN131" i="2"/>
  <c r="AS447" i="2"/>
  <c r="AQ107" i="2"/>
  <c r="AN56" i="2"/>
  <c r="AN341" i="2"/>
  <c r="AS341" i="2"/>
  <c r="AN488" i="2"/>
  <c r="AS488" i="2"/>
  <c r="BB488" i="2"/>
  <c r="BH488" i="2"/>
  <c r="AN481" i="2"/>
  <c r="AS481" i="2"/>
  <c r="BB481" i="2"/>
  <c r="AN211" i="2"/>
  <c r="AS211" i="2"/>
  <c r="AQ271" i="2"/>
  <c r="AQ436" i="2"/>
  <c r="AN253" i="2"/>
  <c r="AS253" i="2"/>
  <c r="AN338" i="2"/>
  <c r="AS338" i="2"/>
  <c r="AP5" i="2"/>
  <c r="AT5" i="2"/>
  <c r="BD5" i="2"/>
  <c r="AQ9" i="2"/>
  <c r="AQ136" i="2"/>
  <c r="AS9" i="2"/>
  <c r="AS212" i="2"/>
  <c r="AN463" i="2"/>
  <c r="AS463" i="2"/>
  <c r="AN500" i="2"/>
  <c r="AS500" i="2"/>
  <c r="AQ297" i="2"/>
  <c r="AN35" i="2"/>
  <c r="AQ83" i="2"/>
  <c r="AN411" i="2"/>
  <c r="AN288" i="2"/>
  <c r="AN29" i="2"/>
  <c r="AQ421" i="2"/>
  <c r="AN367" i="2"/>
  <c r="AS367" i="2"/>
  <c r="AN78" i="2"/>
  <c r="AS78" i="2"/>
  <c r="AQ259" i="2"/>
  <c r="AN233" i="2"/>
  <c r="AS233" i="2"/>
  <c r="AN16" i="2"/>
  <c r="AQ98" i="2"/>
  <c r="AQ389" i="2"/>
  <c r="AQ72" i="2"/>
  <c r="AN227" i="2"/>
  <c r="BC465" i="2"/>
  <c r="BI465" i="2"/>
  <c r="AP129" i="2"/>
  <c r="AT129" i="2"/>
  <c r="BD129" i="2"/>
  <c r="AQ409" i="2"/>
  <c r="AN164" i="2"/>
  <c r="AS164" i="2"/>
  <c r="BB164" i="2"/>
  <c r="AN260" i="2"/>
  <c r="AN252" i="2"/>
  <c r="AS287" i="2"/>
  <c r="BB287" i="2"/>
  <c r="AQ429" i="2"/>
  <c r="AQ342" i="2"/>
  <c r="AQ200" i="2"/>
  <c r="AQ302" i="2"/>
  <c r="AQ349" i="2"/>
  <c r="AS356" i="2"/>
  <c r="AS359" i="2"/>
  <c r="AQ375" i="2"/>
  <c r="AS125" i="2"/>
  <c r="AS285" i="2"/>
  <c r="AN126" i="2"/>
  <c r="AQ360" i="2"/>
  <c r="AQ330" i="2"/>
  <c r="AN239" i="2"/>
  <c r="AN100" i="2"/>
  <c r="AS186" i="2"/>
  <c r="AS373" i="2"/>
  <c r="AQ295" i="2"/>
  <c r="AQ157" i="2"/>
  <c r="AQ43" i="2"/>
  <c r="AN127" i="2"/>
  <c r="AN405" i="2"/>
  <c r="AQ179" i="2"/>
  <c r="AS261" i="2"/>
  <c r="AQ158" i="2"/>
  <c r="AS124" i="2"/>
  <c r="AQ15" i="2"/>
  <c r="AQ235" i="2"/>
  <c r="AS158" i="2"/>
  <c r="AN348" i="2"/>
  <c r="AS348" i="2"/>
  <c r="AN410" i="2"/>
  <c r="AS410" i="2"/>
  <c r="AS15" i="2"/>
  <c r="BB15" i="2"/>
  <c r="AS228" i="2"/>
  <c r="AS141" i="2"/>
  <c r="BB141" i="2"/>
  <c r="AN313" i="2"/>
  <c r="AS313" i="2"/>
  <c r="AN199" i="2"/>
  <c r="AQ250" i="2"/>
  <c r="AS88" i="2"/>
  <c r="AQ165" i="2"/>
  <c r="AS151" i="2"/>
  <c r="BB151" i="2"/>
  <c r="AN55" i="2"/>
  <c r="AS416" i="2"/>
  <c r="AS427" i="2"/>
  <c r="AN94" i="2"/>
  <c r="AS94" i="2"/>
  <c r="AN392" i="2"/>
  <c r="AN391" i="2"/>
  <c r="AN296" i="2"/>
  <c r="AS296" i="2"/>
  <c r="AN464" i="2"/>
  <c r="AS464" i="2"/>
  <c r="AN390" i="2"/>
  <c r="AQ487" i="2"/>
  <c r="AN156" i="2"/>
  <c r="AS156" i="2"/>
  <c r="BB156" i="2"/>
  <c r="AN80" i="2"/>
  <c r="AN152" i="2"/>
  <c r="AQ146" i="2"/>
  <c r="AN264" i="2"/>
  <c r="AS264" i="2"/>
  <c r="AN81" i="2"/>
  <c r="AS81" i="2"/>
  <c r="BH333" i="2"/>
  <c r="AN207" i="2"/>
  <c r="AN434" i="2"/>
  <c r="AN444" i="2"/>
  <c r="AS444" i="2"/>
  <c r="AN376" i="2"/>
  <c r="AS376" i="2"/>
  <c r="AN408" i="2"/>
  <c r="AS408" i="2"/>
  <c r="AS116" i="2"/>
  <c r="BB116" i="2"/>
  <c r="AN478" i="2"/>
  <c r="AN203" i="2"/>
  <c r="AQ433" i="2"/>
  <c r="AN291" i="2"/>
  <c r="AS291" i="2"/>
  <c r="BC298" i="2"/>
  <c r="BI298" i="2"/>
  <c r="AQ21" i="2"/>
  <c r="AS429" i="2"/>
  <c r="AQ305" i="2"/>
  <c r="AS342" i="2"/>
  <c r="BB342" i="2"/>
  <c r="AQ393" i="2"/>
  <c r="AS200" i="2"/>
  <c r="AS302" i="2"/>
  <c r="AQ159" i="2"/>
  <c r="AS349" i="2"/>
  <c r="AQ123" i="2"/>
  <c r="AQ115" i="2"/>
  <c r="AS375" i="2"/>
  <c r="AQ30" i="2"/>
  <c r="AN370" i="2"/>
  <c r="AS370" i="2"/>
  <c r="AQ171" i="2"/>
  <c r="AQ206" i="2"/>
  <c r="AN46" i="2"/>
  <c r="AS46" i="2"/>
  <c r="BB46" i="2"/>
  <c r="AN332" i="2"/>
  <c r="AS96" i="2"/>
  <c r="BB96" i="2"/>
  <c r="AN425" i="2"/>
  <c r="AN346" i="2"/>
  <c r="AS307" i="2"/>
  <c r="AS330" i="2"/>
  <c r="AS381" i="2"/>
  <c r="AN118" i="2"/>
  <c r="AN18" i="2"/>
  <c r="AQ225" i="2"/>
  <c r="AS225" i="2"/>
  <c r="AS107" i="2"/>
  <c r="BB107" i="2"/>
  <c r="AQ423" i="2"/>
  <c r="AQ354" i="2"/>
  <c r="AN139" i="2"/>
  <c r="AQ154" i="2"/>
  <c r="AS147" i="2"/>
  <c r="AS154" i="2"/>
  <c r="AQ110" i="2"/>
  <c r="AN119" i="2"/>
  <c r="AN290" i="2"/>
  <c r="AQ406" i="2"/>
  <c r="AN263" i="2"/>
  <c r="AS263" i="2"/>
  <c r="AN85" i="2"/>
  <c r="AS85" i="2"/>
  <c r="AS82" i="2"/>
  <c r="BB82" i="2"/>
  <c r="AQ415" i="2"/>
  <c r="AS165" i="2"/>
  <c r="BB165" i="2"/>
  <c r="AN368" i="2"/>
  <c r="AS368" i="2"/>
  <c r="AN318" i="2"/>
  <c r="AN53" i="2"/>
  <c r="AS53" i="2"/>
  <c r="BB53" i="2"/>
  <c r="AQ489" i="2"/>
  <c r="AN446" i="2"/>
  <c r="AN193" i="2"/>
  <c r="AS193" i="2"/>
  <c r="BB193" i="2"/>
  <c r="AN448" i="2"/>
  <c r="AS448" i="2"/>
  <c r="AN6" i="2"/>
  <c r="AS6" i="2"/>
  <c r="BB6" i="2"/>
  <c r="BC6" i="2"/>
  <c r="AQ279" i="2"/>
  <c r="AQ300" i="2"/>
  <c r="AN48" i="2"/>
  <c r="AS48" i="2"/>
  <c r="AN161" i="2"/>
  <c r="AS161" i="2"/>
  <c r="AN337" i="2"/>
  <c r="AS337" i="2"/>
  <c r="AN435" i="2"/>
  <c r="AN160" i="2"/>
  <c r="AN440" i="2"/>
  <c r="AS440" i="2"/>
  <c r="AN37" i="2"/>
  <c r="AS37" i="2"/>
  <c r="BB37" i="2"/>
  <c r="AQ284" i="2"/>
  <c r="AN275" i="2"/>
  <c r="AS275" i="2"/>
  <c r="BB275" i="2"/>
  <c r="AN230" i="2"/>
  <c r="AS230" i="2"/>
  <c r="BB230" i="2"/>
  <c r="AN383" i="2"/>
  <c r="AS383" i="2"/>
  <c r="AN281" i="2"/>
  <c r="AS281" i="2"/>
  <c r="BB281" i="2"/>
  <c r="AS305" i="2"/>
  <c r="BB305" i="2"/>
  <c r="AQ343" i="2"/>
  <c r="AQ196" i="2"/>
  <c r="AS393" i="2"/>
  <c r="AQ76" i="2"/>
  <c r="AQ335" i="2"/>
  <c r="AS159" i="2"/>
  <c r="AQ219" i="2"/>
  <c r="AQ73" i="2"/>
  <c r="AS123" i="2"/>
  <c r="AT115" i="2"/>
  <c r="AQ47" i="2"/>
  <c r="AS30" i="2"/>
  <c r="AQ183" i="2"/>
  <c r="BC113" i="2"/>
  <c r="BI113" i="2"/>
  <c r="BC134" i="2"/>
  <c r="BI134" i="2"/>
  <c r="BC247" i="2"/>
  <c r="BI247" i="2"/>
  <c r="BH91" i="2"/>
  <c r="AL84" i="2"/>
  <c r="BH112" i="2"/>
  <c r="BC198" i="2"/>
  <c r="BI198" i="2"/>
  <c r="BE20" i="2"/>
  <c r="BI20" i="2"/>
  <c r="BH20" i="2"/>
  <c r="AL96" i="2"/>
  <c r="BH336" i="2"/>
  <c r="BC336" i="2"/>
  <c r="BI336" i="2"/>
  <c r="AL129" i="2"/>
  <c r="BC324" i="2"/>
  <c r="BI324" i="2"/>
  <c r="BH324" i="2"/>
  <c r="BH479" i="2"/>
  <c r="BC479" i="2"/>
  <c r="BI479" i="2"/>
  <c r="BH322" i="2"/>
  <c r="BC322" i="2"/>
  <c r="BI322" i="2"/>
  <c r="BH163" i="2"/>
  <c r="BC163" i="2"/>
  <c r="BI163" i="2"/>
  <c r="BH108" i="2"/>
  <c r="BC108" i="2"/>
  <c r="BI108" i="2"/>
  <c r="BH132" i="2"/>
  <c r="BC132" i="2"/>
  <c r="BI132" i="2"/>
  <c r="BC129" i="2"/>
  <c r="BH205" i="2"/>
  <c r="BC205" i="2"/>
  <c r="BI205" i="2"/>
  <c r="BH194" i="2"/>
  <c r="BC194" i="2"/>
  <c r="BI194" i="2"/>
  <c r="BC106" i="2"/>
  <c r="BI106" i="2"/>
  <c r="BH106" i="2"/>
  <c r="BC109" i="2"/>
  <c r="BI109" i="2"/>
  <c r="BH109" i="2"/>
  <c r="BH142" i="2"/>
  <c r="BC142" i="2"/>
  <c r="BI142" i="2"/>
  <c r="BH169" i="2"/>
  <c r="BC169" i="2"/>
  <c r="BI169" i="2"/>
  <c r="BH492" i="2"/>
  <c r="BC492" i="2"/>
  <c r="BI492" i="2"/>
  <c r="BH23" i="2"/>
  <c r="BC23" i="2"/>
  <c r="BI23" i="2"/>
  <c r="BC272" i="2"/>
  <c r="BI272" i="2"/>
  <c r="BH272" i="2"/>
  <c r="BH61" i="2"/>
  <c r="BC61" i="2"/>
  <c r="BI61" i="2"/>
  <c r="BE114" i="2"/>
  <c r="BI114" i="2"/>
  <c r="BH114" i="2"/>
  <c r="BH115" i="2"/>
  <c r="BC115" i="2"/>
  <c r="BI115" i="2"/>
  <c r="BH195" i="2"/>
  <c r="BC195" i="2"/>
  <c r="BI195" i="2"/>
  <c r="BH308" i="2"/>
  <c r="BC308" i="2"/>
  <c r="BI308" i="2"/>
  <c r="AL23" i="2"/>
  <c r="BC345" i="2"/>
  <c r="BI345" i="2"/>
  <c r="BH345" i="2"/>
  <c r="BH273" i="2"/>
  <c r="BC5" i="2"/>
  <c r="BC493" i="2"/>
  <c r="BI493" i="2"/>
  <c r="BH493" i="2"/>
  <c r="BI273" i="2"/>
  <c r="BH38" i="2"/>
  <c r="BC38" i="2"/>
  <c r="BI38" i="2"/>
  <c r="BC304" i="2"/>
  <c r="BI304" i="2"/>
  <c r="BH304" i="2"/>
  <c r="BE40" i="2"/>
  <c r="BC49" i="2"/>
  <c r="BI49" i="2"/>
  <c r="BH49" i="2"/>
  <c r="BH51" i="2"/>
  <c r="BC51" i="2"/>
  <c r="BI51" i="2"/>
  <c r="BH86" i="2"/>
  <c r="BC86" i="2"/>
  <c r="BI86" i="2"/>
  <c r="AQ84" i="2"/>
  <c r="AQ5" i="2"/>
  <c r="BC37" i="2"/>
  <c r="BI37" i="2"/>
  <c r="BH37" i="2"/>
  <c r="BC485" i="2"/>
  <c r="BI485" i="2"/>
  <c r="BH485" i="2"/>
  <c r="BH481" i="2"/>
  <c r="BC481" i="2"/>
  <c r="BI481" i="2"/>
  <c r="BH238" i="2"/>
  <c r="BC238" i="2"/>
  <c r="BI238" i="2"/>
  <c r="BH8" i="2"/>
  <c r="BC8" i="2"/>
  <c r="BI8" i="2"/>
  <c r="BH156" i="2"/>
  <c r="BC156" i="2"/>
  <c r="BI156" i="2"/>
  <c r="BE129" i="2"/>
  <c r="BI129" i="2"/>
  <c r="BH129" i="2"/>
  <c r="BH482" i="2"/>
  <c r="BC482" i="2"/>
  <c r="BI482" i="2"/>
  <c r="BC327" i="2"/>
  <c r="BI327" i="2"/>
  <c r="BH327" i="2"/>
  <c r="BC232" i="2"/>
  <c r="BI232" i="2"/>
  <c r="BH232" i="2"/>
  <c r="BH477" i="2"/>
  <c r="BC477" i="2"/>
  <c r="BI477" i="2"/>
  <c r="BH116" i="2"/>
  <c r="BC116" i="2"/>
  <c r="BI116" i="2"/>
  <c r="BE128" i="2"/>
  <c r="BI128" i="2"/>
  <c r="BH128" i="2"/>
  <c r="BC151" i="2"/>
  <c r="BI151" i="2"/>
  <c r="BH151" i="2"/>
  <c r="BC190" i="2"/>
  <c r="BI190" i="2"/>
  <c r="BH190" i="2"/>
  <c r="BH230" i="2"/>
  <c r="BC230" i="2"/>
  <c r="BI230" i="2"/>
  <c r="BC222" i="2"/>
  <c r="BI222" i="2"/>
  <c r="BH222" i="2"/>
  <c r="BE6" i="2"/>
  <c r="BI6" i="2"/>
  <c r="BH6" i="2"/>
  <c r="BC46" i="2"/>
  <c r="BI46" i="2"/>
  <c r="BH46" i="2"/>
  <c r="BH104" i="2"/>
  <c r="BC104" i="2"/>
  <c r="BI104" i="2"/>
  <c r="BE5" i="2"/>
  <c r="BI5" i="2"/>
  <c r="BH5" i="2"/>
  <c r="BH102" i="2"/>
  <c r="BC102" i="2"/>
  <c r="BI102" i="2"/>
  <c r="BC275" i="2"/>
  <c r="BI275" i="2"/>
  <c r="BH275" i="2"/>
  <c r="BC193" i="2"/>
  <c r="BI193" i="2"/>
  <c r="BH193" i="2"/>
  <c r="BC486" i="2"/>
  <c r="BI486" i="2"/>
  <c r="BH486" i="2"/>
  <c r="BH39" i="2"/>
  <c r="BC39" i="2"/>
  <c r="BI39" i="2"/>
  <c r="BH145" i="2"/>
  <c r="BC145" i="2"/>
  <c r="BI145" i="2"/>
  <c r="BC164" i="2"/>
  <c r="BI164" i="2"/>
  <c r="BH164" i="2"/>
  <c r="BC41" i="2"/>
  <c r="BI41" i="2"/>
  <c r="BH41" i="2"/>
  <c r="BC96" i="2"/>
  <c r="BI96" i="2"/>
  <c r="BH96" i="2"/>
  <c r="AQ478" i="2"/>
  <c r="AQ494" i="2"/>
  <c r="AQ19" i="2"/>
  <c r="AQ281" i="2"/>
  <c r="AQ337" i="2"/>
  <c r="AQ53" i="2"/>
  <c r="AQ291" i="2"/>
  <c r="AQ313" i="2"/>
  <c r="AQ338" i="2"/>
  <c r="AQ385" i="2"/>
  <c r="AQ314" i="2"/>
  <c r="AQ399" i="2"/>
  <c r="AQ237" i="2"/>
  <c r="BH281" i="2"/>
  <c r="BC281" i="2"/>
  <c r="BI281" i="2"/>
  <c r="AQ131" i="2"/>
  <c r="AQ403" i="2"/>
  <c r="AQ471" i="2"/>
  <c r="AS403" i="2"/>
  <c r="AQ460" i="2"/>
  <c r="AQ392" i="2"/>
  <c r="BC50" i="2"/>
  <c r="BI50" i="2"/>
  <c r="BH50" i="2"/>
  <c r="AS460" i="2"/>
  <c r="AQ126" i="2"/>
  <c r="AQ394" i="2"/>
  <c r="AQ265" i="2"/>
  <c r="AQ317" i="2"/>
  <c r="AQ139" i="2"/>
  <c r="AQ467" i="2"/>
  <c r="AQ249" i="2"/>
  <c r="AQ152" i="2"/>
  <c r="AQ453" i="2"/>
  <c r="AQ137" i="2"/>
  <c r="BC82" i="2"/>
  <c r="BI82" i="2"/>
  <c r="BH82" i="2"/>
  <c r="AQ332" i="2"/>
  <c r="AQ80" i="2"/>
  <c r="AQ55" i="2"/>
  <c r="AQ328" i="2"/>
  <c r="AQ455" i="2"/>
  <c r="AQ286" i="2"/>
  <c r="AS453" i="2"/>
  <c r="AS19" i="2"/>
  <c r="BB19" i="2"/>
  <c r="AS137" i="2"/>
  <c r="AQ6" i="2"/>
  <c r="AQ85" i="2"/>
  <c r="AS332" i="2"/>
  <c r="AQ408" i="2"/>
  <c r="AS80" i="2"/>
  <c r="BB80" i="2"/>
  <c r="AS55" i="2"/>
  <c r="AQ367" i="2"/>
  <c r="AQ463" i="2"/>
  <c r="AQ481" i="2"/>
  <c r="AS328" i="2"/>
  <c r="BB328" i="2"/>
  <c r="AS455" i="2"/>
  <c r="AS286" i="2"/>
  <c r="BH162" i="2"/>
  <c r="BC162" i="2"/>
  <c r="BI162" i="2"/>
  <c r="AQ174" i="2"/>
  <c r="AQ8" i="2"/>
  <c r="AQ28" i="2"/>
  <c r="AQ352" i="2"/>
  <c r="AQ226" i="2"/>
  <c r="AQ238" i="2"/>
  <c r="AQ69" i="2"/>
  <c r="AQ213" i="2"/>
  <c r="BC201" i="2"/>
  <c r="BI201" i="2"/>
  <c r="BH201" i="2"/>
  <c r="AQ13" i="2"/>
  <c r="AQ425" i="2"/>
  <c r="AQ62" i="2"/>
  <c r="BC314" i="2"/>
  <c r="BI314" i="2"/>
  <c r="AQ37" i="2"/>
  <c r="AQ448" i="2"/>
  <c r="AQ263" i="2"/>
  <c r="BC107" i="2"/>
  <c r="BI107" i="2"/>
  <c r="BH107" i="2"/>
  <c r="AQ376" i="2"/>
  <c r="AQ488" i="2"/>
  <c r="BH234" i="2"/>
  <c r="BC234" i="2"/>
  <c r="BI234" i="2"/>
  <c r="AQ420" i="2"/>
  <c r="AQ254" i="2"/>
  <c r="AQ485" i="2"/>
  <c r="AQ12" i="2"/>
  <c r="AQ468" i="2"/>
  <c r="AQ172" i="2"/>
  <c r="AQ387" i="2"/>
  <c r="AQ79" i="2"/>
  <c r="AQ383" i="2"/>
  <c r="AQ258" i="2"/>
  <c r="AQ428" i="2"/>
  <c r="AS13" i="2"/>
  <c r="AQ362" i="2"/>
  <c r="AQ166" i="2"/>
  <c r="AQ29" i="2"/>
  <c r="AQ153" i="2"/>
  <c r="AQ268" i="2"/>
  <c r="AQ299" i="2"/>
  <c r="AQ170" i="2"/>
  <c r="AQ148" i="2"/>
  <c r="BH53" i="2"/>
  <c r="BC53" i="2"/>
  <c r="BI53" i="2"/>
  <c r="AQ391" i="2"/>
  <c r="AQ496" i="2"/>
  <c r="AQ490" i="2"/>
  <c r="AQ35" i="2"/>
  <c r="AS35" i="2"/>
  <c r="AQ40" i="2"/>
  <c r="BH15" i="2"/>
  <c r="BC15" i="2"/>
  <c r="BI15" i="2"/>
  <c r="AS258" i="2"/>
  <c r="AQ486" i="2"/>
  <c r="BC165" i="2"/>
  <c r="BI165" i="2"/>
  <c r="BH165" i="2"/>
  <c r="AQ457" i="2"/>
  <c r="AS62" i="2"/>
  <c r="BB62" i="2"/>
  <c r="AS494" i="2"/>
  <c r="AQ116" i="2"/>
  <c r="AQ211" i="2"/>
  <c r="AQ187" i="2"/>
  <c r="AQ46" i="2"/>
  <c r="AQ232" i="2"/>
  <c r="AQ102" i="2"/>
  <c r="AQ104" i="2"/>
  <c r="AQ491" i="2"/>
  <c r="AQ227" i="2"/>
  <c r="AQ390" i="2"/>
  <c r="AS491" i="2"/>
  <c r="BB491" i="2"/>
  <c r="AS227" i="2"/>
  <c r="AS29" i="2"/>
  <c r="AQ351" i="2"/>
  <c r="AQ105" i="2"/>
  <c r="AQ223" i="2"/>
  <c r="AQ197" i="2"/>
  <c r="AQ255" i="2"/>
  <c r="AQ221" i="2"/>
  <c r="AS153" i="2"/>
  <c r="AQ459" i="2"/>
  <c r="AQ450" i="2"/>
  <c r="BH42" i="2"/>
  <c r="BC42" i="2"/>
  <c r="BI42" i="2"/>
  <c r="AS268" i="2"/>
  <c r="AQ278" i="2"/>
  <c r="AS299" i="2"/>
  <c r="BB299" i="2"/>
  <c r="AS170" i="2"/>
  <c r="BB170" i="2"/>
  <c r="AS148" i="2"/>
  <c r="AQ11" i="2"/>
  <c r="AQ318" i="2"/>
  <c r="AQ405" i="2"/>
  <c r="AQ26" i="2"/>
  <c r="AS318" i="2"/>
  <c r="AS405" i="2"/>
  <c r="AQ368" i="2"/>
  <c r="AQ203" i="2"/>
  <c r="AQ233" i="2"/>
  <c r="AQ190" i="2"/>
  <c r="AQ382" i="2"/>
  <c r="AS40" i="2"/>
  <c r="BB40" i="2"/>
  <c r="AS172" i="2"/>
  <c r="BB172" i="2"/>
  <c r="AQ292" i="2"/>
  <c r="AQ378" i="2"/>
  <c r="AS425" i="2"/>
  <c r="AQ127" i="2"/>
  <c r="AS292" i="2"/>
  <c r="AS378" i="2"/>
  <c r="AQ96" i="2"/>
  <c r="AS127" i="2"/>
  <c r="AS362" i="2"/>
  <c r="AQ353" i="2"/>
  <c r="AQ270" i="2"/>
  <c r="AQ65" i="2"/>
  <c r="AS152" i="2"/>
  <c r="AS65" i="2"/>
  <c r="AQ156" i="2"/>
  <c r="AQ22" i="2"/>
  <c r="BH342" i="2"/>
  <c r="BC342" i="2"/>
  <c r="BI342" i="2"/>
  <c r="AQ218" i="2"/>
  <c r="AQ371" i="2"/>
  <c r="AQ143" i="2"/>
  <c r="AQ160" i="2"/>
  <c r="AQ446" i="2"/>
  <c r="AQ290" i="2"/>
  <c r="AQ18" i="2"/>
  <c r="AQ434" i="2"/>
  <c r="AS390" i="2"/>
  <c r="AQ100" i="2"/>
  <c r="AQ288" i="2"/>
  <c r="AQ56" i="2"/>
  <c r="BH150" i="2"/>
  <c r="BC150" i="2"/>
  <c r="BI150" i="2"/>
  <c r="AS351" i="2"/>
  <c r="AS105" i="2"/>
  <c r="AQ326" i="2"/>
  <c r="AS223" i="2"/>
  <c r="BB223" i="2"/>
  <c r="AS197" i="2"/>
  <c r="AS255" i="2"/>
  <c r="AS221" i="2"/>
  <c r="AQ177" i="2"/>
  <c r="AS459" i="2"/>
  <c r="AS450" i="2"/>
  <c r="BH144" i="2"/>
  <c r="BC144" i="2"/>
  <c r="BI144" i="2"/>
  <c r="AS278" i="2"/>
  <c r="BB278" i="2"/>
  <c r="AQ303" i="2"/>
  <c r="AQ246" i="2"/>
  <c r="AQ277" i="2"/>
  <c r="AQ161" i="2"/>
  <c r="BC141" i="2"/>
  <c r="BI141" i="2"/>
  <c r="BH141" i="2"/>
  <c r="AQ253" i="2"/>
  <c r="AS277" i="2"/>
  <c r="AQ180" i="2"/>
  <c r="AQ346" i="2"/>
  <c r="AQ74" i="2"/>
  <c r="AS213" i="2"/>
  <c r="BB213" i="2"/>
  <c r="AS26" i="2"/>
  <c r="BB26" i="2"/>
  <c r="AQ44" i="2"/>
  <c r="AS203" i="2"/>
  <c r="AQ410" i="2"/>
  <c r="AQ260" i="2"/>
  <c r="AQ230" i="2"/>
  <c r="AQ422" i="2"/>
  <c r="AQ164" i="2"/>
  <c r="AQ355" i="2"/>
  <c r="BC289" i="2"/>
  <c r="BI289" i="2"/>
  <c r="BH289" i="2"/>
  <c r="AS249" i="2"/>
  <c r="AS353" i="2"/>
  <c r="AQ473" i="2"/>
  <c r="AQ419" i="2"/>
  <c r="AQ472" i="2"/>
  <c r="AQ222" i="2"/>
  <c r="AQ41" i="2"/>
  <c r="AQ440" i="2"/>
  <c r="AQ444" i="2"/>
  <c r="AQ341" i="2"/>
  <c r="BC488" i="2"/>
  <c r="BI488" i="2"/>
  <c r="AS160" i="2"/>
  <c r="AS446" i="2"/>
  <c r="AS290" i="2"/>
  <c r="BB290" i="2"/>
  <c r="AS18" i="2"/>
  <c r="AQ370" i="2"/>
  <c r="AS434" i="2"/>
  <c r="AQ464" i="2"/>
  <c r="AS100" i="2"/>
  <c r="AS288" i="2"/>
  <c r="AS56" i="2"/>
  <c r="AS326" i="2"/>
  <c r="AQ192" i="2"/>
  <c r="AQ347" i="2"/>
  <c r="AQ202" i="2"/>
  <c r="AS177" i="2"/>
  <c r="AQ339" i="2"/>
  <c r="AQ220" i="2"/>
  <c r="AS303" i="2"/>
  <c r="BB303" i="2"/>
  <c r="AS246" i="2"/>
  <c r="AQ81" i="2"/>
  <c r="AQ395" i="2"/>
  <c r="AS391" i="2"/>
  <c r="AQ16" i="2"/>
  <c r="AS131" i="2"/>
  <c r="AS496" i="2"/>
  <c r="AQ209" i="2"/>
  <c r="AQ398" i="2"/>
  <c r="AQ252" i="2"/>
  <c r="AQ243" i="2"/>
  <c r="AQ48" i="2"/>
  <c r="AS346" i="2"/>
  <c r="BB346" i="2"/>
  <c r="AS392" i="2"/>
  <c r="AS252" i="2"/>
  <c r="AS74" i="2"/>
  <c r="AQ66" i="2"/>
  <c r="AS126" i="2"/>
  <c r="AS44" i="2"/>
  <c r="BB44" i="2"/>
  <c r="AQ210" i="2"/>
  <c r="AQ500" i="2"/>
  <c r="AS265" i="2"/>
  <c r="AS317" i="2"/>
  <c r="AS210" i="2"/>
  <c r="BB210" i="2"/>
  <c r="AS387" i="2"/>
  <c r="AQ315" i="2"/>
  <c r="AQ316" i="2"/>
  <c r="AS478" i="2"/>
  <c r="AS467" i="2"/>
  <c r="AQ275" i="2"/>
  <c r="AQ78" i="2"/>
  <c r="AS457" i="2"/>
  <c r="AS270" i="2"/>
  <c r="BB270" i="2"/>
  <c r="AQ191" i="2"/>
  <c r="BC52" i="2"/>
  <c r="BI52" i="2"/>
  <c r="BH52" i="2"/>
  <c r="BH84" i="2"/>
  <c r="AQ435" i="2"/>
  <c r="AQ119" i="2"/>
  <c r="AQ118" i="2"/>
  <c r="AQ207" i="2"/>
  <c r="AQ199" i="2"/>
  <c r="AQ239" i="2"/>
  <c r="AQ411" i="2"/>
  <c r="AQ474" i="2"/>
  <c r="AS347" i="2"/>
  <c r="AS202" i="2"/>
  <c r="BB202" i="2"/>
  <c r="AS339" i="2"/>
  <c r="AS220" i="2"/>
  <c r="AQ168" i="2"/>
  <c r="AQ439" i="2"/>
  <c r="BH287" i="2"/>
  <c r="BC287" i="2"/>
  <c r="BI287" i="2"/>
  <c r="AQ39" i="2"/>
  <c r="AQ264" i="2"/>
  <c r="AS16" i="2"/>
  <c r="BB16" i="2"/>
  <c r="AQ145" i="2"/>
  <c r="AQ377" i="2"/>
  <c r="AQ7" i="2"/>
  <c r="AS377" i="2"/>
  <c r="AQ94" i="2"/>
  <c r="AQ482" i="2"/>
  <c r="AS394" i="2"/>
  <c r="AS260" i="2"/>
  <c r="AQ312" i="2"/>
  <c r="AS139" i="2"/>
  <c r="BB139" i="2"/>
  <c r="AQ348" i="2"/>
  <c r="AS312" i="2"/>
  <c r="AQ413" i="2"/>
  <c r="AQ477" i="2"/>
  <c r="AQ327" i="2"/>
  <c r="AQ151" i="2"/>
  <c r="AQ129" i="2"/>
  <c r="AQ442" i="2"/>
  <c r="AQ344" i="2"/>
  <c r="AQ193" i="2"/>
  <c r="BH305" i="2"/>
  <c r="BC305" i="2"/>
  <c r="BI305" i="2"/>
  <c r="AS435" i="2"/>
  <c r="AS119" i="2"/>
  <c r="BB119" i="2"/>
  <c r="AS118" i="2"/>
  <c r="AS207" i="2"/>
  <c r="AQ296" i="2"/>
  <c r="AS199" i="2"/>
  <c r="BB199" i="2"/>
  <c r="AS239" i="2"/>
  <c r="AS411" i="2"/>
  <c r="AQ87" i="2"/>
  <c r="AS474" i="2"/>
  <c r="AQ133" i="2"/>
  <c r="AQ24" i="2"/>
  <c r="AQ462" i="2"/>
  <c r="AQ418" i="2"/>
  <c r="AS168" i="2"/>
  <c r="BB168" i="2"/>
  <c r="AS439" i="2"/>
  <c r="BH303" i="2"/>
  <c r="BC303" i="2"/>
  <c r="BI303" i="2"/>
  <c r="BH170" i="2"/>
  <c r="BC170" i="2"/>
  <c r="BI170" i="2"/>
  <c r="BC346" i="2"/>
  <c r="BI346" i="2"/>
  <c r="BH346" i="2"/>
  <c r="BH290" i="2"/>
  <c r="BC290" i="2"/>
  <c r="BI290" i="2"/>
  <c r="BH168" i="2"/>
  <c r="BC168" i="2"/>
  <c r="BI168" i="2"/>
  <c r="BC16" i="2"/>
  <c r="BI16" i="2"/>
  <c r="BH16" i="2"/>
  <c r="BC139" i="2"/>
  <c r="BI139" i="2"/>
  <c r="BH139" i="2"/>
  <c r="BH62" i="2"/>
  <c r="BC62" i="2"/>
  <c r="BI62" i="2"/>
  <c r="BC328" i="2"/>
  <c r="BI328" i="2"/>
  <c r="BH328" i="2"/>
  <c r="BC26" i="2"/>
  <c r="BI26" i="2"/>
  <c r="BH26" i="2"/>
  <c r="BC202" i="2"/>
  <c r="BI202" i="2"/>
  <c r="BH202" i="2"/>
  <c r="BC213" i="2"/>
  <c r="BI213" i="2"/>
  <c r="BH213" i="2"/>
  <c r="BC210" i="2"/>
  <c r="BI210" i="2"/>
  <c r="BH210" i="2"/>
  <c r="BC19" i="2"/>
  <c r="BI19" i="2"/>
  <c r="BH19" i="2"/>
  <c r="BH299" i="2"/>
  <c r="BC299" i="2"/>
  <c r="BI299" i="2"/>
  <c r="BH491" i="2"/>
  <c r="BC491" i="2"/>
  <c r="BI491" i="2"/>
  <c r="BC199" i="2"/>
  <c r="BI199" i="2"/>
  <c r="BH199" i="2"/>
  <c r="BH270" i="2"/>
  <c r="BC270" i="2"/>
  <c r="BI270" i="2"/>
  <c r="BC44" i="2"/>
  <c r="BI44" i="2"/>
  <c r="BH44" i="2"/>
  <c r="BH223" i="2"/>
  <c r="BC223" i="2"/>
  <c r="BI223" i="2"/>
  <c r="BC172" i="2"/>
  <c r="BI172" i="2"/>
  <c r="BH172" i="2"/>
  <c r="BH80" i="2"/>
  <c r="BC80" i="2"/>
  <c r="BI80" i="2"/>
  <c r="BH119" i="2"/>
  <c r="BC119" i="2"/>
  <c r="BI119" i="2"/>
  <c r="BH278" i="2"/>
  <c r="BC278" i="2"/>
  <c r="BI278" i="2"/>
  <c r="BC40" i="2"/>
  <c r="BI40" i="2"/>
  <c r="BH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SpreadsheetLight</author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Unid. Vendidas del Mes 7 / Dias con Stk sobre el Quiebre / Estacionalidad del Mes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Unid. Vendidas del Mes 8 / Dias con Stk sobre el Quiebre / Estacionalidad del Mes</t>
        </r>
      </text>
    </comment>
    <comment ref="F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Unid. Vendidas del Mes 9 / Dias con Stk sobre el Quiebre / Estacionalidad del Mes</t>
        </r>
      </text>
    </comment>
    <comment ref="G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Unid. Vendidas del Mes 10 / Dias con Stk sobre el Quiebre / Estacionalidad del Mes</t>
        </r>
      </text>
    </comment>
    <comment ref="H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Unid. Vendidas del Mes 11 / Dias con Stk sobre el Quiebre / Estacionalidad del Mes</t>
        </r>
      </text>
    </comment>
    <comment ref="I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Unid. Vendidas del Mes 12 / Dias con Stk sobre el Quiebre / Estacionalidad del Mes</t>
        </r>
      </text>
    </comment>
    <comment ref="J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Unid. Vendidas del Mes 1 / Dias con Stk sobre el Quiebre / Estacionalidad del Mes</t>
        </r>
      </text>
    </comment>
    <comment ref="K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Unid. Vendidas del Mes 2 / Dias con Stk sobre el Quiebre / Estacionalidad del Mes</t>
        </r>
      </text>
    </comment>
    <comment ref="L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Unid. Vendidas del Mes 3 / Dias con Stk sobre el Quiebre / Estacionalidad del Mes</t>
        </r>
      </text>
    </comment>
    <comment ref="M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Unid. Vendidas del Mes 4 / Dias con Stk sobre el Quiebre / Estacionalidad del Mes</t>
        </r>
      </text>
    </comment>
    <comment ref="N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Unid. Vendidas del Mes 5 / Dias con Stk sobre el Quiebre / Estacionalidad del Mes</t>
        </r>
      </text>
    </comment>
    <comment ref="O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Unid. Vendidas del Mes 6 / Dias con Stk sobre el Quiebre / Estacionalidad del Mes</t>
        </r>
      </text>
    </comment>
    <comment ref="P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Unid. Vendidas del Mes 7 / Dias con Stk sobre el Quiebre / Estacionalidad del Mes</t>
        </r>
      </text>
    </comment>
    <comment ref="Q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Venta Estacionalizada Mes 7 / Dias con Stk sobre el Quiebre / Estacionalidad del Mes</t>
        </r>
      </text>
    </comment>
    <comment ref="R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Venta Estacionalizada Mes 8 / Dias con Stk sobre el Quiebre / Estacionalidad del Mes</t>
        </r>
      </text>
    </comment>
    <comment ref="S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Venta Estacionalizada Mes 9 / Dias con Stk sobre el Quiebre / Estacionalidad del Mes</t>
        </r>
      </text>
    </comment>
    <comment ref="T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Venta Estacionalizada Mes 10 / Dias con Stk sobre el Quiebre / Estacionalidad del Mes</t>
        </r>
      </text>
    </comment>
    <comment ref="U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Venta Estacionalizada Mes 11 / Dias con Stk sobre el Quiebre / Estacionalidad del Mes</t>
        </r>
      </text>
    </comment>
    <comment ref="V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Venta Estacionalizada Mes 12 / Dias con Stk sobre el Quiebre / Estacionalidad del Mes</t>
        </r>
      </text>
    </comment>
    <comment ref="W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Venta Estacionalizada Mes 1 / Dias con Stk sobre el Quiebre / Estacionalidad del Mes</t>
        </r>
      </text>
    </comment>
    <comment ref="X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Venta Estacionalizada Mes 2 / Dias con Stk sobre el Quiebre / Estacionalidad del Mes</t>
        </r>
      </text>
    </comment>
    <comment ref="Y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Venta Estacionalizada Mes 3 / Dias con Stk sobre el Quiebre / Estacionalidad del Mes</t>
        </r>
      </text>
    </comment>
    <comment ref="Z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Venta Estacionalizada Mes 4 / Dias con Stk sobre el Quiebre / Estacionalidad del Mes</t>
        </r>
      </text>
    </comment>
    <comment ref="AA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Venta Estacionalizada Mes 5 / Dias con Stk sobre el Quiebre / Estacionalidad del Mes</t>
        </r>
      </text>
    </comment>
    <comment ref="AB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Venta Estacionalizada Mes 6 / Dias con Stk sobre el Quiebre / Estacionalidad del Mes</t>
        </r>
      </text>
    </comment>
    <comment ref="AC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Venta Estacionalizada Mes 7 / Dias con Stk sobre el Quiebre / Estacionalidad del Mes</t>
        </r>
      </text>
    </comment>
    <comment ref="AD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Promedio de todos los Meses, menos el ultimo</t>
        </r>
      </text>
    </comment>
    <comment ref="AE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Valor Utilizado en la Hoja Compras (Rotacion DesEstacionalizada)</t>
        </r>
      </text>
    </comment>
    <comment ref="R6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Dias de Quiebre 21</t>
        </r>
      </text>
    </comment>
    <comment ref="T9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Dias de Quiebre 27</t>
        </r>
      </text>
    </comment>
    <comment ref="AA9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Dias de Quiebre 18</t>
        </r>
      </text>
    </comment>
    <comment ref="AB9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Dias de Quiebre 11</t>
        </r>
      </text>
    </comment>
    <comment ref="AB2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Dias de Quiebre 28</t>
        </r>
      </text>
    </comment>
    <comment ref="R33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Dias de Quiebre 14</t>
        </r>
      </text>
    </comment>
    <comment ref="T33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Q35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T39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Dias de Quiebre 14</t>
        </r>
      </text>
    </comment>
    <comment ref="Q41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Dias de Quiebre 4</t>
        </r>
      </text>
    </comment>
    <comment ref="R41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Dias de Quiebre 3</t>
        </r>
      </text>
    </comment>
    <comment ref="U43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Dias de Quiebre 21</t>
        </r>
      </text>
    </comment>
    <comment ref="V4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Dias de Quiebre 29</t>
        </r>
      </text>
    </comment>
    <comment ref="W43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Dias de Quiebre 11</t>
        </r>
      </text>
    </comment>
    <comment ref="T46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X46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Dias de Quiebre 3</t>
        </r>
      </text>
    </comment>
    <comment ref="T49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Dias de Quiebre 13</t>
        </r>
      </text>
    </comment>
    <comment ref="Y49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Dias de Quiebre 12</t>
        </r>
      </text>
    </comment>
    <comment ref="AA49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  <comment ref="Z57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Dias de Quiebre 16</t>
        </r>
      </text>
    </comment>
    <comment ref="Q83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AA83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Dias de Quiebre 6</t>
        </r>
      </text>
    </comment>
    <comment ref="S99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Dias de Quiebre 23</t>
        </r>
      </text>
    </comment>
    <comment ref="Y101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Dias de Quiebre 21</t>
        </r>
      </text>
    </comment>
    <comment ref="R102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Dias de Quiebre 17</t>
        </r>
      </text>
    </comment>
    <comment ref="Q104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AA112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Dias de Quiebre 21</t>
        </r>
      </text>
    </comment>
    <comment ref="T118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Dias de Quiebre 5</t>
        </r>
      </text>
    </comment>
    <comment ref="Z129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Dias de Quiebre 7</t>
        </r>
      </text>
    </comment>
    <comment ref="AA129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  <comment ref="AB129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Dias de Quiebre 16</t>
        </r>
      </text>
    </comment>
    <comment ref="Q139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T141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W147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Dias de Quiebre 22</t>
        </r>
      </text>
    </comment>
    <comment ref="Y148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Dias de Quiebre 6</t>
        </r>
      </text>
    </comment>
    <comment ref="Q150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Dias de Quiebre 4</t>
        </r>
      </text>
    </comment>
    <comment ref="R165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Dias de Quiebre 14</t>
        </r>
      </text>
    </comment>
    <comment ref="T165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W165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Dias de Quiebre 17</t>
        </r>
      </text>
    </comment>
    <comment ref="V166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Dias de Quiebre 23</t>
        </r>
      </text>
    </comment>
    <comment ref="AA166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  <comment ref="T167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Dias de Quiebre 2</t>
        </r>
      </text>
    </comment>
    <comment ref="W168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Dias de Quiebre 19</t>
        </r>
      </text>
    </comment>
    <comment ref="AA168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  <comment ref="Q173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Q187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Dias de Quiebre 18</t>
        </r>
      </text>
    </comment>
    <comment ref="Q191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AB191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Dias de Quiebre 8</t>
        </r>
      </text>
    </comment>
    <comment ref="Q195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Dias de Quiebre 10</t>
        </r>
      </text>
    </comment>
    <comment ref="X196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Dias de Quiebre 26</t>
        </r>
      </text>
    </comment>
    <comment ref="Q198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S201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Dias de Quiebre 16</t>
        </r>
      </text>
    </comment>
    <comment ref="Q202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Dias de Quiebre 18</t>
        </r>
      </text>
    </comment>
    <comment ref="T207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T212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T238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Dias de Quiebre 26</t>
        </r>
      </text>
    </comment>
    <comment ref="W238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Dias de Quiebre 22</t>
        </r>
      </text>
    </comment>
    <comment ref="Q239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Dias de Quiebre 10</t>
        </r>
      </text>
    </comment>
    <comment ref="AA239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  <comment ref="AB244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  <comment ref="X267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Dias de Quiebre 11</t>
        </r>
      </text>
    </comment>
    <comment ref="Z267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Dias de Quiebre 9</t>
        </r>
      </text>
    </comment>
    <comment ref="Q272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X272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Dias de Quiebre 11</t>
        </r>
      </text>
    </comment>
    <comment ref="Y272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Dias de Quiebre 5</t>
        </r>
      </text>
    </comment>
    <comment ref="Z272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Dias de Quiebre 24</t>
        </r>
      </text>
    </comment>
    <comment ref="AA272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  <comment ref="V278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Dias de Quiebre 21</t>
        </r>
      </text>
    </comment>
    <comment ref="W278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Dias de Quiebre 3</t>
        </r>
      </text>
    </comment>
    <comment ref="S301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  <comment ref="T301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S302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Dias de Quiebre 22</t>
        </r>
      </text>
    </comment>
    <comment ref="V302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AA302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  <comment ref="Q305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R305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Dias de Quiebre 12</t>
        </r>
      </text>
    </comment>
    <comment ref="T305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V305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Dias de Quiebre 3</t>
        </r>
      </text>
    </comment>
    <comment ref="W305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Dias de Quiebre 22</t>
        </r>
      </text>
    </comment>
    <comment ref="Z305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Dias de Quiebre 4</t>
        </r>
      </text>
    </comment>
    <comment ref="AA305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  <comment ref="Y306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Dias de Quiebre 29</t>
        </r>
      </text>
    </comment>
    <comment ref="Q319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Q321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Dias de Quiebre 23</t>
        </r>
      </text>
    </comment>
    <comment ref="W321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Dias de Quiebre 22</t>
        </r>
      </text>
    </comment>
    <comment ref="AB321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Dias de Quiebre 9</t>
        </r>
      </text>
    </comment>
    <comment ref="Q330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R330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Dias de Quiebre 5</t>
        </r>
      </text>
    </comment>
    <comment ref="T330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U330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Dias de Quiebre 16</t>
        </r>
      </text>
    </comment>
    <comment ref="W330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Dias de Quiebre 22</t>
        </r>
      </text>
    </comment>
    <comment ref="S332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Dias de Quiebre 29</t>
        </r>
      </text>
    </comment>
    <comment ref="W332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Dias de Quiebre 22</t>
        </r>
      </text>
    </comment>
    <comment ref="Z332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Dias de Quiebre 22</t>
        </r>
      </text>
    </comment>
    <comment ref="AA332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Dias de Quiebre 5</t>
        </r>
      </text>
    </comment>
    <comment ref="Y342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Dias de Quiebre 7</t>
        </r>
      </text>
    </comment>
    <comment ref="Z342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Dias de Quiebre 29</t>
        </r>
      </text>
    </comment>
    <comment ref="AA342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Dias de Quiebre 5</t>
        </r>
      </text>
    </comment>
    <comment ref="AB342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Q357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AA357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Dias de Quiebre 26</t>
        </r>
      </text>
    </comment>
    <comment ref="Y381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Dias de Quiebre 27</t>
        </r>
      </text>
    </comment>
    <comment ref="S457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Dias de Quiebre 29</t>
        </r>
      </text>
    </comment>
    <comment ref="Q462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Dias de Quiebre 8</t>
        </r>
      </text>
    </comment>
    <comment ref="S462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T462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Dias de Quiebre 30</t>
        </r>
      </text>
    </comment>
    <comment ref="W462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Dias de Quiebre 22</t>
        </r>
      </text>
    </comment>
    <comment ref="S473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Dias de Quiebre 29</t>
        </r>
      </text>
    </comment>
    <comment ref="T473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Dias de Quiebre 26</t>
        </r>
      </text>
    </comment>
    <comment ref="Q474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Dias de Quiebre 30</t>
        </r>
      </text>
    </comment>
    <comment ref="R474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S474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Dias de Quiebre 12</t>
        </r>
      </text>
    </comment>
    <comment ref="U474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Dias de Quiebre 2</t>
        </r>
      </text>
    </comment>
    <comment ref="V474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Dias de Quiebre 8</t>
        </r>
      </text>
    </comment>
    <comment ref="W474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Dias de Quiebre 9</t>
        </r>
      </text>
    </comment>
    <comment ref="R476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Dias de Quiebre 28</t>
        </r>
      </text>
    </comment>
    <comment ref="T476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Dias de Quiebre 11</t>
        </r>
      </text>
    </comment>
    <comment ref="U476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Dias de Quiebre 5</t>
        </r>
      </text>
    </comment>
    <comment ref="W476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Dias de Quiebre 22</t>
        </r>
      </text>
    </comment>
    <comment ref="AB476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Dias de Quiebre 5</t>
        </r>
      </text>
    </comment>
    <comment ref="Q477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Q478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Q479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Q480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Z480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Dias de Quiebre 21</t>
        </r>
      </text>
    </comment>
    <comment ref="Y481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Dias de Quiebre 29</t>
        </r>
      </text>
    </comment>
    <comment ref="T482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Q483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Dias de Quiebre 27</t>
        </r>
      </text>
    </comment>
    <comment ref="R483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Dias de Quiebre 5</t>
        </r>
      </text>
    </comment>
    <comment ref="S483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Dias de Quiebre 9</t>
        </r>
      </text>
    </comment>
    <comment ref="T483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W483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Dias de Quiebre 22</t>
        </r>
      </text>
    </comment>
    <comment ref="T484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T485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T486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AA487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Dias de Quiebre 27</t>
        </r>
      </text>
    </comment>
    <comment ref="U488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Dias de Quiebre 23</t>
        </r>
      </text>
    </comment>
    <comment ref="X488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Dias de Quiebre 27</t>
        </r>
      </text>
    </comment>
    <comment ref="AA488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  <comment ref="T489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Dias de Quiebre 5</t>
        </r>
      </text>
    </comment>
    <comment ref="U489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Dias de Quiebre 4</t>
        </r>
      </text>
    </comment>
    <comment ref="W489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Dias de Quiebre 22</t>
        </r>
      </text>
    </comment>
    <comment ref="V490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Dias de Quiebre 4</t>
        </r>
      </text>
    </comment>
    <comment ref="Z490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  <comment ref="AA490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Dias de Quiebre 11</t>
        </r>
      </text>
    </comment>
    <comment ref="AB490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Dias de Quiebre 3</t>
        </r>
      </text>
    </comment>
    <comment ref="Z492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Dias de Quiebre 28</t>
        </r>
      </text>
    </comment>
    <comment ref="AA492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  <comment ref="AB492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AB494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Dias de Quiebre 22</t>
        </r>
      </text>
    </comment>
    <comment ref="AB495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Dias de Quiebre 2</t>
        </r>
      </text>
    </comment>
    <comment ref="Q502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Dias de Quiebre 20</t>
        </r>
      </text>
    </comment>
    <comment ref="T502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W502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Dias de Quiebre 9</t>
        </r>
      </text>
    </comment>
    <comment ref="X502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Dias de Quiebre 4</t>
        </r>
      </text>
    </comment>
    <comment ref="AA502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Dias de Quiebre 6</t>
        </r>
      </text>
    </comment>
    <comment ref="AA510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Dias de Quiebre 3</t>
        </r>
      </text>
    </comment>
    <comment ref="AB510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Dias de Quiebre 16</t>
        </r>
      </text>
    </comment>
    <comment ref="R514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Dias de Quiebre 25</t>
        </r>
      </text>
    </comment>
    <comment ref="T514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Dias de Quiebre 15</t>
        </r>
      </text>
    </comment>
    <comment ref="W514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Dias de Quiebre 21</t>
        </r>
      </text>
    </comment>
    <comment ref="Y514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Dias de Quiebre 19</t>
        </r>
      </text>
    </comment>
    <comment ref="AA514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  <comment ref="Z528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Dias de Quiebre 16</t>
        </r>
      </text>
    </comment>
    <comment ref="AA528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Dias de Quiebre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SpreadsheetLight</author>
    <author>Rodrigo Cabezas</author>
  </authors>
  <commentList>
    <comment ref="J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Dias que faltan para llegar la Impo</t>
        </r>
      </text>
    </comment>
    <comment ref="K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Stk.Act-(Dias Ant*Rot.DesE*Estac.Ant)+Cant.Ant.Impo-(Dias Impo Act.*Rot.DesE*Estac.Periodo)</t>
        </r>
      </text>
    </comment>
    <comment ref="L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Quiebre/(Rotacion DesEstac.*Estac.Periodo)/Dias Protecc. Secc</t>
        </r>
      </text>
    </comment>
    <comment ref="Q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Sumatoria de Quiebres de los 3 Articulos</t>
        </r>
      </text>
    </comment>
    <comment ref="R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Cantidad Pedida en la Importacion</t>
        </r>
      </text>
    </comment>
    <comment ref="U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Si Quiebre &gt; 0, Quiebre + Pedido, Pedido</t>
        </r>
      </text>
    </comment>
    <comment ref="X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Costo Impo.</t>
        </r>
      </text>
    </comment>
    <comment ref="AE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Stk.Act-Sum(Dias Ant*Rot.DesE*Estac.Ant)+Cant.Ant.Impo-(Dias Impo Act.*Rot.DesE*Estac.Periodo)</t>
        </r>
      </text>
    </comment>
    <comment ref="AF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Quiebre/(Rotacion DesEstac.*Estac.Periodo)/Dias Protecc. Secc</t>
        </r>
      </text>
    </comment>
    <comment ref="AK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Sumatoria Quiebre de Stk de los 3 Art.</t>
        </r>
      </text>
    </comment>
    <comment ref="AL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% Proteccion Ponderado de los 3 Art.</t>
        </r>
      </text>
    </comment>
    <comment ref="AM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Dias a Reponer*(Rotacion DesEstac.*Estac. Periodo Futuro)-Stk.Arribo Ult</t>
        </r>
      </text>
    </comment>
    <comment ref="AN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Valor Manual</t>
        </r>
      </text>
    </comment>
    <comment ref="AS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Si Quiebre&gt;0, Quiebre+(Si Confirmado &gt; 0, Confirmado,0),Confirmado</t>
        </r>
      </text>
    </comment>
    <comment ref="BB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Stk.Acumulado-(Dias Duracion*Rot.DesEstac.*Estac.Periodo Futuro)</t>
        </r>
      </text>
    </comment>
    <comment ref="BC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Stk Final/(Rotacion DesEstac.*Estac.Periodo Futuro)/Dias Protecc. Secc</t>
        </r>
      </text>
    </comment>
    <comment ref="BH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Sumatoria Stk. Final de los 3 Art.</t>
        </r>
      </text>
    </comment>
    <comment ref="BI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% Proteccion Final Ponderado de los 3 Art.</t>
        </r>
      </text>
    </comment>
    <comment ref="AN156" authorId="1" shapeId="0" xr:uid="{FF33A0BB-8FB9-4621-AE77-83CF52DBCBC2}">
      <text>
        <r>
          <rPr>
            <b/>
            <sz val="9"/>
            <color indexed="81"/>
            <rFont val="Tahoma"/>
            <charset val="1"/>
          </rPr>
          <t>Rodrigo Cabezas:</t>
        </r>
        <r>
          <rPr>
            <sz val="9"/>
            <color indexed="81"/>
            <rFont val="Tahoma"/>
            <charset val="1"/>
          </rPr>
          <t xml:space="preserve">
CANCEL
</t>
        </r>
      </text>
    </comment>
    <comment ref="AN193" authorId="1" shapeId="0" xr:uid="{F6BEBDBA-D027-45D8-9884-F0B852092F7E}">
      <text>
        <r>
          <rPr>
            <b/>
            <sz val="9"/>
            <color indexed="81"/>
            <rFont val="Tahoma"/>
            <charset val="1"/>
          </rPr>
          <t>Rodrigo Cabezas:</t>
        </r>
        <r>
          <rPr>
            <sz val="9"/>
            <color indexed="81"/>
            <rFont val="Tahoma"/>
            <charset val="1"/>
          </rPr>
          <t xml:space="preserve">
CANCEL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<sst xmlns="http://schemas.openxmlformats.org/spreadsheetml/2006/main" count="4205" uniqueCount="1657">
  <si>
    <t>Articulo</t>
  </si>
  <si>
    <t>Descripcion</t>
  </si>
  <si>
    <t>Codigos Barras</t>
  </si>
  <si>
    <t>Vta.Jul/25</t>
  </si>
  <si>
    <t>Vta.Ago/25</t>
  </si>
  <si>
    <t>Vta.Sep/25</t>
  </si>
  <si>
    <t>Vta.Oct/25</t>
  </si>
  <si>
    <t>Vta.Nov/25</t>
  </si>
  <si>
    <t>Vta.Dic/25</t>
  </si>
  <si>
    <t>Vta.Ene/26</t>
  </si>
  <si>
    <t>Vta.Feb/26</t>
  </si>
  <si>
    <t>Vta.Mar/26</t>
  </si>
  <si>
    <t>Vta.Abr/26</t>
  </si>
  <si>
    <t>Vta.May/26</t>
  </si>
  <si>
    <t>Vta.Jun/26</t>
  </si>
  <si>
    <t>Vta.Jul/26</t>
  </si>
  <si>
    <t>Jul/25</t>
  </si>
  <si>
    <t>Ago/25</t>
  </si>
  <si>
    <t>Sep/25</t>
  </si>
  <si>
    <t>Oct/25</t>
  </si>
  <si>
    <t>Nov/25</t>
  </si>
  <si>
    <t>Dic/25</t>
  </si>
  <si>
    <t>Ene/26</t>
  </si>
  <si>
    <t>Feb/26</t>
  </si>
  <si>
    <t>Mar/26</t>
  </si>
  <si>
    <t>Abr/26</t>
  </si>
  <si>
    <t>May/26</t>
  </si>
  <si>
    <t>Jun/26</t>
  </si>
  <si>
    <t>Jul/26</t>
  </si>
  <si>
    <t>Rotacion DesEstac.</t>
  </si>
  <si>
    <t>Rot. Manual</t>
  </si>
  <si>
    <t>Estado Art.</t>
  </si>
  <si>
    <t>C00159</t>
  </si>
  <si>
    <t>TONER SAMSUNG CPT ML1610/2010/4521/X3117 3K Univ.</t>
  </si>
  <si>
    <t>5358125120017</t>
  </si>
  <si>
    <t>A</t>
  </si>
  <si>
    <t>C00160</t>
  </si>
  <si>
    <t>TONER HP Q2612A / CANON FX9 / FX10 2K CPT</t>
  </si>
  <si>
    <t>5350125120257</t>
  </si>
  <si>
    <t>C00163</t>
  </si>
  <si>
    <t>TONER LEXMARK E120 - 12018SL CPT 2K</t>
  </si>
  <si>
    <t>5357125120133</t>
  </si>
  <si>
    <t>C00164</t>
  </si>
  <si>
    <t>TONER HP Q5949A / Q7553A 3K CPT</t>
  </si>
  <si>
    <t>5350125120127</t>
  </si>
  <si>
    <t>C00165</t>
  </si>
  <si>
    <t>TONER HP C4092A/CANON EP-22 CPT 2.5K</t>
  </si>
  <si>
    <t>5350125120059</t>
  </si>
  <si>
    <t>C00166</t>
  </si>
  <si>
    <t>TONER HP Q7553A 3K CPT</t>
  </si>
  <si>
    <t>5350125120400</t>
  </si>
  <si>
    <t>D</t>
  </si>
  <si>
    <t>C00174</t>
  </si>
  <si>
    <t>TONER XEROX 106R01271 BK 6110 CPT 2.0k</t>
  </si>
  <si>
    <t>5352125120022</t>
  </si>
  <si>
    <t>C00175</t>
  </si>
  <si>
    <t>TONER XEROX 106R01272 CY 6110 CPT 1.0k</t>
  </si>
  <si>
    <t>5352125120039</t>
  </si>
  <si>
    <t>C00176</t>
  </si>
  <si>
    <t>TONER XEROX 106R01273 MG 6110 CPT 1.0K</t>
  </si>
  <si>
    <t>5352125120046</t>
  </si>
  <si>
    <t>C00177</t>
  </si>
  <si>
    <t>TONER XEROX 106R01274 YE 6110 CPT 1.0K</t>
  </si>
  <si>
    <t>5352125120053</t>
  </si>
  <si>
    <t>C00178</t>
  </si>
  <si>
    <t>TONER BROTHER TN-360/TN-2115/2125 CPT 2.6K</t>
  </si>
  <si>
    <t>5353137120017</t>
  </si>
  <si>
    <t>C00179</t>
  </si>
  <si>
    <t>TONER BROTHER TN-580/TN-650 CPT 8K</t>
  </si>
  <si>
    <t>5353125120029</t>
  </si>
  <si>
    <t>C00181</t>
  </si>
  <si>
    <t>TONER OKIDATA 2500/ 2520 - CPT 2.2K</t>
  </si>
  <si>
    <t>C00182</t>
  </si>
  <si>
    <t>TONER OKIDATA 6300 - CPT 10K</t>
  </si>
  <si>
    <t>5352125120060</t>
  </si>
  <si>
    <t>C00183</t>
  </si>
  <si>
    <t>TONER XEROX 3140 / 3160 108R00909 2.5k CPT</t>
  </si>
  <si>
    <t>5352137120065</t>
  </si>
  <si>
    <t>C00184</t>
  </si>
  <si>
    <t>TONER SAMSUNG MLT-104S - CPT 1665/3200/3205 1.5K</t>
  </si>
  <si>
    <t>5358125120055</t>
  </si>
  <si>
    <t>C00185</t>
  </si>
  <si>
    <t>TONER KYOCERA TK-112/TK-110 CPT 6K</t>
  </si>
  <si>
    <t>5361125120017</t>
  </si>
  <si>
    <t>C00186</t>
  </si>
  <si>
    <t>TONER CANON FX9 CPT 2K</t>
  </si>
  <si>
    <t>5358125120062</t>
  </si>
  <si>
    <t>C00187</t>
  </si>
  <si>
    <t>TONER SAMSUNG 105L 2,5K CPT</t>
  </si>
  <si>
    <t>5359137120019</t>
  </si>
  <si>
    <t>C00188</t>
  </si>
  <si>
    <t>TONER HP CE278A 2.1K CPT</t>
  </si>
  <si>
    <t>5350137120535</t>
  </si>
  <si>
    <t>C00189</t>
  </si>
  <si>
    <t>TONER HP CE255X CPT 12.5K</t>
  </si>
  <si>
    <t>5350137120528</t>
  </si>
  <si>
    <t>C00190</t>
  </si>
  <si>
    <t>TONER BROTHER TN-450/2250 CPT 2.5K</t>
  </si>
  <si>
    <t>5353125120036</t>
  </si>
  <si>
    <t>C00191</t>
  </si>
  <si>
    <t>TONER BROTHER TN-650 CPT 8K</t>
  </si>
  <si>
    <t>C00192</t>
  </si>
  <si>
    <t>TONER SAMSUNG CLP-409 BK CPT 1.5K</t>
  </si>
  <si>
    <t>5358137120104</t>
  </si>
  <si>
    <t>C00193</t>
  </si>
  <si>
    <t>TONER SAMSUNG CLP-409 CY CPT 1.0K</t>
  </si>
  <si>
    <t>5358137120111</t>
  </si>
  <si>
    <t>C00194</t>
  </si>
  <si>
    <t>TONER SAMSUNG CLP-409 MG CPT 1.0K</t>
  </si>
  <si>
    <t>5358137120128</t>
  </si>
  <si>
    <t>C00195</t>
  </si>
  <si>
    <t>TONER SAMSUNG CLP-409 YE CPT 1.0K</t>
  </si>
  <si>
    <t>5358137120135</t>
  </si>
  <si>
    <t>C00196</t>
  </si>
  <si>
    <t>TONER SAMSUNG CLT-407/409S BK CPT 1.5K</t>
  </si>
  <si>
    <t>5358137120142</t>
  </si>
  <si>
    <t>C00197</t>
  </si>
  <si>
    <t>TONER SAMSUNG CLT-407/409S CY CPT 1.0K</t>
  </si>
  <si>
    <t>5358137120159</t>
  </si>
  <si>
    <t>C00198</t>
  </si>
  <si>
    <t>TONER SAMSUNG CLT-407/409S MG CPT 1.0K</t>
  </si>
  <si>
    <t>5358137120166</t>
  </si>
  <si>
    <t>C00199</t>
  </si>
  <si>
    <t>TONER SAMSUNG CLT-407/409S YE CPT 1.0K</t>
  </si>
  <si>
    <t>5358137120173</t>
  </si>
  <si>
    <t>C00200</t>
  </si>
  <si>
    <t>TONER HP CB540A (128A) /CE320A/CF210X BK 2.2K CPT</t>
  </si>
  <si>
    <t>5350137120566</t>
  </si>
  <si>
    <t>C00201</t>
  </si>
  <si>
    <t>TONER HP CB541A (128A) /CE321A/CF211A CY 1.4K CPT</t>
  </si>
  <si>
    <t>5350137120573</t>
  </si>
  <si>
    <t>C00202</t>
  </si>
  <si>
    <t>TONER HP CB542A (128A) /CE322A/CF212A YE 1.4K CPT</t>
  </si>
  <si>
    <t>5350137120580</t>
  </si>
  <si>
    <t>C00203</t>
  </si>
  <si>
    <t>TONER HP CB543A (128A) /CE323A/CF213A MG 1.4K CPT</t>
  </si>
  <si>
    <t>5350137120597</t>
  </si>
  <si>
    <t>C00204</t>
  </si>
  <si>
    <t>TONER SAMSUNG D101/ML-2165 1.5K</t>
  </si>
  <si>
    <t>5358137120180</t>
  </si>
  <si>
    <t>C00205</t>
  </si>
  <si>
    <t>TONER XEROX 3010/3040 CPT 2.2K 106R02182</t>
  </si>
  <si>
    <t>5352137120089</t>
  </si>
  <si>
    <t>C00206</t>
  </si>
  <si>
    <t>TONER BROTHER TN-750/3385/3380/3340 CPT 8K</t>
  </si>
  <si>
    <t>5353137120055</t>
  </si>
  <si>
    <t>C00207</t>
  </si>
  <si>
    <t>TONER SAMSUNG ML2850 5.0K</t>
  </si>
  <si>
    <t>5358137120197</t>
  </si>
  <si>
    <t>C00263</t>
  </si>
  <si>
    <t>TAMBOR BROTHER DR-360 CPT 12K</t>
  </si>
  <si>
    <t>5350137120610</t>
  </si>
  <si>
    <t>C00264</t>
  </si>
  <si>
    <t>TAMBOR BROTHER DR-450/420 CPT 12K</t>
  </si>
  <si>
    <t>5350137120627</t>
  </si>
  <si>
    <t>C00265</t>
  </si>
  <si>
    <t>TAMBOR BROTHER DR-620/520  CPT 25K</t>
  </si>
  <si>
    <t>5350137120634</t>
  </si>
  <si>
    <t>C00266</t>
  </si>
  <si>
    <t>TONER BROTHER TN-350 CPT 2.5K</t>
  </si>
  <si>
    <t>5350137120603</t>
  </si>
  <si>
    <t>C00267</t>
  </si>
  <si>
    <t>TONER HP C3906A CPT 2.5K</t>
  </si>
  <si>
    <t>5350137120641</t>
  </si>
  <si>
    <t>C00268</t>
  </si>
  <si>
    <t>TONER HP C7115A / Q2613A / Q2624A Univ CPT 2.5K</t>
  </si>
  <si>
    <t>5350137120658</t>
  </si>
  <si>
    <t>C00269</t>
  </si>
  <si>
    <t>TONER HP C7115X / Q2613X CPT 3.5K</t>
  </si>
  <si>
    <t>5350137120665</t>
  </si>
  <si>
    <t>C00270</t>
  </si>
  <si>
    <t>TONER HP CC364A / 390A CPT 10K</t>
  </si>
  <si>
    <t>5350137120672</t>
  </si>
  <si>
    <t>C00271</t>
  </si>
  <si>
    <t>TONER HP CC364X / 390X CPT 24K</t>
  </si>
  <si>
    <t>5350137120689</t>
  </si>
  <si>
    <t>C00272</t>
  </si>
  <si>
    <t>TONER HP Q2612X 3K CPT</t>
  </si>
  <si>
    <t>5350137120788</t>
  </si>
  <si>
    <t>C00273</t>
  </si>
  <si>
    <t>TONER HP Q5949X 6K CPT</t>
  </si>
  <si>
    <t>5350137120795</t>
  </si>
  <si>
    <t>C00274</t>
  </si>
  <si>
    <t>TONER HP C530 BK CPT 3.5K</t>
  </si>
  <si>
    <t>C00275</t>
  </si>
  <si>
    <t>TONER HP C531 CY CPT 2.8K</t>
  </si>
  <si>
    <t>C00276</t>
  </si>
  <si>
    <t>TONER HP C532 YE CPT 2.8K</t>
  </si>
  <si>
    <t>C00277</t>
  </si>
  <si>
    <t>TONER HP C533 MG CPT 2.8K</t>
  </si>
  <si>
    <t>C00278</t>
  </si>
  <si>
    <t>TONER HP CE310/CF350A BK CPT 1.3K</t>
  </si>
  <si>
    <t>5350137120740</t>
  </si>
  <si>
    <t>C00279</t>
  </si>
  <si>
    <t>TONER HP CE311/CF351 CY CPT 1.0K</t>
  </si>
  <si>
    <t>5350137120757</t>
  </si>
  <si>
    <t>C00280</t>
  </si>
  <si>
    <t>TONER HP CE312/CF352 YE CPT 1.0K</t>
  </si>
  <si>
    <t>5350137120764</t>
  </si>
  <si>
    <t>C00281</t>
  </si>
  <si>
    <t>TONER HP CE313/CF353 MG CPT 1.0K</t>
  </si>
  <si>
    <t>5350137120771</t>
  </si>
  <si>
    <t>C00283</t>
  </si>
  <si>
    <t>TONER LEXMARK E210 CPT 2.5K</t>
  </si>
  <si>
    <t>5350137120818</t>
  </si>
  <si>
    <t>C00284</t>
  </si>
  <si>
    <t>TONER LEXMARK 2.5K E230/E232/E234/240/E330/E33 CPT</t>
  </si>
  <si>
    <t>5350137120825</t>
  </si>
  <si>
    <t>C00285</t>
  </si>
  <si>
    <t>TONER LEXMARK E250 CPT 3.5K</t>
  </si>
  <si>
    <t>5350137120832</t>
  </si>
  <si>
    <t>C00286</t>
  </si>
  <si>
    <t>TONER OKIDATA 2500X CPT 4K</t>
  </si>
  <si>
    <t>5360125120027</t>
  </si>
  <si>
    <t>C00287</t>
  </si>
  <si>
    <t>TONER SAMSUNG CLP-300 BK CPT 2K</t>
  </si>
  <si>
    <t>5358137120265</t>
  </si>
  <si>
    <t>C00288</t>
  </si>
  <si>
    <t>TONER SAMSUNG CLP-300 CY CPT 1K</t>
  </si>
  <si>
    <t>5358137120203</t>
  </si>
  <si>
    <t>C00289</t>
  </si>
  <si>
    <t>TONER SAMSUNG CLP-300 MG CPT 1K</t>
  </si>
  <si>
    <t>5358137120210</t>
  </si>
  <si>
    <t>C00290</t>
  </si>
  <si>
    <t>TONER SAMSUNG CLP-300 YE CPT 1K</t>
  </si>
  <si>
    <t>5358137120227</t>
  </si>
  <si>
    <t>C00295</t>
  </si>
  <si>
    <t>TONER XEROX 6125 BK CPT 2K</t>
  </si>
  <si>
    <t>5350137121259</t>
  </si>
  <si>
    <t>C00296</t>
  </si>
  <si>
    <t>TONER XEROX 6125 CY CPT 1K</t>
  </si>
  <si>
    <t>5350137121266</t>
  </si>
  <si>
    <t>C00297</t>
  </si>
  <si>
    <t>TONER XEROX 6125 MG CPT 1K</t>
  </si>
  <si>
    <t>5350137121273</t>
  </si>
  <si>
    <t>C00298</t>
  </si>
  <si>
    <t>TONER XEROX 6125 YE CPT 1K</t>
  </si>
  <si>
    <t>5350137121280</t>
  </si>
  <si>
    <t>C00299</t>
  </si>
  <si>
    <t>TONER XEROX 6130 BK CPT 2.5K</t>
  </si>
  <si>
    <t>5350137121297</t>
  </si>
  <si>
    <t>C00300</t>
  </si>
  <si>
    <t>TONER XEROX 6130 CY CPT 1.9K</t>
  </si>
  <si>
    <t>5350137121303</t>
  </si>
  <si>
    <t>C00301</t>
  </si>
  <si>
    <t>TONER XEROX 6130 MG CPT 1.9K</t>
  </si>
  <si>
    <t>5350137121310</t>
  </si>
  <si>
    <t>C00302</t>
  </si>
  <si>
    <t>TONER XEROX 6130 YE CPT 1.9K</t>
  </si>
  <si>
    <t>5350137121327</t>
  </si>
  <si>
    <t>C00303</t>
  </si>
  <si>
    <t>TONER SAMSUNG MLT-D103L 2.5k CPT</t>
  </si>
  <si>
    <t>5350137121013</t>
  </si>
  <si>
    <t>C00305</t>
  </si>
  <si>
    <t>TONER SAMSUNG MLT-109L/SCX4300 CPT 2K</t>
  </si>
  <si>
    <t>5358137120234</t>
  </si>
  <si>
    <t>C00307</t>
  </si>
  <si>
    <t>TAMBOR BROTHER HL-2030/2035/2040 CPT</t>
  </si>
  <si>
    <t>C00313</t>
  </si>
  <si>
    <t>TONER LEXMARK E350 CPT 9K</t>
  </si>
  <si>
    <t>5350137120849</t>
  </si>
  <si>
    <t>C00316</t>
  </si>
  <si>
    <t>TAMBOR LEXMARK E120 17K</t>
  </si>
  <si>
    <t>5350137120801</t>
  </si>
  <si>
    <t>C00317</t>
  </si>
  <si>
    <t>TONER SAMSUNG MLT-1640/108 CPT 1.5K</t>
  </si>
  <si>
    <t>5350137120856</t>
  </si>
  <si>
    <t>C00318</t>
  </si>
  <si>
    <t>TONER SAMSUNG MLT-1670 CPT 1.5K</t>
  </si>
  <si>
    <t>5350137120863</t>
  </si>
  <si>
    <t>C00319</t>
  </si>
  <si>
    <t>TONER HP CE255A CPT 6K</t>
  </si>
  <si>
    <t>5350137120733</t>
  </si>
  <si>
    <t>C00324</t>
  </si>
  <si>
    <t>TONER BROTHER TN-210 BK CPT 2.2K</t>
  </si>
  <si>
    <t>5350137121204</t>
  </si>
  <si>
    <t>C00325</t>
  </si>
  <si>
    <t>TONER BROTHER TN-210 CY CPT 1.4K</t>
  </si>
  <si>
    <t>5350137121211</t>
  </si>
  <si>
    <t>C00326</t>
  </si>
  <si>
    <t>TONER BROTHER TN-210 MG CPT 1.4K</t>
  </si>
  <si>
    <t>5350137121228</t>
  </si>
  <si>
    <t>C00327</t>
  </si>
  <si>
    <t>TONER BROTHER TN-210 YE CPT 1.4K</t>
  </si>
  <si>
    <t>5350137121235</t>
  </si>
  <si>
    <t>C00328</t>
  </si>
  <si>
    <t>TONER HP CF280A/CE505A/CRG120 CPT 2.3K</t>
  </si>
  <si>
    <t>5350137121358</t>
  </si>
  <si>
    <t>C00329</t>
  </si>
  <si>
    <t>TONER OKIDATA B4400/4500/4600 CPT 7K</t>
  </si>
  <si>
    <t>5358137120241</t>
  </si>
  <si>
    <t>C00339</t>
  </si>
  <si>
    <t>TONER SAMSUNG SCX-4725 CPT 3K</t>
  </si>
  <si>
    <t>5358137120876</t>
  </si>
  <si>
    <t>C00353</t>
  </si>
  <si>
    <t>TONER XEROX  PE120 BK CPT 5K</t>
  </si>
  <si>
    <t>5350137121334</t>
  </si>
  <si>
    <t>C00357</t>
  </si>
  <si>
    <t>TONER XEROX CCL 3119 CPT 3K</t>
  </si>
  <si>
    <t>5358137120678</t>
  </si>
  <si>
    <t>C00375</t>
  </si>
  <si>
    <t>TONER BROTHER TN-1060/1030 BK CPT 1K</t>
  </si>
  <si>
    <t>5350137121150</t>
  </si>
  <si>
    <t>C00376</t>
  </si>
  <si>
    <t>TONER LEXMARK E260A11L E260/E360/E460 CPT 3.5K</t>
  </si>
  <si>
    <t>5350137121020</t>
  </si>
  <si>
    <t>C00377</t>
  </si>
  <si>
    <t>TONER BROTHER TN-115 BK CPT 5K</t>
  </si>
  <si>
    <t>5350137121037</t>
  </si>
  <si>
    <t>C00378</t>
  </si>
  <si>
    <t>TONER BROTHER TN-115 CY CPT 4K</t>
  </si>
  <si>
    <t>5350137121044</t>
  </si>
  <si>
    <t>C00379</t>
  </si>
  <si>
    <t>TONER BROTHER TN-115 MG CPT 4K</t>
  </si>
  <si>
    <t>5350137121051</t>
  </si>
  <si>
    <t>C00380</t>
  </si>
  <si>
    <t>TONER BROTHER TN-115 YE CPT 4K</t>
  </si>
  <si>
    <t>5350137121068</t>
  </si>
  <si>
    <t>C00381</t>
  </si>
  <si>
    <t>TONER BROTHER TN-315/319 BK CPT 6K</t>
  </si>
  <si>
    <t>5350137121075</t>
  </si>
  <si>
    <t>C00382</t>
  </si>
  <si>
    <t>TONER BROTHER TN-315/319 CY CPT 3.5K</t>
  </si>
  <si>
    <t>5350137121082</t>
  </si>
  <si>
    <t>C00383</t>
  </si>
  <si>
    <t>TONER BROTHER TN-315/319 MG CPT 3.5K</t>
  </si>
  <si>
    <t>5350137121099</t>
  </si>
  <si>
    <t>C00384</t>
  </si>
  <si>
    <t>TONER BROTHER TN-315/319 YE CPT 3.5K</t>
  </si>
  <si>
    <t>5350137121105</t>
  </si>
  <si>
    <t>C00385</t>
  </si>
  <si>
    <t>TONER SAMSUNG CLT-406 BK  CPT 1K</t>
  </si>
  <si>
    <t>5350137121112</t>
  </si>
  <si>
    <t>C00386</t>
  </si>
  <si>
    <t>TONER SAMSUNG CLT-406 CY  CPT 1K</t>
  </si>
  <si>
    <t>5350137121129</t>
  </si>
  <si>
    <t>C00387</t>
  </si>
  <si>
    <t>TONER SAMSUNG CLT-406 MG  CPT 1K</t>
  </si>
  <si>
    <t>5350137121136</t>
  </si>
  <si>
    <t>C00388</t>
  </si>
  <si>
    <t>TONER SAMSUNG CLT-406 YE  CPT 1K</t>
  </si>
  <si>
    <t>5350137121143</t>
  </si>
  <si>
    <t>C00389</t>
  </si>
  <si>
    <t>TONER SAMSUNG MLT-D111L BK 2.0K CPT</t>
  </si>
  <si>
    <t>5350137121181</t>
  </si>
  <si>
    <t>C00390</t>
  </si>
  <si>
    <t>TONER SAMSUNG MLT-115L 3.0k CPT</t>
  </si>
  <si>
    <t>5350137121198</t>
  </si>
  <si>
    <t>C00391</t>
  </si>
  <si>
    <t>TONER HP 435/436/285A/278A 2K CPT</t>
  </si>
  <si>
    <t>5350137121167</t>
  </si>
  <si>
    <t>C00398</t>
  </si>
  <si>
    <t>TONER HP CE505X/CF280X/CRG120 CPT 6.5K</t>
  </si>
  <si>
    <t>5350137120511</t>
  </si>
  <si>
    <t>C00399</t>
  </si>
  <si>
    <t>TAMBOR BROTHER DR-1060 CPT 10K</t>
  </si>
  <si>
    <t>5358137120326</t>
  </si>
  <si>
    <t>C00400</t>
  </si>
  <si>
    <t>TONER XEROX 3250 CPT 5K 106R01374</t>
  </si>
  <si>
    <t>5358137120333</t>
  </si>
  <si>
    <t>C00402</t>
  </si>
  <si>
    <t>TONER CANON EP-26/27/X25/cartridge U CPT 2.5K</t>
  </si>
  <si>
    <t>5358137120364</t>
  </si>
  <si>
    <t>C00405</t>
  </si>
  <si>
    <t>TONER SAMSUNG MLT-1710/4100 Univ. CPT 3K</t>
  </si>
  <si>
    <t>C00407</t>
  </si>
  <si>
    <t>TONER KYOCERA TK-160/162/163/164  2.5 K CPT</t>
  </si>
  <si>
    <t>5358137120388</t>
  </si>
  <si>
    <t>C00409</t>
  </si>
  <si>
    <t>TONER XEROX 6000/6010/6015 BK CPT 2k 106R01634</t>
  </si>
  <si>
    <t>5358137120289</t>
  </si>
  <si>
    <t>C00410</t>
  </si>
  <si>
    <t>TONER XEROX 6000/6010/6015 CY CPT 1k 106R01631</t>
  </si>
  <si>
    <t>5358137120296</t>
  </si>
  <si>
    <t>C00411</t>
  </si>
  <si>
    <t>TONER XEROX 6000/6010/6015 MG CPT 1k 106R01632</t>
  </si>
  <si>
    <t>5358137120302</t>
  </si>
  <si>
    <t>C00412</t>
  </si>
  <si>
    <t>TONER XEROX 6000/6010/6015 YE CPT 1k 106R01633</t>
  </si>
  <si>
    <t>5358137120319</t>
  </si>
  <si>
    <t>C00413</t>
  </si>
  <si>
    <t>TONER SAMSUNG MLT-203E 10K CPT</t>
  </si>
  <si>
    <t>5358137120531</t>
  </si>
  <si>
    <t>C00414</t>
  </si>
  <si>
    <t>TONER HP Q5949X/Q7553X 7K CPT</t>
  </si>
  <si>
    <t>5350125120455</t>
  </si>
  <si>
    <t>C00420</t>
  </si>
  <si>
    <t>TONER SAMSUNG ML-4050/4550 10K CPT</t>
  </si>
  <si>
    <t>5358137120654</t>
  </si>
  <si>
    <t>C00421</t>
  </si>
  <si>
    <t>TONER HP Q2613X usar 7115X UNIVERSAL 4K</t>
  </si>
  <si>
    <t>5358137120661</t>
  </si>
  <si>
    <t>C00427</t>
  </si>
  <si>
    <t>TONER SAMSUNG MLT-203U 15K CPT</t>
  </si>
  <si>
    <t>5358137120555</t>
  </si>
  <si>
    <t>C00428</t>
  </si>
  <si>
    <t>TONER BROTHER TN-660/2370 CPT 2.6K</t>
  </si>
  <si>
    <t>5358137120340</t>
  </si>
  <si>
    <t>C00429</t>
  </si>
  <si>
    <t>TONER HP CF283A CPT 1.5K</t>
  </si>
  <si>
    <t>5358137120456</t>
  </si>
  <si>
    <t>C00430</t>
  </si>
  <si>
    <t>TONER DELCOP 2600 5,5K CPT</t>
  </si>
  <si>
    <t>C00431</t>
  </si>
  <si>
    <t>TONER SAMSUNG MLT-203L 5K CPT</t>
  </si>
  <si>
    <t>5358137120357</t>
  </si>
  <si>
    <t>C00432</t>
  </si>
  <si>
    <t>TONER SAMSUNG MLT-D205L  M3710 5K CPT</t>
  </si>
  <si>
    <t>5358137120371</t>
  </si>
  <si>
    <t>C00433</t>
  </si>
  <si>
    <t>TONER LEXMARK 6K E230/E232/E234/240/E330/E332/E340</t>
  </si>
  <si>
    <t>5358137120395</t>
  </si>
  <si>
    <t>C00434</t>
  </si>
  <si>
    <t>TAMBOR BROTHER DR-720/750/780 CPT 25K</t>
  </si>
  <si>
    <t>5358137120401</t>
  </si>
  <si>
    <t>C00435</t>
  </si>
  <si>
    <t>TONER SAMSUNG MLT-D209L/2855 CPT 5K</t>
  </si>
  <si>
    <t>5358137120418</t>
  </si>
  <si>
    <t>C00436</t>
  </si>
  <si>
    <t>TAMBOR BROTHER DR-630/660 CPT 12K</t>
  </si>
  <si>
    <t>5358137120425</t>
  </si>
  <si>
    <t>C00437</t>
  </si>
  <si>
    <t>TAMBOR BROTHER DR-350 CPT 12K</t>
  </si>
  <si>
    <t>5358137120432</t>
  </si>
  <si>
    <t>C00438</t>
  </si>
  <si>
    <t>TONER HP CC530X/CE410X/CF380X 4K BK CPT</t>
  </si>
  <si>
    <t>5358137120449</t>
  </si>
  <si>
    <t>C00439</t>
  </si>
  <si>
    <t>TONER HP CC531/CE411/CF381A CY CPT 2.8K</t>
  </si>
  <si>
    <t>5350137120702</t>
  </si>
  <si>
    <t>C00440</t>
  </si>
  <si>
    <t>TONER HP CC532/CE412/CF382A YE CPT 2.8K</t>
  </si>
  <si>
    <t>5350137120719</t>
  </si>
  <si>
    <t>C00441</t>
  </si>
  <si>
    <t>TONER HP CC533/CE413/CF383A MG CPT 2.8K</t>
  </si>
  <si>
    <t>5350137120726</t>
  </si>
  <si>
    <t>C00442</t>
  </si>
  <si>
    <t>TONER HP CF283X CPT 2.2K</t>
  </si>
  <si>
    <t>5358137120463</t>
  </si>
  <si>
    <t>C00443</t>
  </si>
  <si>
    <t>TONER HP CF281A CPT 10.5K</t>
  </si>
  <si>
    <t>5358137120470</t>
  </si>
  <si>
    <t>C00444</t>
  </si>
  <si>
    <t>TONER HP CF281X CPT 25K</t>
  </si>
  <si>
    <t>5358137120487</t>
  </si>
  <si>
    <t>C00446</t>
  </si>
  <si>
    <t>TONER LEXMARK 50F4H00 5K CPT MS310/410/510/610</t>
  </si>
  <si>
    <t>5358137120548</t>
  </si>
  <si>
    <t>C00447</t>
  </si>
  <si>
    <t>TONER SAMSUNG CLT-504 BK CPT 2.5K</t>
  </si>
  <si>
    <t>5358137120562</t>
  </si>
  <si>
    <t>C00448</t>
  </si>
  <si>
    <t>TONER SAMSUNG CLT-504 CY CPT 1.8K</t>
  </si>
  <si>
    <t>5358137120579</t>
  </si>
  <si>
    <t>C00449</t>
  </si>
  <si>
    <t>TONER SAMSUNG CLT-504 MG CPT 1.8K</t>
  </si>
  <si>
    <t>5358137120586</t>
  </si>
  <si>
    <t>C00450</t>
  </si>
  <si>
    <t>TONER SAMSUNG CLT-504 YE CPT 1.8K</t>
  </si>
  <si>
    <t>5358137120593</t>
  </si>
  <si>
    <t>C00451</t>
  </si>
  <si>
    <t>TONER SAMSUNG CLT-506 BK CPT 6K</t>
  </si>
  <si>
    <t>5358137120609</t>
  </si>
  <si>
    <t>C00452</t>
  </si>
  <si>
    <t>TONER SAMSUNG CLT-506 CY CPT 3.5K</t>
  </si>
  <si>
    <t>5358137120616</t>
  </si>
  <si>
    <t>C00453</t>
  </si>
  <si>
    <t>TONER SAMSUNG CLT-506 MG CPT 3.5K</t>
  </si>
  <si>
    <t>5358137120623</t>
  </si>
  <si>
    <t>C00454</t>
  </si>
  <si>
    <t>TONER SAMSUNG CLT-506 YE CPT 3.5K</t>
  </si>
  <si>
    <t>5358137120630</t>
  </si>
  <si>
    <t>C00455</t>
  </si>
  <si>
    <t>TONER LEXMARK E360/260/460/462 9K CPT</t>
  </si>
  <si>
    <t>5358137120647</t>
  </si>
  <si>
    <t>C00456</t>
  </si>
  <si>
    <t>TONER KYOCERA TK-170/172 CPT 7.2K</t>
  </si>
  <si>
    <t>5358137120708</t>
  </si>
  <si>
    <t>C00457</t>
  </si>
  <si>
    <t>TONER SAMSUNG MLT-D205E  10K CPT P</t>
  </si>
  <si>
    <t>5358137120715</t>
  </si>
  <si>
    <t>C00459</t>
  </si>
  <si>
    <t>TONER CANON LC303 CPT - LBP2900/LBP3000 2K</t>
  </si>
  <si>
    <t>5358137120760</t>
  </si>
  <si>
    <t>C00461</t>
  </si>
  <si>
    <t>TONER OKIDATA MB480 BK CPT 12K</t>
  </si>
  <si>
    <t>5358137120777</t>
  </si>
  <si>
    <t>C00462</t>
  </si>
  <si>
    <t>TAMBOR OKIDATA MB430/B460/B470/MB480 CPT 25K</t>
  </si>
  <si>
    <t>5358137120784</t>
  </si>
  <si>
    <t>C00464</t>
  </si>
  <si>
    <t>TONER SAMSUNG SCX4200/4100/1710/XEROX 3119 CPT 3K</t>
  </si>
  <si>
    <t>5358137120791</t>
  </si>
  <si>
    <t>C00476</t>
  </si>
  <si>
    <t>TONER HP CE390X 24000 COPIAS CPT - NO USAR</t>
  </si>
  <si>
    <t>C00478</t>
  </si>
  <si>
    <t>TONER XEROX 6020BK  C 106R02763 - 2K CPT</t>
  </si>
  <si>
    <t>5358137120722</t>
  </si>
  <si>
    <t>C00479</t>
  </si>
  <si>
    <t>TONER XEROX 6020C  C 106R02760 - 1K CPT</t>
  </si>
  <si>
    <t>5358137120739</t>
  </si>
  <si>
    <t>C00480</t>
  </si>
  <si>
    <t>TONER XEROX 6020M  C 106R02761 - 1K CPT</t>
  </si>
  <si>
    <t>5358137120746</t>
  </si>
  <si>
    <t>C00481</t>
  </si>
  <si>
    <t>TONER XEROX 6020Y  C 106R02762 - 1K CPT</t>
  </si>
  <si>
    <t>5358137120753</t>
  </si>
  <si>
    <t>C00486</t>
  </si>
  <si>
    <t>TONER XEROX PHASER 3100 BK CPT 106R01379  4K</t>
  </si>
  <si>
    <t>5358137120807</t>
  </si>
  <si>
    <t>C00487</t>
  </si>
  <si>
    <t>TONER HP Q2613A usar 7115A UNIVERSAL 2.5K</t>
  </si>
  <si>
    <t>C00488</t>
  </si>
  <si>
    <t>TONER BROTHER TN-221/225 BK HL3150/9020 2.5K</t>
  </si>
  <si>
    <t>5358137120814</t>
  </si>
  <si>
    <t>C00489</t>
  </si>
  <si>
    <t>TONER BROTHER TN-225 CY HL3150/9020 2.2K</t>
  </si>
  <si>
    <t>5358137120821</t>
  </si>
  <si>
    <t>C00490</t>
  </si>
  <si>
    <t>TONER BROTHER TN-225 MG HL3150/9020 2.2K</t>
  </si>
  <si>
    <t>5358137120838</t>
  </si>
  <si>
    <t>C00491</t>
  </si>
  <si>
    <t>TONER BROTHER TN-225 YE HL3150/9020 2.2K</t>
  </si>
  <si>
    <t>5358137120845</t>
  </si>
  <si>
    <t>C00492</t>
  </si>
  <si>
    <t>TONER KYOCERA TK-137 KM 2810 / KM 2820 CPT 7.2K</t>
  </si>
  <si>
    <t>5358137120852</t>
  </si>
  <si>
    <t>C00493</t>
  </si>
  <si>
    <t>TONER HP C4127X CPT 10K</t>
  </si>
  <si>
    <t>5358137120869</t>
  </si>
  <si>
    <t>C00494</t>
  </si>
  <si>
    <t>TAMBOR LEXMARK DR E230 CPT 30K</t>
  </si>
  <si>
    <t>5358137120890</t>
  </si>
  <si>
    <t>C00495</t>
  </si>
  <si>
    <t>TONER HP Q7551A CPT 6.5K</t>
  </si>
  <si>
    <t>5358137120906</t>
  </si>
  <si>
    <t>C00496</t>
  </si>
  <si>
    <t>TONER XEROX 3325 11K CPT</t>
  </si>
  <si>
    <t>5358137120913</t>
  </si>
  <si>
    <t>C00497</t>
  </si>
  <si>
    <t>TONER HP 6511A CPT 6K</t>
  </si>
  <si>
    <t>5358137120920</t>
  </si>
  <si>
    <t>C00498</t>
  </si>
  <si>
    <t>TONER HP CE400X BK (507) 11K CPT</t>
  </si>
  <si>
    <t>5358137120937</t>
  </si>
  <si>
    <t>C00499</t>
  </si>
  <si>
    <t>TONER HP CE402A YE (507) 6K CPT</t>
  </si>
  <si>
    <t>5358137120944</t>
  </si>
  <si>
    <t>C00500</t>
  </si>
  <si>
    <t>TONER HP CE403A MG (507) 6K CPT</t>
  </si>
  <si>
    <t>5358137120951</t>
  </si>
  <si>
    <t>C00501</t>
  </si>
  <si>
    <t>TONER SAMSUNG ML-2250 CPT 5K</t>
  </si>
  <si>
    <t>5358137120968</t>
  </si>
  <si>
    <t>C00502</t>
  </si>
  <si>
    <t>TONER HP C4096A CPT 5K</t>
  </si>
  <si>
    <t>5358137120975</t>
  </si>
  <si>
    <t>C00503</t>
  </si>
  <si>
    <t>TAMBOR LEXMARK E260X22G CPT 30K</t>
  </si>
  <si>
    <t>5358137120982</t>
  </si>
  <si>
    <t>C00505</t>
  </si>
  <si>
    <t>TONER HP-Q6000 BK CPT 2K</t>
  </si>
  <si>
    <t>5358137120999</t>
  </si>
  <si>
    <t>C00506</t>
  </si>
  <si>
    <t>TONER HP-Q6001 CY CPT 1.0K</t>
  </si>
  <si>
    <t>5358137121002</t>
  </si>
  <si>
    <t>C00507</t>
  </si>
  <si>
    <t>TONER HP-Q6002 YE CPT 1.0K</t>
  </si>
  <si>
    <t>5358137121019</t>
  </si>
  <si>
    <t>C00508</t>
  </si>
  <si>
    <t>TONER HP-Q6003 MG CPT 1.0K</t>
  </si>
  <si>
    <t>5358137121026</t>
  </si>
  <si>
    <t>C00509</t>
  </si>
  <si>
    <t>TONER HP Q1338A CPT 1338/39 - 5942/45A 20K</t>
  </si>
  <si>
    <t>5358137121033</t>
  </si>
  <si>
    <t>C00510</t>
  </si>
  <si>
    <t>TONER BROTHER TN-570 CPT 6.7K</t>
  </si>
  <si>
    <t>5358137121040</t>
  </si>
  <si>
    <t>C00511</t>
  </si>
  <si>
    <t>TONER OKIDATA B431/411/401/491/471/451/441 12K</t>
  </si>
  <si>
    <t>5358137121057</t>
  </si>
  <si>
    <t>C00512</t>
  </si>
  <si>
    <t>TAMBOR LEXMARK E250 CPT 30K</t>
  </si>
  <si>
    <t>5358137121064</t>
  </si>
  <si>
    <t>C00513</t>
  </si>
  <si>
    <t>TONER XEROX  PE220 BK CPT 3K</t>
  </si>
  <si>
    <t>5358137121071</t>
  </si>
  <si>
    <t>C00523</t>
  </si>
  <si>
    <t>TONER HP CF226X M402 CPT 9K</t>
  </si>
  <si>
    <t>5358137121095</t>
  </si>
  <si>
    <t>C00524</t>
  </si>
  <si>
    <t>TONER XEROX 3320 106R02306 11K CPT</t>
  </si>
  <si>
    <t>5358137121101</t>
  </si>
  <si>
    <t>C00525</t>
  </si>
  <si>
    <t>TONER HP CF226A M402 CPT 3.1K</t>
  </si>
  <si>
    <t>5358137121118</t>
  </si>
  <si>
    <t>C00526</t>
  </si>
  <si>
    <t>TONER XEROX 3210 / 3220 4.1K CPT</t>
  </si>
  <si>
    <t>5358137121125</t>
  </si>
  <si>
    <t>C00528</t>
  </si>
  <si>
    <t>TONER HP Q5942X 4250/4350 CPT 20K</t>
  </si>
  <si>
    <t>5358137121132</t>
  </si>
  <si>
    <t>C00533</t>
  </si>
  <si>
    <t>TONER BROTHER TN-780/TN-750 12K CPT</t>
  </si>
  <si>
    <t>5358137121149</t>
  </si>
  <si>
    <t>C00534</t>
  </si>
  <si>
    <t>TONER OKIDATA B410/B430 3.5K CPT</t>
  </si>
  <si>
    <t>5358137121156</t>
  </si>
  <si>
    <t>C00535</t>
  </si>
  <si>
    <t>TONER LEXMARK T640/T642/T644/X642 21K CPT</t>
  </si>
  <si>
    <t>5358137121163</t>
  </si>
  <si>
    <t>C00536</t>
  </si>
  <si>
    <t>TONER HP Q7551X - P3005 13K</t>
  </si>
  <si>
    <t>5358137121170</t>
  </si>
  <si>
    <t>C00537</t>
  </si>
  <si>
    <t>TONER KYOCERA TK-1122 3K CPT FS-1060/FS-1025</t>
  </si>
  <si>
    <t>5358137121187</t>
  </si>
  <si>
    <t>C00538</t>
  </si>
  <si>
    <t>TONER KYOCERA TK-130/131/132/133/134 7.2K CPT</t>
  </si>
  <si>
    <t>5358137121194</t>
  </si>
  <si>
    <t>C00539</t>
  </si>
  <si>
    <t>TONER XEROX 3610/3615 25.3K</t>
  </si>
  <si>
    <t>5358137121200</t>
  </si>
  <si>
    <t>C00540</t>
  </si>
  <si>
    <t>TONER XEROX 3260/3225 CPT 3K 106R02778 LAT</t>
  </si>
  <si>
    <t>5358137121217</t>
  </si>
  <si>
    <t>C00555</t>
  </si>
  <si>
    <t>TONER XEROX 3330/3335/3345 CPT 106R03623 15K</t>
  </si>
  <si>
    <t>5358137121576</t>
  </si>
  <si>
    <t>C00561</t>
  </si>
  <si>
    <t>TONER HP 6511X CPT 12K</t>
  </si>
  <si>
    <t>5358137121224</t>
  </si>
  <si>
    <t>C00562</t>
  </si>
  <si>
    <t>TONER KYOCERA TK-18 FS1018/1118/1020 7.2K</t>
  </si>
  <si>
    <t>5358137121231</t>
  </si>
  <si>
    <t>C00564</t>
  </si>
  <si>
    <t>TONER SAMSUNG CLT-407 BK CPT 1.5K</t>
  </si>
  <si>
    <t>5358137121248</t>
  </si>
  <si>
    <t>C00565</t>
  </si>
  <si>
    <t>TONER SAMSUNG CLT-407 CY CPT 1K</t>
  </si>
  <si>
    <t>5358137121255</t>
  </si>
  <si>
    <t>C00566</t>
  </si>
  <si>
    <t>TONER SAMSUNG CLT-407 MG CPT 1K</t>
  </si>
  <si>
    <t>5358137121262</t>
  </si>
  <si>
    <t>C00567</t>
  </si>
  <si>
    <t>TONER SAMSUNG CLT-407 YE CPT 1K</t>
  </si>
  <si>
    <t>5358137121279</t>
  </si>
  <si>
    <t>C00569</t>
  </si>
  <si>
    <t>TONER SAMSUNG D116 BK 3K M2625/2626/2825/2875 CPT</t>
  </si>
  <si>
    <t>5358137121286</t>
  </si>
  <si>
    <t>C00574</t>
  </si>
  <si>
    <t>TONER BROTHER TN-850/TN-3449 CPT 8K</t>
  </si>
  <si>
    <t>5358137121293</t>
  </si>
  <si>
    <t>C00575</t>
  </si>
  <si>
    <t>TONER SAMSUNG SCX-6320/6322DN CPT 8K</t>
  </si>
  <si>
    <t>5358137121309</t>
  </si>
  <si>
    <t>C00576</t>
  </si>
  <si>
    <t>TONER HP CC530/CE410/380A BK  3.5K CPT</t>
  </si>
  <si>
    <t>5358137121316</t>
  </si>
  <si>
    <t>C00577</t>
  </si>
  <si>
    <t>TONER CANON 128 / 328 / 728  2,1K  CPT</t>
  </si>
  <si>
    <t>5358137121323</t>
  </si>
  <si>
    <t>C00578</t>
  </si>
  <si>
    <t>TONER BROTHER TN-221 CY HL3150 MFC9020 1.4K</t>
  </si>
  <si>
    <t>5358137121330</t>
  </si>
  <si>
    <t>C00579</t>
  </si>
  <si>
    <t>TONER BROTHER TN-221 MG HL3150 MFC9020 1.4K</t>
  </si>
  <si>
    <t>5358137121347</t>
  </si>
  <si>
    <t>C00580</t>
  </si>
  <si>
    <t>TONER BROTHER TN-221 YE HL3150 MFC9020 1.4K</t>
  </si>
  <si>
    <t>5358137121354</t>
  </si>
  <si>
    <t>C00581</t>
  </si>
  <si>
    <t>TONER OKIDATA B430 7K CPT</t>
  </si>
  <si>
    <t>5358137121361</t>
  </si>
  <si>
    <t>C00582</t>
  </si>
  <si>
    <t>TONER KYOCERA TK-1112 CPT FS1040/1020/ 1120  2.5K</t>
  </si>
  <si>
    <t>5358137121378</t>
  </si>
  <si>
    <t>C00583</t>
  </si>
  <si>
    <t>TONER LEXMARK 60F4H00 604H MX310/MX410 10K BK CPT</t>
  </si>
  <si>
    <t>5358137121385</t>
  </si>
  <si>
    <t>C00584</t>
  </si>
  <si>
    <t>TONER HP CE401A CY (507) 6K CPT</t>
  </si>
  <si>
    <t>5358137121392</t>
  </si>
  <si>
    <t>C00585</t>
  </si>
  <si>
    <t>TONER OKIDATA B4100 2.6K CPT</t>
  </si>
  <si>
    <t>5358137121408</t>
  </si>
  <si>
    <t>C00586</t>
  </si>
  <si>
    <t>TONER CANON EP-22 CPT LBP-800/810/1120 2.5K</t>
  </si>
  <si>
    <t>5358137121415</t>
  </si>
  <si>
    <t>C00587</t>
  </si>
  <si>
    <t>TONER HP C8061X CPT 10K</t>
  </si>
  <si>
    <t>5358137121422</t>
  </si>
  <si>
    <t>C00589</t>
  </si>
  <si>
    <t>TONER SAMSUNG ML-4050/4550 20K CPT</t>
  </si>
  <si>
    <t>5358137121446</t>
  </si>
  <si>
    <t>C00591</t>
  </si>
  <si>
    <t>TONER SAMSUNG CLT-404 BK 1.5K CPT</t>
  </si>
  <si>
    <t>5358137121453</t>
  </si>
  <si>
    <t>C00592</t>
  </si>
  <si>
    <t>TONER SAMSUNG CLT-404 CY 1K CPT</t>
  </si>
  <si>
    <t>5358137121460</t>
  </si>
  <si>
    <t>C00593</t>
  </si>
  <si>
    <t>TONER SAMSUNG CLT-404 MG 1K CPT</t>
  </si>
  <si>
    <t>5358137121477</t>
  </si>
  <si>
    <t>C00594</t>
  </si>
  <si>
    <t>TONER SAMSUNG CLT-404 YE 1K CPT</t>
  </si>
  <si>
    <t>5358137121484</t>
  </si>
  <si>
    <t>C00603</t>
  </si>
  <si>
    <t>TONER SAMSUNG 3050/3051 CPT 8K</t>
  </si>
  <si>
    <t>5358137121491</t>
  </si>
  <si>
    <t>C00604</t>
  </si>
  <si>
    <t>TONER HP CF410A BK 2.3K</t>
  </si>
  <si>
    <t>5358137121507</t>
  </si>
  <si>
    <t>C00605</t>
  </si>
  <si>
    <t>TONER HP CF411A CY 2.3K</t>
  </si>
  <si>
    <t>5358137121514</t>
  </si>
  <si>
    <t>C00606</t>
  </si>
  <si>
    <t>TONER HP CF413A MG 2.3K</t>
  </si>
  <si>
    <t>5358137121521</t>
  </si>
  <si>
    <t>C00607</t>
  </si>
  <si>
    <t>TONER HP CF412A YE 2.3K</t>
  </si>
  <si>
    <t>5358137121538</t>
  </si>
  <si>
    <t>C00608</t>
  </si>
  <si>
    <t>TONER LEXMARK 50F4X00 10K CPT MS410/415/510/610</t>
  </si>
  <si>
    <t>5358137121545</t>
  </si>
  <si>
    <t>C00609</t>
  </si>
  <si>
    <t>TONER DELCOP MCL 2650 CPT 4K</t>
  </si>
  <si>
    <t>5358137121552</t>
  </si>
  <si>
    <t>C00610</t>
  </si>
  <si>
    <t>TAMBOR BROTHER DR-3460 CPT ( para TN-850 ) 30K</t>
  </si>
  <si>
    <t>5358137121569</t>
  </si>
  <si>
    <t>C00611</t>
  </si>
  <si>
    <t>TONER XEROX 3550 CPT 106R01531 11K</t>
  </si>
  <si>
    <t>5358137121583</t>
  </si>
  <si>
    <t>C00612</t>
  </si>
  <si>
    <t>TONER KYOCERA TK-160/TK-162/163/164  6K CPT</t>
  </si>
  <si>
    <t>5358137121590</t>
  </si>
  <si>
    <t>C00613</t>
  </si>
  <si>
    <t>TONER HP CC364A CPT 10K</t>
  </si>
  <si>
    <t>5358137121606</t>
  </si>
  <si>
    <t>C00618</t>
  </si>
  <si>
    <t>TONER CANON 106 MF-6550 / 6530 CPT 5K</t>
  </si>
  <si>
    <t>5358137121613</t>
  </si>
  <si>
    <t>C00621</t>
  </si>
  <si>
    <t>TONER HP C 390A CPT 10K</t>
  </si>
  <si>
    <t>5358137121620</t>
  </si>
  <si>
    <t>C00623</t>
  </si>
  <si>
    <t>TAMBOR HP DR-CE314 P/CP1025 / M175NW</t>
  </si>
  <si>
    <t>5358137121637</t>
  </si>
  <si>
    <t>C00624</t>
  </si>
  <si>
    <t>TONER BROTHER TN-880/3479 CPT 12K</t>
  </si>
  <si>
    <t>5358137121644</t>
  </si>
  <si>
    <t>C00625</t>
  </si>
  <si>
    <t>TONER HP CF217A 1.6K M102/130/134</t>
  </si>
  <si>
    <t>5358137121651</t>
  </si>
  <si>
    <t>C00626</t>
  </si>
  <si>
    <t>TONER KYOCERA TK-122/120  FS 1030D CPT</t>
  </si>
  <si>
    <t>5358137121668</t>
  </si>
  <si>
    <t>C00627</t>
  </si>
  <si>
    <t>TONER HP CF230A M203/M227 1.6K</t>
  </si>
  <si>
    <t>5358137121675</t>
  </si>
  <si>
    <t>C00628</t>
  </si>
  <si>
    <t>TONER HP CF230X M203/M227 3.5K</t>
  </si>
  <si>
    <t>5358137121682</t>
  </si>
  <si>
    <t>C00630</t>
  </si>
  <si>
    <t>TONER LEXMARK T630/632/634 21K</t>
  </si>
  <si>
    <t>5358137121699</t>
  </si>
  <si>
    <t>C00631</t>
  </si>
  <si>
    <t>TONER XEROX 3550 CPT 5K</t>
  </si>
  <si>
    <t>5358137121705</t>
  </si>
  <si>
    <t>C00632</t>
  </si>
  <si>
    <t>TONER XEROX 3600 CPT 14K</t>
  </si>
  <si>
    <t>5358137121712</t>
  </si>
  <si>
    <t>C00633</t>
  </si>
  <si>
    <t>TONER SAMSUNG SCX-6320/6322DN 20K CPT</t>
  </si>
  <si>
    <t>5358137121729</t>
  </si>
  <si>
    <t>C00638</t>
  </si>
  <si>
    <t>TONER KYOCERA TK-1170 - M2040 / 2540 / 2640 7.2K</t>
  </si>
  <si>
    <t>5358137121736</t>
  </si>
  <si>
    <t>C00641</t>
  </si>
  <si>
    <t>TONER CANON GPR-22 IR1020 CPT 8.4K</t>
  </si>
  <si>
    <t>5358137121743</t>
  </si>
  <si>
    <t>C00642</t>
  </si>
  <si>
    <t>TONER SAMSUNG MLT-D112S BK 2.0K CPT</t>
  </si>
  <si>
    <t>5358137121750</t>
  </si>
  <si>
    <t>C00643</t>
  </si>
  <si>
    <t>TONER KYOCERA TK-140/141/142/144 - FS1100</t>
  </si>
  <si>
    <t>5358137121767</t>
  </si>
  <si>
    <t>C00648</t>
  </si>
  <si>
    <t>TONER KYOCERA TK-1142 7.2K CPT</t>
  </si>
  <si>
    <t>5358137121774</t>
  </si>
  <si>
    <t>C00658</t>
  </si>
  <si>
    <t>TAMBOR SAMSUNG SCX-6320/6322DN 20K CPT</t>
  </si>
  <si>
    <t>C00659</t>
  </si>
  <si>
    <t>DRUM ORIENTE SAMSUNG M3320/3370/4070</t>
  </si>
  <si>
    <t>5358137121781</t>
  </si>
  <si>
    <t>C00660</t>
  </si>
  <si>
    <t>TONER SAMSUNG CLT-508 BK  CPT</t>
  </si>
  <si>
    <t>5358137121798</t>
  </si>
  <si>
    <t>C00661</t>
  </si>
  <si>
    <t>TONER SAMSUNG CLT-508 CY  CPT</t>
  </si>
  <si>
    <t>5358137121804</t>
  </si>
  <si>
    <t>C00662</t>
  </si>
  <si>
    <t>TONER SAMSUNG CLT-508 MG  CPT</t>
  </si>
  <si>
    <t>5358137121811</t>
  </si>
  <si>
    <t>C00663</t>
  </si>
  <si>
    <t>TONER SAMSUNG CLT-508 YE  CPT</t>
  </si>
  <si>
    <t>5358137121828</t>
  </si>
  <si>
    <t>C00664</t>
  </si>
  <si>
    <t>TONER XEROX 3020-106R02773  CPT 1.5K</t>
  </si>
  <si>
    <t>5358137121835</t>
  </si>
  <si>
    <t>C00671</t>
  </si>
  <si>
    <t>TONER KYOCERA TK-360/361/362/364 FS-4020DN</t>
  </si>
  <si>
    <t>5358137121842</t>
  </si>
  <si>
    <t>C00673</t>
  </si>
  <si>
    <t>TONER SAMSUNG MLT-D111L BK 2.0K CPT SIN CHIP</t>
  </si>
  <si>
    <t>C00675</t>
  </si>
  <si>
    <t>TONER HP CF287X M501/M506/M527 18K</t>
  </si>
  <si>
    <t>5358137121859</t>
  </si>
  <si>
    <t>C00678</t>
  </si>
  <si>
    <t>TONER SAMSUNG MLT-D111L BK 2.0K CPT NEW CHIP</t>
  </si>
  <si>
    <t>C00679</t>
  </si>
  <si>
    <t>TONER SAMSUNG MLT-203U 15K CPT NEW CHIP</t>
  </si>
  <si>
    <t>C00680</t>
  </si>
  <si>
    <t>TONER SAMSUNG MLT-115L 3K CPT NEW CHIP</t>
  </si>
  <si>
    <t>C00681</t>
  </si>
  <si>
    <t>TONER SAMSUNG MLT-203E 10K CPT NEW CHIP</t>
  </si>
  <si>
    <t>C00682</t>
  </si>
  <si>
    <t>TONER HP CF248A M15/M28 1K</t>
  </si>
  <si>
    <t>5358137121873</t>
  </si>
  <si>
    <t>C00683</t>
  </si>
  <si>
    <t>TONER HP CF287A M506/M527 8.5K</t>
  </si>
  <si>
    <t>5358137122023</t>
  </si>
  <si>
    <t>C00684</t>
  </si>
  <si>
    <t>TAMBOR HP CF219A 12K (acompaña al CF-217A)</t>
  </si>
  <si>
    <t>5358137121866</t>
  </si>
  <si>
    <t>C00686</t>
  </si>
  <si>
    <t>TONER XEROX 3260/3225 CPT 3K 106R02777</t>
  </si>
  <si>
    <t>5358137121897</t>
  </si>
  <si>
    <t>C00687</t>
  </si>
  <si>
    <t>TONER HP 105X BK (W1105X) 3K 107W/107A/M135</t>
  </si>
  <si>
    <t>5358137121880</t>
  </si>
  <si>
    <t>C00688</t>
  </si>
  <si>
    <t>TONER OKIDATA B4300/4350 6K</t>
  </si>
  <si>
    <t>5358137122030</t>
  </si>
  <si>
    <t>C00696</t>
  </si>
  <si>
    <t>TAMBOR XEROX 3260/3225 CPT</t>
  </si>
  <si>
    <t>5358137121903</t>
  </si>
  <si>
    <t>C00702</t>
  </si>
  <si>
    <t>TONER HP CF279A 1K CPT</t>
  </si>
  <si>
    <t>5358137121910</t>
  </si>
  <si>
    <t>C00703</t>
  </si>
  <si>
    <t>TONER LEXMARK MS/MX 317 2.5K CPT</t>
  </si>
  <si>
    <t>5358137121927</t>
  </si>
  <si>
    <t>C00706</t>
  </si>
  <si>
    <t>TONER OKI 2520 CPT</t>
  </si>
  <si>
    <t>5358137122047</t>
  </si>
  <si>
    <t>C00707</t>
  </si>
  <si>
    <t>TONER HP CF400A BK 201A  M252/M277 1.5K</t>
  </si>
  <si>
    <t>5358137122054</t>
  </si>
  <si>
    <t>C00708</t>
  </si>
  <si>
    <t>TONER HP CF401A CY 201A  M252/M277 1.4K</t>
  </si>
  <si>
    <t>5358137122061</t>
  </si>
  <si>
    <t>C00709</t>
  </si>
  <si>
    <t>TONER HP CF402A YE 201A  M252/M277 1.4K</t>
  </si>
  <si>
    <t>5358137122078</t>
  </si>
  <si>
    <t>C00710</t>
  </si>
  <si>
    <t>TONER HP CF403A MG 201A  M252/M277 1.4K</t>
  </si>
  <si>
    <t>5358137122085</t>
  </si>
  <si>
    <t>C00711</t>
  </si>
  <si>
    <t>TONER KYOCERA TK-1160/TK-1162 CPT 7.2K</t>
  </si>
  <si>
    <t>5358137122092</t>
  </si>
  <si>
    <t>C00712</t>
  </si>
  <si>
    <t>TONER HP 105X BK (W1105X) 107W  3K SIN CHIP</t>
  </si>
  <si>
    <t>5358137121934</t>
  </si>
  <si>
    <t>C00713</t>
  </si>
  <si>
    <t>(NO USAR) TONER HP CF258A 3K SIN CHIP</t>
  </si>
  <si>
    <t>C00714</t>
  </si>
  <si>
    <t>TAMBOR OKIDATA B431 25K</t>
  </si>
  <si>
    <t>5358137122108</t>
  </si>
  <si>
    <t>C00723</t>
  </si>
  <si>
    <t>TONER XEROX 3315 5K CPT</t>
  </si>
  <si>
    <t>5358137121958</t>
  </si>
  <si>
    <t>C00732</t>
  </si>
  <si>
    <t>TONER KYOCERA TK-3122 CPT 21K</t>
  </si>
  <si>
    <t>5358137121965</t>
  </si>
  <si>
    <t>C00733</t>
  </si>
  <si>
    <t>TAMBOR XEROX 3330/3335/3345 CPT 30K</t>
  </si>
  <si>
    <t>5358137122146</t>
  </si>
  <si>
    <t>C00734</t>
  </si>
  <si>
    <t>(NO USAR)-TONER PANTUM PB-210R P2500/M6550/6600</t>
  </si>
  <si>
    <t>5358137121972</t>
  </si>
  <si>
    <t>C00735</t>
  </si>
  <si>
    <t>TONER SAMSUNG MLT-201L 10K CPT</t>
  </si>
  <si>
    <t>5358137121989</t>
  </si>
  <si>
    <t>C00736</t>
  </si>
  <si>
    <t>TONER XEROX B205/B210/B215 CPT 3K</t>
  </si>
  <si>
    <t>5358137121996</t>
  </si>
  <si>
    <t>C00749</t>
  </si>
  <si>
    <t>TAMBOR XEROX B205/B210/B215 10K</t>
  </si>
  <si>
    <t>5358137122115</t>
  </si>
  <si>
    <t>C00750</t>
  </si>
  <si>
    <t>TONER PANASONIC KX-FAT411A CPT 2K</t>
  </si>
  <si>
    <t>5358137122009</t>
  </si>
  <si>
    <t>C00751</t>
  </si>
  <si>
    <t>TAMBOR HP CF232A 23K M203/206/227/230</t>
  </si>
  <si>
    <t>5358137122016</t>
  </si>
  <si>
    <t>C00752</t>
  </si>
  <si>
    <t>TONER LEXMARK 56F4000 6K CPT MX-MS321/421/521/621</t>
  </si>
  <si>
    <t>5358137222020</t>
  </si>
  <si>
    <t>C00753</t>
  </si>
  <si>
    <t>TONER PANTUM PB210 1.6 CPT P2200/P2500/M6550/6600</t>
  </si>
  <si>
    <t>5358137122122</t>
  </si>
  <si>
    <t>C00754</t>
  </si>
  <si>
    <t>TONER PANTUM TL-410X 6K CPT P3010/3300/6700/7310</t>
  </si>
  <si>
    <t>5358137222037</t>
  </si>
  <si>
    <t>C00755</t>
  </si>
  <si>
    <t>TONER PANTUM TL425X CPT 6K P3305D/M7105D</t>
  </si>
  <si>
    <t>5358137222044</t>
  </si>
  <si>
    <t>C00758</t>
  </si>
  <si>
    <t>(NO USAR) TONER HP CF258X 10K s/chip</t>
  </si>
  <si>
    <t>5358137122139</t>
  </si>
  <si>
    <t>C00759</t>
  </si>
  <si>
    <t>TONER LEXMARK 51B4H00 MS417/517 MX417/517 8.5K</t>
  </si>
  <si>
    <t>5358137122153</t>
  </si>
  <si>
    <t>C00760</t>
  </si>
  <si>
    <t>TONER HP CF244A CPT</t>
  </si>
  <si>
    <t>53581371221605358137122</t>
  </si>
  <si>
    <t>C00761</t>
  </si>
  <si>
    <t>TONER KYOCERA TK-3182 CPT 3655</t>
  </si>
  <si>
    <t>5358137122177</t>
  </si>
  <si>
    <t>C00762</t>
  </si>
  <si>
    <t>TONER HP CF510A BK M154NW/M180NW CPT 1.1K</t>
  </si>
  <si>
    <t>5358137122184</t>
  </si>
  <si>
    <t>C00763</t>
  </si>
  <si>
    <t>TONER HP CF511A CY M154NW/M180NW CPT 900 COP</t>
  </si>
  <si>
    <t>5358137122191</t>
  </si>
  <si>
    <t>C00764</t>
  </si>
  <si>
    <t>TONER HP CF512A YE M154NW/M180NW CPT 900 COP</t>
  </si>
  <si>
    <t>5358137122207</t>
  </si>
  <si>
    <t>C00765</t>
  </si>
  <si>
    <t>TONER HP CF513A MG M154NW/M180NW CPT 900 COP</t>
  </si>
  <si>
    <t>5358137122214</t>
  </si>
  <si>
    <t>C00766</t>
  </si>
  <si>
    <t>TONER HP W1103A 103A 5K Neverstop 1000 - MFP1200</t>
  </si>
  <si>
    <t>5358137122221</t>
  </si>
  <si>
    <t>C00767</t>
  </si>
  <si>
    <t>TONER HP CF360X BK CPT</t>
  </si>
  <si>
    <t>5358137122238</t>
  </si>
  <si>
    <t>C00768</t>
  </si>
  <si>
    <t>TONER HP CF361X CY CPT</t>
  </si>
  <si>
    <t>5358137122245</t>
  </si>
  <si>
    <t>C00769</t>
  </si>
  <si>
    <t>TONER HP CF362X YE CPT</t>
  </si>
  <si>
    <t>5358137122252</t>
  </si>
  <si>
    <t>C00770</t>
  </si>
  <si>
    <t>TONER HP CF363X MG CPT</t>
  </si>
  <si>
    <t>5358137122269</t>
  </si>
  <si>
    <t>C00771</t>
  </si>
  <si>
    <t>FOTOCONDUCTOR LEXMARK MS415</t>
  </si>
  <si>
    <t>5358137122276</t>
  </si>
  <si>
    <t>C00773</t>
  </si>
  <si>
    <t>TAMBOR BROTHER DR-510 CPT</t>
  </si>
  <si>
    <t>5358137122290</t>
  </si>
  <si>
    <t>C00774</t>
  </si>
  <si>
    <t>TAMBOR BROTHER DR-221 CPT</t>
  </si>
  <si>
    <t>5358137122306</t>
  </si>
  <si>
    <t>C00775</t>
  </si>
  <si>
    <t>TONER HP CF258X 10K M404/M428</t>
  </si>
  <si>
    <t>5358137122313</t>
  </si>
  <si>
    <t>C00776</t>
  </si>
  <si>
    <t>TONER HP 105XL BK (W1105XL) 107W  5K</t>
  </si>
  <si>
    <t>5358137122320</t>
  </si>
  <si>
    <t>C00779</t>
  </si>
  <si>
    <t>TONER KYOCERA TK-1175 FS-M2640/FS-M2040 12K</t>
  </si>
  <si>
    <t>5358137122337</t>
  </si>
  <si>
    <t>C00781</t>
  </si>
  <si>
    <t>TAMBOR PANTUM TL425U 3305/ 7105/ 3105 12K</t>
  </si>
  <si>
    <t>5358137122344</t>
  </si>
  <si>
    <t>C00782</t>
  </si>
  <si>
    <t>TONER HP W1330X 15K M432/M408</t>
  </si>
  <si>
    <t>5358137122351</t>
  </si>
  <si>
    <t>C00783</t>
  </si>
  <si>
    <t>TONER HP CF400X BK 201A  M252/M277 2.8K</t>
  </si>
  <si>
    <t>5358137122368</t>
  </si>
  <si>
    <t>C00784</t>
  </si>
  <si>
    <t>TONER KYOCERA TK-3162 12.5K</t>
  </si>
  <si>
    <t>5358137122375</t>
  </si>
  <si>
    <t>C00785</t>
  </si>
  <si>
    <t>TONER KYOCERA TK-5232 BK</t>
  </si>
  <si>
    <t>5358137122382</t>
  </si>
  <si>
    <t>C00786</t>
  </si>
  <si>
    <t>TONER KYOCERA TK-5232 CY</t>
  </si>
  <si>
    <t>5358137122399</t>
  </si>
  <si>
    <t>C00787</t>
  </si>
  <si>
    <t>TONER KYOCERA TK-5232 MG</t>
  </si>
  <si>
    <t>5358137122405</t>
  </si>
  <si>
    <t>C00788</t>
  </si>
  <si>
    <t>TONER KYOCERA TK-5232 YE</t>
  </si>
  <si>
    <t>5358137122412</t>
  </si>
  <si>
    <t>C00789</t>
  </si>
  <si>
    <t>TONER PANTUM PB310 P3255/P3500/P3100 6K</t>
  </si>
  <si>
    <t>5358137122429</t>
  </si>
  <si>
    <t>C00790</t>
  </si>
  <si>
    <t>TAMBOR OKIDATA B4600 CPT</t>
  </si>
  <si>
    <t>5358137122436</t>
  </si>
  <si>
    <t>C00795</t>
  </si>
  <si>
    <t>TAMBOR PANTUM DL410 12K CPT P3010/3300/6700/7310</t>
  </si>
  <si>
    <t>5358137122443</t>
  </si>
  <si>
    <t>C00796</t>
  </si>
  <si>
    <t>TONER HP CF289X 10K CPT M507 M528</t>
  </si>
  <si>
    <t>5358137122498</t>
  </si>
  <si>
    <t>C00797</t>
  </si>
  <si>
    <t>NO USAR-TONER HP W2030X/415X BK SIN CHIP</t>
  </si>
  <si>
    <t>5358137122504</t>
  </si>
  <si>
    <t>C00798</t>
  </si>
  <si>
    <t>NO USAR-TONER HP W2031X/415X CY SIN CHIP</t>
  </si>
  <si>
    <t>5358137122511</t>
  </si>
  <si>
    <t>C00799</t>
  </si>
  <si>
    <t>NO USAR-TONER HP W2033X/415X MG SIN CHIP</t>
  </si>
  <si>
    <t>5358137122528</t>
  </si>
  <si>
    <t>C00800</t>
  </si>
  <si>
    <t>NO USAR-TONER HP W2032X/415X YE SIN CHIP</t>
  </si>
  <si>
    <t>5358137122535</t>
  </si>
  <si>
    <t>C00801</t>
  </si>
  <si>
    <t>TONER HP CF289A 5K SIN CHIP M507 M528 CPT</t>
  </si>
  <si>
    <t>5358137122542</t>
  </si>
  <si>
    <t>C00802</t>
  </si>
  <si>
    <t>TONER HP CF289A 5K M507 M528 CPT</t>
  </si>
  <si>
    <t>5358137122559</t>
  </si>
  <si>
    <t>C00803</t>
  </si>
  <si>
    <t>NO USAR-TONER HP CF289X 10K SIN CHIP M507 M528 CPT</t>
  </si>
  <si>
    <t>5358137122566</t>
  </si>
  <si>
    <t>C00804</t>
  </si>
  <si>
    <t>TAMBOR LEXMARK 50F0Z00 MS310/410/15/510/610 CPT</t>
  </si>
  <si>
    <t>C00805</t>
  </si>
  <si>
    <t>TONER PANTUM TL5120X 15K CPT BP5100/BM5100</t>
  </si>
  <si>
    <t>5358137122580</t>
  </si>
  <si>
    <t>C00806</t>
  </si>
  <si>
    <t>TONER KYOCERA TK-5242 BK CPT 4K P5026</t>
  </si>
  <si>
    <t>5358137122597</t>
  </si>
  <si>
    <t>C00807</t>
  </si>
  <si>
    <t>TONER KYOCERA TK-5242 CY CPT 3K P5026</t>
  </si>
  <si>
    <t>5358137122603</t>
  </si>
  <si>
    <t>C00808</t>
  </si>
  <si>
    <t>TONER KYOCERA TK-5242 MG CPT 3K P5026</t>
  </si>
  <si>
    <t>5358137122610</t>
  </si>
  <si>
    <t>C00809</t>
  </si>
  <si>
    <t>TONER KYOCERA TK-5242 YE CPT 3K P5026</t>
  </si>
  <si>
    <t>5358137122627</t>
  </si>
  <si>
    <t>C00810</t>
  </si>
  <si>
    <t>TONER KYOCERA TK-477 CPT 15K</t>
  </si>
  <si>
    <t>5358137122634</t>
  </si>
  <si>
    <t>C00811</t>
  </si>
  <si>
    <t>TONER HP CF410X BK</t>
  </si>
  <si>
    <t>5358137122641</t>
  </si>
  <si>
    <t>C00812</t>
  </si>
  <si>
    <t>TONER HP CF411X CY</t>
  </si>
  <si>
    <t>5358137122658</t>
  </si>
  <si>
    <t>C00813</t>
  </si>
  <si>
    <t>TONER HP CF412X YE</t>
  </si>
  <si>
    <t>5358137122665</t>
  </si>
  <si>
    <t>C00814</t>
  </si>
  <si>
    <t>TONER HP CF413X MG</t>
  </si>
  <si>
    <t>5358137122672</t>
  </si>
  <si>
    <t>C00815</t>
  </si>
  <si>
    <t>TONER BROTHER TN-1060/1030 BK CPT 1.5K</t>
  </si>
  <si>
    <t>5358137122689</t>
  </si>
  <si>
    <t>C00816</t>
  </si>
  <si>
    <t>TAMBOR PANTUM DL5120 30K CPT BP5100/BM5100</t>
  </si>
  <si>
    <t>5358137122696</t>
  </si>
  <si>
    <t>C00817</t>
  </si>
  <si>
    <t>TONER HP CF258A CON CHIP M404/M428 3K</t>
  </si>
  <si>
    <t>5358137122702</t>
  </si>
  <si>
    <t>C00818</t>
  </si>
  <si>
    <t>TONER XEROX 230</t>
  </si>
  <si>
    <t>5358137122719</t>
  </si>
  <si>
    <t>C00819</t>
  </si>
  <si>
    <t>TAMBOR HP W1332A 432/408DN</t>
  </si>
  <si>
    <t>5358137122726</t>
  </si>
  <si>
    <t>C00820</t>
  </si>
  <si>
    <t>TONER HP W1330A 5K M432/M408</t>
  </si>
  <si>
    <t>5358137122733</t>
  </si>
  <si>
    <t>C00821</t>
  </si>
  <si>
    <t>TONER CANON GPR52 C1325/C1335</t>
  </si>
  <si>
    <t>5358137122740</t>
  </si>
  <si>
    <t>C00822</t>
  </si>
  <si>
    <t>TONER HP CF217A 6K M102/130/134</t>
  </si>
  <si>
    <t>5358137122757</t>
  </si>
  <si>
    <t>C00823</t>
  </si>
  <si>
    <t>TONER LEXMARK CS410 CY CS310/410/510</t>
  </si>
  <si>
    <t>5358137122764</t>
  </si>
  <si>
    <t>C00824</t>
  </si>
  <si>
    <t>TONER LEXMARK CS410 MG CS310/410/510</t>
  </si>
  <si>
    <t>5358137122771</t>
  </si>
  <si>
    <t>C00825</t>
  </si>
  <si>
    <t>TONER RICOH SP3710 CPT</t>
  </si>
  <si>
    <t>5358137122788</t>
  </si>
  <si>
    <t>C00826</t>
  </si>
  <si>
    <t xml:space="preserve">TONER RICOH SP377 CPT </t>
  </si>
  <si>
    <t>5358137122795</t>
  </si>
  <si>
    <t>C00827</t>
  </si>
  <si>
    <t>TONER LEXMARK 56F4H00 15K MS/MX 321 421</t>
  </si>
  <si>
    <t>5358137122801</t>
  </si>
  <si>
    <t>C00828</t>
  </si>
  <si>
    <t xml:space="preserve">TONER KYOCERA TK-552 BK FS-C5200DN </t>
  </si>
  <si>
    <t>5358137122818</t>
  </si>
  <si>
    <t>C00829</t>
  </si>
  <si>
    <t xml:space="preserve">TONER KYOCERA TK-552 CY FS-C5200DN </t>
  </si>
  <si>
    <t>5358137122825</t>
  </si>
  <si>
    <t>C00830</t>
  </si>
  <si>
    <t xml:space="preserve">TONER KYOCERA TK-552 MG FS-C5200DN </t>
  </si>
  <si>
    <t>5358137122832</t>
  </si>
  <si>
    <t>C00831</t>
  </si>
  <si>
    <t xml:space="preserve">TONER KYOCERA TK-552 YE FS-C5200DN </t>
  </si>
  <si>
    <t>5358137122849</t>
  </si>
  <si>
    <t>C00832</t>
  </si>
  <si>
    <t xml:space="preserve">TONER HP CF360A BK M533/M577 </t>
  </si>
  <si>
    <t>5358137122856</t>
  </si>
  <si>
    <t>C00833</t>
  </si>
  <si>
    <t xml:space="preserve">TONER HP CF361A CY M533/M578 </t>
  </si>
  <si>
    <t>5358137122863</t>
  </si>
  <si>
    <t>C00834</t>
  </si>
  <si>
    <t xml:space="preserve">TONER HP CF363A MG M533/M579 </t>
  </si>
  <si>
    <t>5358137122870</t>
  </si>
  <si>
    <t>C00835</t>
  </si>
  <si>
    <t xml:space="preserve">TONER HP CF362A YE M533/M580 </t>
  </si>
  <si>
    <t>5358137122887</t>
  </si>
  <si>
    <t>C00836</t>
  </si>
  <si>
    <t xml:space="preserve">TONER BROTHER TN-200 CPT </t>
  </si>
  <si>
    <t>5358137122894</t>
  </si>
  <si>
    <t>C00837</t>
  </si>
  <si>
    <t>TONER LEXMARK 56F4000 6K MX/MS321</t>
  </si>
  <si>
    <t>5358137122900</t>
  </si>
  <si>
    <t>C00838</t>
  </si>
  <si>
    <t xml:space="preserve">TONER PANASONIC KX-MB1520 2.5K </t>
  </si>
  <si>
    <t>5358137122917</t>
  </si>
  <si>
    <t>C00839</t>
  </si>
  <si>
    <t>TONER BROTHER TN-421 BK L8410/L8260/L8360/L8690</t>
  </si>
  <si>
    <t>5358137122924</t>
  </si>
  <si>
    <t>C00840</t>
  </si>
  <si>
    <t>TONER BROTHER TN-421 CY L8410/L8260/L8360/L8690</t>
  </si>
  <si>
    <t>5358137122931</t>
  </si>
  <si>
    <t>C00841</t>
  </si>
  <si>
    <t>TONER BROTHER TN-421 MG L8410/L8260/L8360/L8690</t>
  </si>
  <si>
    <t>5358137122948</t>
  </si>
  <si>
    <t>C00842</t>
  </si>
  <si>
    <t>TONER BROTHER TN-421 YE L8410/L8260/L8360/L8690</t>
  </si>
  <si>
    <t>5358137122955</t>
  </si>
  <si>
    <t>C00843</t>
  </si>
  <si>
    <t xml:space="preserve">TONER BROTHER TN-760 CPT </t>
  </si>
  <si>
    <t>5358137122962</t>
  </si>
  <si>
    <t>C00844</t>
  </si>
  <si>
    <t xml:space="preserve">TONER CANON 104 CPT </t>
  </si>
  <si>
    <t>5358137122979</t>
  </si>
  <si>
    <t>C00845</t>
  </si>
  <si>
    <t xml:space="preserve">TONER HP CE250A BK 5K CM3530/CP3525 </t>
  </si>
  <si>
    <t>5358137122986</t>
  </si>
  <si>
    <t>C00846</t>
  </si>
  <si>
    <t xml:space="preserve">TONER HP CE251A CY 7K CM3530/CP3525 </t>
  </si>
  <si>
    <t>5358137122993</t>
  </si>
  <si>
    <t>C00847</t>
  </si>
  <si>
    <t xml:space="preserve">TONER HP CE253A MG 7K CM3530/CP3525 </t>
  </si>
  <si>
    <t>5358137123006</t>
  </si>
  <si>
    <t>C00848</t>
  </si>
  <si>
    <t xml:space="preserve">TONER HP CE252A YE 7K CM3530/CP3525 </t>
  </si>
  <si>
    <t>5358137123013</t>
  </si>
  <si>
    <t>C00849</t>
  </si>
  <si>
    <t xml:space="preserve">TONER HP CF401X CY 2.3K M252/M277 </t>
  </si>
  <si>
    <t>5358137123020</t>
  </si>
  <si>
    <t>C00850</t>
  </si>
  <si>
    <t xml:space="preserve">TONER HP CF402X YE 2.3K M252/M277 </t>
  </si>
  <si>
    <t>5358137123037</t>
  </si>
  <si>
    <t>C00851</t>
  </si>
  <si>
    <t xml:space="preserve">TONER HP CF403X MG 2.3K M252/M277 </t>
  </si>
  <si>
    <t>5358137123044</t>
  </si>
  <si>
    <t>C00852</t>
  </si>
  <si>
    <t xml:space="preserve">TONER HP CF259X SIN CHIP M304/404/428 </t>
  </si>
  <si>
    <t>5358137123051</t>
  </si>
  <si>
    <t>C00853</t>
  </si>
  <si>
    <t xml:space="preserve">TONER HP CF259X M304/404/428 </t>
  </si>
  <si>
    <t>5358137123068</t>
  </si>
  <si>
    <t>C00854</t>
  </si>
  <si>
    <t>TONER HP CF233A 2.3K M106/M134</t>
  </si>
  <si>
    <t>5358137123075</t>
  </si>
  <si>
    <t>C00855</t>
  </si>
  <si>
    <t xml:space="preserve">TONER HP CF502A YE 1.3K M254/280/281 </t>
  </si>
  <si>
    <t>5358137123082</t>
  </si>
  <si>
    <t>C00856</t>
  </si>
  <si>
    <t xml:space="preserve">TONER HP CF500A BK 1.3K M254/280/281 </t>
  </si>
  <si>
    <t>5358137123099</t>
  </si>
  <si>
    <t>C00857</t>
  </si>
  <si>
    <t xml:space="preserve">TONER HP CF501A CY 1.3K M254/280/281 </t>
  </si>
  <si>
    <t>5358137123105</t>
  </si>
  <si>
    <t>C00858</t>
  </si>
  <si>
    <t xml:space="preserve">TONER HP CF503A MG 1.3K M254/280/281 </t>
  </si>
  <si>
    <t>5358137123112</t>
  </si>
  <si>
    <t>C00859</t>
  </si>
  <si>
    <t xml:space="preserve">TONER KYOCERA TK-592 BK M6026/C2126 </t>
  </si>
  <si>
    <t>5358137123129</t>
  </si>
  <si>
    <t>C00860</t>
  </si>
  <si>
    <t xml:space="preserve">TONER KYOCERA TK-592 CY M6026/C2126 </t>
  </si>
  <si>
    <t>5358137123136</t>
  </si>
  <si>
    <t>C00861</t>
  </si>
  <si>
    <t xml:space="preserve">TONER KYOCERA TK-592 MG M6026/C2126 </t>
  </si>
  <si>
    <t>5358137123143</t>
  </si>
  <si>
    <t>C00862</t>
  </si>
  <si>
    <t xml:space="preserve">TONER KYOCERA TK-592 YE M6026/C2126 </t>
  </si>
  <si>
    <t>5358137123150</t>
  </si>
  <si>
    <t>C00863</t>
  </si>
  <si>
    <t xml:space="preserve">TONER KYOCERA TK-5142 BK M6530/P6130 </t>
  </si>
  <si>
    <t>5358137123167</t>
  </si>
  <si>
    <t>C00864</t>
  </si>
  <si>
    <t xml:space="preserve">TONER KYOCERA TK-5142 CY M6530/P6130 </t>
  </si>
  <si>
    <t>5358137123174</t>
  </si>
  <si>
    <t>C00865</t>
  </si>
  <si>
    <t xml:space="preserve">TONER KYOCERA TK-5142 MG M6530/P6130 </t>
  </si>
  <si>
    <t>5358137123181</t>
  </si>
  <si>
    <t>C00866</t>
  </si>
  <si>
    <t xml:space="preserve">TONER KYOCERA TK-5142 YE M6530/P6130 </t>
  </si>
  <si>
    <t>5358137123198</t>
  </si>
  <si>
    <t>C00867</t>
  </si>
  <si>
    <t xml:space="preserve">TONER KYOCERA TK-60 FS1800/3800 </t>
  </si>
  <si>
    <t>5358137123204</t>
  </si>
  <si>
    <t>C00868</t>
  </si>
  <si>
    <t xml:space="preserve">TONER KYOCERA TK-170 FS1320/1370 </t>
  </si>
  <si>
    <t>5358137123211</t>
  </si>
  <si>
    <t>C00869</t>
  </si>
  <si>
    <t xml:space="preserve">TONER KYOCERA TK-420 KM2550 </t>
  </si>
  <si>
    <t>5358137123228</t>
  </si>
  <si>
    <t>C00870</t>
  </si>
  <si>
    <t xml:space="preserve">TONER KYOCERA TK-320/TK-322 FS3900/4000 </t>
  </si>
  <si>
    <t>5358137123235</t>
  </si>
  <si>
    <t>C00871</t>
  </si>
  <si>
    <t xml:space="preserve">TONER LEXMARK T630/T632T/634 32K </t>
  </si>
  <si>
    <t>5358137123242</t>
  </si>
  <si>
    <t>C00872</t>
  </si>
  <si>
    <t xml:space="preserve">TONER LEXMARK T650/T652/T654 25K </t>
  </si>
  <si>
    <t>5358137123259</t>
  </si>
  <si>
    <t>C00873</t>
  </si>
  <si>
    <t>TONER SAMSUNG MLT-D307E 20K</t>
  </si>
  <si>
    <t>5358137123266</t>
  </si>
  <si>
    <t>C00874</t>
  </si>
  <si>
    <t xml:space="preserve">TONER SAMSUNG MLT-D307E 40K </t>
  </si>
  <si>
    <t>5358137123273</t>
  </si>
  <si>
    <t>C00875</t>
  </si>
  <si>
    <t>TONER SAMSUNG MLT-D307L 15K</t>
  </si>
  <si>
    <t>5358137123280</t>
  </si>
  <si>
    <t>C00876</t>
  </si>
  <si>
    <t xml:space="preserve">TONER XEROX 7800 CY 17K </t>
  </si>
  <si>
    <t>5358137123297</t>
  </si>
  <si>
    <t>C00877</t>
  </si>
  <si>
    <t xml:space="preserve">TONER XEROX 7800 MG 17K </t>
  </si>
  <si>
    <t>5358137123303</t>
  </si>
  <si>
    <t>C00878</t>
  </si>
  <si>
    <t xml:space="preserve">TONER XEROX 7800 YE 17K </t>
  </si>
  <si>
    <t>5358137123310</t>
  </si>
  <si>
    <t>C00879</t>
  </si>
  <si>
    <t xml:space="preserve">TONER XEROX 7800 BK 17K </t>
  </si>
  <si>
    <t>5358137123327</t>
  </si>
  <si>
    <t>C00880</t>
  </si>
  <si>
    <t xml:space="preserve">TONER RICOH SP5200 25K CPT </t>
  </si>
  <si>
    <t>5358137123334</t>
  </si>
  <si>
    <t>C00881</t>
  </si>
  <si>
    <t>TONER KYOCERA TK-1248 PA/MA2001</t>
  </si>
  <si>
    <t>5358137123341</t>
  </si>
  <si>
    <t>C00882</t>
  </si>
  <si>
    <t xml:space="preserve">TONER HP CF237X 22K M608/609/631 </t>
  </si>
  <si>
    <t>5358137123358</t>
  </si>
  <si>
    <t>C00883</t>
  </si>
  <si>
    <t>TONER HP W1330A SIN CHIP M432/M408</t>
  </si>
  <si>
    <t>5358137123365</t>
  </si>
  <si>
    <t>C00884</t>
  </si>
  <si>
    <t>TONER HP W1330X SIN CHIP M432/M408</t>
  </si>
  <si>
    <t>5358137123372</t>
  </si>
  <si>
    <t>C00885</t>
  </si>
  <si>
    <t>LIBRE PARA USAR</t>
  </si>
  <si>
    <t>5358137123389</t>
  </si>
  <si>
    <t>C00886</t>
  </si>
  <si>
    <t xml:space="preserve">TONER HP W2030X/415X BK M454/M470/M479 </t>
  </si>
  <si>
    <t>5358137123396</t>
  </si>
  <si>
    <t>C00887</t>
  </si>
  <si>
    <t>TONER HP W2031X/415X CY M454/M470/M479</t>
  </si>
  <si>
    <t>5358137123402</t>
  </si>
  <si>
    <t>C00888</t>
  </si>
  <si>
    <t xml:space="preserve">TONER HP W2032X/415X YE M454/M470/M479 </t>
  </si>
  <si>
    <t>5358137123419</t>
  </si>
  <si>
    <t>C00889</t>
  </si>
  <si>
    <t xml:space="preserve">TONER HP W2033X/415X MG M454/M470/M479 </t>
  </si>
  <si>
    <t>5358137123426</t>
  </si>
  <si>
    <t>C00890</t>
  </si>
  <si>
    <t>TONER HP W2020X/414X BK 7,5K M454/M470/M479</t>
  </si>
  <si>
    <t>5358137123433</t>
  </si>
  <si>
    <t>C00891</t>
  </si>
  <si>
    <t>TONER HP W2021X/414X CY 6K M454/M470/M479</t>
  </si>
  <si>
    <t>5358137123440</t>
  </si>
  <si>
    <t>C00892</t>
  </si>
  <si>
    <t>TONER HP W2022X/414X YE 6K M454/M470/M479</t>
  </si>
  <si>
    <t>5358137123457</t>
  </si>
  <si>
    <t>C00893</t>
  </si>
  <si>
    <t>TONER HP W2023X/414X MG 6K M454/M470/M479</t>
  </si>
  <si>
    <t>5358137123464</t>
  </si>
  <si>
    <t>C00894</t>
  </si>
  <si>
    <t xml:space="preserve">TONER HP W2310A BK 1K M155/M182/M183 </t>
  </si>
  <si>
    <t>5358137123471</t>
  </si>
  <si>
    <t>C00895</t>
  </si>
  <si>
    <t xml:space="preserve">TONER HP W2311A CY 0.85K M155/M182/M183 </t>
  </si>
  <si>
    <t>5358137123488</t>
  </si>
  <si>
    <t>C00896</t>
  </si>
  <si>
    <t xml:space="preserve">TONER HP W2312A YE 0.85K M155/M182/M183 </t>
  </si>
  <si>
    <t>5358137123495</t>
  </si>
  <si>
    <t>C00897</t>
  </si>
  <si>
    <t xml:space="preserve">TONER HP W2313A MG 0.85K M155/M182/M183 </t>
  </si>
  <si>
    <t>5358137123501</t>
  </si>
  <si>
    <t>C00898</t>
  </si>
  <si>
    <t>TONER HP W2030X/415X BK SIN CHIP</t>
  </si>
  <si>
    <t>5358137123518</t>
  </si>
  <si>
    <t>C00899</t>
  </si>
  <si>
    <t>TONER HP W2031X/415X CY SIN CHIP</t>
  </si>
  <si>
    <t>5358137123525</t>
  </si>
  <si>
    <t>C00900</t>
  </si>
  <si>
    <t>TONER HP W2032X/415X YE SIN CHIP</t>
  </si>
  <si>
    <t>5358137123532</t>
  </si>
  <si>
    <t>C00901</t>
  </si>
  <si>
    <t>TONER HP W2033X/415X MG SIN CHIP</t>
  </si>
  <si>
    <t>5358137123549</t>
  </si>
  <si>
    <t>C00902</t>
  </si>
  <si>
    <t>TONER HP W2020X/414X BK 7,5K SIN CHIP</t>
  </si>
  <si>
    <t>5358137123556</t>
  </si>
  <si>
    <t>C00903</t>
  </si>
  <si>
    <t>TONER HP W2021X/414X CY 6K SIN CHIP</t>
  </si>
  <si>
    <t>5358137123563</t>
  </si>
  <si>
    <t>C00904</t>
  </si>
  <si>
    <t>TONER HP W2022X/414X YE 6K SIN CHIP</t>
  </si>
  <si>
    <t>5358137123570</t>
  </si>
  <si>
    <t>C00905</t>
  </si>
  <si>
    <t>TONER HP W2023X/414X MG 6K SIN CHIP</t>
  </si>
  <si>
    <t>5358137123587</t>
  </si>
  <si>
    <t>C00906</t>
  </si>
  <si>
    <t>TONER LEXMARK 55B4H00 15K MS/MX 331/431</t>
  </si>
  <si>
    <t>5358137123594</t>
  </si>
  <si>
    <t>C00907</t>
  </si>
  <si>
    <t>TONER PANTUM TL425U 11K P3305D/M7105D</t>
  </si>
  <si>
    <t>5358137123600</t>
  </si>
  <si>
    <t>C00908</t>
  </si>
  <si>
    <t xml:space="preserve">TONER SINDOH M610 6K M610/611/612 </t>
  </si>
  <si>
    <t>5358137123617</t>
  </si>
  <si>
    <t>C00909</t>
  </si>
  <si>
    <t xml:space="preserve">TONER XEROX B400/B405 13,9K </t>
  </si>
  <si>
    <t>5358137123624</t>
  </si>
  <si>
    <t>C00910</t>
  </si>
  <si>
    <t xml:space="preserve">TAMBOR SINDOH DR-A413 </t>
  </si>
  <si>
    <t>5358137123631</t>
  </si>
  <si>
    <t>C00911</t>
  </si>
  <si>
    <t xml:space="preserve">TAMBOR SINDOH DR-M610 M610/611 </t>
  </si>
  <si>
    <t>5358137123648</t>
  </si>
  <si>
    <t>C00912</t>
  </si>
  <si>
    <t xml:space="preserve">TONER XEROX C400 BK </t>
  </si>
  <si>
    <t>5358137123655</t>
  </si>
  <si>
    <t>C00913</t>
  </si>
  <si>
    <t xml:space="preserve">TONER XEROX C400 CY </t>
  </si>
  <si>
    <t>5358137123662</t>
  </si>
  <si>
    <t>C00914</t>
  </si>
  <si>
    <t xml:space="preserve">TONER XEROX C400 MG </t>
  </si>
  <si>
    <t>5358137123679</t>
  </si>
  <si>
    <t>C00915</t>
  </si>
  <si>
    <t xml:space="preserve">TONER XEROX C400 YE </t>
  </si>
  <si>
    <t>5358137123686</t>
  </si>
  <si>
    <t>C00916</t>
  </si>
  <si>
    <t xml:space="preserve">TONER HP W9060MC BK E5540/E5740 </t>
  </si>
  <si>
    <t>5358137123693</t>
  </si>
  <si>
    <t>C00917</t>
  </si>
  <si>
    <t xml:space="preserve">TONER HP W9060MC CY E5540/E5740 </t>
  </si>
  <si>
    <t>5358137123709</t>
  </si>
  <si>
    <t>C00918</t>
  </si>
  <si>
    <t xml:space="preserve">TONER HP W9060MC MG E5540/E5740 </t>
  </si>
  <si>
    <t>5358137123716</t>
  </si>
  <si>
    <t>C00919</t>
  </si>
  <si>
    <t xml:space="preserve">TONER HP W9060MC YE E5540/E5740 </t>
  </si>
  <si>
    <t>5358137123723</t>
  </si>
  <si>
    <t>C00920</t>
  </si>
  <si>
    <t xml:space="preserve">TONER BROTHER TN-436 BK L8360/8900/9310/9570 </t>
  </si>
  <si>
    <t>5358137123730</t>
  </si>
  <si>
    <t>C00921</t>
  </si>
  <si>
    <t xml:space="preserve">TONER BROTHER TN-436 CY L8360/8900/9310/9570 </t>
  </si>
  <si>
    <t>5358137123747</t>
  </si>
  <si>
    <t>C00922</t>
  </si>
  <si>
    <t xml:space="preserve">TONER BROTHER TN-436 MG L8360/8900/9310/9570 </t>
  </si>
  <si>
    <t>5358137123754</t>
  </si>
  <si>
    <t>C00923</t>
  </si>
  <si>
    <t xml:space="preserve">TONER BROTHER TN-436 YE L8360/8900/9310/9570 </t>
  </si>
  <si>
    <t>5358137123761</t>
  </si>
  <si>
    <t>C00924</t>
  </si>
  <si>
    <t>5358137123778</t>
  </si>
  <si>
    <t>C00925</t>
  </si>
  <si>
    <t>TONER KYOCERA TK-1150 3K M2135/2635/2735</t>
  </si>
  <si>
    <t>5358137123785</t>
  </si>
  <si>
    <t>C00926</t>
  </si>
  <si>
    <t xml:space="preserve">TONER LEXMARK XM3150 CPT </t>
  </si>
  <si>
    <t>5358137123792</t>
  </si>
  <si>
    <t>C00927</t>
  </si>
  <si>
    <t xml:space="preserve">TONER SAMSUNG MLT-D358S 30K M4370/M5370 </t>
  </si>
  <si>
    <t>5358137123808</t>
  </si>
  <si>
    <t>C00928</t>
  </si>
  <si>
    <t>TAMBOR KYOCERA DRTK-1150 M2135/2635/2735</t>
  </si>
  <si>
    <t>5358137123815</t>
  </si>
  <si>
    <t>C00929</t>
  </si>
  <si>
    <t xml:space="preserve">TAMBOR KYOCERA DRTK-1243 MA2000/PA2000 </t>
  </si>
  <si>
    <t>5358137123822</t>
  </si>
  <si>
    <t>C00930</t>
  </si>
  <si>
    <t xml:space="preserve">TAMBOR LEXMARK 56F0Z00 MX/MS 321/421/521 </t>
  </si>
  <si>
    <t>5358137123839</t>
  </si>
  <si>
    <t>C00931</t>
  </si>
  <si>
    <t xml:space="preserve">TAMBOR SAMSUNG R404 C430/C480/432/433 </t>
  </si>
  <si>
    <t>5358137123846</t>
  </si>
  <si>
    <t>C00932</t>
  </si>
  <si>
    <t>TONER LEXMARK CS410 YE CS310/410/510</t>
  </si>
  <si>
    <t>5358137123853</t>
  </si>
  <si>
    <t>C00933</t>
  </si>
  <si>
    <t>TONER XEROX 3435 10K</t>
  </si>
  <si>
    <t>5358137123860</t>
  </si>
  <si>
    <t>C00934</t>
  </si>
  <si>
    <t>TONER KYOCERA TK-3102 M3040</t>
  </si>
  <si>
    <t>5358137123877</t>
  </si>
  <si>
    <t>C00944</t>
  </si>
  <si>
    <t>TONER SAMSUNG MLT-303E 40K P/ M4580FX COMP</t>
  </si>
  <si>
    <t>5358137123976</t>
  </si>
  <si>
    <t>C00945</t>
  </si>
  <si>
    <t>TONER PANTUM PB310X P3500 10K</t>
  </si>
  <si>
    <t>5358137123983</t>
  </si>
  <si>
    <t>C00946</t>
  </si>
  <si>
    <t>TONER PANTUM PD219 CPT 1.6K P2509W/M6559</t>
  </si>
  <si>
    <t>5358137123990</t>
  </si>
  <si>
    <t>C00947</t>
  </si>
  <si>
    <t>TONER HP W1510A 151A 4003/4101/4102/4103</t>
  </si>
  <si>
    <t>5358137124003</t>
  </si>
  <si>
    <t>C00948</t>
  </si>
  <si>
    <t>TONER HP W1510X 151X 9.7K 4003/4101/4102/4103</t>
  </si>
  <si>
    <t>5358137124010</t>
  </si>
  <si>
    <t>C00949</t>
  </si>
  <si>
    <t>TONER XEROX 006R04403 3K CPT B230/B225/B235</t>
  </si>
  <si>
    <t>5358137124027</t>
  </si>
  <si>
    <t>C00950</t>
  </si>
  <si>
    <t>TONER XEROX 006R04404 6K CPT B230/B225/B235</t>
  </si>
  <si>
    <t>5358137124034</t>
  </si>
  <si>
    <t>C00951</t>
  </si>
  <si>
    <t>TAMBOR XEROX 013R00691 12K CPT B230/B225/B235</t>
  </si>
  <si>
    <t>5358137124041</t>
  </si>
  <si>
    <t>C00952</t>
  </si>
  <si>
    <t>TONER BROTHER TN-3609XXL CPT 11K L5210/L6415</t>
  </si>
  <si>
    <t>5358137124058</t>
  </si>
  <si>
    <t>C00955</t>
  </si>
  <si>
    <t>TONER KYOCERA TK-3432 21K 5500</t>
  </si>
  <si>
    <t>5358137124089</t>
  </si>
  <si>
    <t>C00956</t>
  </si>
  <si>
    <t>TONER HP W1500A 150A 1K M109/110/111/112/139 CPT</t>
  </si>
  <si>
    <t>5358137124096</t>
  </si>
  <si>
    <t>C00957</t>
  </si>
  <si>
    <t>TONER HP W1500X 150X 110/111/112/139 1.4KCPT</t>
  </si>
  <si>
    <t>5358137124102</t>
  </si>
  <si>
    <t>C00958</t>
  </si>
  <si>
    <t>TONER SAMSUNG MLT-D204L 5000 COP</t>
  </si>
  <si>
    <t>5358137124119</t>
  </si>
  <si>
    <t>C00959</t>
  </si>
  <si>
    <t>TONER SAMSUNG MLT-D204E 10000 COP</t>
  </si>
  <si>
    <t>5358137124126</t>
  </si>
  <si>
    <t>C00960</t>
  </si>
  <si>
    <t>DRUM SAMSUNG DR-D204 30.000 COPIAS</t>
  </si>
  <si>
    <t>5358137124133</t>
  </si>
  <si>
    <t>C00962</t>
  </si>
  <si>
    <t>TAMBOR KYOCERA DK-1242</t>
  </si>
  <si>
    <t>5358137124157</t>
  </si>
  <si>
    <t>C00963</t>
  </si>
  <si>
    <t>TONER KYOCERA TK-1242 CPT</t>
  </si>
  <si>
    <t>5358137124164</t>
  </si>
  <si>
    <t>C00964</t>
  </si>
  <si>
    <t>TONER HP W1450X 145X 3.8K CPT 3001/2/3/4/3101/2/3</t>
  </si>
  <si>
    <t>5358137124171</t>
  </si>
  <si>
    <t>C00967</t>
  </si>
  <si>
    <t>TAMBOR BROTHER DR-3609</t>
  </si>
  <si>
    <t>5358137124188</t>
  </si>
  <si>
    <t>C00968</t>
  </si>
  <si>
    <t>TONER BROTHER DR-3609 11K GRAVITY</t>
  </si>
  <si>
    <t>C00969</t>
  </si>
  <si>
    <t>TONER PANTUM T2310H 1.6K CPT BP2300/BM2300</t>
  </si>
  <si>
    <t>C00970</t>
  </si>
  <si>
    <t>TAMBOR LEXMARK 431</t>
  </si>
  <si>
    <t>C00974</t>
  </si>
  <si>
    <t>TONER BROTHER TN-3619 CPT 18K L5210/L6415</t>
  </si>
  <si>
    <t>E00159</t>
  </si>
  <si>
    <t>TONER SAMSUNG CPT ML1610/2010/4521/X3117 3K ECOJET</t>
  </si>
  <si>
    <t>4358125120018</t>
  </si>
  <si>
    <t>E00160</t>
  </si>
  <si>
    <t>TONER HP Q2612A / CANON FX9 / FX10 2K ECOJET</t>
  </si>
  <si>
    <t>4350125120258</t>
  </si>
  <si>
    <t>E00163</t>
  </si>
  <si>
    <t>TONER LEXMARK E120 - 12018SL CPT 2K ECOJET</t>
  </si>
  <si>
    <t>4357125120134</t>
  </si>
  <si>
    <t>E00165</t>
  </si>
  <si>
    <t>4350125120050</t>
  </si>
  <si>
    <t>E00178</t>
  </si>
  <si>
    <t>TONER BROTHER TN-360/TN-2115/2125 CPT 2.6K ECOJET</t>
  </si>
  <si>
    <t>4353137120018</t>
  </si>
  <si>
    <t>E00183</t>
  </si>
  <si>
    <t>4352137120066</t>
  </si>
  <si>
    <t>E00184</t>
  </si>
  <si>
    <t>TONER SAMSUNG MLT-104S 1665/3200/3205 1.5K ECOJET</t>
  </si>
  <si>
    <t>4358125120056</t>
  </si>
  <si>
    <t>E00187</t>
  </si>
  <si>
    <t>TONER SAMSUNG 105L 2,5K CPT ECOJET</t>
  </si>
  <si>
    <t>4359137120010</t>
  </si>
  <si>
    <t>E00190</t>
  </si>
  <si>
    <t>TONER BROTHER TN-450/2250 CPT 2.5K ECOJET</t>
  </si>
  <si>
    <t>4353125120037</t>
  </si>
  <si>
    <t>E00204</t>
  </si>
  <si>
    <t>TONER SAMSUNG D101/ML-2165 1.5K ECOJET</t>
  </si>
  <si>
    <t>4358137120181</t>
  </si>
  <si>
    <t>E00206</t>
  </si>
  <si>
    <t>4353137120056</t>
  </si>
  <si>
    <t>E00207</t>
  </si>
  <si>
    <t>4358137120198</t>
  </si>
  <si>
    <t>E00303</t>
  </si>
  <si>
    <t>TONER SAMSUNG MLT-D103L 2.5k CPT ECOJET</t>
  </si>
  <si>
    <t>4350137121014</t>
  </si>
  <si>
    <t>E00317</t>
  </si>
  <si>
    <t>TONER SAMSUNG MLT-1640/108 CPT 1.5K ECOJET</t>
  </si>
  <si>
    <t>4350137120857</t>
  </si>
  <si>
    <t>E00328</t>
  </si>
  <si>
    <t>TONER HP CF280A/CE505A/CRG120 CPT 2.3K ECOJET</t>
  </si>
  <si>
    <t>4350137121359</t>
  </si>
  <si>
    <t>E00375</t>
  </si>
  <si>
    <t>TONER BROTHER TN-1060/1030 BK CPT 1K ECOJET</t>
  </si>
  <si>
    <t>4350137121151</t>
  </si>
  <si>
    <t>E00389</t>
  </si>
  <si>
    <t>TONER SAMSUNG MLT-D111L BK 2.0K ECOJET</t>
  </si>
  <si>
    <t>4350137121182</t>
  </si>
  <si>
    <t>E00390</t>
  </si>
  <si>
    <t>4350137121199</t>
  </si>
  <si>
    <t>E00391</t>
  </si>
  <si>
    <t>TONER HP 435/436/285A/278A 2K ECOJET</t>
  </si>
  <si>
    <t>4350137121168</t>
  </si>
  <si>
    <t>E00399</t>
  </si>
  <si>
    <t>TAMBOR BROTHER DR-1060 CPT 10K ECOJET</t>
  </si>
  <si>
    <t>4358137120327</t>
  </si>
  <si>
    <t>E00400</t>
  </si>
  <si>
    <t>TONER XEROX 3250 CPT 5K 106R01374 ECOJET</t>
  </si>
  <si>
    <t>4358137120334</t>
  </si>
  <si>
    <t>E00413</t>
  </si>
  <si>
    <t>4358137120532</t>
  </si>
  <si>
    <t>E00427</t>
  </si>
  <si>
    <t>4358137120556</t>
  </si>
  <si>
    <t>E00428</t>
  </si>
  <si>
    <t>TONER BROTHER TN-660/2370 CPT 2.6K ECOJET</t>
  </si>
  <si>
    <t>4358137120341</t>
  </si>
  <si>
    <t>E00429</t>
  </si>
  <si>
    <t>4358137120457</t>
  </si>
  <si>
    <t>E00434</t>
  </si>
  <si>
    <t>TAMBOR BROTHER DR-720/750/780 CPT 25K ECOJET</t>
  </si>
  <si>
    <t>4358137120402</t>
  </si>
  <si>
    <t>E00436</t>
  </si>
  <si>
    <t>TAMBOR BROTHER DR-630/660 CPT 12K ECOJET</t>
  </si>
  <si>
    <t>4358137120426</t>
  </si>
  <si>
    <t>E00574</t>
  </si>
  <si>
    <t>TONER BROTHER TN-850/TN-3449 CPT 8K ECOJET</t>
  </si>
  <si>
    <t>4358137121294</t>
  </si>
  <si>
    <t>E00642</t>
  </si>
  <si>
    <t>TONER SAMSUNG MLT-D112S BK 2.0K CPT ECOJET</t>
  </si>
  <si>
    <t>4358137121751</t>
  </si>
  <si>
    <t>E00664</t>
  </si>
  <si>
    <t>TONER XEROX 3020-106R02773 CPT 1.5K ECOJET</t>
  </si>
  <si>
    <t>4358137121836</t>
  </si>
  <si>
    <t>E00678</t>
  </si>
  <si>
    <t>TONER SAMSUNG MLT-D111L BK 2K ECOJET NEW CHIP</t>
  </si>
  <si>
    <t>E00679</t>
  </si>
  <si>
    <t>TONER SAMSUNG MLT-203U 15K CPT NEW CH ECOJ</t>
  </si>
  <si>
    <t>E00680</t>
  </si>
  <si>
    <t>TONER SAMSUNG MLT-115L 3K CPT NEW CHIP ECOJET</t>
  </si>
  <si>
    <t>E00687</t>
  </si>
  <si>
    <t>TONER HP 105X BK (W1105X) 3K 107W/107A/M135 ECOJ</t>
  </si>
  <si>
    <t>4358137121881</t>
  </si>
  <si>
    <t>T00293</t>
  </si>
  <si>
    <t>REFILL PANTUM RK-219 PB210 1.6K</t>
  </si>
  <si>
    <t>Fecha Proxima Importacion</t>
  </si>
  <si>
    <t>Dias Pedido</t>
  </si>
  <si>
    <t>Dias Duracion</t>
  </si>
  <si>
    <t>Relacion Venta Marcas</t>
  </si>
  <si>
    <t>Articulo.1</t>
  </si>
  <si>
    <t>Articulo.2</t>
  </si>
  <si>
    <t>Articulo.3</t>
  </si>
  <si>
    <t>Stock Act.1</t>
  </si>
  <si>
    <t>Stock Act.2</t>
  </si>
  <si>
    <t>Stock Act.3</t>
  </si>
  <si>
    <t>I M P O R T A C I O N  -  599</t>
  </si>
  <si>
    <t>Arribo</t>
  </si>
  <si>
    <t>Dias Arribo.</t>
  </si>
  <si>
    <t>Quiebre Stk.1</t>
  </si>
  <si>
    <t>% Proteccion.1</t>
  </si>
  <si>
    <t>Quiebre Stk.2</t>
  </si>
  <si>
    <t>% Proteccion.2</t>
  </si>
  <si>
    <t>Quiebre Stk.3</t>
  </si>
  <si>
    <t>% Proteccion.3</t>
  </si>
  <si>
    <t>Stk.Marca 1+2+3</t>
  </si>
  <si>
    <t>Pedidos.1</t>
  </si>
  <si>
    <t>Pedidos.2</t>
  </si>
  <si>
    <t>Pedidos.3</t>
  </si>
  <si>
    <t>Stk.Arribo.1</t>
  </si>
  <si>
    <t>Stk.Arribo.2</t>
  </si>
  <si>
    <t>Stk.Arribo.3</t>
  </si>
  <si>
    <t>FOB Arribo.1</t>
  </si>
  <si>
    <t>FOB Arribo.2</t>
  </si>
  <si>
    <t>FOB Arribo.3</t>
  </si>
  <si>
    <t>UnidxEnv</t>
  </si>
  <si>
    <t>Volumen</t>
  </si>
  <si>
    <t>S T O C K   A L  18/10/2026</t>
  </si>
  <si>
    <t>Arribo Prox.</t>
  </si>
  <si>
    <t>Dias Arribo</t>
  </si>
  <si>
    <t>Suma Tot. Quiebre</t>
  </si>
  <si>
    <t>Pond. %Protecc.</t>
  </si>
  <si>
    <t>Pedir Artic.1</t>
  </si>
  <si>
    <t>Confirmado Art.1</t>
  </si>
  <si>
    <t>Pedir Artic.2</t>
  </si>
  <si>
    <t>Confirmado Art.2</t>
  </si>
  <si>
    <t>Pedir Artic.3</t>
  </si>
  <si>
    <t>Confirmado Art.3</t>
  </si>
  <si>
    <t>Stk.Acumulado.1</t>
  </si>
  <si>
    <t>Stk.Acumulado.2</t>
  </si>
  <si>
    <t>Stk.Acumulado.3</t>
  </si>
  <si>
    <t>FOB U$S Art.1</t>
  </si>
  <si>
    <t>Prov. Cpa. Art.1</t>
  </si>
  <si>
    <t>FOB U$S Art.2</t>
  </si>
  <si>
    <t>Prov. Cpa. Art.2</t>
  </si>
  <si>
    <t>FOB U$S Art.3</t>
  </si>
  <si>
    <t>Prov. Cpa. Art.3</t>
  </si>
  <si>
    <t>S T O C K   A L  16/01/2027</t>
  </si>
  <si>
    <t>Stk.Final.1</t>
  </si>
  <si>
    <t>Stk.Final.2</t>
  </si>
  <si>
    <t>Stk.Final.3</t>
  </si>
  <si>
    <t>Suma Tot. Stk.Final</t>
  </si>
  <si>
    <t>Estado Art.1</t>
  </si>
  <si>
    <t>5</t>
  </si>
  <si>
    <t>SIN STOCK</t>
  </si>
  <si>
    <t>TOT STK</t>
  </si>
  <si>
    <t>C/STK</t>
  </si>
  <si>
    <t>VTA</t>
  </si>
  <si>
    <t>DDSTK</t>
  </si>
  <si>
    <t>in adv gra</t>
  </si>
  <si>
    <t>in adv Eco</t>
  </si>
  <si>
    <t>C00975</t>
  </si>
  <si>
    <t>C00976</t>
  </si>
  <si>
    <t>TONER PANTUM T2311H 1.6K CPT</t>
  </si>
  <si>
    <t>TONER BROTHER TN-116  1K CPT</t>
  </si>
  <si>
    <t>5358137124195</t>
  </si>
  <si>
    <t>5358137124201</t>
  </si>
  <si>
    <t>5358137124218</t>
  </si>
  <si>
    <t>5358137124225</t>
  </si>
  <si>
    <t>PEDIDO</t>
  </si>
  <si>
    <t>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</si>
</sst>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#,##0.0000"/>
    <numFmt numFmtId="165" formatCode="dd/mm/yyyy"/>
    <numFmt numFmtId="166" formatCode="#,###,##0.00"/>
    <numFmt numFmtId="167" formatCode="#,##0.00%"/>
    <numFmt numFmtId="168" formatCode="#,###,##0.0000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FFFF"/>
        <bgColor rgb="FF000000"/>
      </patternFill>
    </fill>
    <fill>
      <patternFill patternType="solid">
        <fgColor rgb="FFF0F8FF"/>
        <bgColor rgb="FF000000"/>
      </patternFill>
    </fill>
    <fill>
      <patternFill patternType="solid">
        <fgColor rgb="FFADD8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BC8F8F"/>
        <bgColor rgb="FF000000"/>
      </patternFill>
    </fill>
    <fill>
      <patternFill patternType="solid">
        <fgColor rgb="FFFF7F50"/>
        <bgColor rgb="FF000000"/>
      </patternFill>
    </fill>
    <fill>
      <patternFill patternType="solid">
        <fgColor rgb="FFFFE4C4"/>
        <bgColor rgb="FF000000"/>
      </patternFill>
    </fill>
    <fill>
      <patternFill patternType="solid">
        <fgColor rgb="FFF08080"/>
        <bgColor rgb="FF000000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3" borderId="0" xfId="0" applyFill="1"/>
    <xf numFmtId="1" fontId="0" fillId="0" borderId="0" xfId="0" applyNumberFormat="1"/>
    <xf numFmtId="1" fontId="0" fillId="3" borderId="0" xfId="0" applyNumberFormat="1" applyFill="1"/>
    <xf numFmtId="164" fontId="0" fillId="0" borderId="0" xfId="0" applyNumberFormat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49" fontId="0" fillId="7" borderId="0" xfId="0" applyNumberFormat="1" applyFill="1"/>
    <xf numFmtId="165" fontId="0" fillId="0" borderId="0" xfId="0" applyNumberFormat="1"/>
    <xf numFmtId="166" fontId="0" fillId="0" borderId="0" xfId="0" applyNumberFormat="1"/>
    <xf numFmtId="49" fontId="0" fillId="3" borderId="0" xfId="0" applyNumberFormat="1" applyFill="1"/>
    <xf numFmtId="0" fontId="0" fillId="10" borderId="0" xfId="0" applyFill="1"/>
    <xf numFmtId="49" fontId="0" fillId="10" borderId="0" xfId="0" applyNumberFormat="1" applyFill="1"/>
    <xf numFmtId="0" fontId="0" fillId="11" borderId="0" xfId="0" applyFill="1"/>
    <xf numFmtId="49" fontId="0" fillId="11" borderId="0" xfId="0" applyNumberFormat="1" applyFill="1"/>
    <xf numFmtId="166" fontId="0" fillId="3" borderId="0" xfId="0" applyNumberFormat="1" applyFill="1"/>
    <xf numFmtId="167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  <xf numFmtId="166" fontId="0" fillId="10" borderId="0" xfId="0" applyNumberFormat="1" applyFill="1"/>
    <xf numFmtId="167" fontId="0" fillId="10" borderId="0" xfId="0" applyNumberFormat="1" applyFill="1"/>
    <xf numFmtId="1" fontId="0" fillId="10" borderId="0" xfId="0" applyNumberFormat="1" applyFill="1"/>
    <xf numFmtId="166" fontId="0" fillId="11" borderId="0" xfId="0" applyNumberFormat="1" applyFill="1"/>
    <xf numFmtId="1" fontId="0" fillId="11" borderId="0" xfId="0" applyNumberFormat="1" applyFill="1"/>
    <xf numFmtId="164" fontId="0" fillId="3" borderId="0" xfId="0" applyNumberFormat="1" applyFill="1"/>
    <xf numFmtId="164" fontId="0" fillId="10" borderId="0" xfId="0" applyNumberFormat="1" applyFill="1"/>
    <xf numFmtId="49" fontId="0" fillId="1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11" borderId="0" xfId="0" applyFill="1" applyAlignment="1">
      <alignment horizontal="center"/>
    </xf>
    <xf numFmtId="166" fontId="0" fillId="7" borderId="0" xfId="0" applyNumberFormat="1" applyFill="1"/>
    <xf numFmtId="0" fontId="0" fillId="7" borderId="0" xfId="0" applyFill="1" applyAlignment="1">
      <alignment horizontal="center"/>
    </xf>
    <xf numFmtId="166" fontId="6" fillId="3" borderId="0" xfId="0" applyNumberFormat="1" applyFont="1" applyFill="1"/>
    <xf numFmtId="0" fontId="1" fillId="0" borderId="0" xfId="0" applyFont="1"/>
    <xf numFmtId="166" fontId="0" fillId="12" borderId="0" xfId="0" applyNumberFormat="1" applyFill="1"/>
    <xf numFmtId="49" fontId="2" fillId="8" borderId="0" xfId="0" applyNumberFormat="1" applyFont="1" applyFill="1" applyAlignment="1">
      <alignment horizontal="center"/>
    </xf>
    <xf numFmtId="0" fontId="0" fillId="0" borderId="0" xfId="0"/>
    <xf numFmtId="49" fontId="2" fillId="9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26e5ef5cd69a787/ESCRITORIO/Order%20in%20advance%20hp-Sansung%20v2.xlsx" TargetMode="External"/><Relationship Id="rId1" Type="http://schemas.openxmlformats.org/officeDocument/2006/relationships/externalLinkPath" Target="Order%20in%20advance%20hp-Sansung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26e5ef5cd69a787/ESCRITORIO/PIAS26B3422-02%2020260708.xlsx" TargetMode="External"/><Relationship Id="rId1" Type="http://schemas.openxmlformats.org/officeDocument/2006/relationships/externalLinkPath" Target="PIAS26B3422-02%20202607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2"/>
    </sheetNames>
    <sheetDataSet>
      <sheetData sheetId="0">
        <row r="6">
          <cell r="C6" t="str">
            <v>C00523</v>
          </cell>
          <cell r="D6">
            <v>15</v>
          </cell>
        </row>
        <row r="7">
          <cell r="C7" t="str">
            <v>C00702</v>
          </cell>
          <cell r="D7">
            <v>20</v>
          </cell>
        </row>
        <row r="8">
          <cell r="C8" t="str">
            <v>C00303</v>
          </cell>
          <cell r="D8">
            <v>25</v>
          </cell>
        </row>
        <row r="9">
          <cell r="C9" t="str">
            <v>C00681</v>
          </cell>
          <cell r="D9">
            <v>65</v>
          </cell>
        </row>
        <row r="10">
          <cell r="C10" t="str">
            <v>C00679</v>
          </cell>
          <cell r="D10">
            <v>200</v>
          </cell>
        </row>
        <row r="11">
          <cell r="C11" t="str">
            <v>C00680</v>
          </cell>
          <cell r="D11">
            <v>220</v>
          </cell>
          <cell r="E11" t="str">
            <v>E00680</v>
          </cell>
          <cell r="F11">
            <v>80</v>
          </cell>
        </row>
        <row r="12">
          <cell r="C12" t="str">
            <v>C00678</v>
          </cell>
          <cell r="D12">
            <v>900</v>
          </cell>
          <cell r="E12" t="str">
            <v>E00678</v>
          </cell>
          <cell r="F12">
            <v>150</v>
          </cell>
        </row>
        <row r="13">
          <cell r="C13" t="str">
            <v>C00319</v>
          </cell>
          <cell r="D13">
            <v>10</v>
          </cell>
        </row>
        <row r="14">
          <cell r="C14" t="str">
            <v>C00279</v>
          </cell>
          <cell r="D14">
            <v>10</v>
          </cell>
        </row>
        <row r="15">
          <cell r="C15" t="str">
            <v>C00442</v>
          </cell>
          <cell r="D15">
            <v>10</v>
          </cell>
        </row>
        <row r="16">
          <cell r="C16" t="str">
            <v>C00280</v>
          </cell>
          <cell r="D16">
            <v>10</v>
          </cell>
        </row>
        <row r="17">
          <cell r="C17" t="str">
            <v>C00398</v>
          </cell>
          <cell r="D17">
            <v>35</v>
          </cell>
        </row>
        <row r="18">
          <cell r="C18" t="str">
            <v>C00328</v>
          </cell>
          <cell r="D18">
            <v>45</v>
          </cell>
        </row>
        <row r="19">
          <cell r="C19" t="str">
            <v>C00429</v>
          </cell>
          <cell r="D19">
            <v>90</v>
          </cell>
        </row>
        <row r="20">
          <cell r="C20" t="str">
            <v>C00391</v>
          </cell>
          <cell r="D20">
            <v>200</v>
          </cell>
          <cell r="E20" t="str">
            <v>E00391</v>
          </cell>
          <cell r="F20">
            <v>40</v>
          </cell>
        </row>
        <row r="21">
          <cell r="C21" t="str">
            <v>C00432</v>
          </cell>
          <cell r="D21">
            <v>5</v>
          </cell>
        </row>
        <row r="22">
          <cell r="C22" t="str">
            <v>C00457</v>
          </cell>
          <cell r="D22">
            <v>15</v>
          </cell>
        </row>
        <row r="23">
          <cell r="C23" t="str">
            <v>C00184</v>
          </cell>
          <cell r="D23">
            <v>145</v>
          </cell>
          <cell r="E23" t="str">
            <v>E00184</v>
          </cell>
          <cell r="F23">
            <v>75</v>
          </cell>
        </row>
        <row r="24">
          <cell r="C24" t="str">
            <v>C00204</v>
          </cell>
          <cell r="D24">
            <v>460</v>
          </cell>
          <cell r="E24" t="str">
            <v>E00204</v>
          </cell>
          <cell r="F24">
            <v>165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"/>
    </sheetNames>
    <sheetDataSet>
      <sheetData sheetId="0">
        <row r="15">
          <cell r="B15" t="str">
            <v>C00159</v>
          </cell>
          <cell r="L15">
            <v>4.5999999999999996</v>
          </cell>
        </row>
        <row r="16">
          <cell r="B16" t="str">
            <v>C00160</v>
          </cell>
          <cell r="L16">
            <v>2.2999999999999998</v>
          </cell>
        </row>
        <row r="17">
          <cell r="B17" t="str">
            <v>C00179</v>
          </cell>
          <cell r="L17">
            <v>3.3</v>
          </cell>
        </row>
        <row r="18">
          <cell r="B18" t="str">
            <v>C00184</v>
          </cell>
          <cell r="L18">
            <v>3.3</v>
          </cell>
        </row>
        <row r="19">
          <cell r="B19" t="str">
            <v>C00187</v>
          </cell>
          <cell r="L19">
            <v>4.3</v>
          </cell>
        </row>
        <row r="20">
          <cell r="B20" t="str">
            <v>C00189</v>
          </cell>
          <cell r="L20">
            <v>7.1</v>
          </cell>
        </row>
        <row r="21">
          <cell r="B21" t="str">
            <v>C00190</v>
          </cell>
          <cell r="L21">
            <v>2.2000000000000002</v>
          </cell>
        </row>
        <row r="22">
          <cell r="B22" t="str">
            <v>C00204</v>
          </cell>
          <cell r="L22">
            <v>3</v>
          </cell>
        </row>
        <row r="23">
          <cell r="B23" t="str">
            <v>C00264</v>
          </cell>
          <cell r="L23">
            <v>2.75</v>
          </cell>
        </row>
        <row r="24">
          <cell r="B24" t="str">
            <v>C00268</v>
          </cell>
          <cell r="L24">
            <v>4</v>
          </cell>
        </row>
        <row r="25">
          <cell r="B25" t="str">
            <v>C00279</v>
          </cell>
          <cell r="L25">
            <v>2.2999999999999998</v>
          </cell>
        </row>
        <row r="26">
          <cell r="B26" t="str">
            <v>C00280</v>
          </cell>
          <cell r="L26">
            <v>2.2999999999999998</v>
          </cell>
        </row>
        <row r="27">
          <cell r="B27" t="str">
            <v>C00303</v>
          </cell>
          <cell r="L27">
            <v>4.45</v>
          </cell>
        </row>
        <row r="28">
          <cell r="B28" t="str">
            <v>C00319</v>
          </cell>
          <cell r="L28">
            <v>5.9</v>
          </cell>
        </row>
        <row r="29">
          <cell r="B29" t="str">
            <v>C00328</v>
          </cell>
          <cell r="L29">
            <v>3.2</v>
          </cell>
        </row>
        <row r="30">
          <cell r="B30" t="str">
            <v>C00375</v>
          </cell>
          <cell r="L30">
            <v>1.4</v>
          </cell>
        </row>
        <row r="31">
          <cell r="B31" t="str">
            <v>C00385</v>
          </cell>
          <cell r="L31">
            <v>3.5</v>
          </cell>
        </row>
        <row r="32">
          <cell r="B32" t="str">
            <v>C00387</v>
          </cell>
          <cell r="L32">
            <v>3.8</v>
          </cell>
        </row>
        <row r="33">
          <cell r="B33" t="str">
            <v>C00388</v>
          </cell>
          <cell r="L33">
            <v>3.8</v>
          </cell>
        </row>
        <row r="34">
          <cell r="B34" t="str">
            <v>C00391</v>
          </cell>
          <cell r="L34">
            <v>2.2999999999999998</v>
          </cell>
        </row>
        <row r="35">
          <cell r="B35" t="str">
            <v>C00398</v>
          </cell>
          <cell r="L35">
            <v>3.85</v>
          </cell>
        </row>
        <row r="36">
          <cell r="B36" t="str">
            <v>C00399</v>
          </cell>
          <cell r="L36">
            <v>2.4</v>
          </cell>
        </row>
        <row r="37">
          <cell r="B37" t="str">
            <v>C00400</v>
          </cell>
          <cell r="L37">
            <v>5.85</v>
          </cell>
        </row>
        <row r="38">
          <cell r="B38" t="str">
            <v>C00402</v>
          </cell>
          <cell r="L38">
            <v>4.4000000000000004</v>
          </cell>
        </row>
        <row r="39">
          <cell r="B39" t="str">
            <v>C00428</v>
          </cell>
          <cell r="L39">
            <v>1.75</v>
          </cell>
        </row>
        <row r="40">
          <cell r="B40" t="str">
            <v>C00429</v>
          </cell>
          <cell r="L40">
            <v>2.35</v>
          </cell>
        </row>
        <row r="41">
          <cell r="B41" t="str">
            <v>C00432</v>
          </cell>
          <cell r="L41">
            <v>6</v>
          </cell>
        </row>
        <row r="42">
          <cell r="B42" t="str">
            <v>C00434</v>
          </cell>
          <cell r="L42">
            <v>4.3499999999999996</v>
          </cell>
        </row>
        <row r="43">
          <cell r="B43" t="str">
            <v>C00436</v>
          </cell>
          <cell r="L43">
            <v>2.7</v>
          </cell>
        </row>
        <row r="44">
          <cell r="B44" t="str">
            <v>C00442</v>
          </cell>
          <cell r="L44">
            <v>2.6</v>
          </cell>
        </row>
        <row r="45">
          <cell r="B45" t="str">
            <v>C00452</v>
          </cell>
          <cell r="L45">
            <v>8.5</v>
          </cell>
        </row>
        <row r="46">
          <cell r="B46" t="str">
            <v>C00479</v>
          </cell>
          <cell r="L46">
            <v>2.4</v>
          </cell>
        </row>
        <row r="47">
          <cell r="B47" t="str">
            <v>C00489</v>
          </cell>
          <cell r="L47">
            <v>2.7</v>
          </cell>
        </row>
        <row r="48">
          <cell r="B48" t="str">
            <v>C00491</v>
          </cell>
          <cell r="L48">
            <v>2.7</v>
          </cell>
        </row>
        <row r="49">
          <cell r="B49" t="str">
            <v>C00492</v>
          </cell>
          <cell r="L49">
            <v>2.8</v>
          </cell>
        </row>
        <row r="50">
          <cell r="B50" t="str">
            <v>C00496</v>
          </cell>
          <cell r="L50">
            <v>6.4</v>
          </cell>
        </row>
        <row r="51">
          <cell r="B51" t="str">
            <v>C00524</v>
          </cell>
          <cell r="L51">
            <v>6.4</v>
          </cell>
        </row>
        <row r="52">
          <cell r="B52" t="str">
            <v>C00525</v>
          </cell>
          <cell r="L52">
            <v>3.35</v>
          </cell>
        </row>
        <row r="53">
          <cell r="B53" t="str">
            <v>C00533</v>
          </cell>
          <cell r="L53">
            <v>4.3</v>
          </cell>
        </row>
        <row r="54">
          <cell r="B54" t="str">
            <v>C00540</v>
          </cell>
          <cell r="L54">
            <v>3.3</v>
          </cell>
        </row>
        <row r="55">
          <cell r="B55" t="str">
            <v>C00574</v>
          </cell>
          <cell r="L55">
            <v>3.35</v>
          </cell>
        </row>
        <row r="56">
          <cell r="B56" t="str">
            <v>C00582</v>
          </cell>
          <cell r="L56">
            <v>1.55</v>
          </cell>
        </row>
        <row r="57">
          <cell r="B57" t="str">
            <v>C00610</v>
          </cell>
          <cell r="L57">
            <v>3.75</v>
          </cell>
        </row>
        <row r="58">
          <cell r="B58" t="str">
            <v>C00611</v>
          </cell>
          <cell r="L58">
            <v>7.3</v>
          </cell>
        </row>
        <row r="59">
          <cell r="B59" t="str">
            <v>C00624</v>
          </cell>
          <cell r="L59">
            <v>4.0999999999999996</v>
          </cell>
        </row>
        <row r="60">
          <cell r="B60" t="str">
            <v>C00628</v>
          </cell>
          <cell r="L60">
            <v>2.7</v>
          </cell>
        </row>
        <row r="61">
          <cell r="B61" t="str">
            <v>C00664</v>
          </cell>
          <cell r="L61">
            <v>3</v>
          </cell>
        </row>
        <row r="62">
          <cell r="B62" t="str">
            <v>C00678</v>
          </cell>
          <cell r="L62">
            <v>2.95</v>
          </cell>
        </row>
        <row r="63">
          <cell r="B63" t="str">
            <v>C00679</v>
          </cell>
          <cell r="L63">
            <v>6.7</v>
          </cell>
        </row>
        <row r="64">
          <cell r="B64" t="str">
            <v>C00680</v>
          </cell>
          <cell r="L64">
            <v>4.5</v>
          </cell>
        </row>
        <row r="65">
          <cell r="B65" t="str">
            <v>C00681</v>
          </cell>
          <cell r="L65">
            <v>6.5</v>
          </cell>
        </row>
        <row r="66">
          <cell r="B66" t="str">
            <v>C00687</v>
          </cell>
          <cell r="L66">
            <v>3.15</v>
          </cell>
        </row>
        <row r="67">
          <cell r="B67" t="str">
            <v>C00702</v>
          </cell>
          <cell r="L67">
            <v>2.2999999999999998</v>
          </cell>
        </row>
        <row r="68">
          <cell r="B68" t="str">
            <v>C00736</v>
          </cell>
          <cell r="L68">
            <v>3.6</v>
          </cell>
        </row>
        <row r="69">
          <cell r="B69" t="str">
            <v>C00749</v>
          </cell>
          <cell r="L69">
            <v>3.6</v>
          </cell>
        </row>
        <row r="70">
          <cell r="B70" t="str">
            <v>C00754</v>
          </cell>
          <cell r="L70">
            <v>3.1</v>
          </cell>
        </row>
        <row r="71">
          <cell r="B71" t="str">
            <v>C00760</v>
          </cell>
          <cell r="L71">
            <v>2.6</v>
          </cell>
        </row>
        <row r="72">
          <cell r="B72" t="str">
            <v>C00761</v>
          </cell>
          <cell r="L72">
            <v>6</v>
          </cell>
        </row>
        <row r="73">
          <cell r="B73" t="str">
            <v>C00775</v>
          </cell>
          <cell r="L73">
            <v>6</v>
          </cell>
        </row>
        <row r="74">
          <cell r="B74" t="str">
            <v>C00776</v>
          </cell>
          <cell r="L74">
            <v>3.7</v>
          </cell>
        </row>
        <row r="75">
          <cell r="B75" t="str">
            <v>C00779</v>
          </cell>
          <cell r="L75">
            <v>3.6</v>
          </cell>
        </row>
        <row r="76">
          <cell r="B76" t="str">
            <v>C00805</v>
          </cell>
          <cell r="L76">
            <v>5.5</v>
          </cell>
        </row>
        <row r="77">
          <cell r="B77" t="str">
            <v>C00948</v>
          </cell>
          <cell r="L77">
            <v>7</v>
          </cell>
        </row>
        <row r="78">
          <cell r="B78" t="str">
            <v>C00949</v>
          </cell>
          <cell r="L78">
            <v>24</v>
          </cell>
        </row>
        <row r="79">
          <cell r="B79" t="str">
            <v>C00952</v>
          </cell>
          <cell r="L79">
            <v>5.8</v>
          </cell>
        </row>
        <row r="80">
          <cell r="B80" t="str">
            <v>C00956</v>
          </cell>
          <cell r="L80">
            <v>3</v>
          </cell>
        </row>
        <row r="81">
          <cell r="B81" t="str">
            <v>C00963</v>
          </cell>
          <cell r="L81">
            <v>3.5</v>
          </cell>
        </row>
        <row r="82">
          <cell r="B82" t="str">
            <v>C00964</v>
          </cell>
          <cell r="L82">
            <v>5</v>
          </cell>
        </row>
        <row r="83">
          <cell r="B83" t="str">
            <v>C00969</v>
          </cell>
          <cell r="L83">
            <v>11</v>
          </cell>
        </row>
        <row r="84">
          <cell r="B84" t="str">
            <v>C00974</v>
          </cell>
          <cell r="L84">
            <v>7</v>
          </cell>
        </row>
        <row r="85">
          <cell r="B85" t="str">
            <v>C00975</v>
          </cell>
          <cell r="L85">
            <v>1.6</v>
          </cell>
        </row>
        <row r="86">
          <cell r="B86" t="str">
            <v>C00976</v>
          </cell>
          <cell r="L86">
            <v>11</v>
          </cell>
        </row>
        <row r="87">
          <cell r="B87" t="str">
            <v>E00184</v>
          </cell>
          <cell r="L87">
            <v>3.3</v>
          </cell>
        </row>
        <row r="88">
          <cell r="B88" t="str">
            <v>E00190</v>
          </cell>
          <cell r="L88">
            <v>2.2000000000000002</v>
          </cell>
        </row>
        <row r="89">
          <cell r="B89" t="str">
            <v>E00204</v>
          </cell>
          <cell r="L89">
            <v>3</v>
          </cell>
        </row>
        <row r="90">
          <cell r="B90" t="str">
            <v>E00375</v>
          </cell>
          <cell r="L90">
            <v>1.4</v>
          </cell>
        </row>
        <row r="91">
          <cell r="B91" t="str">
            <v>E00391</v>
          </cell>
          <cell r="L91">
            <v>2.2999999999999998</v>
          </cell>
        </row>
        <row r="92">
          <cell r="B92" t="str">
            <v>E00399</v>
          </cell>
          <cell r="L92">
            <v>2.4</v>
          </cell>
        </row>
        <row r="93">
          <cell r="B93" t="str">
            <v>E00428</v>
          </cell>
          <cell r="L93">
            <v>1.75</v>
          </cell>
        </row>
        <row r="94">
          <cell r="B94" t="str">
            <v>E00664</v>
          </cell>
          <cell r="L94">
            <v>3</v>
          </cell>
        </row>
        <row r="95">
          <cell r="B95" t="str">
            <v>E00678</v>
          </cell>
          <cell r="L95">
            <v>2.95</v>
          </cell>
        </row>
        <row r="96">
          <cell r="B96" t="str">
            <v>E00680</v>
          </cell>
          <cell r="L96">
            <v>4.5</v>
          </cell>
        </row>
        <row r="97">
          <cell r="B97" t="str">
            <v>E00687</v>
          </cell>
          <cell r="L97">
            <v>3.2</v>
          </cell>
        </row>
        <row r="98">
          <cell r="B98" t="str">
            <v>C00457</v>
          </cell>
          <cell r="L98">
            <v>6.3</v>
          </cell>
        </row>
        <row r="99">
          <cell r="B99" t="str">
            <v>C00523</v>
          </cell>
          <cell r="L99">
            <v>4.62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L529"/>
  <sheetViews>
    <sheetView workbookViewId="0">
      <pane xSplit="2" ySplit="1" topLeftCell="U5" activePane="bottomRight" state="frozen"/>
      <selection pane="topRight" activeCell="C1" sqref="C1"/>
      <selection pane="bottomLeft" activeCell="A2" sqref="A2"/>
      <selection pane="bottomRight" activeCell="AG1" sqref="AG1:AL1048576"/>
    </sheetView>
  </sheetViews>
  <sheetFormatPr baseColWidth="10" defaultColWidth="9" defaultRowHeight="14.3" x14ac:dyDescent="0.25"/>
  <cols>
    <col min="1" max="1" width="9.25" customWidth="1"/>
    <col min="2" max="2" width="45.125" customWidth="1"/>
    <col min="3" max="3" width="20" customWidth="1"/>
    <col min="4" max="29" width="10" customWidth="1"/>
    <col min="30" max="31" width="10" style="30" customWidth="1"/>
    <col min="32" max="32" width="9" style="30" customWidth="1"/>
    <col min="33" max="33" width="11.125" style="30" customWidth="1"/>
    <col min="34" max="34" width="9.375" style="30" customWidth="1"/>
    <col min="35" max="37" width="9" style="30" customWidth="1"/>
    <col min="38" max="38" width="6.25" style="30" bestFit="1" customWidth="1"/>
  </cols>
  <sheetData>
    <row r="1" spans="1:3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3" t="s">
        <v>29</v>
      </c>
      <c r="AE1" s="33" t="s">
        <v>30</v>
      </c>
      <c r="AF1" s="33" t="s">
        <v>31</v>
      </c>
      <c r="AG1" s="30" t="s">
        <v>1640</v>
      </c>
      <c r="AH1" s="30" t="s">
        <v>1640</v>
      </c>
      <c r="AI1" s="30" t="s">
        <v>1641</v>
      </c>
      <c r="AJ1" s="30" t="s">
        <v>1642</v>
      </c>
      <c r="AK1" s="30" t="s">
        <v>1643</v>
      </c>
      <c r="AL1" s="30" t="s">
        <v>1644</v>
      </c>
    </row>
    <row r="2" spans="1:38" x14ac:dyDescent="0.25">
      <c r="A2" s="1" t="s">
        <v>32</v>
      </c>
      <c r="B2" s="1" t="s">
        <v>33</v>
      </c>
      <c r="C2" s="1" t="s">
        <v>34</v>
      </c>
      <c r="D2" s="5">
        <v>2</v>
      </c>
      <c r="E2" s="5">
        <v>3</v>
      </c>
      <c r="F2" s="5">
        <v>7</v>
      </c>
      <c r="G2" s="5">
        <v>4</v>
      </c>
      <c r="H2" s="5">
        <v>5</v>
      </c>
      <c r="I2" s="3"/>
      <c r="J2" s="5">
        <v>6</v>
      </c>
      <c r="K2" s="5">
        <v>2</v>
      </c>
      <c r="L2" s="5">
        <v>5</v>
      </c>
      <c r="M2" s="5">
        <v>9</v>
      </c>
      <c r="N2" s="5">
        <v>4</v>
      </c>
      <c r="O2" s="5">
        <v>2</v>
      </c>
      <c r="P2" s="3"/>
      <c r="Q2" s="6">
        <v>6.4500000000000002E-2</v>
      </c>
      <c r="R2" s="6">
        <v>9.6799999999999997E-2</v>
      </c>
      <c r="S2" s="6">
        <v>0.2029</v>
      </c>
      <c r="T2" s="6">
        <v>0.129</v>
      </c>
      <c r="U2" s="6">
        <v>0.16669999999999999</v>
      </c>
      <c r="V2" s="6">
        <v>0</v>
      </c>
      <c r="W2" s="6">
        <v>0.2419</v>
      </c>
      <c r="X2" s="6">
        <v>8.4000000000000005E-2</v>
      </c>
      <c r="Y2" s="6">
        <v>0.14660000000000001</v>
      </c>
      <c r="Z2" s="6">
        <v>0.33329999999999999</v>
      </c>
      <c r="AA2" s="6">
        <v>0.1229</v>
      </c>
      <c r="AB2" s="6">
        <v>5.8000000000000003E-2</v>
      </c>
      <c r="AC2" s="7">
        <v>0</v>
      </c>
      <c r="AD2" s="35">
        <v>0.13719999999999999</v>
      </c>
      <c r="AE2" s="35">
        <f>AVERAGE(V2:AB2)</f>
        <v>0.14095714285714286</v>
      </c>
      <c r="AF2" s="34" t="s">
        <v>35</v>
      </c>
      <c r="AG2" s="30" cm="1">
        <f t="array" ref="AG2">DIASQUIEBRE(Q2:AB2)</f>
        <v>0</v>
      </c>
      <c r="AH2" s="30" cm="1">
        <f t="array" ref="AH2">DiasMesesGris(Q2:AB2)</f>
        <v>0</v>
      </c>
      <c r="AI2" s="30">
        <f>AG2+AH2</f>
        <v>0</v>
      </c>
      <c r="AJ2" s="30">
        <f>360-AI2</f>
        <v>360</v>
      </c>
      <c r="AK2" s="31">
        <f>SUM(D2:O2)</f>
        <v>49</v>
      </c>
      <c r="AL2" s="32">
        <f>IFERROR(AK2/AJ2,0)</f>
        <v>0.1361111111111111</v>
      </c>
    </row>
    <row r="3" spans="1:38" x14ac:dyDescent="0.25">
      <c r="A3" s="1" t="s">
        <v>36</v>
      </c>
      <c r="B3" s="1" t="s">
        <v>37</v>
      </c>
      <c r="C3" s="1" t="s">
        <v>38</v>
      </c>
      <c r="D3" s="5">
        <v>20</v>
      </c>
      <c r="E3" s="5">
        <v>16</v>
      </c>
      <c r="F3" s="5">
        <v>24</v>
      </c>
      <c r="G3" s="5">
        <v>13</v>
      </c>
      <c r="H3" s="5">
        <v>9</v>
      </c>
      <c r="I3" s="5">
        <v>13</v>
      </c>
      <c r="J3" s="5">
        <v>13</v>
      </c>
      <c r="K3" s="5">
        <v>8</v>
      </c>
      <c r="L3" s="5">
        <v>31</v>
      </c>
      <c r="M3" s="5">
        <v>14</v>
      </c>
      <c r="N3" s="5">
        <v>25</v>
      </c>
      <c r="O3" s="5">
        <v>29</v>
      </c>
      <c r="P3" s="3"/>
      <c r="Q3" s="6">
        <v>0.6452</v>
      </c>
      <c r="R3" s="6">
        <v>0.5161</v>
      </c>
      <c r="S3" s="6">
        <v>0.69569999999999999</v>
      </c>
      <c r="T3" s="6">
        <v>0.4194</v>
      </c>
      <c r="U3" s="6">
        <v>0.3</v>
      </c>
      <c r="V3" s="6">
        <v>0.4194</v>
      </c>
      <c r="W3" s="6">
        <v>0.5242</v>
      </c>
      <c r="X3" s="6">
        <v>0.33610000000000001</v>
      </c>
      <c r="Y3" s="6">
        <v>0.90910000000000002</v>
      </c>
      <c r="Z3" s="6">
        <v>0.51849999999999996</v>
      </c>
      <c r="AA3" s="6">
        <v>0.76800000000000002</v>
      </c>
      <c r="AB3" s="6">
        <v>0.84060000000000001</v>
      </c>
      <c r="AC3" s="7">
        <v>0</v>
      </c>
      <c r="AD3" s="35">
        <v>0.57440000000000002</v>
      </c>
      <c r="AE3" s="35">
        <f t="shared" ref="AE3:AE66" si="0">AVERAGE(V3:AB3)</f>
        <v>0.61655714285714291</v>
      </c>
      <c r="AF3" s="34" t="s">
        <v>35</v>
      </c>
      <c r="AG3" s="30" cm="1">
        <f t="array" ref="AG3">DIASQUIEBRE(Q3:AB3)</f>
        <v>0</v>
      </c>
      <c r="AH3" s="30" cm="1">
        <f t="array" ref="AH3">DiasMesesGris(Q3:AB3)</f>
        <v>0</v>
      </c>
      <c r="AI3" s="30">
        <f>AG3+AH3</f>
        <v>0</v>
      </c>
      <c r="AJ3" s="30">
        <f>360-AI3</f>
        <v>360</v>
      </c>
      <c r="AK3" s="31">
        <f>SUM(D3:O3)</f>
        <v>215</v>
      </c>
      <c r="AL3" s="32">
        <f t="shared" ref="AL3:AL66" si="1">IFERROR(AK3/AJ3,0)</f>
        <v>0.59722222222222221</v>
      </c>
    </row>
    <row r="4" spans="1:38" x14ac:dyDescent="0.25">
      <c r="A4" s="1" t="s">
        <v>39</v>
      </c>
      <c r="B4" s="1" t="s">
        <v>40</v>
      </c>
      <c r="C4" s="1" t="s">
        <v>41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7">
        <v>0</v>
      </c>
      <c r="AE4" s="35">
        <f t="shared" si="0"/>
        <v>0</v>
      </c>
      <c r="AF4" s="34" t="s">
        <v>35</v>
      </c>
      <c r="AG4" s="30" cm="1">
        <f t="array" ref="AG4">DIASQUIEBRE(Q4:AB4)</f>
        <v>0</v>
      </c>
      <c r="AH4" s="30" cm="1">
        <f t="array" ref="AH4">DiasMesesGris(Q4:AB4)</f>
        <v>0</v>
      </c>
      <c r="AI4" s="30">
        <f t="shared" ref="AI4:AI67" si="2">AG4+AH4</f>
        <v>0</v>
      </c>
      <c r="AJ4" s="30">
        <f t="shared" ref="AJ4:AJ67" si="3">360-AI4</f>
        <v>360</v>
      </c>
      <c r="AK4" s="31">
        <f t="shared" ref="AK4:AK67" si="4">SUM(D4:O4)</f>
        <v>0</v>
      </c>
      <c r="AL4" s="32">
        <f t="shared" si="1"/>
        <v>0</v>
      </c>
    </row>
    <row r="5" spans="1:38" x14ac:dyDescent="0.25">
      <c r="A5" s="1" t="s">
        <v>42</v>
      </c>
      <c r="B5" s="1" t="s">
        <v>43</v>
      </c>
      <c r="C5" s="1" t="s">
        <v>44</v>
      </c>
      <c r="D5" s="5">
        <v>1</v>
      </c>
      <c r="E5" s="5">
        <v>1</v>
      </c>
      <c r="F5" s="3"/>
      <c r="G5" s="5">
        <v>1</v>
      </c>
      <c r="H5" s="3"/>
      <c r="I5" s="5">
        <v>1</v>
      </c>
      <c r="J5" s="5">
        <v>1</v>
      </c>
      <c r="K5" s="5">
        <v>2</v>
      </c>
      <c r="L5" s="3"/>
      <c r="M5" s="5">
        <v>3</v>
      </c>
      <c r="N5" s="3"/>
      <c r="O5" s="3"/>
      <c r="P5" s="3"/>
      <c r="Q5" s="6">
        <v>3.2300000000000002E-2</v>
      </c>
      <c r="R5" s="6">
        <v>3.2300000000000002E-2</v>
      </c>
      <c r="S5" s="6">
        <v>0</v>
      </c>
      <c r="T5" s="6">
        <v>3.2300000000000002E-2</v>
      </c>
      <c r="U5" s="6">
        <v>0</v>
      </c>
      <c r="V5" s="6">
        <v>3.2300000000000002E-2</v>
      </c>
      <c r="W5" s="6">
        <v>4.0300000000000002E-2</v>
      </c>
      <c r="X5" s="6">
        <v>8.4000000000000005E-2</v>
      </c>
      <c r="Y5" s="6">
        <v>0</v>
      </c>
      <c r="Z5" s="6">
        <v>0.1111</v>
      </c>
      <c r="AA5" s="6">
        <v>0</v>
      </c>
      <c r="AB5" s="6">
        <v>0</v>
      </c>
      <c r="AC5" s="7">
        <v>0</v>
      </c>
      <c r="AD5" s="35">
        <v>3.04E-2</v>
      </c>
      <c r="AE5" s="35">
        <f t="shared" si="0"/>
        <v>3.8242857142857148E-2</v>
      </c>
      <c r="AF5" s="34" t="s">
        <v>35</v>
      </c>
      <c r="AG5" s="30" cm="1">
        <f t="array" ref="AG5">DIASQUIEBRE(Q5:AB5)</f>
        <v>0</v>
      </c>
      <c r="AH5" s="30" cm="1">
        <f t="array" ref="AH5">DiasMesesGris(Q5:AB5)</f>
        <v>0</v>
      </c>
      <c r="AI5" s="30">
        <f t="shared" si="2"/>
        <v>0</v>
      </c>
      <c r="AJ5" s="30">
        <f t="shared" si="3"/>
        <v>360</v>
      </c>
      <c r="AK5" s="31">
        <f t="shared" si="4"/>
        <v>10</v>
      </c>
      <c r="AL5" s="32">
        <f t="shared" si="1"/>
        <v>2.7777777777777776E-2</v>
      </c>
    </row>
    <row r="6" spans="1:38" x14ac:dyDescent="0.25">
      <c r="A6" s="1" t="s">
        <v>45</v>
      </c>
      <c r="B6" s="1" t="s">
        <v>46</v>
      </c>
      <c r="C6" s="1" t="s">
        <v>47</v>
      </c>
      <c r="D6" s="3"/>
      <c r="E6" s="5">
        <v>2</v>
      </c>
      <c r="F6" s="5">
        <v>1</v>
      </c>
      <c r="G6" s="3"/>
      <c r="H6" s="3"/>
      <c r="I6" s="3"/>
      <c r="J6" s="3"/>
      <c r="K6" s="3"/>
      <c r="L6" s="3"/>
      <c r="M6" s="3"/>
      <c r="N6" s="3"/>
      <c r="O6" s="3"/>
      <c r="P6" s="3"/>
      <c r="Q6" s="6">
        <v>0</v>
      </c>
      <c r="R6" s="8">
        <f>E6/30</f>
        <v>6.6666666666666666E-2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7">
        <v>0</v>
      </c>
      <c r="AE6" s="35">
        <f t="shared" si="0"/>
        <v>0</v>
      </c>
      <c r="AF6" s="34" t="s">
        <v>35</v>
      </c>
      <c r="AG6" s="30" cm="1">
        <f t="array" ref="AG6">DIASQUIEBRE(Q6:AB6)</f>
        <v>21</v>
      </c>
      <c r="AH6" s="30" cm="1">
        <f t="array" ref="AH6">DiasMesesGris(Q6:AB6)</f>
        <v>300</v>
      </c>
      <c r="AI6" s="30">
        <f t="shared" si="2"/>
        <v>321</v>
      </c>
      <c r="AJ6" s="30">
        <f t="shared" si="3"/>
        <v>39</v>
      </c>
      <c r="AK6" s="31">
        <f t="shared" si="4"/>
        <v>3</v>
      </c>
      <c r="AL6" s="32">
        <f t="shared" si="1"/>
        <v>7.6923076923076927E-2</v>
      </c>
    </row>
    <row r="7" spans="1:38" x14ac:dyDescent="0.25">
      <c r="A7" s="10" t="s">
        <v>48</v>
      </c>
      <c r="B7" s="1" t="s">
        <v>49</v>
      </c>
      <c r="C7" s="1" t="s">
        <v>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7">
        <v>0</v>
      </c>
      <c r="AE7" s="35">
        <f t="shared" si="0"/>
        <v>0</v>
      </c>
      <c r="AF7" s="34" t="s">
        <v>51</v>
      </c>
      <c r="AG7" s="30" cm="1">
        <f t="array" ref="AG7">DIASQUIEBRE(Q7:AB7)</f>
        <v>0</v>
      </c>
      <c r="AH7" s="30" cm="1">
        <f t="array" ref="AH7">DiasMesesGris(Q7:AB7)</f>
        <v>360</v>
      </c>
      <c r="AI7" s="30">
        <f t="shared" si="2"/>
        <v>360</v>
      </c>
      <c r="AJ7" s="30">
        <f t="shared" si="3"/>
        <v>0</v>
      </c>
      <c r="AK7" s="31">
        <f t="shared" si="4"/>
        <v>0</v>
      </c>
      <c r="AL7" s="32">
        <f t="shared" si="1"/>
        <v>0</v>
      </c>
    </row>
    <row r="8" spans="1:38" x14ac:dyDescent="0.25">
      <c r="A8" s="1" t="s">
        <v>52</v>
      </c>
      <c r="B8" s="1" t="s">
        <v>53</v>
      </c>
      <c r="C8" s="1" t="s">
        <v>54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7">
        <v>0</v>
      </c>
      <c r="AE8" s="35">
        <f t="shared" si="0"/>
        <v>0</v>
      </c>
      <c r="AF8" s="34" t="s">
        <v>35</v>
      </c>
      <c r="AG8" s="30" cm="1">
        <f t="array" ref="AG8">DIASQUIEBRE(Q8:AB8)</f>
        <v>0</v>
      </c>
      <c r="AH8" s="30" cm="1">
        <f t="array" ref="AH8">DiasMesesGris(Q8:AB8)</f>
        <v>360</v>
      </c>
      <c r="AI8" s="30">
        <f t="shared" si="2"/>
        <v>360</v>
      </c>
      <c r="AJ8" s="30">
        <f t="shared" si="3"/>
        <v>0</v>
      </c>
      <c r="AK8" s="31">
        <f t="shared" si="4"/>
        <v>0</v>
      </c>
      <c r="AL8" s="32">
        <f t="shared" si="1"/>
        <v>0</v>
      </c>
    </row>
    <row r="9" spans="1:38" x14ac:dyDescent="0.25">
      <c r="A9" s="1" t="s">
        <v>55</v>
      </c>
      <c r="B9" s="1" t="s">
        <v>56</v>
      </c>
      <c r="C9" s="1" t="s">
        <v>57</v>
      </c>
      <c r="D9" s="3"/>
      <c r="E9" s="3"/>
      <c r="F9" s="3"/>
      <c r="G9" s="3"/>
      <c r="H9" s="3"/>
      <c r="I9" s="3"/>
      <c r="J9" s="3"/>
      <c r="K9" s="3"/>
      <c r="L9" s="3"/>
      <c r="M9" s="3"/>
      <c r="N9" s="5">
        <v>2</v>
      </c>
      <c r="O9" s="5">
        <v>-2</v>
      </c>
      <c r="P9" s="3"/>
      <c r="Q9" s="6">
        <v>0</v>
      </c>
      <c r="R9" s="6">
        <v>0</v>
      </c>
      <c r="S9" s="6">
        <v>0</v>
      </c>
      <c r="T9" s="8">
        <f>G9/30</f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8">
        <f>N9/30</f>
        <v>6.6666666666666666E-2</v>
      </c>
      <c r="AB9" s="8">
        <f>O9/30</f>
        <v>-6.6666666666666666E-2</v>
      </c>
      <c r="AC9" s="7">
        <v>0</v>
      </c>
      <c r="AE9" s="35">
        <f t="shared" si="0"/>
        <v>0</v>
      </c>
      <c r="AF9" s="34" t="s">
        <v>35</v>
      </c>
      <c r="AG9" s="30" cm="1">
        <f t="array" ref="AG9">DIASQUIEBRE(Q9:AB9)</f>
        <v>56</v>
      </c>
      <c r="AH9" s="30" cm="1">
        <f t="array" ref="AH9">DiasMesesGris(Q9:AB9)</f>
        <v>0</v>
      </c>
      <c r="AI9" s="30">
        <f t="shared" si="2"/>
        <v>56</v>
      </c>
      <c r="AJ9" s="30">
        <f t="shared" si="3"/>
        <v>304</v>
      </c>
      <c r="AK9" s="31">
        <f t="shared" si="4"/>
        <v>0</v>
      </c>
      <c r="AL9" s="32">
        <f t="shared" si="1"/>
        <v>0</v>
      </c>
    </row>
    <row r="10" spans="1:38" x14ac:dyDescent="0.25">
      <c r="A10" s="1" t="s">
        <v>58</v>
      </c>
      <c r="B10" s="1" t="s">
        <v>59</v>
      </c>
      <c r="C10" s="1" t="s">
        <v>60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7">
        <v>0</v>
      </c>
      <c r="AE10" s="35">
        <f t="shared" si="0"/>
        <v>0</v>
      </c>
      <c r="AF10" s="34" t="s">
        <v>35</v>
      </c>
      <c r="AG10" s="30" cm="1">
        <f t="array" ref="AG10">DIASQUIEBRE(Q10:AB10)</f>
        <v>0</v>
      </c>
      <c r="AH10" s="30" cm="1">
        <f t="array" ref="AH10">DiasMesesGris(Q10:AB10)</f>
        <v>0</v>
      </c>
      <c r="AI10" s="30">
        <f t="shared" si="2"/>
        <v>0</v>
      </c>
      <c r="AJ10" s="30">
        <f t="shared" si="3"/>
        <v>360</v>
      </c>
      <c r="AK10" s="31">
        <f t="shared" si="4"/>
        <v>0</v>
      </c>
      <c r="AL10" s="32">
        <f t="shared" si="1"/>
        <v>0</v>
      </c>
    </row>
    <row r="11" spans="1:38" x14ac:dyDescent="0.25">
      <c r="A11" s="1" t="s">
        <v>61</v>
      </c>
      <c r="B11" s="1" t="s">
        <v>62</v>
      </c>
      <c r="C11" s="1" t="s">
        <v>63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7">
        <v>0</v>
      </c>
      <c r="AE11" s="35">
        <f t="shared" si="0"/>
        <v>0</v>
      </c>
      <c r="AF11" s="34" t="s">
        <v>35</v>
      </c>
      <c r="AG11" s="30" cm="1">
        <f t="array" ref="AG11">DIASQUIEBRE(Q11:AB11)</f>
        <v>0</v>
      </c>
      <c r="AH11" s="30" cm="1">
        <f t="array" ref="AH11">DiasMesesGris(Q11:AB11)</f>
        <v>360</v>
      </c>
      <c r="AI11" s="30">
        <f t="shared" si="2"/>
        <v>360</v>
      </c>
      <c r="AJ11" s="30">
        <f t="shared" si="3"/>
        <v>0</v>
      </c>
      <c r="AK11" s="31">
        <f t="shared" si="4"/>
        <v>0</v>
      </c>
      <c r="AL11" s="32">
        <f t="shared" si="1"/>
        <v>0</v>
      </c>
    </row>
    <row r="12" spans="1:38" x14ac:dyDescent="0.25">
      <c r="A12" s="1" t="s">
        <v>64</v>
      </c>
      <c r="B12" s="1" t="s">
        <v>65</v>
      </c>
      <c r="C12" s="1" t="s">
        <v>66</v>
      </c>
      <c r="D12" s="5">
        <v>14</v>
      </c>
      <c r="E12" s="5">
        <v>8</v>
      </c>
      <c r="F12" s="5">
        <v>6</v>
      </c>
      <c r="G12" s="5">
        <v>6</v>
      </c>
      <c r="H12" s="5">
        <v>15</v>
      </c>
      <c r="I12" s="5">
        <v>17</v>
      </c>
      <c r="J12" s="3"/>
      <c r="K12" s="5">
        <v>6</v>
      </c>
      <c r="L12" s="5">
        <v>9</v>
      </c>
      <c r="M12" s="5">
        <v>6</v>
      </c>
      <c r="N12" s="5">
        <v>1</v>
      </c>
      <c r="O12" s="5">
        <v>13</v>
      </c>
      <c r="P12" s="3"/>
      <c r="Q12" s="6">
        <v>0.4516</v>
      </c>
      <c r="R12" s="6">
        <v>0.2581</v>
      </c>
      <c r="S12" s="6">
        <v>0.1739</v>
      </c>
      <c r="T12" s="6">
        <v>0.19350000000000001</v>
      </c>
      <c r="U12" s="6">
        <v>0.5</v>
      </c>
      <c r="V12" s="6">
        <v>0.5484</v>
      </c>
      <c r="W12" s="6">
        <v>0</v>
      </c>
      <c r="X12" s="6">
        <v>0.25209999999999999</v>
      </c>
      <c r="Y12" s="6">
        <v>0.26390000000000002</v>
      </c>
      <c r="Z12" s="6">
        <v>0.22220000000000001</v>
      </c>
      <c r="AA12" s="6">
        <v>3.0700000000000002E-2</v>
      </c>
      <c r="AB12" s="6">
        <v>0.37680000000000002</v>
      </c>
      <c r="AC12" s="7">
        <v>0</v>
      </c>
      <c r="AD12" s="35">
        <v>0.27260000000000001</v>
      </c>
      <c r="AE12" s="35">
        <f t="shared" si="0"/>
        <v>0.24201428571428571</v>
      </c>
      <c r="AF12" s="34" t="s">
        <v>35</v>
      </c>
      <c r="AG12" s="30" cm="1">
        <f t="array" ref="AG12">DIASQUIEBRE(Q12:AB12)</f>
        <v>0</v>
      </c>
      <c r="AH12" s="30" cm="1">
        <f t="array" ref="AH12">DiasMesesGris(Q12:AB12)</f>
        <v>0</v>
      </c>
      <c r="AI12" s="30">
        <f t="shared" si="2"/>
        <v>0</v>
      </c>
      <c r="AJ12" s="30">
        <f t="shared" si="3"/>
        <v>360</v>
      </c>
      <c r="AK12" s="31">
        <f t="shared" si="4"/>
        <v>101</v>
      </c>
      <c r="AL12" s="32">
        <f t="shared" si="1"/>
        <v>0.28055555555555556</v>
      </c>
    </row>
    <row r="13" spans="1:38" x14ac:dyDescent="0.25">
      <c r="A13" s="1" t="s">
        <v>67</v>
      </c>
      <c r="B13" s="1" t="s">
        <v>68</v>
      </c>
      <c r="C13" s="1" t="s">
        <v>69</v>
      </c>
      <c r="D13" s="5">
        <v>12</v>
      </c>
      <c r="E13" s="5">
        <v>2</v>
      </c>
      <c r="F13" s="5">
        <v>2</v>
      </c>
      <c r="G13" s="5">
        <v>21</v>
      </c>
      <c r="H13" s="5">
        <v>4</v>
      </c>
      <c r="I13" s="5">
        <v>5</v>
      </c>
      <c r="J13" s="5">
        <v>4</v>
      </c>
      <c r="K13" s="5">
        <v>2</v>
      </c>
      <c r="L13" s="5">
        <v>3</v>
      </c>
      <c r="M13" s="5">
        <v>13</v>
      </c>
      <c r="N13" s="5">
        <v>14</v>
      </c>
      <c r="O13" s="5">
        <v>7</v>
      </c>
      <c r="P13" s="3"/>
      <c r="Q13" s="6">
        <v>0.3871</v>
      </c>
      <c r="R13" s="6">
        <v>6.4500000000000002E-2</v>
      </c>
      <c r="S13" s="6">
        <v>5.8000000000000003E-2</v>
      </c>
      <c r="T13" s="6">
        <v>0.6774</v>
      </c>
      <c r="U13" s="6">
        <v>0.1333</v>
      </c>
      <c r="V13" s="6">
        <v>0.1613</v>
      </c>
      <c r="W13" s="6">
        <v>0.1613</v>
      </c>
      <c r="X13" s="6">
        <v>8.4000000000000005E-2</v>
      </c>
      <c r="Y13" s="6">
        <v>8.7999999999999995E-2</v>
      </c>
      <c r="Z13" s="6">
        <v>0.48149999999999998</v>
      </c>
      <c r="AA13" s="6">
        <v>0.43009999999999998</v>
      </c>
      <c r="AB13" s="6">
        <v>0.2029</v>
      </c>
      <c r="AC13" s="7">
        <v>0</v>
      </c>
      <c r="AD13" s="35">
        <v>0.24410000000000001</v>
      </c>
      <c r="AE13" s="35">
        <f t="shared" si="0"/>
        <v>0.22987142857142856</v>
      </c>
      <c r="AF13" s="34" t="s">
        <v>35</v>
      </c>
      <c r="AG13" s="30" cm="1">
        <f t="array" ref="AG13">DIASQUIEBRE(Q13:AB13)</f>
        <v>0</v>
      </c>
      <c r="AH13" s="30" cm="1">
        <f t="array" ref="AH13">DiasMesesGris(Q13:AB13)</f>
        <v>0</v>
      </c>
      <c r="AI13" s="30">
        <f t="shared" si="2"/>
        <v>0</v>
      </c>
      <c r="AJ13" s="30">
        <f t="shared" si="3"/>
        <v>360</v>
      </c>
      <c r="AK13" s="31">
        <f t="shared" si="4"/>
        <v>89</v>
      </c>
      <c r="AL13" s="32">
        <f t="shared" si="1"/>
        <v>0.24722222222222223</v>
      </c>
    </row>
    <row r="14" spans="1:38" x14ac:dyDescent="0.25">
      <c r="A14" s="10" t="s">
        <v>70</v>
      </c>
      <c r="B14" s="1" t="s">
        <v>71</v>
      </c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7">
        <v>0</v>
      </c>
      <c r="AE14" s="35">
        <f t="shared" si="0"/>
        <v>0</v>
      </c>
      <c r="AF14" s="34" t="s">
        <v>51</v>
      </c>
      <c r="AG14" s="30" cm="1">
        <f t="array" ref="AG14">DIASQUIEBRE(Q14:AB14)</f>
        <v>0</v>
      </c>
      <c r="AH14" s="30" cm="1">
        <f t="array" ref="AH14">DiasMesesGris(Q14:AB14)</f>
        <v>360</v>
      </c>
      <c r="AI14" s="30">
        <f t="shared" si="2"/>
        <v>360</v>
      </c>
      <c r="AJ14" s="30">
        <f t="shared" si="3"/>
        <v>0</v>
      </c>
      <c r="AK14" s="31">
        <f t="shared" si="4"/>
        <v>0</v>
      </c>
      <c r="AL14" s="32">
        <f t="shared" si="1"/>
        <v>0</v>
      </c>
    </row>
    <row r="15" spans="1:38" x14ac:dyDescent="0.25">
      <c r="A15" s="1" t="s">
        <v>72</v>
      </c>
      <c r="B15" s="1" t="s">
        <v>73</v>
      </c>
      <c r="C15" s="1" t="s">
        <v>74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7">
        <v>0</v>
      </c>
      <c r="AE15" s="35">
        <f t="shared" si="0"/>
        <v>0</v>
      </c>
      <c r="AF15" s="34" t="s">
        <v>35</v>
      </c>
      <c r="AG15" s="30" cm="1">
        <f t="array" ref="AG15">DIASQUIEBRE(Q15:AB15)</f>
        <v>0</v>
      </c>
      <c r="AH15" s="30" cm="1">
        <f t="array" ref="AH15">DiasMesesGris(Q15:AB15)</f>
        <v>360</v>
      </c>
      <c r="AI15" s="30">
        <f t="shared" si="2"/>
        <v>360</v>
      </c>
      <c r="AJ15" s="30">
        <f t="shared" si="3"/>
        <v>0</v>
      </c>
      <c r="AK15" s="31">
        <f t="shared" si="4"/>
        <v>0</v>
      </c>
      <c r="AL15" s="32">
        <f t="shared" si="1"/>
        <v>0</v>
      </c>
    </row>
    <row r="16" spans="1:38" x14ac:dyDescent="0.25">
      <c r="A16" s="1" t="s">
        <v>75</v>
      </c>
      <c r="B16" s="1" t="s">
        <v>76</v>
      </c>
      <c r="C16" s="1" t="s">
        <v>77</v>
      </c>
      <c r="D16" s="5">
        <v>1</v>
      </c>
      <c r="E16" s="5">
        <v>5</v>
      </c>
      <c r="F16" s="5">
        <v>2</v>
      </c>
      <c r="G16" s="5">
        <v>5</v>
      </c>
      <c r="H16" s="5">
        <v>1</v>
      </c>
      <c r="I16" s="5">
        <v>1</v>
      </c>
      <c r="J16" s="3"/>
      <c r="K16" s="5">
        <v>1</v>
      </c>
      <c r="L16" s="5">
        <v>2</v>
      </c>
      <c r="M16" s="5">
        <v>5</v>
      </c>
      <c r="N16" s="5">
        <v>2</v>
      </c>
      <c r="O16" s="5">
        <v>7</v>
      </c>
      <c r="P16" s="3"/>
      <c r="Q16" s="6">
        <v>3.2300000000000002E-2</v>
      </c>
      <c r="R16" s="6">
        <v>0.1613</v>
      </c>
      <c r="S16" s="6">
        <v>5.8000000000000003E-2</v>
      </c>
      <c r="T16" s="6">
        <v>0.1613</v>
      </c>
      <c r="U16" s="6">
        <v>3.3300000000000003E-2</v>
      </c>
      <c r="V16" s="6">
        <v>3.2300000000000002E-2</v>
      </c>
      <c r="W16" s="6">
        <v>0</v>
      </c>
      <c r="X16" s="6">
        <v>4.2000000000000003E-2</v>
      </c>
      <c r="Y16" s="6">
        <v>5.8700000000000002E-2</v>
      </c>
      <c r="Z16" s="6">
        <v>0.1852</v>
      </c>
      <c r="AA16" s="6">
        <v>6.1400000000000003E-2</v>
      </c>
      <c r="AB16" s="6">
        <v>0.2029</v>
      </c>
      <c r="AC16" s="7">
        <v>0</v>
      </c>
      <c r="AD16" s="35">
        <v>8.5699999999999998E-2</v>
      </c>
      <c r="AE16" s="35">
        <f t="shared" si="0"/>
        <v>8.3214285714285713E-2</v>
      </c>
      <c r="AF16" s="34" t="s">
        <v>35</v>
      </c>
      <c r="AG16" s="30" cm="1">
        <f t="array" ref="AG16">DIASQUIEBRE(Q16:AB16)</f>
        <v>0</v>
      </c>
      <c r="AH16" s="30" cm="1">
        <f t="array" ref="AH16">DiasMesesGris(Q16:AB16)</f>
        <v>0</v>
      </c>
      <c r="AI16" s="30">
        <f t="shared" si="2"/>
        <v>0</v>
      </c>
      <c r="AJ16" s="30">
        <f t="shared" si="3"/>
        <v>360</v>
      </c>
      <c r="AK16" s="31">
        <f t="shared" si="4"/>
        <v>32</v>
      </c>
      <c r="AL16" s="32">
        <f t="shared" si="1"/>
        <v>8.8888888888888892E-2</v>
      </c>
    </row>
    <row r="17" spans="1:38" x14ac:dyDescent="0.25">
      <c r="A17" s="1" t="s">
        <v>78</v>
      </c>
      <c r="B17" s="1" t="s">
        <v>79</v>
      </c>
      <c r="C17" s="1" t="s">
        <v>80</v>
      </c>
      <c r="D17" s="5">
        <v>65</v>
      </c>
      <c r="E17" s="5">
        <v>75</v>
      </c>
      <c r="F17" s="5">
        <v>55</v>
      </c>
      <c r="G17" s="5">
        <v>33</v>
      </c>
      <c r="H17" s="5">
        <v>69</v>
      </c>
      <c r="I17" s="5">
        <v>38</v>
      </c>
      <c r="J17" s="5">
        <v>40</v>
      </c>
      <c r="K17" s="5">
        <v>40</v>
      </c>
      <c r="L17" s="5">
        <v>43</v>
      </c>
      <c r="M17" s="5">
        <v>72</v>
      </c>
      <c r="N17" s="5">
        <v>45</v>
      </c>
      <c r="O17" s="5">
        <v>64</v>
      </c>
      <c r="P17" s="5">
        <v>1</v>
      </c>
      <c r="Q17" s="6">
        <v>2.0968</v>
      </c>
      <c r="R17" s="6">
        <v>2.4194</v>
      </c>
      <c r="S17" s="6">
        <v>1.5942000000000001</v>
      </c>
      <c r="T17" s="6">
        <v>1.0645</v>
      </c>
      <c r="U17" s="6">
        <v>2.2999999999999998</v>
      </c>
      <c r="V17" s="6">
        <v>1.2258</v>
      </c>
      <c r="W17" s="6">
        <v>1.6129</v>
      </c>
      <c r="X17" s="6">
        <v>1.6807000000000001</v>
      </c>
      <c r="Y17" s="6">
        <v>1.2609999999999999</v>
      </c>
      <c r="Z17" s="6">
        <v>2.6667000000000001</v>
      </c>
      <c r="AA17" s="6">
        <v>1.3825000000000001</v>
      </c>
      <c r="AB17" s="6">
        <v>1.8551</v>
      </c>
      <c r="AC17" s="7">
        <v>3.2300000000000002E-2</v>
      </c>
      <c r="AD17" s="35">
        <v>1.7633000000000001</v>
      </c>
      <c r="AE17" s="35">
        <f t="shared" si="0"/>
        <v>1.6692428571428573</v>
      </c>
      <c r="AF17" s="34" t="s">
        <v>35</v>
      </c>
      <c r="AG17" s="30" cm="1">
        <f t="array" ref="AG17">DIASQUIEBRE(Q17:AB17)</f>
        <v>0</v>
      </c>
      <c r="AH17" s="30" cm="1">
        <f t="array" ref="AH17">DiasMesesGris(Q17:AB17)</f>
        <v>0</v>
      </c>
      <c r="AI17" s="30">
        <f t="shared" si="2"/>
        <v>0</v>
      </c>
      <c r="AJ17" s="30">
        <f t="shared" si="3"/>
        <v>360</v>
      </c>
      <c r="AK17" s="31">
        <f t="shared" si="4"/>
        <v>639</v>
      </c>
      <c r="AL17" s="32">
        <f t="shared" si="1"/>
        <v>1.7749999999999999</v>
      </c>
    </row>
    <row r="18" spans="1:38" x14ac:dyDescent="0.25">
      <c r="A18" s="1" t="s">
        <v>81</v>
      </c>
      <c r="B18" s="1" t="s">
        <v>82</v>
      </c>
      <c r="C18" s="1" t="s">
        <v>83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7">
        <v>0</v>
      </c>
      <c r="AE18" s="35">
        <f t="shared" si="0"/>
        <v>0</v>
      </c>
      <c r="AF18" s="34" t="s">
        <v>35</v>
      </c>
      <c r="AG18" s="30" cm="1">
        <f t="array" ref="AG18">DIASQUIEBRE(Q18:AB18)</f>
        <v>0</v>
      </c>
      <c r="AH18" s="30" cm="1">
        <f t="array" ref="AH18">DiasMesesGris(Q18:AB18)</f>
        <v>360</v>
      </c>
      <c r="AI18" s="30">
        <f t="shared" si="2"/>
        <v>360</v>
      </c>
      <c r="AJ18" s="30">
        <f t="shared" si="3"/>
        <v>0</v>
      </c>
      <c r="AK18" s="31">
        <f t="shared" si="4"/>
        <v>0</v>
      </c>
      <c r="AL18" s="32">
        <f t="shared" si="1"/>
        <v>0</v>
      </c>
    </row>
    <row r="19" spans="1:38" x14ac:dyDescent="0.25">
      <c r="A19" s="10" t="s">
        <v>84</v>
      </c>
      <c r="B19" s="1" t="s">
        <v>85</v>
      </c>
      <c r="C19" s="1" t="s">
        <v>86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7">
        <v>0</v>
      </c>
      <c r="AE19" s="35">
        <f t="shared" si="0"/>
        <v>0</v>
      </c>
      <c r="AF19" s="34" t="s">
        <v>51</v>
      </c>
      <c r="AG19" s="30" cm="1">
        <f t="array" ref="AG19">DIASQUIEBRE(Q19:AB19)</f>
        <v>0</v>
      </c>
      <c r="AH19" s="30" cm="1">
        <f t="array" ref="AH19">DiasMesesGris(Q19:AB19)</f>
        <v>360</v>
      </c>
      <c r="AI19" s="30">
        <f t="shared" si="2"/>
        <v>360</v>
      </c>
      <c r="AJ19" s="30">
        <f t="shared" si="3"/>
        <v>0</v>
      </c>
      <c r="AK19" s="31">
        <f t="shared" si="4"/>
        <v>0</v>
      </c>
      <c r="AL19" s="32">
        <f t="shared" si="1"/>
        <v>0</v>
      </c>
    </row>
    <row r="20" spans="1:38" x14ac:dyDescent="0.25">
      <c r="A20" s="1" t="s">
        <v>87</v>
      </c>
      <c r="B20" s="1" t="s">
        <v>88</v>
      </c>
      <c r="C20" s="1" t="s">
        <v>89</v>
      </c>
      <c r="D20" s="5">
        <v>15</v>
      </c>
      <c r="E20" s="5">
        <v>6</v>
      </c>
      <c r="F20" s="5">
        <v>15</v>
      </c>
      <c r="G20" s="5">
        <v>6</v>
      </c>
      <c r="H20" s="5">
        <v>8</v>
      </c>
      <c r="I20" s="5">
        <v>3</v>
      </c>
      <c r="J20" s="5">
        <v>8</v>
      </c>
      <c r="K20" s="5">
        <v>3</v>
      </c>
      <c r="L20" s="5">
        <v>12</v>
      </c>
      <c r="M20" s="5">
        <v>5</v>
      </c>
      <c r="N20" s="5">
        <v>14</v>
      </c>
      <c r="O20" s="5">
        <v>28</v>
      </c>
      <c r="P20" s="3"/>
      <c r="Q20" s="6">
        <v>0.4839</v>
      </c>
      <c r="R20" s="6">
        <v>0.19350000000000001</v>
      </c>
      <c r="S20" s="6">
        <v>0.43480000000000002</v>
      </c>
      <c r="T20" s="6">
        <v>0.19350000000000001</v>
      </c>
      <c r="U20" s="6">
        <v>0.26669999999999999</v>
      </c>
      <c r="V20" s="6">
        <v>9.6799999999999997E-2</v>
      </c>
      <c r="W20" s="6">
        <v>0.3226</v>
      </c>
      <c r="X20" s="6">
        <v>0.12609999999999999</v>
      </c>
      <c r="Y20" s="6">
        <v>0.35189999999999999</v>
      </c>
      <c r="Z20" s="6">
        <v>0.1852</v>
      </c>
      <c r="AA20" s="6">
        <v>0.43009999999999998</v>
      </c>
      <c r="AB20" s="6">
        <v>0.81159999999999999</v>
      </c>
      <c r="AC20" s="7">
        <v>0</v>
      </c>
      <c r="AD20" s="35">
        <v>0.32469999999999999</v>
      </c>
      <c r="AE20" s="35">
        <f t="shared" si="0"/>
        <v>0.33204285714285714</v>
      </c>
      <c r="AF20" s="34" t="s">
        <v>35</v>
      </c>
      <c r="AG20" s="30" cm="1">
        <f t="array" ref="AG20">DIASQUIEBRE(Q20:AB20)</f>
        <v>0</v>
      </c>
      <c r="AH20" s="30" cm="1">
        <f t="array" ref="AH20">DiasMesesGris(Q20:AB20)</f>
        <v>0</v>
      </c>
      <c r="AI20" s="30">
        <f t="shared" si="2"/>
        <v>0</v>
      </c>
      <c r="AJ20" s="30">
        <f t="shared" si="3"/>
        <v>360</v>
      </c>
      <c r="AK20" s="31">
        <f t="shared" si="4"/>
        <v>123</v>
      </c>
      <c r="AL20" s="32">
        <f t="shared" si="1"/>
        <v>0.34166666666666667</v>
      </c>
    </row>
    <row r="21" spans="1:38" x14ac:dyDescent="0.25">
      <c r="A21" s="1" t="s">
        <v>90</v>
      </c>
      <c r="B21" s="1" t="s">
        <v>91</v>
      </c>
      <c r="C21" s="1" t="s">
        <v>92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7">
        <v>0</v>
      </c>
      <c r="AE21" s="35">
        <f t="shared" si="0"/>
        <v>0</v>
      </c>
      <c r="AF21" s="34" t="s">
        <v>35</v>
      </c>
      <c r="AG21" s="30" cm="1">
        <f t="array" ref="AG21">DIASQUIEBRE(Q21:AB21)</f>
        <v>0</v>
      </c>
      <c r="AH21" s="30" cm="1">
        <f t="array" ref="AH21">DiasMesesGris(Q21:AB21)</f>
        <v>360</v>
      </c>
      <c r="AI21" s="30">
        <f t="shared" si="2"/>
        <v>360</v>
      </c>
      <c r="AJ21" s="30">
        <f t="shared" si="3"/>
        <v>0</v>
      </c>
      <c r="AK21" s="31">
        <f t="shared" si="4"/>
        <v>0</v>
      </c>
      <c r="AL21" s="32">
        <f t="shared" si="1"/>
        <v>0</v>
      </c>
    </row>
    <row r="22" spans="1:38" x14ac:dyDescent="0.25">
      <c r="A22" s="1" t="s">
        <v>93</v>
      </c>
      <c r="B22" s="1" t="s">
        <v>94</v>
      </c>
      <c r="C22" s="1" t="s">
        <v>95</v>
      </c>
      <c r="D22" s="3"/>
      <c r="E22" s="5">
        <v>1</v>
      </c>
      <c r="F22" s="5">
        <v>3</v>
      </c>
      <c r="G22" s="3"/>
      <c r="H22" s="3"/>
      <c r="I22" s="5">
        <v>1</v>
      </c>
      <c r="J22" s="3"/>
      <c r="K22" s="3"/>
      <c r="L22" s="3"/>
      <c r="M22" s="5">
        <v>3</v>
      </c>
      <c r="N22" s="3"/>
      <c r="O22" s="5">
        <v>10</v>
      </c>
      <c r="P22" s="3"/>
      <c r="Q22" s="6">
        <v>0</v>
      </c>
      <c r="R22" s="6">
        <v>3.2300000000000002E-2</v>
      </c>
      <c r="S22" s="6">
        <v>8.6999999999999994E-2</v>
      </c>
      <c r="T22" s="6">
        <v>0</v>
      </c>
      <c r="U22" s="6">
        <v>0</v>
      </c>
      <c r="V22" s="6">
        <v>3.2300000000000002E-2</v>
      </c>
      <c r="W22" s="6">
        <v>0</v>
      </c>
      <c r="X22" s="6">
        <v>0</v>
      </c>
      <c r="Y22" s="6">
        <v>0</v>
      </c>
      <c r="Z22" s="6">
        <v>0.1111</v>
      </c>
      <c r="AA22" s="6">
        <v>0</v>
      </c>
      <c r="AB22" s="8">
        <f>O22/30</f>
        <v>0.33333333333333331</v>
      </c>
      <c r="AC22" s="7">
        <v>0</v>
      </c>
      <c r="AD22" s="35">
        <v>2.3900000000000001E-2</v>
      </c>
      <c r="AE22" s="35">
        <f t="shared" si="0"/>
        <v>6.8104761904761904E-2</v>
      </c>
      <c r="AF22" s="34" t="s">
        <v>35</v>
      </c>
      <c r="AG22" s="30" cm="1">
        <f t="array" ref="AG22">DIASQUIEBRE(Q22:AB22)</f>
        <v>28</v>
      </c>
      <c r="AH22" s="30" cm="1">
        <f t="array" ref="AH22">DiasMesesGris(Q22:AB22)</f>
        <v>0</v>
      </c>
      <c r="AI22" s="30">
        <f t="shared" si="2"/>
        <v>28</v>
      </c>
      <c r="AJ22" s="30">
        <f t="shared" si="3"/>
        <v>332</v>
      </c>
      <c r="AK22" s="31">
        <f t="shared" si="4"/>
        <v>18</v>
      </c>
      <c r="AL22" s="32">
        <f t="shared" si="1"/>
        <v>5.4216867469879519E-2</v>
      </c>
    </row>
    <row r="23" spans="1:38" x14ac:dyDescent="0.25">
      <c r="A23" s="1" t="s">
        <v>96</v>
      </c>
      <c r="B23" s="1" t="s">
        <v>97</v>
      </c>
      <c r="C23" s="1" t="s">
        <v>98</v>
      </c>
      <c r="D23" s="5">
        <v>48</v>
      </c>
      <c r="E23" s="5">
        <v>45</v>
      </c>
      <c r="F23" s="5">
        <v>93</v>
      </c>
      <c r="G23" s="5">
        <v>50</v>
      </c>
      <c r="H23" s="5">
        <v>29</v>
      </c>
      <c r="I23" s="5">
        <v>243</v>
      </c>
      <c r="J23" s="5">
        <v>46</v>
      </c>
      <c r="K23" s="5">
        <v>-44</v>
      </c>
      <c r="L23" s="5">
        <v>74</v>
      </c>
      <c r="M23" s="5">
        <v>75</v>
      </c>
      <c r="N23" s="5">
        <v>49</v>
      </c>
      <c r="O23" s="5">
        <v>57</v>
      </c>
      <c r="P23" s="3"/>
      <c r="Q23" s="6">
        <v>1.5484</v>
      </c>
      <c r="R23" s="6">
        <v>1.4516</v>
      </c>
      <c r="S23" s="6">
        <v>2.6957</v>
      </c>
      <c r="T23" s="6">
        <v>1.6129</v>
      </c>
      <c r="U23" s="6">
        <v>0.9667</v>
      </c>
      <c r="V23" s="6">
        <v>7.8387000000000002</v>
      </c>
      <c r="W23" s="6">
        <v>1.8548</v>
      </c>
      <c r="X23" s="6">
        <v>-1.8487</v>
      </c>
      <c r="Y23" s="6">
        <v>2.1701000000000001</v>
      </c>
      <c r="Z23" s="6">
        <v>2.7778</v>
      </c>
      <c r="AA23" s="6">
        <v>1.5054000000000001</v>
      </c>
      <c r="AB23" s="6">
        <v>1.6521999999999999</v>
      </c>
      <c r="AC23" s="7">
        <v>0</v>
      </c>
      <c r="AD23" s="35">
        <v>2.0188000000000001</v>
      </c>
      <c r="AE23" s="35">
        <f t="shared" si="0"/>
        <v>2.2786142857142857</v>
      </c>
      <c r="AF23" s="34" t="s">
        <v>35</v>
      </c>
      <c r="AG23" s="30" cm="1">
        <f t="array" ref="AG23">DIASQUIEBRE(Q23:AB23)</f>
        <v>0</v>
      </c>
      <c r="AH23" s="30" cm="1">
        <f t="array" ref="AH23">DiasMesesGris(Q23:AB23)</f>
        <v>0</v>
      </c>
      <c r="AI23" s="30">
        <f t="shared" si="2"/>
        <v>0</v>
      </c>
      <c r="AJ23" s="30">
        <f t="shared" si="3"/>
        <v>360</v>
      </c>
      <c r="AK23" s="31">
        <f t="shared" si="4"/>
        <v>765</v>
      </c>
      <c r="AL23" s="32">
        <f t="shared" si="1"/>
        <v>2.125</v>
      </c>
    </row>
    <row r="24" spans="1:38" x14ac:dyDescent="0.25">
      <c r="A24" s="10" t="s">
        <v>99</v>
      </c>
      <c r="B24" s="1" t="s">
        <v>100</v>
      </c>
      <c r="C24" s="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7">
        <v>0</v>
      </c>
      <c r="AE24" s="35">
        <f t="shared" si="0"/>
        <v>0</v>
      </c>
      <c r="AF24" s="34" t="s">
        <v>51</v>
      </c>
      <c r="AG24" s="30" cm="1">
        <f t="array" ref="AG24">DIASQUIEBRE(Q24:AB24)</f>
        <v>0</v>
      </c>
      <c r="AH24" s="30" cm="1">
        <f t="array" ref="AH24">DiasMesesGris(Q24:AB24)</f>
        <v>360</v>
      </c>
      <c r="AI24" s="30">
        <f t="shared" si="2"/>
        <v>360</v>
      </c>
      <c r="AJ24" s="30">
        <f t="shared" si="3"/>
        <v>0</v>
      </c>
      <c r="AK24" s="31">
        <f t="shared" si="4"/>
        <v>0</v>
      </c>
      <c r="AL24" s="32">
        <f t="shared" si="1"/>
        <v>0</v>
      </c>
    </row>
    <row r="25" spans="1:38" x14ac:dyDescent="0.25">
      <c r="A25" s="1" t="s">
        <v>101</v>
      </c>
      <c r="B25" s="1" t="s">
        <v>102</v>
      </c>
      <c r="C25" s="1" t="s">
        <v>103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7">
        <v>0</v>
      </c>
      <c r="AE25" s="35">
        <f t="shared" si="0"/>
        <v>0</v>
      </c>
      <c r="AF25" s="34" t="s">
        <v>51</v>
      </c>
      <c r="AG25" s="30" cm="1">
        <f t="array" ref="AG25">DIASQUIEBRE(Q25:AB25)</f>
        <v>0</v>
      </c>
      <c r="AH25" s="30" cm="1">
        <f t="array" ref="AH25">DiasMesesGris(Q25:AB25)</f>
        <v>360</v>
      </c>
      <c r="AI25" s="30">
        <f t="shared" si="2"/>
        <v>360</v>
      </c>
      <c r="AJ25" s="30">
        <f t="shared" si="3"/>
        <v>0</v>
      </c>
      <c r="AK25" s="31">
        <f t="shared" si="4"/>
        <v>0</v>
      </c>
      <c r="AL25" s="32">
        <f t="shared" si="1"/>
        <v>0</v>
      </c>
    </row>
    <row r="26" spans="1:38" x14ac:dyDescent="0.25">
      <c r="A26" s="1" t="s">
        <v>104</v>
      </c>
      <c r="B26" s="1" t="s">
        <v>105</v>
      </c>
      <c r="C26" s="1" t="s">
        <v>106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7">
        <v>0</v>
      </c>
      <c r="AE26" s="35">
        <f t="shared" si="0"/>
        <v>0</v>
      </c>
      <c r="AF26" s="34" t="s">
        <v>51</v>
      </c>
      <c r="AG26" s="30" cm="1">
        <f t="array" ref="AG26">DIASQUIEBRE(Q26:AB26)</f>
        <v>0</v>
      </c>
      <c r="AH26" s="30" cm="1">
        <f t="array" ref="AH26">DiasMesesGris(Q26:AB26)</f>
        <v>360</v>
      </c>
      <c r="AI26" s="30">
        <f t="shared" si="2"/>
        <v>360</v>
      </c>
      <c r="AJ26" s="30">
        <f t="shared" si="3"/>
        <v>0</v>
      </c>
      <c r="AK26" s="31">
        <f t="shared" si="4"/>
        <v>0</v>
      </c>
      <c r="AL26" s="32">
        <f t="shared" si="1"/>
        <v>0</v>
      </c>
    </row>
    <row r="27" spans="1:38" x14ac:dyDescent="0.25">
      <c r="A27" s="1" t="s">
        <v>107</v>
      </c>
      <c r="B27" s="1" t="s">
        <v>108</v>
      </c>
      <c r="C27" s="1" t="s">
        <v>109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7">
        <v>0</v>
      </c>
      <c r="AE27" s="35">
        <f t="shared" si="0"/>
        <v>0</v>
      </c>
      <c r="AF27" s="34" t="s">
        <v>51</v>
      </c>
      <c r="AG27" s="30" cm="1">
        <f t="array" ref="AG27">DIASQUIEBRE(Q27:AB27)</f>
        <v>0</v>
      </c>
      <c r="AH27" s="30" cm="1">
        <f t="array" ref="AH27">DiasMesesGris(Q27:AB27)</f>
        <v>360</v>
      </c>
      <c r="AI27" s="30">
        <f t="shared" si="2"/>
        <v>360</v>
      </c>
      <c r="AJ27" s="30">
        <f t="shared" si="3"/>
        <v>0</v>
      </c>
      <c r="AK27" s="31">
        <f t="shared" si="4"/>
        <v>0</v>
      </c>
      <c r="AL27" s="32">
        <f t="shared" si="1"/>
        <v>0</v>
      </c>
    </row>
    <row r="28" spans="1:38" x14ac:dyDescent="0.25">
      <c r="A28" s="1" t="s">
        <v>110</v>
      </c>
      <c r="B28" s="1" t="s">
        <v>111</v>
      </c>
      <c r="C28" s="1" t="s">
        <v>112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7">
        <v>0</v>
      </c>
      <c r="AE28" s="35">
        <f t="shared" si="0"/>
        <v>0</v>
      </c>
      <c r="AF28" s="34" t="s">
        <v>51</v>
      </c>
      <c r="AG28" s="30" cm="1">
        <f t="array" ref="AG28">DIASQUIEBRE(Q28:AB28)</f>
        <v>0</v>
      </c>
      <c r="AH28" s="30" cm="1">
        <f t="array" ref="AH28">DiasMesesGris(Q28:AB28)</f>
        <v>360</v>
      </c>
      <c r="AI28" s="30">
        <f t="shared" si="2"/>
        <v>360</v>
      </c>
      <c r="AJ28" s="30">
        <f t="shared" si="3"/>
        <v>0</v>
      </c>
      <c r="AK28" s="31">
        <f t="shared" si="4"/>
        <v>0</v>
      </c>
      <c r="AL28" s="32">
        <f t="shared" si="1"/>
        <v>0</v>
      </c>
    </row>
    <row r="29" spans="1:38" x14ac:dyDescent="0.25">
      <c r="A29" s="1" t="s">
        <v>113</v>
      </c>
      <c r="B29" s="1" t="s">
        <v>114</v>
      </c>
      <c r="C29" s="1" t="s">
        <v>115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7">
        <v>0</v>
      </c>
      <c r="AE29" s="35">
        <f t="shared" si="0"/>
        <v>0</v>
      </c>
      <c r="AF29" s="34" t="s">
        <v>35</v>
      </c>
      <c r="AG29" s="30" cm="1">
        <f t="array" ref="AG29">DIASQUIEBRE(Q29:AB29)</f>
        <v>0</v>
      </c>
      <c r="AH29" s="30" cm="1">
        <f t="array" ref="AH29">DiasMesesGris(Q29:AB29)</f>
        <v>360</v>
      </c>
      <c r="AI29" s="30">
        <f t="shared" si="2"/>
        <v>360</v>
      </c>
      <c r="AJ29" s="30">
        <f t="shared" si="3"/>
        <v>0</v>
      </c>
      <c r="AK29" s="31">
        <f t="shared" si="4"/>
        <v>0</v>
      </c>
      <c r="AL29" s="32">
        <f t="shared" si="1"/>
        <v>0</v>
      </c>
    </row>
    <row r="30" spans="1:38" x14ac:dyDescent="0.25">
      <c r="A30" s="1" t="s">
        <v>116</v>
      </c>
      <c r="B30" s="1" t="s">
        <v>117</v>
      </c>
      <c r="C30" s="1" t="s">
        <v>118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7">
        <v>0</v>
      </c>
      <c r="AE30" s="35">
        <f t="shared" si="0"/>
        <v>0</v>
      </c>
      <c r="AF30" s="34" t="s">
        <v>35</v>
      </c>
      <c r="AG30" s="30" cm="1">
        <f t="array" ref="AG30">DIASQUIEBRE(Q30:AB30)</f>
        <v>0</v>
      </c>
      <c r="AH30" s="30" cm="1">
        <f t="array" ref="AH30">DiasMesesGris(Q30:AB30)</f>
        <v>360</v>
      </c>
      <c r="AI30" s="30">
        <f t="shared" si="2"/>
        <v>360</v>
      </c>
      <c r="AJ30" s="30">
        <f t="shared" si="3"/>
        <v>0</v>
      </c>
      <c r="AK30" s="31">
        <f t="shared" si="4"/>
        <v>0</v>
      </c>
      <c r="AL30" s="32">
        <f t="shared" si="1"/>
        <v>0</v>
      </c>
    </row>
    <row r="31" spans="1:38" x14ac:dyDescent="0.25">
      <c r="A31" s="1" t="s">
        <v>119</v>
      </c>
      <c r="B31" s="1" t="s">
        <v>120</v>
      </c>
      <c r="C31" s="1" t="s">
        <v>121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7">
        <v>0</v>
      </c>
      <c r="AE31" s="35">
        <f t="shared" si="0"/>
        <v>0</v>
      </c>
      <c r="AF31" s="34" t="s">
        <v>35</v>
      </c>
      <c r="AG31" s="30" cm="1">
        <f t="array" ref="AG31">DIASQUIEBRE(Q31:AB31)</f>
        <v>0</v>
      </c>
      <c r="AH31" s="30" cm="1">
        <f t="array" ref="AH31">DiasMesesGris(Q31:AB31)</f>
        <v>360</v>
      </c>
      <c r="AI31" s="30">
        <f t="shared" si="2"/>
        <v>360</v>
      </c>
      <c r="AJ31" s="30">
        <f t="shared" si="3"/>
        <v>0</v>
      </c>
      <c r="AK31" s="31">
        <f t="shared" si="4"/>
        <v>0</v>
      </c>
      <c r="AL31" s="32">
        <f t="shared" si="1"/>
        <v>0</v>
      </c>
    </row>
    <row r="32" spans="1:38" x14ac:dyDescent="0.25">
      <c r="A32" s="1" t="s">
        <v>122</v>
      </c>
      <c r="B32" s="1" t="s">
        <v>123</v>
      </c>
      <c r="C32" s="1" t="s">
        <v>124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7">
        <v>0</v>
      </c>
      <c r="AE32" s="35">
        <f t="shared" si="0"/>
        <v>0</v>
      </c>
      <c r="AF32" s="34" t="s">
        <v>35</v>
      </c>
      <c r="AG32" s="30" cm="1">
        <f t="array" ref="AG32">DIASQUIEBRE(Q32:AB32)</f>
        <v>0</v>
      </c>
      <c r="AH32" s="30" cm="1">
        <f t="array" ref="AH32">DiasMesesGris(Q32:AB32)</f>
        <v>360</v>
      </c>
      <c r="AI32" s="30">
        <f t="shared" si="2"/>
        <v>360</v>
      </c>
      <c r="AJ32" s="30">
        <f t="shared" si="3"/>
        <v>0</v>
      </c>
      <c r="AK32" s="31">
        <f t="shared" si="4"/>
        <v>0</v>
      </c>
      <c r="AL32" s="32">
        <f t="shared" si="1"/>
        <v>0</v>
      </c>
    </row>
    <row r="33" spans="1:38" x14ac:dyDescent="0.25">
      <c r="A33" s="1" t="s">
        <v>125</v>
      </c>
      <c r="B33" s="1" t="s">
        <v>126</v>
      </c>
      <c r="C33" s="1" t="s">
        <v>127</v>
      </c>
      <c r="D33" s="5">
        <v>3</v>
      </c>
      <c r="E33" s="5">
        <v>2</v>
      </c>
      <c r="F33" s="5">
        <v>1</v>
      </c>
      <c r="G33" s="5">
        <v>1</v>
      </c>
      <c r="H33" s="5">
        <v>1</v>
      </c>
      <c r="I33" s="5">
        <v>2</v>
      </c>
      <c r="J33" s="3"/>
      <c r="K33" s="5">
        <v>2</v>
      </c>
      <c r="L33" s="5">
        <v>1</v>
      </c>
      <c r="M33" s="3"/>
      <c r="N33" s="3"/>
      <c r="O33" s="3"/>
      <c r="P33" s="3"/>
      <c r="Q33" s="6">
        <v>9.6799999999999997E-2</v>
      </c>
      <c r="R33" s="8">
        <f>E33/30</f>
        <v>6.6666666666666666E-2</v>
      </c>
      <c r="S33" s="9">
        <v>0</v>
      </c>
      <c r="T33" s="8">
        <f>G33/30</f>
        <v>3.3333333333333333E-2</v>
      </c>
      <c r="U33" s="6">
        <v>3.3300000000000003E-2</v>
      </c>
      <c r="V33" s="6">
        <v>6.4500000000000002E-2</v>
      </c>
      <c r="W33" s="6">
        <v>0</v>
      </c>
      <c r="X33" s="6">
        <v>8.4000000000000005E-2</v>
      </c>
      <c r="Y33" s="6">
        <v>2.93E-2</v>
      </c>
      <c r="Z33" s="6">
        <v>0</v>
      </c>
      <c r="AA33" s="6">
        <v>0</v>
      </c>
      <c r="AB33" s="6">
        <v>0</v>
      </c>
      <c r="AC33" s="7">
        <v>0</v>
      </c>
      <c r="AD33" s="35">
        <v>3.4200000000000001E-2</v>
      </c>
      <c r="AE33" s="35">
        <f t="shared" si="0"/>
        <v>2.5400000000000002E-2</v>
      </c>
      <c r="AF33" s="34" t="s">
        <v>35</v>
      </c>
      <c r="AG33" s="30" cm="1">
        <f t="array" ref="AG33">DIASQUIEBRE(Q33:AB33)</f>
        <v>29</v>
      </c>
      <c r="AH33" s="30" cm="1">
        <f t="array" ref="AH33">DiasMesesGris(Q33:AB33)</f>
        <v>30</v>
      </c>
      <c r="AI33" s="30">
        <f t="shared" si="2"/>
        <v>59</v>
      </c>
      <c r="AJ33" s="30">
        <f t="shared" si="3"/>
        <v>301</v>
      </c>
      <c r="AK33" s="31">
        <f t="shared" si="4"/>
        <v>13</v>
      </c>
      <c r="AL33" s="32">
        <f t="shared" si="1"/>
        <v>4.3189368770764118E-2</v>
      </c>
    </row>
    <row r="34" spans="1:38" x14ac:dyDescent="0.25">
      <c r="A34" s="1" t="s">
        <v>128</v>
      </c>
      <c r="B34" s="1" t="s">
        <v>129</v>
      </c>
      <c r="C34" s="1" t="s">
        <v>130</v>
      </c>
      <c r="D34" s="5">
        <v>3</v>
      </c>
      <c r="E34" s="5">
        <v>4</v>
      </c>
      <c r="F34" s="5">
        <v>1</v>
      </c>
      <c r="G34" s="5">
        <v>1</v>
      </c>
      <c r="H34" s="5">
        <v>1</v>
      </c>
      <c r="I34" s="3"/>
      <c r="J34" s="3"/>
      <c r="K34" s="5">
        <v>2</v>
      </c>
      <c r="L34" s="3"/>
      <c r="M34" s="3"/>
      <c r="N34" s="3"/>
      <c r="O34" s="5">
        <v>1</v>
      </c>
      <c r="P34" s="3"/>
      <c r="Q34" s="6">
        <v>9.6799999999999997E-2</v>
      </c>
      <c r="R34" s="6">
        <v>0.129</v>
      </c>
      <c r="S34" s="6">
        <v>2.9000000000000001E-2</v>
      </c>
      <c r="T34" s="6">
        <v>3.2300000000000002E-2</v>
      </c>
      <c r="U34" s="6">
        <v>3.3300000000000003E-2</v>
      </c>
      <c r="V34" s="6">
        <v>0</v>
      </c>
      <c r="W34" s="6">
        <v>0</v>
      </c>
      <c r="X34" s="6">
        <v>8.4000000000000005E-2</v>
      </c>
      <c r="Y34" s="6">
        <v>0</v>
      </c>
      <c r="Z34" s="6">
        <v>0</v>
      </c>
      <c r="AA34" s="6">
        <v>0</v>
      </c>
      <c r="AB34" s="6">
        <v>2.9000000000000001E-2</v>
      </c>
      <c r="AC34" s="7">
        <v>0</v>
      </c>
      <c r="AD34" s="35">
        <v>3.61E-2</v>
      </c>
      <c r="AE34" s="35">
        <f t="shared" si="0"/>
        <v>1.6142857142857143E-2</v>
      </c>
      <c r="AF34" s="34" t="s">
        <v>35</v>
      </c>
      <c r="AG34" s="30" cm="1">
        <f t="array" ref="AG34">DIASQUIEBRE(Q34:AB34)</f>
        <v>0</v>
      </c>
      <c r="AH34" s="30" cm="1">
        <f t="array" ref="AH34">DiasMesesGris(Q34:AB34)</f>
        <v>0</v>
      </c>
      <c r="AI34" s="30">
        <f t="shared" si="2"/>
        <v>0</v>
      </c>
      <c r="AJ34" s="30">
        <f t="shared" si="3"/>
        <v>360</v>
      </c>
      <c r="AK34" s="31">
        <f t="shared" si="4"/>
        <v>13</v>
      </c>
      <c r="AL34" s="32">
        <f t="shared" si="1"/>
        <v>3.6111111111111108E-2</v>
      </c>
    </row>
    <row r="35" spans="1:38" x14ac:dyDescent="0.25">
      <c r="A35" s="1" t="s">
        <v>131</v>
      </c>
      <c r="B35" s="1" t="s">
        <v>132</v>
      </c>
      <c r="C35" s="1" t="s">
        <v>133</v>
      </c>
      <c r="D35" s="5">
        <v>5</v>
      </c>
      <c r="E35" s="5">
        <v>1</v>
      </c>
      <c r="F35" s="3"/>
      <c r="G35" s="5">
        <v>1</v>
      </c>
      <c r="H35" s="5">
        <v>1</v>
      </c>
      <c r="I35" s="3"/>
      <c r="J35" s="3"/>
      <c r="K35" s="5">
        <v>1</v>
      </c>
      <c r="L35" s="5">
        <v>1</v>
      </c>
      <c r="M35" s="3"/>
      <c r="N35" s="3"/>
      <c r="O35" s="5">
        <v>1</v>
      </c>
      <c r="P35" s="3"/>
      <c r="Q35" s="8">
        <f>D35/30</f>
        <v>0.16666666666666666</v>
      </c>
      <c r="R35" s="6">
        <v>3.2300000000000002E-2</v>
      </c>
      <c r="S35" s="6">
        <v>0</v>
      </c>
      <c r="T35" s="6">
        <v>3.2300000000000002E-2</v>
      </c>
      <c r="U35" s="6">
        <v>3.3300000000000003E-2</v>
      </c>
      <c r="V35" s="6">
        <v>0</v>
      </c>
      <c r="W35" s="6">
        <v>0</v>
      </c>
      <c r="X35" s="6">
        <v>4.2000000000000003E-2</v>
      </c>
      <c r="Y35" s="6">
        <v>2.93E-2</v>
      </c>
      <c r="Z35" s="6">
        <v>0</v>
      </c>
      <c r="AA35" s="6">
        <v>0</v>
      </c>
      <c r="AB35" s="6">
        <v>2.9000000000000001E-2</v>
      </c>
      <c r="AC35" s="7">
        <v>0</v>
      </c>
      <c r="AD35" s="35">
        <v>1.7999999999999999E-2</v>
      </c>
      <c r="AE35" s="35">
        <f t="shared" si="0"/>
        <v>1.4328571428571428E-2</v>
      </c>
      <c r="AF35" s="34" t="s">
        <v>35</v>
      </c>
      <c r="AG35" s="30" cm="1">
        <f t="array" ref="AG35">DIASQUIEBRE(Q35:AB35)</f>
        <v>20</v>
      </c>
      <c r="AH35" s="30" cm="1">
        <f t="array" ref="AH35">DiasMesesGris(Q35:AB35)</f>
        <v>0</v>
      </c>
      <c r="AI35" s="30">
        <f t="shared" si="2"/>
        <v>20</v>
      </c>
      <c r="AJ35" s="30">
        <f t="shared" si="3"/>
        <v>340</v>
      </c>
      <c r="AK35" s="31">
        <f t="shared" si="4"/>
        <v>11</v>
      </c>
      <c r="AL35" s="32">
        <f t="shared" si="1"/>
        <v>3.2352941176470591E-2</v>
      </c>
    </row>
    <row r="36" spans="1:38" x14ac:dyDescent="0.25">
      <c r="A36" s="1" t="s">
        <v>134</v>
      </c>
      <c r="B36" s="1" t="s">
        <v>135</v>
      </c>
      <c r="C36" s="1" t="s">
        <v>136</v>
      </c>
      <c r="D36" s="5">
        <v>1</v>
      </c>
      <c r="E36" s="5">
        <v>1</v>
      </c>
      <c r="F36" s="3"/>
      <c r="G36" s="5">
        <v>1</v>
      </c>
      <c r="H36" s="5">
        <v>1</v>
      </c>
      <c r="I36" s="3"/>
      <c r="J36" s="3"/>
      <c r="K36" s="5">
        <v>2</v>
      </c>
      <c r="L36" s="5">
        <v>1</v>
      </c>
      <c r="M36" s="3"/>
      <c r="N36" s="3"/>
      <c r="O36" s="3"/>
      <c r="P36" s="3"/>
      <c r="Q36" s="6">
        <v>3.2300000000000002E-2</v>
      </c>
      <c r="R36" s="6">
        <v>3.2300000000000002E-2</v>
      </c>
      <c r="S36" s="6">
        <v>0</v>
      </c>
      <c r="T36" s="6">
        <v>3.2300000000000002E-2</v>
      </c>
      <c r="U36" s="6">
        <v>3.3300000000000003E-2</v>
      </c>
      <c r="V36" s="6">
        <v>0</v>
      </c>
      <c r="W36" s="6">
        <v>0</v>
      </c>
      <c r="X36" s="6">
        <v>8.4000000000000005E-2</v>
      </c>
      <c r="Y36" s="6">
        <v>2.93E-2</v>
      </c>
      <c r="Z36" s="6">
        <v>0</v>
      </c>
      <c r="AA36" s="6">
        <v>0</v>
      </c>
      <c r="AB36" s="6">
        <v>0</v>
      </c>
      <c r="AC36" s="7">
        <v>0</v>
      </c>
      <c r="AD36" s="35">
        <v>2.0299999999999999E-2</v>
      </c>
      <c r="AE36" s="35">
        <f t="shared" si="0"/>
        <v>1.6185714285714286E-2</v>
      </c>
      <c r="AF36" s="34" t="s">
        <v>35</v>
      </c>
      <c r="AG36" s="30" cm="1">
        <f t="array" ref="AG36">DIASQUIEBRE(Q36:AB36)</f>
        <v>0</v>
      </c>
      <c r="AH36" s="30" cm="1">
        <f t="array" ref="AH36">DiasMesesGris(Q36:AB36)</f>
        <v>0</v>
      </c>
      <c r="AI36" s="30">
        <f t="shared" si="2"/>
        <v>0</v>
      </c>
      <c r="AJ36" s="30">
        <f t="shared" si="3"/>
        <v>360</v>
      </c>
      <c r="AK36" s="31">
        <f t="shared" si="4"/>
        <v>7</v>
      </c>
      <c r="AL36" s="32">
        <f t="shared" si="1"/>
        <v>1.9444444444444445E-2</v>
      </c>
    </row>
    <row r="37" spans="1:38" x14ac:dyDescent="0.25">
      <c r="A37" s="1" t="s">
        <v>137</v>
      </c>
      <c r="B37" s="1" t="s">
        <v>138</v>
      </c>
      <c r="C37" s="1" t="s">
        <v>139</v>
      </c>
      <c r="D37" s="5">
        <v>227</v>
      </c>
      <c r="E37" s="5">
        <v>163</v>
      </c>
      <c r="F37" s="5">
        <v>165</v>
      </c>
      <c r="G37" s="5">
        <v>124</v>
      </c>
      <c r="H37" s="5">
        <v>91</v>
      </c>
      <c r="I37" s="5">
        <v>114</v>
      </c>
      <c r="J37" s="5">
        <v>197</v>
      </c>
      <c r="K37" s="5">
        <v>111</v>
      </c>
      <c r="L37" s="5">
        <v>202</v>
      </c>
      <c r="M37" s="5">
        <v>145</v>
      </c>
      <c r="N37" s="5">
        <v>171</v>
      </c>
      <c r="O37" s="5">
        <v>170</v>
      </c>
      <c r="P37" s="5">
        <v>1</v>
      </c>
      <c r="Q37" s="6">
        <v>7.3226000000000004</v>
      </c>
      <c r="R37" s="6">
        <v>5.2580999999999998</v>
      </c>
      <c r="S37" s="6">
        <v>4.7826000000000004</v>
      </c>
      <c r="T37" s="6">
        <v>4</v>
      </c>
      <c r="U37" s="6">
        <v>3.0333000000000001</v>
      </c>
      <c r="V37" s="6">
        <v>3.6774</v>
      </c>
      <c r="W37" s="6">
        <v>7.9435000000000002</v>
      </c>
      <c r="X37" s="6">
        <v>4.6638999999999999</v>
      </c>
      <c r="Y37" s="6">
        <v>5.9238</v>
      </c>
      <c r="Z37" s="6">
        <v>5.3704000000000001</v>
      </c>
      <c r="AA37" s="6">
        <v>5.2534999999999998</v>
      </c>
      <c r="AB37" s="6">
        <v>4.9275000000000002</v>
      </c>
      <c r="AC37" s="7">
        <v>3.2300000000000002E-2</v>
      </c>
      <c r="AD37" s="35">
        <v>5.1797000000000004</v>
      </c>
      <c r="AE37" s="35">
        <f t="shared" si="0"/>
        <v>5.394285714285715</v>
      </c>
      <c r="AF37" s="34" t="s">
        <v>35</v>
      </c>
      <c r="AG37" s="30" cm="1">
        <f t="array" ref="AG37">DIASQUIEBRE(Q37:AB37)</f>
        <v>0</v>
      </c>
      <c r="AH37" s="30" cm="1">
        <f t="array" ref="AH37">DiasMesesGris(Q37:AB37)</f>
        <v>0</v>
      </c>
      <c r="AI37" s="30">
        <f t="shared" si="2"/>
        <v>0</v>
      </c>
      <c r="AJ37" s="30">
        <f t="shared" si="3"/>
        <v>360</v>
      </c>
      <c r="AK37" s="31">
        <f t="shared" si="4"/>
        <v>1880</v>
      </c>
      <c r="AL37" s="32">
        <f t="shared" si="1"/>
        <v>5.2222222222222223</v>
      </c>
    </row>
    <row r="38" spans="1:38" x14ac:dyDescent="0.25">
      <c r="A38" s="1" t="s">
        <v>140</v>
      </c>
      <c r="B38" s="1" t="s">
        <v>141</v>
      </c>
      <c r="C38" s="1" t="s">
        <v>142</v>
      </c>
      <c r="D38" s="3"/>
      <c r="E38" s="3"/>
      <c r="F38" s="5">
        <v>3</v>
      </c>
      <c r="G38" s="3"/>
      <c r="H38" s="3"/>
      <c r="I38" s="5">
        <v>6</v>
      </c>
      <c r="J38" s="3"/>
      <c r="K38" s="3"/>
      <c r="L38" s="5">
        <v>1</v>
      </c>
      <c r="M38" s="3"/>
      <c r="N38" s="3"/>
      <c r="O38" s="3"/>
      <c r="P38" s="3"/>
      <c r="Q38" s="6">
        <v>0</v>
      </c>
      <c r="R38" s="6">
        <v>0</v>
      </c>
      <c r="S38" s="6">
        <v>8.6999999999999994E-2</v>
      </c>
      <c r="T38" s="6">
        <v>0</v>
      </c>
      <c r="U38" s="6">
        <v>0</v>
      </c>
      <c r="V38" s="6">
        <v>0.19350000000000001</v>
      </c>
      <c r="W38" s="6">
        <v>0</v>
      </c>
      <c r="X38" s="6">
        <v>0</v>
      </c>
      <c r="Y38" s="6">
        <v>2.93E-2</v>
      </c>
      <c r="Z38" s="6">
        <v>0</v>
      </c>
      <c r="AA38" s="6">
        <v>0</v>
      </c>
      <c r="AB38" s="6">
        <v>0</v>
      </c>
      <c r="AC38" s="7">
        <v>0</v>
      </c>
      <c r="AD38" s="35">
        <v>2.58E-2</v>
      </c>
      <c r="AE38" s="35">
        <f t="shared" si="0"/>
        <v>3.1828571428571428E-2</v>
      </c>
      <c r="AF38" s="34" t="s">
        <v>35</v>
      </c>
      <c r="AG38" s="30" cm="1">
        <f t="array" ref="AG38">DIASQUIEBRE(Q38:AB38)</f>
        <v>0</v>
      </c>
      <c r="AH38" s="30" cm="1">
        <f t="array" ref="AH38">DiasMesesGris(Q38:AB38)</f>
        <v>0</v>
      </c>
      <c r="AI38" s="30">
        <f t="shared" si="2"/>
        <v>0</v>
      </c>
      <c r="AJ38" s="30">
        <f t="shared" si="3"/>
        <v>360</v>
      </c>
      <c r="AK38" s="31">
        <f t="shared" si="4"/>
        <v>10</v>
      </c>
      <c r="AL38" s="32">
        <f t="shared" si="1"/>
        <v>2.7777777777777776E-2</v>
      </c>
    </row>
    <row r="39" spans="1:38" x14ac:dyDescent="0.25">
      <c r="A39" s="1" t="s">
        <v>143</v>
      </c>
      <c r="B39" s="1" t="s">
        <v>144</v>
      </c>
      <c r="C39" s="1" t="s">
        <v>145</v>
      </c>
      <c r="D39" s="5">
        <v>13</v>
      </c>
      <c r="E39" s="5">
        <v>7</v>
      </c>
      <c r="F39" s="5">
        <v>57</v>
      </c>
      <c r="G39" s="5">
        <v>5</v>
      </c>
      <c r="H39" s="5">
        <v>6</v>
      </c>
      <c r="I39" s="5">
        <v>13</v>
      </c>
      <c r="J39" s="5">
        <v>7</v>
      </c>
      <c r="K39" s="5">
        <v>31</v>
      </c>
      <c r="L39" s="5">
        <v>-30</v>
      </c>
      <c r="M39" s="5">
        <v>25</v>
      </c>
      <c r="N39" s="5">
        <v>7</v>
      </c>
      <c r="O39" s="5">
        <v>17</v>
      </c>
      <c r="P39" s="5">
        <v>2</v>
      </c>
      <c r="Q39" s="6">
        <v>0.4194</v>
      </c>
      <c r="R39" s="6">
        <v>0.2258</v>
      </c>
      <c r="S39" s="6">
        <v>1.6521999999999999</v>
      </c>
      <c r="T39" s="8">
        <v>0.29409999999999997</v>
      </c>
      <c r="U39" s="6">
        <v>0.2</v>
      </c>
      <c r="V39" s="6">
        <v>0.4194</v>
      </c>
      <c r="W39" s="6">
        <v>0.2823</v>
      </c>
      <c r="X39" s="6">
        <v>1.3025</v>
      </c>
      <c r="Y39" s="6">
        <v>-0.87980000000000003</v>
      </c>
      <c r="Z39" s="6">
        <v>0.92589999999999995</v>
      </c>
      <c r="AA39" s="6">
        <v>0.21510000000000001</v>
      </c>
      <c r="AB39" s="6">
        <v>0.49280000000000002</v>
      </c>
      <c r="AC39" s="7">
        <v>6.4500000000000002E-2</v>
      </c>
      <c r="AD39" s="35">
        <v>0.4778</v>
      </c>
      <c r="AE39" s="35">
        <f t="shared" si="0"/>
        <v>0.39402857142857145</v>
      </c>
      <c r="AF39" s="34" t="s">
        <v>35</v>
      </c>
      <c r="AG39" s="30" cm="1">
        <f t="array" ref="AG39">DIASQUIEBRE(Q39:AB39)</f>
        <v>14</v>
      </c>
      <c r="AH39" s="30" cm="1">
        <f t="array" ref="AH39">DiasMesesGris(Q39:AB39)</f>
        <v>0</v>
      </c>
      <c r="AI39" s="30">
        <f t="shared" si="2"/>
        <v>14</v>
      </c>
      <c r="AJ39" s="30">
        <f t="shared" si="3"/>
        <v>346</v>
      </c>
      <c r="AK39" s="31">
        <f t="shared" si="4"/>
        <v>158</v>
      </c>
      <c r="AL39" s="32">
        <f t="shared" si="1"/>
        <v>0.45664739884393063</v>
      </c>
    </row>
    <row r="40" spans="1:38" x14ac:dyDescent="0.25">
      <c r="A40" s="1" t="s">
        <v>146</v>
      </c>
      <c r="B40" s="1" t="s">
        <v>147</v>
      </c>
      <c r="C40" s="1" t="s">
        <v>148</v>
      </c>
      <c r="D40" s="5">
        <v>1</v>
      </c>
      <c r="E40" s="5">
        <v>18</v>
      </c>
      <c r="F40" s="5">
        <v>11</v>
      </c>
      <c r="G40" s="5">
        <v>13</v>
      </c>
      <c r="H40" s="3"/>
      <c r="I40" s="5">
        <v>2</v>
      </c>
      <c r="J40" s="5">
        <v>2</v>
      </c>
      <c r="K40" s="5">
        <v>6</v>
      </c>
      <c r="L40" s="5">
        <v>4</v>
      </c>
      <c r="M40" s="5">
        <v>3</v>
      </c>
      <c r="N40" s="5">
        <v>1</v>
      </c>
      <c r="O40" s="5">
        <v>2</v>
      </c>
      <c r="P40" s="3"/>
      <c r="Q40" s="6">
        <v>3.2300000000000002E-2</v>
      </c>
      <c r="R40" s="6">
        <v>0.5806</v>
      </c>
      <c r="S40" s="6">
        <v>0.31879999999999997</v>
      </c>
      <c r="T40" s="6">
        <v>0.4194</v>
      </c>
      <c r="U40" s="6">
        <v>0</v>
      </c>
      <c r="V40" s="6">
        <v>6.4500000000000002E-2</v>
      </c>
      <c r="W40" s="6">
        <v>8.0600000000000005E-2</v>
      </c>
      <c r="X40" s="6">
        <v>0.25209999999999999</v>
      </c>
      <c r="Y40" s="6">
        <v>0.1173</v>
      </c>
      <c r="Z40" s="6">
        <v>0.1111</v>
      </c>
      <c r="AA40" s="6">
        <v>3.0700000000000002E-2</v>
      </c>
      <c r="AB40" s="6">
        <v>5.8000000000000003E-2</v>
      </c>
      <c r="AC40" s="7">
        <v>0</v>
      </c>
      <c r="AD40" s="35">
        <v>0.1721</v>
      </c>
      <c r="AE40" s="35">
        <f t="shared" si="0"/>
        <v>0.10204285714285713</v>
      </c>
      <c r="AF40" s="34" t="s">
        <v>35</v>
      </c>
      <c r="AG40" s="30" cm="1">
        <f t="array" ref="AG40">DIASQUIEBRE(Q40:AB40)</f>
        <v>0</v>
      </c>
      <c r="AH40" s="30" cm="1">
        <f t="array" ref="AH40">DiasMesesGris(Q40:AB40)</f>
        <v>0</v>
      </c>
      <c r="AI40" s="30">
        <f t="shared" si="2"/>
        <v>0</v>
      </c>
      <c r="AJ40" s="30">
        <f t="shared" si="3"/>
        <v>360</v>
      </c>
      <c r="AK40" s="31">
        <f t="shared" si="4"/>
        <v>63</v>
      </c>
      <c r="AL40" s="32">
        <f t="shared" si="1"/>
        <v>0.17499999999999999</v>
      </c>
    </row>
    <row r="41" spans="1:38" x14ac:dyDescent="0.25">
      <c r="A41" s="1" t="s">
        <v>149</v>
      </c>
      <c r="B41" s="1" t="s">
        <v>150</v>
      </c>
      <c r="C41" s="1" t="s">
        <v>151</v>
      </c>
      <c r="D41" s="5">
        <v>4</v>
      </c>
      <c r="E41" s="5">
        <v>2</v>
      </c>
      <c r="F41" s="5">
        <v>3</v>
      </c>
      <c r="G41" s="5">
        <v>2</v>
      </c>
      <c r="H41" s="5">
        <v>3</v>
      </c>
      <c r="I41" s="5">
        <v>4</v>
      </c>
      <c r="J41" s="5">
        <v>3</v>
      </c>
      <c r="K41" s="5">
        <v>1</v>
      </c>
      <c r="L41" s="5">
        <v>3</v>
      </c>
      <c r="M41" s="3"/>
      <c r="N41" s="5">
        <v>1</v>
      </c>
      <c r="O41" s="5">
        <v>4</v>
      </c>
      <c r="P41" s="3"/>
      <c r="Q41" s="8">
        <v>0.14810000000000001</v>
      </c>
      <c r="R41" s="8">
        <v>7.1400000000000005E-2</v>
      </c>
      <c r="S41" s="6">
        <v>8.6999999999999994E-2</v>
      </c>
      <c r="T41" s="6">
        <v>6.4500000000000002E-2</v>
      </c>
      <c r="U41" s="6">
        <v>0.1</v>
      </c>
      <c r="V41" s="6">
        <v>0.129</v>
      </c>
      <c r="W41" s="6">
        <v>0.121</v>
      </c>
      <c r="X41" s="6">
        <v>4.2000000000000003E-2</v>
      </c>
      <c r="Y41" s="6">
        <v>8.7999999999999995E-2</v>
      </c>
      <c r="Z41" s="6">
        <v>0</v>
      </c>
      <c r="AA41" s="6">
        <v>3.0700000000000002E-2</v>
      </c>
      <c r="AB41" s="6">
        <v>0.1159</v>
      </c>
      <c r="AC41" s="7">
        <v>0</v>
      </c>
      <c r="AD41" s="35">
        <v>7.7799999999999994E-2</v>
      </c>
      <c r="AE41" s="35">
        <f t="shared" si="0"/>
        <v>7.5228571428571422E-2</v>
      </c>
      <c r="AF41" s="34" t="s">
        <v>35</v>
      </c>
      <c r="AG41" s="30" cm="1">
        <f t="array" ref="AG41">DIASQUIEBRE(Q41:AB41)</f>
        <v>7</v>
      </c>
      <c r="AH41" s="30" cm="1">
        <f t="array" ref="AH41">DiasMesesGris(Q41:AB41)</f>
        <v>0</v>
      </c>
      <c r="AI41" s="30">
        <f t="shared" si="2"/>
        <v>7</v>
      </c>
      <c r="AJ41" s="30">
        <f t="shared" si="3"/>
        <v>353</v>
      </c>
      <c r="AK41" s="31">
        <f t="shared" si="4"/>
        <v>30</v>
      </c>
      <c r="AL41" s="32">
        <f t="shared" si="1"/>
        <v>8.4985835694050993E-2</v>
      </c>
    </row>
    <row r="42" spans="1:38" x14ac:dyDescent="0.25">
      <c r="A42" s="1" t="s">
        <v>152</v>
      </c>
      <c r="B42" s="1" t="s">
        <v>153</v>
      </c>
      <c r="C42" s="1" t="s">
        <v>154</v>
      </c>
      <c r="D42" s="5">
        <v>18</v>
      </c>
      <c r="E42" s="5">
        <v>16</v>
      </c>
      <c r="F42" s="5">
        <v>56</v>
      </c>
      <c r="G42" s="5">
        <v>-1</v>
      </c>
      <c r="H42" s="5">
        <v>16</v>
      </c>
      <c r="I42" s="5">
        <v>9</v>
      </c>
      <c r="J42" s="5">
        <v>6</v>
      </c>
      <c r="K42" s="5">
        <v>13</v>
      </c>
      <c r="L42" s="5">
        <v>27</v>
      </c>
      <c r="M42" s="5">
        <v>15</v>
      </c>
      <c r="N42" s="5">
        <v>20</v>
      </c>
      <c r="O42" s="5">
        <v>16</v>
      </c>
      <c r="P42" s="5">
        <v>2</v>
      </c>
      <c r="Q42" s="6">
        <v>0.5806</v>
      </c>
      <c r="R42" s="6">
        <v>0.5161</v>
      </c>
      <c r="S42" s="6">
        <v>1.6232</v>
      </c>
      <c r="T42" s="6">
        <v>-3.2300000000000002E-2</v>
      </c>
      <c r="U42" s="6">
        <v>0.5333</v>
      </c>
      <c r="V42" s="6">
        <v>0.2903</v>
      </c>
      <c r="W42" s="6">
        <v>0.2419</v>
      </c>
      <c r="X42" s="6">
        <v>0.54620000000000002</v>
      </c>
      <c r="Y42" s="6">
        <v>0.79179999999999995</v>
      </c>
      <c r="Z42" s="6">
        <v>0.55559999999999998</v>
      </c>
      <c r="AA42" s="6">
        <v>0.61439999999999995</v>
      </c>
      <c r="AB42" s="6">
        <v>0.46379999999999999</v>
      </c>
      <c r="AC42" s="7">
        <v>6.4500000000000002E-2</v>
      </c>
      <c r="AD42" s="35">
        <v>0.56040000000000001</v>
      </c>
      <c r="AE42" s="35">
        <f t="shared" si="0"/>
        <v>0.50057142857142856</v>
      </c>
      <c r="AF42" s="34" t="s">
        <v>35</v>
      </c>
      <c r="AG42" s="30" cm="1">
        <f t="array" ref="AG42">DIASQUIEBRE(Q42:AB42)</f>
        <v>0</v>
      </c>
      <c r="AH42" s="30" cm="1">
        <f t="array" ref="AH42">DiasMesesGris(Q42:AB42)</f>
        <v>0</v>
      </c>
      <c r="AI42" s="30">
        <f t="shared" si="2"/>
        <v>0</v>
      </c>
      <c r="AJ42" s="30">
        <f t="shared" si="3"/>
        <v>360</v>
      </c>
      <c r="AK42" s="31">
        <f t="shared" si="4"/>
        <v>211</v>
      </c>
      <c r="AL42" s="32">
        <f t="shared" si="1"/>
        <v>0.58611111111111114</v>
      </c>
    </row>
    <row r="43" spans="1:38" x14ac:dyDescent="0.25">
      <c r="A43" s="1" t="s">
        <v>155</v>
      </c>
      <c r="B43" s="1" t="s">
        <v>156</v>
      </c>
      <c r="C43" s="1" t="s">
        <v>157</v>
      </c>
      <c r="D43" s="5">
        <v>29</v>
      </c>
      <c r="E43" s="5">
        <v>1</v>
      </c>
      <c r="F43" s="5">
        <v>12</v>
      </c>
      <c r="G43" s="5">
        <v>5</v>
      </c>
      <c r="H43" s="5">
        <v>8</v>
      </c>
      <c r="I43" s="3"/>
      <c r="J43" s="5">
        <v>2</v>
      </c>
      <c r="K43" s="5">
        <v>10</v>
      </c>
      <c r="L43" s="5">
        <v>2</v>
      </c>
      <c r="M43" s="5">
        <v>3</v>
      </c>
      <c r="N43" s="5">
        <v>1</v>
      </c>
      <c r="O43" s="5">
        <v>8</v>
      </c>
      <c r="P43" s="3"/>
      <c r="Q43" s="6">
        <v>0.9355</v>
      </c>
      <c r="R43" s="6">
        <v>3.2300000000000002E-2</v>
      </c>
      <c r="S43" s="6">
        <v>0.3478</v>
      </c>
      <c r="T43" s="6">
        <v>0.1613</v>
      </c>
      <c r="U43" s="8">
        <f t="shared" ref="U43:W43" si="5">H43/30</f>
        <v>0.26666666666666666</v>
      </c>
      <c r="V43" s="8">
        <f t="shared" si="5"/>
        <v>0</v>
      </c>
      <c r="W43" s="8">
        <f t="shared" si="5"/>
        <v>6.6666666666666666E-2</v>
      </c>
      <c r="X43" s="6">
        <v>0.42020000000000002</v>
      </c>
      <c r="Y43" s="6">
        <v>5.8700000000000002E-2</v>
      </c>
      <c r="Z43" s="6">
        <v>0.1111</v>
      </c>
      <c r="AA43" s="6">
        <v>3.0700000000000002E-2</v>
      </c>
      <c r="AB43" s="6">
        <v>0.2319</v>
      </c>
      <c r="AC43" s="7">
        <v>0</v>
      </c>
      <c r="AD43" s="35">
        <v>0.25879999999999997</v>
      </c>
      <c r="AE43" s="35">
        <f>AVERAGE(U43:AB43)</f>
        <v>0.14824166666666666</v>
      </c>
      <c r="AF43" s="34" t="s">
        <v>35</v>
      </c>
      <c r="AG43" s="30" cm="1">
        <f t="array" ref="AG43">DIASQUIEBRE(Q43:AB43)</f>
        <v>61</v>
      </c>
      <c r="AH43" s="30" cm="1">
        <f t="array" ref="AH43">DiasMesesGris(Q43:AB43)</f>
        <v>0</v>
      </c>
      <c r="AI43" s="30">
        <f t="shared" si="2"/>
        <v>61</v>
      </c>
      <c r="AJ43" s="30">
        <f t="shared" si="3"/>
        <v>299</v>
      </c>
      <c r="AK43" s="31">
        <f t="shared" si="4"/>
        <v>81</v>
      </c>
      <c r="AL43" s="32">
        <f t="shared" si="1"/>
        <v>0.2709030100334448</v>
      </c>
    </row>
    <row r="44" spans="1:38" x14ac:dyDescent="0.25">
      <c r="A44" s="1" t="s">
        <v>158</v>
      </c>
      <c r="B44" s="1" t="s">
        <v>159</v>
      </c>
      <c r="C44" s="1" t="s">
        <v>160</v>
      </c>
      <c r="D44" s="3"/>
      <c r="E44" s="3"/>
      <c r="F44" s="3"/>
      <c r="G44" s="5">
        <v>4</v>
      </c>
      <c r="H44" s="3"/>
      <c r="I44" s="3"/>
      <c r="J44" s="5">
        <v>5</v>
      </c>
      <c r="K44" s="3"/>
      <c r="L44" s="3"/>
      <c r="M44" s="3"/>
      <c r="N44" s="3"/>
      <c r="O44" s="3"/>
      <c r="P44" s="3"/>
      <c r="Q44" s="6">
        <v>0</v>
      </c>
      <c r="R44" s="6">
        <v>0</v>
      </c>
      <c r="S44" s="6">
        <v>0</v>
      </c>
      <c r="T44" s="6">
        <v>0.129</v>
      </c>
      <c r="U44" s="6">
        <v>0</v>
      </c>
      <c r="V44" s="6">
        <v>0</v>
      </c>
      <c r="W44" s="6">
        <v>0.2016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7">
        <v>0</v>
      </c>
      <c r="AD44" s="35">
        <v>2.76E-2</v>
      </c>
      <c r="AE44" s="35">
        <f t="shared" si="0"/>
        <v>2.8799999999999999E-2</v>
      </c>
      <c r="AF44" s="34" t="s">
        <v>35</v>
      </c>
      <c r="AG44" s="30" cm="1">
        <f t="array" ref="AG44">DIASQUIEBRE(Q44:AB44)</f>
        <v>0</v>
      </c>
      <c r="AH44" s="30" cm="1">
        <f t="array" ref="AH44">DiasMesesGris(Q44:AB44)</f>
        <v>0</v>
      </c>
      <c r="AI44" s="30">
        <f t="shared" si="2"/>
        <v>0</v>
      </c>
      <c r="AJ44" s="30">
        <f t="shared" si="3"/>
        <v>360</v>
      </c>
      <c r="AK44" s="31">
        <f t="shared" si="4"/>
        <v>9</v>
      </c>
      <c r="AL44" s="32">
        <f t="shared" si="1"/>
        <v>2.5000000000000001E-2</v>
      </c>
    </row>
    <row r="45" spans="1:38" x14ac:dyDescent="0.25">
      <c r="A45" s="1" t="s">
        <v>161</v>
      </c>
      <c r="B45" s="1" t="s">
        <v>162</v>
      </c>
      <c r="C45" s="1" t="s">
        <v>163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7">
        <v>0</v>
      </c>
      <c r="AE45" s="35">
        <f t="shared" si="0"/>
        <v>0</v>
      </c>
      <c r="AF45" s="34" t="s">
        <v>35</v>
      </c>
      <c r="AG45" s="30" cm="1">
        <f t="array" ref="AG45">DIASQUIEBRE(Q45:AB45)</f>
        <v>0</v>
      </c>
      <c r="AH45" s="30" cm="1">
        <f t="array" ref="AH45">DiasMesesGris(Q45:AB45)</f>
        <v>360</v>
      </c>
      <c r="AI45" s="30">
        <f t="shared" si="2"/>
        <v>360</v>
      </c>
      <c r="AJ45" s="30">
        <f t="shared" si="3"/>
        <v>0</v>
      </c>
      <c r="AK45" s="31">
        <f t="shared" si="4"/>
        <v>0</v>
      </c>
      <c r="AL45" s="32">
        <f t="shared" si="1"/>
        <v>0</v>
      </c>
    </row>
    <row r="46" spans="1:38" x14ac:dyDescent="0.25">
      <c r="A46" s="1" t="s">
        <v>164</v>
      </c>
      <c r="B46" s="1" t="s">
        <v>165</v>
      </c>
      <c r="C46" s="1" t="s">
        <v>166</v>
      </c>
      <c r="D46" s="3"/>
      <c r="E46" s="5">
        <v>1</v>
      </c>
      <c r="F46" s="5">
        <v>2</v>
      </c>
      <c r="G46" s="3"/>
      <c r="H46" s="5">
        <v>3</v>
      </c>
      <c r="I46" s="3"/>
      <c r="J46" s="3"/>
      <c r="K46" s="5">
        <v>7</v>
      </c>
      <c r="L46" s="3"/>
      <c r="M46" s="5">
        <v>-2</v>
      </c>
      <c r="N46" s="5">
        <v>2</v>
      </c>
      <c r="O46" s="3"/>
      <c r="P46" s="3"/>
      <c r="Q46" s="9">
        <v>0</v>
      </c>
      <c r="R46" s="9">
        <v>0</v>
      </c>
      <c r="S46" s="9">
        <v>0</v>
      </c>
      <c r="T46" s="8">
        <v>0</v>
      </c>
      <c r="U46" s="6">
        <v>0.1</v>
      </c>
      <c r="V46" s="6">
        <v>0</v>
      </c>
      <c r="W46" s="6">
        <v>0</v>
      </c>
      <c r="X46" s="8">
        <f t="shared" ref="X46" si="6">K46/30</f>
        <v>0.23333333333333334</v>
      </c>
      <c r="Y46" s="9">
        <v>0</v>
      </c>
      <c r="Z46" s="9">
        <v>0</v>
      </c>
      <c r="AA46" s="9">
        <v>0</v>
      </c>
      <c r="AB46" s="9">
        <v>0</v>
      </c>
      <c r="AC46" s="7">
        <v>0</v>
      </c>
      <c r="AD46" s="35">
        <v>3.3300000000000003E-2</v>
      </c>
      <c r="AE46" s="35">
        <v>0.33</v>
      </c>
      <c r="AF46" s="34" t="s">
        <v>35</v>
      </c>
      <c r="AG46" s="30" cm="1">
        <f t="array" ref="AG46">DIASQUIEBRE(Q46:AB46)</f>
        <v>18</v>
      </c>
      <c r="AH46" s="30" cm="1">
        <f t="array" ref="AH46">DiasMesesGris(Q46:AB46)</f>
        <v>210</v>
      </c>
      <c r="AI46" s="30">
        <f t="shared" si="2"/>
        <v>228</v>
      </c>
      <c r="AJ46" s="30">
        <f t="shared" si="3"/>
        <v>132</v>
      </c>
      <c r="AK46" s="31">
        <f t="shared" si="4"/>
        <v>13</v>
      </c>
      <c r="AL46" s="32">
        <f t="shared" si="1"/>
        <v>9.8484848484848481E-2</v>
      </c>
    </row>
    <row r="47" spans="1:38" x14ac:dyDescent="0.25">
      <c r="A47" s="1" t="s">
        <v>167</v>
      </c>
      <c r="B47" s="1" t="s">
        <v>168</v>
      </c>
      <c r="C47" s="1" t="s">
        <v>169</v>
      </c>
      <c r="D47" s="3"/>
      <c r="E47" s="3"/>
      <c r="F47" s="3"/>
      <c r="G47" s="3"/>
      <c r="H47" s="3"/>
      <c r="I47" s="3"/>
      <c r="J47" s="3"/>
      <c r="K47" s="3"/>
      <c r="L47" s="3"/>
      <c r="M47" s="5">
        <v>1</v>
      </c>
      <c r="N47" s="3"/>
      <c r="O47" s="3"/>
      <c r="P47" s="3"/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3.6999999999999998E-2</v>
      </c>
      <c r="AA47" s="6">
        <v>0</v>
      </c>
      <c r="AB47" s="6">
        <v>0</v>
      </c>
      <c r="AC47" s="7">
        <v>0</v>
      </c>
      <c r="AD47" s="35">
        <v>3.0999999999999999E-3</v>
      </c>
      <c r="AE47" s="35">
        <f t="shared" si="0"/>
        <v>5.2857142857142851E-3</v>
      </c>
      <c r="AF47" s="34" t="s">
        <v>35</v>
      </c>
      <c r="AG47" s="30" cm="1">
        <f t="array" ref="AG47">DIASQUIEBRE(Q47:AB47)</f>
        <v>0</v>
      </c>
      <c r="AH47" s="30" cm="1">
        <f t="array" ref="AH47">DiasMesesGris(Q47:AB47)</f>
        <v>0</v>
      </c>
      <c r="AI47" s="30">
        <f t="shared" si="2"/>
        <v>0</v>
      </c>
      <c r="AJ47" s="30">
        <f t="shared" si="3"/>
        <v>360</v>
      </c>
      <c r="AK47" s="31">
        <f t="shared" si="4"/>
        <v>1</v>
      </c>
      <c r="AL47" s="32">
        <f t="shared" si="1"/>
        <v>2.7777777777777779E-3</v>
      </c>
    </row>
    <row r="48" spans="1:38" x14ac:dyDescent="0.25">
      <c r="A48" s="1" t="s">
        <v>170</v>
      </c>
      <c r="B48" s="1" t="s">
        <v>171</v>
      </c>
      <c r="C48" s="1" t="s">
        <v>172</v>
      </c>
      <c r="D48" s="3"/>
      <c r="E48" s="3"/>
      <c r="F48" s="3"/>
      <c r="G48" s="3"/>
      <c r="H48" s="3"/>
      <c r="I48" s="3"/>
      <c r="J48" s="3"/>
      <c r="K48" s="3"/>
      <c r="L48" s="5">
        <v>1</v>
      </c>
      <c r="M48" s="3"/>
      <c r="N48" s="3"/>
      <c r="O48" s="3"/>
      <c r="P48" s="3"/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2.93E-2</v>
      </c>
      <c r="Z48" s="6">
        <v>0</v>
      </c>
      <c r="AA48" s="6">
        <v>0</v>
      </c>
      <c r="AB48" s="6">
        <v>0</v>
      </c>
      <c r="AC48" s="7">
        <v>0</v>
      </c>
      <c r="AD48" s="35">
        <v>2.3999999999999998E-3</v>
      </c>
      <c r="AE48" s="35">
        <f t="shared" si="0"/>
        <v>4.1857142857142857E-3</v>
      </c>
      <c r="AF48" s="34" t="s">
        <v>35</v>
      </c>
      <c r="AG48" s="30" cm="1">
        <f t="array" ref="AG48">DIASQUIEBRE(Q48:AB48)</f>
        <v>0</v>
      </c>
      <c r="AH48" s="30" cm="1">
        <f t="array" ref="AH48">DiasMesesGris(Q48:AB48)</f>
        <v>0</v>
      </c>
      <c r="AI48" s="30">
        <f t="shared" si="2"/>
        <v>0</v>
      </c>
      <c r="AJ48" s="30">
        <f t="shared" si="3"/>
        <v>360</v>
      </c>
      <c r="AK48" s="31">
        <f t="shared" si="4"/>
        <v>1</v>
      </c>
      <c r="AL48" s="32">
        <f t="shared" si="1"/>
        <v>2.7777777777777779E-3</v>
      </c>
    </row>
    <row r="49" spans="1:38" x14ac:dyDescent="0.25">
      <c r="A49" s="1" t="s">
        <v>173</v>
      </c>
      <c r="B49" s="1" t="s">
        <v>174</v>
      </c>
      <c r="C49" s="1" t="s">
        <v>175</v>
      </c>
      <c r="D49" s="5">
        <v>1</v>
      </c>
      <c r="E49" s="3"/>
      <c r="F49" s="5">
        <v>1</v>
      </c>
      <c r="G49" s="5">
        <v>9</v>
      </c>
      <c r="H49" s="5">
        <v>2</v>
      </c>
      <c r="I49" s="5">
        <v>2</v>
      </c>
      <c r="J49" s="5">
        <v>9</v>
      </c>
      <c r="K49" s="5">
        <v>1</v>
      </c>
      <c r="L49" s="5">
        <v>5</v>
      </c>
      <c r="M49" s="3"/>
      <c r="N49" s="5">
        <v>1</v>
      </c>
      <c r="O49" s="3"/>
      <c r="P49" s="3"/>
      <c r="Q49" s="6">
        <v>3.2300000000000002E-2</v>
      </c>
      <c r="R49" s="6">
        <v>0</v>
      </c>
      <c r="S49" s="6">
        <v>2.9000000000000001E-2</v>
      </c>
      <c r="T49" s="8">
        <f t="shared" ref="T49" si="7">G49/30</f>
        <v>0.3</v>
      </c>
      <c r="U49" s="6">
        <v>6.6699999999999995E-2</v>
      </c>
      <c r="V49" s="6">
        <v>6.4500000000000002E-2</v>
      </c>
      <c r="W49" s="6">
        <v>0.3629</v>
      </c>
      <c r="X49" s="6">
        <v>4.2000000000000003E-2</v>
      </c>
      <c r="Y49" s="8">
        <f t="shared" ref="Y49" si="8">L49/30</f>
        <v>0.16666666666666666</v>
      </c>
      <c r="Z49" s="9">
        <v>0</v>
      </c>
      <c r="AA49" s="8">
        <f t="shared" ref="AA49" si="9">N49/30</f>
        <v>3.3333333333333333E-2</v>
      </c>
      <c r="AB49" s="6">
        <v>0</v>
      </c>
      <c r="AC49" s="7">
        <v>0</v>
      </c>
      <c r="AD49" s="35">
        <v>7.4700000000000003E-2</v>
      </c>
      <c r="AE49" s="35">
        <f t="shared" si="0"/>
        <v>9.5628571428571424E-2</v>
      </c>
      <c r="AF49" s="34" t="s">
        <v>35</v>
      </c>
      <c r="AG49" s="30" cm="1">
        <f t="array" ref="AG49">DIASQUIEBRE(Q49:AB49)</f>
        <v>26</v>
      </c>
      <c r="AH49" s="30" cm="1">
        <f t="array" ref="AH49">DiasMesesGris(Q49:AB49)</f>
        <v>30</v>
      </c>
      <c r="AI49" s="30">
        <f t="shared" si="2"/>
        <v>56</v>
      </c>
      <c r="AJ49" s="30">
        <f t="shared" si="3"/>
        <v>304</v>
      </c>
      <c r="AK49" s="31">
        <f t="shared" si="4"/>
        <v>31</v>
      </c>
      <c r="AL49" s="32">
        <f t="shared" si="1"/>
        <v>0.10197368421052631</v>
      </c>
    </row>
    <row r="50" spans="1:38" x14ac:dyDescent="0.25">
      <c r="A50" s="1" t="s">
        <v>176</v>
      </c>
      <c r="B50" s="1" t="s">
        <v>177</v>
      </c>
      <c r="C50" s="1" t="s">
        <v>178</v>
      </c>
      <c r="D50" s="5">
        <v>5</v>
      </c>
      <c r="E50" s="3"/>
      <c r="F50" s="3"/>
      <c r="G50" s="5">
        <v>1</v>
      </c>
      <c r="H50" s="5">
        <v>2</v>
      </c>
      <c r="I50" s="5">
        <v>1</v>
      </c>
      <c r="J50" s="3"/>
      <c r="K50" s="3"/>
      <c r="L50" s="3"/>
      <c r="M50" s="3"/>
      <c r="N50" s="3"/>
      <c r="O50" s="5">
        <v>2</v>
      </c>
      <c r="P50" s="3"/>
      <c r="Q50" s="6">
        <v>0.1613</v>
      </c>
      <c r="R50" s="6">
        <v>0</v>
      </c>
      <c r="S50" s="6">
        <v>0</v>
      </c>
      <c r="T50" s="6">
        <v>3.2300000000000002E-2</v>
      </c>
      <c r="U50" s="6">
        <v>6.6699999999999995E-2</v>
      </c>
      <c r="V50" s="6">
        <v>3.2300000000000002E-2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5.8000000000000003E-2</v>
      </c>
      <c r="AC50" s="7">
        <v>0</v>
      </c>
      <c r="AD50" s="35">
        <v>2.92E-2</v>
      </c>
      <c r="AE50" s="35">
        <f t="shared" si="0"/>
        <v>1.29E-2</v>
      </c>
      <c r="AF50" s="34" t="s">
        <v>35</v>
      </c>
      <c r="AG50" s="30" cm="1">
        <f t="array" ref="AG50">DIASQUIEBRE(Q50:AB50)</f>
        <v>0</v>
      </c>
      <c r="AH50" s="30" cm="1">
        <f t="array" ref="AH50">DiasMesesGris(Q50:AB50)</f>
        <v>0</v>
      </c>
      <c r="AI50" s="30">
        <f t="shared" si="2"/>
        <v>0</v>
      </c>
      <c r="AJ50" s="30">
        <f t="shared" si="3"/>
        <v>360</v>
      </c>
      <c r="AK50" s="31">
        <f t="shared" si="4"/>
        <v>11</v>
      </c>
      <c r="AL50" s="32">
        <f t="shared" si="1"/>
        <v>3.0555555555555555E-2</v>
      </c>
    </row>
    <row r="51" spans="1:38" x14ac:dyDescent="0.25">
      <c r="A51" s="10" t="s">
        <v>179</v>
      </c>
      <c r="B51" s="1" t="s">
        <v>180</v>
      </c>
      <c r="C51" s="1" t="s">
        <v>181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7">
        <v>0</v>
      </c>
      <c r="AE51" s="35">
        <f t="shared" si="0"/>
        <v>0</v>
      </c>
      <c r="AF51" s="34" t="s">
        <v>35</v>
      </c>
      <c r="AG51" s="30" cm="1">
        <f t="array" ref="AG51">DIASQUIEBRE(Q51:AB51)</f>
        <v>0</v>
      </c>
      <c r="AH51" s="30" cm="1">
        <f t="array" ref="AH51">DiasMesesGris(Q51:AB51)</f>
        <v>360</v>
      </c>
      <c r="AI51" s="30">
        <f t="shared" si="2"/>
        <v>360</v>
      </c>
      <c r="AJ51" s="30">
        <f t="shared" si="3"/>
        <v>0</v>
      </c>
      <c r="AK51" s="31">
        <f t="shared" si="4"/>
        <v>0</v>
      </c>
      <c r="AL51" s="32">
        <f t="shared" si="1"/>
        <v>0</v>
      </c>
    </row>
    <row r="52" spans="1:38" x14ac:dyDescent="0.25">
      <c r="A52" s="10" t="s">
        <v>182</v>
      </c>
      <c r="B52" s="1" t="s">
        <v>183</v>
      </c>
      <c r="C52" s="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7">
        <v>0</v>
      </c>
      <c r="AE52" s="35">
        <f t="shared" si="0"/>
        <v>0</v>
      </c>
      <c r="AF52" s="34" t="s">
        <v>51</v>
      </c>
      <c r="AG52" s="30" cm="1">
        <f t="array" ref="AG52">DIASQUIEBRE(Q52:AB52)</f>
        <v>0</v>
      </c>
      <c r="AH52" s="30" cm="1">
        <f t="array" ref="AH52">DiasMesesGris(Q52:AB52)</f>
        <v>360</v>
      </c>
      <c r="AI52" s="30">
        <f t="shared" si="2"/>
        <v>360</v>
      </c>
      <c r="AJ52" s="30">
        <f t="shared" si="3"/>
        <v>0</v>
      </c>
      <c r="AK52" s="31">
        <f t="shared" si="4"/>
        <v>0</v>
      </c>
      <c r="AL52" s="32">
        <f t="shared" si="1"/>
        <v>0</v>
      </c>
    </row>
    <row r="53" spans="1:38" x14ac:dyDescent="0.25">
      <c r="A53" s="10" t="s">
        <v>184</v>
      </c>
      <c r="B53" s="1" t="s">
        <v>185</v>
      </c>
      <c r="C53" s="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7">
        <v>0</v>
      </c>
      <c r="AE53" s="35">
        <f t="shared" si="0"/>
        <v>0</v>
      </c>
      <c r="AF53" s="34" t="s">
        <v>51</v>
      </c>
      <c r="AG53" s="30" cm="1">
        <f t="array" ref="AG53">DIASQUIEBRE(Q53:AB53)</f>
        <v>0</v>
      </c>
      <c r="AH53" s="30" cm="1">
        <f t="array" ref="AH53">DiasMesesGris(Q53:AB53)</f>
        <v>360</v>
      </c>
      <c r="AI53" s="30">
        <f t="shared" si="2"/>
        <v>360</v>
      </c>
      <c r="AJ53" s="30">
        <f t="shared" si="3"/>
        <v>0</v>
      </c>
      <c r="AK53" s="31">
        <f t="shared" si="4"/>
        <v>0</v>
      </c>
      <c r="AL53" s="32">
        <f t="shared" si="1"/>
        <v>0</v>
      </c>
    </row>
    <row r="54" spans="1:38" x14ac:dyDescent="0.25">
      <c r="A54" s="10" t="s">
        <v>186</v>
      </c>
      <c r="B54" s="1" t="s">
        <v>187</v>
      </c>
      <c r="C54" s="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7">
        <v>0</v>
      </c>
      <c r="AE54" s="35">
        <f t="shared" si="0"/>
        <v>0</v>
      </c>
      <c r="AF54" s="34" t="s">
        <v>51</v>
      </c>
      <c r="AG54" s="30" cm="1">
        <f t="array" ref="AG54">DIASQUIEBRE(Q54:AB54)</f>
        <v>0</v>
      </c>
      <c r="AH54" s="30" cm="1">
        <f t="array" ref="AH54">DiasMesesGris(Q54:AB54)</f>
        <v>360</v>
      </c>
      <c r="AI54" s="30">
        <f t="shared" si="2"/>
        <v>360</v>
      </c>
      <c r="AJ54" s="30">
        <f t="shared" si="3"/>
        <v>0</v>
      </c>
      <c r="AK54" s="31">
        <f t="shared" si="4"/>
        <v>0</v>
      </c>
      <c r="AL54" s="32">
        <f t="shared" si="1"/>
        <v>0</v>
      </c>
    </row>
    <row r="55" spans="1:38" x14ac:dyDescent="0.25">
      <c r="A55" s="10" t="s">
        <v>188</v>
      </c>
      <c r="B55" s="1" t="s">
        <v>189</v>
      </c>
      <c r="C55" s="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7">
        <v>0</v>
      </c>
      <c r="AE55" s="35">
        <f t="shared" si="0"/>
        <v>0</v>
      </c>
      <c r="AF55" s="34" t="s">
        <v>51</v>
      </c>
      <c r="AG55" s="30" cm="1">
        <f t="array" ref="AG55">DIASQUIEBRE(Q55:AB55)</f>
        <v>0</v>
      </c>
      <c r="AH55" s="30" cm="1">
        <f t="array" ref="AH55">DiasMesesGris(Q55:AB55)</f>
        <v>360</v>
      </c>
      <c r="AI55" s="30">
        <f t="shared" si="2"/>
        <v>360</v>
      </c>
      <c r="AJ55" s="30">
        <f t="shared" si="3"/>
        <v>0</v>
      </c>
      <c r="AK55" s="31">
        <f t="shared" si="4"/>
        <v>0</v>
      </c>
      <c r="AL55" s="32">
        <f t="shared" si="1"/>
        <v>0</v>
      </c>
    </row>
    <row r="56" spans="1:38" x14ac:dyDescent="0.25">
      <c r="A56" s="1" t="s">
        <v>190</v>
      </c>
      <c r="B56" s="1" t="s">
        <v>191</v>
      </c>
      <c r="C56" s="1" t="s">
        <v>192</v>
      </c>
      <c r="D56" s="5">
        <v>1</v>
      </c>
      <c r="E56" s="3"/>
      <c r="F56" s="5">
        <v>3</v>
      </c>
      <c r="G56" s="5">
        <v>4</v>
      </c>
      <c r="H56" s="3"/>
      <c r="I56" s="5">
        <v>2</v>
      </c>
      <c r="J56" s="5">
        <v>1</v>
      </c>
      <c r="K56" s="3"/>
      <c r="L56" s="5">
        <v>4</v>
      </c>
      <c r="M56" s="5">
        <v>3</v>
      </c>
      <c r="N56" s="3"/>
      <c r="O56" s="3"/>
      <c r="P56" s="3"/>
      <c r="Q56" s="6">
        <v>3.2300000000000002E-2</v>
      </c>
      <c r="R56" s="6">
        <v>0</v>
      </c>
      <c r="S56" s="6">
        <v>8.6999999999999994E-2</v>
      </c>
      <c r="T56" s="6">
        <v>0.129</v>
      </c>
      <c r="U56" s="6">
        <v>0</v>
      </c>
      <c r="V56" s="6">
        <v>6.4500000000000002E-2</v>
      </c>
      <c r="W56" s="6">
        <v>4.0300000000000002E-2</v>
      </c>
      <c r="X56" s="6">
        <v>0</v>
      </c>
      <c r="Y56" s="6">
        <v>0.1173</v>
      </c>
      <c r="Z56" s="6">
        <v>0.1111</v>
      </c>
      <c r="AA56" s="6">
        <v>0</v>
      </c>
      <c r="AB56" s="6">
        <v>0</v>
      </c>
      <c r="AC56" s="7">
        <v>0</v>
      </c>
      <c r="AD56" s="35">
        <v>4.8500000000000001E-2</v>
      </c>
      <c r="AE56" s="35">
        <f t="shared" si="0"/>
        <v>4.760000000000001E-2</v>
      </c>
      <c r="AF56" s="34" t="s">
        <v>35</v>
      </c>
      <c r="AG56" s="30" cm="1">
        <f t="array" ref="AG56">DIASQUIEBRE(Q56:AB56)</f>
        <v>0</v>
      </c>
      <c r="AH56" s="30" cm="1">
        <f t="array" ref="AH56">DiasMesesGris(Q56:AB56)</f>
        <v>0</v>
      </c>
      <c r="AI56" s="30">
        <f t="shared" si="2"/>
        <v>0</v>
      </c>
      <c r="AJ56" s="30">
        <f t="shared" si="3"/>
        <v>360</v>
      </c>
      <c r="AK56" s="31">
        <f t="shared" si="4"/>
        <v>18</v>
      </c>
      <c r="AL56" s="32">
        <f t="shared" si="1"/>
        <v>0.05</v>
      </c>
    </row>
    <row r="57" spans="1:38" x14ac:dyDescent="0.25">
      <c r="A57" s="1" t="s">
        <v>193</v>
      </c>
      <c r="B57" s="1" t="s">
        <v>194</v>
      </c>
      <c r="C57" s="1" t="s">
        <v>195</v>
      </c>
      <c r="D57" s="3"/>
      <c r="E57" s="3"/>
      <c r="F57" s="5">
        <v>3</v>
      </c>
      <c r="G57" s="5">
        <v>2</v>
      </c>
      <c r="H57" s="3"/>
      <c r="I57" s="5">
        <v>1</v>
      </c>
      <c r="J57" s="5">
        <v>4</v>
      </c>
      <c r="K57" s="3"/>
      <c r="L57" s="5">
        <v>3</v>
      </c>
      <c r="M57" s="5">
        <v>3</v>
      </c>
      <c r="N57" s="5">
        <v>-1</v>
      </c>
      <c r="O57" s="3"/>
      <c r="P57" s="3"/>
      <c r="Q57" s="6">
        <v>0</v>
      </c>
      <c r="R57" s="6">
        <v>0</v>
      </c>
      <c r="S57" s="6">
        <v>8.6999999999999994E-2</v>
      </c>
      <c r="T57" s="6">
        <v>6.4500000000000002E-2</v>
      </c>
      <c r="U57" s="6">
        <v>0</v>
      </c>
      <c r="V57" s="6">
        <v>3.2300000000000002E-2</v>
      </c>
      <c r="W57" s="6">
        <v>0.1613</v>
      </c>
      <c r="X57" s="6">
        <v>0</v>
      </c>
      <c r="Y57" s="6">
        <v>8.7999999999999995E-2</v>
      </c>
      <c r="Z57" s="8">
        <f t="shared" ref="Z57" si="10">M57/30</f>
        <v>0.1</v>
      </c>
      <c r="AA57" s="9">
        <v>0</v>
      </c>
      <c r="AB57" s="9">
        <v>0</v>
      </c>
      <c r="AC57" s="7">
        <v>0</v>
      </c>
      <c r="AD57" s="35">
        <v>4.8099999999999997E-2</v>
      </c>
      <c r="AE57" s="35">
        <f t="shared" si="0"/>
        <v>5.4514285714285703E-2</v>
      </c>
      <c r="AF57" s="34" t="s">
        <v>35</v>
      </c>
      <c r="AG57" s="30" cm="1">
        <f t="array" ref="AG57">DIASQUIEBRE(Q57:AB57)</f>
        <v>16</v>
      </c>
      <c r="AH57" s="30" cm="1">
        <f t="array" ref="AH57">DiasMesesGris(Q57:AB57)</f>
        <v>60</v>
      </c>
      <c r="AI57" s="30">
        <f t="shared" si="2"/>
        <v>76</v>
      </c>
      <c r="AJ57" s="30">
        <f t="shared" si="3"/>
        <v>284</v>
      </c>
      <c r="AK57" s="31">
        <f t="shared" si="4"/>
        <v>15</v>
      </c>
      <c r="AL57" s="32">
        <f t="shared" si="1"/>
        <v>5.2816901408450703E-2</v>
      </c>
    </row>
    <row r="58" spans="1:38" x14ac:dyDescent="0.25">
      <c r="A58" s="1" t="s">
        <v>196</v>
      </c>
      <c r="B58" s="1" t="s">
        <v>197</v>
      </c>
      <c r="C58" s="1" t="s">
        <v>198</v>
      </c>
      <c r="D58" s="3"/>
      <c r="E58" s="5">
        <v>3</v>
      </c>
      <c r="F58" s="5">
        <v>1</v>
      </c>
      <c r="G58" s="5">
        <v>3</v>
      </c>
      <c r="H58" s="3"/>
      <c r="I58" s="5">
        <v>1</v>
      </c>
      <c r="J58" s="3"/>
      <c r="K58" s="5">
        <v>1</v>
      </c>
      <c r="L58" s="5">
        <v>2</v>
      </c>
      <c r="M58" s="5">
        <v>2</v>
      </c>
      <c r="N58" s="5">
        <v>-1</v>
      </c>
      <c r="O58" s="3"/>
      <c r="P58" s="3"/>
      <c r="Q58" s="6">
        <v>0</v>
      </c>
      <c r="R58" s="6">
        <v>9.6799999999999997E-2</v>
      </c>
      <c r="S58" s="6">
        <v>2.9000000000000001E-2</v>
      </c>
      <c r="T58" s="6">
        <v>9.6799999999999997E-2</v>
      </c>
      <c r="U58" s="6">
        <v>0</v>
      </c>
      <c r="V58" s="6">
        <v>3.2300000000000002E-2</v>
      </c>
      <c r="W58" s="6">
        <v>0</v>
      </c>
      <c r="X58" s="6">
        <v>4.2000000000000003E-2</v>
      </c>
      <c r="Y58" s="6">
        <v>5.8700000000000002E-2</v>
      </c>
      <c r="Z58" s="6">
        <v>7.4099999999999999E-2</v>
      </c>
      <c r="AA58" s="6">
        <v>-3.0700000000000002E-2</v>
      </c>
      <c r="AB58" s="6">
        <v>0</v>
      </c>
      <c r="AC58" s="7">
        <v>0</v>
      </c>
      <c r="AD58" s="35">
        <v>3.3300000000000003E-2</v>
      </c>
      <c r="AE58" s="35">
        <f t="shared" si="0"/>
        <v>2.52E-2</v>
      </c>
      <c r="AF58" s="34" t="s">
        <v>35</v>
      </c>
      <c r="AG58" s="30" cm="1">
        <f t="array" ref="AG58">DIASQUIEBRE(Q58:AB58)</f>
        <v>0</v>
      </c>
      <c r="AH58" s="30" cm="1">
        <f t="array" ref="AH58">DiasMesesGris(Q58:AB58)</f>
        <v>0</v>
      </c>
      <c r="AI58" s="30">
        <f t="shared" si="2"/>
        <v>0</v>
      </c>
      <c r="AJ58" s="30">
        <f t="shared" si="3"/>
        <v>360</v>
      </c>
      <c r="AK58" s="31">
        <f t="shared" si="4"/>
        <v>12</v>
      </c>
      <c r="AL58" s="32">
        <f t="shared" si="1"/>
        <v>3.3333333333333333E-2</v>
      </c>
    </row>
    <row r="59" spans="1:38" x14ac:dyDescent="0.25">
      <c r="A59" s="1" t="s">
        <v>199</v>
      </c>
      <c r="B59" s="1" t="s">
        <v>200</v>
      </c>
      <c r="C59" s="1" t="s">
        <v>201</v>
      </c>
      <c r="D59" s="3"/>
      <c r="E59" s="3"/>
      <c r="F59" s="5">
        <v>1</v>
      </c>
      <c r="G59" s="5">
        <v>2</v>
      </c>
      <c r="H59" s="3"/>
      <c r="I59" s="5">
        <v>1</v>
      </c>
      <c r="J59" s="5">
        <v>3</v>
      </c>
      <c r="K59" s="5">
        <v>1</v>
      </c>
      <c r="L59" s="5">
        <v>2</v>
      </c>
      <c r="M59" s="5">
        <v>2</v>
      </c>
      <c r="N59" s="3"/>
      <c r="O59" s="5">
        <v>1</v>
      </c>
      <c r="P59" s="3"/>
      <c r="Q59" s="6">
        <v>0</v>
      </c>
      <c r="R59" s="6">
        <v>0</v>
      </c>
      <c r="S59" s="6">
        <v>2.9000000000000001E-2</v>
      </c>
      <c r="T59" s="6">
        <v>6.4500000000000002E-2</v>
      </c>
      <c r="U59" s="6">
        <v>0</v>
      </c>
      <c r="V59" s="6">
        <v>3.2300000000000002E-2</v>
      </c>
      <c r="W59" s="6">
        <v>0.121</v>
      </c>
      <c r="X59" s="6">
        <v>4.2000000000000003E-2</v>
      </c>
      <c r="Y59" s="6">
        <v>5.8700000000000002E-2</v>
      </c>
      <c r="Z59" s="6">
        <v>7.4099999999999999E-2</v>
      </c>
      <c r="AA59" s="6">
        <v>0</v>
      </c>
      <c r="AB59" s="6">
        <v>2.9000000000000001E-2</v>
      </c>
      <c r="AC59" s="7">
        <v>0</v>
      </c>
      <c r="AD59" s="35">
        <v>3.7600000000000001E-2</v>
      </c>
      <c r="AE59" s="35">
        <f t="shared" si="0"/>
        <v>5.101428571428572E-2</v>
      </c>
      <c r="AF59" s="34" t="s">
        <v>35</v>
      </c>
      <c r="AG59" s="30" cm="1">
        <f t="array" ref="AG59">DIASQUIEBRE(Q59:AB59)</f>
        <v>0</v>
      </c>
      <c r="AH59" s="30" cm="1">
        <f t="array" ref="AH59">DiasMesesGris(Q59:AB59)</f>
        <v>0</v>
      </c>
      <c r="AI59" s="30">
        <f t="shared" si="2"/>
        <v>0</v>
      </c>
      <c r="AJ59" s="30">
        <f t="shared" si="3"/>
        <v>360</v>
      </c>
      <c r="AK59" s="31">
        <f t="shared" si="4"/>
        <v>13</v>
      </c>
      <c r="AL59" s="32">
        <f t="shared" si="1"/>
        <v>3.6111111111111108E-2</v>
      </c>
    </row>
    <row r="60" spans="1:38" x14ac:dyDescent="0.25">
      <c r="A60" s="1" t="s">
        <v>202</v>
      </c>
      <c r="B60" s="1" t="s">
        <v>203</v>
      </c>
      <c r="C60" s="1" t="s">
        <v>204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7">
        <v>0</v>
      </c>
      <c r="AE60" s="35">
        <f t="shared" si="0"/>
        <v>0</v>
      </c>
      <c r="AF60" s="34" t="s">
        <v>35</v>
      </c>
      <c r="AG60" s="30" cm="1">
        <f t="array" ref="AG60">DIASQUIEBRE(Q60:AB60)</f>
        <v>0</v>
      </c>
      <c r="AH60" s="30" cm="1">
        <f t="array" ref="AH60">DiasMesesGris(Q60:AB60)</f>
        <v>0</v>
      </c>
      <c r="AI60" s="30">
        <f t="shared" si="2"/>
        <v>0</v>
      </c>
      <c r="AJ60" s="30">
        <f t="shared" si="3"/>
        <v>360</v>
      </c>
      <c r="AK60" s="31">
        <f t="shared" si="4"/>
        <v>0</v>
      </c>
      <c r="AL60" s="32">
        <f t="shared" si="1"/>
        <v>0</v>
      </c>
    </row>
    <row r="61" spans="1:38" x14ac:dyDescent="0.25">
      <c r="A61" s="1" t="s">
        <v>205</v>
      </c>
      <c r="B61" s="1" t="s">
        <v>206</v>
      </c>
      <c r="C61" s="1" t="s">
        <v>207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7">
        <v>0</v>
      </c>
      <c r="AE61" s="35">
        <f t="shared" si="0"/>
        <v>0</v>
      </c>
      <c r="AF61" s="34" t="s">
        <v>35</v>
      </c>
      <c r="AG61" s="30" cm="1">
        <f t="array" ref="AG61">DIASQUIEBRE(Q61:AB61)</f>
        <v>0</v>
      </c>
      <c r="AH61" s="30" cm="1">
        <f t="array" ref="AH61">DiasMesesGris(Q61:AB61)</f>
        <v>360</v>
      </c>
      <c r="AI61" s="30">
        <f t="shared" si="2"/>
        <v>360</v>
      </c>
      <c r="AJ61" s="30">
        <f t="shared" si="3"/>
        <v>0</v>
      </c>
      <c r="AK61" s="31">
        <f t="shared" si="4"/>
        <v>0</v>
      </c>
      <c r="AL61" s="32">
        <f t="shared" si="1"/>
        <v>0</v>
      </c>
    </row>
    <row r="62" spans="1:38" x14ac:dyDescent="0.25">
      <c r="A62" s="1" t="s">
        <v>208</v>
      </c>
      <c r="B62" s="1" t="s">
        <v>209</v>
      </c>
      <c r="C62" s="1" t="s">
        <v>210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7">
        <v>0</v>
      </c>
      <c r="AE62" s="35">
        <f t="shared" si="0"/>
        <v>0</v>
      </c>
      <c r="AF62" s="34" t="s">
        <v>35</v>
      </c>
      <c r="AG62" s="30" cm="1">
        <f t="array" ref="AG62">DIASQUIEBRE(Q62:AB62)</f>
        <v>0</v>
      </c>
      <c r="AH62" s="30" cm="1">
        <f t="array" ref="AH62">DiasMesesGris(Q62:AB62)</f>
        <v>0</v>
      </c>
      <c r="AI62" s="30">
        <f t="shared" si="2"/>
        <v>0</v>
      </c>
      <c r="AJ62" s="30">
        <f t="shared" si="3"/>
        <v>360</v>
      </c>
      <c r="AK62" s="31">
        <f t="shared" si="4"/>
        <v>0</v>
      </c>
      <c r="AL62" s="32">
        <f t="shared" si="1"/>
        <v>0</v>
      </c>
    </row>
    <row r="63" spans="1:38" x14ac:dyDescent="0.25">
      <c r="A63" s="1" t="s">
        <v>211</v>
      </c>
      <c r="B63" s="1" t="s">
        <v>212</v>
      </c>
      <c r="C63" s="1" t="s">
        <v>213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7">
        <v>0</v>
      </c>
      <c r="AE63" s="35">
        <f t="shared" si="0"/>
        <v>0</v>
      </c>
      <c r="AF63" s="34" t="s">
        <v>51</v>
      </c>
      <c r="AG63" s="30" cm="1">
        <f t="array" ref="AG63">DIASQUIEBRE(Q63:AB63)</f>
        <v>0</v>
      </c>
      <c r="AH63" s="30" cm="1">
        <f t="array" ref="AH63">DiasMesesGris(Q63:AB63)</f>
        <v>360</v>
      </c>
      <c r="AI63" s="30">
        <f t="shared" si="2"/>
        <v>360</v>
      </c>
      <c r="AJ63" s="30">
        <f t="shared" si="3"/>
        <v>0</v>
      </c>
      <c r="AK63" s="31">
        <f t="shared" si="4"/>
        <v>0</v>
      </c>
      <c r="AL63" s="32">
        <f t="shared" si="1"/>
        <v>0</v>
      </c>
    </row>
    <row r="64" spans="1:38" x14ac:dyDescent="0.25">
      <c r="A64" s="1" t="s">
        <v>214</v>
      </c>
      <c r="B64" s="1" t="s">
        <v>215</v>
      </c>
      <c r="C64" s="1" t="s">
        <v>216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7">
        <v>0</v>
      </c>
      <c r="AE64" s="35">
        <f t="shared" si="0"/>
        <v>0</v>
      </c>
      <c r="AF64" s="34" t="s">
        <v>35</v>
      </c>
      <c r="AG64" s="30" cm="1">
        <f t="array" ref="AG64">DIASQUIEBRE(Q64:AB64)</f>
        <v>0</v>
      </c>
      <c r="AH64" s="30" cm="1">
        <f t="array" ref="AH64">DiasMesesGris(Q64:AB64)</f>
        <v>360</v>
      </c>
      <c r="AI64" s="30">
        <f t="shared" si="2"/>
        <v>360</v>
      </c>
      <c r="AJ64" s="30">
        <f t="shared" si="3"/>
        <v>0</v>
      </c>
      <c r="AK64" s="31">
        <f t="shared" si="4"/>
        <v>0</v>
      </c>
      <c r="AL64" s="32">
        <f t="shared" si="1"/>
        <v>0</v>
      </c>
    </row>
    <row r="65" spans="1:38" x14ac:dyDescent="0.25">
      <c r="A65" s="1" t="s">
        <v>217</v>
      </c>
      <c r="B65" s="1" t="s">
        <v>218</v>
      </c>
      <c r="C65" s="1" t="s">
        <v>219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7">
        <v>0</v>
      </c>
      <c r="AE65" s="35">
        <f t="shared" si="0"/>
        <v>0</v>
      </c>
      <c r="AF65" s="34" t="s">
        <v>35</v>
      </c>
      <c r="AG65" s="30" cm="1">
        <f t="array" ref="AG65">DIASQUIEBRE(Q65:AB65)</f>
        <v>0</v>
      </c>
      <c r="AH65" s="30" cm="1">
        <f t="array" ref="AH65">DiasMesesGris(Q65:AB65)</f>
        <v>360</v>
      </c>
      <c r="AI65" s="30">
        <f t="shared" si="2"/>
        <v>360</v>
      </c>
      <c r="AJ65" s="30">
        <f t="shared" si="3"/>
        <v>0</v>
      </c>
      <c r="AK65" s="31">
        <f t="shared" si="4"/>
        <v>0</v>
      </c>
      <c r="AL65" s="32">
        <f t="shared" si="1"/>
        <v>0</v>
      </c>
    </row>
    <row r="66" spans="1:38" x14ac:dyDescent="0.25">
      <c r="A66" s="1" t="s">
        <v>220</v>
      </c>
      <c r="B66" s="1" t="s">
        <v>221</v>
      </c>
      <c r="C66" s="1" t="s">
        <v>222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7">
        <v>0</v>
      </c>
      <c r="AE66" s="35">
        <f t="shared" si="0"/>
        <v>0</v>
      </c>
      <c r="AF66" s="34" t="s">
        <v>51</v>
      </c>
      <c r="AG66" s="30" cm="1">
        <f t="array" ref="AG66">DIASQUIEBRE(Q66:AB66)</f>
        <v>0</v>
      </c>
      <c r="AH66" s="30" cm="1">
        <f t="array" ref="AH66">DiasMesesGris(Q66:AB66)</f>
        <v>360</v>
      </c>
      <c r="AI66" s="30">
        <f t="shared" si="2"/>
        <v>360</v>
      </c>
      <c r="AJ66" s="30">
        <f t="shared" si="3"/>
        <v>0</v>
      </c>
      <c r="AK66" s="31">
        <f t="shared" si="4"/>
        <v>0</v>
      </c>
      <c r="AL66" s="32">
        <f t="shared" si="1"/>
        <v>0</v>
      </c>
    </row>
    <row r="67" spans="1:38" x14ac:dyDescent="0.25">
      <c r="A67" s="1" t="s">
        <v>223</v>
      </c>
      <c r="B67" s="1" t="s">
        <v>224</v>
      </c>
      <c r="C67" s="1" t="s">
        <v>225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7">
        <v>0</v>
      </c>
      <c r="AE67" s="35">
        <f t="shared" ref="AE67:AE130" si="11">AVERAGE(V67:AB67)</f>
        <v>0</v>
      </c>
      <c r="AF67" s="34" t="s">
        <v>35</v>
      </c>
      <c r="AG67" s="30" cm="1">
        <f t="array" ref="AG67">DIASQUIEBRE(Q67:AB67)</f>
        <v>0</v>
      </c>
      <c r="AH67" s="30" cm="1">
        <f t="array" ref="AH67">DiasMesesGris(Q67:AB67)</f>
        <v>360</v>
      </c>
      <c r="AI67" s="30">
        <f t="shared" si="2"/>
        <v>360</v>
      </c>
      <c r="AJ67" s="30">
        <f t="shared" si="3"/>
        <v>0</v>
      </c>
      <c r="AK67" s="31">
        <f t="shared" si="4"/>
        <v>0</v>
      </c>
      <c r="AL67" s="32">
        <f t="shared" ref="AL67:AL130" si="12">IFERROR(AK67/AJ67,0)</f>
        <v>0</v>
      </c>
    </row>
    <row r="68" spans="1:38" x14ac:dyDescent="0.25">
      <c r="A68" s="1" t="s">
        <v>226</v>
      </c>
      <c r="B68" s="1" t="s">
        <v>227</v>
      </c>
      <c r="C68" s="1" t="s">
        <v>228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7">
        <v>0</v>
      </c>
      <c r="AE68" s="35">
        <f t="shared" si="11"/>
        <v>0</v>
      </c>
      <c r="AF68" s="34" t="s">
        <v>51</v>
      </c>
      <c r="AG68" s="30" cm="1">
        <f t="array" ref="AG68">DIASQUIEBRE(Q68:AB68)</f>
        <v>0</v>
      </c>
      <c r="AH68" s="30" cm="1">
        <f t="array" ref="AH68">DiasMesesGris(Q68:AB68)</f>
        <v>0</v>
      </c>
      <c r="AI68" s="30">
        <f t="shared" ref="AI68:AI131" si="13">AG68+AH68</f>
        <v>0</v>
      </c>
      <c r="AJ68" s="30">
        <f t="shared" ref="AJ68:AJ131" si="14">360-AI68</f>
        <v>360</v>
      </c>
      <c r="AK68" s="31">
        <f t="shared" ref="AK68:AK131" si="15">SUM(D68:O68)</f>
        <v>0</v>
      </c>
      <c r="AL68" s="32">
        <f t="shared" si="12"/>
        <v>0</v>
      </c>
    </row>
    <row r="69" spans="1:38" x14ac:dyDescent="0.25">
      <c r="A69" s="1" t="s">
        <v>229</v>
      </c>
      <c r="B69" s="1" t="s">
        <v>230</v>
      </c>
      <c r="C69" s="1" t="s">
        <v>231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7">
        <v>0</v>
      </c>
      <c r="AE69" s="35">
        <f t="shared" si="11"/>
        <v>0</v>
      </c>
      <c r="AF69" s="34" t="s">
        <v>35</v>
      </c>
      <c r="AG69" s="30" cm="1">
        <f t="array" ref="AG69">DIASQUIEBRE(Q69:AB69)</f>
        <v>0</v>
      </c>
      <c r="AH69" s="30" cm="1">
        <f t="array" ref="AH69">DiasMesesGris(Q69:AB69)</f>
        <v>360</v>
      </c>
      <c r="AI69" s="30">
        <f t="shared" si="13"/>
        <v>360</v>
      </c>
      <c r="AJ69" s="30">
        <f t="shared" si="14"/>
        <v>0</v>
      </c>
      <c r="AK69" s="31">
        <f t="shared" si="15"/>
        <v>0</v>
      </c>
      <c r="AL69" s="32">
        <f t="shared" si="12"/>
        <v>0</v>
      </c>
    </row>
    <row r="70" spans="1:38" x14ac:dyDescent="0.25">
      <c r="A70" s="1" t="s">
        <v>232</v>
      </c>
      <c r="B70" s="1" t="s">
        <v>233</v>
      </c>
      <c r="C70" s="1" t="s">
        <v>234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7">
        <v>0</v>
      </c>
      <c r="AE70" s="35">
        <f t="shared" si="11"/>
        <v>0</v>
      </c>
      <c r="AF70" s="34" t="s">
        <v>35</v>
      </c>
      <c r="AG70" s="30" cm="1">
        <f t="array" ref="AG70">DIASQUIEBRE(Q70:AB70)</f>
        <v>0</v>
      </c>
      <c r="AH70" s="30" cm="1">
        <f t="array" ref="AH70">DiasMesesGris(Q70:AB70)</f>
        <v>360</v>
      </c>
      <c r="AI70" s="30">
        <f t="shared" si="13"/>
        <v>360</v>
      </c>
      <c r="AJ70" s="30">
        <f t="shared" si="14"/>
        <v>0</v>
      </c>
      <c r="AK70" s="31">
        <f t="shared" si="15"/>
        <v>0</v>
      </c>
      <c r="AL70" s="32">
        <f t="shared" si="12"/>
        <v>0</v>
      </c>
    </row>
    <row r="71" spans="1:38" x14ac:dyDescent="0.25">
      <c r="A71" s="1" t="s">
        <v>235</v>
      </c>
      <c r="B71" s="1" t="s">
        <v>236</v>
      </c>
      <c r="C71" s="1" t="s">
        <v>237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7">
        <v>0</v>
      </c>
      <c r="AE71" s="35">
        <f t="shared" si="11"/>
        <v>0</v>
      </c>
      <c r="AF71" s="34" t="s">
        <v>35</v>
      </c>
      <c r="AG71" s="30" cm="1">
        <f t="array" ref="AG71">DIASQUIEBRE(Q71:AB71)</f>
        <v>0</v>
      </c>
      <c r="AH71" s="30" cm="1">
        <f t="array" ref="AH71">DiasMesesGris(Q71:AB71)</f>
        <v>0</v>
      </c>
      <c r="AI71" s="30">
        <f t="shared" si="13"/>
        <v>0</v>
      </c>
      <c r="AJ71" s="30">
        <f t="shared" si="14"/>
        <v>360</v>
      </c>
      <c r="AK71" s="31">
        <f t="shared" si="15"/>
        <v>0</v>
      </c>
      <c r="AL71" s="32">
        <f t="shared" si="12"/>
        <v>0</v>
      </c>
    </row>
    <row r="72" spans="1:38" x14ac:dyDescent="0.25">
      <c r="A72" s="1" t="s">
        <v>238</v>
      </c>
      <c r="B72" s="1" t="s">
        <v>239</v>
      </c>
      <c r="C72" s="1" t="s">
        <v>240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7">
        <v>0</v>
      </c>
      <c r="AE72" s="35">
        <f t="shared" si="11"/>
        <v>0</v>
      </c>
      <c r="AF72" s="34" t="s">
        <v>35</v>
      </c>
      <c r="AG72" s="30" cm="1">
        <f t="array" ref="AG72">DIASQUIEBRE(Q72:AB72)</f>
        <v>0</v>
      </c>
      <c r="AH72" s="30" cm="1">
        <f t="array" ref="AH72">DiasMesesGris(Q72:AB72)</f>
        <v>0</v>
      </c>
      <c r="AI72" s="30">
        <f t="shared" si="13"/>
        <v>0</v>
      </c>
      <c r="AJ72" s="30">
        <f t="shared" si="14"/>
        <v>360</v>
      </c>
      <c r="AK72" s="31">
        <f t="shared" si="15"/>
        <v>0</v>
      </c>
      <c r="AL72" s="32">
        <f t="shared" si="12"/>
        <v>0</v>
      </c>
    </row>
    <row r="73" spans="1:38" x14ac:dyDescent="0.25">
      <c r="A73" s="1" t="s">
        <v>241</v>
      </c>
      <c r="B73" s="1" t="s">
        <v>242</v>
      </c>
      <c r="C73" s="1" t="s">
        <v>243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7">
        <v>0</v>
      </c>
      <c r="AE73" s="35">
        <f t="shared" si="11"/>
        <v>0</v>
      </c>
      <c r="AF73" s="34" t="s">
        <v>35</v>
      </c>
      <c r="AG73" s="30" cm="1">
        <f t="array" ref="AG73">DIASQUIEBRE(Q73:AB73)</f>
        <v>0</v>
      </c>
      <c r="AH73" s="30" cm="1">
        <f t="array" ref="AH73">DiasMesesGris(Q73:AB73)</f>
        <v>0</v>
      </c>
      <c r="AI73" s="30">
        <f t="shared" si="13"/>
        <v>0</v>
      </c>
      <c r="AJ73" s="30">
        <f t="shared" si="14"/>
        <v>360</v>
      </c>
      <c r="AK73" s="31">
        <f t="shared" si="15"/>
        <v>0</v>
      </c>
      <c r="AL73" s="32">
        <f t="shared" si="12"/>
        <v>0</v>
      </c>
    </row>
    <row r="74" spans="1:38" x14ac:dyDescent="0.25">
      <c r="A74" s="1" t="s">
        <v>244</v>
      </c>
      <c r="B74" s="1" t="s">
        <v>245</v>
      </c>
      <c r="C74" s="1" t="s">
        <v>246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7">
        <v>0</v>
      </c>
      <c r="AE74" s="35">
        <f t="shared" si="11"/>
        <v>0</v>
      </c>
      <c r="AF74" s="34" t="s">
        <v>35</v>
      </c>
      <c r="AG74" s="30" cm="1">
        <f t="array" ref="AG74">DIASQUIEBRE(Q74:AB74)</f>
        <v>0</v>
      </c>
      <c r="AH74" s="30" cm="1">
        <f t="array" ref="AH74">DiasMesesGris(Q74:AB74)</f>
        <v>360</v>
      </c>
      <c r="AI74" s="30">
        <f t="shared" si="13"/>
        <v>360</v>
      </c>
      <c r="AJ74" s="30">
        <f t="shared" si="14"/>
        <v>0</v>
      </c>
      <c r="AK74" s="31">
        <f t="shared" si="15"/>
        <v>0</v>
      </c>
      <c r="AL74" s="32">
        <f t="shared" si="12"/>
        <v>0</v>
      </c>
    </row>
    <row r="75" spans="1:38" x14ac:dyDescent="0.25">
      <c r="A75" s="1" t="s">
        <v>247</v>
      </c>
      <c r="B75" s="1" t="s">
        <v>248</v>
      </c>
      <c r="C75" s="1" t="s">
        <v>249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7">
        <v>0</v>
      </c>
      <c r="AE75" s="35">
        <f t="shared" si="11"/>
        <v>0</v>
      </c>
      <c r="AF75" s="34" t="s">
        <v>35</v>
      </c>
      <c r="AG75" s="30" cm="1">
        <f t="array" ref="AG75">DIASQUIEBRE(Q75:AB75)</f>
        <v>0</v>
      </c>
      <c r="AH75" s="30" cm="1">
        <f t="array" ref="AH75">DiasMesesGris(Q75:AB75)</f>
        <v>360</v>
      </c>
      <c r="AI75" s="30">
        <f t="shared" si="13"/>
        <v>360</v>
      </c>
      <c r="AJ75" s="30">
        <f t="shared" si="14"/>
        <v>0</v>
      </c>
      <c r="AK75" s="31">
        <f t="shared" si="15"/>
        <v>0</v>
      </c>
      <c r="AL75" s="32">
        <f t="shared" si="12"/>
        <v>0</v>
      </c>
    </row>
    <row r="76" spans="1:38" x14ac:dyDescent="0.25">
      <c r="A76" s="1" t="s">
        <v>250</v>
      </c>
      <c r="B76" s="1" t="s">
        <v>251</v>
      </c>
      <c r="C76" s="1" t="s">
        <v>252</v>
      </c>
      <c r="D76" s="5">
        <v>17</v>
      </c>
      <c r="E76" s="5">
        <v>10</v>
      </c>
      <c r="F76" s="5">
        <v>14</v>
      </c>
      <c r="G76" s="5">
        <v>23</v>
      </c>
      <c r="H76" s="5">
        <v>13</v>
      </c>
      <c r="I76" s="5">
        <v>6</v>
      </c>
      <c r="J76" s="5">
        <v>-3</v>
      </c>
      <c r="K76" s="5">
        <v>21</v>
      </c>
      <c r="L76" s="5">
        <v>11</v>
      </c>
      <c r="M76" s="5">
        <v>9</v>
      </c>
      <c r="N76" s="5">
        <v>12</v>
      </c>
      <c r="O76" s="5">
        <v>21</v>
      </c>
      <c r="P76" s="5">
        <v>1</v>
      </c>
      <c r="Q76" s="6">
        <v>0.5484</v>
      </c>
      <c r="R76" s="6">
        <v>0.3226</v>
      </c>
      <c r="S76" s="6">
        <v>0.40579999999999999</v>
      </c>
      <c r="T76" s="6">
        <v>0.7419</v>
      </c>
      <c r="U76" s="6">
        <v>0.43330000000000002</v>
      </c>
      <c r="V76" s="6">
        <v>0.19350000000000001</v>
      </c>
      <c r="W76" s="6">
        <v>-0.121</v>
      </c>
      <c r="X76" s="6">
        <v>0.88239999999999996</v>
      </c>
      <c r="Y76" s="6">
        <v>0.3226</v>
      </c>
      <c r="Z76" s="6">
        <v>0.33329999999999999</v>
      </c>
      <c r="AA76" s="6">
        <v>0.36870000000000003</v>
      </c>
      <c r="AB76" s="6">
        <v>0.60870000000000002</v>
      </c>
      <c r="AC76" s="7">
        <v>3.2300000000000002E-2</v>
      </c>
      <c r="AD76" s="35">
        <v>0.42</v>
      </c>
      <c r="AE76" s="35">
        <f t="shared" si="11"/>
        <v>0.3697428571428571</v>
      </c>
      <c r="AF76" s="34" t="s">
        <v>35</v>
      </c>
      <c r="AG76" s="30" cm="1">
        <f t="array" ref="AG76">DIASQUIEBRE(Q76:AB76)</f>
        <v>0</v>
      </c>
      <c r="AH76" s="30" cm="1">
        <f t="array" ref="AH76">DiasMesesGris(Q76:AB76)</f>
        <v>0</v>
      </c>
      <c r="AI76" s="30">
        <f t="shared" si="13"/>
        <v>0</v>
      </c>
      <c r="AJ76" s="30">
        <f t="shared" si="14"/>
        <v>360</v>
      </c>
      <c r="AK76" s="31">
        <f t="shared" si="15"/>
        <v>154</v>
      </c>
      <c r="AL76" s="32">
        <f t="shared" si="12"/>
        <v>0.42777777777777776</v>
      </c>
    </row>
    <row r="77" spans="1:38" x14ac:dyDescent="0.25">
      <c r="A77" s="1" t="s">
        <v>253</v>
      </c>
      <c r="B77" s="1" t="s">
        <v>254</v>
      </c>
      <c r="C77" s="1" t="s">
        <v>255</v>
      </c>
      <c r="D77" s="3"/>
      <c r="E77" s="5">
        <v>1</v>
      </c>
      <c r="F77" s="3"/>
      <c r="G77" s="3"/>
      <c r="H77" s="5">
        <v>1</v>
      </c>
      <c r="I77" s="3"/>
      <c r="J77" s="3"/>
      <c r="K77" s="3"/>
      <c r="L77" s="5">
        <v>2</v>
      </c>
      <c r="M77" s="3"/>
      <c r="N77" s="3"/>
      <c r="O77" s="5">
        <v>1</v>
      </c>
      <c r="P77" s="3"/>
      <c r="Q77" s="6">
        <v>0</v>
      </c>
      <c r="R77" s="6">
        <v>3.2300000000000002E-2</v>
      </c>
      <c r="S77" s="6">
        <v>0</v>
      </c>
      <c r="T77" s="6">
        <v>0</v>
      </c>
      <c r="U77" s="6">
        <v>3.3300000000000003E-2</v>
      </c>
      <c r="V77" s="6">
        <v>0</v>
      </c>
      <c r="W77" s="6">
        <v>0</v>
      </c>
      <c r="X77" s="6">
        <v>0</v>
      </c>
      <c r="Y77" s="6">
        <v>5.8700000000000002E-2</v>
      </c>
      <c r="Z77" s="6">
        <v>0</v>
      </c>
      <c r="AA77" s="6">
        <v>0</v>
      </c>
      <c r="AB77" s="6">
        <v>2.9000000000000001E-2</v>
      </c>
      <c r="AC77" s="7">
        <v>0</v>
      </c>
      <c r="AD77" s="35">
        <v>1.2800000000000001E-2</v>
      </c>
      <c r="AE77" s="35">
        <f t="shared" si="11"/>
        <v>1.2528571428571429E-2</v>
      </c>
      <c r="AF77" s="34" t="s">
        <v>51</v>
      </c>
      <c r="AG77" s="30" cm="1">
        <f t="array" ref="AG77">DIASQUIEBRE(Q77:AB77)</f>
        <v>0</v>
      </c>
      <c r="AH77" s="30" cm="1">
        <f t="array" ref="AH77">DiasMesesGris(Q77:AB77)</f>
        <v>0</v>
      </c>
      <c r="AI77" s="30">
        <f t="shared" si="13"/>
        <v>0</v>
      </c>
      <c r="AJ77" s="30">
        <f t="shared" si="14"/>
        <v>360</v>
      </c>
      <c r="AK77" s="31">
        <f t="shared" si="15"/>
        <v>5</v>
      </c>
      <c r="AL77" s="32">
        <f t="shared" si="12"/>
        <v>1.3888888888888888E-2</v>
      </c>
    </row>
    <row r="78" spans="1:38" x14ac:dyDescent="0.25">
      <c r="A78" s="10" t="s">
        <v>256</v>
      </c>
      <c r="B78" s="1" t="s">
        <v>257</v>
      </c>
      <c r="C78" s="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7">
        <v>0</v>
      </c>
      <c r="AE78" s="35">
        <f t="shared" si="11"/>
        <v>0</v>
      </c>
      <c r="AF78" s="34" t="s">
        <v>51</v>
      </c>
      <c r="AG78" s="30" cm="1">
        <f t="array" ref="AG78">DIASQUIEBRE(Q78:AB78)</f>
        <v>0</v>
      </c>
      <c r="AH78" s="30" cm="1">
        <f t="array" ref="AH78">DiasMesesGris(Q78:AB78)</f>
        <v>360</v>
      </c>
      <c r="AI78" s="30">
        <f t="shared" si="13"/>
        <v>360</v>
      </c>
      <c r="AJ78" s="30">
        <f t="shared" si="14"/>
        <v>0</v>
      </c>
      <c r="AK78" s="31">
        <f t="shared" si="15"/>
        <v>0</v>
      </c>
      <c r="AL78" s="32">
        <f t="shared" si="12"/>
        <v>0</v>
      </c>
    </row>
    <row r="79" spans="1:38" x14ac:dyDescent="0.25">
      <c r="A79" s="1" t="s">
        <v>258</v>
      </c>
      <c r="B79" s="1" t="s">
        <v>259</v>
      </c>
      <c r="C79" s="1" t="s">
        <v>260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5">
        <v>1</v>
      </c>
      <c r="P79" s="3"/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2.9000000000000001E-2</v>
      </c>
      <c r="AC79" s="7">
        <v>0</v>
      </c>
      <c r="AD79" s="35">
        <v>2.3999999999999998E-3</v>
      </c>
      <c r="AE79" s="35">
        <f t="shared" si="11"/>
        <v>4.1428571428571434E-3</v>
      </c>
      <c r="AF79" s="34" t="s">
        <v>51</v>
      </c>
      <c r="AG79" s="30" cm="1">
        <f t="array" ref="AG79">DIASQUIEBRE(Q79:AB79)</f>
        <v>0</v>
      </c>
      <c r="AH79" s="30" cm="1">
        <f t="array" ref="AH79">DiasMesesGris(Q79:AB79)</f>
        <v>0</v>
      </c>
      <c r="AI79" s="30">
        <f t="shared" si="13"/>
        <v>0</v>
      </c>
      <c r="AJ79" s="30">
        <f t="shared" si="14"/>
        <v>360</v>
      </c>
      <c r="AK79" s="31">
        <f t="shared" si="15"/>
        <v>1</v>
      </c>
      <c r="AL79" s="32">
        <f t="shared" si="12"/>
        <v>2.7777777777777779E-3</v>
      </c>
    </row>
    <row r="80" spans="1:38" x14ac:dyDescent="0.25">
      <c r="A80" s="1" t="s">
        <v>261</v>
      </c>
      <c r="B80" s="1" t="s">
        <v>262</v>
      </c>
      <c r="C80" s="1" t="s">
        <v>263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7">
        <v>0</v>
      </c>
      <c r="AE80" s="35">
        <f t="shared" si="11"/>
        <v>0</v>
      </c>
      <c r="AF80" s="34" t="s">
        <v>51</v>
      </c>
      <c r="AG80" s="30" cm="1">
        <f t="array" ref="AG80">DIASQUIEBRE(Q80:AB80)</f>
        <v>0</v>
      </c>
      <c r="AH80" s="30" cm="1">
        <f t="array" ref="AH80">DiasMesesGris(Q80:AB80)</f>
        <v>360</v>
      </c>
      <c r="AI80" s="30">
        <f t="shared" si="13"/>
        <v>360</v>
      </c>
      <c r="AJ80" s="30">
        <f t="shared" si="14"/>
        <v>0</v>
      </c>
      <c r="AK80" s="31">
        <f t="shared" si="15"/>
        <v>0</v>
      </c>
      <c r="AL80" s="32">
        <f t="shared" si="12"/>
        <v>0</v>
      </c>
    </row>
    <row r="81" spans="1:38" x14ac:dyDescent="0.25">
      <c r="A81" s="1" t="s">
        <v>264</v>
      </c>
      <c r="B81" s="1" t="s">
        <v>265</v>
      </c>
      <c r="C81" s="1" t="s">
        <v>266</v>
      </c>
      <c r="D81" s="5">
        <v>3</v>
      </c>
      <c r="E81" s="5">
        <v>4</v>
      </c>
      <c r="F81" s="5">
        <v>7</v>
      </c>
      <c r="G81" s="5">
        <v>8</v>
      </c>
      <c r="H81" s="5">
        <v>5</v>
      </c>
      <c r="I81" s="5">
        <v>9</v>
      </c>
      <c r="J81" s="3"/>
      <c r="K81" s="5">
        <v>2</v>
      </c>
      <c r="L81" s="5">
        <v>1</v>
      </c>
      <c r="M81" s="5">
        <v>5</v>
      </c>
      <c r="N81" s="5">
        <v>5</v>
      </c>
      <c r="O81" s="5">
        <v>3</v>
      </c>
      <c r="P81" s="3"/>
      <c r="Q81" s="6">
        <v>9.6799999999999997E-2</v>
      </c>
      <c r="R81" s="6">
        <v>0.129</v>
      </c>
      <c r="S81" s="6">
        <v>0.2029</v>
      </c>
      <c r="T81" s="6">
        <v>0.2581</v>
      </c>
      <c r="U81" s="6">
        <v>0.16669999999999999</v>
      </c>
      <c r="V81" s="6">
        <v>0.2903</v>
      </c>
      <c r="W81" s="6">
        <v>0</v>
      </c>
      <c r="X81" s="6">
        <v>8.4000000000000005E-2</v>
      </c>
      <c r="Y81" s="6">
        <v>2.93E-2</v>
      </c>
      <c r="Z81" s="6">
        <v>0.1852</v>
      </c>
      <c r="AA81" s="6">
        <v>0.15359999999999999</v>
      </c>
      <c r="AB81" s="6">
        <v>8.6999999999999994E-2</v>
      </c>
      <c r="AC81" s="7">
        <v>0</v>
      </c>
      <c r="AD81" s="35">
        <v>0.14019999999999999</v>
      </c>
      <c r="AE81" s="35">
        <f t="shared" si="11"/>
        <v>0.11848571428571428</v>
      </c>
      <c r="AF81" s="34" t="s">
        <v>35</v>
      </c>
      <c r="AG81" s="30" cm="1">
        <f t="array" ref="AG81">DIASQUIEBRE(Q81:AB81)</f>
        <v>0</v>
      </c>
      <c r="AH81" s="30" cm="1">
        <f t="array" ref="AH81">DiasMesesGris(Q81:AB81)</f>
        <v>0</v>
      </c>
      <c r="AI81" s="30">
        <f t="shared" si="13"/>
        <v>0</v>
      </c>
      <c r="AJ81" s="30">
        <f t="shared" si="14"/>
        <v>360</v>
      </c>
      <c r="AK81" s="31">
        <f t="shared" si="15"/>
        <v>52</v>
      </c>
      <c r="AL81" s="32">
        <f t="shared" si="12"/>
        <v>0.14444444444444443</v>
      </c>
    </row>
    <row r="82" spans="1:38" x14ac:dyDescent="0.25">
      <c r="A82" s="1" t="s">
        <v>267</v>
      </c>
      <c r="B82" s="1" t="s">
        <v>268</v>
      </c>
      <c r="C82" s="1" t="s">
        <v>269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7">
        <v>0</v>
      </c>
      <c r="AE82" s="35">
        <f t="shared" si="11"/>
        <v>0</v>
      </c>
      <c r="AF82" s="34" t="s">
        <v>35</v>
      </c>
      <c r="AG82" s="30" cm="1">
        <f t="array" ref="AG82">DIASQUIEBRE(Q82:AB82)</f>
        <v>0</v>
      </c>
      <c r="AH82" s="30" cm="1">
        <f t="array" ref="AH82">DiasMesesGris(Q82:AB82)</f>
        <v>360</v>
      </c>
      <c r="AI82" s="30">
        <f t="shared" si="13"/>
        <v>360</v>
      </c>
      <c r="AJ82" s="30">
        <f t="shared" si="14"/>
        <v>0</v>
      </c>
      <c r="AK82" s="31">
        <f t="shared" si="15"/>
        <v>0</v>
      </c>
      <c r="AL82" s="32">
        <f t="shared" si="12"/>
        <v>0</v>
      </c>
    </row>
    <row r="83" spans="1:38" x14ac:dyDescent="0.25">
      <c r="A83" s="1" t="s">
        <v>270</v>
      </c>
      <c r="B83" s="1" t="s">
        <v>271</v>
      </c>
      <c r="C83" s="1" t="s">
        <v>272</v>
      </c>
      <c r="D83" s="3"/>
      <c r="E83" s="3"/>
      <c r="F83" s="5">
        <v>1</v>
      </c>
      <c r="G83" s="3"/>
      <c r="H83" s="3"/>
      <c r="I83" s="5">
        <v>3</v>
      </c>
      <c r="J83" s="3"/>
      <c r="K83" s="3"/>
      <c r="L83" s="5">
        <v>4</v>
      </c>
      <c r="M83" s="5">
        <v>1</v>
      </c>
      <c r="N83" s="5">
        <v>3</v>
      </c>
      <c r="O83" s="3"/>
      <c r="P83" s="3"/>
      <c r="Q83" s="8">
        <f t="shared" ref="Q83" si="16">D83/30</f>
        <v>0</v>
      </c>
      <c r="R83" s="6">
        <v>0</v>
      </c>
      <c r="S83" s="6">
        <v>2.9000000000000001E-2</v>
      </c>
      <c r="T83" s="6">
        <v>0</v>
      </c>
      <c r="U83" s="6">
        <v>0</v>
      </c>
      <c r="V83" s="6">
        <v>9.6799999999999997E-2</v>
      </c>
      <c r="W83" s="6">
        <v>0</v>
      </c>
      <c r="X83" s="6">
        <v>0</v>
      </c>
      <c r="Y83" s="6">
        <v>0.1173</v>
      </c>
      <c r="Z83" s="6">
        <v>3.6999999999999998E-2</v>
      </c>
      <c r="AA83" s="8">
        <f t="shared" ref="AA83" si="17">N83/30</f>
        <v>0.1</v>
      </c>
      <c r="AB83" s="9">
        <v>0</v>
      </c>
      <c r="AC83" s="7">
        <v>0</v>
      </c>
      <c r="AD83" s="35">
        <v>3.1099999999999999E-2</v>
      </c>
      <c r="AE83" s="35">
        <f t="shared" si="11"/>
        <v>5.0157142857142852E-2</v>
      </c>
      <c r="AF83" s="34" t="s">
        <v>35</v>
      </c>
      <c r="AG83" s="30" cm="1">
        <f t="array" ref="AG83">DIASQUIEBRE(Q83:AB83)</f>
        <v>26</v>
      </c>
      <c r="AH83" s="30" cm="1">
        <f t="array" ref="AH83">DiasMesesGris(Q83:AB83)</f>
        <v>30</v>
      </c>
      <c r="AI83" s="30">
        <f t="shared" si="13"/>
        <v>56</v>
      </c>
      <c r="AJ83" s="30">
        <f t="shared" si="14"/>
        <v>304</v>
      </c>
      <c r="AK83" s="31">
        <f t="shared" si="15"/>
        <v>12</v>
      </c>
      <c r="AL83" s="32">
        <f t="shared" si="12"/>
        <v>3.9473684210526314E-2</v>
      </c>
    </row>
    <row r="84" spans="1:38" x14ac:dyDescent="0.25">
      <c r="A84" s="1" t="s">
        <v>273</v>
      </c>
      <c r="B84" s="1" t="s">
        <v>274</v>
      </c>
      <c r="C84" s="1" t="s">
        <v>275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7">
        <v>0</v>
      </c>
      <c r="AE84" s="35">
        <f t="shared" si="11"/>
        <v>0</v>
      </c>
      <c r="AF84" s="34" t="s">
        <v>35</v>
      </c>
      <c r="AG84" s="30" cm="1">
        <f t="array" ref="AG84">DIASQUIEBRE(Q84:AB84)</f>
        <v>0</v>
      </c>
      <c r="AH84" s="30" cm="1">
        <f t="array" ref="AH84">DiasMesesGris(Q84:AB84)</f>
        <v>0</v>
      </c>
      <c r="AI84" s="30">
        <f t="shared" si="13"/>
        <v>0</v>
      </c>
      <c r="AJ84" s="30">
        <f t="shared" si="14"/>
        <v>360</v>
      </c>
      <c r="AK84" s="31">
        <f t="shared" si="15"/>
        <v>0</v>
      </c>
      <c r="AL84" s="32">
        <f t="shared" si="12"/>
        <v>0</v>
      </c>
    </row>
    <row r="85" spans="1:38" x14ac:dyDescent="0.25">
      <c r="A85" s="1" t="s">
        <v>276</v>
      </c>
      <c r="B85" s="1" t="s">
        <v>277</v>
      </c>
      <c r="C85" s="1" t="s">
        <v>278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7">
        <v>0</v>
      </c>
      <c r="AE85" s="35">
        <f t="shared" si="11"/>
        <v>0</v>
      </c>
      <c r="AF85" s="34" t="s">
        <v>35</v>
      </c>
      <c r="AG85" s="30" cm="1">
        <f t="array" ref="AG85">DIASQUIEBRE(Q85:AB85)</f>
        <v>0</v>
      </c>
      <c r="AH85" s="30" cm="1">
        <f t="array" ref="AH85">DiasMesesGris(Q85:AB85)</f>
        <v>360</v>
      </c>
      <c r="AI85" s="30">
        <f t="shared" si="13"/>
        <v>360</v>
      </c>
      <c r="AJ85" s="30">
        <f t="shared" si="14"/>
        <v>0</v>
      </c>
      <c r="AK85" s="31">
        <f t="shared" si="15"/>
        <v>0</v>
      </c>
      <c r="AL85" s="32">
        <f t="shared" si="12"/>
        <v>0</v>
      </c>
    </row>
    <row r="86" spans="1:38" x14ac:dyDescent="0.25">
      <c r="A86" s="1" t="s">
        <v>279</v>
      </c>
      <c r="B86" s="1" t="s">
        <v>280</v>
      </c>
      <c r="C86" s="1" t="s">
        <v>281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7">
        <v>0</v>
      </c>
      <c r="AE86" s="35">
        <f t="shared" si="11"/>
        <v>0</v>
      </c>
      <c r="AF86" s="34" t="s">
        <v>35</v>
      </c>
      <c r="AG86" s="30" cm="1">
        <f t="array" ref="AG86">DIASQUIEBRE(Q86:AB86)</f>
        <v>0</v>
      </c>
      <c r="AH86" s="30" cm="1">
        <f t="array" ref="AH86">DiasMesesGris(Q86:AB86)</f>
        <v>0</v>
      </c>
      <c r="AI86" s="30">
        <f t="shared" si="13"/>
        <v>0</v>
      </c>
      <c r="AJ86" s="30">
        <f t="shared" si="14"/>
        <v>360</v>
      </c>
      <c r="AK86" s="31">
        <f t="shared" si="15"/>
        <v>0</v>
      </c>
      <c r="AL86" s="32">
        <f t="shared" si="12"/>
        <v>0</v>
      </c>
    </row>
    <row r="87" spans="1:38" x14ac:dyDescent="0.25">
      <c r="A87" s="1" t="s">
        <v>282</v>
      </c>
      <c r="B87" s="1" t="s">
        <v>283</v>
      </c>
      <c r="C87" s="1" t="s">
        <v>284</v>
      </c>
      <c r="D87" s="3"/>
      <c r="E87" s="3"/>
      <c r="F87" s="5">
        <v>1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6">
        <v>0</v>
      </c>
      <c r="R87" s="6">
        <v>0</v>
      </c>
      <c r="S87" s="6">
        <v>2.9000000000000001E-2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7">
        <v>0</v>
      </c>
      <c r="AD87" s="35">
        <v>2.3999999999999998E-3</v>
      </c>
      <c r="AE87" s="35">
        <f t="shared" si="11"/>
        <v>0</v>
      </c>
      <c r="AF87" s="34" t="s">
        <v>35</v>
      </c>
      <c r="AG87" s="30" cm="1">
        <f t="array" ref="AG87">DIASQUIEBRE(Q87:AB87)</f>
        <v>0</v>
      </c>
      <c r="AH87" s="30" cm="1">
        <f t="array" ref="AH87">DiasMesesGris(Q87:AB87)</f>
        <v>0</v>
      </c>
      <c r="AI87" s="30">
        <f t="shared" si="13"/>
        <v>0</v>
      </c>
      <c r="AJ87" s="30">
        <f t="shared" si="14"/>
        <v>360</v>
      </c>
      <c r="AK87" s="31">
        <f t="shared" si="15"/>
        <v>1</v>
      </c>
      <c r="AL87" s="32">
        <f t="shared" si="12"/>
        <v>2.7777777777777779E-3</v>
      </c>
    </row>
    <row r="88" spans="1:38" x14ac:dyDescent="0.25">
      <c r="A88" s="1" t="s">
        <v>285</v>
      </c>
      <c r="B88" s="1" t="s">
        <v>286</v>
      </c>
      <c r="C88" s="1" t="s">
        <v>287</v>
      </c>
      <c r="D88" s="5">
        <v>7</v>
      </c>
      <c r="E88" s="5">
        <v>15</v>
      </c>
      <c r="F88" s="5">
        <v>2</v>
      </c>
      <c r="G88" s="5">
        <v>15</v>
      </c>
      <c r="H88" s="5">
        <v>17</v>
      </c>
      <c r="I88" s="5">
        <v>7</v>
      </c>
      <c r="J88" s="5">
        <v>15</v>
      </c>
      <c r="K88" s="3"/>
      <c r="L88" s="5">
        <v>33</v>
      </c>
      <c r="M88" s="3"/>
      <c r="N88" s="5">
        <v>23</v>
      </c>
      <c r="O88" s="5">
        <v>4</v>
      </c>
      <c r="P88" s="3"/>
      <c r="Q88" s="6">
        <v>0.2258</v>
      </c>
      <c r="R88" s="6">
        <v>0.4839</v>
      </c>
      <c r="S88" s="6">
        <v>5.8000000000000003E-2</v>
      </c>
      <c r="T88" s="6">
        <v>0.4839</v>
      </c>
      <c r="U88" s="6">
        <v>0.56669999999999998</v>
      </c>
      <c r="V88" s="6">
        <v>0.2258</v>
      </c>
      <c r="W88" s="6">
        <v>0.6048</v>
      </c>
      <c r="X88" s="6">
        <v>0</v>
      </c>
      <c r="Y88" s="6">
        <v>0.9677</v>
      </c>
      <c r="Z88" s="6">
        <v>0</v>
      </c>
      <c r="AA88" s="6">
        <v>0.70660000000000001</v>
      </c>
      <c r="AB88" s="6">
        <v>0.1159</v>
      </c>
      <c r="AC88" s="7">
        <v>0</v>
      </c>
      <c r="AD88" s="35">
        <v>0.36990000000000001</v>
      </c>
      <c r="AE88" s="35">
        <f t="shared" si="11"/>
        <v>0.37440000000000001</v>
      </c>
      <c r="AF88" s="34" t="s">
        <v>35</v>
      </c>
      <c r="AG88" s="30" cm="1">
        <f t="array" ref="AG88">DIASQUIEBRE(Q88:AB88)</f>
        <v>0</v>
      </c>
      <c r="AH88" s="30" cm="1">
        <f t="array" ref="AH88">DiasMesesGris(Q88:AB88)</f>
        <v>0</v>
      </c>
      <c r="AI88" s="30">
        <f t="shared" si="13"/>
        <v>0</v>
      </c>
      <c r="AJ88" s="30">
        <f t="shared" si="14"/>
        <v>360</v>
      </c>
      <c r="AK88" s="31">
        <f t="shared" si="15"/>
        <v>138</v>
      </c>
      <c r="AL88" s="32">
        <f t="shared" si="12"/>
        <v>0.38333333333333336</v>
      </c>
    </row>
    <row r="89" spans="1:38" x14ac:dyDescent="0.25">
      <c r="A89" s="1" t="s">
        <v>288</v>
      </c>
      <c r="B89" s="1" t="s">
        <v>289</v>
      </c>
      <c r="C89" s="1" t="s">
        <v>290</v>
      </c>
      <c r="D89" s="3"/>
      <c r="E89" s="5">
        <v>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7">
        <v>0</v>
      </c>
      <c r="AE89" s="35">
        <f t="shared" si="11"/>
        <v>0</v>
      </c>
      <c r="AF89" s="34" t="s">
        <v>35</v>
      </c>
      <c r="AG89" s="30" cm="1">
        <f t="array" ref="AG89">DIASQUIEBRE(Q89:AB89)</f>
        <v>0</v>
      </c>
      <c r="AH89" s="30" cm="1">
        <f t="array" ref="AH89">DiasMesesGris(Q89:AB89)</f>
        <v>360</v>
      </c>
      <c r="AI89" s="30">
        <f t="shared" si="13"/>
        <v>360</v>
      </c>
      <c r="AJ89" s="30">
        <f t="shared" si="14"/>
        <v>0</v>
      </c>
      <c r="AK89" s="31">
        <f t="shared" si="15"/>
        <v>1</v>
      </c>
      <c r="AL89" s="32">
        <f t="shared" si="12"/>
        <v>0</v>
      </c>
    </row>
    <row r="90" spans="1:38" x14ac:dyDescent="0.25">
      <c r="A90" s="1" t="s">
        <v>291</v>
      </c>
      <c r="B90" s="1" t="s">
        <v>292</v>
      </c>
      <c r="C90" s="1" t="s">
        <v>293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7">
        <v>0</v>
      </c>
      <c r="AE90" s="35">
        <f t="shared" si="11"/>
        <v>0</v>
      </c>
      <c r="AF90" s="34" t="s">
        <v>51</v>
      </c>
      <c r="AG90" s="30" cm="1">
        <f t="array" ref="AG90">DIASQUIEBRE(Q90:AB90)</f>
        <v>0</v>
      </c>
      <c r="AH90" s="30" cm="1">
        <f t="array" ref="AH90">DiasMesesGris(Q90:AB90)</f>
        <v>360</v>
      </c>
      <c r="AI90" s="30">
        <f t="shared" si="13"/>
        <v>360</v>
      </c>
      <c r="AJ90" s="30">
        <f t="shared" si="14"/>
        <v>0</v>
      </c>
      <c r="AK90" s="31">
        <f t="shared" si="15"/>
        <v>0</v>
      </c>
      <c r="AL90" s="32">
        <f t="shared" si="12"/>
        <v>0</v>
      </c>
    </row>
    <row r="91" spans="1:38" x14ac:dyDescent="0.25">
      <c r="A91" s="1" t="s">
        <v>294</v>
      </c>
      <c r="B91" s="1" t="s">
        <v>295</v>
      </c>
      <c r="C91" s="1" t="s">
        <v>296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7">
        <v>0</v>
      </c>
      <c r="AE91" s="35">
        <f t="shared" si="11"/>
        <v>0</v>
      </c>
      <c r="AF91" s="34" t="s">
        <v>51</v>
      </c>
      <c r="AG91" s="30" cm="1">
        <f t="array" ref="AG91">DIASQUIEBRE(Q91:AB91)</f>
        <v>0</v>
      </c>
      <c r="AH91" s="30" cm="1">
        <f t="array" ref="AH91">DiasMesesGris(Q91:AB91)</f>
        <v>0</v>
      </c>
      <c r="AI91" s="30">
        <f t="shared" si="13"/>
        <v>0</v>
      </c>
      <c r="AJ91" s="30">
        <f t="shared" si="14"/>
        <v>360</v>
      </c>
      <c r="AK91" s="31">
        <f t="shared" si="15"/>
        <v>0</v>
      </c>
      <c r="AL91" s="32">
        <f t="shared" si="12"/>
        <v>0</v>
      </c>
    </row>
    <row r="92" spans="1:38" x14ac:dyDescent="0.25">
      <c r="A92" s="1" t="s">
        <v>297</v>
      </c>
      <c r="B92" s="1" t="s">
        <v>298</v>
      </c>
      <c r="C92" s="1" t="s">
        <v>299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7">
        <v>0</v>
      </c>
      <c r="AE92" s="35">
        <f t="shared" si="11"/>
        <v>0</v>
      </c>
      <c r="AF92" s="34" t="s">
        <v>51</v>
      </c>
      <c r="AG92" s="30" cm="1">
        <f t="array" ref="AG92">DIASQUIEBRE(Q92:AB92)</f>
        <v>0</v>
      </c>
      <c r="AH92" s="30" cm="1">
        <f t="array" ref="AH92">DiasMesesGris(Q92:AB92)</f>
        <v>360</v>
      </c>
      <c r="AI92" s="30">
        <f t="shared" si="13"/>
        <v>360</v>
      </c>
      <c r="AJ92" s="30">
        <f t="shared" si="14"/>
        <v>0</v>
      </c>
      <c r="AK92" s="31">
        <f t="shared" si="15"/>
        <v>0</v>
      </c>
      <c r="AL92" s="32">
        <f t="shared" si="12"/>
        <v>0</v>
      </c>
    </row>
    <row r="93" spans="1:38" x14ac:dyDescent="0.25">
      <c r="A93" s="1" t="s">
        <v>300</v>
      </c>
      <c r="B93" s="1" t="s">
        <v>301</v>
      </c>
      <c r="C93" s="1" t="s">
        <v>302</v>
      </c>
      <c r="D93" s="5">
        <v>2698</v>
      </c>
      <c r="E93" s="5">
        <v>1496</v>
      </c>
      <c r="F93" s="5">
        <v>2642</v>
      </c>
      <c r="G93" s="5">
        <v>1253</v>
      </c>
      <c r="H93" s="5">
        <v>1500</v>
      </c>
      <c r="I93" s="5">
        <v>1612</v>
      </c>
      <c r="J93" s="5">
        <v>1819</v>
      </c>
      <c r="K93" s="5">
        <v>1715</v>
      </c>
      <c r="L93" s="5">
        <v>2394</v>
      </c>
      <c r="M93" s="5">
        <v>2155</v>
      </c>
      <c r="N93" s="5">
        <v>1402</v>
      </c>
      <c r="O93" s="5">
        <v>2035</v>
      </c>
      <c r="P93" s="5">
        <v>40</v>
      </c>
      <c r="Q93" s="6">
        <v>87.032300000000006</v>
      </c>
      <c r="R93" s="6">
        <v>48.258099999999999</v>
      </c>
      <c r="S93" s="6">
        <v>76.579700000000003</v>
      </c>
      <c r="T93" s="6">
        <v>40.419400000000003</v>
      </c>
      <c r="U93" s="6">
        <v>50</v>
      </c>
      <c r="V93" s="6">
        <v>52</v>
      </c>
      <c r="W93" s="6">
        <v>73.346800000000002</v>
      </c>
      <c r="X93" s="6">
        <v>72.058800000000005</v>
      </c>
      <c r="Y93" s="6">
        <v>70.205299999999994</v>
      </c>
      <c r="Z93" s="6">
        <v>79.814800000000005</v>
      </c>
      <c r="AA93" s="6">
        <v>43.072200000000002</v>
      </c>
      <c r="AB93" s="6">
        <v>58.985500000000002</v>
      </c>
      <c r="AC93" s="7">
        <v>1.2903</v>
      </c>
      <c r="AD93" s="35">
        <v>62.6477</v>
      </c>
      <c r="AE93" s="35">
        <f t="shared" si="11"/>
        <v>64.211914285714286</v>
      </c>
      <c r="AF93" s="34" t="s">
        <v>35</v>
      </c>
      <c r="AG93" s="30" cm="1">
        <f t="array" ref="AG93">DIASQUIEBRE(Q93:AB93)</f>
        <v>0</v>
      </c>
      <c r="AH93" s="30" cm="1">
        <f t="array" ref="AH93">DiasMesesGris(Q93:AB93)</f>
        <v>0</v>
      </c>
      <c r="AI93" s="30">
        <f t="shared" si="13"/>
        <v>0</v>
      </c>
      <c r="AJ93" s="30">
        <f t="shared" si="14"/>
        <v>360</v>
      </c>
      <c r="AK93" s="31">
        <f t="shared" si="15"/>
        <v>22721</v>
      </c>
      <c r="AL93" s="32">
        <f t="shared" si="12"/>
        <v>63.113888888888887</v>
      </c>
    </row>
    <row r="94" spans="1:38" x14ac:dyDescent="0.25">
      <c r="A94" s="1" t="s">
        <v>303</v>
      </c>
      <c r="B94" s="1" t="s">
        <v>304</v>
      </c>
      <c r="C94" s="1" t="s">
        <v>305</v>
      </c>
      <c r="D94" s="5">
        <v>1</v>
      </c>
      <c r="E94" s="5">
        <v>5</v>
      </c>
      <c r="F94" s="3"/>
      <c r="G94" s="5">
        <v>15</v>
      </c>
      <c r="H94" s="5">
        <v>5</v>
      </c>
      <c r="I94" s="5">
        <v>1</v>
      </c>
      <c r="J94" s="5">
        <v>2</v>
      </c>
      <c r="K94" s="3"/>
      <c r="L94" s="5">
        <v>1</v>
      </c>
      <c r="M94" s="3"/>
      <c r="N94" s="5">
        <v>1</v>
      </c>
      <c r="O94" s="3"/>
      <c r="P94" s="3"/>
      <c r="Q94" s="6">
        <v>3.2300000000000002E-2</v>
      </c>
      <c r="R94" s="6">
        <v>0.1613</v>
      </c>
      <c r="S94" s="6">
        <v>0</v>
      </c>
      <c r="T94" s="6">
        <v>0.4839</v>
      </c>
      <c r="U94" s="6">
        <v>0.16669999999999999</v>
      </c>
      <c r="V94" s="6">
        <v>3.2300000000000002E-2</v>
      </c>
      <c r="W94" s="6">
        <v>8.0600000000000005E-2</v>
      </c>
      <c r="X94" s="6">
        <v>0</v>
      </c>
      <c r="Y94" s="6">
        <v>2.93E-2</v>
      </c>
      <c r="Z94" s="6">
        <v>0</v>
      </c>
      <c r="AA94" s="6">
        <v>3.0700000000000002E-2</v>
      </c>
      <c r="AB94" s="6">
        <v>0</v>
      </c>
      <c r="AC94" s="7">
        <v>0</v>
      </c>
      <c r="AD94" s="35">
        <v>8.48E-2</v>
      </c>
      <c r="AE94" s="35">
        <f t="shared" si="11"/>
        <v>2.47E-2</v>
      </c>
      <c r="AF94" s="34" t="s">
        <v>35</v>
      </c>
      <c r="AG94" s="30" cm="1">
        <f t="array" ref="AG94">DIASQUIEBRE(Q94:AB94)</f>
        <v>0</v>
      </c>
      <c r="AH94" s="30" cm="1">
        <f t="array" ref="AH94">DiasMesesGris(Q94:AB94)</f>
        <v>0</v>
      </c>
      <c r="AI94" s="30">
        <f t="shared" si="13"/>
        <v>0</v>
      </c>
      <c r="AJ94" s="30">
        <f t="shared" si="14"/>
        <v>360</v>
      </c>
      <c r="AK94" s="31">
        <f t="shared" si="15"/>
        <v>31</v>
      </c>
      <c r="AL94" s="32">
        <f t="shared" si="12"/>
        <v>8.611111111111111E-2</v>
      </c>
    </row>
    <row r="95" spans="1:38" x14ac:dyDescent="0.25">
      <c r="A95" s="1" t="s">
        <v>306</v>
      </c>
      <c r="B95" s="1" t="s">
        <v>307</v>
      </c>
      <c r="C95" s="1" t="s">
        <v>308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7">
        <v>0</v>
      </c>
      <c r="AE95" s="35">
        <f t="shared" si="11"/>
        <v>0</v>
      </c>
      <c r="AF95" s="34" t="s">
        <v>51</v>
      </c>
      <c r="AG95" s="30" cm="1">
        <f t="array" ref="AG95">DIASQUIEBRE(Q95:AB95)</f>
        <v>0</v>
      </c>
      <c r="AH95" s="30" cm="1">
        <f t="array" ref="AH95">DiasMesesGris(Q95:AB95)</f>
        <v>360</v>
      </c>
      <c r="AI95" s="30">
        <f t="shared" si="13"/>
        <v>360</v>
      </c>
      <c r="AJ95" s="30">
        <f t="shared" si="14"/>
        <v>0</v>
      </c>
      <c r="AK95" s="31">
        <f t="shared" si="15"/>
        <v>0</v>
      </c>
      <c r="AL95" s="32">
        <f t="shared" si="12"/>
        <v>0</v>
      </c>
    </row>
    <row r="96" spans="1:38" x14ac:dyDescent="0.25">
      <c r="A96" s="1" t="s">
        <v>309</v>
      </c>
      <c r="B96" s="1" t="s">
        <v>310</v>
      </c>
      <c r="C96" s="1" t="s">
        <v>311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7">
        <v>0</v>
      </c>
      <c r="AE96" s="35">
        <f t="shared" si="11"/>
        <v>0</v>
      </c>
      <c r="AF96" s="34" t="s">
        <v>35</v>
      </c>
      <c r="AG96" s="30" cm="1">
        <f t="array" ref="AG96">DIASQUIEBRE(Q96:AB96)</f>
        <v>0</v>
      </c>
      <c r="AH96" s="30" cm="1">
        <f t="array" ref="AH96">DiasMesesGris(Q96:AB96)</f>
        <v>360</v>
      </c>
      <c r="AI96" s="30">
        <f t="shared" si="13"/>
        <v>360</v>
      </c>
      <c r="AJ96" s="30">
        <f t="shared" si="14"/>
        <v>0</v>
      </c>
      <c r="AK96" s="31">
        <f t="shared" si="15"/>
        <v>0</v>
      </c>
      <c r="AL96" s="32">
        <f t="shared" si="12"/>
        <v>0</v>
      </c>
    </row>
    <row r="97" spans="1:38" x14ac:dyDescent="0.25">
      <c r="A97" s="1" t="s">
        <v>312</v>
      </c>
      <c r="B97" s="1" t="s">
        <v>313</v>
      </c>
      <c r="C97" s="1" t="s">
        <v>314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7">
        <v>0</v>
      </c>
      <c r="AE97" s="35">
        <f t="shared" si="11"/>
        <v>0</v>
      </c>
      <c r="AF97" s="34" t="s">
        <v>35</v>
      </c>
      <c r="AG97" s="30" cm="1">
        <f t="array" ref="AG97">DIASQUIEBRE(Q97:AB97)</f>
        <v>0</v>
      </c>
      <c r="AH97" s="30" cm="1">
        <f t="array" ref="AH97">DiasMesesGris(Q97:AB97)</f>
        <v>360</v>
      </c>
      <c r="AI97" s="30">
        <f t="shared" si="13"/>
        <v>360</v>
      </c>
      <c r="AJ97" s="30">
        <f t="shared" si="14"/>
        <v>0</v>
      </c>
      <c r="AK97" s="31">
        <f t="shared" si="15"/>
        <v>0</v>
      </c>
      <c r="AL97" s="32">
        <f t="shared" si="12"/>
        <v>0</v>
      </c>
    </row>
    <row r="98" spans="1:38" x14ac:dyDescent="0.25">
      <c r="A98" s="1" t="s">
        <v>315</v>
      </c>
      <c r="B98" s="1" t="s">
        <v>316</v>
      </c>
      <c r="C98" s="1" t="s">
        <v>317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7">
        <v>0</v>
      </c>
      <c r="AE98" s="35">
        <f t="shared" si="11"/>
        <v>0</v>
      </c>
      <c r="AF98" s="34" t="s">
        <v>51</v>
      </c>
      <c r="AG98" s="30" cm="1">
        <f t="array" ref="AG98">DIASQUIEBRE(Q98:AB98)</f>
        <v>0</v>
      </c>
      <c r="AH98" s="30" cm="1">
        <f t="array" ref="AH98">DiasMesesGris(Q98:AB98)</f>
        <v>360</v>
      </c>
      <c r="AI98" s="30">
        <f t="shared" si="13"/>
        <v>360</v>
      </c>
      <c r="AJ98" s="30">
        <f t="shared" si="14"/>
        <v>0</v>
      </c>
      <c r="AK98" s="31">
        <f t="shared" si="15"/>
        <v>0</v>
      </c>
      <c r="AL98" s="32">
        <f t="shared" si="12"/>
        <v>0</v>
      </c>
    </row>
    <row r="99" spans="1:38" x14ac:dyDescent="0.25">
      <c r="A99" s="1" t="s">
        <v>318</v>
      </c>
      <c r="B99" s="1" t="s">
        <v>319</v>
      </c>
      <c r="C99" s="1" t="s">
        <v>320</v>
      </c>
      <c r="D99" s="3"/>
      <c r="E99" s="5">
        <v>2</v>
      </c>
      <c r="F99" s="5">
        <v>2</v>
      </c>
      <c r="G99" s="3"/>
      <c r="H99" s="3"/>
      <c r="I99" s="5">
        <v>1</v>
      </c>
      <c r="J99" s="3"/>
      <c r="K99" s="3"/>
      <c r="L99" s="3"/>
      <c r="M99" s="3"/>
      <c r="N99" s="3"/>
      <c r="O99" s="3"/>
      <c r="P99" s="3"/>
      <c r="Q99" s="6">
        <v>0</v>
      </c>
      <c r="R99" s="6">
        <v>6.4500000000000002E-2</v>
      </c>
      <c r="S99" s="8">
        <f t="shared" ref="S99" si="18">F99/30</f>
        <v>6.6666666666666666E-2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7">
        <v>0</v>
      </c>
      <c r="AD99" s="35">
        <v>3.2300000000000002E-2</v>
      </c>
      <c r="AE99" s="35">
        <f t="shared" si="11"/>
        <v>0</v>
      </c>
      <c r="AF99" s="34" t="s">
        <v>35</v>
      </c>
      <c r="AG99" s="30" cm="1">
        <f t="array" ref="AG99">DIASQUIEBRE(Q99:AB99)</f>
        <v>23</v>
      </c>
      <c r="AH99" s="30" cm="1">
        <f t="array" ref="AH99">DiasMesesGris(Q99:AB99)</f>
        <v>270</v>
      </c>
      <c r="AI99" s="30">
        <f t="shared" si="13"/>
        <v>293</v>
      </c>
      <c r="AJ99" s="30">
        <f t="shared" si="14"/>
        <v>67</v>
      </c>
      <c r="AK99" s="31">
        <f t="shared" si="15"/>
        <v>5</v>
      </c>
      <c r="AL99" s="32">
        <f t="shared" si="12"/>
        <v>7.4626865671641784E-2</v>
      </c>
    </row>
    <row r="100" spans="1:38" x14ac:dyDescent="0.25">
      <c r="A100" s="1" t="s">
        <v>321</v>
      </c>
      <c r="B100" s="1" t="s">
        <v>322</v>
      </c>
      <c r="C100" s="1" t="s">
        <v>323</v>
      </c>
      <c r="D100" s="3"/>
      <c r="E100" s="5">
        <v>2</v>
      </c>
      <c r="F100" s="3"/>
      <c r="G100" s="3"/>
      <c r="H100" s="3"/>
      <c r="I100" s="3"/>
      <c r="J100" s="3"/>
      <c r="K100" s="3"/>
      <c r="L100" s="3"/>
      <c r="M100" s="5">
        <v>1</v>
      </c>
      <c r="N100" s="3"/>
      <c r="O100" s="3"/>
      <c r="P100" s="3"/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7">
        <v>0</v>
      </c>
      <c r="AE100" s="35">
        <f t="shared" si="11"/>
        <v>0</v>
      </c>
      <c r="AF100" s="34" t="s">
        <v>35</v>
      </c>
      <c r="AG100" s="30" cm="1">
        <f t="array" ref="AG100">DIASQUIEBRE(Q100:AB100)</f>
        <v>0</v>
      </c>
      <c r="AH100" s="30" cm="1">
        <f t="array" ref="AH100">DiasMesesGris(Q100:AB100)</f>
        <v>360</v>
      </c>
      <c r="AI100" s="30">
        <f t="shared" si="13"/>
        <v>360</v>
      </c>
      <c r="AJ100" s="30">
        <f t="shared" si="14"/>
        <v>0</v>
      </c>
      <c r="AK100" s="31">
        <f t="shared" si="15"/>
        <v>3</v>
      </c>
      <c r="AL100" s="32">
        <f t="shared" si="12"/>
        <v>0</v>
      </c>
    </row>
    <row r="101" spans="1:38" x14ac:dyDescent="0.25">
      <c r="A101" s="1" t="s">
        <v>324</v>
      </c>
      <c r="B101" s="1" t="s">
        <v>325</v>
      </c>
      <c r="C101" s="1" t="s">
        <v>326</v>
      </c>
      <c r="D101" s="3"/>
      <c r="E101" s="5">
        <v>2</v>
      </c>
      <c r="F101" s="3"/>
      <c r="G101" s="3"/>
      <c r="H101" s="3"/>
      <c r="I101" s="3"/>
      <c r="J101" s="3"/>
      <c r="K101" s="3"/>
      <c r="L101" s="5">
        <v>1</v>
      </c>
      <c r="M101" s="3"/>
      <c r="N101" s="3"/>
      <c r="O101" s="3"/>
      <c r="P101" s="3"/>
      <c r="Q101" s="6">
        <v>0</v>
      </c>
      <c r="R101" s="6">
        <v>6.4500000000000002E-2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8">
        <f t="shared" ref="Y101" si="19">L101/30</f>
        <v>3.3333333333333333E-2</v>
      </c>
      <c r="Z101" s="9">
        <v>0</v>
      </c>
      <c r="AA101" s="9">
        <v>0</v>
      </c>
      <c r="AB101" s="9">
        <v>0</v>
      </c>
      <c r="AC101" s="7">
        <v>0</v>
      </c>
      <c r="AD101" s="35">
        <v>8.0999999999999996E-3</v>
      </c>
      <c r="AE101" s="35">
        <f t="shared" si="11"/>
        <v>4.7619047619047615E-3</v>
      </c>
      <c r="AF101" s="34" t="s">
        <v>35</v>
      </c>
      <c r="AG101" s="30" cm="1">
        <f t="array" ref="AG101">DIASQUIEBRE(Q101:AB101)</f>
        <v>21</v>
      </c>
      <c r="AH101" s="30" cm="1">
        <f t="array" ref="AH101">DiasMesesGris(Q101:AB101)</f>
        <v>90</v>
      </c>
      <c r="AI101" s="30">
        <f t="shared" si="13"/>
        <v>111</v>
      </c>
      <c r="AJ101" s="30">
        <f t="shared" si="14"/>
        <v>249</v>
      </c>
      <c r="AK101" s="31">
        <f t="shared" si="15"/>
        <v>3</v>
      </c>
      <c r="AL101" s="32">
        <f t="shared" si="12"/>
        <v>1.2048192771084338E-2</v>
      </c>
    </row>
    <row r="102" spans="1:38" x14ac:dyDescent="0.25">
      <c r="A102" s="1" t="s">
        <v>327</v>
      </c>
      <c r="B102" s="1" t="s">
        <v>328</v>
      </c>
      <c r="C102" s="1" t="s">
        <v>329</v>
      </c>
      <c r="D102" s="3"/>
      <c r="E102" s="5">
        <v>2</v>
      </c>
      <c r="F102" s="3"/>
      <c r="G102" s="3"/>
      <c r="H102" s="3"/>
      <c r="I102" s="3"/>
      <c r="J102" s="3"/>
      <c r="K102" s="3"/>
      <c r="L102" s="5">
        <v>1</v>
      </c>
      <c r="M102" s="3"/>
      <c r="N102" s="3"/>
      <c r="O102" s="3"/>
      <c r="P102" s="3"/>
      <c r="Q102" s="6">
        <v>0</v>
      </c>
      <c r="R102" s="8">
        <f t="shared" ref="R102" si="20">E102/30</f>
        <v>6.6666666666666666E-2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7">
        <v>0</v>
      </c>
      <c r="AE102" s="35">
        <f t="shared" si="11"/>
        <v>0</v>
      </c>
      <c r="AF102" s="34" t="s">
        <v>35</v>
      </c>
      <c r="AG102" s="30" cm="1">
        <f t="array" ref="AG102">DIASQUIEBRE(Q102:AB102)</f>
        <v>17</v>
      </c>
      <c r="AH102" s="30" cm="1">
        <f t="array" ref="AH102">DiasMesesGris(Q102:AB102)</f>
        <v>300</v>
      </c>
      <c r="AI102" s="30">
        <f t="shared" si="13"/>
        <v>317</v>
      </c>
      <c r="AJ102" s="30">
        <f t="shared" si="14"/>
        <v>43</v>
      </c>
      <c r="AK102" s="31">
        <f t="shared" si="15"/>
        <v>3</v>
      </c>
      <c r="AL102" s="32">
        <f t="shared" si="12"/>
        <v>6.9767441860465115E-2</v>
      </c>
    </row>
    <row r="103" spans="1:38" x14ac:dyDescent="0.25">
      <c r="A103" s="1" t="s">
        <v>330</v>
      </c>
      <c r="B103" s="1" t="s">
        <v>331</v>
      </c>
      <c r="C103" s="1" t="s">
        <v>332</v>
      </c>
      <c r="D103" s="5">
        <v>4</v>
      </c>
      <c r="E103" s="5">
        <v>8</v>
      </c>
      <c r="F103" s="5">
        <v>4</v>
      </c>
      <c r="G103" s="5">
        <v>5</v>
      </c>
      <c r="H103" s="5">
        <v>1</v>
      </c>
      <c r="I103" s="5">
        <v>2</v>
      </c>
      <c r="J103" s="5">
        <v>4</v>
      </c>
      <c r="K103" s="5">
        <v>4</v>
      </c>
      <c r="L103" s="5">
        <v>4</v>
      </c>
      <c r="M103" s="5">
        <v>7</v>
      </c>
      <c r="N103" s="5">
        <v>8</v>
      </c>
      <c r="O103" s="3"/>
      <c r="P103" s="3"/>
      <c r="Q103" s="6">
        <v>0.129</v>
      </c>
      <c r="R103" s="6">
        <v>0.2581</v>
      </c>
      <c r="S103" s="6">
        <v>0.1159</v>
      </c>
      <c r="T103" s="6">
        <v>0.1613</v>
      </c>
      <c r="U103" s="6">
        <v>3.3300000000000003E-2</v>
      </c>
      <c r="V103" s="6">
        <v>6.4500000000000002E-2</v>
      </c>
      <c r="W103" s="6">
        <v>0.1613</v>
      </c>
      <c r="X103" s="6">
        <v>0.1681</v>
      </c>
      <c r="Y103" s="6">
        <v>0.1173</v>
      </c>
      <c r="Z103" s="6">
        <v>0.25929999999999997</v>
      </c>
      <c r="AA103" s="6">
        <v>0.24579999999999999</v>
      </c>
      <c r="AB103" s="6">
        <v>0</v>
      </c>
      <c r="AC103" s="7">
        <v>0</v>
      </c>
      <c r="AD103" s="35">
        <v>0.14280000000000001</v>
      </c>
      <c r="AE103" s="35">
        <f t="shared" si="11"/>
        <v>0.14518571428571428</v>
      </c>
      <c r="AF103" s="34" t="s">
        <v>35</v>
      </c>
      <c r="AG103" s="30" cm="1">
        <f t="array" ref="AG103">DIASQUIEBRE(Q103:AB103)</f>
        <v>0</v>
      </c>
      <c r="AH103" s="30" cm="1">
        <f t="array" ref="AH103">DiasMesesGris(Q103:AB103)</f>
        <v>0</v>
      </c>
      <c r="AI103" s="30">
        <f t="shared" si="13"/>
        <v>0</v>
      </c>
      <c r="AJ103" s="30">
        <f t="shared" si="14"/>
        <v>360</v>
      </c>
      <c r="AK103" s="31">
        <f t="shared" si="15"/>
        <v>51</v>
      </c>
      <c r="AL103" s="32">
        <f t="shared" si="12"/>
        <v>0.14166666666666666</v>
      </c>
    </row>
    <row r="104" spans="1:38" x14ac:dyDescent="0.25">
      <c r="A104" s="1" t="s">
        <v>333</v>
      </c>
      <c r="B104" s="1" t="s">
        <v>334</v>
      </c>
      <c r="C104" s="1" t="s">
        <v>335</v>
      </c>
      <c r="D104" s="5">
        <v>2</v>
      </c>
      <c r="E104" s="5">
        <v>7</v>
      </c>
      <c r="F104" s="5">
        <v>4</v>
      </c>
      <c r="G104" s="5">
        <v>5</v>
      </c>
      <c r="H104" s="5">
        <v>2</v>
      </c>
      <c r="I104" s="5">
        <v>1</v>
      </c>
      <c r="J104" s="5">
        <v>7</v>
      </c>
      <c r="K104" s="5">
        <v>2</v>
      </c>
      <c r="L104" s="5">
        <v>4</v>
      </c>
      <c r="M104" s="5">
        <v>4</v>
      </c>
      <c r="N104" s="5">
        <v>7</v>
      </c>
      <c r="O104" s="3"/>
      <c r="P104" s="3"/>
      <c r="Q104" s="8">
        <f t="shared" ref="Q104" si="21">D104/30</f>
        <v>6.6666666666666666E-2</v>
      </c>
      <c r="R104" s="6">
        <v>0.2258</v>
      </c>
      <c r="S104" s="6">
        <v>0.1159</v>
      </c>
      <c r="T104" s="6">
        <v>0.1613</v>
      </c>
      <c r="U104" s="6">
        <v>6.6699999999999995E-2</v>
      </c>
      <c r="V104" s="6">
        <v>3.2300000000000002E-2</v>
      </c>
      <c r="W104" s="6">
        <v>0.2823</v>
      </c>
      <c r="X104" s="6">
        <v>8.4000000000000005E-2</v>
      </c>
      <c r="Y104" s="6">
        <v>0.1173</v>
      </c>
      <c r="Z104" s="6">
        <v>0.14810000000000001</v>
      </c>
      <c r="AA104" s="6">
        <v>0.21510000000000001</v>
      </c>
      <c r="AB104" s="6">
        <v>0</v>
      </c>
      <c r="AC104" s="7">
        <v>0</v>
      </c>
      <c r="AD104" s="35">
        <v>0.13170000000000001</v>
      </c>
      <c r="AE104" s="35">
        <f t="shared" si="11"/>
        <v>0.12558571428571427</v>
      </c>
      <c r="AF104" s="34" t="s">
        <v>35</v>
      </c>
      <c r="AG104" s="30" cm="1">
        <f t="array" ref="AG104">DIASQUIEBRE(Q104:AB104)</f>
        <v>20</v>
      </c>
      <c r="AH104" s="30" cm="1">
        <f t="array" ref="AH104">DiasMesesGris(Q104:AB104)</f>
        <v>0</v>
      </c>
      <c r="AI104" s="30">
        <f t="shared" si="13"/>
        <v>20</v>
      </c>
      <c r="AJ104" s="30">
        <f t="shared" si="14"/>
        <v>340</v>
      </c>
      <c r="AK104" s="31">
        <f t="shared" si="15"/>
        <v>45</v>
      </c>
      <c r="AL104" s="32">
        <f t="shared" si="12"/>
        <v>0.13235294117647059</v>
      </c>
    </row>
    <row r="105" spans="1:38" x14ac:dyDescent="0.25">
      <c r="A105" s="1" t="s">
        <v>336</v>
      </c>
      <c r="B105" s="1" t="s">
        <v>337</v>
      </c>
      <c r="C105" s="1" t="s">
        <v>338</v>
      </c>
      <c r="D105" s="5">
        <v>2</v>
      </c>
      <c r="E105" s="5">
        <v>8</v>
      </c>
      <c r="F105" s="5">
        <v>5</v>
      </c>
      <c r="G105" s="5">
        <v>6</v>
      </c>
      <c r="H105" s="5">
        <v>3</v>
      </c>
      <c r="I105" s="5">
        <v>1</v>
      </c>
      <c r="J105" s="5">
        <v>4</v>
      </c>
      <c r="K105" s="5">
        <v>2</v>
      </c>
      <c r="L105" s="5">
        <v>4</v>
      </c>
      <c r="M105" s="5">
        <v>6</v>
      </c>
      <c r="N105" s="5">
        <v>8</v>
      </c>
      <c r="O105" s="5">
        <v>1</v>
      </c>
      <c r="P105" s="3"/>
      <c r="Q105" s="6">
        <v>6.4500000000000002E-2</v>
      </c>
      <c r="R105" s="6">
        <v>0.2581</v>
      </c>
      <c r="S105" s="6">
        <v>0.1449</v>
      </c>
      <c r="T105" s="6">
        <v>0.19350000000000001</v>
      </c>
      <c r="U105" s="6">
        <v>0.1</v>
      </c>
      <c r="V105" s="6">
        <v>3.2300000000000002E-2</v>
      </c>
      <c r="W105" s="6">
        <v>0.1613</v>
      </c>
      <c r="X105" s="6">
        <v>8.4000000000000005E-2</v>
      </c>
      <c r="Y105" s="6">
        <v>0.1173</v>
      </c>
      <c r="Z105" s="6">
        <v>0.22220000000000001</v>
      </c>
      <c r="AA105" s="6">
        <v>0.24579999999999999</v>
      </c>
      <c r="AB105" s="6">
        <v>2.9000000000000001E-2</v>
      </c>
      <c r="AC105" s="7">
        <v>0</v>
      </c>
      <c r="AD105" s="35">
        <v>0.13769999999999999</v>
      </c>
      <c r="AE105" s="35">
        <f t="shared" si="11"/>
        <v>0.12741428571428573</v>
      </c>
      <c r="AF105" s="34" t="s">
        <v>35</v>
      </c>
      <c r="AG105" s="30" cm="1">
        <f t="array" ref="AG105">DIASQUIEBRE(Q105:AB105)</f>
        <v>0</v>
      </c>
      <c r="AH105" s="30" cm="1">
        <f t="array" ref="AH105">DiasMesesGris(Q105:AB105)</f>
        <v>0</v>
      </c>
      <c r="AI105" s="30">
        <f t="shared" si="13"/>
        <v>0</v>
      </c>
      <c r="AJ105" s="30">
        <f t="shared" si="14"/>
        <v>360</v>
      </c>
      <c r="AK105" s="31">
        <f t="shared" si="15"/>
        <v>50</v>
      </c>
      <c r="AL105" s="32">
        <f t="shared" si="12"/>
        <v>0.1388888888888889</v>
      </c>
    </row>
    <row r="106" spans="1:38" x14ac:dyDescent="0.25">
      <c r="A106" s="1" t="s">
        <v>339</v>
      </c>
      <c r="B106" s="1" t="s">
        <v>340</v>
      </c>
      <c r="C106" s="1" t="s">
        <v>341</v>
      </c>
      <c r="D106" s="5">
        <v>4</v>
      </c>
      <c r="E106" s="5">
        <v>6</v>
      </c>
      <c r="F106" s="5">
        <v>4</v>
      </c>
      <c r="G106" s="5">
        <v>6</v>
      </c>
      <c r="H106" s="5">
        <v>2</v>
      </c>
      <c r="I106" s="5">
        <v>2</v>
      </c>
      <c r="J106" s="5">
        <v>4</v>
      </c>
      <c r="K106" s="5">
        <v>4</v>
      </c>
      <c r="L106" s="5">
        <v>5</v>
      </c>
      <c r="M106" s="5">
        <v>7</v>
      </c>
      <c r="N106" s="5">
        <v>9</v>
      </c>
      <c r="O106" s="5">
        <v>1</v>
      </c>
      <c r="P106" s="3"/>
      <c r="Q106" s="6">
        <v>0.129</v>
      </c>
      <c r="R106" s="6">
        <v>0.19350000000000001</v>
      </c>
      <c r="S106" s="6">
        <v>0.1159</v>
      </c>
      <c r="T106" s="6">
        <v>0.19350000000000001</v>
      </c>
      <c r="U106" s="6">
        <v>6.6699999999999995E-2</v>
      </c>
      <c r="V106" s="6">
        <v>6.4500000000000002E-2</v>
      </c>
      <c r="W106" s="6">
        <v>0.1613</v>
      </c>
      <c r="X106" s="6">
        <v>0.1681</v>
      </c>
      <c r="Y106" s="6">
        <v>0.14660000000000001</v>
      </c>
      <c r="Z106" s="6">
        <v>0.25929999999999997</v>
      </c>
      <c r="AA106" s="6">
        <v>0.27650000000000002</v>
      </c>
      <c r="AB106" s="6">
        <v>2.9000000000000001E-2</v>
      </c>
      <c r="AC106" s="7">
        <v>0</v>
      </c>
      <c r="AD106" s="35">
        <v>0.15029999999999999</v>
      </c>
      <c r="AE106" s="35">
        <f t="shared" si="11"/>
        <v>0.15789999999999998</v>
      </c>
      <c r="AF106" s="34" t="s">
        <v>35</v>
      </c>
      <c r="AG106" s="30" cm="1">
        <f t="array" ref="AG106">DIASQUIEBRE(Q106:AB106)</f>
        <v>0</v>
      </c>
      <c r="AH106" s="30" cm="1">
        <f t="array" ref="AH106">DiasMesesGris(Q106:AB106)</f>
        <v>0</v>
      </c>
      <c r="AI106" s="30">
        <f t="shared" si="13"/>
        <v>0</v>
      </c>
      <c r="AJ106" s="30">
        <f t="shared" si="14"/>
        <v>360</v>
      </c>
      <c r="AK106" s="31">
        <f t="shared" si="15"/>
        <v>54</v>
      </c>
      <c r="AL106" s="32">
        <f t="shared" si="12"/>
        <v>0.15</v>
      </c>
    </row>
    <row r="107" spans="1:38" x14ac:dyDescent="0.25">
      <c r="A107" s="1" t="s">
        <v>342</v>
      </c>
      <c r="B107" s="1" t="s">
        <v>343</v>
      </c>
      <c r="C107" s="1" t="s">
        <v>344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7">
        <v>0</v>
      </c>
      <c r="AE107" s="35">
        <f t="shared" si="11"/>
        <v>0</v>
      </c>
      <c r="AF107" s="34" t="s">
        <v>51</v>
      </c>
      <c r="AG107" s="30" cm="1">
        <f t="array" ref="AG107">DIASQUIEBRE(Q107:AB107)</f>
        <v>0</v>
      </c>
      <c r="AH107" s="30" cm="1">
        <f t="array" ref="AH107">DiasMesesGris(Q107:AB107)</f>
        <v>360</v>
      </c>
      <c r="AI107" s="30">
        <f t="shared" si="13"/>
        <v>360</v>
      </c>
      <c r="AJ107" s="30">
        <f t="shared" si="14"/>
        <v>0</v>
      </c>
      <c r="AK107" s="31">
        <f t="shared" si="15"/>
        <v>0</v>
      </c>
      <c r="AL107" s="32">
        <f t="shared" si="12"/>
        <v>0</v>
      </c>
    </row>
    <row r="108" spans="1:38" x14ac:dyDescent="0.25">
      <c r="A108" s="1" t="s">
        <v>345</v>
      </c>
      <c r="B108" s="1" t="s">
        <v>346</v>
      </c>
      <c r="C108" s="1" t="s">
        <v>347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7">
        <v>0</v>
      </c>
      <c r="AE108" s="35">
        <f t="shared" si="11"/>
        <v>0</v>
      </c>
      <c r="AF108" s="34" t="s">
        <v>51</v>
      </c>
      <c r="AG108" s="30" cm="1">
        <f t="array" ref="AG108">DIASQUIEBRE(Q108:AB108)</f>
        <v>0</v>
      </c>
      <c r="AH108" s="30" cm="1">
        <f t="array" ref="AH108">DiasMesesGris(Q108:AB108)</f>
        <v>360</v>
      </c>
      <c r="AI108" s="30">
        <f t="shared" si="13"/>
        <v>360</v>
      </c>
      <c r="AJ108" s="30">
        <f t="shared" si="14"/>
        <v>0</v>
      </c>
      <c r="AK108" s="31">
        <f t="shared" si="15"/>
        <v>0</v>
      </c>
      <c r="AL108" s="32">
        <f t="shared" si="12"/>
        <v>0</v>
      </c>
    </row>
    <row r="109" spans="1:38" x14ac:dyDescent="0.25">
      <c r="A109" s="1" t="s">
        <v>348</v>
      </c>
      <c r="B109" s="1" t="s">
        <v>349</v>
      </c>
      <c r="C109" s="1" t="s">
        <v>350</v>
      </c>
      <c r="D109" s="5">
        <v>128</v>
      </c>
      <c r="E109" s="5">
        <v>150</v>
      </c>
      <c r="F109" s="5">
        <v>91</v>
      </c>
      <c r="G109" s="5">
        <v>65</v>
      </c>
      <c r="H109" s="5">
        <v>104</v>
      </c>
      <c r="I109" s="5">
        <v>100</v>
      </c>
      <c r="J109" s="5">
        <v>98</v>
      </c>
      <c r="K109" s="5">
        <v>86</v>
      </c>
      <c r="L109" s="5">
        <v>129</v>
      </c>
      <c r="M109" s="5">
        <v>52</v>
      </c>
      <c r="N109" s="5">
        <v>52</v>
      </c>
      <c r="O109" s="5">
        <v>104</v>
      </c>
      <c r="P109" s="5">
        <v>1</v>
      </c>
      <c r="Q109" s="6">
        <v>4.1289999999999996</v>
      </c>
      <c r="R109" s="6">
        <v>4.8387000000000002</v>
      </c>
      <c r="S109" s="6">
        <v>2.6377000000000002</v>
      </c>
      <c r="T109" s="6">
        <v>2.0968</v>
      </c>
      <c r="U109" s="6">
        <v>3.4666999999999999</v>
      </c>
      <c r="V109" s="6">
        <v>3.2258</v>
      </c>
      <c r="W109" s="6">
        <v>3.9516</v>
      </c>
      <c r="X109" s="6">
        <v>3.6133999999999999</v>
      </c>
      <c r="Y109" s="6">
        <v>3.7829999999999999</v>
      </c>
      <c r="Z109" s="6">
        <v>1.9258999999999999</v>
      </c>
      <c r="AA109" s="6">
        <v>1.5974999999999999</v>
      </c>
      <c r="AB109" s="6">
        <v>3.0145</v>
      </c>
      <c r="AC109" s="7">
        <v>3.2300000000000002E-2</v>
      </c>
      <c r="AD109" s="35">
        <v>3.1901000000000002</v>
      </c>
      <c r="AE109" s="35">
        <f t="shared" si="11"/>
        <v>3.0159571428571428</v>
      </c>
      <c r="AF109" s="34" t="s">
        <v>35</v>
      </c>
      <c r="AG109" s="30" cm="1">
        <f t="array" ref="AG109">DIASQUIEBRE(Q109:AB109)</f>
        <v>0</v>
      </c>
      <c r="AH109" s="30" cm="1">
        <f t="array" ref="AH109">DiasMesesGris(Q109:AB109)</f>
        <v>0</v>
      </c>
      <c r="AI109" s="30">
        <f t="shared" si="13"/>
        <v>0</v>
      </c>
      <c r="AJ109" s="30">
        <f t="shared" si="14"/>
        <v>360</v>
      </c>
      <c r="AK109" s="31">
        <f t="shared" si="15"/>
        <v>1159</v>
      </c>
      <c r="AL109" s="32">
        <f t="shared" si="12"/>
        <v>3.2194444444444446</v>
      </c>
    </row>
    <row r="110" spans="1:38" x14ac:dyDescent="0.25">
      <c r="A110" s="1" t="s">
        <v>351</v>
      </c>
      <c r="B110" s="1" t="s">
        <v>352</v>
      </c>
      <c r="C110" s="1" t="s">
        <v>353</v>
      </c>
      <c r="D110" s="5">
        <v>10</v>
      </c>
      <c r="E110" s="5">
        <v>7</v>
      </c>
      <c r="F110" s="5">
        <v>6</v>
      </c>
      <c r="G110" s="5">
        <v>22</v>
      </c>
      <c r="H110" s="5">
        <v>6</v>
      </c>
      <c r="I110" s="5">
        <v>10</v>
      </c>
      <c r="J110" s="5">
        <v>8</v>
      </c>
      <c r="K110" s="3"/>
      <c r="L110" s="5">
        <v>4</v>
      </c>
      <c r="M110" s="5">
        <v>14</v>
      </c>
      <c r="N110" s="5">
        <v>7</v>
      </c>
      <c r="O110" s="5">
        <v>6</v>
      </c>
      <c r="P110" s="3"/>
      <c r="Q110" s="6">
        <v>0.3226</v>
      </c>
      <c r="R110" s="6">
        <v>0.2258</v>
      </c>
      <c r="S110" s="6">
        <v>0.1739</v>
      </c>
      <c r="T110" s="6">
        <v>0.7097</v>
      </c>
      <c r="U110" s="6">
        <v>0.2</v>
      </c>
      <c r="V110" s="6">
        <v>0.3226</v>
      </c>
      <c r="W110" s="6">
        <v>0.3226</v>
      </c>
      <c r="X110" s="6">
        <v>0</v>
      </c>
      <c r="Y110" s="6">
        <v>0.1173</v>
      </c>
      <c r="Z110" s="6">
        <v>0.51849999999999996</v>
      </c>
      <c r="AA110" s="6">
        <v>0.21510000000000001</v>
      </c>
      <c r="AB110" s="6">
        <v>0.1739</v>
      </c>
      <c r="AC110" s="7">
        <v>0</v>
      </c>
      <c r="AD110" s="35">
        <v>0.2752</v>
      </c>
      <c r="AE110" s="35">
        <f t="shared" si="11"/>
        <v>0.23857142857142857</v>
      </c>
      <c r="AF110" s="34" t="s">
        <v>35</v>
      </c>
      <c r="AG110" s="30" cm="1">
        <f t="array" ref="AG110">DIASQUIEBRE(Q110:AB110)</f>
        <v>0</v>
      </c>
      <c r="AH110" s="30" cm="1">
        <f t="array" ref="AH110">DiasMesesGris(Q110:AB110)</f>
        <v>0</v>
      </c>
      <c r="AI110" s="30">
        <f t="shared" si="13"/>
        <v>0</v>
      </c>
      <c r="AJ110" s="30">
        <f t="shared" si="14"/>
        <v>360</v>
      </c>
      <c r="AK110" s="31">
        <f t="shared" si="15"/>
        <v>100</v>
      </c>
      <c r="AL110" s="32">
        <f t="shared" si="12"/>
        <v>0.27777777777777779</v>
      </c>
    </row>
    <row r="111" spans="1:38" x14ac:dyDescent="0.25">
      <c r="A111" s="1" t="s">
        <v>354</v>
      </c>
      <c r="B111" s="1" t="s">
        <v>355</v>
      </c>
      <c r="C111" s="1" t="s">
        <v>356</v>
      </c>
      <c r="D111" s="5">
        <v>223</v>
      </c>
      <c r="E111" s="5">
        <v>194</v>
      </c>
      <c r="F111" s="5">
        <v>496</v>
      </c>
      <c r="G111" s="5">
        <v>309</v>
      </c>
      <c r="H111" s="5">
        <v>168</v>
      </c>
      <c r="I111" s="5">
        <v>323</v>
      </c>
      <c r="J111" s="5">
        <v>170</v>
      </c>
      <c r="K111" s="5">
        <v>188</v>
      </c>
      <c r="L111" s="5">
        <v>308</v>
      </c>
      <c r="M111" s="5">
        <v>217</v>
      </c>
      <c r="N111" s="5">
        <v>160</v>
      </c>
      <c r="O111" s="5">
        <v>254</v>
      </c>
      <c r="P111" s="5">
        <v>26</v>
      </c>
      <c r="Q111" s="6">
        <v>7.1935000000000002</v>
      </c>
      <c r="R111" s="6">
        <v>6.2580999999999998</v>
      </c>
      <c r="S111" s="6">
        <v>14.376799999999999</v>
      </c>
      <c r="T111" s="6">
        <v>9.9677000000000007</v>
      </c>
      <c r="U111" s="6">
        <v>5.6</v>
      </c>
      <c r="V111" s="6">
        <v>10.4194</v>
      </c>
      <c r="W111" s="6">
        <v>6.8548</v>
      </c>
      <c r="X111" s="6">
        <v>7.8992000000000004</v>
      </c>
      <c r="Y111" s="6">
        <v>9.0322999999999993</v>
      </c>
      <c r="Z111" s="6">
        <v>8.0370000000000008</v>
      </c>
      <c r="AA111" s="6">
        <v>4.9154999999999998</v>
      </c>
      <c r="AB111" s="6">
        <v>7.3623000000000003</v>
      </c>
      <c r="AC111" s="7">
        <v>0.8387</v>
      </c>
      <c r="AD111" s="35">
        <v>8.1597000000000008</v>
      </c>
      <c r="AE111" s="35">
        <f t="shared" si="11"/>
        <v>7.7886428571428565</v>
      </c>
      <c r="AF111" s="34" t="s">
        <v>35</v>
      </c>
      <c r="AG111" s="30" cm="1">
        <f t="array" ref="AG111">DIASQUIEBRE(Q111:AB111)</f>
        <v>0</v>
      </c>
      <c r="AH111" s="30" cm="1">
        <f t="array" ref="AH111">DiasMesesGris(Q111:AB111)</f>
        <v>0</v>
      </c>
      <c r="AI111" s="30">
        <f t="shared" si="13"/>
        <v>0</v>
      </c>
      <c r="AJ111" s="30">
        <f t="shared" si="14"/>
        <v>360</v>
      </c>
      <c r="AK111" s="31">
        <f t="shared" si="15"/>
        <v>3010</v>
      </c>
      <c r="AL111" s="32">
        <f t="shared" si="12"/>
        <v>8.3611111111111107</v>
      </c>
    </row>
    <row r="112" spans="1:38" x14ac:dyDescent="0.25">
      <c r="A112" s="1" t="s">
        <v>357</v>
      </c>
      <c r="B112" s="1" t="s">
        <v>358</v>
      </c>
      <c r="C112" s="1" t="s">
        <v>359</v>
      </c>
      <c r="D112" s="5">
        <v>1</v>
      </c>
      <c r="E112" s="3"/>
      <c r="F112" s="5">
        <v>2</v>
      </c>
      <c r="G112" s="3"/>
      <c r="H112" s="5">
        <v>6</v>
      </c>
      <c r="I112" s="5">
        <v>4</v>
      </c>
      <c r="J112" s="3"/>
      <c r="K112" s="3"/>
      <c r="L112" s="5">
        <v>2</v>
      </c>
      <c r="M112" s="5">
        <v>9</v>
      </c>
      <c r="N112" s="5">
        <v>3</v>
      </c>
      <c r="O112" s="3"/>
      <c r="P112" s="3"/>
      <c r="Q112" s="6">
        <v>3.2300000000000002E-2</v>
      </c>
      <c r="R112" s="6">
        <v>0</v>
      </c>
      <c r="S112" s="6">
        <v>5.8000000000000003E-2</v>
      </c>
      <c r="T112" s="6">
        <v>0</v>
      </c>
      <c r="U112" s="6">
        <v>0.2</v>
      </c>
      <c r="V112" s="6">
        <v>0.129</v>
      </c>
      <c r="W112" s="6">
        <v>0</v>
      </c>
      <c r="X112" s="6">
        <v>0</v>
      </c>
      <c r="Y112" s="6">
        <v>5.8700000000000002E-2</v>
      </c>
      <c r="Z112" s="6">
        <v>0.33329999999999999</v>
      </c>
      <c r="AA112" s="8">
        <f t="shared" ref="AA112" si="22">N112/30</f>
        <v>0.1</v>
      </c>
      <c r="AB112" s="9">
        <v>0</v>
      </c>
      <c r="AC112" s="7">
        <v>0</v>
      </c>
      <c r="AD112" s="35">
        <v>8.1100000000000005E-2</v>
      </c>
      <c r="AE112" s="35">
        <f t="shared" si="11"/>
        <v>8.8714285714285718E-2</v>
      </c>
      <c r="AF112" s="34" t="s">
        <v>35</v>
      </c>
      <c r="AG112" s="30" cm="1">
        <f t="array" ref="AG112">DIASQUIEBRE(Q112:AB112)</f>
        <v>21</v>
      </c>
      <c r="AH112" s="30" cm="1">
        <f t="array" ref="AH112">DiasMesesGris(Q112:AB112)</f>
        <v>30</v>
      </c>
      <c r="AI112" s="30">
        <f t="shared" si="13"/>
        <v>51</v>
      </c>
      <c r="AJ112" s="30">
        <f t="shared" si="14"/>
        <v>309</v>
      </c>
      <c r="AK112" s="31">
        <f t="shared" si="15"/>
        <v>27</v>
      </c>
      <c r="AL112" s="32">
        <f t="shared" si="12"/>
        <v>8.7378640776699032E-2</v>
      </c>
    </row>
    <row r="113" spans="1:38" x14ac:dyDescent="0.25">
      <c r="A113" s="1" t="s">
        <v>360</v>
      </c>
      <c r="B113" s="1" t="s">
        <v>361</v>
      </c>
      <c r="C113" s="1" t="s">
        <v>362</v>
      </c>
      <c r="D113" s="5">
        <v>2</v>
      </c>
      <c r="E113" s="3"/>
      <c r="F113" s="3"/>
      <c r="G113" s="3"/>
      <c r="H113" s="3"/>
      <c r="I113" s="3"/>
      <c r="J113" s="5">
        <v>1</v>
      </c>
      <c r="K113" s="5">
        <v>2</v>
      </c>
      <c r="L113" s="5">
        <v>2</v>
      </c>
      <c r="M113" s="5">
        <v>2</v>
      </c>
      <c r="N113" s="3"/>
      <c r="O113" s="3"/>
      <c r="P113" s="3"/>
      <c r="Q113" s="6">
        <v>6.4500000000000002E-2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4.0300000000000002E-2</v>
      </c>
      <c r="X113" s="6">
        <v>8.4000000000000005E-2</v>
      </c>
      <c r="Y113" s="6">
        <v>5.8700000000000002E-2</v>
      </c>
      <c r="Z113" s="6">
        <v>7.4099999999999999E-2</v>
      </c>
      <c r="AA113" s="6">
        <v>0</v>
      </c>
      <c r="AB113" s="6">
        <v>0</v>
      </c>
      <c r="AC113" s="7">
        <v>0</v>
      </c>
      <c r="AD113" s="35">
        <v>2.6800000000000001E-2</v>
      </c>
      <c r="AE113" s="35">
        <f t="shared" si="11"/>
        <v>3.672857142857143E-2</v>
      </c>
      <c r="AF113" s="34" t="s">
        <v>35</v>
      </c>
      <c r="AG113" s="30" cm="1">
        <f t="array" ref="AG113">DIASQUIEBRE(Q113:AB113)</f>
        <v>0</v>
      </c>
      <c r="AH113" s="30" cm="1">
        <f t="array" ref="AH113">DiasMesesGris(Q113:AB113)</f>
        <v>0</v>
      </c>
      <c r="AI113" s="30">
        <f t="shared" si="13"/>
        <v>0</v>
      </c>
      <c r="AJ113" s="30">
        <f t="shared" si="14"/>
        <v>360</v>
      </c>
      <c r="AK113" s="31">
        <f t="shared" si="15"/>
        <v>9</v>
      </c>
      <c r="AL113" s="32">
        <f t="shared" si="12"/>
        <v>2.5000000000000001E-2</v>
      </c>
    </row>
    <row r="114" spans="1:38" x14ac:dyDescent="0.25">
      <c r="A114" s="1" t="s">
        <v>363</v>
      </c>
      <c r="B114" s="1" t="s">
        <v>364</v>
      </c>
      <c r="C114" s="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7">
        <v>0</v>
      </c>
      <c r="AE114" s="35">
        <f t="shared" si="11"/>
        <v>0</v>
      </c>
      <c r="AF114" s="34" t="s">
        <v>51</v>
      </c>
      <c r="AG114" s="30" cm="1">
        <f t="array" ref="AG114">DIASQUIEBRE(Q114:AB114)</f>
        <v>0</v>
      </c>
      <c r="AH114" s="30" cm="1">
        <f t="array" ref="AH114">DiasMesesGris(Q114:AB114)</f>
        <v>360</v>
      </c>
      <c r="AI114" s="30">
        <f t="shared" si="13"/>
        <v>360</v>
      </c>
      <c r="AJ114" s="30">
        <f t="shared" si="14"/>
        <v>0</v>
      </c>
      <c r="AK114" s="31">
        <f t="shared" si="15"/>
        <v>0</v>
      </c>
      <c r="AL114" s="32">
        <f t="shared" si="12"/>
        <v>0</v>
      </c>
    </row>
    <row r="115" spans="1:38" x14ac:dyDescent="0.25">
      <c r="A115" s="1" t="s">
        <v>365</v>
      </c>
      <c r="B115" s="1" t="s">
        <v>366</v>
      </c>
      <c r="C115" s="1" t="s">
        <v>367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7">
        <v>0</v>
      </c>
      <c r="AE115" s="35">
        <f t="shared" si="11"/>
        <v>0</v>
      </c>
      <c r="AF115" s="34" t="s">
        <v>35</v>
      </c>
      <c r="AG115" s="30" cm="1">
        <f t="array" ref="AG115">DIASQUIEBRE(Q115:AB115)</f>
        <v>0</v>
      </c>
      <c r="AH115" s="30" cm="1">
        <f t="array" ref="AH115">DiasMesesGris(Q115:AB115)</f>
        <v>360</v>
      </c>
      <c r="AI115" s="30">
        <f t="shared" si="13"/>
        <v>360</v>
      </c>
      <c r="AJ115" s="30">
        <f t="shared" si="14"/>
        <v>0</v>
      </c>
      <c r="AK115" s="31">
        <f t="shared" si="15"/>
        <v>0</v>
      </c>
      <c r="AL115" s="32">
        <f t="shared" si="12"/>
        <v>0</v>
      </c>
    </row>
    <row r="116" spans="1:38" x14ac:dyDescent="0.25">
      <c r="A116" s="1" t="s">
        <v>368</v>
      </c>
      <c r="B116" s="1" t="s">
        <v>369</v>
      </c>
      <c r="C116" s="1" t="s">
        <v>370</v>
      </c>
      <c r="D116" s="3"/>
      <c r="E116" s="3"/>
      <c r="F116" s="3"/>
      <c r="G116" s="5">
        <v>5</v>
      </c>
      <c r="H116" s="3"/>
      <c r="I116" s="3"/>
      <c r="J116" s="3"/>
      <c r="K116" s="3"/>
      <c r="L116" s="3"/>
      <c r="M116" s="3"/>
      <c r="N116" s="3"/>
      <c r="O116" s="3"/>
      <c r="P116" s="3"/>
      <c r="Q116" s="6">
        <v>0</v>
      </c>
      <c r="R116" s="6">
        <v>0</v>
      </c>
      <c r="S116" s="6">
        <v>0</v>
      </c>
      <c r="T116" s="6">
        <v>0.1613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7">
        <v>0</v>
      </c>
      <c r="AD116" s="35">
        <v>1.34E-2</v>
      </c>
      <c r="AE116" s="35">
        <f t="shared" si="11"/>
        <v>0</v>
      </c>
      <c r="AF116" s="34" t="s">
        <v>35</v>
      </c>
      <c r="AG116" s="30" cm="1">
        <f t="array" ref="AG116">DIASQUIEBRE(Q116:AB116)</f>
        <v>0</v>
      </c>
      <c r="AH116" s="30" cm="1">
        <f t="array" ref="AH116">DiasMesesGris(Q116:AB116)</f>
        <v>0</v>
      </c>
      <c r="AI116" s="30">
        <f t="shared" si="13"/>
        <v>0</v>
      </c>
      <c r="AJ116" s="30">
        <f t="shared" si="14"/>
        <v>360</v>
      </c>
      <c r="AK116" s="31">
        <f t="shared" si="15"/>
        <v>5</v>
      </c>
      <c r="AL116" s="32">
        <f t="shared" si="12"/>
        <v>1.3888888888888888E-2</v>
      </c>
    </row>
    <row r="117" spans="1:38" x14ac:dyDescent="0.25">
      <c r="A117" s="1" t="s">
        <v>371</v>
      </c>
      <c r="B117" s="1" t="s">
        <v>372</v>
      </c>
      <c r="C117" s="1" t="s">
        <v>373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7">
        <v>0</v>
      </c>
      <c r="AE117" s="35">
        <f t="shared" si="11"/>
        <v>0</v>
      </c>
      <c r="AF117" s="34" t="s">
        <v>35</v>
      </c>
      <c r="AG117" s="30" cm="1">
        <f t="array" ref="AG117">DIASQUIEBRE(Q117:AB117)</f>
        <v>0</v>
      </c>
      <c r="AH117" s="30" cm="1">
        <f t="array" ref="AH117">DiasMesesGris(Q117:AB117)</f>
        <v>360</v>
      </c>
      <c r="AI117" s="30">
        <f t="shared" si="13"/>
        <v>360</v>
      </c>
      <c r="AJ117" s="30">
        <f t="shared" si="14"/>
        <v>0</v>
      </c>
      <c r="AK117" s="31">
        <f t="shared" si="15"/>
        <v>0</v>
      </c>
      <c r="AL117" s="32">
        <f t="shared" si="12"/>
        <v>0</v>
      </c>
    </row>
    <row r="118" spans="1:38" x14ac:dyDescent="0.25">
      <c r="A118" s="1" t="s">
        <v>374</v>
      </c>
      <c r="B118" s="1" t="s">
        <v>375</v>
      </c>
      <c r="C118" s="1" t="s">
        <v>376</v>
      </c>
      <c r="D118" s="3"/>
      <c r="E118" s="3"/>
      <c r="F118" s="3"/>
      <c r="G118" s="5">
        <v>5</v>
      </c>
      <c r="H118" s="3"/>
      <c r="I118" s="3"/>
      <c r="J118" s="3"/>
      <c r="K118" s="3"/>
      <c r="L118" s="3"/>
      <c r="M118" s="3"/>
      <c r="N118" s="3"/>
      <c r="O118" s="3"/>
      <c r="P118" s="3"/>
      <c r="Q118" s="6">
        <v>0</v>
      </c>
      <c r="R118" s="6">
        <v>0</v>
      </c>
      <c r="S118" s="6">
        <v>0</v>
      </c>
      <c r="T118" s="8">
        <f t="shared" ref="T118" si="23">G118/30</f>
        <v>0.16666666666666666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7">
        <v>0</v>
      </c>
      <c r="AE118" s="35">
        <f t="shared" si="11"/>
        <v>0</v>
      </c>
      <c r="AF118" s="34" t="s">
        <v>35</v>
      </c>
      <c r="AG118" s="30" cm="1">
        <f t="array" ref="AG118">DIASQUIEBRE(Q118:AB118)</f>
        <v>5</v>
      </c>
      <c r="AH118" s="30" cm="1">
        <f t="array" ref="AH118">DiasMesesGris(Q118:AB118)</f>
        <v>240</v>
      </c>
      <c r="AI118" s="30">
        <f t="shared" si="13"/>
        <v>245</v>
      </c>
      <c r="AJ118" s="30">
        <f t="shared" si="14"/>
        <v>115</v>
      </c>
      <c r="AK118" s="31">
        <f t="shared" si="15"/>
        <v>5</v>
      </c>
      <c r="AL118" s="32">
        <f t="shared" si="12"/>
        <v>4.3478260869565216E-2</v>
      </c>
    </row>
    <row r="119" spans="1:38" x14ac:dyDescent="0.25">
      <c r="A119" s="1" t="s">
        <v>377</v>
      </c>
      <c r="B119" s="1" t="s">
        <v>378</v>
      </c>
      <c r="C119" s="1" t="s">
        <v>379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7">
        <v>0</v>
      </c>
      <c r="AE119" s="35">
        <f t="shared" si="11"/>
        <v>0</v>
      </c>
      <c r="AF119" s="34" t="s">
        <v>35</v>
      </c>
      <c r="AG119" s="30" cm="1">
        <f t="array" ref="AG119">DIASQUIEBRE(Q119:AB119)</f>
        <v>0</v>
      </c>
      <c r="AH119" s="30" cm="1">
        <f t="array" ref="AH119">DiasMesesGris(Q119:AB119)</f>
        <v>360</v>
      </c>
      <c r="AI119" s="30">
        <f t="shared" si="13"/>
        <v>360</v>
      </c>
      <c r="AJ119" s="30">
        <f t="shared" si="14"/>
        <v>0</v>
      </c>
      <c r="AK119" s="31">
        <f t="shared" si="15"/>
        <v>0</v>
      </c>
      <c r="AL119" s="32">
        <f t="shared" si="12"/>
        <v>0</v>
      </c>
    </row>
    <row r="120" spans="1:38" x14ac:dyDescent="0.25">
      <c r="A120" s="1" t="s">
        <v>380</v>
      </c>
      <c r="B120" s="1" t="s">
        <v>381</v>
      </c>
      <c r="C120" s="1" t="s">
        <v>382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7">
        <v>0</v>
      </c>
      <c r="AE120" s="35">
        <f t="shared" si="11"/>
        <v>0</v>
      </c>
      <c r="AF120" s="34" t="s">
        <v>51</v>
      </c>
      <c r="AG120" s="30" cm="1">
        <f t="array" ref="AG120">DIASQUIEBRE(Q120:AB120)</f>
        <v>0</v>
      </c>
      <c r="AH120" s="30" cm="1">
        <f t="array" ref="AH120">DiasMesesGris(Q120:AB120)</f>
        <v>360</v>
      </c>
      <c r="AI120" s="30">
        <f t="shared" si="13"/>
        <v>360</v>
      </c>
      <c r="AJ120" s="30">
        <f t="shared" si="14"/>
        <v>0</v>
      </c>
      <c r="AK120" s="31">
        <f t="shared" si="15"/>
        <v>0</v>
      </c>
      <c r="AL120" s="32">
        <f t="shared" si="12"/>
        <v>0</v>
      </c>
    </row>
    <row r="121" spans="1:38" x14ac:dyDescent="0.25">
      <c r="A121" s="1" t="s">
        <v>383</v>
      </c>
      <c r="B121" s="1" t="s">
        <v>384</v>
      </c>
      <c r="C121" s="1" t="s">
        <v>385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7">
        <v>0</v>
      </c>
      <c r="AE121" s="35">
        <f t="shared" si="11"/>
        <v>0</v>
      </c>
      <c r="AF121" s="34" t="s">
        <v>35</v>
      </c>
      <c r="AG121" s="30" cm="1">
        <f t="array" ref="AG121">DIASQUIEBRE(Q121:AB121)</f>
        <v>0</v>
      </c>
      <c r="AH121" s="30" cm="1">
        <f t="array" ref="AH121">DiasMesesGris(Q121:AB121)</f>
        <v>0</v>
      </c>
      <c r="AI121" s="30">
        <f t="shared" si="13"/>
        <v>0</v>
      </c>
      <c r="AJ121" s="30">
        <f t="shared" si="14"/>
        <v>360</v>
      </c>
      <c r="AK121" s="31">
        <f t="shared" si="15"/>
        <v>0</v>
      </c>
      <c r="AL121" s="32">
        <f t="shared" si="12"/>
        <v>0</v>
      </c>
    </row>
    <row r="122" spans="1:38" x14ac:dyDescent="0.25">
      <c r="A122" s="1" t="s">
        <v>386</v>
      </c>
      <c r="B122" s="1" t="s">
        <v>387</v>
      </c>
      <c r="C122" s="1" t="s">
        <v>388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7">
        <v>0</v>
      </c>
      <c r="AE122" s="35">
        <f t="shared" si="11"/>
        <v>0</v>
      </c>
      <c r="AF122" s="34" t="s">
        <v>51</v>
      </c>
      <c r="AG122" s="30" cm="1">
        <f t="array" ref="AG122">DIASQUIEBRE(Q122:AB122)</f>
        <v>0</v>
      </c>
      <c r="AH122" s="30" cm="1">
        <f t="array" ref="AH122">DiasMesesGris(Q122:AB122)</f>
        <v>360</v>
      </c>
      <c r="AI122" s="30">
        <f t="shared" si="13"/>
        <v>360</v>
      </c>
      <c r="AJ122" s="30">
        <f t="shared" si="14"/>
        <v>0</v>
      </c>
      <c r="AK122" s="31">
        <f t="shared" si="15"/>
        <v>0</v>
      </c>
      <c r="AL122" s="32">
        <f t="shared" si="12"/>
        <v>0</v>
      </c>
    </row>
    <row r="123" spans="1:38" x14ac:dyDescent="0.25">
      <c r="A123" s="1" t="s">
        <v>389</v>
      </c>
      <c r="B123" s="1" t="s">
        <v>390</v>
      </c>
      <c r="C123" s="1" t="s">
        <v>391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7">
        <v>0</v>
      </c>
      <c r="AE123" s="35">
        <f t="shared" si="11"/>
        <v>0</v>
      </c>
      <c r="AF123" s="34" t="s">
        <v>51</v>
      </c>
      <c r="AG123" s="30" cm="1">
        <f t="array" ref="AG123">DIASQUIEBRE(Q123:AB123)</f>
        <v>0</v>
      </c>
      <c r="AH123" s="30" cm="1">
        <f t="array" ref="AH123">DiasMesesGris(Q123:AB123)</f>
        <v>360</v>
      </c>
      <c r="AI123" s="30">
        <f t="shared" si="13"/>
        <v>360</v>
      </c>
      <c r="AJ123" s="30">
        <f t="shared" si="14"/>
        <v>0</v>
      </c>
      <c r="AK123" s="31">
        <f t="shared" si="15"/>
        <v>0</v>
      </c>
      <c r="AL123" s="32">
        <f t="shared" si="12"/>
        <v>0</v>
      </c>
    </row>
    <row r="124" spans="1:38" x14ac:dyDescent="0.25">
      <c r="A124" s="1" t="s">
        <v>392</v>
      </c>
      <c r="B124" s="1" t="s">
        <v>393</v>
      </c>
      <c r="C124" s="1" t="s">
        <v>394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7">
        <v>0</v>
      </c>
      <c r="AE124" s="35">
        <f t="shared" si="11"/>
        <v>0</v>
      </c>
      <c r="AF124" s="34" t="s">
        <v>51</v>
      </c>
      <c r="AG124" s="30" cm="1">
        <f t="array" ref="AG124">DIASQUIEBRE(Q124:AB124)</f>
        <v>0</v>
      </c>
      <c r="AH124" s="30" cm="1">
        <f t="array" ref="AH124">DiasMesesGris(Q124:AB124)</f>
        <v>360</v>
      </c>
      <c r="AI124" s="30">
        <f t="shared" si="13"/>
        <v>360</v>
      </c>
      <c r="AJ124" s="30">
        <f t="shared" si="14"/>
        <v>0</v>
      </c>
      <c r="AK124" s="31">
        <f t="shared" si="15"/>
        <v>0</v>
      </c>
      <c r="AL124" s="32">
        <f t="shared" si="12"/>
        <v>0</v>
      </c>
    </row>
    <row r="125" spans="1:38" x14ac:dyDescent="0.25">
      <c r="A125" s="1" t="s">
        <v>395</v>
      </c>
      <c r="B125" s="1" t="s">
        <v>396</v>
      </c>
      <c r="C125" s="1" t="s">
        <v>397</v>
      </c>
      <c r="D125" s="5">
        <v>717</v>
      </c>
      <c r="E125" s="5">
        <v>601</v>
      </c>
      <c r="F125" s="5">
        <v>974</v>
      </c>
      <c r="G125" s="5">
        <v>691</v>
      </c>
      <c r="H125" s="5">
        <v>376</v>
      </c>
      <c r="I125" s="5">
        <v>432</v>
      </c>
      <c r="J125" s="5">
        <v>679</v>
      </c>
      <c r="K125" s="5">
        <v>324</v>
      </c>
      <c r="L125" s="5">
        <v>574</v>
      </c>
      <c r="M125" s="5">
        <v>471</v>
      </c>
      <c r="N125" s="5">
        <v>606</v>
      </c>
      <c r="O125" s="5">
        <v>628</v>
      </c>
      <c r="P125" s="5">
        <v>55</v>
      </c>
      <c r="Q125" s="6">
        <v>23.129000000000001</v>
      </c>
      <c r="R125" s="6">
        <v>19.3871</v>
      </c>
      <c r="S125" s="6">
        <v>28.2319</v>
      </c>
      <c r="T125" s="6">
        <v>22.290299999999998</v>
      </c>
      <c r="U125" s="6">
        <v>12.533300000000001</v>
      </c>
      <c r="V125" s="6">
        <v>13.935499999999999</v>
      </c>
      <c r="W125" s="6">
        <v>27.379000000000001</v>
      </c>
      <c r="X125" s="6">
        <v>13.6134</v>
      </c>
      <c r="Y125" s="6">
        <v>16.832799999999999</v>
      </c>
      <c r="Z125" s="6">
        <v>17.444400000000002</v>
      </c>
      <c r="AA125" s="6">
        <v>18.6175</v>
      </c>
      <c r="AB125" s="6">
        <v>18.2029</v>
      </c>
      <c r="AC125" s="7">
        <v>1.7742</v>
      </c>
      <c r="AD125" s="35">
        <v>19.299800000000001</v>
      </c>
      <c r="AE125" s="35">
        <f t="shared" si="11"/>
        <v>18.003642857142857</v>
      </c>
      <c r="AF125" s="34" t="s">
        <v>35</v>
      </c>
      <c r="AG125" s="30" cm="1">
        <f t="array" ref="AG125">DIASQUIEBRE(Q125:AB125)</f>
        <v>0</v>
      </c>
      <c r="AH125" s="30" cm="1">
        <f t="array" ref="AH125">DiasMesesGris(Q125:AB125)</f>
        <v>0</v>
      </c>
      <c r="AI125" s="30">
        <f t="shared" si="13"/>
        <v>0</v>
      </c>
      <c r="AJ125" s="30">
        <f t="shared" si="14"/>
        <v>360</v>
      </c>
      <c r="AK125" s="31">
        <f t="shared" si="15"/>
        <v>7073</v>
      </c>
      <c r="AL125" s="32">
        <f t="shared" si="12"/>
        <v>19.647222222222222</v>
      </c>
    </row>
    <row r="126" spans="1:38" x14ac:dyDescent="0.25">
      <c r="A126" s="1" t="s">
        <v>398</v>
      </c>
      <c r="B126" s="1" t="s">
        <v>399</v>
      </c>
      <c r="C126" s="1" t="s">
        <v>400</v>
      </c>
      <c r="D126" s="5">
        <v>15</v>
      </c>
      <c r="E126" s="5">
        <v>11</v>
      </c>
      <c r="F126" s="5">
        <v>23</v>
      </c>
      <c r="G126" s="5">
        <v>24</v>
      </c>
      <c r="H126" s="5">
        <v>27</v>
      </c>
      <c r="I126" s="5">
        <v>8</v>
      </c>
      <c r="J126" s="5">
        <v>2</v>
      </c>
      <c r="K126" s="5">
        <v>25</v>
      </c>
      <c r="L126" s="5">
        <v>24</v>
      </c>
      <c r="M126" s="5">
        <v>32</v>
      </c>
      <c r="N126" s="5">
        <v>18</v>
      </c>
      <c r="O126" s="5">
        <v>8</v>
      </c>
      <c r="P126" s="3"/>
      <c r="Q126" s="6">
        <v>0.4839</v>
      </c>
      <c r="R126" s="6">
        <v>0.3548</v>
      </c>
      <c r="S126" s="6">
        <v>0.66669999999999996</v>
      </c>
      <c r="T126" s="6">
        <v>0.7742</v>
      </c>
      <c r="U126" s="6">
        <v>0.9</v>
      </c>
      <c r="V126" s="6">
        <v>0.2581</v>
      </c>
      <c r="W126" s="6">
        <v>8.0600000000000005E-2</v>
      </c>
      <c r="X126" s="6">
        <v>1.0504</v>
      </c>
      <c r="Y126" s="6">
        <v>0.70379999999999998</v>
      </c>
      <c r="Z126" s="6">
        <v>1.1852</v>
      </c>
      <c r="AA126" s="6">
        <v>0.55300000000000005</v>
      </c>
      <c r="AB126" s="6">
        <v>0.2319</v>
      </c>
      <c r="AC126" s="7">
        <v>0</v>
      </c>
      <c r="AD126" s="35">
        <v>0.60360000000000003</v>
      </c>
      <c r="AE126" s="35">
        <f t="shared" si="11"/>
        <v>0.58042857142857152</v>
      </c>
      <c r="AF126" s="34" t="s">
        <v>35</v>
      </c>
      <c r="AG126" s="30" cm="1">
        <f t="array" ref="AG126">DIASQUIEBRE(Q126:AB126)</f>
        <v>0</v>
      </c>
      <c r="AH126" s="30" cm="1">
        <f t="array" ref="AH126">DiasMesesGris(Q126:AB126)</f>
        <v>0</v>
      </c>
      <c r="AI126" s="30">
        <f t="shared" si="13"/>
        <v>0</v>
      </c>
      <c r="AJ126" s="30">
        <f t="shared" si="14"/>
        <v>360</v>
      </c>
      <c r="AK126" s="31">
        <f t="shared" si="15"/>
        <v>217</v>
      </c>
      <c r="AL126" s="32">
        <f t="shared" si="12"/>
        <v>0.60277777777777775</v>
      </c>
    </row>
    <row r="127" spans="1:38" x14ac:dyDescent="0.25">
      <c r="A127" s="10" t="s">
        <v>401</v>
      </c>
      <c r="B127" s="1" t="s">
        <v>402</v>
      </c>
      <c r="C127" s="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7">
        <v>0</v>
      </c>
      <c r="AE127" s="35">
        <f t="shared" si="11"/>
        <v>0</v>
      </c>
      <c r="AF127" s="34" t="s">
        <v>51</v>
      </c>
      <c r="AG127" s="30" cm="1">
        <f t="array" ref="AG127">DIASQUIEBRE(Q127:AB127)</f>
        <v>0</v>
      </c>
      <c r="AH127" s="30" cm="1">
        <f t="array" ref="AH127">DiasMesesGris(Q127:AB127)</f>
        <v>360</v>
      </c>
      <c r="AI127" s="30">
        <f t="shared" si="13"/>
        <v>360</v>
      </c>
      <c r="AJ127" s="30">
        <f t="shared" si="14"/>
        <v>0</v>
      </c>
      <c r="AK127" s="31">
        <f t="shared" si="15"/>
        <v>0</v>
      </c>
      <c r="AL127" s="32">
        <f t="shared" si="12"/>
        <v>0</v>
      </c>
    </row>
    <row r="128" spans="1:38" x14ac:dyDescent="0.25">
      <c r="A128" s="1" t="s">
        <v>403</v>
      </c>
      <c r="B128" s="1" t="s">
        <v>404</v>
      </c>
      <c r="C128" s="1" t="s">
        <v>405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7">
        <v>0</v>
      </c>
      <c r="AE128" s="35">
        <f t="shared" si="11"/>
        <v>0</v>
      </c>
      <c r="AF128" s="34" t="s">
        <v>51</v>
      </c>
      <c r="AG128" s="30" cm="1">
        <f t="array" ref="AG128">DIASQUIEBRE(Q128:AB128)</f>
        <v>0</v>
      </c>
      <c r="AH128" s="30" cm="1">
        <f t="array" ref="AH128">DiasMesesGris(Q128:AB128)</f>
        <v>360</v>
      </c>
      <c r="AI128" s="30">
        <f t="shared" si="13"/>
        <v>360</v>
      </c>
      <c r="AJ128" s="30">
        <f t="shared" si="14"/>
        <v>0</v>
      </c>
      <c r="AK128" s="31">
        <f t="shared" si="15"/>
        <v>0</v>
      </c>
      <c r="AL128" s="32">
        <f t="shared" si="12"/>
        <v>0</v>
      </c>
    </row>
    <row r="129" spans="1:38" x14ac:dyDescent="0.25">
      <c r="A129" s="1" t="s">
        <v>406</v>
      </c>
      <c r="B129" s="1" t="s">
        <v>407</v>
      </c>
      <c r="C129" s="1" t="s">
        <v>408</v>
      </c>
      <c r="D129" s="5">
        <v>1</v>
      </c>
      <c r="E129" s="5">
        <v>1</v>
      </c>
      <c r="F129" s="3"/>
      <c r="G129" s="5">
        <v>5</v>
      </c>
      <c r="H129" s="3"/>
      <c r="I129" s="5">
        <v>6</v>
      </c>
      <c r="J129" s="5">
        <v>1</v>
      </c>
      <c r="K129" s="3"/>
      <c r="L129" s="3"/>
      <c r="M129" s="5">
        <v>6</v>
      </c>
      <c r="N129" s="3"/>
      <c r="O129" s="5">
        <v>2</v>
      </c>
      <c r="P129" s="3"/>
      <c r="Q129" s="6">
        <v>3.2300000000000002E-2</v>
      </c>
      <c r="R129" s="6">
        <v>3.2300000000000002E-2</v>
      </c>
      <c r="S129" s="6">
        <v>0</v>
      </c>
      <c r="T129" s="6">
        <v>0.1613</v>
      </c>
      <c r="U129" s="6">
        <v>0</v>
      </c>
      <c r="V129" s="6">
        <v>0.19350000000000001</v>
      </c>
      <c r="W129" s="6">
        <v>4.0300000000000002E-2</v>
      </c>
      <c r="X129" s="6">
        <v>0</v>
      </c>
      <c r="Y129" s="6">
        <v>0</v>
      </c>
      <c r="Z129" s="8">
        <f t="shared" ref="Z129" si="24">M129/30</f>
        <v>0.2</v>
      </c>
      <c r="AA129" s="8">
        <f t="shared" ref="AA129" si="25">N129/30</f>
        <v>0</v>
      </c>
      <c r="AB129" s="8">
        <f t="shared" ref="AB129" si="26">O129/30</f>
        <v>6.6666666666666666E-2</v>
      </c>
      <c r="AC129" s="7">
        <v>0</v>
      </c>
      <c r="AD129" s="35">
        <v>5.11E-2</v>
      </c>
      <c r="AE129" s="35">
        <f t="shared" si="11"/>
        <v>7.1495238095238098E-2</v>
      </c>
      <c r="AF129" s="34" t="s">
        <v>35</v>
      </c>
      <c r="AG129" s="30" cm="1">
        <f t="array" ref="AG129">DIASQUIEBRE(Q129:AB129)</f>
        <v>24</v>
      </c>
      <c r="AH129" s="30" cm="1">
        <f t="array" ref="AH129">DiasMesesGris(Q129:AB129)</f>
        <v>0</v>
      </c>
      <c r="AI129" s="30">
        <f t="shared" si="13"/>
        <v>24</v>
      </c>
      <c r="AJ129" s="30">
        <f t="shared" si="14"/>
        <v>336</v>
      </c>
      <c r="AK129" s="31">
        <f t="shared" si="15"/>
        <v>22</v>
      </c>
      <c r="AL129" s="32">
        <f t="shared" si="12"/>
        <v>6.5476190476190479E-2</v>
      </c>
    </row>
    <row r="130" spans="1:38" x14ac:dyDescent="0.25">
      <c r="A130" s="1" t="s">
        <v>409</v>
      </c>
      <c r="B130" s="1" t="s">
        <v>410</v>
      </c>
      <c r="C130" s="1" t="s">
        <v>411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7">
        <v>0</v>
      </c>
      <c r="AE130" s="35">
        <f t="shared" si="11"/>
        <v>0</v>
      </c>
      <c r="AF130" s="34" t="s">
        <v>51</v>
      </c>
      <c r="AG130" s="30" cm="1">
        <f t="array" ref="AG130">DIASQUIEBRE(Q130:AB130)</f>
        <v>0</v>
      </c>
      <c r="AH130" s="30" cm="1">
        <f t="array" ref="AH130">DiasMesesGris(Q130:AB130)</f>
        <v>360</v>
      </c>
      <c r="AI130" s="30">
        <f t="shared" si="13"/>
        <v>360</v>
      </c>
      <c r="AJ130" s="30">
        <f t="shared" si="14"/>
        <v>0</v>
      </c>
      <c r="AK130" s="31">
        <f t="shared" si="15"/>
        <v>0</v>
      </c>
      <c r="AL130" s="32">
        <f t="shared" si="12"/>
        <v>0</v>
      </c>
    </row>
    <row r="131" spans="1:38" x14ac:dyDescent="0.25">
      <c r="A131" s="1" t="s">
        <v>412</v>
      </c>
      <c r="B131" s="1" t="s">
        <v>413</v>
      </c>
      <c r="C131" s="1" t="s">
        <v>414</v>
      </c>
      <c r="D131" s="5">
        <v>31</v>
      </c>
      <c r="E131" s="5">
        <v>12</v>
      </c>
      <c r="F131" s="5">
        <v>10</v>
      </c>
      <c r="G131" s="5">
        <v>15</v>
      </c>
      <c r="H131" s="5">
        <v>9</v>
      </c>
      <c r="I131" s="5">
        <v>17</v>
      </c>
      <c r="J131" s="5">
        <v>9</v>
      </c>
      <c r="K131" s="5">
        <v>9</v>
      </c>
      <c r="L131" s="5">
        <v>20</v>
      </c>
      <c r="M131" s="5">
        <v>11</v>
      </c>
      <c r="N131" s="5">
        <v>17</v>
      </c>
      <c r="O131" s="5">
        <v>11</v>
      </c>
      <c r="P131" s="5">
        <v>7</v>
      </c>
      <c r="Q131" s="6">
        <v>1</v>
      </c>
      <c r="R131" s="6">
        <v>0.3871</v>
      </c>
      <c r="S131" s="6">
        <v>0.28989999999999999</v>
      </c>
      <c r="T131" s="6">
        <v>0.4839</v>
      </c>
      <c r="U131" s="6">
        <v>0.3</v>
      </c>
      <c r="V131" s="6">
        <v>0.5484</v>
      </c>
      <c r="W131" s="6">
        <v>0.3629</v>
      </c>
      <c r="X131" s="6">
        <v>0.37819999999999998</v>
      </c>
      <c r="Y131" s="6">
        <v>0.58650000000000002</v>
      </c>
      <c r="Z131" s="6">
        <v>0.40739999999999998</v>
      </c>
      <c r="AA131" s="6">
        <v>0.52229999999999999</v>
      </c>
      <c r="AB131" s="6">
        <v>0.31879999999999997</v>
      </c>
      <c r="AC131" s="7">
        <v>0.2258</v>
      </c>
      <c r="AD131" s="35">
        <v>0.46550000000000002</v>
      </c>
      <c r="AE131" s="35">
        <f t="shared" ref="AE131:AE194" si="27">AVERAGE(V131:AB131)</f>
        <v>0.44635714285714284</v>
      </c>
      <c r="AF131" s="34" t="s">
        <v>35</v>
      </c>
      <c r="AG131" s="30" cm="1">
        <f t="array" ref="AG131">DIASQUIEBRE(Q131:AB131)</f>
        <v>0</v>
      </c>
      <c r="AH131" s="30" cm="1">
        <f t="array" ref="AH131">DiasMesesGris(Q131:AB131)</f>
        <v>0</v>
      </c>
      <c r="AI131" s="30">
        <f t="shared" si="13"/>
        <v>0</v>
      </c>
      <c r="AJ131" s="30">
        <f t="shared" si="14"/>
        <v>360</v>
      </c>
      <c r="AK131" s="31">
        <f t="shared" si="15"/>
        <v>171</v>
      </c>
      <c r="AL131" s="32">
        <f t="shared" ref="AL131:AL194" si="28">IFERROR(AK131/AJ131,0)</f>
        <v>0.47499999999999998</v>
      </c>
    </row>
    <row r="132" spans="1:38" x14ac:dyDescent="0.25">
      <c r="A132" s="1" t="s">
        <v>415</v>
      </c>
      <c r="B132" s="1" t="s">
        <v>416</v>
      </c>
      <c r="C132" s="1" t="s">
        <v>417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7">
        <v>0</v>
      </c>
      <c r="AE132" s="35">
        <f t="shared" si="27"/>
        <v>0</v>
      </c>
      <c r="AF132" s="34" t="s">
        <v>35</v>
      </c>
      <c r="AG132" s="30" cm="1">
        <f t="array" ref="AG132">DIASQUIEBRE(Q132:AB132)</f>
        <v>0</v>
      </c>
      <c r="AH132" s="30" cm="1">
        <f t="array" ref="AH132">DiasMesesGris(Q132:AB132)</f>
        <v>360</v>
      </c>
      <c r="AI132" s="30">
        <f t="shared" ref="AI132:AI195" si="29">AG132+AH132</f>
        <v>360</v>
      </c>
      <c r="AJ132" s="30">
        <f t="shared" ref="AJ132:AJ195" si="30">360-AI132</f>
        <v>0</v>
      </c>
      <c r="AK132" s="31">
        <f t="shared" ref="AK132:AK195" si="31">SUM(D132:O132)</f>
        <v>0</v>
      </c>
      <c r="AL132" s="32">
        <f t="shared" si="28"/>
        <v>0</v>
      </c>
    </row>
    <row r="133" spans="1:38" x14ac:dyDescent="0.25">
      <c r="A133" s="1" t="s">
        <v>418</v>
      </c>
      <c r="B133" s="1" t="s">
        <v>419</v>
      </c>
      <c r="C133" s="1" t="s">
        <v>420</v>
      </c>
      <c r="D133" s="5">
        <v>68</v>
      </c>
      <c r="E133" s="5">
        <v>82</v>
      </c>
      <c r="F133" s="5">
        <v>127</v>
      </c>
      <c r="G133" s="5">
        <v>52</v>
      </c>
      <c r="H133" s="5">
        <v>62</v>
      </c>
      <c r="I133" s="5">
        <v>33</v>
      </c>
      <c r="J133" s="5">
        <v>112</v>
      </c>
      <c r="K133" s="5">
        <v>62</v>
      </c>
      <c r="L133" s="5">
        <v>70</v>
      </c>
      <c r="M133" s="5">
        <v>54</v>
      </c>
      <c r="N133" s="5">
        <v>77</v>
      </c>
      <c r="O133" s="5">
        <v>62</v>
      </c>
      <c r="P133" s="3"/>
      <c r="Q133" s="6">
        <v>2.1934999999999998</v>
      </c>
      <c r="R133" s="6">
        <v>2.6452</v>
      </c>
      <c r="S133" s="6">
        <v>3.6812</v>
      </c>
      <c r="T133" s="6">
        <v>1.6774</v>
      </c>
      <c r="U133" s="6">
        <v>2.0667</v>
      </c>
      <c r="V133" s="6">
        <v>1.0645</v>
      </c>
      <c r="W133" s="6">
        <v>4.5160999999999998</v>
      </c>
      <c r="X133" s="6">
        <v>2.605</v>
      </c>
      <c r="Y133" s="6">
        <v>2.0528</v>
      </c>
      <c r="Z133" s="6">
        <v>2</v>
      </c>
      <c r="AA133" s="6">
        <v>2.3656000000000001</v>
      </c>
      <c r="AB133" s="6">
        <v>1.7970999999999999</v>
      </c>
      <c r="AC133" s="7">
        <v>0</v>
      </c>
      <c r="AD133" s="35">
        <v>2.3887999999999998</v>
      </c>
      <c r="AE133" s="35">
        <f t="shared" si="27"/>
        <v>2.3430142857142857</v>
      </c>
      <c r="AF133" s="34" t="s">
        <v>35</v>
      </c>
      <c r="AG133" s="30" cm="1">
        <f t="array" ref="AG133">DIASQUIEBRE(Q133:AB133)</f>
        <v>0</v>
      </c>
      <c r="AH133" s="30" cm="1">
        <f t="array" ref="AH133">DiasMesesGris(Q133:AB133)</f>
        <v>0</v>
      </c>
      <c r="AI133" s="30">
        <f t="shared" si="29"/>
        <v>0</v>
      </c>
      <c r="AJ133" s="30">
        <f t="shared" si="30"/>
        <v>360</v>
      </c>
      <c r="AK133" s="31">
        <f t="shared" si="31"/>
        <v>861</v>
      </c>
      <c r="AL133" s="32">
        <f t="shared" si="28"/>
        <v>2.3916666666666666</v>
      </c>
    </row>
    <row r="134" spans="1:38" x14ac:dyDescent="0.25">
      <c r="A134" s="1" t="s">
        <v>421</v>
      </c>
      <c r="B134" s="1" t="s">
        <v>422</v>
      </c>
      <c r="C134" s="1" t="s">
        <v>423</v>
      </c>
      <c r="D134" s="3"/>
      <c r="E134" s="3"/>
      <c r="F134" s="5">
        <v>1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7">
        <v>0</v>
      </c>
      <c r="AE134" s="35">
        <f t="shared" si="27"/>
        <v>0</v>
      </c>
      <c r="AF134" s="34" t="s">
        <v>51</v>
      </c>
      <c r="AG134" s="30" cm="1">
        <f t="array" ref="AG134">DIASQUIEBRE(Q134:AB134)</f>
        <v>0</v>
      </c>
      <c r="AH134" s="30" cm="1">
        <f t="array" ref="AH134">DiasMesesGris(Q134:AB134)</f>
        <v>360</v>
      </c>
      <c r="AI134" s="30">
        <f t="shared" si="29"/>
        <v>360</v>
      </c>
      <c r="AJ134" s="30">
        <f t="shared" si="30"/>
        <v>0</v>
      </c>
      <c r="AK134" s="31">
        <f t="shared" si="31"/>
        <v>1</v>
      </c>
      <c r="AL134" s="32">
        <f t="shared" si="28"/>
        <v>0</v>
      </c>
    </row>
    <row r="135" spans="1:38" x14ac:dyDescent="0.25">
      <c r="A135" s="1" t="s">
        <v>424</v>
      </c>
      <c r="B135" s="1" t="s">
        <v>425</v>
      </c>
      <c r="C135" s="1" t="s">
        <v>426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7">
        <v>0</v>
      </c>
      <c r="AE135" s="35">
        <f t="shared" si="27"/>
        <v>0</v>
      </c>
      <c r="AF135" s="34" t="s">
        <v>51</v>
      </c>
      <c r="AG135" s="30" cm="1">
        <f t="array" ref="AG135">DIASQUIEBRE(Q135:AB135)</f>
        <v>0</v>
      </c>
      <c r="AH135" s="30" cm="1">
        <f t="array" ref="AH135">DiasMesesGris(Q135:AB135)</f>
        <v>360</v>
      </c>
      <c r="AI135" s="30">
        <f t="shared" si="29"/>
        <v>360</v>
      </c>
      <c r="AJ135" s="30">
        <f t="shared" si="30"/>
        <v>0</v>
      </c>
      <c r="AK135" s="31">
        <f t="shared" si="31"/>
        <v>0</v>
      </c>
      <c r="AL135" s="32">
        <f t="shared" si="28"/>
        <v>0</v>
      </c>
    </row>
    <row r="136" spans="1:38" x14ac:dyDescent="0.25">
      <c r="A136" s="1" t="s">
        <v>427</v>
      </c>
      <c r="B136" s="1" t="s">
        <v>428</v>
      </c>
      <c r="C136" s="1" t="s">
        <v>429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5">
        <v>1</v>
      </c>
      <c r="O136" s="3"/>
      <c r="P136" s="3"/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3.0700000000000002E-2</v>
      </c>
      <c r="AB136" s="6">
        <v>0</v>
      </c>
      <c r="AC136" s="7">
        <v>0</v>
      </c>
      <c r="AD136" s="35">
        <v>2.5999999999999999E-3</v>
      </c>
      <c r="AE136" s="35">
        <f t="shared" si="27"/>
        <v>4.3857142857142862E-3</v>
      </c>
      <c r="AF136" s="34" t="s">
        <v>35</v>
      </c>
      <c r="AG136" s="30" cm="1">
        <f t="array" ref="AG136">DIASQUIEBRE(Q136:AB136)</f>
        <v>0</v>
      </c>
      <c r="AH136" s="30" cm="1">
        <f t="array" ref="AH136">DiasMesesGris(Q136:AB136)</f>
        <v>0</v>
      </c>
      <c r="AI136" s="30">
        <f t="shared" si="29"/>
        <v>0</v>
      </c>
      <c r="AJ136" s="30">
        <f t="shared" si="30"/>
        <v>360</v>
      </c>
      <c r="AK136" s="31">
        <f t="shared" si="31"/>
        <v>1</v>
      </c>
      <c r="AL136" s="32">
        <f t="shared" si="28"/>
        <v>2.7777777777777779E-3</v>
      </c>
    </row>
    <row r="137" spans="1:38" x14ac:dyDescent="0.25">
      <c r="A137" s="1" t="s">
        <v>430</v>
      </c>
      <c r="B137" s="1" t="s">
        <v>431</v>
      </c>
      <c r="C137" s="1" t="s">
        <v>432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5">
        <v>1</v>
      </c>
      <c r="O137" s="3"/>
      <c r="P137" s="3"/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7">
        <v>0</v>
      </c>
      <c r="AE137" s="35">
        <f t="shared" si="27"/>
        <v>0</v>
      </c>
      <c r="AF137" s="34" t="s">
        <v>35</v>
      </c>
      <c r="AG137" s="30" cm="1">
        <f t="array" ref="AG137">DIASQUIEBRE(Q137:AB137)</f>
        <v>0</v>
      </c>
      <c r="AH137" s="30" cm="1">
        <f t="array" ref="AH137">DiasMesesGris(Q137:AB137)</f>
        <v>360</v>
      </c>
      <c r="AI137" s="30">
        <f t="shared" si="29"/>
        <v>360</v>
      </c>
      <c r="AJ137" s="30">
        <f t="shared" si="30"/>
        <v>0</v>
      </c>
      <c r="AK137" s="31">
        <f t="shared" si="31"/>
        <v>1</v>
      </c>
      <c r="AL137" s="32">
        <f t="shared" si="28"/>
        <v>0</v>
      </c>
    </row>
    <row r="138" spans="1:38" x14ac:dyDescent="0.25">
      <c r="A138" s="1" t="s">
        <v>433</v>
      </c>
      <c r="B138" s="1" t="s">
        <v>434</v>
      </c>
      <c r="C138" s="1" t="s">
        <v>435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5">
        <v>1</v>
      </c>
      <c r="O138" s="3"/>
      <c r="P138" s="3"/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3.0700000000000002E-2</v>
      </c>
      <c r="AB138" s="6">
        <v>0</v>
      </c>
      <c r="AC138" s="7">
        <v>0</v>
      </c>
      <c r="AD138" s="35">
        <v>2.5999999999999999E-3</v>
      </c>
      <c r="AE138" s="35">
        <f t="shared" si="27"/>
        <v>4.3857142857142862E-3</v>
      </c>
      <c r="AF138" s="34" t="s">
        <v>35</v>
      </c>
      <c r="AG138" s="30" cm="1">
        <f t="array" ref="AG138">DIASQUIEBRE(Q138:AB138)</f>
        <v>0</v>
      </c>
      <c r="AH138" s="30" cm="1">
        <f t="array" ref="AH138">DiasMesesGris(Q138:AB138)</f>
        <v>0</v>
      </c>
      <c r="AI138" s="30">
        <f t="shared" si="29"/>
        <v>0</v>
      </c>
      <c r="AJ138" s="30">
        <f t="shared" si="30"/>
        <v>360</v>
      </c>
      <c r="AK138" s="31">
        <f t="shared" si="31"/>
        <v>1</v>
      </c>
      <c r="AL138" s="32">
        <f t="shared" si="28"/>
        <v>2.7777777777777779E-3</v>
      </c>
    </row>
    <row r="139" spans="1:38" x14ac:dyDescent="0.25">
      <c r="A139" s="1" t="s">
        <v>436</v>
      </c>
      <c r="B139" s="1" t="s">
        <v>437</v>
      </c>
      <c r="C139" s="1" t="s">
        <v>438</v>
      </c>
      <c r="D139" s="5">
        <v>6</v>
      </c>
      <c r="E139" s="5">
        <v>3</v>
      </c>
      <c r="F139" s="5">
        <v>4</v>
      </c>
      <c r="G139" s="3"/>
      <c r="H139" s="5">
        <v>10</v>
      </c>
      <c r="I139" s="5">
        <v>6</v>
      </c>
      <c r="J139" s="5">
        <v>6</v>
      </c>
      <c r="K139" s="3"/>
      <c r="L139" s="5">
        <v>4</v>
      </c>
      <c r="M139" s="5">
        <v>7</v>
      </c>
      <c r="N139" s="5">
        <v>4</v>
      </c>
      <c r="O139" s="5">
        <v>19</v>
      </c>
      <c r="P139" s="3"/>
      <c r="Q139" s="8">
        <f t="shared" ref="Q139" si="32">D139/30</f>
        <v>0.2</v>
      </c>
      <c r="R139" s="6">
        <v>9.6799999999999997E-2</v>
      </c>
      <c r="S139" s="6">
        <v>0.1159</v>
      </c>
      <c r="T139" s="6">
        <v>0</v>
      </c>
      <c r="U139" s="6">
        <v>0.33329999999999999</v>
      </c>
      <c r="V139" s="6">
        <v>0.19350000000000001</v>
      </c>
      <c r="W139" s="6">
        <v>0.2419</v>
      </c>
      <c r="X139" s="6">
        <v>0</v>
      </c>
      <c r="Y139" s="6">
        <v>0.1173</v>
      </c>
      <c r="Z139" s="6">
        <v>0.25929999999999997</v>
      </c>
      <c r="AA139" s="6">
        <v>0.1229</v>
      </c>
      <c r="AB139" s="6">
        <v>0.55069999999999997</v>
      </c>
      <c r="AC139" s="7">
        <v>0</v>
      </c>
      <c r="AD139" s="35">
        <v>0.1847</v>
      </c>
      <c r="AE139" s="35">
        <f t="shared" si="27"/>
        <v>0.21222857142857141</v>
      </c>
      <c r="AF139" s="34" t="s">
        <v>35</v>
      </c>
      <c r="AG139" s="30" cm="1">
        <f t="array" ref="AG139">DIASQUIEBRE(Q139:AB139)</f>
        <v>20</v>
      </c>
      <c r="AH139" s="30" cm="1">
        <f t="array" ref="AH139">DiasMesesGris(Q139:AB139)</f>
        <v>0</v>
      </c>
      <c r="AI139" s="30">
        <f t="shared" si="29"/>
        <v>20</v>
      </c>
      <c r="AJ139" s="30">
        <f t="shared" si="30"/>
        <v>340</v>
      </c>
      <c r="AK139" s="31">
        <f t="shared" si="31"/>
        <v>69</v>
      </c>
      <c r="AL139" s="32">
        <f t="shared" si="28"/>
        <v>0.20294117647058824</v>
      </c>
    </row>
    <row r="140" spans="1:38" x14ac:dyDescent="0.25">
      <c r="A140" s="1" t="s">
        <v>439</v>
      </c>
      <c r="B140" s="1" t="s">
        <v>440</v>
      </c>
      <c r="C140" s="1" t="s">
        <v>441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5">
        <v>1</v>
      </c>
      <c r="P140" s="3"/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7">
        <v>0</v>
      </c>
      <c r="AE140" s="35">
        <f t="shared" si="27"/>
        <v>0</v>
      </c>
      <c r="AF140" s="34" t="s">
        <v>35</v>
      </c>
      <c r="AG140" s="30" cm="1">
        <f t="array" ref="AG140">DIASQUIEBRE(Q140:AB140)</f>
        <v>0</v>
      </c>
      <c r="AH140" s="30" cm="1">
        <f t="array" ref="AH140">DiasMesesGris(Q140:AB140)</f>
        <v>360</v>
      </c>
      <c r="AI140" s="30">
        <f t="shared" si="29"/>
        <v>360</v>
      </c>
      <c r="AJ140" s="30">
        <f t="shared" si="30"/>
        <v>0</v>
      </c>
      <c r="AK140" s="31">
        <f t="shared" si="31"/>
        <v>1</v>
      </c>
      <c r="AL140" s="32">
        <f t="shared" si="28"/>
        <v>0</v>
      </c>
    </row>
    <row r="141" spans="1:38" x14ac:dyDescent="0.25">
      <c r="A141" s="1" t="s">
        <v>442</v>
      </c>
      <c r="B141" s="1" t="s">
        <v>443</v>
      </c>
      <c r="C141" s="1" t="s">
        <v>444</v>
      </c>
      <c r="D141" s="5">
        <v>1</v>
      </c>
      <c r="E141" s="3"/>
      <c r="F141" s="5">
        <v>1</v>
      </c>
      <c r="G141" s="3"/>
      <c r="H141" s="3"/>
      <c r="I141" s="3"/>
      <c r="J141" s="3"/>
      <c r="K141" s="5">
        <v>3</v>
      </c>
      <c r="L141" s="5">
        <v>1</v>
      </c>
      <c r="M141" s="3"/>
      <c r="N141" s="5">
        <v>3</v>
      </c>
      <c r="O141" s="5">
        <v>1</v>
      </c>
      <c r="P141" s="3"/>
      <c r="Q141" s="9">
        <v>0</v>
      </c>
      <c r="R141" s="9">
        <v>0</v>
      </c>
      <c r="S141" s="9">
        <v>0</v>
      </c>
      <c r="T141" s="8">
        <f t="shared" ref="T141" si="33">G141/30</f>
        <v>0</v>
      </c>
      <c r="U141" s="6">
        <v>0</v>
      </c>
      <c r="V141" s="6">
        <v>0</v>
      </c>
      <c r="W141" s="6">
        <v>0</v>
      </c>
      <c r="X141" s="6">
        <v>0.12609999999999999</v>
      </c>
      <c r="Y141" s="6">
        <v>2.93E-2</v>
      </c>
      <c r="Z141" s="6">
        <v>0</v>
      </c>
      <c r="AA141" s="6">
        <v>9.2200000000000004E-2</v>
      </c>
      <c r="AB141" s="6">
        <v>2.9000000000000001E-2</v>
      </c>
      <c r="AC141" s="7">
        <v>0</v>
      </c>
      <c r="AD141" s="35">
        <v>3.4599999999999999E-2</v>
      </c>
      <c r="AE141" s="35">
        <f t="shared" si="27"/>
        <v>3.9514285714285717E-2</v>
      </c>
      <c r="AF141" s="34" t="s">
        <v>35</v>
      </c>
      <c r="AG141" s="30" cm="1">
        <f t="array" ref="AG141">DIASQUIEBRE(Q141:AB141)</f>
        <v>15</v>
      </c>
      <c r="AH141" s="30" cm="1">
        <f t="array" ref="AH141">DiasMesesGris(Q141:AB141)</f>
        <v>90</v>
      </c>
      <c r="AI141" s="30">
        <f t="shared" si="29"/>
        <v>105</v>
      </c>
      <c r="AJ141" s="30">
        <f t="shared" si="30"/>
        <v>255</v>
      </c>
      <c r="AK141" s="31">
        <f t="shared" si="31"/>
        <v>10</v>
      </c>
      <c r="AL141" s="32">
        <f t="shared" si="28"/>
        <v>3.9215686274509803E-2</v>
      </c>
    </row>
    <row r="142" spans="1:38" x14ac:dyDescent="0.25">
      <c r="A142" s="1" t="s">
        <v>445</v>
      </c>
      <c r="B142" s="1" t="s">
        <v>446</v>
      </c>
      <c r="C142" s="1" t="s">
        <v>447</v>
      </c>
      <c r="D142" s="5">
        <v>13</v>
      </c>
      <c r="E142" s="5">
        <v>2</v>
      </c>
      <c r="F142" s="5">
        <v>14</v>
      </c>
      <c r="G142" s="5">
        <v>16</v>
      </c>
      <c r="H142" s="5">
        <v>16</v>
      </c>
      <c r="I142" s="5">
        <v>6</v>
      </c>
      <c r="J142" s="5">
        <v>11</v>
      </c>
      <c r="K142" s="5">
        <v>2</v>
      </c>
      <c r="L142" s="5">
        <v>2</v>
      </c>
      <c r="M142" s="5">
        <v>3</v>
      </c>
      <c r="N142" s="5">
        <v>4</v>
      </c>
      <c r="O142" s="5">
        <v>8</v>
      </c>
      <c r="P142" s="3"/>
      <c r="Q142" s="6">
        <v>0.4194</v>
      </c>
      <c r="R142" s="6">
        <v>6.4500000000000002E-2</v>
      </c>
      <c r="S142" s="6">
        <v>0.40579999999999999</v>
      </c>
      <c r="T142" s="6">
        <v>0.5161</v>
      </c>
      <c r="U142" s="6">
        <v>0.5333</v>
      </c>
      <c r="V142" s="6">
        <v>0.19350000000000001</v>
      </c>
      <c r="W142" s="6">
        <v>0.44350000000000001</v>
      </c>
      <c r="X142" s="6">
        <v>8.4000000000000005E-2</v>
      </c>
      <c r="Y142" s="6">
        <v>5.8700000000000002E-2</v>
      </c>
      <c r="Z142" s="6">
        <v>0.1111</v>
      </c>
      <c r="AA142" s="6">
        <v>0.1229</v>
      </c>
      <c r="AB142" s="6">
        <v>0.2319</v>
      </c>
      <c r="AC142" s="7">
        <v>0</v>
      </c>
      <c r="AD142" s="35">
        <v>0.26540000000000002</v>
      </c>
      <c r="AE142" s="35">
        <f t="shared" si="27"/>
        <v>0.17794285714285712</v>
      </c>
      <c r="AF142" s="34" t="s">
        <v>35</v>
      </c>
      <c r="AG142" s="30" cm="1">
        <f t="array" ref="AG142">DIASQUIEBRE(Q142:AB142)</f>
        <v>0</v>
      </c>
      <c r="AH142" s="30" cm="1">
        <f t="array" ref="AH142">DiasMesesGris(Q142:AB142)</f>
        <v>0</v>
      </c>
      <c r="AI142" s="30">
        <f t="shared" si="29"/>
        <v>0</v>
      </c>
      <c r="AJ142" s="30">
        <f t="shared" si="30"/>
        <v>360</v>
      </c>
      <c r="AK142" s="31">
        <f t="shared" si="31"/>
        <v>97</v>
      </c>
      <c r="AL142" s="32">
        <f t="shared" si="28"/>
        <v>0.26944444444444443</v>
      </c>
    </row>
    <row r="143" spans="1:38" x14ac:dyDescent="0.25">
      <c r="A143" s="1" t="s">
        <v>448</v>
      </c>
      <c r="B143" s="1" t="s">
        <v>449</v>
      </c>
      <c r="C143" s="1" t="s">
        <v>450</v>
      </c>
      <c r="D143" s="3"/>
      <c r="E143" s="3"/>
      <c r="F143" s="3"/>
      <c r="G143" s="3"/>
      <c r="H143" s="3"/>
      <c r="I143" s="3"/>
      <c r="J143" s="3"/>
      <c r="K143" s="3"/>
      <c r="L143" s="5">
        <v>1</v>
      </c>
      <c r="M143" s="3"/>
      <c r="N143" s="3"/>
      <c r="O143" s="3"/>
      <c r="P143" s="3"/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7">
        <v>0</v>
      </c>
      <c r="AE143" s="35">
        <f t="shared" si="27"/>
        <v>0</v>
      </c>
      <c r="AF143" s="34" t="s">
        <v>35</v>
      </c>
      <c r="AG143" s="30" cm="1">
        <f t="array" ref="AG143">DIASQUIEBRE(Q143:AB143)</f>
        <v>0</v>
      </c>
      <c r="AH143" s="30" cm="1">
        <f t="array" ref="AH143">DiasMesesGris(Q143:AB143)</f>
        <v>360</v>
      </c>
      <c r="AI143" s="30">
        <f t="shared" si="29"/>
        <v>360</v>
      </c>
      <c r="AJ143" s="30">
        <f t="shared" si="30"/>
        <v>0</v>
      </c>
      <c r="AK143" s="31">
        <f t="shared" si="31"/>
        <v>1</v>
      </c>
      <c r="AL143" s="32">
        <f t="shared" si="28"/>
        <v>0</v>
      </c>
    </row>
    <row r="144" spans="1:38" x14ac:dyDescent="0.25">
      <c r="A144" s="1" t="s">
        <v>451</v>
      </c>
      <c r="B144" s="1" t="s">
        <v>452</v>
      </c>
      <c r="C144" s="1" t="s">
        <v>453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7">
        <v>0</v>
      </c>
      <c r="AE144" s="35">
        <f t="shared" si="27"/>
        <v>0</v>
      </c>
      <c r="AF144" s="34" t="s">
        <v>51</v>
      </c>
      <c r="AG144" s="30" cm="1">
        <f t="array" ref="AG144">DIASQUIEBRE(Q144:AB144)</f>
        <v>0</v>
      </c>
      <c r="AH144" s="30" cm="1">
        <f t="array" ref="AH144">DiasMesesGris(Q144:AB144)</f>
        <v>360</v>
      </c>
      <c r="AI144" s="30">
        <f t="shared" si="29"/>
        <v>360</v>
      </c>
      <c r="AJ144" s="30">
        <f t="shared" si="30"/>
        <v>0</v>
      </c>
      <c r="AK144" s="31">
        <f t="shared" si="31"/>
        <v>0</v>
      </c>
      <c r="AL144" s="32">
        <f t="shared" si="28"/>
        <v>0</v>
      </c>
    </row>
    <row r="145" spans="1:38" x14ac:dyDescent="0.25">
      <c r="A145" s="1" t="s">
        <v>454</v>
      </c>
      <c r="B145" s="1" t="s">
        <v>455</v>
      </c>
      <c r="C145" s="1" t="s">
        <v>456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7">
        <v>0</v>
      </c>
      <c r="AE145" s="35">
        <f t="shared" si="27"/>
        <v>0</v>
      </c>
      <c r="AF145" s="34" t="s">
        <v>51</v>
      </c>
      <c r="AG145" s="30" cm="1">
        <f t="array" ref="AG145">DIASQUIEBRE(Q145:AB145)</f>
        <v>0</v>
      </c>
      <c r="AH145" s="30" cm="1">
        <f t="array" ref="AH145">DiasMesesGris(Q145:AB145)</f>
        <v>360</v>
      </c>
      <c r="AI145" s="30">
        <f t="shared" si="29"/>
        <v>360</v>
      </c>
      <c r="AJ145" s="30">
        <f t="shared" si="30"/>
        <v>0</v>
      </c>
      <c r="AK145" s="31">
        <f t="shared" si="31"/>
        <v>0</v>
      </c>
      <c r="AL145" s="32">
        <f t="shared" si="28"/>
        <v>0</v>
      </c>
    </row>
    <row r="146" spans="1:38" x14ac:dyDescent="0.25">
      <c r="A146" s="1" t="s">
        <v>457</v>
      </c>
      <c r="B146" s="1" t="s">
        <v>458</v>
      </c>
      <c r="C146" s="1" t="s">
        <v>459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7">
        <v>0</v>
      </c>
      <c r="AE146" s="35">
        <f t="shared" si="27"/>
        <v>0</v>
      </c>
      <c r="AF146" s="34" t="s">
        <v>51</v>
      </c>
      <c r="AG146" s="30" cm="1">
        <f t="array" ref="AG146">DIASQUIEBRE(Q146:AB146)</f>
        <v>0</v>
      </c>
      <c r="AH146" s="30" cm="1">
        <f t="array" ref="AH146">DiasMesesGris(Q146:AB146)</f>
        <v>360</v>
      </c>
      <c r="AI146" s="30">
        <f t="shared" si="29"/>
        <v>360</v>
      </c>
      <c r="AJ146" s="30">
        <f t="shared" si="30"/>
        <v>0</v>
      </c>
      <c r="AK146" s="31">
        <f t="shared" si="31"/>
        <v>0</v>
      </c>
      <c r="AL146" s="32">
        <f t="shared" si="28"/>
        <v>0</v>
      </c>
    </row>
    <row r="147" spans="1:38" x14ac:dyDescent="0.25">
      <c r="A147" s="1" t="s">
        <v>460</v>
      </c>
      <c r="B147" s="1" t="s">
        <v>461</v>
      </c>
      <c r="C147" s="1" t="s">
        <v>462</v>
      </c>
      <c r="D147" s="3"/>
      <c r="E147" s="3"/>
      <c r="F147" s="3"/>
      <c r="G147" s="3"/>
      <c r="H147" s="3"/>
      <c r="I147" s="5">
        <v>2</v>
      </c>
      <c r="J147" s="3"/>
      <c r="K147" s="3"/>
      <c r="L147" s="5">
        <v>1</v>
      </c>
      <c r="M147" s="3"/>
      <c r="N147" s="3"/>
      <c r="O147" s="3"/>
      <c r="P147" s="3"/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8">
        <f t="shared" ref="W147" si="34">J147/30</f>
        <v>0</v>
      </c>
      <c r="X147" s="6">
        <v>0</v>
      </c>
      <c r="Y147" s="6">
        <v>2.93E-2</v>
      </c>
      <c r="Z147" s="6">
        <v>0</v>
      </c>
      <c r="AA147" s="6">
        <v>0</v>
      </c>
      <c r="AB147" s="6">
        <v>0</v>
      </c>
      <c r="AC147" s="7">
        <v>0</v>
      </c>
      <c r="AD147" s="35">
        <v>5.8999999999999999E-3</v>
      </c>
      <c r="AE147" s="35">
        <f t="shared" si="27"/>
        <v>4.1857142857142857E-3</v>
      </c>
      <c r="AF147" s="34" t="s">
        <v>35</v>
      </c>
      <c r="AG147" s="30" cm="1">
        <f t="array" ref="AG147">DIASQUIEBRE(Q147:AB147)</f>
        <v>22</v>
      </c>
      <c r="AH147" s="30" cm="1">
        <f t="array" ref="AH147">DiasMesesGris(Q147:AB147)</f>
        <v>180</v>
      </c>
      <c r="AI147" s="30">
        <f t="shared" si="29"/>
        <v>202</v>
      </c>
      <c r="AJ147" s="30">
        <f t="shared" si="30"/>
        <v>158</v>
      </c>
      <c r="AK147" s="31">
        <f t="shared" si="31"/>
        <v>3</v>
      </c>
      <c r="AL147" s="32">
        <f t="shared" si="28"/>
        <v>1.8987341772151899E-2</v>
      </c>
    </row>
    <row r="148" spans="1:38" x14ac:dyDescent="0.25">
      <c r="A148" s="1" t="s">
        <v>463</v>
      </c>
      <c r="B148" s="1" t="s">
        <v>464</v>
      </c>
      <c r="C148" s="1" t="s">
        <v>465</v>
      </c>
      <c r="D148" s="3"/>
      <c r="E148" s="5">
        <v>1</v>
      </c>
      <c r="F148" s="3"/>
      <c r="G148" s="3"/>
      <c r="H148" s="3"/>
      <c r="I148" s="5">
        <v>2</v>
      </c>
      <c r="J148" s="3"/>
      <c r="K148" s="3"/>
      <c r="L148" s="5">
        <v>2</v>
      </c>
      <c r="M148" s="3"/>
      <c r="N148" s="5">
        <v>1</v>
      </c>
      <c r="O148" s="5">
        <v>-1</v>
      </c>
      <c r="P148" s="3"/>
      <c r="Q148" s="6">
        <v>0</v>
      </c>
      <c r="R148" s="6">
        <v>3.2300000000000002E-2</v>
      </c>
      <c r="S148" s="6">
        <v>0</v>
      </c>
      <c r="T148" s="6">
        <v>0</v>
      </c>
      <c r="U148" s="6">
        <v>0</v>
      </c>
      <c r="V148" s="6">
        <v>6.4500000000000002E-2</v>
      </c>
      <c r="W148" s="6">
        <v>0</v>
      </c>
      <c r="X148" s="6">
        <v>0</v>
      </c>
      <c r="Y148" s="8">
        <f t="shared" ref="Y148" si="35">L148/30</f>
        <v>6.6666666666666666E-2</v>
      </c>
      <c r="Z148" s="9">
        <v>0</v>
      </c>
      <c r="AA148" s="9">
        <v>0</v>
      </c>
      <c r="AB148" s="9">
        <v>0</v>
      </c>
      <c r="AC148" s="7">
        <v>0</v>
      </c>
      <c r="AD148" s="35">
        <v>1.21E-2</v>
      </c>
      <c r="AE148" s="35">
        <f t="shared" si="27"/>
        <v>1.8738095238095238E-2</v>
      </c>
      <c r="AF148" s="34" t="s">
        <v>35</v>
      </c>
      <c r="AG148" s="30" cm="1">
        <f t="array" ref="AG148">DIASQUIEBRE(Q148:AB148)</f>
        <v>6</v>
      </c>
      <c r="AH148" s="30" cm="1">
        <f t="array" ref="AH148">DiasMesesGris(Q148:AB148)</f>
        <v>90</v>
      </c>
      <c r="AI148" s="30">
        <f t="shared" si="29"/>
        <v>96</v>
      </c>
      <c r="AJ148" s="30">
        <f t="shared" si="30"/>
        <v>264</v>
      </c>
      <c r="AK148" s="31">
        <f t="shared" si="31"/>
        <v>5</v>
      </c>
      <c r="AL148" s="32">
        <f t="shared" si="28"/>
        <v>1.893939393939394E-2</v>
      </c>
    </row>
    <row r="149" spans="1:38" x14ac:dyDescent="0.25">
      <c r="A149" s="1" t="s">
        <v>466</v>
      </c>
      <c r="B149" s="1" t="s">
        <v>467</v>
      </c>
      <c r="C149" s="1" t="s">
        <v>468</v>
      </c>
      <c r="D149" s="3"/>
      <c r="E149" s="3"/>
      <c r="F149" s="3"/>
      <c r="G149" s="3"/>
      <c r="H149" s="3"/>
      <c r="I149" s="5">
        <v>2</v>
      </c>
      <c r="J149" s="3"/>
      <c r="K149" s="3"/>
      <c r="L149" s="3"/>
      <c r="M149" s="3"/>
      <c r="N149" s="3"/>
      <c r="O149" s="3"/>
      <c r="P149" s="3"/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7">
        <v>0</v>
      </c>
      <c r="AE149" s="35">
        <f t="shared" si="27"/>
        <v>0</v>
      </c>
      <c r="AF149" s="34" t="s">
        <v>35</v>
      </c>
      <c r="AG149" s="30" cm="1">
        <f t="array" ref="AG149">DIASQUIEBRE(Q149:AB149)</f>
        <v>0</v>
      </c>
      <c r="AH149" s="30" cm="1">
        <f t="array" ref="AH149">DiasMesesGris(Q149:AB149)</f>
        <v>360</v>
      </c>
      <c r="AI149" s="30">
        <f t="shared" si="29"/>
        <v>360</v>
      </c>
      <c r="AJ149" s="30">
        <f t="shared" si="30"/>
        <v>0</v>
      </c>
      <c r="AK149" s="31">
        <f t="shared" si="31"/>
        <v>2</v>
      </c>
      <c r="AL149" s="32">
        <f t="shared" si="28"/>
        <v>0</v>
      </c>
    </row>
    <row r="150" spans="1:38" x14ac:dyDescent="0.25">
      <c r="A150" s="1" t="s">
        <v>469</v>
      </c>
      <c r="B150" s="1" t="s">
        <v>470</v>
      </c>
      <c r="C150" s="1" t="s">
        <v>471</v>
      </c>
      <c r="D150" s="5">
        <v>1</v>
      </c>
      <c r="E150" s="3"/>
      <c r="F150" s="3"/>
      <c r="G150" s="3"/>
      <c r="H150" s="3"/>
      <c r="I150" s="5">
        <v>3</v>
      </c>
      <c r="J150" s="3"/>
      <c r="K150" s="3"/>
      <c r="L150" s="3"/>
      <c r="M150" s="3"/>
      <c r="N150" s="3"/>
      <c r="O150" s="3"/>
      <c r="P150" s="3"/>
      <c r="Q150" s="8">
        <f t="shared" ref="Q150" si="36">D150/30</f>
        <v>3.3333333333333333E-2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7">
        <v>0</v>
      </c>
      <c r="AE150" s="35">
        <f t="shared" si="27"/>
        <v>0</v>
      </c>
      <c r="AF150" s="34" t="s">
        <v>35</v>
      </c>
      <c r="AG150" s="30" cm="1">
        <f t="array" ref="AG150">DIASQUIEBRE(Q150:AB150)</f>
        <v>4</v>
      </c>
      <c r="AH150" s="30" cm="1">
        <f t="array" ref="AH150">DiasMesesGris(Q150:AB150)</f>
        <v>330</v>
      </c>
      <c r="AI150" s="30">
        <f t="shared" si="29"/>
        <v>334</v>
      </c>
      <c r="AJ150" s="30">
        <f t="shared" si="30"/>
        <v>26</v>
      </c>
      <c r="AK150" s="31">
        <f t="shared" si="31"/>
        <v>4</v>
      </c>
      <c r="AL150" s="32">
        <f t="shared" si="28"/>
        <v>0.15384615384615385</v>
      </c>
    </row>
    <row r="151" spans="1:38" x14ac:dyDescent="0.25">
      <c r="A151" s="1" t="s">
        <v>472</v>
      </c>
      <c r="B151" s="1" t="s">
        <v>473</v>
      </c>
      <c r="C151" s="1" t="s">
        <v>474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7">
        <v>0</v>
      </c>
      <c r="AE151" s="35">
        <f t="shared" si="27"/>
        <v>0</v>
      </c>
      <c r="AF151" s="34" t="s">
        <v>35</v>
      </c>
      <c r="AG151" s="30" cm="1">
        <f t="array" ref="AG151">DIASQUIEBRE(Q151:AB151)</f>
        <v>0</v>
      </c>
      <c r="AH151" s="30" cm="1">
        <f t="array" ref="AH151">DiasMesesGris(Q151:AB151)</f>
        <v>360</v>
      </c>
      <c r="AI151" s="30">
        <f t="shared" si="29"/>
        <v>360</v>
      </c>
      <c r="AJ151" s="30">
        <f t="shared" si="30"/>
        <v>0</v>
      </c>
      <c r="AK151" s="31">
        <f t="shared" si="31"/>
        <v>0</v>
      </c>
      <c r="AL151" s="32">
        <f t="shared" si="28"/>
        <v>0</v>
      </c>
    </row>
    <row r="152" spans="1:38" x14ac:dyDescent="0.25">
      <c r="A152" s="1" t="s">
        <v>475</v>
      </c>
      <c r="B152" s="1" t="s">
        <v>476</v>
      </c>
      <c r="C152" s="1" t="s">
        <v>477</v>
      </c>
      <c r="D152" s="5">
        <v>1</v>
      </c>
      <c r="E152" s="5">
        <v>1</v>
      </c>
      <c r="F152" s="5">
        <v>1</v>
      </c>
      <c r="G152" s="5">
        <v>2</v>
      </c>
      <c r="H152" s="3"/>
      <c r="I152" s="3"/>
      <c r="J152" s="3"/>
      <c r="K152" s="3"/>
      <c r="L152" s="3"/>
      <c r="M152" s="5">
        <v>1</v>
      </c>
      <c r="N152" s="5">
        <v>1</v>
      </c>
      <c r="O152" s="3"/>
      <c r="P152" s="3"/>
      <c r="Q152" s="6">
        <v>3.2300000000000002E-2</v>
      </c>
      <c r="R152" s="6">
        <v>3.2300000000000002E-2</v>
      </c>
      <c r="S152" s="6">
        <v>2.9000000000000001E-2</v>
      </c>
      <c r="T152" s="6">
        <v>6.4500000000000002E-2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3.6999999999999998E-2</v>
      </c>
      <c r="AA152" s="6">
        <v>3.0700000000000002E-2</v>
      </c>
      <c r="AB152" s="6">
        <v>0</v>
      </c>
      <c r="AC152" s="7">
        <v>0</v>
      </c>
      <c r="AD152" s="35">
        <v>1.8800000000000001E-2</v>
      </c>
      <c r="AE152" s="35">
        <f t="shared" si="27"/>
        <v>9.6714285714285704E-3</v>
      </c>
      <c r="AF152" s="34" t="s">
        <v>35</v>
      </c>
      <c r="AG152" s="30" cm="1">
        <f t="array" ref="AG152">DIASQUIEBRE(Q152:AB152)</f>
        <v>0</v>
      </c>
      <c r="AH152" s="30" cm="1">
        <f t="array" ref="AH152">DiasMesesGris(Q152:AB152)</f>
        <v>0</v>
      </c>
      <c r="AI152" s="30">
        <f t="shared" si="29"/>
        <v>0</v>
      </c>
      <c r="AJ152" s="30">
        <f t="shared" si="30"/>
        <v>360</v>
      </c>
      <c r="AK152" s="31">
        <f t="shared" si="31"/>
        <v>7</v>
      </c>
      <c r="AL152" s="32">
        <f t="shared" si="28"/>
        <v>1.9444444444444445E-2</v>
      </c>
    </row>
    <row r="153" spans="1:38" x14ac:dyDescent="0.25">
      <c r="A153" s="1" t="s">
        <v>478</v>
      </c>
      <c r="B153" s="1" t="s">
        <v>479</v>
      </c>
      <c r="C153" s="1" t="s">
        <v>480</v>
      </c>
      <c r="D153" s="5">
        <v>19</v>
      </c>
      <c r="E153" s="5">
        <v>6</v>
      </c>
      <c r="F153" s="5">
        <v>66</v>
      </c>
      <c r="G153" s="5">
        <v>2</v>
      </c>
      <c r="H153" s="5">
        <v>10</v>
      </c>
      <c r="I153" s="5">
        <v>20</v>
      </c>
      <c r="J153" s="5">
        <v>6</v>
      </c>
      <c r="K153" s="5">
        <v>10</v>
      </c>
      <c r="L153" s="5">
        <v>12</v>
      </c>
      <c r="M153" s="5">
        <v>11</v>
      </c>
      <c r="N153" s="5">
        <v>6</v>
      </c>
      <c r="O153" s="5">
        <v>11</v>
      </c>
      <c r="P153" s="3"/>
      <c r="Q153" s="6">
        <v>0.6129</v>
      </c>
      <c r="R153" s="6">
        <v>0.19350000000000001</v>
      </c>
      <c r="S153" s="6">
        <v>1.913</v>
      </c>
      <c r="T153" s="6">
        <v>6.4500000000000002E-2</v>
      </c>
      <c r="U153" s="6">
        <v>0.33329999999999999</v>
      </c>
      <c r="V153" s="6">
        <v>0.6452</v>
      </c>
      <c r="W153" s="6">
        <v>0.2419</v>
      </c>
      <c r="X153" s="6">
        <v>0.42020000000000002</v>
      </c>
      <c r="Y153" s="6">
        <v>0.35189999999999999</v>
      </c>
      <c r="Z153" s="6">
        <v>0.40739999999999998</v>
      </c>
      <c r="AA153" s="6">
        <v>0.18429999999999999</v>
      </c>
      <c r="AB153" s="6">
        <v>0.31879999999999997</v>
      </c>
      <c r="AC153" s="7">
        <v>0</v>
      </c>
      <c r="AD153" s="35">
        <v>0.47389999999999999</v>
      </c>
      <c r="AE153" s="35">
        <f t="shared" si="27"/>
        <v>0.36710000000000004</v>
      </c>
      <c r="AF153" s="34" t="s">
        <v>35</v>
      </c>
      <c r="AG153" s="30" cm="1">
        <f t="array" ref="AG153">DIASQUIEBRE(Q153:AB153)</f>
        <v>0</v>
      </c>
      <c r="AH153" s="30" cm="1">
        <f t="array" ref="AH153">DiasMesesGris(Q153:AB153)</f>
        <v>0</v>
      </c>
      <c r="AI153" s="30">
        <f t="shared" si="29"/>
        <v>0</v>
      </c>
      <c r="AJ153" s="30">
        <f t="shared" si="30"/>
        <v>360</v>
      </c>
      <c r="AK153" s="31">
        <f t="shared" si="31"/>
        <v>179</v>
      </c>
      <c r="AL153" s="32">
        <f t="shared" si="28"/>
        <v>0.49722222222222223</v>
      </c>
    </row>
    <row r="154" spans="1:38" x14ac:dyDescent="0.25">
      <c r="A154" s="1" t="s">
        <v>481</v>
      </c>
      <c r="B154" s="1" t="s">
        <v>482</v>
      </c>
      <c r="C154" s="1" t="s">
        <v>483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7">
        <v>0</v>
      </c>
      <c r="AE154" s="35">
        <f t="shared" si="27"/>
        <v>0</v>
      </c>
      <c r="AF154" s="34" t="s">
        <v>51</v>
      </c>
      <c r="AG154" s="30" cm="1">
        <f t="array" ref="AG154">DIASQUIEBRE(Q154:AB154)</f>
        <v>0</v>
      </c>
      <c r="AH154" s="30" cm="1">
        <f t="array" ref="AH154">DiasMesesGris(Q154:AB154)</f>
        <v>360</v>
      </c>
      <c r="AI154" s="30">
        <f t="shared" si="29"/>
        <v>360</v>
      </c>
      <c r="AJ154" s="30">
        <f t="shared" si="30"/>
        <v>0</v>
      </c>
      <c r="AK154" s="31">
        <f t="shared" si="31"/>
        <v>0</v>
      </c>
      <c r="AL154" s="32">
        <f t="shared" si="28"/>
        <v>0</v>
      </c>
    </row>
    <row r="155" spans="1:38" x14ac:dyDescent="0.25">
      <c r="A155" s="1" t="s">
        <v>484</v>
      </c>
      <c r="B155" s="1" t="s">
        <v>485</v>
      </c>
      <c r="C155" s="1" t="s">
        <v>486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7">
        <v>0</v>
      </c>
      <c r="AE155" s="35">
        <f t="shared" si="27"/>
        <v>0</v>
      </c>
      <c r="AF155" s="34" t="s">
        <v>51</v>
      </c>
      <c r="AG155" s="30" cm="1">
        <f t="array" ref="AG155">DIASQUIEBRE(Q155:AB155)</f>
        <v>0</v>
      </c>
      <c r="AH155" s="30" cm="1">
        <f t="array" ref="AH155">DiasMesesGris(Q155:AB155)</f>
        <v>360</v>
      </c>
      <c r="AI155" s="30">
        <f t="shared" si="29"/>
        <v>360</v>
      </c>
      <c r="AJ155" s="30">
        <f t="shared" si="30"/>
        <v>0</v>
      </c>
      <c r="AK155" s="31">
        <f t="shared" si="31"/>
        <v>0</v>
      </c>
      <c r="AL155" s="32">
        <f t="shared" si="28"/>
        <v>0</v>
      </c>
    </row>
    <row r="156" spans="1:38" x14ac:dyDescent="0.25">
      <c r="A156" s="1" t="s">
        <v>487</v>
      </c>
      <c r="B156" s="1" t="s">
        <v>488</v>
      </c>
      <c r="C156" s="1" t="s">
        <v>489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7">
        <v>0</v>
      </c>
      <c r="AE156" s="35">
        <f t="shared" si="27"/>
        <v>0</v>
      </c>
      <c r="AF156" s="34" t="s">
        <v>35</v>
      </c>
      <c r="AG156" s="30" cm="1">
        <f t="array" ref="AG156">DIASQUIEBRE(Q156:AB156)</f>
        <v>0</v>
      </c>
      <c r="AH156" s="30" cm="1">
        <f t="array" ref="AH156">DiasMesesGris(Q156:AB156)</f>
        <v>360</v>
      </c>
      <c r="AI156" s="30">
        <f t="shared" si="29"/>
        <v>360</v>
      </c>
      <c r="AJ156" s="30">
        <f t="shared" si="30"/>
        <v>0</v>
      </c>
      <c r="AK156" s="31">
        <f t="shared" si="31"/>
        <v>0</v>
      </c>
      <c r="AL156" s="32">
        <f t="shared" si="28"/>
        <v>0</v>
      </c>
    </row>
    <row r="157" spans="1:38" x14ac:dyDescent="0.25">
      <c r="A157" s="1" t="s">
        <v>490</v>
      </c>
      <c r="B157" s="1" t="s">
        <v>491</v>
      </c>
      <c r="C157" s="1" t="s">
        <v>492</v>
      </c>
      <c r="D157" s="5">
        <v>1</v>
      </c>
      <c r="E157" s="3"/>
      <c r="F157" s="3"/>
      <c r="G157" s="3"/>
      <c r="H157" s="5">
        <v>2</v>
      </c>
      <c r="I157" s="3"/>
      <c r="J157" s="3"/>
      <c r="K157" s="3"/>
      <c r="L157" s="3"/>
      <c r="M157" s="3"/>
      <c r="N157" s="3"/>
      <c r="O157" s="3"/>
      <c r="P157" s="3"/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7">
        <v>0</v>
      </c>
      <c r="AE157" s="35">
        <f t="shared" si="27"/>
        <v>0</v>
      </c>
      <c r="AF157" s="34" t="s">
        <v>35</v>
      </c>
      <c r="AG157" s="30" cm="1">
        <f t="array" ref="AG157">DIASQUIEBRE(Q157:AB157)</f>
        <v>0</v>
      </c>
      <c r="AH157" s="30" cm="1">
        <f t="array" ref="AH157">DiasMesesGris(Q157:AB157)</f>
        <v>360</v>
      </c>
      <c r="AI157" s="30">
        <f t="shared" si="29"/>
        <v>360</v>
      </c>
      <c r="AJ157" s="30">
        <f t="shared" si="30"/>
        <v>0</v>
      </c>
      <c r="AK157" s="31">
        <f t="shared" si="31"/>
        <v>3</v>
      </c>
      <c r="AL157" s="32">
        <f t="shared" si="28"/>
        <v>0</v>
      </c>
    </row>
    <row r="158" spans="1:38" x14ac:dyDescent="0.25">
      <c r="A158" s="10" t="s">
        <v>493</v>
      </c>
      <c r="B158" s="1" t="s">
        <v>494</v>
      </c>
      <c r="C158" s="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7">
        <v>0</v>
      </c>
      <c r="AE158" s="35">
        <f t="shared" si="27"/>
        <v>0</v>
      </c>
      <c r="AF158" s="34" t="s">
        <v>51</v>
      </c>
      <c r="AG158" s="30" cm="1">
        <f t="array" ref="AG158">DIASQUIEBRE(Q158:AB158)</f>
        <v>0</v>
      </c>
      <c r="AH158" s="30" cm="1">
        <f t="array" ref="AH158">DiasMesesGris(Q158:AB158)</f>
        <v>360</v>
      </c>
      <c r="AI158" s="30">
        <f t="shared" si="29"/>
        <v>360</v>
      </c>
      <c r="AJ158" s="30">
        <f t="shared" si="30"/>
        <v>0</v>
      </c>
      <c r="AK158" s="31">
        <f t="shared" si="31"/>
        <v>0</v>
      </c>
      <c r="AL158" s="32">
        <f t="shared" si="28"/>
        <v>0</v>
      </c>
    </row>
    <row r="159" spans="1:38" x14ac:dyDescent="0.25">
      <c r="A159" s="1" t="s">
        <v>495</v>
      </c>
      <c r="B159" s="1" t="s">
        <v>496</v>
      </c>
      <c r="C159" s="1" t="s">
        <v>497</v>
      </c>
      <c r="D159" s="5">
        <v>2</v>
      </c>
      <c r="E159" s="3"/>
      <c r="F159" s="5">
        <v>2</v>
      </c>
      <c r="G159" s="5">
        <v>1</v>
      </c>
      <c r="H159" s="3"/>
      <c r="I159" s="5">
        <v>2</v>
      </c>
      <c r="J159" s="3"/>
      <c r="K159" s="3"/>
      <c r="L159" s="5">
        <v>1</v>
      </c>
      <c r="M159" s="3"/>
      <c r="N159" s="5">
        <v>1</v>
      </c>
      <c r="O159" s="3"/>
      <c r="P159" s="3"/>
      <c r="Q159" s="6">
        <v>6.4500000000000002E-2</v>
      </c>
      <c r="R159" s="6">
        <v>0</v>
      </c>
      <c r="S159" s="6">
        <v>5.8000000000000003E-2</v>
      </c>
      <c r="T159" s="6">
        <v>3.2300000000000002E-2</v>
      </c>
      <c r="U159" s="6">
        <v>0</v>
      </c>
      <c r="V159" s="6">
        <v>6.4500000000000002E-2</v>
      </c>
      <c r="W159" s="6">
        <v>0</v>
      </c>
      <c r="X159" s="6">
        <v>0</v>
      </c>
      <c r="Y159" s="6">
        <v>2.93E-2</v>
      </c>
      <c r="Z159" s="6">
        <v>0</v>
      </c>
      <c r="AA159" s="6">
        <v>3.0700000000000002E-2</v>
      </c>
      <c r="AB159" s="6">
        <v>0</v>
      </c>
      <c r="AC159" s="7">
        <v>0</v>
      </c>
      <c r="AD159" s="35">
        <v>2.3300000000000001E-2</v>
      </c>
      <c r="AE159" s="35">
        <f t="shared" si="27"/>
        <v>1.7785714285714287E-2</v>
      </c>
      <c r="AF159" s="34" t="s">
        <v>35</v>
      </c>
      <c r="AG159" s="30" cm="1">
        <f t="array" ref="AG159">DIASQUIEBRE(Q159:AB159)</f>
        <v>0</v>
      </c>
      <c r="AH159" s="30" cm="1">
        <f t="array" ref="AH159">DiasMesesGris(Q159:AB159)</f>
        <v>0</v>
      </c>
      <c r="AI159" s="30">
        <f t="shared" si="29"/>
        <v>0</v>
      </c>
      <c r="AJ159" s="30">
        <f t="shared" si="30"/>
        <v>360</v>
      </c>
      <c r="AK159" s="31">
        <f t="shared" si="31"/>
        <v>9</v>
      </c>
      <c r="AL159" s="32">
        <f t="shared" si="28"/>
        <v>2.5000000000000001E-2</v>
      </c>
    </row>
    <row r="160" spans="1:38" x14ac:dyDescent="0.25">
      <c r="A160" s="1" t="s">
        <v>498</v>
      </c>
      <c r="B160" s="1" t="s">
        <v>499</v>
      </c>
      <c r="C160" s="1" t="s">
        <v>500</v>
      </c>
      <c r="D160" s="5">
        <v>2</v>
      </c>
      <c r="E160" s="3"/>
      <c r="F160" s="5">
        <v>2</v>
      </c>
      <c r="G160" s="3"/>
      <c r="H160" s="3"/>
      <c r="I160" s="5">
        <v>1</v>
      </c>
      <c r="J160" s="3"/>
      <c r="K160" s="3"/>
      <c r="L160" s="5">
        <v>3</v>
      </c>
      <c r="M160" s="5">
        <v>4</v>
      </c>
      <c r="N160" s="5">
        <v>2</v>
      </c>
      <c r="O160" s="5">
        <v>5</v>
      </c>
      <c r="P160" s="3"/>
      <c r="Q160" s="6">
        <v>6.4500000000000002E-2</v>
      </c>
      <c r="R160" s="6">
        <v>0</v>
      </c>
      <c r="S160" s="6">
        <v>5.8000000000000003E-2</v>
      </c>
      <c r="T160" s="6">
        <v>0</v>
      </c>
      <c r="U160" s="6">
        <v>0</v>
      </c>
      <c r="V160" s="6">
        <v>3.2300000000000002E-2</v>
      </c>
      <c r="W160" s="6">
        <v>0</v>
      </c>
      <c r="X160" s="6">
        <v>0</v>
      </c>
      <c r="Y160" s="6">
        <v>8.7999999999999995E-2</v>
      </c>
      <c r="Z160" s="6">
        <v>0.14810000000000001</v>
      </c>
      <c r="AA160" s="6">
        <v>6.1400000000000003E-2</v>
      </c>
      <c r="AB160" s="6">
        <v>0.1449</v>
      </c>
      <c r="AC160" s="7">
        <v>0</v>
      </c>
      <c r="AD160" s="35">
        <v>4.9799999999999997E-2</v>
      </c>
      <c r="AE160" s="35">
        <f t="shared" si="27"/>
        <v>6.7814285714285716E-2</v>
      </c>
      <c r="AF160" s="34" t="s">
        <v>35</v>
      </c>
      <c r="AG160" s="30" cm="1">
        <f t="array" ref="AG160">DIASQUIEBRE(Q160:AB160)</f>
        <v>0</v>
      </c>
      <c r="AH160" s="30" cm="1">
        <f t="array" ref="AH160">DiasMesesGris(Q160:AB160)</f>
        <v>0</v>
      </c>
      <c r="AI160" s="30">
        <f t="shared" si="29"/>
        <v>0</v>
      </c>
      <c r="AJ160" s="30">
        <f t="shared" si="30"/>
        <v>360</v>
      </c>
      <c r="AK160" s="31">
        <f t="shared" si="31"/>
        <v>19</v>
      </c>
      <c r="AL160" s="32">
        <f t="shared" si="28"/>
        <v>5.2777777777777778E-2</v>
      </c>
    </row>
    <row r="161" spans="1:38" x14ac:dyDescent="0.25">
      <c r="A161" s="1" t="s">
        <v>501</v>
      </c>
      <c r="B161" s="1" t="s">
        <v>502</v>
      </c>
      <c r="C161" s="1" t="s">
        <v>503</v>
      </c>
      <c r="D161" s="5">
        <v>2</v>
      </c>
      <c r="E161" s="3"/>
      <c r="F161" s="5">
        <v>2</v>
      </c>
      <c r="G161" s="5">
        <v>1</v>
      </c>
      <c r="H161" s="5">
        <v>1</v>
      </c>
      <c r="I161" s="5">
        <v>1</v>
      </c>
      <c r="J161" s="3"/>
      <c r="K161" s="3"/>
      <c r="L161" s="5">
        <v>2</v>
      </c>
      <c r="M161" s="5">
        <v>4</v>
      </c>
      <c r="N161" s="5">
        <v>2</v>
      </c>
      <c r="O161" s="5">
        <v>3</v>
      </c>
      <c r="P161" s="5">
        <v>1</v>
      </c>
      <c r="Q161" s="6">
        <v>6.4500000000000002E-2</v>
      </c>
      <c r="R161" s="6">
        <v>0</v>
      </c>
      <c r="S161" s="6">
        <v>5.8000000000000003E-2</v>
      </c>
      <c r="T161" s="6">
        <v>3.2300000000000002E-2</v>
      </c>
      <c r="U161" s="6">
        <v>3.3300000000000003E-2</v>
      </c>
      <c r="V161" s="6">
        <v>3.2300000000000002E-2</v>
      </c>
      <c r="W161" s="6">
        <v>0</v>
      </c>
      <c r="X161" s="6">
        <v>0</v>
      </c>
      <c r="Y161" s="6">
        <v>5.8700000000000002E-2</v>
      </c>
      <c r="Z161" s="6">
        <v>0.14810000000000001</v>
      </c>
      <c r="AA161" s="6">
        <v>6.1400000000000003E-2</v>
      </c>
      <c r="AB161" s="6">
        <v>8.6999999999999994E-2</v>
      </c>
      <c r="AC161" s="7">
        <v>3.2300000000000002E-2</v>
      </c>
      <c r="AD161" s="35">
        <v>4.8000000000000001E-2</v>
      </c>
      <c r="AE161" s="35">
        <f t="shared" si="27"/>
        <v>5.5357142857142848E-2</v>
      </c>
      <c r="AF161" s="34" t="s">
        <v>35</v>
      </c>
      <c r="AG161" s="30" cm="1">
        <f t="array" ref="AG161">DIASQUIEBRE(Q161:AB161)</f>
        <v>0</v>
      </c>
      <c r="AH161" s="30" cm="1">
        <f t="array" ref="AH161">DiasMesesGris(Q161:AB161)</f>
        <v>0</v>
      </c>
      <c r="AI161" s="30">
        <f t="shared" si="29"/>
        <v>0</v>
      </c>
      <c r="AJ161" s="30">
        <f t="shared" si="30"/>
        <v>360</v>
      </c>
      <c r="AK161" s="31">
        <f t="shared" si="31"/>
        <v>18</v>
      </c>
      <c r="AL161" s="32">
        <f t="shared" si="28"/>
        <v>0.05</v>
      </c>
    </row>
    <row r="162" spans="1:38" x14ac:dyDescent="0.25">
      <c r="A162" s="1" t="s">
        <v>504</v>
      </c>
      <c r="B162" s="1" t="s">
        <v>505</v>
      </c>
      <c r="C162" s="1" t="s">
        <v>506</v>
      </c>
      <c r="D162" s="5">
        <v>2</v>
      </c>
      <c r="E162" s="3"/>
      <c r="F162" s="5">
        <v>2</v>
      </c>
      <c r="G162" s="3"/>
      <c r="H162" s="3"/>
      <c r="I162" s="3"/>
      <c r="J162" s="3"/>
      <c r="K162" s="3"/>
      <c r="L162" s="5">
        <v>2</v>
      </c>
      <c r="M162" s="5">
        <v>4</v>
      </c>
      <c r="N162" s="5">
        <v>2</v>
      </c>
      <c r="O162" s="5">
        <v>1</v>
      </c>
      <c r="P162" s="5">
        <v>2</v>
      </c>
      <c r="Q162" s="6">
        <v>6.4500000000000002E-2</v>
      </c>
      <c r="R162" s="6">
        <v>0</v>
      </c>
      <c r="S162" s="6">
        <v>5.8000000000000003E-2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5.8700000000000002E-2</v>
      </c>
      <c r="Z162" s="6">
        <v>0.14810000000000001</v>
      </c>
      <c r="AA162" s="6">
        <v>6.1400000000000003E-2</v>
      </c>
      <c r="AB162" s="6">
        <v>2.9000000000000001E-2</v>
      </c>
      <c r="AC162" s="7">
        <v>6.4500000000000002E-2</v>
      </c>
      <c r="AD162" s="35">
        <v>3.5000000000000003E-2</v>
      </c>
      <c r="AE162" s="35">
        <f t="shared" si="27"/>
        <v>4.245714285714286E-2</v>
      </c>
      <c r="AF162" s="34" t="s">
        <v>35</v>
      </c>
      <c r="AG162" s="30" cm="1">
        <f t="array" ref="AG162">DIASQUIEBRE(Q162:AB162)</f>
        <v>0</v>
      </c>
      <c r="AH162" s="30" cm="1">
        <f t="array" ref="AH162">DiasMesesGris(Q162:AB162)</f>
        <v>0</v>
      </c>
      <c r="AI162" s="30">
        <f t="shared" si="29"/>
        <v>0</v>
      </c>
      <c r="AJ162" s="30">
        <f t="shared" si="30"/>
        <v>360</v>
      </c>
      <c r="AK162" s="31">
        <f t="shared" si="31"/>
        <v>13</v>
      </c>
      <c r="AL162" s="32">
        <f t="shared" si="28"/>
        <v>3.6111111111111108E-2</v>
      </c>
    </row>
    <row r="163" spans="1:38" x14ac:dyDescent="0.25">
      <c r="A163" s="1" t="s">
        <v>507</v>
      </c>
      <c r="B163" s="1" t="s">
        <v>508</v>
      </c>
      <c r="C163" s="1" t="s">
        <v>509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7">
        <v>0</v>
      </c>
      <c r="AE163" s="35">
        <f t="shared" si="27"/>
        <v>0</v>
      </c>
      <c r="AF163" s="34" t="s">
        <v>35</v>
      </c>
      <c r="AG163" s="30" cm="1">
        <f t="array" ref="AG163">DIASQUIEBRE(Q163:AB163)</f>
        <v>0</v>
      </c>
      <c r="AH163" s="30" cm="1">
        <f t="array" ref="AH163">DiasMesesGris(Q163:AB163)</f>
        <v>360</v>
      </c>
      <c r="AI163" s="30">
        <f t="shared" si="29"/>
        <v>360</v>
      </c>
      <c r="AJ163" s="30">
        <f t="shared" si="30"/>
        <v>0</v>
      </c>
      <c r="AK163" s="31">
        <f t="shared" si="31"/>
        <v>0</v>
      </c>
      <c r="AL163" s="32">
        <f t="shared" si="28"/>
        <v>0</v>
      </c>
    </row>
    <row r="164" spans="1:38" x14ac:dyDescent="0.25">
      <c r="A164" s="1" t="s">
        <v>510</v>
      </c>
      <c r="B164" s="1" t="s">
        <v>511</v>
      </c>
      <c r="C164" s="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7">
        <v>0</v>
      </c>
      <c r="AE164" s="35">
        <f t="shared" si="27"/>
        <v>0</v>
      </c>
      <c r="AF164" s="34" t="s">
        <v>51</v>
      </c>
      <c r="AG164" s="30" cm="1">
        <f t="array" ref="AG164">DIASQUIEBRE(Q164:AB164)</f>
        <v>0</v>
      </c>
      <c r="AH164" s="30" cm="1">
        <f t="array" ref="AH164">DiasMesesGris(Q164:AB164)</f>
        <v>360</v>
      </c>
      <c r="AI164" s="30">
        <f t="shared" si="29"/>
        <v>360</v>
      </c>
      <c r="AJ164" s="30">
        <f t="shared" si="30"/>
        <v>0</v>
      </c>
      <c r="AK164" s="31">
        <f t="shared" si="31"/>
        <v>0</v>
      </c>
      <c r="AL164" s="32">
        <f t="shared" si="28"/>
        <v>0</v>
      </c>
    </row>
    <row r="165" spans="1:38" x14ac:dyDescent="0.25">
      <c r="A165" s="1" t="s">
        <v>512</v>
      </c>
      <c r="B165" s="1" t="s">
        <v>513</v>
      </c>
      <c r="C165" s="1" t="s">
        <v>514</v>
      </c>
      <c r="D165" s="5">
        <v>2</v>
      </c>
      <c r="E165" s="5">
        <v>1</v>
      </c>
      <c r="F165" s="5">
        <v>3</v>
      </c>
      <c r="G165" s="3"/>
      <c r="H165" s="5">
        <v>11</v>
      </c>
      <c r="I165" s="5">
        <v>5</v>
      </c>
      <c r="J165" s="5">
        <v>3</v>
      </c>
      <c r="K165" s="5">
        <v>4</v>
      </c>
      <c r="L165" s="5">
        <v>1</v>
      </c>
      <c r="M165" s="5">
        <v>-3</v>
      </c>
      <c r="N165" s="5">
        <v>9</v>
      </c>
      <c r="O165" s="5">
        <v>13</v>
      </c>
      <c r="P165" s="3"/>
      <c r="Q165" s="6">
        <v>6.4500000000000002E-2</v>
      </c>
      <c r="R165" s="8">
        <f t="shared" ref="R165" si="37">E165/30</f>
        <v>3.3333333333333333E-2</v>
      </c>
      <c r="S165" s="9">
        <v>0</v>
      </c>
      <c r="T165" s="8">
        <f t="shared" ref="T165" si="38">G165/30</f>
        <v>0</v>
      </c>
      <c r="U165" s="6">
        <v>0.36670000000000003</v>
      </c>
      <c r="V165" s="6">
        <v>0.1613</v>
      </c>
      <c r="W165" s="8">
        <f t="shared" ref="W165" si="39">J165/30</f>
        <v>0.1</v>
      </c>
      <c r="X165" s="6">
        <v>0.1681</v>
      </c>
      <c r="Y165" s="6">
        <v>2.93E-2</v>
      </c>
      <c r="Z165" s="6">
        <v>-0.1111</v>
      </c>
      <c r="AA165" s="6">
        <v>0.27650000000000002</v>
      </c>
      <c r="AB165" s="6">
        <v>0.37680000000000002</v>
      </c>
      <c r="AC165" s="7">
        <v>0</v>
      </c>
      <c r="AD165" s="35">
        <v>0.16650000000000001</v>
      </c>
      <c r="AE165" s="35">
        <f t="shared" si="27"/>
        <v>0.1429857142857143</v>
      </c>
      <c r="AF165" s="34" t="s">
        <v>35</v>
      </c>
      <c r="AG165" s="30" cm="1">
        <f t="array" ref="AG165">DIASQUIEBRE(Q165:AB165)</f>
        <v>46</v>
      </c>
      <c r="AH165" s="30" cm="1">
        <f t="array" ref="AH165">DiasMesesGris(Q165:AB165)</f>
        <v>30</v>
      </c>
      <c r="AI165" s="30">
        <f t="shared" si="29"/>
        <v>76</v>
      </c>
      <c r="AJ165" s="30">
        <f t="shared" si="30"/>
        <v>284</v>
      </c>
      <c r="AK165" s="31">
        <f t="shared" si="31"/>
        <v>49</v>
      </c>
      <c r="AL165" s="32">
        <f t="shared" si="28"/>
        <v>0.17253521126760563</v>
      </c>
    </row>
    <row r="166" spans="1:38" x14ac:dyDescent="0.25">
      <c r="A166" s="1" t="s">
        <v>515</v>
      </c>
      <c r="B166" s="1" t="s">
        <v>516</v>
      </c>
      <c r="C166" s="1" t="s">
        <v>517</v>
      </c>
      <c r="D166" s="5">
        <v>4</v>
      </c>
      <c r="E166" s="5">
        <v>1</v>
      </c>
      <c r="F166" s="5">
        <v>4</v>
      </c>
      <c r="G166" s="5">
        <v>5</v>
      </c>
      <c r="H166" s="5">
        <v>4</v>
      </c>
      <c r="I166" s="5">
        <v>4</v>
      </c>
      <c r="J166" s="5">
        <v>-1</v>
      </c>
      <c r="K166" s="5">
        <v>1</v>
      </c>
      <c r="L166" s="3"/>
      <c r="M166" s="3"/>
      <c r="N166" s="5">
        <v>5</v>
      </c>
      <c r="O166" s="5">
        <v>6</v>
      </c>
      <c r="P166" s="3"/>
      <c r="Q166" s="6">
        <v>0.129</v>
      </c>
      <c r="R166" s="6">
        <v>3.2300000000000002E-2</v>
      </c>
      <c r="S166" s="6">
        <v>0.1159</v>
      </c>
      <c r="T166" s="6">
        <v>0.1613</v>
      </c>
      <c r="U166" s="6">
        <v>0.1333</v>
      </c>
      <c r="V166" s="8">
        <f t="shared" ref="V166" si="40">I166/30</f>
        <v>0.13333333333333333</v>
      </c>
      <c r="W166" s="9">
        <v>0</v>
      </c>
      <c r="X166" s="9">
        <v>0</v>
      </c>
      <c r="Y166" s="9">
        <v>0</v>
      </c>
      <c r="Z166" s="9">
        <v>0</v>
      </c>
      <c r="AA166" s="8">
        <f t="shared" ref="AA166" si="41">N166/30</f>
        <v>0.16666666666666666</v>
      </c>
      <c r="AB166" s="6">
        <v>0.1739</v>
      </c>
      <c r="AC166" s="7">
        <v>0</v>
      </c>
      <c r="AD166" s="35">
        <v>0.12429999999999999</v>
      </c>
      <c r="AE166" s="35">
        <v>0.15</v>
      </c>
      <c r="AF166" s="34" t="s">
        <v>35</v>
      </c>
      <c r="AG166" s="30" cm="1">
        <f t="array" ref="AG166">DIASQUIEBRE(Q166:AB166)</f>
        <v>24</v>
      </c>
      <c r="AH166" s="30" cm="1">
        <f t="array" ref="AH166">DiasMesesGris(Q166:AB166)</f>
        <v>120</v>
      </c>
      <c r="AI166" s="30">
        <f t="shared" si="29"/>
        <v>144</v>
      </c>
      <c r="AJ166" s="30">
        <f t="shared" si="30"/>
        <v>216</v>
      </c>
      <c r="AK166" s="31">
        <f t="shared" si="31"/>
        <v>33</v>
      </c>
      <c r="AL166" s="32">
        <f t="shared" si="28"/>
        <v>0.15277777777777779</v>
      </c>
    </row>
    <row r="167" spans="1:38" x14ac:dyDescent="0.25">
      <c r="A167" s="1" t="s">
        <v>518</v>
      </c>
      <c r="B167" s="1" t="s">
        <v>519</v>
      </c>
      <c r="C167" s="1" t="s">
        <v>520</v>
      </c>
      <c r="D167" s="5">
        <v>5</v>
      </c>
      <c r="E167" s="5">
        <v>1</v>
      </c>
      <c r="F167" s="5">
        <v>4</v>
      </c>
      <c r="G167" s="5">
        <v>4</v>
      </c>
      <c r="H167" s="5">
        <v>4</v>
      </c>
      <c r="I167" s="5">
        <v>3</v>
      </c>
      <c r="J167" s="5">
        <v>1</v>
      </c>
      <c r="K167" s="5">
        <v>1</v>
      </c>
      <c r="L167" s="3"/>
      <c r="M167" s="3"/>
      <c r="N167" s="5">
        <v>5</v>
      </c>
      <c r="O167" s="5">
        <v>6</v>
      </c>
      <c r="P167" s="3"/>
      <c r="Q167" s="6">
        <v>0.1613</v>
      </c>
      <c r="R167" s="6">
        <v>3.2300000000000002E-2</v>
      </c>
      <c r="S167" s="6">
        <v>0.1159</v>
      </c>
      <c r="T167" s="8">
        <f t="shared" ref="T167" si="42">G167/30</f>
        <v>0.13333333333333333</v>
      </c>
      <c r="U167" s="6">
        <v>0.1333</v>
      </c>
      <c r="V167" s="6">
        <v>9.6799999999999997E-2</v>
      </c>
      <c r="W167" s="6">
        <v>4.0300000000000002E-2</v>
      </c>
      <c r="X167" s="6">
        <v>4.2000000000000003E-2</v>
      </c>
      <c r="Y167" s="6">
        <v>0</v>
      </c>
      <c r="Z167" s="6">
        <v>0</v>
      </c>
      <c r="AA167" s="6">
        <v>0.15359999999999999</v>
      </c>
      <c r="AB167" s="6">
        <v>0.1739</v>
      </c>
      <c r="AC167" s="7">
        <v>0</v>
      </c>
      <c r="AD167" s="35">
        <v>8.6300000000000002E-2</v>
      </c>
      <c r="AE167" s="35">
        <f t="shared" si="27"/>
        <v>7.2371428571428559E-2</v>
      </c>
      <c r="AF167" s="34" t="s">
        <v>35</v>
      </c>
      <c r="AG167" s="30" cm="1">
        <f t="array" ref="AG167">DIASQUIEBRE(Q167:AB167)</f>
        <v>2</v>
      </c>
      <c r="AH167" s="30" cm="1">
        <f t="array" ref="AH167">DiasMesesGris(Q167:AB167)</f>
        <v>0</v>
      </c>
      <c r="AI167" s="30">
        <f t="shared" si="29"/>
        <v>2</v>
      </c>
      <c r="AJ167" s="30">
        <f t="shared" si="30"/>
        <v>358</v>
      </c>
      <c r="AK167" s="31">
        <f t="shared" si="31"/>
        <v>34</v>
      </c>
      <c r="AL167" s="32">
        <f t="shared" si="28"/>
        <v>9.4972067039106142E-2</v>
      </c>
    </row>
    <row r="168" spans="1:38" x14ac:dyDescent="0.25">
      <c r="A168" s="1" t="s">
        <v>521</v>
      </c>
      <c r="B168" s="1" t="s">
        <v>522</v>
      </c>
      <c r="C168" s="1" t="s">
        <v>523</v>
      </c>
      <c r="D168" s="5">
        <v>3</v>
      </c>
      <c r="E168" s="5">
        <v>5</v>
      </c>
      <c r="F168" s="5">
        <v>3</v>
      </c>
      <c r="G168" s="5">
        <v>4</v>
      </c>
      <c r="H168" s="5">
        <v>4</v>
      </c>
      <c r="I168" s="5">
        <v>3</v>
      </c>
      <c r="J168" s="5">
        <v>1</v>
      </c>
      <c r="K168" s="5">
        <v>1</v>
      </c>
      <c r="L168" s="3"/>
      <c r="M168" s="5">
        <v>-1</v>
      </c>
      <c r="N168" s="5">
        <v>7</v>
      </c>
      <c r="O168" s="5">
        <v>6</v>
      </c>
      <c r="P168" s="3"/>
      <c r="Q168" s="6">
        <v>9.6799999999999997E-2</v>
      </c>
      <c r="R168" s="6">
        <v>0.1613</v>
      </c>
      <c r="S168" s="6">
        <v>8.6999999999999994E-2</v>
      </c>
      <c r="T168" s="6">
        <v>0.129</v>
      </c>
      <c r="U168" s="6">
        <v>0.1333</v>
      </c>
      <c r="V168" s="6">
        <v>9.6799999999999997E-2</v>
      </c>
      <c r="W168" s="8">
        <f t="shared" ref="W168" si="43">J168/30</f>
        <v>3.3333333333333333E-2</v>
      </c>
      <c r="X168" s="9">
        <v>0</v>
      </c>
      <c r="Y168" s="9">
        <v>0</v>
      </c>
      <c r="Z168" s="9">
        <v>0</v>
      </c>
      <c r="AA168" s="8">
        <f t="shared" ref="AA168" si="44">N168/30</f>
        <v>0.23333333333333334</v>
      </c>
      <c r="AB168" s="6">
        <v>0.1739</v>
      </c>
      <c r="AC168" s="7">
        <v>0</v>
      </c>
      <c r="AD168" s="35">
        <v>0.12540000000000001</v>
      </c>
      <c r="AE168" s="35">
        <v>0.14000000000000001</v>
      </c>
      <c r="AF168" s="34" t="s">
        <v>35</v>
      </c>
      <c r="AG168" s="30" cm="1">
        <f t="array" ref="AG168">DIASQUIEBRE(Q168:AB168)</f>
        <v>20</v>
      </c>
      <c r="AH168" s="30" cm="1">
        <f t="array" ref="AH168">DiasMesesGris(Q168:AB168)</f>
        <v>90</v>
      </c>
      <c r="AI168" s="30">
        <f t="shared" si="29"/>
        <v>110</v>
      </c>
      <c r="AJ168" s="30">
        <f t="shared" si="30"/>
        <v>250</v>
      </c>
      <c r="AK168" s="31">
        <f t="shared" si="31"/>
        <v>36</v>
      </c>
      <c r="AL168" s="32">
        <f t="shared" si="28"/>
        <v>0.14399999999999999</v>
      </c>
    </row>
    <row r="169" spans="1:38" x14ac:dyDescent="0.25">
      <c r="A169" s="1" t="s">
        <v>524</v>
      </c>
      <c r="B169" s="1" t="s">
        <v>525</v>
      </c>
      <c r="C169" s="1" t="s">
        <v>526</v>
      </c>
      <c r="D169" s="5">
        <v>1</v>
      </c>
      <c r="E169" s="5">
        <v>1</v>
      </c>
      <c r="F169" s="5">
        <v>3</v>
      </c>
      <c r="G169" s="5">
        <v>2</v>
      </c>
      <c r="H169" s="5">
        <v>3</v>
      </c>
      <c r="I169" s="3"/>
      <c r="J169" s="5">
        <v>3</v>
      </c>
      <c r="K169" s="3"/>
      <c r="L169" s="5">
        <v>3</v>
      </c>
      <c r="M169" s="5">
        <v>4</v>
      </c>
      <c r="N169" s="3"/>
      <c r="O169" s="5">
        <v>2</v>
      </c>
      <c r="P169" s="3"/>
      <c r="Q169" s="6">
        <v>3.2300000000000002E-2</v>
      </c>
      <c r="R169" s="6">
        <v>3.2300000000000002E-2</v>
      </c>
      <c r="S169" s="6">
        <v>8.6999999999999994E-2</v>
      </c>
      <c r="T169" s="6">
        <v>6.4500000000000002E-2</v>
      </c>
      <c r="U169" s="6">
        <v>0.1</v>
      </c>
      <c r="V169" s="6">
        <v>0</v>
      </c>
      <c r="W169" s="6">
        <v>0.121</v>
      </c>
      <c r="X169" s="6">
        <v>0</v>
      </c>
      <c r="Y169" s="6">
        <v>8.7999999999999995E-2</v>
      </c>
      <c r="Z169" s="6">
        <v>0.14810000000000001</v>
      </c>
      <c r="AA169" s="6">
        <v>0</v>
      </c>
      <c r="AB169" s="6">
        <v>5.8000000000000003E-2</v>
      </c>
      <c r="AC169" s="7">
        <v>0</v>
      </c>
      <c r="AD169" s="35">
        <v>6.0900000000000003E-2</v>
      </c>
      <c r="AE169" s="35">
        <f t="shared" si="27"/>
        <v>5.9299999999999999E-2</v>
      </c>
      <c r="AF169" s="34" t="s">
        <v>35</v>
      </c>
      <c r="AG169" s="30" cm="1">
        <f t="array" ref="AG169">DIASQUIEBRE(Q169:AB169)</f>
        <v>0</v>
      </c>
      <c r="AH169" s="30" cm="1">
        <f t="array" ref="AH169">DiasMesesGris(Q169:AB169)</f>
        <v>0</v>
      </c>
      <c r="AI169" s="30">
        <f t="shared" si="29"/>
        <v>0</v>
      </c>
      <c r="AJ169" s="30">
        <f t="shared" si="30"/>
        <v>360</v>
      </c>
      <c r="AK169" s="31">
        <f t="shared" si="31"/>
        <v>22</v>
      </c>
      <c r="AL169" s="32">
        <f t="shared" si="28"/>
        <v>6.1111111111111109E-2</v>
      </c>
    </row>
    <row r="170" spans="1:38" x14ac:dyDescent="0.25">
      <c r="A170" s="1" t="s">
        <v>527</v>
      </c>
      <c r="B170" s="1" t="s">
        <v>528</v>
      </c>
      <c r="C170" s="1" t="s">
        <v>529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7">
        <v>0</v>
      </c>
      <c r="AE170" s="35">
        <f t="shared" si="27"/>
        <v>0</v>
      </c>
      <c r="AF170" s="34" t="s">
        <v>51</v>
      </c>
      <c r="AG170" s="30" cm="1">
        <f t="array" ref="AG170">DIASQUIEBRE(Q170:AB170)</f>
        <v>0</v>
      </c>
      <c r="AH170" s="30" cm="1">
        <f t="array" ref="AH170">DiasMesesGris(Q170:AB170)</f>
        <v>360</v>
      </c>
      <c r="AI170" s="30">
        <f t="shared" si="29"/>
        <v>360</v>
      </c>
      <c r="AJ170" s="30">
        <f t="shared" si="30"/>
        <v>0</v>
      </c>
      <c r="AK170" s="31">
        <f t="shared" si="31"/>
        <v>0</v>
      </c>
      <c r="AL170" s="32">
        <f t="shared" si="28"/>
        <v>0</v>
      </c>
    </row>
    <row r="171" spans="1:38" x14ac:dyDescent="0.25">
      <c r="A171" s="1" t="s">
        <v>530</v>
      </c>
      <c r="B171" s="1" t="s">
        <v>531</v>
      </c>
      <c r="C171" s="1" t="s">
        <v>532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7">
        <v>0</v>
      </c>
      <c r="AE171" s="35">
        <f t="shared" si="27"/>
        <v>0</v>
      </c>
      <c r="AF171" s="34" t="s">
        <v>35</v>
      </c>
      <c r="AG171" s="30" cm="1">
        <f t="array" ref="AG171">DIASQUIEBRE(Q171:AB171)</f>
        <v>0</v>
      </c>
      <c r="AH171" s="30" cm="1">
        <f t="array" ref="AH171">DiasMesesGris(Q171:AB171)</f>
        <v>360</v>
      </c>
      <c r="AI171" s="30">
        <f t="shared" si="29"/>
        <v>360</v>
      </c>
      <c r="AJ171" s="30">
        <f t="shared" si="30"/>
        <v>0</v>
      </c>
      <c r="AK171" s="31">
        <f t="shared" si="31"/>
        <v>0</v>
      </c>
      <c r="AL171" s="32">
        <f t="shared" si="28"/>
        <v>0</v>
      </c>
    </row>
    <row r="172" spans="1:38" x14ac:dyDescent="0.25">
      <c r="A172" s="1" t="s">
        <v>533</v>
      </c>
      <c r="B172" s="1" t="s">
        <v>534</v>
      </c>
      <c r="C172" s="1" t="s">
        <v>535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7">
        <v>0</v>
      </c>
      <c r="AE172" s="35">
        <f t="shared" si="27"/>
        <v>0</v>
      </c>
      <c r="AF172" s="34" t="s">
        <v>51</v>
      </c>
      <c r="AG172" s="30" cm="1">
        <f t="array" ref="AG172">DIASQUIEBRE(Q172:AB172)</f>
        <v>0</v>
      </c>
      <c r="AH172" s="30" cm="1">
        <f t="array" ref="AH172">DiasMesesGris(Q172:AB172)</f>
        <v>360</v>
      </c>
      <c r="AI172" s="30">
        <f t="shared" si="29"/>
        <v>360</v>
      </c>
      <c r="AJ172" s="30">
        <f t="shared" si="30"/>
        <v>0</v>
      </c>
      <c r="AK172" s="31">
        <f t="shared" si="31"/>
        <v>0</v>
      </c>
      <c r="AL172" s="32">
        <f t="shared" si="28"/>
        <v>0</v>
      </c>
    </row>
    <row r="173" spans="1:38" x14ac:dyDescent="0.25">
      <c r="A173" s="1" t="s">
        <v>536</v>
      </c>
      <c r="B173" s="1" t="s">
        <v>537</v>
      </c>
      <c r="C173" s="1" t="s">
        <v>538</v>
      </c>
      <c r="D173" s="3"/>
      <c r="E173" s="5">
        <v>1</v>
      </c>
      <c r="F173" s="5">
        <v>2</v>
      </c>
      <c r="G173" s="5">
        <v>2</v>
      </c>
      <c r="H173" s="5">
        <v>-1</v>
      </c>
      <c r="I173" s="5">
        <v>2</v>
      </c>
      <c r="J173" s="5">
        <v>1</v>
      </c>
      <c r="K173" s="5">
        <v>2</v>
      </c>
      <c r="L173" s="5">
        <v>2</v>
      </c>
      <c r="M173" s="5">
        <v>5</v>
      </c>
      <c r="N173" s="5">
        <v>7</v>
      </c>
      <c r="O173" s="5">
        <v>2</v>
      </c>
      <c r="P173" s="3"/>
      <c r="Q173" s="8">
        <f t="shared" ref="Q173" si="45">D173/30</f>
        <v>0</v>
      </c>
      <c r="R173" s="6">
        <v>3.2300000000000002E-2</v>
      </c>
      <c r="S173" s="6">
        <v>5.8000000000000003E-2</v>
      </c>
      <c r="T173" s="6">
        <v>6.4500000000000002E-2</v>
      </c>
      <c r="U173" s="6">
        <v>-3.3300000000000003E-2</v>
      </c>
      <c r="V173" s="6">
        <v>6.4500000000000002E-2</v>
      </c>
      <c r="W173" s="6">
        <v>4.0300000000000002E-2</v>
      </c>
      <c r="X173" s="6">
        <v>8.4000000000000005E-2</v>
      </c>
      <c r="Y173" s="6">
        <v>5.8700000000000002E-2</v>
      </c>
      <c r="Z173" s="6">
        <v>0.1852</v>
      </c>
      <c r="AA173" s="6">
        <v>0.21510000000000001</v>
      </c>
      <c r="AB173" s="6">
        <v>5.8000000000000003E-2</v>
      </c>
      <c r="AC173" s="7">
        <v>0</v>
      </c>
      <c r="AD173" s="35">
        <v>7.5200000000000003E-2</v>
      </c>
      <c r="AE173" s="35">
        <f t="shared" si="27"/>
        <v>0.10082857142857145</v>
      </c>
      <c r="AF173" s="34" t="s">
        <v>35</v>
      </c>
      <c r="AG173" s="30" cm="1">
        <f t="array" ref="AG173">DIASQUIEBRE(Q173:AB173)</f>
        <v>20</v>
      </c>
      <c r="AH173" s="30" cm="1">
        <f t="array" ref="AH173">DiasMesesGris(Q173:AB173)</f>
        <v>0</v>
      </c>
      <c r="AI173" s="30">
        <f t="shared" si="29"/>
        <v>20</v>
      </c>
      <c r="AJ173" s="30">
        <f t="shared" si="30"/>
        <v>340</v>
      </c>
      <c r="AK173" s="31">
        <f t="shared" si="31"/>
        <v>25</v>
      </c>
      <c r="AL173" s="32">
        <f t="shared" si="28"/>
        <v>7.3529411764705885E-2</v>
      </c>
    </row>
    <row r="174" spans="1:38" x14ac:dyDescent="0.25">
      <c r="A174" s="1" t="s">
        <v>539</v>
      </c>
      <c r="B174" s="1" t="s">
        <v>540</v>
      </c>
      <c r="C174" s="1" t="s">
        <v>541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7">
        <v>0</v>
      </c>
      <c r="AE174" s="35">
        <f t="shared" si="27"/>
        <v>0</v>
      </c>
      <c r="AF174" s="34" t="s">
        <v>51</v>
      </c>
      <c r="AG174" s="30" cm="1">
        <f t="array" ref="AG174">DIASQUIEBRE(Q174:AB174)</f>
        <v>0</v>
      </c>
      <c r="AH174" s="30" cm="1">
        <f t="array" ref="AH174">DiasMesesGris(Q174:AB174)</f>
        <v>360</v>
      </c>
      <c r="AI174" s="30">
        <f t="shared" si="29"/>
        <v>360</v>
      </c>
      <c r="AJ174" s="30">
        <f t="shared" si="30"/>
        <v>0</v>
      </c>
      <c r="AK174" s="31">
        <f t="shared" si="31"/>
        <v>0</v>
      </c>
      <c r="AL174" s="32">
        <f t="shared" si="28"/>
        <v>0</v>
      </c>
    </row>
    <row r="175" spans="1:38" x14ac:dyDescent="0.25">
      <c r="A175" s="1" t="s">
        <v>542</v>
      </c>
      <c r="B175" s="1" t="s">
        <v>543</v>
      </c>
      <c r="C175" s="1" t="s">
        <v>544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7">
        <v>0</v>
      </c>
      <c r="AE175" s="35">
        <f t="shared" si="27"/>
        <v>0</v>
      </c>
      <c r="AF175" s="34" t="s">
        <v>51</v>
      </c>
      <c r="AG175" s="30" cm="1">
        <f t="array" ref="AG175">DIASQUIEBRE(Q175:AB175)</f>
        <v>0</v>
      </c>
      <c r="AH175" s="30" cm="1">
        <f t="array" ref="AH175">DiasMesesGris(Q175:AB175)</f>
        <v>360</v>
      </c>
      <c r="AI175" s="30">
        <f t="shared" si="29"/>
        <v>360</v>
      </c>
      <c r="AJ175" s="30">
        <f t="shared" si="30"/>
        <v>0</v>
      </c>
      <c r="AK175" s="31">
        <f t="shared" si="31"/>
        <v>0</v>
      </c>
      <c r="AL175" s="32">
        <f t="shared" si="28"/>
        <v>0</v>
      </c>
    </row>
    <row r="176" spans="1:38" x14ac:dyDescent="0.25">
      <c r="A176" s="1" t="s">
        <v>545</v>
      </c>
      <c r="B176" s="1" t="s">
        <v>546</v>
      </c>
      <c r="C176" s="1" t="s">
        <v>547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7">
        <v>0</v>
      </c>
      <c r="AE176" s="35">
        <f t="shared" si="27"/>
        <v>0</v>
      </c>
      <c r="AF176" s="34" t="s">
        <v>35</v>
      </c>
      <c r="AG176" s="30" cm="1">
        <f t="array" ref="AG176">DIASQUIEBRE(Q176:AB176)</f>
        <v>0</v>
      </c>
      <c r="AH176" s="30" cm="1">
        <f t="array" ref="AH176">DiasMesesGris(Q176:AB176)</f>
        <v>360</v>
      </c>
      <c r="AI176" s="30">
        <f t="shared" si="29"/>
        <v>360</v>
      </c>
      <c r="AJ176" s="30">
        <f t="shared" si="30"/>
        <v>0</v>
      </c>
      <c r="AK176" s="31">
        <f t="shared" si="31"/>
        <v>0</v>
      </c>
      <c r="AL176" s="32">
        <f t="shared" si="28"/>
        <v>0</v>
      </c>
    </row>
    <row r="177" spans="1:38" x14ac:dyDescent="0.25">
      <c r="A177" s="1" t="s">
        <v>548</v>
      </c>
      <c r="B177" s="1" t="s">
        <v>549</v>
      </c>
      <c r="C177" s="1" t="s">
        <v>550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7">
        <v>0</v>
      </c>
      <c r="AE177" s="35">
        <f t="shared" si="27"/>
        <v>0</v>
      </c>
      <c r="AF177" s="34" t="s">
        <v>51</v>
      </c>
      <c r="AG177" s="30" cm="1">
        <f t="array" ref="AG177">DIASQUIEBRE(Q177:AB177)</f>
        <v>0</v>
      </c>
      <c r="AH177" s="30" cm="1">
        <f t="array" ref="AH177">DiasMesesGris(Q177:AB177)</f>
        <v>360</v>
      </c>
      <c r="AI177" s="30">
        <f t="shared" si="29"/>
        <v>360</v>
      </c>
      <c r="AJ177" s="30">
        <f t="shared" si="30"/>
        <v>0</v>
      </c>
      <c r="AK177" s="31">
        <f t="shared" si="31"/>
        <v>0</v>
      </c>
      <c r="AL177" s="32">
        <f t="shared" si="28"/>
        <v>0</v>
      </c>
    </row>
    <row r="178" spans="1:38" x14ac:dyDescent="0.25">
      <c r="A178" s="1" t="s">
        <v>551</v>
      </c>
      <c r="B178" s="1" t="s">
        <v>552</v>
      </c>
      <c r="C178" s="1" t="s">
        <v>553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7">
        <v>0</v>
      </c>
      <c r="AE178" s="35">
        <f t="shared" si="27"/>
        <v>0</v>
      </c>
      <c r="AF178" s="34" t="s">
        <v>51</v>
      </c>
      <c r="AG178" s="30" cm="1">
        <f t="array" ref="AG178">DIASQUIEBRE(Q178:AB178)</f>
        <v>0</v>
      </c>
      <c r="AH178" s="30" cm="1">
        <f t="array" ref="AH178">DiasMesesGris(Q178:AB178)</f>
        <v>360</v>
      </c>
      <c r="AI178" s="30">
        <f t="shared" si="29"/>
        <v>360</v>
      </c>
      <c r="AJ178" s="30">
        <f t="shared" si="30"/>
        <v>0</v>
      </c>
      <c r="AK178" s="31">
        <f t="shared" si="31"/>
        <v>0</v>
      </c>
      <c r="AL178" s="32">
        <f t="shared" si="28"/>
        <v>0</v>
      </c>
    </row>
    <row r="179" spans="1:38" x14ac:dyDescent="0.25">
      <c r="A179" s="1" t="s">
        <v>554</v>
      </c>
      <c r="B179" s="1" t="s">
        <v>555</v>
      </c>
      <c r="C179" s="1" t="s">
        <v>556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7">
        <v>0</v>
      </c>
      <c r="AE179" s="35">
        <f t="shared" si="27"/>
        <v>0</v>
      </c>
      <c r="AF179" s="34" t="s">
        <v>51</v>
      </c>
      <c r="AG179" s="30" cm="1">
        <f t="array" ref="AG179">DIASQUIEBRE(Q179:AB179)</f>
        <v>0</v>
      </c>
      <c r="AH179" s="30" cm="1">
        <f t="array" ref="AH179">DiasMesesGris(Q179:AB179)</f>
        <v>360</v>
      </c>
      <c r="AI179" s="30">
        <f t="shared" si="29"/>
        <v>360</v>
      </c>
      <c r="AJ179" s="30">
        <f t="shared" si="30"/>
        <v>0</v>
      </c>
      <c r="AK179" s="31">
        <f t="shared" si="31"/>
        <v>0</v>
      </c>
      <c r="AL179" s="32">
        <f t="shared" si="28"/>
        <v>0</v>
      </c>
    </row>
    <row r="180" spans="1:38" x14ac:dyDescent="0.25">
      <c r="A180" s="1" t="s">
        <v>557</v>
      </c>
      <c r="B180" s="1" t="s">
        <v>558</v>
      </c>
      <c r="C180" s="1" t="s">
        <v>559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7">
        <v>0</v>
      </c>
      <c r="AE180" s="35">
        <f t="shared" si="27"/>
        <v>0</v>
      </c>
      <c r="AF180" s="34" t="s">
        <v>51</v>
      </c>
      <c r="AG180" s="30" cm="1">
        <f t="array" ref="AG180">DIASQUIEBRE(Q180:AB180)</f>
        <v>0</v>
      </c>
      <c r="AH180" s="30" cm="1">
        <f t="array" ref="AH180">DiasMesesGris(Q180:AB180)</f>
        <v>360</v>
      </c>
      <c r="AI180" s="30">
        <f t="shared" si="29"/>
        <v>360</v>
      </c>
      <c r="AJ180" s="30">
        <f t="shared" si="30"/>
        <v>0</v>
      </c>
      <c r="AK180" s="31">
        <f t="shared" si="31"/>
        <v>0</v>
      </c>
      <c r="AL180" s="32">
        <f t="shared" si="28"/>
        <v>0</v>
      </c>
    </row>
    <row r="181" spans="1:38" x14ac:dyDescent="0.25">
      <c r="A181" s="1" t="s">
        <v>560</v>
      </c>
      <c r="B181" s="1" t="s">
        <v>561</v>
      </c>
      <c r="C181" s="1" t="s">
        <v>562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7">
        <v>0</v>
      </c>
      <c r="AE181" s="35">
        <f t="shared" si="27"/>
        <v>0</v>
      </c>
      <c r="AF181" s="34" t="s">
        <v>51</v>
      </c>
      <c r="AG181" s="30" cm="1">
        <f t="array" ref="AG181">DIASQUIEBRE(Q181:AB181)</f>
        <v>0</v>
      </c>
      <c r="AH181" s="30" cm="1">
        <f t="array" ref="AH181">DiasMesesGris(Q181:AB181)</f>
        <v>0</v>
      </c>
      <c r="AI181" s="30">
        <f t="shared" si="29"/>
        <v>0</v>
      </c>
      <c r="AJ181" s="30">
        <f t="shared" si="30"/>
        <v>360</v>
      </c>
      <c r="AK181" s="31">
        <f t="shared" si="31"/>
        <v>0</v>
      </c>
      <c r="AL181" s="32">
        <f t="shared" si="28"/>
        <v>0</v>
      </c>
    </row>
    <row r="182" spans="1:38" x14ac:dyDescent="0.25">
      <c r="A182" s="1" t="s">
        <v>563</v>
      </c>
      <c r="B182" s="1" t="s">
        <v>564</v>
      </c>
      <c r="C182" s="1" t="s">
        <v>565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7">
        <v>0</v>
      </c>
      <c r="AE182" s="35">
        <f t="shared" si="27"/>
        <v>0</v>
      </c>
      <c r="AF182" s="34" t="s">
        <v>51</v>
      </c>
      <c r="AG182" s="30" cm="1">
        <f t="array" ref="AG182">DIASQUIEBRE(Q182:AB182)</f>
        <v>0</v>
      </c>
      <c r="AH182" s="30" cm="1">
        <f t="array" ref="AH182">DiasMesesGris(Q182:AB182)</f>
        <v>0</v>
      </c>
      <c r="AI182" s="30">
        <f t="shared" si="29"/>
        <v>0</v>
      </c>
      <c r="AJ182" s="30">
        <f t="shared" si="30"/>
        <v>360</v>
      </c>
      <c r="AK182" s="31">
        <f t="shared" si="31"/>
        <v>0</v>
      </c>
      <c r="AL182" s="32">
        <f t="shared" si="28"/>
        <v>0</v>
      </c>
    </row>
    <row r="183" spans="1:38" x14ac:dyDescent="0.25">
      <c r="A183" s="1" t="s">
        <v>566</v>
      </c>
      <c r="B183" s="1" t="s">
        <v>567</v>
      </c>
      <c r="C183" s="1" t="s">
        <v>568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7">
        <v>0</v>
      </c>
      <c r="AE183" s="35">
        <f t="shared" si="27"/>
        <v>0</v>
      </c>
      <c r="AF183" s="34" t="s">
        <v>35</v>
      </c>
      <c r="AG183" s="30" cm="1">
        <f t="array" ref="AG183">DIASQUIEBRE(Q183:AB183)</f>
        <v>0</v>
      </c>
      <c r="AH183" s="30" cm="1">
        <f t="array" ref="AH183">DiasMesesGris(Q183:AB183)</f>
        <v>0</v>
      </c>
      <c r="AI183" s="30">
        <f t="shared" si="29"/>
        <v>0</v>
      </c>
      <c r="AJ183" s="30">
        <f t="shared" si="30"/>
        <v>360</v>
      </c>
      <c r="AK183" s="31">
        <f t="shared" si="31"/>
        <v>0</v>
      </c>
      <c r="AL183" s="32">
        <f t="shared" si="28"/>
        <v>0</v>
      </c>
    </row>
    <row r="184" spans="1:38" x14ac:dyDescent="0.25">
      <c r="A184" s="1" t="s">
        <v>569</v>
      </c>
      <c r="B184" s="1" t="s">
        <v>570</v>
      </c>
      <c r="C184" s="1" t="s">
        <v>571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7">
        <v>0</v>
      </c>
      <c r="AE184" s="35">
        <f t="shared" si="27"/>
        <v>0</v>
      </c>
      <c r="AF184" s="34" t="s">
        <v>51</v>
      </c>
      <c r="AG184" s="30" cm="1">
        <f t="array" ref="AG184">DIASQUIEBRE(Q184:AB184)</f>
        <v>0</v>
      </c>
      <c r="AH184" s="30" cm="1">
        <f t="array" ref="AH184">DiasMesesGris(Q184:AB184)</f>
        <v>0</v>
      </c>
      <c r="AI184" s="30">
        <f t="shared" si="29"/>
        <v>0</v>
      </c>
      <c r="AJ184" s="30">
        <f t="shared" si="30"/>
        <v>360</v>
      </c>
      <c r="AK184" s="31">
        <f t="shared" si="31"/>
        <v>0</v>
      </c>
      <c r="AL184" s="32">
        <f t="shared" si="28"/>
        <v>0</v>
      </c>
    </row>
    <row r="185" spans="1:38" x14ac:dyDescent="0.25">
      <c r="A185" s="1" t="s">
        <v>572</v>
      </c>
      <c r="B185" s="1" t="s">
        <v>573</v>
      </c>
      <c r="C185" s="1" t="s">
        <v>574</v>
      </c>
      <c r="D185" s="3"/>
      <c r="E185" s="5">
        <v>1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7">
        <v>0</v>
      </c>
      <c r="AE185" s="35">
        <f t="shared" si="27"/>
        <v>0</v>
      </c>
      <c r="AF185" s="34" t="s">
        <v>35</v>
      </c>
      <c r="AG185" s="30" cm="1">
        <f t="array" ref="AG185">DIASQUIEBRE(Q185:AB185)</f>
        <v>0</v>
      </c>
      <c r="AH185" s="30" cm="1">
        <f t="array" ref="AH185">DiasMesesGris(Q185:AB185)</f>
        <v>360</v>
      </c>
      <c r="AI185" s="30">
        <f t="shared" si="29"/>
        <v>360</v>
      </c>
      <c r="AJ185" s="30">
        <f t="shared" si="30"/>
        <v>0</v>
      </c>
      <c r="AK185" s="31">
        <f t="shared" si="31"/>
        <v>1</v>
      </c>
      <c r="AL185" s="32">
        <f t="shared" si="28"/>
        <v>0</v>
      </c>
    </row>
    <row r="186" spans="1:38" x14ac:dyDescent="0.25">
      <c r="A186" s="1" t="s">
        <v>575</v>
      </c>
      <c r="B186" s="1" t="s">
        <v>576</v>
      </c>
      <c r="C186" s="1" t="s">
        <v>577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7">
        <v>0</v>
      </c>
      <c r="AE186" s="35">
        <f t="shared" si="27"/>
        <v>0</v>
      </c>
      <c r="AF186" s="34" t="s">
        <v>51</v>
      </c>
      <c r="AG186" s="30" cm="1">
        <f t="array" ref="AG186">DIASQUIEBRE(Q186:AB186)</f>
        <v>0</v>
      </c>
      <c r="AH186" s="30" cm="1">
        <f t="array" ref="AH186">DiasMesesGris(Q186:AB186)</f>
        <v>360</v>
      </c>
      <c r="AI186" s="30">
        <f t="shared" si="29"/>
        <v>360</v>
      </c>
      <c r="AJ186" s="30">
        <f t="shared" si="30"/>
        <v>0</v>
      </c>
      <c r="AK186" s="31">
        <f t="shared" si="31"/>
        <v>0</v>
      </c>
      <c r="AL186" s="32">
        <f t="shared" si="28"/>
        <v>0</v>
      </c>
    </row>
    <row r="187" spans="1:38" x14ac:dyDescent="0.25">
      <c r="A187" s="1" t="s">
        <v>578</v>
      </c>
      <c r="B187" s="1" t="s">
        <v>579</v>
      </c>
      <c r="C187" s="1" t="s">
        <v>580</v>
      </c>
      <c r="D187" s="5">
        <v>4</v>
      </c>
      <c r="E187" s="5">
        <v>1</v>
      </c>
      <c r="F187" s="3"/>
      <c r="G187" s="3"/>
      <c r="H187" s="5">
        <v>4</v>
      </c>
      <c r="I187" s="5">
        <v>3</v>
      </c>
      <c r="J187" s="3"/>
      <c r="K187" s="5">
        <v>1</v>
      </c>
      <c r="L187" s="3"/>
      <c r="M187" s="3"/>
      <c r="N187" s="5">
        <v>2</v>
      </c>
      <c r="O187" s="3"/>
      <c r="P187" s="3"/>
      <c r="Q187" s="8">
        <v>0.30769999999999997</v>
      </c>
      <c r="R187" s="6">
        <v>3.2300000000000002E-2</v>
      </c>
      <c r="S187" s="6">
        <v>0</v>
      </c>
      <c r="T187" s="6">
        <v>0</v>
      </c>
      <c r="U187" s="6">
        <v>0.1333</v>
      </c>
      <c r="V187" s="6">
        <v>9.6799999999999997E-2</v>
      </c>
      <c r="W187" s="6">
        <v>0</v>
      </c>
      <c r="X187" s="6">
        <v>4.2000000000000003E-2</v>
      </c>
      <c r="Y187" s="6">
        <v>0</v>
      </c>
      <c r="Z187" s="6">
        <v>0</v>
      </c>
      <c r="AA187" s="6">
        <v>6.1400000000000003E-2</v>
      </c>
      <c r="AB187" s="6">
        <v>0</v>
      </c>
      <c r="AC187" s="7">
        <v>0</v>
      </c>
      <c r="AD187" s="35">
        <v>3.3300000000000003E-2</v>
      </c>
      <c r="AE187" s="35">
        <f t="shared" si="27"/>
        <v>2.8600000000000004E-2</v>
      </c>
      <c r="AF187" s="34" t="s">
        <v>35</v>
      </c>
      <c r="AG187" s="30" cm="1">
        <f t="array" ref="AG187">DIASQUIEBRE(Q187:AB187)</f>
        <v>18</v>
      </c>
      <c r="AH187" s="30" cm="1">
        <f t="array" ref="AH187">DiasMesesGris(Q187:AB187)</f>
        <v>0</v>
      </c>
      <c r="AI187" s="30">
        <f t="shared" si="29"/>
        <v>18</v>
      </c>
      <c r="AJ187" s="30">
        <f t="shared" si="30"/>
        <v>342</v>
      </c>
      <c r="AK187" s="31">
        <f t="shared" si="31"/>
        <v>15</v>
      </c>
      <c r="AL187" s="32">
        <f t="shared" si="28"/>
        <v>4.3859649122807015E-2</v>
      </c>
    </row>
    <row r="188" spans="1:38" x14ac:dyDescent="0.25">
      <c r="A188" s="1" t="s">
        <v>581</v>
      </c>
      <c r="B188" s="1" t="s">
        <v>582</v>
      </c>
      <c r="C188" s="1" t="s">
        <v>583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7">
        <v>0</v>
      </c>
      <c r="AE188" s="35">
        <f t="shared" si="27"/>
        <v>0</v>
      </c>
      <c r="AF188" s="34" t="s">
        <v>51</v>
      </c>
      <c r="AG188" s="30" cm="1">
        <f t="array" ref="AG188">DIASQUIEBRE(Q188:AB188)</f>
        <v>0</v>
      </c>
      <c r="AH188" s="30" cm="1">
        <f t="array" ref="AH188">DiasMesesGris(Q188:AB188)</f>
        <v>360</v>
      </c>
      <c r="AI188" s="30">
        <f t="shared" si="29"/>
        <v>360</v>
      </c>
      <c r="AJ188" s="30">
        <f t="shared" si="30"/>
        <v>0</v>
      </c>
      <c r="AK188" s="31">
        <f t="shared" si="31"/>
        <v>0</v>
      </c>
      <c r="AL188" s="32">
        <f t="shared" si="28"/>
        <v>0</v>
      </c>
    </row>
    <row r="189" spans="1:38" x14ac:dyDescent="0.25">
      <c r="A189" s="1" t="s">
        <v>584</v>
      </c>
      <c r="B189" s="1" t="s">
        <v>585</v>
      </c>
      <c r="C189" s="1" t="s">
        <v>586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7">
        <v>0</v>
      </c>
      <c r="AE189" s="35">
        <f t="shared" si="27"/>
        <v>0</v>
      </c>
      <c r="AF189" s="34" t="s">
        <v>51</v>
      </c>
      <c r="AG189" s="30" cm="1">
        <f t="array" ref="AG189">DIASQUIEBRE(Q189:AB189)</f>
        <v>0</v>
      </c>
      <c r="AH189" s="30" cm="1">
        <f t="array" ref="AH189">DiasMesesGris(Q189:AB189)</f>
        <v>360</v>
      </c>
      <c r="AI189" s="30">
        <f t="shared" si="29"/>
        <v>360</v>
      </c>
      <c r="AJ189" s="30">
        <f t="shared" si="30"/>
        <v>0</v>
      </c>
      <c r="AK189" s="31">
        <f t="shared" si="31"/>
        <v>0</v>
      </c>
      <c r="AL189" s="32">
        <f t="shared" si="28"/>
        <v>0</v>
      </c>
    </row>
    <row r="190" spans="1:38" x14ac:dyDescent="0.25">
      <c r="A190" s="1" t="s">
        <v>587</v>
      </c>
      <c r="B190" s="1" t="s">
        <v>588</v>
      </c>
      <c r="C190" s="1" t="s">
        <v>589</v>
      </c>
      <c r="D190" s="5">
        <v>16</v>
      </c>
      <c r="E190" s="5">
        <v>7</v>
      </c>
      <c r="F190" s="5">
        <v>10</v>
      </c>
      <c r="G190" s="5">
        <v>9</v>
      </c>
      <c r="H190" s="5">
        <v>3</v>
      </c>
      <c r="I190" s="5">
        <v>4</v>
      </c>
      <c r="J190" s="5">
        <v>4</v>
      </c>
      <c r="K190" s="5">
        <v>2</v>
      </c>
      <c r="L190" s="5">
        <v>3</v>
      </c>
      <c r="M190" s="5">
        <v>14</v>
      </c>
      <c r="N190" s="5">
        <v>12</v>
      </c>
      <c r="O190" s="5">
        <v>1</v>
      </c>
      <c r="P190" s="3"/>
      <c r="Q190" s="6">
        <v>0.5161</v>
      </c>
      <c r="R190" s="6">
        <v>0.2258</v>
      </c>
      <c r="S190" s="6">
        <v>0.28989999999999999</v>
      </c>
      <c r="T190" s="6">
        <v>0.2903</v>
      </c>
      <c r="U190" s="6">
        <v>0.1</v>
      </c>
      <c r="V190" s="6">
        <v>0.129</v>
      </c>
      <c r="W190" s="6">
        <v>0.1613</v>
      </c>
      <c r="X190" s="6">
        <v>8.4000000000000005E-2</v>
      </c>
      <c r="Y190" s="6">
        <v>8.7999999999999995E-2</v>
      </c>
      <c r="Z190" s="6">
        <v>0.51849999999999996</v>
      </c>
      <c r="AA190" s="6">
        <v>0.36870000000000003</v>
      </c>
      <c r="AB190" s="6">
        <v>2.9000000000000001E-2</v>
      </c>
      <c r="AC190" s="7">
        <v>0</v>
      </c>
      <c r="AD190" s="35">
        <v>0.2334</v>
      </c>
      <c r="AE190" s="35">
        <f t="shared" si="27"/>
        <v>0.1969285714285714</v>
      </c>
      <c r="AF190" s="34" t="s">
        <v>35</v>
      </c>
      <c r="AG190" s="30" cm="1">
        <f t="array" ref="AG190">DIASQUIEBRE(Q190:AB190)</f>
        <v>0</v>
      </c>
      <c r="AH190" s="30" cm="1">
        <f t="array" ref="AH190">DiasMesesGris(Q190:AB190)</f>
        <v>0</v>
      </c>
      <c r="AI190" s="30">
        <f t="shared" si="29"/>
        <v>0</v>
      </c>
      <c r="AJ190" s="30">
        <f t="shared" si="30"/>
        <v>360</v>
      </c>
      <c r="AK190" s="31">
        <f t="shared" si="31"/>
        <v>85</v>
      </c>
      <c r="AL190" s="32">
        <f t="shared" si="28"/>
        <v>0.2361111111111111</v>
      </c>
    </row>
    <row r="191" spans="1:38" x14ac:dyDescent="0.25">
      <c r="A191" s="1" t="s">
        <v>590</v>
      </c>
      <c r="B191" s="1" t="s">
        <v>591</v>
      </c>
      <c r="C191" s="1" t="s">
        <v>592</v>
      </c>
      <c r="D191" s="5">
        <v>1</v>
      </c>
      <c r="E191" s="5">
        <v>4</v>
      </c>
      <c r="F191" s="3"/>
      <c r="G191" s="5">
        <v>1</v>
      </c>
      <c r="H191" s="5">
        <v>6</v>
      </c>
      <c r="I191" s="3"/>
      <c r="J191" s="3"/>
      <c r="K191" s="5">
        <v>1</v>
      </c>
      <c r="L191" s="5">
        <v>7</v>
      </c>
      <c r="M191" s="5">
        <v>9</v>
      </c>
      <c r="N191" s="5">
        <v>5</v>
      </c>
      <c r="O191" s="5">
        <v>9</v>
      </c>
      <c r="P191" s="3"/>
      <c r="Q191" s="8">
        <f t="shared" ref="Q191" si="46">D191/30</f>
        <v>3.3333333333333333E-2</v>
      </c>
      <c r="R191" s="6">
        <v>0.129</v>
      </c>
      <c r="S191" s="6">
        <v>0</v>
      </c>
      <c r="T191" s="6">
        <v>3.2300000000000002E-2</v>
      </c>
      <c r="U191" s="6">
        <v>0.2</v>
      </c>
      <c r="V191" s="6">
        <v>0</v>
      </c>
      <c r="W191" s="6">
        <v>0</v>
      </c>
      <c r="X191" s="6">
        <v>4.2000000000000003E-2</v>
      </c>
      <c r="Y191" s="6">
        <v>0.20530000000000001</v>
      </c>
      <c r="Z191" s="6">
        <v>0.33329999999999999</v>
      </c>
      <c r="AA191" s="6">
        <v>0.15359999999999999</v>
      </c>
      <c r="AB191" s="8">
        <f t="shared" ref="AB191" si="47">O191/30</f>
        <v>0.3</v>
      </c>
      <c r="AC191" s="7">
        <v>0</v>
      </c>
      <c r="AD191" s="35">
        <v>0.1096</v>
      </c>
      <c r="AE191" s="35">
        <f t="shared" si="27"/>
        <v>0.14774285714285715</v>
      </c>
      <c r="AF191" s="34" t="s">
        <v>35</v>
      </c>
      <c r="AG191" s="30" cm="1">
        <f t="array" ref="AG191">DIASQUIEBRE(Q191:AB191)</f>
        <v>28</v>
      </c>
      <c r="AH191" s="30" cm="1">
        <f t="array" ref="AH191">DiasMesesGris(Q191:AB191)</f>
        <v>0</v>
      </c>
      <c r="AI191" s="30">
        <f t="shared" si="29"/>
        <v>28</v>
      </c>
      <c r="AJ191" s="30">
        <f t="shared" si="30"/>
        <v>332</v>
      </c>
      <c r="AK191" s="31">
        <f t="shared" si="31"/>
        <v>43</v>
      </c>
      <c r="AL191" s="32">
        <f t="shared" si="28"/>
        <v>0.12951807228915663</v>
      </c>
    </row>
    <row r="192" spans="1:38" x14ac:dyDescent="0.25">
      <c r="A192" s="1" t="s">
        <v>593</v>
      </c>
      <c r="B192" s="1" t="s">
        <v>594</v>
      </c>
      <c r="C192" s="1" t="s">
        <v>595</v>
      </c>
      <c r="D192" s="3"/>
      <c r="E192" s="5">
        <v>7</v>
      </c>
      <c r="F192" s="5">
        <v>20</v>
      </c>
      <c r="G192" s="5">
        <v>5</v>
      </c>
      <c r="H192" s="5">
        <v>7</v>
      </c>
      <c r="I192" s="5">
        <v>2</v>
      </c>
      <c r="J192" s="5">
        <v>18</v>
      </c>
      <c r="K192" s="5">
        <v>1</v>
      </c>
      <c r="L192" s="5">
        <v>10</v>
      </c>
      <c r="M192" s="5">
        <v>2</v>
      </c>
      <c r="N192" s="3"/>
      <c r="O192" s="5">
        <v>20</v>
      </c>
      <c r="P192" s="3"/>
      <c r="Q192" s="6">
        <v>0</v>
      </c>
      <c r="R192" s="6">
        <v>0.2258</v>
      </c>
      <c r="S192" s="6">
        <v>0.57969999999999999</v>
      </c>
      <c r="T192" s="6">
        <v>0.1613</v>
      </c>
      <c r="U192" s="6">
        <v>0.23330000000000001</v>
      </c>
      <c r="V192" s="6">
        <v>6.4500000000000002E-2</v>
      </c>
      <c r="W192" s="6">
        <v>0.7258</v>
      </c>
      <c r="X192" s="6">
        <v>4.2000000000000003E-2</v>
      </c>
      <c r="Y192" s="6">
        <v>0.29330000000000001</v>
      </c>
      <c r="Z192" s="6">
        <v>7.4099999999999999E-2</v>
      </c>
      <c r="AA192" s="6">
        <v>0</v>
      </c>
      <c r="AB192" s="6">
        <v>0.57969999999999999</v>
      </c>
      <c r="AC192" s="7">
        <v>0</v>
      </c>
      <c r="AD192" s="35">
        <v>0.24829999999999999</v>
      </c>
      <c r="AE192" s="35">
        <f t="shared" si="27"/>
        <v>0.25419999999999998</v>
      </c>
      <c r="AF192" s="34" t="s">
        <v>35</v>
      </c>
      <c r="AG192" s="30" cm="1">
        <f t="array" ref="AG192">DIASQUIEBRE(Q192:AB192)</f>
        <v>0</v>
      </c>
      <c r="AH192" s="30" cm="1">
        <f t="array" ref="AH192">DiasMesesGris(Q192:AB192)</f>
        <v>0</v>
      </c>
      <c r="AI192" s="30">
        <f t="shared" si="29"/>
        <v>0</v>
      </c>
      <c r="AJ192" s="30">
        <f t="shared" si="30"/>
        <v>360</v>
      </c>
      <c r="AK192" s="31">
        <f t="shared" si="31"/>
        <v>92</v>
      </c>
      <c r="AL192" s="32">
        <f t="shared" si="28"/>
        <v>0.25555555555555554</v>
      </c>
    </row>
    <row r="193" spans="1:38" x14ac:dyDescent="0.25">
      <c r="A193" s="1" t="s">
        <v>596</v>
      </c>
      <c r="B193" s="1" t="s">
        <v>597</v>
      </c>
      <c r="C193" s="1" t="s">
        <v>598</v>
      </c>
      <c r="D193" s="3"/>
      <c r="E193" s="5">
        <v>1</v>
      </c>
      <c r="F193" s="3"/>
      <c r="G193" s="3"/>
      <c r="H193" s="3"/>
      <c r="I193" s="3"/>
      <c r="J193" s="3"/>
      <c r="K193" s="3"/>
      <c r="L193" s="3"/>
      <c r="M193" s="3"/>
      <c r="N193" s="5">
        <v>1</v>
      </c>
      <c r="O193" s="3"/>
      <c r="P193" s="3"/>
      <c r="Q193" s="6">
        <v>0</v>
      </c>
      <c r="R193" s="6">
        <v>3.2300000000000002E-2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3.0700000000000002E-2</v>
      </c>
      <c r="AB193" s="6">
        <v>0</v>
      </c>
      <c r="AC193" s="7">
        <v>0</v>
      </c>
      <c r="AD193" s="35">
        <v>5.3E-3</v>
      </c>
      <c r="AE193" s="35">
        <f t="shared" si="27"/>
        <v>4.3857142857142862E-3</v>
      </c>
      <c r="AF193" s="34" t="s">
        <v>35</v>
      </c>
      <c r="AG193" s="30" cm="1">
        <f t="array" ref="AG193">DIASQUIEBRE(Q193:AB193)</f>
        <v>0</v>
      </c>
      <c r="AH193" s="30" cm="1">
        <f t="array" ref="AH193">DiasMesesGris(Q193:AB193)</f>
        <v>0</v>
      </c>
      <c r="AI193" s="30">
        <f t="shared" si="29"/>
        <v>0</v>
      </c>
      <c r="AJ193" s="30">
        <f t="shared" si="30"/>
        <v>360</v>
      </c>
      <c r="AK193" s="31">
        <f t="shared" si="31"/>
        <v>2</v>
      </c>
      <c r="AL193" s="32">
        <f t="shared" si="28"/>
        <v>5.5555555555555558E-3</v>
      </c>
    </row>
    <row r="194" spans="1:38" x14ac:dyDescent="0.25">
      <c r="A194" s="1" t="s">
        <v>599</v>
      </c>
      <c r="B194" s="1" t="s">
        <v>600</v>
      </c>
      <c r="C194" s="1" t="s">
        <v>601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7">
        <v>0</v>
      </c>
      <c r="AE194" s="35">
        <f t="shared" si="27"/>
        <v>0</v>
      </c>
      <c r="AF194" s="34" t="s">
        <v>51</v>
      </c>
      <c r="AG194" s="30" cm="1">
        <f t="array" ref="AG194">DIASQUIEBRE(Q194:AB194)</f>
        <v>0</v>
      </c>
      <c r="AH194" s="30" cm="1">
        <f t="array" ref="AH194">DiasMesesGris(Q194:AB194)</f>
        <v>360</v>
      </c>
      <c r="AI194" s="30">
        <f t="shared" si="29"/>
        <v>360</v>
      </c>
      <c r="AJ194" s="30">
        <f t="shared" si="30"/>
        <v>0</v>
      </c>
      <c r="AK194" s="31">
        <f t="shared" si="31"/>
        <v>0</v>
      </c>
      <c r="AL194" s="32">
        <f t="shared" si="28"/>
        <v>0</v>
      </c>
    </row>
    <row r="195" spans="1:38" x14ac:dyDescent="0.25">
      <c r="A195" s="1" t="s">
        <v>602</v>
      </c>
      <c r="B195" s="1" t="s">
        <v>603</v>
      </c>
      <c r="C195" s="1" t="s">
        <v>604</v>
      </c>
      <c r="D195" s="5">
        <v>11</v>
      </c>
      <c r="E195" s="5">
        <v>12</v>
      </c>
      <c r="F195" s="5">
        <v>7</v>
      </c>
      <c r="G195" s="5">
        <v>19</v>
      </c>
      <c r="H195" s="5">
        <v>8</v>
      </c>
      <c r="I195" s="5">
        <v>19</v>
      </c>
      <c r="J195" s="5">
        <v>14</v>
      </c>
      <c r="K195" s="5">
        <v>8</v>
      </c>
      <c r="L195" s="5">
        <v>11</v>
      </c>
      <c r="M195" s="5">
        <v>10</v>
      </c>
      <c r="N195" s="5">
        <v>15</v>
      </c>
      <c r="O195" s="5">
        <v>9</v>
      </c>
      <c r="P195" s="5">
        <v>8</v>
      </c>
      <c r="Q195" s="8">
        <f t="shared" ref="Q195" si="48">D195/30</f>
        <v>0.36666666666666664</v>
      </c>
      <c r="R195" s="6">
        <v>0.3871</v>
      </c>
      <c r="S195" s="6">
        <v>0.2029</v>
      </c>
      <c r="T195" s="6">
        <v>0.6129</v>
      </c>
      <c r="U195" s="6">
        <v>0.26669999999999999</v>
      </c>
      <c r="V195" s="6">
        <v>0.6129</v>
      </c>
      <c r="W195" s="6">
        <v>0.5645</v>
      </c>
      <c r="X195" s="6">
        <v>0.33610000000000001</v>
      </c>
      <c r="Y195" s="6">
        <v>0.3226</v>
      </c>
      <c r="Z195" s="6">
        <v>0.37040000000000001</v>
      </c>
      <c r="AA195" s="6">
        <v>0.46079999999999999</v>
      </c>
      <c r="AB195" s="6">
        <v>0.26090000000000002</v>
      </c>
      <c r="AC195" s="7">
        <v>0.2581</v>
      </c>
      <c r="AD195" s="35">
        <v>0.39979999999999999</v>
      </c>
      <c r="AE195" s="35">
        <f t="shared" ref="AE195:AE258" si="49">AVERAGE(V195:AB195)</f>
        <v>0.41831428571428569</v>
      </c>
      <c r="AF195" s="34" t="s">
        <v>35</v>
      </c>
      <c r="AG195" s="30" cm="1">
        <f t="array" ref="AG195">DIASQUIEBRE(Q195:AB195)</f>
        <v>10</v>
      </c>
      <c r="AH195" s="30" cm="1">
        <f t="array" ref="AH195">DiasMesesGris(Q195:AB195)</f>
        <v>0</v>
      </c>
      <c r="AI195" s="30">
        <f t="shared" si="29"/>
        <v>10</v>
      </c>
      <c r="AJ195" s="30">
        <f t="shared" si="30"/>
        <v>350</v>
      </c>
      <c r="AK195" s="31">
        <f t="shared" si="31"/>
        <v>143</v>
      </c>
      <c r="AL195" s="32">
        <f t="shared" ref="AL195:AL258" si="50">IFERROR(AK195/AJ195,0)</f>
        <v>0.40857142857142859</v>
      </c>
    </row>
    <row r="196" spans="1:38" x14ac:dyDescent="0.25">
      <c r="A196" s="1" t="s">
        <v>605</v>
      </c>
      <c r="B196" s="1" t="s">
        <v>606</v>
      </c>
      <c r="C196" s="1" t="s">
        <v>607</v>
      </c>
      <c r="D196" s="3"/>
      <c r="E196" s="3"/>
      <c r="F196" s="3"/>
      <c r="G196" s="5">
        <v>1</v>
      </c>
      <c r="H196" s="3"/>
      <c r="I196" s="3"/>
      <c r="J196" s="3"/>
      <c r="K196" s="5">
        <v>1</v>
      </c>
      <c r="L196" s="3"/>
      <c r="M196" s="3"/>
      <c r="N196" s="3"/>
      <c r="O196" s="3"/>
      <c r="P196" s="3"/>
      <c r="Q196" s="6">
        <v>0</v>
      </c>
      <c r="R196" s="6">
        <v>0</v>
      </c>
      <c r="S196" s="6">
        <v>0</v>
      </c>
      <c r="T196" s="6">
        <v>3.2300000000000002E-2</v>
      </c>
      <c r="U196" s="6">
        <v>0</v>
      </c>
      <c r="V196" s="6">
        <v>0</v>
      </c>
      <c r="W196" s="6">
        <v>0</v>
      </c>
      <c r="X196" s="8">
        <f t="shared" ref="X196" si="51">K196/30</f>
        <v>3.3333333333333333E-2</v>
      </c>
      <c r="Y196" s="9">
        <v>0</v>
      </c>
      <c r="Z196" s="9">
        <v>0</v>
      </c>
      <c r="AA196" s="9">
        <v>0</v>
      </c>
      <c r="AB196" s="9">
        <v>0</v>
      </c>
      <c r="AC196" s="7">
        <v>0</v>
      </c>
      <c r="AD196" s="35">
        <v>4.5999999999999999E-3</v>
      </c>
      <c r="AE196" s="35">
        <f t="shared" si="49"/>
        <v>4.7619047619047615E-3</v>
      </c>
      <c r="AF196" s="34" t="s">
        <v>35</v>
      </c>
      <c r="AG196" s="30" cm="1">
        <f t="array" ref="AG196">DIASQUIEBRE(Q196:AB196)</f>
        <v>26</v>
      </c>
      <c r="AH196" s="30" cm="1">
        <f t="array" ref="AH196">DiasMesesGris(Q196:AB196)</f>
        <v>120</v>
      </c>
      <c r="AI196" s="30">
        <f t="shared" ref="AI196:AI259" si="52">AG196+AH196</f>
        <v>146</v>
      </c>
      <c r="AJ196" s="30">
        <f t="shared" ref="AJ196:AJ259" si="53">360-AI196</f>
        <v>214</v>
      </c>
      <c r="AK196" s="31">
        <f t="shared" ref="AK196:AK259" si="54">SUM(D196:O196)</f>
        <v>2</v>
      </c>
      <c r="AL196" s="32">
        <f t="shared" si="50"/>
        <v>9.3457943925233638E-3</v>
      </c>
    </row>
    <row r="197" spans="1:38" x14ac:dyDescent="0.25">
      <c r="A197" s="1" t="s">
        <v>608</v>
      </c>
      <c r="B197" s="1" t="s">
        <v>609</v>
      </c>
      <c r="C197" s="1" t="s">
        <v>610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7">
        <v>0</v>
      </c>
      <c r="AE197" s="35">
        <f t="shared" si="49"/>
        <v>0</v>
      </c>
      <c r="AF197" s="34" t="s">
        <v>51</v>
      </c>
      <c r="AG197" s="30" cm="1">
        <f t="array" ref="AG197">DIASQUIEBRE(Q197:AB197)</f>
        <v>0</v>
      </c>
      <c r="AH197" s="30" cm="1">
        <f t="array" ref="AH197">DiasMesesGris(Q197:AB197)</f>
        <v>360</v>
      </c>
      <c r="AI197" s="30">
        <f t="shared" si="52"/>
        <v>360</v>
      </c>
      <c r="AJ197" s="30">
        <f t="shared" si="53"/>
        <v>0</v>
      </c>
      <c r="AK197" s="31">
        <f t="shared" si="54"/>
        <v>0</v>
      </c>
      <c r="AL197" s="32">
        <f t="shared" si="50"/>
        <v>0</v>
      </c>
    </row>
    <row r="198" spans="1:38" x14ac:dyDescent="0.25">
      <c r="A198" s="1" t="s">
        <v>611</v>
      </c>
      <c r="B198" s="1" t="s">
        <v>612</v>
      </c>
      <c r="C198" s="1" t="s">
        <v>613</v>
      </c>
      <c r="D198" s="3"/>
      <c r="E198" s="3"/>
      <c r="F198" s="3"/>
      <c r="G198" s="5">
        <v>4</v>
      </c>
      <c r="H198" s="3"/>
      <c r="I198" s="3"/>
      <c r="J198" s="5">
        <v>5</v>
      </c>
      <c r="K198" s="3"/>
      <c r="L198" s="3"/>
      <c r="M198" s="5">
        <v>2</v>
      </c>
      <c r="N198" s="3"/>
      <c r="O198" s="3"/>
      <c r="P198" s="3"/>
      <c r="Q198" s="8">
        <v>0</v>
      </c>
      <c r="R198" s="6">
        <v>0</v>
      </c>
      <c r="S198" s="6">
        <v>0</v>
      </c>
      <c r="T198" s="6">
        <v>0.129</v>
      </c>
      <c r="U198" s="6">
        <v>0</v>
      </c>
      <c r="V198" s="6">
        <v>0</v>
      </c>
      <c r="W198" s="6">
        <v>0.2016</v>
      </c>
      <c r="X198" s="6">
        <v>0</v>
      </c>
      <c r="Y198" s="6">
        <v>0</v>
      </c>
      <c r="Z198" s="6">
        <v>7.4099999999999999E-2</v>
      </c>
      <c r="AA198" s="6">
        <v>0</v>
      </c>
      <c r="AB198" s="6">
        <v>0</v>
      </c>
      <c r="AC198" s="7">
        <v>0</v>
      </c>
      <c r="AD198" s="35">
        <v>3.6799999999999999E-2</v>
      </c>
      <c r="AE198" s="35">
        <f t="shared" si="49"/>
        <v>3.9385714285714288E-2</v>
      </c>
      <c r="AF198" s="34" t="s">
        <v>35</v>
      </c>
      <c r="AG198" s="30" cm="1">
        <f t="array" ref="AG198">DIASQUIEBRE(Q198:AB198)</f>
        <v>20</v>
      </c>
      <c r="AH198" s="30" cm="1">
        <f t="array" ref="AH198">DiasMesesGris(Q198:AB198)</f>
        <v>0</v>
      </c>
      <c r="AI198" s="30">
        <f t="shared" si="52"/>
        <v>20</v>
      </c>
      <c r="AJ198" s="30">
        <f t="shared" si="53"/>
        <v>340</v>
      </c>
      <c r="AK198" s="31">
        <f t="shared" si="54"/>
        <v>11</v>
      </c>
      <c r="AL198" s="32">
        <f t="shared" si="50"/>
        <v>3.2352941176470591E-2</v>
      </c>
    </row>
    <row r="199" spans="1:38" x14ac:dyDescent="0.25">
      <c r="A199" s="1" t="s">
        <v>614</v>
      </c>
      <c r="B199" s="1" t="s">
        <v>615</v>
      </c>
      <c r="C199" s="1" t="s">
        <v>616</v>
      </c>
      <c r="D199" s="5">
        <v>7</v>
      </c>
      <c r="E199" s="5">
        <v>2</v>
      </c>
      <c r="F199" s="5">
        <v>9</v>
      </c>
      <c r="G199" s="5">
        <v>1</v>
      </c>
      <c r="H199" s="5">
        <v>3</v>
      </c>
      <c r="I199" s="5">
        <v>13</v>
      </c>
      <c r="J199" s="5">
        <v>10</v>
      </c>
      <c r="K199" s="5">
        <v>3</v>
      </c>
      <c r="L199" s="5">
        <v>7</v>
      </c>
      <c r="M199" s="5">
        <v>15</v>
      </c>
      <c r="N199" s="5">
        <v>10</v>
      </c>
      <c r="O199" s="5">
        <v>18</v>
      </c>
      <c r="P199" s="3"/>
      <c r="Q199" s="6">
        <v>0.2258</v>
      </c>
      <c r="R199" s="6">
        <v>6.4500000000000002E-2</v>
      </c>
      <c r="S199" s="6">
        <v>0.26090000000000002</v>
      </c>
      <c r="T199" s="6">
        <v>3.2300000000000002E-2</v>
      </c>
      <c r="U199" s="6">
        <v>0.1</v>
      </c>
      <c r="V199" s="6">
        <v>0.4194</v>
      </c>
      <c r="W199" s="6">
        <v>0.4032</v>
      </c>
      <c r="X199" s="6">
        <v>0.12609999999999999</v>
      </c>
      <c r="Y199" s="6">
        <v>0.20530000000000001</v>
      </c>
      <c r="Z199" s="6">
        <v>0.55559999999999998</v>
      </c>
      <c r="AA199" s="6">
        <v>0.30719999999999997</v>
      </c>
      <c r="AB199" s="6">
        <v>0.52170000000000005</v>
      </c>
      <c r="AC199" s="7">
        <v>0</v>
      </c>
      <c r="AD199" s="35">
        <v>0.26850000000000002</v>
      </c>
      <c r="AE199" s="35">
        <f t="shared" si="49"/>
        <v>0.36264285714285716</v>
      </c>
      <c r="AF199" s="34" t="s">
        <v>35</v>
      </c>
      <c r="AG199" s="30" cm="1">
        <f t="array" ref="AG199">DIASQUIEBRE(Q199:AB199)</f>
        <v>0</v>
      </c>
      <c r="AH199" s="30" cm="1">
        <f t="array" ref="AH199">DiasMesesGris(Q199:AB199)</f>
        <v>0</v>
      </c>
      <c r="AI199" s="30">
        <f t="shared" si="52"/>
        <v>0</v>
      </c>
      <c r="AJ199" s="30">
        <f t="shared" si="53"/>
        <v>360</v>
      </c>
      <c r="AK199" s="31">
        <f t="shared" si="54"/>
        <v>98</v>
      </c>
      <c r="AL199" s="32">
        <f t="shared" si="50"/>
        <v>0.2722222222222222</v>
      </c>
    </row>
    <row r="200" spans="1:38" x14ac:dyDescent="0.25">
      <c r="A200" s="1" t="s">
        <v>617</v>
      </c>
      <c r="B200" s="1" t="s">
        <v>618</v>
      </c>
      <c r="C200" s="1" t="s">
        <v>619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7">
        <v>0</v>
      </c>
      <c r="AE200" s="35">
        <f t="shared" si="49"/>
        <v>0</v>
      </c>
      <c r="AF200" s="34" t="s">
        <v>51</v>
      </c>
      <c r="AG200" s="30" cm="1">
        <f t="array" ref="AG200">DIASQUIEBRE(Q200:AB200)</f>
        <v>0</v>
      </c>
      <c r="AH200" s="30" cm="1">
        <f t="array" ref="AH200">DiasMesesGris(Q200:AB200)</f>
        <v>360</v>
      </c>
      <c r="AI200" s="30">
        <f t="shared" si="52"/>
        <v>360</v>
      </c>
      <c r="AJ200" s="30">
        <f t="shared" si="53"/>
        <v>0</v>
      </c>
      <c r="AK200" s="31">
        <f t="shared" si="54"/>
        <v>0</v>
      </c>
      <c r="AL200" s="32">
        <f t="shared" si="50"/>
        <v>0</v>
      </c>
    </row>
    <row r="201" spans="1:38" x14ac:dyDescent="0.25">
      <c r="A201" s="1" t="s">
        <v>620</v>
      </c>
      <c r="B201" s="1" t="s">
        <v>621</v>
      </c>
      <c r="C201" s="1" t="s">
        <v>622</v>
      </c>
      <c r="D201" s="5">
        <v>1</v>
      </c>
      <c r="E201" s="3"/>
      <c r="F201" s="5">
        <v>1</v>
      </c>
      <c r="G201" s="5">
        <v>1</v>
      </c>
      <c r="H201" s="3"/>
      <c r="I201" s="3"/>
      <c r="J201" s="3"/>
      <c r="K201" s="3"/>
      <c r="L201" s="3"/>
      <c r="M201" s="3"/>
      <c r="N201" s="3"/>
      <c r="O201" s="3"/>
      <c r="P201" s="3"/>
      <c r="Q201" s="6">
        <v>3.2300000000000002E-2</v>
      </c>
      <c r="R201" s="6">
        <v>0</v>
      </c>
      <c r="S201" s="8">
        <f t="shared" ref="S201" si="55">F201/30</f>
        <v>3.3333333333333333E-2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7">
        <v>0</v>
      </c>
      <c r="AD201" s="35">
        <v>1.6199999999999999E-2</v>
      </c>
      <c r="AE201" s="35">
        <f t="shared" si="49"/>
        <v>0</v>
      </c>
      <c r="AF201" s="34" t="s">
        <v>35</v>
      </c>
      <c r="AG201" s="30" cm="1">
        <f t="array" ref="AG201">DIASQUIEBRE(Q201:AB201)</f>
        <v>16</v>
      </c>
      <c r="AH201" s="30" cm="1">
        <f t="array" ref="AH201">DiasMesesGris(Q201:AB201)</f>
        <v>270</v>
      </c>
      <c r="AI201" s="30">
        <f t="shared" si="52"/>
        <v>286</v>
      </c>
      <c r="AJ201" s="30">
        <f t="shared" si="53"/>
        <v>74</v>
      </c>
      <c r="AK201" s="31">
        <f t="shared" si="54"/>
        <v>3</v>
      </c>
      <c r="AL201" s="32">
        <f t="shared" si="50"/>
        <v>4.0540540540540543E-2</v>
      </c>
    </row>
    <row r="202" spans="1:38" x14ac:dyDescent="0.25">
      <c r="A202" s="1" t="s">
        <v>623</v>
      </c>
      <c r="B202" s="1" t="s">
        <v>624</v>
      </c>
      <c r="C202" s="1" t="s">
        <v>625</v>
      </c>
      <c r="D202" s="5">
        <v>5</v>
      </c>
      <c r="E202" s="5">
        <v>11</v>
      </c>
      <c r="F202" s="5">
        <v>4</v>
      </c>
      <c r="G202" s="5">
        <v>2</v>
      </c>
      <c r="H202" s="5">
        <v>4</v>
      </c>
      <c r="I202" s="5">
        <v>18</v>
      </c>
      <c r="J202" s="5">
        <v>3</v>
      </c>
      <c r="K202" s="5">
        <v>14</v>
      </c>
      <c r="L202" s="5">
        <v>5</v>
      </c>
      <c r="M202" s="5">
        <v>2</v>
      </c>
      <c r="N202" s="5">
        <v>8</v>
      </c>
      <c r="O202" s="5">
        <v>7</v>
      </c>
      <c r="P202" s="3"/>
      <c r="Q202" s="8">
        <v>0.3846</v>
      </c>
      <c r="R202" s="6">
        <v>0.3548</v>
      </c>
      <c r="S202" s="6">
        <v>0.1159</v>
      </c>
      <c r="T202" s="6">
        <v>6.4500000000000002E-2</v>
      </c>
      <c r="U202" s="6">
        <v>0.1333</v>
      </c>
      <c r="V202" s="6">
        <v>0.5806</v>
      </c>
      <c r="W202" s="6">
        <v>0.121</v>
      </c>
      <c r="X202" s="6">
        <v>0.58819999999999995</v>
      </c>
      <c r="Y202" s="6">
        <v>0.14660000000000001</v>
      </c>
      <c r="Z202" s="6">
        <v>7.4099999999999999E-2</v>
      </c>
      <c r="AA202" s="6">
        <v>0.24579999999999999</v>
      </c>
      <c r="AB202" s="6">
        <v>0.2029</v>
      </c>
      <c r="AC202" s="7">
        <v>0</v>
      </c>
      <c r="AD202" s="35">
        <v>0.2389</v>
      </c>
      <c r="AE202" s="35">
        <f t="shared" si="49"/>
        <v>0.27988571428571435</v>
      </c>
      <c r="AF202" s="34" t="s">
        <v>35</v>
      </c>
      <c r="AG202" s="30" cm="1">
        <f t="array" ref="AG202">DIASQUIEBRE(Q202:AB202)</f>
        <v>18</v>
      </c>
      <c r="AH202" s="30" cm="1">
        <f t="array" ref="AH202">DiasMesesGris(Q202:AB202)</f>
        <v>0</v>
      </c>
      <c r="AI202" s="30">
        <f t="shared" si="52"/>
        <v>18</v>
      </c>
      <c r="AJ202" s="30">
        <f t="shared" si="53"/>
        <v>342</v>
      </c>
      <c r="AK202" s="31">
        <f t="shared" si="54"/>
        <v>83</v>
      </c>
      <c r="AL202" s="32">
        <f t="shared" si="50"/>
        <v>0.24269005847953215</v>
      </c>
    </row>
    <row r="203" spans="1:38" x14ac:dyDescent="0.25">
      <c r="A203" s="1" t="s">
        <v>626</v>
      </c>
      <c r="B203" s="1" t="s">
        <v>627</v>
      </c>
      <c r="C203" s="1" t="s">
        <v>628</v>
      </c>
      <c r="D203" s="5">
        <v>3</v>
      </c>
      <c r="E203" s="5">
        <v>12</v>
      </c>
      <c r="F203" s="5">
        <v>19</v>
      </c>
      <c r="G203" s="5">
        <v>21</v>
      </c>
      <c r="H203" s="5">
        <v>17</v>
      </c>
      <c r="I203" s="5">
        <v>20</v>
      </c>
      <c r="J203" s="5">
        <v>6</v>
      </c>
      <c r="K203" s="5">
        <v>5</v>
      </c>
      <c r="L203" s="5">
        <v>10</v>
      </c>
      <c r="M203" s="5">
        <v>11</v>
      </c>
      <c r="N203" s="5">
        <v>6</v>
      </c>
      <c r="O203" s="5">
        <v>12</v>
      </c>
      <c r="P203" s="3"/>
      <c r="Q203" s="6">
        <v>9.6799999999999997E-2</v>
      </c>
      <c r="R203" s="6">
        <v>0.3871</v>
      </c>
      <c r="S203" s="6">
        <v>0.55069999999999997</v>
      </c>
      <c r="T203" s="6">
        <v>0.6774</v>
      </c>
      <c r="U203" s="6">
        <v>0.56669999999999998</v>
      </c>
      <c r="V203" s="6">
        <v>0.6452</v>
      </c>
      <c r="W203" s="6">
        <v>0.2419</v>
      </c>
      <c r="X203" s="6">
        <v>0.21010000000000001</v>
      </c>
      <c r="Y203" s="6">
        <v>0.29330000000000001</v>
      </c>
      <c r="Z203" s="6">
        <v>0.40739999999999998</v>
      </c>
      <c r="AA203" s="6">
        <v>0.18429999999999999</v>
      </c>
      <c r="AB203" s="6">
        <v>0.3478</v>
      </c>
      <c r="AC203" s="7">
        <v>0</v>
      </c>
      <c r="AD203" s="35">
        <v>0.3841</v>
      </c>
      <c r="AE203" s="35">
        <f t="shared" si="49"/>
        <v>0.3328571428571428</v>
      </c>
      <c r="AF203" s="34" t="s">
        <v>35</v>
      </c>
      <c r="AG203" s="30" cm="1">
        <f t="array" ref="AG203">DIASQUIEBRE(Q203:AB203)</f>
        <v>0</v>
      </c>
      <c r="AH203" s="30" cm="1">
        <f t="array" ref="AH203">DiasMesesGris(Q203:AB203)</f>
        <v>0</v>
      </c>
      <c r="AI203" s="30">
        <f t="shared" si="52"/>
        <v>0</v>
      </c>
      <c r="AJ203" s="30">
        <f t="shared" si="53"/>
        <v>360</v>
      </c>
      <c r="AK203" s="31">
        <f t="shared" si="54"/>
        <v>142</v>
      </c>
      <c r="AL203" s="32">
        <f t="shared" si="50"/>
        <v>0.39444444444444443</v>
      </c>
    </row>
    <row r="204" spans="1:38" x14ac:dyDescent="0.25">
      <c r="A204" s="1" t="s">
        <v>629</v>
      </c>
      <c r="B204" s="1" t="s">
        <v>630</v>
      </c>
      <c r="C204" s="1" t="s">
        <v>631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7">
        <v>0</v>
      </c>
      <c r="AE204" s="35">
        <f t="shared" si="49"/>
        <v>0</v>
      </c>
      <c r="AF204" s="34" t="s">
        <v>51</v>
      </c>
      <c r="AG204" s="30" cm="1">
        <f t="array" ref="AG204">DIASQUIEBRE(Q204:AB204)</f>
        <v>0</v>
      </c>
      <c r="AH204" s="30" cm="1">
        <f t="array" ref="AH204">DiasMesesGris(Q204:AB204)</f>
        <v>360</v>
      </c>
      <c r="AI204" s="30">
        <f t="shared" si="52"/>
        <v>360</v>
      </c>
      <c r="AJ204" s="30">
        <f t="shared" si="53"/>
        <v>0</v>
      </c>
      <c r="AK204" s="31">
        <f t="shared" si="54"/>
        <v>0</v>
      </c>
      <c r="AL204" s="32">
        <f t="shared" si="50"/>
        <v>0</v>
      </c>
    </row>
    <row r="205" spans="1:38" x14ac:dyDescent="0.25">
      <c r="A205" s="1" t="s">
        <v>632</v>
      </c>
      <c r="B205" s="1" t="s">
        <v>633</v>
      </c>
      <c r="C205" s="1" t="s">
        <v>634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7">
        <v>0</v>
      </c>
      <c r="AE205" s="35">
        <f t="shared" si="49"/>
        <v>0</v>
      </c>
      <c r="AF205" s="34" t="s">
        <v>51</v>
      </c>
      <c r="AG205" s="30" cm="1">
        <f t="array" ref="AG205">DIASQUIEBRE(Q205:AB205)</f>
        <v>0</v>
      </c>
      <c r="AH205" s="30" cm="1">
        <f t="array" ref="AH205">DiasMesesGris(Q205:AB205)</f>
        <v>360</v>
      </c>
      <c r="AI205" s="30">
        <f t="shared" si="52"/>
        <v>360</v>
      </c>
      <c r="AJ205" s="30">
        <f t="shared" si="53"/>
        <v>0</v>
      </c>
      <c r="AK205" s="31">
        <f t="shared" si="54"/>
        <v>0</v>
      </c>
      <c r="AL205" s="32">
        <f t="shared" si="50"/>
        <v>0</v>
      </c>
    </row>
    <row r="206" spans="1:38" x14ac:dyDescent="0.25">
      <c r="A206" s="1" t="s">
        <v>635</v>
      </c>
      <c r="B206" s="1" t="s">
        <v>636</v>
      </c>
      <c r="C206" s="1" t="s">
        <v>637</v>
      </c>
      <c r="D206" s="3"/>
      <c r="E206" s="3"/>
      <c r="F206" s="3"/>
      <c r="G206" s="5">
        <v>2</v>
      </c>
      <c r="H206" s="3"/>
      <c r="I206" s="3"/>
      <c r="J206" s="3"/>
      <c r="K206" s="3"/>
      <c r="L206" s="3"/>
      <c r="M206" s="3"/>
      <c r="N206" s="3"/>
      <c r="O206" s="3"/>
      <c r="P206" s="3"/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7">
        <v>0</v>
      </c>
      <c r="AE206" s="35">
        <f t="shared" si="49"/>
        <v>0</v>
      </c>
      <c r="AF206" s="34" t="s">
        <v>35</v>
      </c>
      <c r="AG206" s="30" cm="1">
        <f t="array" ref="AG206">DIASQUIEBRE(Q206:AB206)</f>
        <v>0</v>
      </c>
      <c r="AH206" s="30" cm="1">
        <f t="array" ref="AH206">DiasMesesGris(Q206:AB206)</f>
        <v>360</v>
      </c>
      <c r="AI206" s="30">
        <f t="shared" si="52"/>
        <v>360</v>
      </c>
      <c r="AJ206" s="30">
        <f t="shared" si="53"/>
        <v>0</v>
      </c>
      <c r="AK206" s="31">
        <f t="shared" si="54"/>
        <v>2</v>
      </c>
      <c r="AL206" s="32">
        <f t="shared" si="50"/>
        <v>0</v>
      </c>
    </row>
    <row r="207" spans="1:38" x14ac:dyDescent="0.25">
      <c r="A207" s="1" t="s">
        <v>638</v>
      </c>
      <c r="B207" s="1" t="s">
        <v>639</v>
      </c>
      <c r="C207" s="1" t="s">
        <v>640</v>
      </c>
      <c r="D207" s="3"/>
      <c r="E207" s="3"/>
      <c r="F207" s="3"/>
      <c r="G207" s="3"/>
      <c r="H207" s="3"/>
      <c r="I207" s="3"/>
      <c r="J207" s="5">
        <v>2</v>
      </c>
      <c r="K207" s="3"/>
      <c r="L207" s="3"/>
      <c r="M207" s="3"/>
      <c r="N207" s="3"/>
      <c r="O207" s="3"/>
      <c r="P207" s="3"/>
      <c r="Q207" s="9">
        <v>0</v>
      </c>
      <c r="R207" s="9">
        <v>0</v>
      </c>
      <c r="S207" s="9">
        <v>0</v>
      </c>
      <c r="T207" s="8">
        <f t="shared" ref="T207" si="56">G207/30</f>
        <v>0</v>
      </c>
      <c r="U207" s="6">
        <v>0</v>
      </c>
      <c r="V207" s="6">
        <v>0</v>
      </c>
      <c r="W207" s="6">
        <v>8.0600000000000005E-2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7">
        <v>0</v>
      </c>
      <c r="AD207" s="35">
        <v>1.01E-2</v>
      </c>
      <c r="AE207" s="35">
        <f t="shared" si="49"/>
        <v>1.1514285714285715E-2</v>
      </c>
      <c r="AF207" s="34" t="s">
        <v>35</v>
      </c>
      <c r="AG207" s="30" cm="1">
        <f t="array" ref="AG207">DIASQUIEBRE(Q207:AB207)</f>
        <v>15</v>
      </c>
      <c r="AH207" s="30" cm="1">
        <f t="array" ref="AH207">DiasMesesGris(Q207:AB207)</f>
        <v>90</v>
      </c>
      <c r="AI207" s="30">
        <f t="shared" si="52"/>
        <v>105</v>
      </c>
      <c r="AJ207" s="30">
        <f t="shared" si="53"/>
        <v>255</v>
      </c>
      <c r="AK207" s="31">
        <f t="shared" si="54"/>
        <v>2</v>
      </c>
      <c r="AL207" s="32">
        <f t="shared" si="50"/>
        <v>7.8431372549019607E-3</v>
      </c>
    </row>
    <row r="208" spans="1:38" x14ac:dyDescent="0.25">
      <c r="A208" s="1" t="s">
        <v>641</v>
      </c>
      <c r="B208" s="1" t="s">
        <v>642</v>
      </c>
      <c r="C208" s="1" t="s">
        <v>643</v>
      </c>
      <c r="D208" s="3"/>
      <c r="E208" s="3"/>
      <c r="F208" s="3"/>
      <c r="G208" s="5">
        <v>2</v>
      </c>
      <c r="H208" s="3"/>
      <c r="I208" s="3"/>
      <c r="J208" s="3"/>
      <c r="K208" s="3"/>
      <c r="L208" s="3"/>
      <c r="M208" s="3"/>
      <c r="N208" s="3"/>
      <c r="O208" s="3"/>
      <c r="P208" s="3"/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7">
        <v>0</v>
      </c>
      <c r="AE208" s="35">
        <f t="shared" si="49"/>
        <v>0</v>
      </c>
      <c r="AF208" s="34" t="s">
        <v>35</v>
      </c>
      <c r="AG208" s="30" cm="1">
        <f t="array" ref="AG208">DIASQUIEBRE(Q208:AB208)</f>
        <v>0</v>
      </c>
      <c r="AH208" s="30" cm="1">
        <f t="array" ref="AH208">DiasMesesGris(Q208:AB208)</f>
        <v>360</v>
      </c>
      <c r="AI208" s="30">
        <f t="shared" si="52"/>
        <v>360</v>
      </c>
      <c r="AJ208" s="30">
        <f t="shared" si="53"/>
        <v>0</v>
      </c>
      <c r="AK208" s="31">
        <f t="shared" si="54"/>
        <v>2</v>
      </c>
      <c r="AL208" s="32">
        <f t="shared" si="50"/>
        <v>0</v>
      </c>
    </row>
    <row r="209" spans="1:38" x14ac:dyDescent="0.25">
      <c r="A209" s="1" t="s">
        <v>644</v>
      </c>
      <c r="B209" s="1" t="s">
        <v>645</v>
      </c>
      <c r="C209" s="1" t="s">
        <v>646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7">
        <v>0</v>
      </c>
      <c r="AE209" s="35">
        <f t="shared" si="49"/>
        <v>0</v>
      </c>
      <c r="AF209" s="34" t="s">
        <v>35</v>
      </c>
      <c r="AG209" s="30" cm="1">
        <f t="array" ref="AG209">DIASQUIEBRE(Q209:AB209)</f>
        <v>0</v>
      </c>
      <c r="AH209" s="30" cm="1">
        <f t="array" ref="AH209">DiasMesesGris(Q209:AB209)</f>
        <v>360</v>
      </c>
      <c r="AI209" s="30">
        <f t="shared" si="52"/>
        <v>360</v>
      </c>
      <c r="AJ209" s="30">
        <f t="shared" si="53"/>
        <v>0</v>
      </c>
      <c r="AK209" s="31">
        <f t="shared" si="54"/>
        <v>0</v>
      </c>
      <c r="AL209" s="32">
        <f t="shared" si="50"/>
        <v>0</v>
      </c>
    </row>
    <row r="210" spans="1:38" x14ac:dyDescent="0.25">
      <c r="A210" s="1" t="s">
        <v>647</v>
      </c>
      <c r="B210" s="1" t="s">
        <v>648</v>
      </c>
      <c r="C210" s="1" t="s">
        <v>649</v>
      </c>
      <c r="D210" s="5">
        <v>1</v>
      </c>
      <c r="E210" s="5">
        <v>2</v>
      </c>
      <c r="F210" s="5">
        <v>1</v>
      </c>
      <c r="G210" s="3"/>
      <c r="H210" s="5">
        <v>1</v>
      </c>
      <c r="I210" s="3"/>
      <c r="J210" s="3"/>
      <c r="K210" s="5">
        <v>2</v>
      </c>
      <c r="L210" s="3"/>
      <c r="M210" s="3"/>
      <c r="N210" s="3"/>
      <c r="O210" s="3"/>
      <c r="P210" s="3"/>
      <c r="Q210" s="6">
        <v>3.2300000000000002E-2</v>
      </c>
      <c r="R210" s="6">
        <v>6.4500000000000002E-2</v>
      </c>
      <c r="S210" s="6">
        <v>2.9000000000000001E-2</v>
      </c>
      <c r="T210" s="6">
        <v>0</v>
      </c>
      <c r="U210" s="6">
        <v>3.3300000000000003E-2</v>
      </c>
      <c r="V210" s="6">
        <v>0</v>
      </c>
      <c r="W210" s="6">
        <v>0</v>
      </c>
      <c r="X210" s="6">
        <v>8.4000000000000005E-2</v>
      </c>
      <c r="Y210" s="6">
        <v>0</v>
      </c>
      <c r="Z210" s="6">
        <v>0</v>
      </c>
      <c r="AA210" s="6">
        <v>0</v>
      </c>
      <c r="AB210" s="6">
        <v>0</v>
      </c>
      <c r="AC210" s="7">
        <v>0</v>
      </c>
      <c r="AD210" s="35">
        <v>2.0299999999999999E-2</v>
      </c>
      <c r="AE210" s="35">
        <f t="shared" si="49"/>
        <v>1.2E-2</v>
      </c>
      <c r="AF210" s="34" t="s">
        <v>35</v>
      </c>
      <c r="AG210" s="30" cm="1">
        <f t="array" ref="AG210">DIASQUIEBRE(Q210:AB210)</f>
        <v>0</v>
      </c>
      <c r="AH210" s="30" cm="1">
        <f t="array" ref="AH210">DiasMesesGris(Q210:AB210)</f>
        <v>0</v>
      </c>
      <c r="AI210" s="30">
        <f t="shared" si="52"/>
        <v>0</v>
      </c>
      <c r="AJ210" s="30">
        <f t="shared" si="53"/>
        <v>360</v>
      </c>
      <c r="AK210" s="31">
        <f t="shared" si="54"/>
        <v>7</v>
      </c>
      <c r="AL210" s="32">
        <f t="shared" si="50"/>
        <v>1.9444444444444445E-2</v>
      </c>
    </row>
    <row r="211" spans="1:38" x14ac:dyDescent="0.25">
      <c r="A211" s="1" t="s">
        <v>650</v>
      </c>
      <c r="B211" s="1" t="s">
        <v>651</v>
      </c>
      <c r="C211" s="1" t="s">
        <v>652</v>
      </c>
      <c r="D211" s="5">
        <v>76</v>
      </c>
      <c r="E211" s="5">
        <v>43</v>
      </c>
      <c r="F211" s="5">
        <v>92</v>
      </c>
      <c r="G211" s="5">
        <v>71</v>
      </c>
      <c r="H211" s="5">
        <v>60</v>
      </c>
      <c r="I211" s="5">
        <v>49</v>
      </c>
      <c r="J211" s="5">
        <v>66</v>
      </c>
      <c r="K211" s="5">
        <v>45</v>
      </c>
      <c r="L211" s="5">
        <v>77</v>
      </c>
      <c r="M211" s="5">
        <v>76</v>
      </c>
      <c r="N211" s="5">
        <v>54</v>
      </c>
      <c r="O211" s="5">
        <v>54</v>
      </c>
      <c r="P211" s="5">
        <v>2</v>
      </c>
      <c r="Q211" s="6">
        <v>2.4516</v>
      </c>
      <c r="R211" s="6">
        <v>1.3871</v>
      </c>
      <c r="S211" s="6">
        <v>2.6667000000000001</v>
      </c>
      <c r="T211" s="6">
        <v>2.2902999999999998</v>
      </c>
      <c r="U211" s="6">
        <v>2</v>
      </c>
      <c r="V211" s="6">
        <v>1.5806</v>
      </c>
      <c r="W211" s="6">
        <v>2.6613000000000002</v>
      </c>
      <c r="X211" s="6">
        <v>1.8908</v>
      </c>
      <c r="Y211" s="6">
        <v>2.2581000000000002</v>
      </c>
      <c r="Z211" s="6">
        <v>2.8148</v>
      </c>
      <c r="AA211" s="6">
        <v>1.659</v>
      </c>
      <c r="AB211" s="6">
        <v>1.5651999999999999</v>
      </c>
      <c r="AC211" s="7">
        <v>6.4500000000000002E-2</v>
      </c>
      <c r="AD211" s="35">
        <v>2.1021000000000001</v>
      </c>
      <c r="AE211" s="35">
        <f t="shared" si="49"/>
        <v>2.0613999999999999</v>
      </c>
      <c r="AF211" s="34" t="s">
        <v>35</v>
      </c>
      <c r="AG211" s="30" cm="1">
        <f t="array" ref="AG211">DIASQUIEBRE(Q211:AB211)</f>
        <v>0</v>
      </c>
      <c r="AH211" s="30" cm="1">
        <f t="array" ref="AH211">DiasMesesGris(Q211:AB211)</f>
        <v>0</v>
      </c>
      <c r="AI211" s="30">
        <f t="shared" si="52"/>
        <v>0</v>
      </c>
      <c r="AJ211" s="30">
        <f t="shared" si="53"/>
        <v>360</v>
      </c>
      <c r="AK211" s="31">
        <f t="shared" si="54"/>
        <v>763</v>
      </c>
      <c r="AL211" s="32">
        <f t="shared" si="50"/>
        <v>2.1194444444444445</v>
      </c>
    </row>
    <row r="212" spans="1:38" x14ac:dyDescent="0.25">
      <c r="A212" s="1" t="s">
        <v>653</v>
      </c>
      <c r="B212" s="1" t="s">
        <v>654</v>
      </c>
      <c r="C212" s="1" t="s">
        <v>655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5">
        <v>2</v>
      </c>
      <c r="O212" s="3"/>
      <c r="P212" s="3"/>
      <c r="Q212" s="9">
        <v>0</v>
      </c>
      <c r="R212" s="9">
        <v>0</v>
      </c>
      <c r="S212" s="9">
        <v>0</v>
      </c>
      <c r="T212" s="8">
        <f t="shared" ref="T212" si="57">G212/30</f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6.1400000000000003E-2</v>
      </c>
      <c r="AB212" s="6">
        <v>0</v>
      </c>
      <c r="AC212" s="7">
        <v>0</v>
      </c>
      <c r="AD212" s="35">
        <v>7.7000000000000002E-3</v>
      </c>
      <c r="AE212" s="35">
        <f t="shared" si="49"/>
        <v>8.7714285714285724E-3</v>
      </c>
      <c r="AF212" s="34" t="s">
        <v>35</v>
      </c>
      <c r="AG212" s="30" cm="1">
        <f t="array" ref="AG212">DIASQUIEBRE(Q212:AB212)</f>
        <v>15</v>
      </c>
      <c r="AH212" s="30" cm="1">
        <f t="array" ref="AH212">DiasMesesGris(Q212:AB212)</f>
        <v>90</v>
      </c>
      <c r="AI212" s="30">
        <f t="shared" si="52"/>
        <v>105</v>
      </c>
      <c r="AJ212" s="30">
        <f t="shared" si="53"/>
        <v>255</v>
      </c>
      <c r="AK212" s="31">
        <f t="shared" si="54"/>
        <v>2</v>
      </c>
      <c r="AL212" s="32">
        <f t="shared" si="50"/>
        <v>7.8431372549019607E-3</v>
      </c>
    </row>
    <row r="213" spans="1:38" x14ac:dyDescent="0.25">
      <c r="A213" s="1" t="s">
        <v>656</v>
      </c>
      <c r="B213" s="1" t="s">
        <v>657</v>
      </c>
      <c r="C213" s="1" t="s">
        <v>658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5">
        <v>1</v>
      </c>
      <c r="O213" s="3"/>
      <c r="P213" s="3"/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3.0700000000000002E-2</v>
      </c>
      <c r="AB213" s="6">
        <v>0</v>
      </c>
      <c r="AC213" s="7">
        <v>0</v>
      </c>
      <c r="AD213" s="35">
        <v>2.5999999999999999E-3</v>
      </c>
      <c r="AE213" s="35">
        <f t="shared" si="49"/>
        <v>4.3857142857142862E-3</v>
      </c>
      <c r="AF213" s="34" t="s">
        <v>35</v>
      </c>
      <c r="AG213" s="30" cm="1">
        <f t="array" ref="AG213">DIASQUIEBRE(Q213:AB213)</f>
        <v>0</v>
      </c>
      <c r="AH213" s="30" cm="1">
        <f t="array" ref="AH213">DiasMesesGris(Q213:AB213)</f>
        <v>0</v>
      </c>
      <c r="AI213" s="30">
        <f t="shared" si="52"/>
        <v>0</v>
      </c>
      <c r="AJ213" s="30">
        <f t="shared" si="53"/>
        <v>360</v>
      </c>
      <c r="AK213" s="31">
        <f t="shared" si="54"/>
        <v>1</v>
      </c>
      <c r="AL213" s="32">
        <f t="shared" si="50"/>
        <v>2.7777777777777779E-3</v>
      </c>
    </row>
    <row r="214" spans="1:38" x14ac:dyDescent="0.25">
      <c r="A214" s="1" t="s">
        <v>659</v>
      </c>
      <c r="B214" s="1" t="s">
        <v>660</v>
      </c>
      <c r="C214" s="1" t="s">
        <v>661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7">
        <v>0</v>
      </c>
      <c r="AE214" s="35">
        <f t="shared" si="49"/>
        <v>0</v>
      </c>
      <c r="AF214" s="34" t="s">
        <v>51</v>
      </c>
      <c r="AG214" s="30" cm="1">
        <f t="array" ref="AG214">DIASQUIEBRE(Q214:AB214)</f>
        <v>0</v>
      </c>
      <c r="AH214" s="30" cm="1">
        <f t="array" ref="AH214">DiasMesesGris(Q214:AB214)</f>
        <v>360</v>
      </c>
      <c r="AI214" s="30">
        <f t="shared" si="52"/>
        <v>360</v>
      </c>
      <c r="AJ214" s="30">
        <f t="shared" si="53"/>
        <v>0</v>
      </c>
      <c r="AK214" s="31">
        <f t="shared" si="54"/>
        <v>0</v>
      </c>
      <c r="AL214" s="32">
        <f t="shared" si="50"/>
        <v>0</v>
      </c>
    </row>
    <row r="215" spans="1:38" x14ac:dyDescent="0.25">
      <c r="A215" s="1" t="s">
        <v>662</v>
      </c>
      <c r="B215" s="1" t="s">
        <v>663</v>
      </c>
      <c r="C215" s="1" t="s">
        <v>664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7">
        <v>0</v>
      </c>
      <c r="AE215" s="35">
        <f t="shared" si="49"/>
        <v>0</v>
      </c>
      <c r="AF215" s="34" t="s">
        <v>51</v>
      </c>
      <c r="AG215" s="30" cm="1">
        <f t="array" ref="AG215">DIASQUIEBRE(Q215:AB215)</f>
        <v>0</v>
      </c>
      <c r="AH215" s="30" cm="1">
        <f t="array" ref="AH215">DiasMesesGris(Q215:AB215)</f>
        <v>360</v>
      </c>
      <c r="AI215" s="30">
        <f t="shared" si="52"/>
        <v>360</v>
      </c>
      <c r="AJ215" s="30">
        <f t="shared" si="53"/>
        <v>0</v>
      </c>
      <c r="AK215" s="31">
        <f t="shared" si="54"/>
        <v>0</v>
      </c>
      <c r="AL215" s="32">
        <f t="shared" si="50"/>
        <v>0</v>
      </c>
    </row>
    <row r="216" spans="1:38" x14ac:dyDescent="0.25">
      <c r="A216" s="1" t="s">
        <v>665</v>
      </c>
      <c r="B216" s="1" t="s">
        <v>666</v>
      </c>
      <c r="C216" s="1" t="s">
        <v>667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7">
        <v>0</v>
      </c>
      <c r="AE216" s="35">
        <f t="shared" si="49"/>
        <v>0</v>
      </c>
      <c r="AF216" s="34" t="s">
        <v>51</v>
      </c>
      <c r="AG216" s="30" cm="1">
        <f t="array" ref="AG216">DIASQUIEBRE(Q216:AB216)</f>
        <v>0</v>
      </c>
      <c r="AH216" s="30" cm="1">
        <f t="array" ref="AH216">DiasMesesGris(Q216:AB216)</f>
        <v>360</v>
      </c>
      <c r="AI216" s="30">
        <f t="shared" si="52"/>
        <v>360</v>
      </c>
      <c r="AJ216" s="30">
        <f t="shared" si="53"/>
        <v>0</v>
      </c>
      <c r="AK216" s="31">
        <f t="shared" si="54"/>
        <v>0</v>
      </c>
      <c r="AL216" s="32">
        <f t="shared" si="50"/>
        <v>0</v>
      </c>
    </row>
    <row r="217" spans="1:38" x14ac:dyDescent="0.25">
      <c r="A217" s="1" t="s">
        <v>668</v>
      </c>
      <c r="B217" s="1" t="s">
        <v>669</v>
      </c>
      <c r="C217" s="1" t="s">
        <v>670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7">
        <v>0</v>
      </c>
      <c r="AE217" s="35">
        <f t="shared" si="49"/>
        <v>0</v>
      </c>
      <c r="AF217" s="34" t="s">
        <v>51</v>
      </c>
      <c r="AG217" s="30" cm="1">
        <f t="array" ref="AG217">DIASQUIEBRE(Q217:AB217)</f>
        <v>0</v>
      </c>
      <c r="AH217" s="30" cm="1">
        <f t="array" ref="AH217">DiasMesesGris(Q217:AB217)</f>
        <v>360</v>
      </c>
      <c r="AI217" s="30">
        <f t="shared" si="52"/>
        <v>360</v>
      </c>
      <c r="AJ217" s="30">
        <f t="shared" si="53"/>
        <v>0</v>
      </c>
      <c r="AK217" s="31">
        <f t="shared" si="54"/>
        <v>0</v>
      </c>
      <c r="AL217" s="32">
        <f t="shared" si="50"/>
        <v>0</v>
      </c>
    </row>
    <row r="218" spans="1:38" x14ac:dyDescent="0.25">
      <c r="A218" s="1" t="s">
        <v>671</v>
      </c>
      <c r="B218" s="1" t="s">
        <v>672</v>
      </c>
      <c r="C218" s="1" t="s">
        <v>673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7">
        <v>0</v>
      </c>
      <c r="AE218" s="35">
        <f t="shared" si="49"/>
        <v>0</v>
      </c>
      <c r="AF218" s="34" t="s">
        <v>35</v>
      </c>
      <c r="AG218" s="30" cm="1">
        <f t="array" ref="AG218">DIASQUIEBRE(Q218:AB218)</f>
        <v>0</v>
      </c>
      <c r="AH218" s="30" cm="1">
        <f t="array" ref="AH218">DiasMesesGris(Q218:AB218)</f>
        <v>360</v>
      </c>
      <c r="AI218" s="30">
        <f t="shared" si="52"/>
        <v>360</v>
      </c>
      <c r="AJ218" s="30">
        <f t="shared" si="53"/>
        <v>0</v>
      </c>
      <c r="AK218" s="31">
        <f t="shared" si="54"/>
        <v>0</v>
      </c>
      <c r="AL218" s="32">
        <f t="shared" si="50"/>
        <v>0</v>
      </c>
    </row>
    <row r="219" spans="1:38" x14ac:dyDescent="0.25">
      <c r="A219" s="1" t="s">
        <v>674</v>
      </c>
      <c r="B219" s="1" t="s">
        <v>675</v>
      </c>
      <c r="C219" s="1" t="s">
        <v>676</v>
      </c>
      <c r="D219" s="5">
        <v>39</v>
      </c>
      <c r="E219" s="5">
        <v>9</v>
      </c>
      <c r="F219" s="5">
        <v>3</v>
      </c>
      <c r="G219" s="5">
        <v>15</v>
      </c>
      <c r="H219" s="5">
        <v>49</v>
      </c>
      <c r="I219" s="5">
        <v>7</v>
      </c>
      <c r="J219" s="5">
        <v>12</v>
      </c>
      <c r="K219" s="5">
        <v>9</v>
      </c>
      <c r="L219" s="5">
        <v>7</v>
      </c>
      <c r="M219" s="5">
        <v>47</v>
      </c>
      <c r="N219" s="5">
        <v>9</v>
      </c>
      <c r="O219" s="5">
        <v>18</v>
      </c>
      <c r="P219" s="3"/>
      <c r="Q219" s="6">
        <v>1.2581</v>
      </c>
      <c r="R219" s="6">
        <v>0.2903</v>
      </c>
      <c r="S219" s="6">
        <v>8.6999999999999994E-2</v>
      </c>
      <c r="T219" s="6">
        <v>0.4839</v>
      </c>
      <c r="U219" s="6">
        <v>1.6333</v>
      </c>
      <c r="V219" s="6">
        <v>0.2258</v>
      </c>
      <c r="W219" s="6">
        <v>0.4839</v>
      </c>
      <c r="X219" s="6">
        <v>0.37819999999999998</v>
      </c>
      <c r="Y219" s="6">
        <v>0.20530000000000001</v>
      </c>
      <c r="Z219" s="6">
        <v>1.7406999999999999</v>
      </c>
      <c r="AA219" s="6">
        <v>0.27650000000000002</v>
      </c>
      <c r="AB219" s="6">
        <v>0.52170000000000005</v>
      </c>
      <c r="AC219" s="7">
        <v>0</v>
      </c>
      <c r="AD219" s="35">
        <v>0.6321</v>
      </c>
      <c r="AE219" s="35">
        <f t="shared" si="49"/>
        <v>0.54744285714285712</v>
      </c>
      <c r="AF219" s="34" t="s">
        <v>35</v>
      </c>
      <c r="AG219" s="30" cm="1">
        <f t="array" ref="AG219">DIASQUIEBRE(Q219:AB219)</f>
        <v>0</v>
      </c>
      <c r="AH219" s="30" cm="1">
        <f t="array" ref="AH219">DiasMesesGris(Q219:AB219)</f>
        <v>0</v>
      </c>
      <c r="AI219" s="30">
        <f t="shared" si="52"/>
        <v>0</v>
      </c>
      <c r="AJ219" s="30">
        <f t="shared" si="53"/>
        <v>360</v>
      </c>
      <c r="AK219" s="31">
        <f t="shared" si="54"/>
        <v>224</v>
      </c>
      <c r="AL219" s="32">
        <f t="shared" si="50"/>
        <v>0.62222222222222223</v>
      </c>
    </row>
    <row r="220" spans="1:38" x14ac:dyDescent="0.25">
      <c r="A220" s="1" t="s">
        <v>677</v>
      </c>
      <c r="B220" s="1" t="s">
        <v>678</v>
      </c>
      <c r="C220" s="1" t="s">
        <v>679</v>
      </c>
      <c r="D220" s="5">
        <v>1</v>
      </c>
      <c r="E220" s="5">
        <v>2</v>
      </c>
      <c r="F220" s="5">
        <v>2</v>
      </c>
      <c r="G220" s="5">
        <v>2</v>
      </c>
      <c r="H220" s="5">
        <v>3</v>
      </c>
      <c r="I220" s="3"/>
      <c r="J220" s="5">
        <v>1</v>
      </c>
      <c r="K220" s="5">
        <v>3</v>
      </c>
      <c r="L220" s="5">
        <v>4</v>
      </c>
      <c r="M220" s="3"/>
      <c r="N220" s="5">
        <v>4</v>
      </c>
      <c r="O220" s="5">
        <v>3</v>
      </c>
      <c r="P220" s="3"/>
      <c r="Q220" s="6">
        <v>3.2300000000000002E-2</v>
      </c>
      <c r="R220" s="6">
        <v>6.4500000000000002E-2</v>
      </c>
      <c r="S220" s="6">
        <v>5.8000000000000003E-2</v>
      </c>
      <c r="T220" s="6">
        <v>6.4500000000000002E-2</v>
      </c>
      <c r="U220" s="6">
        <v>0.1</v>
      </c>
      <c r="V220" s="6">
        <v>0</v>
      </c>
      <c r="W220" s="6">
        <v>4.0300000000000002E-2</v>
      </c>
      <c r="X220" s="6">
        <v>0.12609999999999999</v>
      </c>
      <c r="Y220" s="6">
        <v>0.1173</v>
      </c>
      <c r="Z220" s="6">
        <v>0</v>
      </c>
      <c r="AA220" s="6">
        <v>0.1229</v>
      </c>
      <c r="AB220" s="6">
        <v>8.6999999999999994E-2</v>
      </c>
      <c r="AC220" s="7">
        <v>0</v>
      </c>
      <c r="AD220" s="35">
        <v>6.7699999999999996E-2</v>
      </c>
      <c r="AE220" s="35">
        <f t="shared" si="49"/>
        <v>7.0514285714285724E-2</v>
      </c>
      <c r="AF220" s="34" t="s">
        <v>35</v>
      </c>
      <c r="AG220" s="30" cm="1">
        <f t="array" ref="AG220">DIASQUIEBRE(Q220:AB220)</f>
        <v>0</v>
      </c>
      <c r="AH220" s="30" cm="1">
        <f t="array" ref="AH220">DiasMesesGris(Q220:AB220)</f>
        <v>0</v>
      </c>
      <c r="AI220" s="30">
        <f t="shared" si="52"/>
        <v>0</v>
      </c>
      <c r="AJ220" s="30">
        <f t="shared" si="53"/>
        <v>360</v>
      </c>
      <c r="AK220" s="31">
        <f t="shared" si="54"/>
        <v>25</v>
      </c>
      <c r="AL220" s="32">
        <f t="shared" si="50"/>
        <v>6.9444444444444448E-2</v>
      </c>
    </row>
    <row r="221" spans="1:38" x14ac:dyDescent="0.25">
      <c r="A221" s="1" t="s">
        <v>680</v>
      </c>
      <c r="B221" s="1" t="s">
        <v>681</v>
      </c>
      <c r="C221" s="1" t="s">
        <v>682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7">
        <v>0</v>
      </c>
      <c r="AE221" s="35">
        <f t="shared" si="49"/>
        <v>0</v>
      </c>
      <c r="AF221" s="34" t="s">
        <v>51</v>
      </c>
      <c r="AG221" s="30" cm="1">
        <f t="array" ref="AG221">DIASQUIEBRE(Q221:AB221)</f>
        <v>0</v>
      </c>
      <c r="AH221" s="30" cm="1">
        <f t="array" ref="AH221">DiasMesesGris(Q221:AB221)</f>
        <v>360</v>
      </c>
      <c r="AI221" s="30">
        <f t="shared" si="52"/>
        <v>360</v>
      </c>
      <c r="AJ221" s="30">
        <f t="shared" si="53"/>
        <v>0</v>
      </c>
      <c r="AK221" s="31">
        <f t="shared" si="54"/>
        <v>0</v>
      </c>
      <c r="AL221" s="32">
        <f t="shared" si="50"/>
        <v>0</v>
      </c>
    </row>
    <row r="222" spans="1:38" x14ac:dyDescent="0.25">
      <c r="A222" s="1" t="s">
        <v>683</v>
      </c>
      <c r="B222" s="1" t="s">
        <v>684</v>
      </c>
      <c r="C222" s="1" t="s">
        <v>685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7">
        <v>0</v>
      </c>
      <c r="AE222" s="35">
        <f t="shared" si="49"/>
        <v>0</v>
      </c>
      <c r="AF222" s="34" t="s">
        <v>51</v>
      </c>
      <c r="AG222" s="30" cm="1">
        <f t="array" ref="AG222">DIASQUIEBRE(Q222:AB222)</f>
        <v>0</v>
      </c>
      <c r="AH222" s="30" cm="1">
        <f t="array" ref="AH222">DiasMesesGris(Q222:AB222)</f>
        <v>360</v>
      </c>
      <c r="AI222" s="30">
        <f t="shared" si="52"/>
        <v>360</v>
      </c>
      <c r="AJ222" s="30">
        <f t="shared" si="53"/>
        <v>0</v>
      </c>
      <c r="AK222" s="31">
        <f t="shared" si="54"/>
        <v>0</v>
      </c>
      <c r="AL222" s="32">
        <f t="shared" si="50"/>
        <v>0</v>
      </c>
    </row>
    <row r="223" spans="1:38" x14ac:dyDescent="0.25">
      <c r="A223" s="1" t="s">
        <v>686</v>
      </c>
      <c r="B223" s="1" t="s">
        <v>687</v>
      </c>
      <c r="C223" s="1" t="s">
        <v>688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7">
        <v>0</v>
      </c>
      <c r="AE223" s="35">
        <f t="shared" si="49"/>
        <v>0</v>
      </c>
      <c r="AF223" s="34" t="s">
        <v>51</v>
      </c>
      <c r="AG223" s="30" cm="1">
        <f t="array" ref="AG223">DIASQUIEBRE(Q223:AB223)</f>
        <v>0</v>
      </c>
      <c r="AH223" s="30" cm="1">
        <f t="array" ref="AH223">DiasMesesGris(Q223:AB223)</f>
        <v>360</v>
      </c>
      <c r="AI223" s="30">
        <f t="shared" si="52"/>
        <v>360</v>
      </c>
      <c r="AJ223" s="30">
        <f t="shared" si="53"/>
        <v>0</v>
      </c>
      <c r="AK223" s="31">
        <f t="shared" si="54"/>
        <v>0</v>
      </c>
      <c r="AL223" s="32">
        <f t="shared" si="50"/>
        <v>0</v>
      </c>
    </row>
    <row r="224" spans="1:38" x14ac:dyDescent="0.25">
      <c r="A224" s="1" t="s">
        <v>689</v>
      </c>
      <c r="B224" s="1" t="s">
        <v>690</v>
      </c>
      <c r="C224" s="1" t="s">
        <v>691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7">
        <v>0</v>
      </c>
      <c r="AE224" s="35">
        <f t="shared" si="49"/>
        <v>0</v>
      </c>
      <c r="AF224" s="34" t="s">
        <v>51</v>
      </c>
      <c r="AG224" s="30" cm="1">
        <f t="array" ref="AG224">DIASQUIEBRE(Q224:AB224)</f>
        <v>0</v>
      </c>
      <c r="AH224" s="30" cm="1">
        <f t="array" ref="AH224">DiasMesesGris(Q224:AB224)</f>
        <v>360</v>
      </c>
      <c r="AI224" s="30">
        <f t="shared" si="52"/>
        <v>360</v>
      </c>
      <c r="AJ224" s="30">
        <f t="shared" si="53"/>
        <v>0</v>
      </c>
      <c r="AK224" s="31">
        <f t="shared" si="54"/>
        <v>0</v>
      </c>
      <c r="AL224" s="32">
        <f t="shared" si="50"/>
        <v>0</v>
      </c>
    </row>
    <row r="225" spans="1:38" x14ac:dyDescent="0.25">
      <c r="A225" s="1" t="s">
        <v>692</v>
      </c>
      <c r="B225" s="1" t="s">
        <v>693</v>
      </c>
      <c r="C225" s="1" t="s">
        <v>694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7">
        <v>0</v>
      </c>
      <c r="AE225" s="35">
        <f t="shared" si="49"/>
        <v>0</v>
      </c>
      <c r="AF225" s="34" t="s">
        <v>51</v>
      </c>
      <c r="AG225" s="30" cm="1">
        <f t="array" ref="AG225">DIASQUIEBRE(Q225:AB225)</f>
        <v>0</v>
      </c>
      <c r="AH225" s="30" cm="1">
        <f t="array" ref="AH225">DiasMesesGris(Q225:AB225)</f>
        <v>360</v>
      </c>
      <c r="AI225" s="30">
        <f t="shared" si="52"/>
        <v>360</v>
      </c>
      <c r="AJ225" s="30">
        <f t="shared" si="53"/>
        <v>0</v>
      </c>
      <c r="AK225" s="31">
        <f t="shared" si="54"/>
        <v>0</v>
      </c>
      <c r="AL225" s="32">
        <f t="shared" si="50"/>
        <v>0</v>
      </c>
    </row>
    <row r="226" spans="1:38" x14ac:dyDescent="0.25">
      <c r="A226" s="1" t="s">
        <v>695</v>
      </c>
      <c r="B226" s="1" t="s">
        <v>696</v>
      </c>
      <c r="C226" s="1" t="s">
        <v>697</v>
      </c>
      <c r="D226" s="5">
        <v>4</v>
      </c>
      <c r="E226" s="5">
        <v>3</v>
      </c>
      <c r="F226" s="5">
        <v>3</v>
      </c>
      <c r="G226" s="5">
        <v>1</v>
      </c>
      <c r="H226" s="5">
        <v>5</v>
      </c>
      <c r="I226" s="5">
        <v>4</v>
      </c>
      <c r="J226" s="5">
        <v>8</v>
      </c>
      <c r="K226" s="5">
        <v>3</v>
      </c>
      <c r="L226" s="5">
        <v>-5</v>
      </c>
      <c r="M226" s="5">
        <v>4</v>
      </c>
      <c r="N226" s="5">
        <v>2</v>
      </c>
      <c r="O226" s="5">
        <v>3</v>
      </c>
      <c r="P226" s="3"/>
      <c r="Q226" s="6">
        <v>0.129</v>
      </c>
      <c r="R226" s="6">
        <v>9.6799999999999997E-2</v>
      </c>
      <c r="S226" s="6">
        <v>8.6999999999999994E-2</v>
      </c>
      <c r="T226" s="6">
        <v>3.2300000000000002E-2</v>
      </c>
      <c r="U226" s="6">
        <v>0.16669999999999999</v>
      </c>
      <c r="V226" s="6">
        <v>0.129</v>
      </c>
      <c r="W226" s="6">
        <v>0.3226</v>
      </c>
      <c r="X226" s="6">
        <v>0.12609999999999999</v>
      </c>
      <c r="Y226" s="6">
        <v>-0.14660000000000001</v>
      </c>
      <c r="Z226" s="6">
        <v>0.14810000000000001</v>
      </c>
      <c r="AA226" s="6">
        <v>6.1400000000000003E-2</v>
      </c>
      <c r="AB226" s="6">
        <v>8.6999999999999994E-2</v>
      </c>
      <c r="AC226" s="7">
        <v>0</v>
      </c>
      <c r="AD226" s="35">
        <v>0.1033</v>
      </c>
      <c r="AE226" s="35">
        <f t="shared" si="49"/>
        <v>0.10394285714285713</v>
      </c>
      <c r="AF226" s="34" t="s">
        <v>35</v>
      </c>
      <c r="AG226" s="30" cm="1">
        <f t="array" ref="AG226">DIASQUIEBRE(Q226:AB226)</f>
        <v>0</v>
      </c>
      <c r="AH226" s="30" cm="1">
        <f t="array" ref="AH226">DiasMesesGris(Q226:AB226)</f>
        <v>0</v>
      </c>
      <c r="AI226" s="30">
        <f t="shared" si="52"/>
        <v>0</v>
      </c>
      <c r="AJ226" s="30">
        <f t="shared" si="53"/>
        <v>360</v>
      </c>
      <c r="AK226" s="31">
        <f t="shared" si="54"/>
        <v>35</v>
      </c>
      <c r="AL226" s="32">
        <f t="shared" si="50"/>
        <v>9.7222222222222224E-2</v>
      </c>
    </row>
    <row r="227" spans="1:38" x14ac:dyDescent="0.25">
      <c r="A227" s="1" t="s">
        <v>698</v>
      </c>
      <c r="B227" s="1" t="s">
        <v>699</v>
      </c>
      <c r="C227" s="1" t="s">
        <v>700</v>
      </c>
      <c r="D227" s="5">
        <v>3</v>
      </c>
      <c r="E227" s="5">
        <v>1</v>
      </c>
      <c r="F227" s="3"/>
      <c r="G227" s="3"/>
      <c r="H227" s="3"/>
      <c r="I227" s="3"/>
      <c r="J227" s="5">
        <v>4</v>
      </c>
      <c r="K227" s="3"/>
      <c r="L227" s="5">
        <v>2</v>
      </c>
      <c r="M227" s="5">
        <v>1</v>
      </c>
      <c r="N227" s="5">
        <v>3</v>
      </c>
      <c r="O227" s="3"/>
      <c r="P227" s="3"/>
      <c r="Q227" s="6">
        <v>9.6799999999999997E-2</v>
      </c>
      <c r="R227" s="6">
        <v>3.2300000000000002E-2</v>
      </c>
      <c r="S227" s="6">
        <v>0</v>
      </c>
      <c r="T227" s="6">
        <v>0</v>
      </c>
      <c r="U227" s="6">
        <v>0</v>
      </c>
      <c r="V227" s="6">
        <v>0</v>
      </c>
      <c r="W227" s="6">
        <v>0.1613</v>
      </c>
      <c r="X227" s="6">
        <v>0</v>
      </c>
      <c r="Y227" s="6">
        <v>5.8700000000000002E-2</v>
      </c>
      <c r="Z227" s="6">
        <v>3.6999999999999998E-2</v>
      </c>
      <c r="AA227" s="6">
        <v>9.2200000000000004E-2</v>
      </c>
      <c r="AB227" s="6">
        <v>0</v>
      </c>
      <c r="AC227" s="7">
        <v>0</v>
      </c>
      <c r="AD227" s="35">
        <v>3.9899999999999998E-2</v>
      </c>
      <c r="AE227" s="35">
        <f t="shared" si="49"/>
        <v>4.988571428571429E-2</v>
      </c>
      <c r="AF227" s="34" t="s">
        <v>35</v>
      </c>
      <c r="AG227" s="30" cm="1">
        <f t="array" ref="AG227">DIASQUIEBRE(Q227:AB227)</f>
        <v>0</v>
      </c>
      <c r="AH227" s="30" cm="1">
        <f t="array" ref="AH227">DiasMesesGris(Q227:AB227)</f>
        <v>0</v>
      </c>
      <c r="AI227" s="30">
        <f t="shared" si="52"/>
        <v>0</v>
      </c>
      <c r="AJ227" s="30">
        <f t="shared" si="53"/>
        <v>360</v>
      </c>
      <c r="AK227" s="31">
        <f t="shared" si="54"/>
        <v>14</v>
      </c>
      <c r="AL227" s="32">
        <f t="shared" si="50"/>
        <v>3.888888888888889E-2</v>
      </c>
    </row>
    <row r="228" spans="1:38" x14ac:dyDescent="0.25">
      <c r="A228" s="1" t="s">
        <v>701</v>
      </c>
      <c r="B228" s="1" t="s">
        <v>702</v>
      </c>
      <c r="C228" s="1" t="s">
        <v>703</v>
      </c>
      <c r="D228" s="5">
        <v>4</v>
      </c>
      <c r="E228" s="5">
        <v>1</v>
      </c>
      <c r="F228" s="3"/>
      <c r="G228" s="3"/>
      <c r="H228" s="5">
        <v>1</v>
      </c>
      <c r="I228" s="3"/>
      <c r="J228" s="5">
        <v>3</v>
      </c>
      <c r="K228" s="5">
        <v>1</v>
      </c>
      <c r="L228" s="5">
        <v>4</v>
      </c>
      <c r="M228" s="5">
        <v>1</v>
      </c>
      <c r="N228" s="5">
        <v>1</v>
      </c>
      <c r="O228" s="3"/>
      <c r="P228" s="5">
        <v>1</v>
      </c>
      <c r="Q228" s="6">
        <v>0.129</v>
      </c>
      <c r="R228" s="6">
        <v>3.2300000000000002E-2</v>
      </c>
      <c r="S228" s="6">
        <v>0</v>
      </c>
      <c r="T228" s="6">
        <v>0</v>
      </c>
      <c r="U228" s="6">
        <v>3.3300000000000003E-2</v>
      </c>
      <c r="V228" s="6">
        <v>0</v>
      </c>
      <c r="W228" s="6">
        <v>0.121</v>
      </c>
      <c r="X228" s="6">
        <v>4.2000000000000003E-2</v>
      </c>
      <c r="Y228" s="6">
        <v>0.1173</v>
      </c>
      <c r="Z228" s="6">
        <v>3.6999999999999998E-2</v>
      </c>
      <c r="AA228" s="6">
        <v>3.0700000000000002E-2</v>
      </c>
      <c r="AB228" s="6">
        <v>0</v>
      </c>
      <c r="AC228" s="7">
        <v>0.5</v>
      </c>
      <c r="AD228" s="35">
        <v>4.5199999999999997E-2</v>
      </c>
      <c r="AE228" s="35">
        <f t="shared" si="49"/>
        <v>4.9714285714285711E-2</v>
      </c>
      <c r="AF228" s="34" t="s">
        <v>35</v>
      </c>
      <c r="AG228" s="30" cm="1">
        <f t="array" ref="AG228">DIASQUIEBRE(Q228:AB228)</f>
        <v>0</v>
      </c>
      <c r="AH228" s="30" cm="1">
        <f t="array" ref="AH228">DiasMesesGris(Q228:AB228)</f>
        <v>0</v>
      </c>
      <c r="AI228" s="30">
        <f t="shared" si="52"/>
        <v>0</v>
      </c>
      <c r="AJ228" s="30">
        <f t="shared" si="53"/>
        <v>360</v>
      </c>
      <c r="AK228" s="31">
        <f t="shared" si="54"/>
        <v>16</v>
      </c>
      <c r="AL228" s="32">
        <f t="shared" si="50"/>
        <v>4.4444444444444446E-2</v>
      </c>
    </row>
    <row r="229" spans="1:38" x14ac:dyDescent="0.25">
      <c r="A229" s="1" t="s">
        <v>704</v>
      </c>
      <c r="B229" s="1" t="s">
        <v>705</v>
      </c>
      <c r="C229" s="1" t="s">
        <v>706</v>
      </c>
      <c r="D229" s="5">
        <v>3</v>
      </c>
      <c r="E229" s="5">
        <v>2</v>
      </c>
      <c r="F229" s="5">
        <v>3</v>
      </c>
      <c r="G229" s="3"/>
      <c r="H229" s="5">
        <v>2</v>
      </c>
      <c r="I229" s="5">
        <v>2</v>
      </c>
      <c r="J229" s="5">
        <v>3</v>
      </c>
      <c r="K229" s="3"/>
      <c r="L229" s="5">
        <v>4</v>
      </c>
      <c r="M229" s="3"/>
      <c r="N229" s="5">
        <v>3</v>
      </c>
      <c r="O229" s="3"/>
      <c r="P229" s="3"/>
      <c r="Q229" s="6">
        <v>9.6799999999999997E-2</v>
      </c>
      <c r="R229" s="6">
        <v>6.4500000000000002E-2</v>
      </c>
      <c r="S229" s="6">
        <v>8.6999999999999994E-2</v>
      </c>
      <c r="T229" s="6">
        <v>0</v>
      </c>
      <c r="U229" s="6">
        <v>6.6699999999999995E-2</v>
      </c>
      <c r="V229" s="6">
        <v>6.4500000000000002E-2</v>
      </c>
      <c r="W229" s="6">
        <v>0.121</v>
      </c>
      <c r="X229" s="6">
        <v>0</v>
      </c>
      <c r="Y229" s="6">
        <v>0.1173</v>
      </c>
      <c r="Z229" s="6">
        <v>0</v>
      </c>
      <c r="AA229" s="6">
        <v>9.2200000000000004E-2</v>
      </c>
      <c r="AB229" s="6">
        <v>0</v>
      </c>
      <c r="AC229" s="7">
        <v>0</v>
      </c>
      <c r="AD229" s="35">
        <v>5.9200000000000003E-2</v>
      </c>
      <c r="AE229" s="35">
        <f t="shared" si="49"/>
        <v>5.6428571428571432E-2</v>
      </c>
      <c r="AF229" s="34" t="s">
        <v>35</v>
      </c>
      <c r="AG229" s="30" cm="1">
        <f t="array" ref="AG229">DIASQUIEBRE(Q229:AB229)</f>
        <v>0</v>
      </c>
      <c r="AH229" s="30" cm="1">
        <f t="array" ref="AH229">DiasMesesGris(Q229:AB229)</f>
        <v>0</v>
      </c>
      <c r="AI229" s="30">
        <f t="shared" si="52"/>
        <v>0</v>
      </c>
      <c r="AJ229" s="30">
        <f t="shared" si="53"/>
        <v>360</v>
      </c>
      <c r="AK229" s="31">
        <f t="shared" si="54"/>
        <v>22</v>
      </c>
      <c r="AL229" s="32">
        <f t="shared" si="50"/>
        <v>6.1111111111111109E-2</v>
      </c>
    </row>
    <row r="230" spans="1:38" x14ac:dyDescent="0.25">
      <c r="A230" s="1" t="s">
        <v>707</v>
      </c>
      <c r="B230" s="1" t="s">
        <v>708</v>
      </c>
      <c r="C230" s="1" t="s">
        <v>709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7">
        <v>0</v>
      </c>
      <c r="AE230" s="35">
        <f t="shared" si="49"/>
        <v>0</v>
      </c>
      <c r="AF230" s="34" t="s">
        <v>51</v>
      </c>
      <c r="AG230" s="30" cm="1">
        <f t="array" ref="AG230">DIASQUIEBRE(Q230:AB230)</f>
        <v>0</v>
      </c>
      <c r="AH230" s="30" cm="1">
        <f t="array" ref="AH230">DiasMesesGris(Q230:AB230)</f>
        <v>360</v>
      </c>
      <c r="AI230" s="30">
        <f t="shared" si="52"/>
        <v>360</v>
      </c>
      <c r="AJ230" s="30">
        <f t="shared" si="53"/>
        <v>0</v>
      </c>
      <c r="AK230" s="31">
        <f t="shared" si="54"/>
        <v>0</v>
      </c>
      <c r="AL230" s="32">
        <f t="shared" si="50"/>
        <v>0</v>
      </c>
    </row>
    <row r="231" spans="1:38" x14ac:dyDescent="0.25">
      <c r="A231" s="1" t="s">
        <v>710</v>
      </c>
      <c r="B231" s="1" t="s">
        <v>711</v>
      </c>
      <c r="C231" s="1" t="s">
        <v>712</v>
      </c>
      <c r="D231" s="3"/>
      <c r="E231" s="3"/>
      <c r="F231" s="3"/>
      <c r="G231" s="5">
        <v>2</v>
      </c>
      <c r="H231" s="3"/>
      <c r="I231" s="5">
        <v>1</v>
      </c>
      <c r="J231" s="3"/>
      <c r="K231" s="3"/>
      <c r="L231" s="5">
        <v>1</v>
      </c>
      <c r="M231" s="3"/>
      <c r="N231" s="3"/>
      <c r="O231" s="3"/>
      <c r="P231" s="3"/>
      <c r="Q231" s="6">
        <v>0</v>
      </c>
      <c r="R231" s="6">
        <v>0</v>
      </c>
      <c r="S231" s="6">
        <v>0</v>
      </c>
      <c r="T231" s="6">
        <v>6.4500000000000002E-2</v>
      </c>
      <c r="U231" s="6">
        <v>0</v>
      </c>
      <c r="V231" s="6">
        <v>3.2300000000000002E-2</v>
      </c>
      <c r="W231" s="6">
        <v>0</v>
      </c>
      <c r="X231" s="6">
        <v>0</v>
      </c>
      <c r="Y231" s="6">
        <v>2.93E-2</v>
      </c>
      <c r="Z231" s="6">
        <v>0</v>
      </c>
      <c r="AA231" s="6">
        <v>0</v>
      </c>
      <c r="AB231" s="6">
        <v>0</v>
      </c>
      <c r="AC231" s="7">
        <v>0</v>
      </c>
      <c r="AD231" s="35">
        <v>1.0500000000000001E-2</v>
      </c>
      <c r="AE231" s="35">
        <f t="shared" si="49"/>
        <v>8.8000000000000005E-3</v>
      </c>
      <c r="AF231" s="34" t="s">
        <v>35</v>
      </c>
      <c r="AG231" s="30" cm="1">
        <f t="array" ref="AG231">DIASQUIEBRE(Q231:AB231)</f>
        <v>0</v>
      </c>
      <c r="AH231" s="30" cm="1">
        <f t="array" ref="AH231">DiasMesesGris(Q231:AB231)</f>
        <v>0</v>
      </c>
      <c r="AI231" s="30">
        <f t="shared" si="52"/>
        <v>0</v>
      </c>
      <c r="AJ231" s="30">
        <f t="shared" si="53"/>
        <v>360</v>
      </c>
      <c r="AK231" s="31">
        <f t="shared" si="54"/>
        <v>4</v>
      </c>
      <c r="AL231" s="32">
        <f t="shared" si="50"/>
        <v>1.1111111111111112E-2</v>
      </c>
    </row>
    <row r="232" spans="1:38" x14ac:dyDescent="0.25">
      <c r="A232" s="1" t="s">
        <v>713</v>
      </c>
      <c r="B232" s="1" t="s">
        <v>714</v>
      </c>
      <c r="C232" s="1" t="s">
        <v>715</v>
      </c>
      <c r="D232" s="3"/>
      <c r="E232" s="3"/>
      <c r="F232" s="3"/>
      <c r="G232" s="3"/>
      <c r="H232" s="3"/>
      <c r="I232" s="5">
        <v>1</v>
      </c>
      <c r="J232" s="3"/>
      <c r="K232" s="3"/>
      <c r="L232" s="3"/>
      <c r="M232" s="3"/>
      <c r="N232" s="3"/>
      <c r="O232" s="3"/>
      <c r="P232" s="3"/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7">
        <v>0</v>
      </c>
      <c r="AE232" s="35">
        <f t="shared" si="49"/>
        <v>0</v>
      </c>
      <c r="AF232" s="34" t="s">
        <v>35</v>
      </c>
      <c r="AG232" s="30" cm="1">
        <f t="array" ref="AG232">DIASQUIEBRE(Q232:AB232)</f>
        <v>0</v>
      </c>
      <c r="AH232" s="30" cm="1">
        <f t="array" ref="AH232">DiasMesesGris(Q232:AB232)</f>
        <v>360</v>
      </c>
      <c r="AI232" s="30">
        <f t="shared" si="52"/>
        <v>360</v>
      </c>
      <c r="AJ232" s="30">
        <f t="shared" si="53"/>
        <v>0</v>
      </c>
      <c r="AK232" s="31">
        <f t="shared" si="54"/>
        <v>1</v>
      </c>
      <c r="AL232" s="32">
        <f t="shared" si="50"/>
        <v>0</v>
      </c>
    </row>
    <row r="233" spans="1:38" x14ac:dyDescent="0.25">
      <c r="A233" s="1" t="s">
        <v>716</v>
      </c>
      <c r="B233" s="1" t="s">
        <v>717</v>
      </c>
      <c r="C233" s="1" t="s">
        <v>718</v>
      </c>
      <c r="D233" s="3"/>
      <c r="E233" s="3"/>
      <c r="F233" s="3"/>
      <c r="G233" s="3"/>
      <c r="H233" s="3"/>
      <c r="I233" s="5">
        <v>1</v>
      </c>
      <c r="J233" s="3"/>
      <c r="K233" s="3"/>
      <c r="L233" s="3"/>
      <c r="M233" s="3"/>
      <c r="N233" s="3"/>
      <c r="O233" s="3"/>
      <c r="P233" s="3"/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7">
        <v>0</v>
      </c>
      <c r="AE233" s="35">
        <f t="shared" si="49"/>
        <v>0</v>
      </c>
      <c r="AF233" s="34" t="s">
        <v>35</v>
      </c>
      <c r="AG233" s="30" cm="1">
        <f t="array" ref="AG233">DIASQUIEBRE(Q233:AB233)</f>
        <v>0</v>
      </c>
      <c r="AH233" s="30" cm="1">
        <f t="array" ref="AH233">DiasMesesGris(Q233:AB233)</f>
        <v>360</v>
      </c>
      <c r="AI233" s="30">
        <f t="shared" si="52"/>
        <v>360</v>
      </c>
      <c r="AJ233" s="30">
        <f t="shared" si="53"/>
        <v>0</v>
      </c>
      <c r="AK233" s="31">
        <f t="shared" si="54"/>
        <v>1</v>
      </c>
      <c r="AL233" s="32">
        <f t="shared" si="50"/>
        <v>0</v>
      </c>
    </row>
    <row r="234" spans="1:38" x14ac:dyDescent="0.25">
      <c r="A234" s="1" t="s">
        <v>719</v>
      </c>
      <c r="B234" s="1" t="s">
        <v>720</v>
      </c>
      <c r="C234" s="1" t="s">
        <v>721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7">
        <v>0</v>
      </c>
      <c r="AE234" s="35">
        <f t="shared" si="49"/>
        <v>0</v>
      </c>
      <c r="AF234" s="34" t="s">
        <v>35</v>
      </c>
      <c r="AG234" s="30" cm="1">
        <f t="array" ref="AG234">DIASQUIEBRE(Q234:AB234)</f>
        <v>0</v>
      </c>
      <c r="AH234" s="30" cm="1">
        <f t="array" ref="AH234">DiasMesesGris(Q234:AB234)</f>
        <v>360</v>
      </c>
      <c r="AI234" s="30">
        <f t="shared" si="52"/>
        <v>360</v>
      </c>
      <c r="AJ234" s="30">
        <f t="shared" si="53"/>
        <v>0</v>
      </c>
      <c r="AK234" s="31">
        <f t="shared" si="54"/>
        <v>0</v>
      </c>
      <c r="AL234" s="32">
        <f t="shared" si="50"/>
        <v>0</v>
      </c>
    </row>
    <row r="235" spans="1:38" x14ac:dyDescent="0.25">
      <c r="A235" s="1" t="s">
        <v>722</v>
      </c>
      <c r="B235" s="1" t="s">
        <v>723</v>
      </c>
      <c r="C235" s="1" t="s">
        <v>724</v>
      </c>
      <c r="D235" s="5">
        <v>4</v>
      </c>
      <c r="E235" s="3"/>
      <c r="F235" s="5">
        <v>2</v>
      </c>
      <c r="G235" s="5">
        <v>-2</v>
      </c>
      <c r="H235" s="3"/>
      <c r="I235" s="3"/>
      <c r="J235" s="5">
        <v>2</v>
      </c>
      <c r="K235" s="3"/>
      <c r="L235" s="5">
        <v>2</v>
      </c>
      <c r="M235" s="3"/>
      <c r="N235" s="3"/>
      <c r="O235" s="3"/>
      <c r="P235" s="3"/>
      <c r="Q235" s="6">
        <v>0.129</v>
      </c>
      <c r="R235" s="6">
        <v>0</v>
      </c>
      <c r="S235" s="6">
        <v>5.8000000000000003E-2</v>
      </c>
      <c r="T235" s="6">
        <v>-6.4500000000000002E-2</v>
      </c>
      <c r="U235" s="6">
        <v>0</v>
      </c>
      <c r="V235" s="6">
        <v>0</v>
      </c>
      <c r="W235" s="6">
        <v>8.0600000000000005E-2</v>
      </c>
      <c r="X235" s="6">
        <v>0</v>
      </c>
      <c r="Y235" s="6">
        <v>5.8700000000000002E-2</v>
      </c>
      <c r="Z235" s="6">
        <v>0</v>
      </c>
      <c r="AA235" s="6">
        <v>0</v>
      </c>
      <c r="AB235" s="6">
        <v>0</v>
      </c>
      <c r="AC235" s="7">
        <v>0</v>
      </c>
      <c r="AD235" s="35">
        <v>2.18E-2</v>
      </c>
      <c r="AE235" s="35">
        <f t="shared" si="49"/>
        <v>1.9900000000000001E-2</v>
      </c>
      <c r="AF235" s="34" t="s">
        <v>35</v>
      </c>
      <c r="AG235" s="30" cm="1">
        <f t="array" ref="AG235">DIASQUIEBRE(Q235:AB235)</f>
        <v>0</v>
      </c>
      <c r="AH235" s="30" cm="1">
        <f t="array" ref="AH235">DiasMesesGris(Q235:AB235)</f>
        <v>0</v>
      </c>
      <c r="AI235" s="30">
        <f t="shared" si="52"/>
        <v>0</v>
      </c>
      <c r="AJ235" s="30">
        <f t="shared" si="53"/>
        <v>360</v>
      </c>
      <c r="AK235" s="31">
        <f t="shared" si="54"/>
        <v>8</v>
      </c>
      <c r="AL235" s="32">
        <f t="shared" si="50"/>
        <v>2.2222222222222223E-2</v>
      </c>
    </row>
    <row r="236" spans="1:38" x14ac:dyDescent="0.25">
      <c r="A236" s="1" t="s">
        <v>725</v>
      </c>
      <c r="B236" s="1" t="s">
        <v>726</v>
      </c>
      <c r="C236" s="1" t="s">
        <v>727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7">
        <v>0</v>
      </c>
      <c r="AE236" s="35">
        <f t="shared" si="49"/>
        <v>0</v>
      </c>
      <c r="AF236" s="34" t="s">
        <v>51</v>
      </c>
      <c r="AG236" s="30" cm="1">
        <f t="array" ref="AG236">DIASQUIEBRE(Q236:AB236)</f>
        <v>0</v>
      </c>
      <c r="AH236" s="30" cm="1">
        <f t="array" ref="AH236">DiasMesesGris(Q236:AB236)</f>
        <v>360</v>
      </c>
      <c r="AI236" s="30">
        <f t="shared" si="52"/>
        <v>360</v>
      </c>
      <c r="AJ236" s="30">
        <f t="shared" si="53"/>
        <v>0</v>
      </c>
      <c r="AK236" s="31">
        <f t="shared" si="54"/>
        <v>0</v>
      </c>
      <c r="AL236" s="32">
        <f t="shared" si="50"/>
        <v>0</v>
      </c>
    </row>
    <row r="237" spans="1:38" x14ac:dyDescent="0.25">
      <c r="A237" s="1" t="s">
        <v>728</v>
      </c>
      <c r="B237" s="1" t="s">
        <v>729</v>
      </c>
      <c r="C237" s="1" t="s">
        <v>730</v>
      </c>
      <c r="D237" s="5">
        <v>90</v>
      </c>
      <c r="E237" s="5">
        <v>99</v>
      </c>
      <c r="F237" s="5">
        <v>54</v>
      </c>
      <c r="G237" s="5">
        <v>73</v>
      </c>
      <c r="H237" s="5">
        <v>29</v>
      </c>
      <c r="I237" s="5">
        <v>150</v>
      </c>
      <c r="J237" s="5">
        <v>46</v>
      </c>
      <c r="K237" s="5">
        <v>-29</v>
      </c>
      <c r="L237" s="5">
        <v>68</v>
      </c>
      <c r="M237" s="5">
        <v>73</v>
      </c>
      <c r="N237" s="5">
        <v>58</v>
      </c>
      <c r="O237" s="5">
        <v>54</v>
      </c>
      <c r="P237" s="5">
        <v>5</v>
      </c>
      <c r="Q237" s="6">
        <v>2.9032</v>
      </c>
      <c r="R237" s="6">
        <v>3.1934999999999998</v>
      </c>
      <c r="S237" s="6">
        <v>1.5651999999999999</v>
      </c>
      <c r="T237" s="6">
        <v>2.3548</v>
      </c>
      <c r="U237" s="6">
        <v>0.9667</v>
      </c>
      <c r="V237" s="6">
        <v>4.8387000000000002</v>
      </c>
      <c r="W237" s="6">
        <v>1.8548</v>
      </c>
      <c r="X237" s="6">
        <v>-1.2184999999999999</v>
      </c>
      <c r="Y237" s="6">
        <v>1.9941</v>
      </c>
      <c r="Z237" s="6">
        <v>2.7037</v>
      </c>
      <c r="AA237" s="6">
        <v>1.7819</v>
      </c>
      <c r="AB237" s="6">
        <v>1.5651999999999999</v>
      </c>
      <c r="AC237" s="7">
        <v>0.1613</v>
      </c>
      <c r="AD237" s="35">
        <v>2.0419</v>
      </c>
      <c r="AE237" s="35">
        <f t="shared" si="49"/>
        <v>1.9314142857142858</v>
      </c>
      <c r="AF237" s="34" t="s">
        <v>35</v>
      </c>
      <c r="AG237" s="30" cm="1">
        <f t="array" ref="AG237">DIASQUIEBRE(Q237:AB237)</f>
        <v>0</v>
      </c>
      <c r="AH237" s="30" cm="1">
        <f t="array" ref="AH237">DiasMesesGris(Q237:AB237)</f>
        <v>0</v>
      </c>
      <c r="AI237" s="30">
        <f t="shared" si="52"/>
        <v>0</v>
      </c>
      <c r="AJ237" s="30">
        <f t="shared" si="53"/>
        <v>360</v>
      </c>
      <c r="AK237" s="31">
        <f t="shared" si="54"/>
        <v>765</v>
      </c>
      <c r="AL237" s="32">
        <f t="shared" si="50"/>
        <v>2.125</v>
      </c>
    </row>
    <row r="238" spans="1:38" x14ac:dyDescent="0.25">
      <c r="A238" s="1" t="s">
        <v>731</v>
      </c>
      <c r="B238" s="1" t="s">
        <v>732</v>
      </c>
      <c r="C238" s="1" t="s">
        <v>733</v>
      </c>
      <c r="D238" s="3"/>
      <c r="E238" s="3"/>
      <c r="F238" s="3"/>
      <c r="G238" s="5">
        <v>1</v>
      </c>
      <c r="H238" s="5">
        <v>2</v>
      </c>
      <c r="I238" s="3"/>
      <c r="J238" s="3"/>
      <c r="K238" s="3"/>
      <c r="L238" s="5">
        <v>2</v>
      </c>
      <c r="M238" s="5">
        <v>4</v>
      </c>
      <c r="N238" s="3"/>
      <c r="O238" s="5">
        <v>1</v>
      </c>
      <c r="P238" s="3"/>
      <c r="Q238" s="6">
        <v>0</v>
      </c>
      <c r="R238" s="6">
        <v>0</v>
      </c>
      <c r="S238" s="6">
        <v>0</v>
      </c>
      <c r="T238" s="8">
        <f t="shared" ref="T238" si="58">G238/30</f>
        <v>3.3333333333333333E-2</v>
      </c>
      <c r="U238" s="9">
        <v>0</v>
      </c>
      <c r="V238" s="9">
        <v>0</v>
      </c>
      <c r="W238" s="8">
        <f t="shared" ref="W238" si="59">J238/30</f>
        <v>0</v>
      </c>
      <c r="X238" s="6">
        <v>0</v>
      </c>
      <c r="Y238" s="6">
        <v>5.8700000000000002E-2</v>
      </c>
      <c r="Z238" s="6">
        <v>0.14810000000000001</v>
      </c>
      <c r="AA238" s="6">
        <v>0</v>
      </c>
      <c r="AB238" s="6">
        <v>2.9000000000000001E-2</v>
      </c>
      <c r="AC238" s="7">
        <v>0</v>
      </c>
      <c r="AD238" s="35">
        <v>2.9499999999999998E-2</v>
      </c>
      <c r="AE238" s="35">
        <f t="shared" si="49"/>
        <v>3.3685714285714284E-2</v>
      </c>
      <c r="AF238" s="34" t="s">
        <v>35</v>
      </c>
      <c r="AG238" s="30" cm="1">
        <f t="array" ref="AG238">DIASQUIEBRE(Q238:AB238)</f>
        <v>48</v>
      </c>
      <c r="AH238" s="30" cm="1">
        <f t="array" ref="AH238">DiasMesesGris(Q238:AB238)</f>
        <v>60</v>
      </c>
      <c r="AI238" s="30">
        <f t="shared" si="52"/>
        <v>108</v>
      </c>
      <c r="AJ238" s="30">
        <f t="shared" si="53"/>
        <v>252</v>
      </c>
      <c r="AK238" s="31">
        <f t="shared" si="54"/>
        <v>10</v>
      </c>
      <c r="AL238" s="32">
        <f t="shared" si="50"/>
        <v>3.968253968253968E-2</v>
      </c>
    </row>
    <row r="239" spans="1:38" x14ac:dyDescent="0.25">
      <c r="A239" s="1" t="s">
        <v>734</v>
      </c>
      <c r="B239" s="1" t="s">
        <v>735</v>
      </c>
      <c r="C239" s="1" t="s">
        <v>736</v>
      </c>
      <c r="D239" s="5">
        <v>5</v>
      </c>
      <c r="E239" s="3"/>
      <c r="F239" s="3"/>
      <c r="G239" s="3"/>
      <c r="H239" s="3"/>
      <c r="I239" s="3"/>
      <c r="J239" s="3"/>
      <c r="K239" s="3"/>
      <c r="L239" s="3"/>
      <c r="M239" s="5">
        <v>1</v>
      </c>
      <c r="N239" s="3"/>
      <c r="O239" s="5">
        <v>1</v>
      </c>
      <c r="P239" s="3"/>
      <c r="Q239" s="8">
        <f t="shared" ref="Q239" si="60">D239/30</f>
        <v>0.16666666666666666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8">
        <f t="shared" ref="AA239" si="61">N239/30</f>
        <v>0</v>
      </c>
      <c r="AB239" s="6">
        <v>2.9000000000000001E-2</v>
      </c>
      <c r="AC239" s="7">
        <v>0</v>
      </c>
      <c r="AD239" s="35">
        <v>2.9000000000000001E-2</v>
      </c>
      <c r="AE239" s="35">
        <f t="shared" si="49"/>
        <v>4.1428571428571434E-3</v>
      </c>
      <c r="AF239" s="34" t="s">
        <v>35</v>
      </c>
      <c r="AG239" s="30" cm="1">
        <f t="array" ref="AG239">DIASQUIEBRE(Q239:AB239)</f>
        <v>11</v>
      </c>
      <c r="AH239" s="30" cm="1">
        <f t="array" ref="AH239">DiasMesesGris(Q239:AB239)</f>
        <v>270</v>
      </c>
      <c r="AI239" s="30">
        <f t="shared" si="52"/>
        <v>281</v>
      </c>
      <c r="AJ239" s="30">
        <f t="shared" si="53"/>
        <v>79</v>
      </c>
      <c r="AK239" s="31">
        <f t="shared" si="54"/>
        <v>7</v>
      </c>
      <c r="AL239" s="32">
        <f t="shared" si="50"/>
        <v>8.8607594936708861E-2</v>
      </c>
    </row>
    <row r="240" spans="1:38" x14ac:dyDescent="0.25">
      <c r="A240" s="1" t="s">
        <v>737</v>
      </c>
      <c r="B240" s="1" t="s">
        <v>738</v>
      </c>
      <c r="C240" s="1" t="s">
        <v>739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7">
        <v>0</v>
      </c>
      <c r="AE240" s="35">
        <f t="shared" si="49"/>
        <v>0</v>
      </c>
      <c r="AF240" s="34" t="s">
        <v>35</v>
      </c>
      <c r="AG240" s="30" cm="1">
        <f t="array" ref="AG240">DIASQUIEBRE(Q240:AB240)</f>
        <v>0</v>
      </c>
      <c r="AH240" s="30" cm="1">
        <f t="array" ref="AH240">DiasMesesGris(Q240:AB240)</f>
        <v>360</v>
      </c>
      <c r="AI240" s="30">
        <f t="shared" si="52"/>
        <v>360</v>
      </c>
      <c r="AJ240" s="30">
        <f t="shared" si="53"/>
        <v>0</v>
      </c>
      <c r="AK240" s="31">
        <f t="shared" si="54"/>
        <v>0</v>
      </c>
      <c r="AL240" s="32">
        <f t="shared" si="50"/>
        <v>0</v>
      </c>
    </row>
    <row r="241" spans="1:38" x14ac:dyDescent="0.25">
      <c r="A241" s="1" t="s">
        <v>740</v>
      </c>
      <c r="B241" s="1" t="s">
        <v>741</v>
      </c>
      <c r="C241" s="1" t="s">
        <v>742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7">
        <v>0</v>
      </c>
      <c r="AE241" s="35">
        <f t="shared" si="49"/>
        <v>0</v>
      </c>
      <c r="AF241" s="34" t="s">
        <v>35</v>
      </c>
      <c r="AG241" s="30" cm="1">
        <f t="array" ref="AG241">DIASQUIEBRE(Q241:AB241)</f>
        <v>0</v>
      </c>
      <c r="AH241" s="30" cm="1">
        <f t="array" ref="AH241">DiasMesesGris(Q241:AB241)</f>
        <v>0</v>
      </c>
      <c r="AI241" s="30">
        <f t="shared" si="52"/>
        <v>0</v>
      </c>
      <c r="AJ241" s="30">
        <f t="shared" si="53"/>
        <v>360</v>
      </c>
      <c r="AK241" s="31">
        <f t="shared" si="54"/>
        <v>0</v>
      </c>
      <c r="AL241" s="32">
        <f t="shared" si="50"/>
        <v>0</v>
      </c>
    </row>
    <row r="242" spans="1:38" x14ac:dyDescent="0.25">
      <c r="A242" s="1" t="s">
        <v>743</v>
      </c>
      <c r="B242" s="1" t="s">
        <v>744</v>
      </c>
      <c r="C242" s="1" t="s">
        <v>745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7">
        <v>0</v>
      </c>
      <c r="AE242" s="35">
        <f t="shared" si="49"/>
        <v>0</v>
      </c>
      <c r="AF242" s="34" t="s">
        <v>51</v>
      </c>
      <c r="AG242" s="30" cm="1">
        <f t="array" ref="AG242">DIASQUIEBRE(Q242:AB242)</f>
        <v>0</v>
      </c>
      <c r="AH242" s="30" cm="1">
        <f t="array" ref="AH242">DiasMesesGris(Q242:AB242)</f>
        <v>360</v>
      </c>
      <c r="AI242" s="30">
        <f t="shared" si="52"/>
        <v>360</v>
      </c>
      <c r="AJ242" s="30">
        <f t="shared" si="53"/>
        <v>0</v>
      </c>
      <c r="AK242" s="31">
        <f t="shared" si="54"/>
        <v>0</v>
      </c>
      <c r="AL242" s="32">
        <f t="shared" si="50"/>
        <v>0</v>
      </c>
    </row>
    <row r="243" spans="1:38" x14ac:dyDescent="0.25">
      <c r="A243" s="1" t="s">
        <v>746</v>
      </c>
      <c r="B243" s="1" t="s">
        <v>747</v>
      </c>
      <c r="C243" s="1" t="s">
        <v>748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7">
        <v>0</v>
      </c>
      <c r="AE243" s="35">
        <f t="shared" si="49"/>
        <v>0</v>
      </c>
      <c r="AF243" s="34" t="s">
        <v>35</v>
      </c>
      <c r="AG243" s="30" cm="1">
        <f t="array" ref="AG243">DIASQUIEBRE(Q243:AB243)</f>
        <v>0</v>
      </c>
      <c r="AH243" s="30" cm="1">
        <f t="array" ref="AH243">DiasMesesGris(Q243:AB243)</f>
        <v>360</v>
      </c>
      <c r="AI243" s="30">
        <f t="shared" si="52"/>
        <v>360</v>
      </c>
      <c r="AJ243" s="30">
        <f t="shared" si="53"/>
        <v>0</v>
      </c>
      <c r="AK243" s="31">
        <f t="shared" si="54"/>
        <v>0</v>
      </c>
      <c r="AL243" s="32">
        <f t="shared" si="50"/>
        <v>0</v>
      </c>
    </row>
    <row r="244" spans="1:38" x14ac:dyDescent="0.25">
      <c r="A244" s="1" t="s">
        <v>749</v>
      </c>
      <c r="B244" s="1" t="s">
        <v>750</v>
      </c>
      <c r="C244" s="1" t="s">
        <v>751</v>
      </c>
      <c r="D244" s="5">
        <v>38</v>
      </c>
      <c r="E244" s="5">
        <v>40</v>
      </c>
      <c r="F244" s="5">
        <v>3</v>
      </c>
      <c r="G244" s="5">
        <v>32</v>
      </c>
      <c r="H244" s="5">
        <v>3</v>
      </c>
      <c r="I244" s="5">
        <v>37</v>
      </c>
      <c r="J244" s="5">
        <v>34</v>
      </c>
      <c r="K244" s="5">
        <v>25</v>
      </c>
      <c r="L244" s="5">
        <v>69</v>
      </c>
      <c r="M244" s="5">
        <v>54</v>
      </c>
      <c r="N244" s="5">
        <v>99</v>
      </c>
      <c r="O244" s="5">
        <v>46</v>
      </c>
      <c r="P244" s="3"/>
      <c r="Q244" s="6">
        <v>1.2258</v>
      </c>
      <c r="R244" s="6">
        <v>1.2903</v>
      </c>
      <c r="S244" s="6">
        <v>8.6999999999999994E-2</v>
      </c>
      <c r="T244" s="6">
        <v>1.0323</v>
      </c>
      <c r="U244" s="6">
        <v>0.1</v>
      </c>
      <c r="V244" s="6">
        <v>1.1935</v>
      </c>
      <c r="W244" s="6">
        <v>1.371</v>
      </c>
      <c r="X244" s="6">
        <v>1.0504</v>
      </c>
      <c r="Y244" s="6">
        <v>2.0234999999999999</v>
      </c>
      <c r="Z244" s="6">
        <v>2</v>
      </c>
      <c r="AA244" s="6">
        <v>3.0415000000000001</v>
      </c>
      <c r="AB244" s="8">
        <v>1.3793</v>
      </c>
      <c r="AC244" s="7">
        <v>0</v>
      </c>
      <c r="AD244" s="35">
        <v>1.3105</v>
      </c>
      <c r="AE244" s="35">
        <f t="shared" si="49"/>
        <v>1.7227428571428571</v>
      </c>
      <c r="AF244" s="34" t="s">
        <v>35</v>
      </c>
      <c r="AG244" s="30" cm="1">
        <f t="array" ref="AG244">DIASQUIEBRE(Q244:AB244)</f>
        <v>1</v>
      </c>
      <c r="AH244" s="30" cm="1">
        <f t="array" ref="AH244">DiasMesesGris(Q244:AB244)</f>
        <v>0</v>
      </c>
      <c r="AI244" s="30">
        <f t="shared" si="52"/>
        <v>1</v>
      </c>
      <c r="AJ244" s="30">
        <f t="shared" si="53"/>
        <v>359</v>
      </c>
      <c r="AK244" s="31">
        <f t="shared" si="54"/>
        <v>480</v>
      </c>
      <c r="AL244" s="32">
        <f t="shared" si="50"/>
        <v>1.3370473537604457</v>
      </c>
    </row>
    <row r="245" spans="1:38" x14ac:dyDescent="0.25">
      <c r="A245" s="1" t="s">
        <v>752</v>
      </c>
      <c r="B245" s="1" t="s">
        <v>753</v>
      </c>
      <c r="C245" s="1" t="s">
        <v>754</v>
      </c>
      <c r="D245" s="5">
        <v>5</v>
      </c>
      <c r="E245" s="5">
        <v>7</v>
      </c>
      <c r="F245" s="5">
        <v>13</v>
      </c>
      <c r="G245" s="5">
        <v>3</v>
      </c>
      <c r="H245" s="5">
        <v>16</v>
      </c>
      <c r="I245" s="5">
        <v>5</v>
      </c>
      <c r="J245" s="5">
        <v>9</v>
      </c>
      <c r="K245" s="5">
        <v>4</v>
      </c>
      <c r="L245" s="5">
        <v>1</v>
      </c>
      <c r="M245" s="5">
        <v>6</v>
      </c>
      <c r="N245" s="5">
        <v>6</v>
      </c>
      <c r="O245" s="5">
        <v>3</v>
      </c>
      <c r="P245" s="5">
        <v>5</v>
      </c>
      <c r="Q245" s="6">
        <v>0.1613</v>
      </c>
      <c r="R245" s="6">
        <v>0.2258</v>
      </c>
      <c r="S245" s="6">
        <v>0.37680000000000002</v>
      </c>
      <c r="T245" s="6">
        <v>9.6799999999999997E-2</v>
      </c>
      <c r="U245" s="6">
        <v>0.5333</v>
      </c>
      <c r="V245" s="6">
        <v>0.1613</v>
      </c>
      <c r="W245" s="6">
        <v>0.3629</v>
      </c>
      <c r="X245" s="6">
        <v>0.1681</v>
      </c>
      <c r="Y245" s="6">
        <v>2.93E-2</v>
      </c>
      <c r="Z245" s="6">
        <v>0.22220000000000001</v>
      </c>
      <c r="AA245" s="6">
        <v>0.18429999999999999</v>
      </c>
      <c r="AB245" s="6">
        <v>8.6999999999999994E-2</v>
      </c>
      <c r="AC245" s="7">
        <v>0.1613</v>
      </c>
      <c r="AD245" s="35">
        <v>0.21740000000000001</v>
      </c>
      <c r="AE245" s="35">
        <f t="shared" si="49"/>
        <v>0.17358571428571426</v>
      </c>
      <c r="AF245" s="34" t="s">
        <v>35</v>
      </c>
      <c r="AG245" s="30" cm="1">
        <f t="array" ref="AG245">DIASQUIEBRE(Q245:AB245)</f>
        <v>0</v>
      </c>
      <c r="AH245" s="30" cm="1">
        <f t="array" ref="AH245">DiasMesesGris(Q245:AB245)</f>
        <v>0</v>
      </c>
      <c r="AI245" s="30">
        <f t="shared" si="52"/>
        <v>0</v>
      </c>
      <c r="AJ245" s="30">
        <f t="shared" si="53"/>
        <v>360</v>
      </c>
      <c r="AK245" s="31">
        <f t="shared" si="54"/>
        <v>78</v>
      </c>
      <c r="AL245" s="32">
        <f t="shared" si="50"/>
        <v>0.21666666666666667</v>
      </c>
    </row>
    <row r="246" spans="1:38" x14ac:dyDescent="0.25">
      <c r="A246" s="1" t="s">
        <v>755</v>
      </c>
      <c r="B246" s="1" t="s">
        <v>756</v>
      </c>
      <c r="C246" s="1" t="s">
        <v>757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7">
        <v>0</v>
      </c>
      <c r="AE246" s="35">
        <f t="shared" si="49"/>
        <v>0</v>
      </c>
      <c r="AF246" s="34" t="s">
        <v>51</v>
      </c>
      <c r="AG246" s="30" cm="1">
        <f t="array" ref="AG246">DIASQUIEBRE(Q246:AB246)</f>
        <v>0</v>
      </c>
      <c r="AH246" s="30" cm="1">
        <f t="array" ref="AH246">DiasMesesGris(Q246:AB246)</f>
        <v>0</v>
      </c>
      <c r="AI246" s="30">
        <f t="shared" si="52"/>
        <v>0</v>
      </c>
      <c r="AJ246" s="30">
        <f t="shared" si="53"/>
        <v>360</v>
      </c>
      <c r="AK246" s="31">
        <f t="shared" si="54"/>
        <v>0</v>
      </c>
      <c r="AL246" s="32">
        <f t="shared" si="50"/>
        <v>0</v>
      </c>
    </row>
    <row r="247" spans="1:38" x14ac:dyDescent="0.25">
      <c r="A247" s="1" t="s">
        <v>758</v>
      </c>
      <c r="B247" s="1" t="s">
        <v>759</v>
      </c>
      <c r="C247" s="1" t="s">
        <v>760</v>
      </c>
      <c r="D247" s="5">
        <v>17</v>
      </c>
      <c r="E247" s="5">
        <v>6</v>
      </c>
      <c r="F247" s="5">
        <v>12</v>
      </c>
      <c r="G247" s="5">
        <v>15</v>
      </c>
      <c r="H247" s="5">
        <v>12</v>
      </c>
      <c r="I247" s="5">
        <v>6</v>
      </c>
      <c r="J247" s="5">
        <v>3</v>
      </c>
      <c r="K247" s="5">
        <v>5</v>
      </c>
      <c r="L247" s="5">
        <v>2</v>
      </c>
      <c r="M247" s="5">
        <v>3</v>
      </c>
      <c r="N247" s="5">
        <v>16</v>
      </c>
      <c r="O247" s="5">
        <v>8</v>
      </c>
      <c r="P247" s="3"/>
      <c r="Q247" s="6">
        <v>0.5484</v>
      </c>
      <c r="R247" s="6">
        <v>0.19350000000000001</v>
      </c>
      <c r="S247" s="6">
        <v>0.3478</v>
      </c>
      <c r="T247" s="6">
        <v>0.4839</v>
      </c>
      <c r="U247" s="6">
        <v>0.4</v>
      </c>
      <c r="V247" s="6">
        <v>0.19350000000000001</v>
      </c>
      <c r="W247" s="6">
        <v>0.121</v>
      </c>
      <c r="X247" s="6">
        <v>0.21010000000000001</v>
      </c>
      <c r="Y247" s="6">
        <v>5.8700000000000002E-2</v>
      </c>
      <c r="Z247" s="6">
        <v>0.1111</v>
      </c>
      <c r="AA247" s="6">
        <v>0.49159999999999998</v>
      </c>
      <c r="AB247" s="6">
        <v>0.2319</v>
      </c>
      <c r="AC247" s="7">
        <v>0</v>
      </c>
      <c r="AD247" s="35">
        <v>0.28260000000000002</v>
      </c>
      <c r="AE247" s="35">
        <f t="shared" si="49"/>
        <v>0.20255714285714285</v>
      </c>
      <c r="AF247" s="34" t="s">
        <v>35</v>
      </c>
      <c r="AG247" s="30" cm="1">
        <f t="array" ref="AG247">DIASQUIEBRE(Q247:AB247)</f>
        <v>0</v>
      </c>
      <c r="AH247" s="30" cm="1">
        <f t="array" ref="AH247">DiasMesesGris(Q247:AB247)</f>
        <v>0</v>
      </c>
      <c r="AI247" s="30">
        <f t="shared" si="52"/>
        <v>0</v>
      </c>
      <c r="AJ247" s="30">
        <f t="shared" si="53"/>
        <v>360</v>
      </c>
      <c r="AK247" s="31">
        <f t="shared" si="54"/>
        <v>105</v>
      </c>
      <c r="AL247" s="32">
        <f t="shared" si="50"/>
        <v>0.29166666666666669</v>
      </c>
    </row>
    <row r="248" spans="1:38" x14ac:dyDescent="0.25">
      <c r="A248" s="1" t="s">
        <v>761</v>
      </c>
      <c r="B248" s="1" t="s">
        <v>762</v>
      </c>
      <c r="C248" s="1" t="s">
        <v>763</v>
      </c>
      <c r="D248" s="5">
        <v>54</v>
      </c>
      <c r="E248" s="5">
        <v>35</v>
      </c>
      <c r="F248" s="5">
        <v>12</v>
      </c>
      <c r="G248" s="5">
        <v>16</v>
      </c>
      <c r="H248" s="5">
        <v>21</v>
      </c>
      <c r="I248" s="5">
        <v>16</v>
      </c>
      <c r="J248" s="5">
        <v>22</v>
      </c>
      <c r="K248" s="5">
        <v>14</v>
      </c>
      <c r="L248" s="5">
        <v>27</v>
      </c>
      <c r="M248" s="5">
        <v>14</v>
      </c>
      <c r="N248" s="5">
        <v>20</v>
      </c>
      <c r="O248" s="5">
        <v>50</v>
      </c>
      <c r="P248" s="5">
        <v>1</v>
      </c>
      <c r="Q248" s="6">
        <v>1.7419</v>
      </c>
      <c r="R248" s="6">
        <v>1.129</v>
      </c>
      <c r="S248" s="6">
        <v>0.3478</v>
      </c>
      <c r="T248" s="6">
        <v>0.5161</v>
      </c>
      <c r="U248" s="6">
        <v>0.7</v>
      </c>
      <c r="V248" s="6">
        <v>0.5161</v>
      </c>
      <c r="W248" s="6">
        <v>0.8871</v>
      </c>
      <c r="X248" s="6">
        <v>0.58819999999999995</v>
      </c>
      <c r="Y248" s="6">
        <v>0.79179999999999995</v>
      </c>
      <c r="Z248" s="6">
        <v>0.51849999999999996</v>
      </c>
      <c r="AA248" s="6">
        <v>0.61439999999999995</v>
      </c>
      <c r="AB248" s="6">
        <v>1.4493</v>
      </c>
      <c r="AC248" s="7">
        <v>3.2300000000000002E-2</v>
      </c>
      <c r="AD248" s="35">
        <v>0.81669999999999998</v>
      </c>
      <c r="AE248" s="35">
        <f t="shared" si="49"/>
        <v>0.76648571428571421</v>
      </c>
      <c r="AF248" s="34" t="s">
        <v>35</v>
      </c>
      <c r="AG248" s="30" cm="1">
        <f t="array" ref="AG248">DIASQUIEBRE(Q248:AB248)</f>
        <v>0</v>
      </c>
      <c r="AH248" s="30" cm="1">
        <f t="array" ref="AH248">DiasMesesGris(Q248:AB248)</f>
        <v>0</v>
      </c>
      <c r="AI248" s="30">
        <f t="shared" si="52"/>
        <v>0</v>
      </c>
      <c r="AJ248" s="30">
        <f t="shared" si="53"/>
        <v>360</v>
      </c>
      <c r="AK248" s="31">
        <f t="shared" si="54"/>
        <v>301</v>
      </c>
      <c r="AL248" s="32">
        <f t="shared" si="50"/>
        <v>0.83611111111111114</v>
      </c>
    </row>
    <row r="249" spans="1:38" x14ac:dyDescent="0.25">
      <c r="A249" s="1" t="s">
        <v>764</v>
      </c>
      <c r="B249" s="1" t="s">
        <v>765</v>
      </c>
      <c r="C249" s="1" t="s">
        <v>766</v>
      </c>
      <c r="D249" s="3"/>
      <c r="E249" s="3"/>
      <c r="F249" s="3"/>
      <c r="G249" s="3"/>
      <c r="H249" s="5">
        <v>2</v>
      </c>
      <c r="I249" s="5">
        <v>-2</v>
      </c>
      <c r="J249" s="3"/>
      <c r="K249" s="3"/>
      <c r="L249" s="3"/>
      <c r="M249" s="3"/>
      <c r="N249" s="3"/>
      <c r="O249" s="3"/>
      <c r="P249" s="3"/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7">
        <v>0</v>
      </c>
      <c r="AE249" s="35">
        <f t="shared" si="49"/>
        <v>0</v>
      </c>
      <c r="AF249" s="34" t="s">
        <v>51</v>
      </c>
      <c r="AG249" s="30" cm="1">
        <f t="array" ref="AG249">DIASQUIEBRE(Q249:AB249)</f>
        <v>0</v>
      </c>
      <c r="AH249" s="30" cm="1">
        <f t="array" ref="AH249">DiasMesesGris(Q249:AB249)</f>
        <v>360</v>
      </c>
      <c r="AI249" s="30">
        <f t="shared" si="52"/>
        <v>360</v>
      </c>
      <c r="AJ249" s="30">
        <f t="shared" si="53"/>
        <v>0</v>
      </c>
      <c r="AK249" s="31">
        <f t="shared" si="54"/>
        <v>0</v>
      </c>
      <c r="AL249" s="32">
        <f t="shared" si="50"/>
        <v>0</v>
      </c>
    </row>
    <row r="250" spans="1:38" x14ac:dyDescent="0.25">
      <c r="A250" s="1" t="s">
        <v>767</v>
      </c>
      <c r="B250" s="1" t="s">
        <v>768</v>
      </c>
      <c r="C250" s="1" t="s">
        <v>769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7">
        <v>0</v>
      </c>
      <c r="AE250" s="35">
        <f t="shared" si="49"/>
        <v>0</v>
      </c>
      <c r="AF250" s="34" t="s">
        <v>35</v>
      </c>
      <c r="AG250" s="30" cm="1">
        <f t="array" ref="AG250">DIASQUIEBRE(Q250:AB250)</f>
        <v>0</v>
      </c>
      <c r="AH250" s="30" cm="1">
        <f t="array" ref="AH250">DiasMesesGris(Q250:AB250)</f>
        <v>360</v>
      </c>
      <c r="AI250" s="30">
        <f t="shared" si="52"/>
        <v>360</v>
      </c>
      <c r="AJ250" s="30">
        <f t="shared" si="53"/>
        <v>0</v>
      </c>
      <c r="AK250" s="31">
        <f t="shared" si="54"/>
        <v>0</v>
      </c>
      <c r="AL250" s="32">
        <f t="shared" si="50"/>
        <v>0</v>
      </c>
    </row>
    <row r="251" spans="1:38" x14ac:dyDescent="0.25">
      <c r="A251" s="1" t="s">
        <v>770</v>
      </c>
      <c r="B251" s="1" t="s">
        <v>771</v>
      </c>
      <c r="C251" s="1" t="s">
        <v>772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7">
        <v>0</v>
      </c>
      <c r="AE251" s="35">
        <f t="shared" si="49"/>
        <v>0</v>
      </c>
      <c r="AF251" s="34" t="s">
        <v>51</v>
      </c>
      <c r="AG251" s="30" cm="1">
        <f t="array" ref="AG251">DIASQUIEBRE(Q251:AB251)</f>
        <v>0</v>
      </c>
      <c r="AH251" s="30" cm="1">
        <f t="array" ref="AH251">DiasMesesGris(Q251:AB251)</f>
        <v>360</v>
      </c>
      <c r="AI251" s="30">
        <f t="shared" si="52"/>
        <v>360</v>
      </c>
      <c r="AJ251" s="30">
        <f t="shared" si="53"/>
        <v>0</v>
      </c>
      <c r="AK251" s="31">
        <f t="shared" si="54"/>
        <v>0</v>
      </c>
      <c r="AL251" s="32">
        <f t="shared" si="50"/>
        <v>0</v>
      </c>
    </row>
    <row r="252" spans="1:38" x14ac:dyDescent="0.25">
      <c r="A252" s="1" t="s">
        <v>773</v>
      </c>
      <c r="B252" s="1" t="s">
        <v>774</v>
      </c>
      <c r="C252" s="1" t="s">
        <v>775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7">
        <v>0</v>
      </c>
      <c r="AE252" s="35">
        <f t="shared" si="49"/>
        <v>0</v>
      </c>
      <c r="AF252" s="34" t="s">
        <v>35</v>
      </c>
      <c r="AG252" s="30" cm="1">
        <f t="array" ref="AG252">DIASQUIEBRE(Q252:AB252)</f>
        <v>0</v>
      </c>
      <c r="AH252" s="30" cm="1">
        <f t="array" ref="AH252">DiasMesesGris(Q252:AB252)</f>
        <v>360</v>
      </c>
      <c r="AI252" s="30">
        <f t="shared" si="52"/>
        <v>360</v>
      </c>
      <c r="AJ252" s="30">
        <f t="shared" si="53"/>
        <v>0</v>
      </c>
      <c r="AK252" s="31">
        <f t="shared" si="54"/>
        <v>0</v>
      </c>
      <c r="AL252" s="32">
        <f t="shared" si="50"/>
        <v>0</v>
      </c>
    </row>
    <row r="253" spans="1:38" x14ac:dyDescent="0.25">
      <c r="A253" s="1" t="s">
        <v>776</v>
      </c>
      <c r="B253" s="1" t="s">
        <v>777</v>
      </c>
      <c r="C253" s="1" t="s">
        <v>778</v>
      </c>
      <c r="D253" s="3"/>
      <c r="E253" s="5">
        <v>2</v>
      </c>
      <c r="F253" s="3"/>
      <c r="G253" s="3"/>
      <c r="H253" s="3"/>
      <c r="I253" s="3"/>
      <c r="J253" s="5">
        <v>1</v>
      </c>
      <c r="K253" s="5">
        <v>-1</v>
      </c>
      <c r="L253" s="3"/>
      <c r="M253" s="3"/>
      <c r="N253" s="5">
        <v>1</v>
      </c>
      <c r="O253" s="3"/>
      <c r="P253" s="3"/>
      <c r="Q253" s="6">
        <v>0</v>
      </c>
      <c r="R253" s="6">
        <v>6.4500000000000002E-2</v>
      </c>
      <c r="S253" s="6">
        <v>0</v>
      </c>
      <c r="T253" s="6">
        <v>0</v>
      </c>
      <c r="U253" s="6">
        <v>0</v>
      </c>
      <c r="V253" s="6">
        <v>0</v>
      </c>
      <c r="W253" s="6">
        <v>4.0300000000000002E-2</v>
      </c>
      <c r="X253" s="6">
        <v>-4.2000000000000003E-2</v>
      </c>
      <c r="Y253" s="6">
        <v>0</v>
      </c>
      <c r="Z253" s="6">
        <v>0</v>
      </c>
      <c r="AA253" s="6">
        <v>3.0700000000000002E-2</v>
      </c>
      <c r="AB253" s="6">
        <v>0</v>
      </c>
      <c r="AC253" s="7">
        <v>0</v>
      </c>
      <c r="AD253" s="35">
        <v>7.7999999999999996E-3</v>
      </c>
      <c r="AE253" s="35">
        <f t="shared" si="49"/>
        <v>4.1428571428571434E-3</v>
      </c>
      <c r="AF253" s="34" t="s">
        <v>35</v>
      </c>
      <c r="AG253" s="30" cm="1">
        <f t="array" ref="AG253">DIASQUIEBRE(Q253:AB253)</f>
        <v>0</v>
      </c>
      <c r="AH253" s="30" cm="1">
        <f t="array" ref="AH253">DiasMesesGris(Q253:AB253)</f>
        <v>0</v>
      </c>
      <c r="AI253" s="30">
        <f t="shared" si="52"/>
        <v>0</v>
      </c>
      <c r="AJ253" s="30">
        <f t="shared" si="53"/>
        <v>360</v>
      </c>
      <c r="AK253" s="31">
        <f t="shared" si="54"/>
        <v>3</v>
      </c>
      <c r="AL253" s="32">
        <f t="shared" si="50"/>
        <v>8.3333333333333332E-3</v>
      </c>
    </row>
    <row r="254" spans="1:38" x14ac:dyDescent="0.25">
      <c r="A254" s="10" t="s">
        <v>779</v>
      </c>
      <c r="B254" s="1" t="s">
        <v>780</v>
      </c>
      <c r="C254" s="1" t="s">
        <v>781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7">
        <v>0</v>
      </c>
      <c r="AE254" s="35">
        <f t="shared" si="49"/>
        <v>0</v>
      </c>
      <c r="AF254" s="34" t="s">
        <v>51</v>
      </c>
      <c r="AG254" s="30" cm="1">
        <f t="array" ref="AG254">DIASQUIEBRE(Q254:AB254)</f>
        <v>0</v>
      </c>
      <c r="AH254" s="30" cm="1">
        <f t="array" ref="AH254">DiasMesesGris(Q254:AB254)</f>
        <v>360</v>
      </c>
      <c r="AI254" s="30">
        <f t="shared" si="52"/>
        <v>360</v>
      </c>
      <c r="AJ254" s="30">
        <f t="shared" si="53"/>
        <v>0</v>
      </c>
      <c r="AK254" s="31">
        <f t="shared" si="54"/>
        <v>0</v>
      </c>
      <c r="AL254" s="32">
        <f t="shared" si="50"/>
        <v>0</v>
      </c>
    </row>
    <row r="255" spans="1:38" x14ac:dyDescent="0.25">
      <c r="A255" s="1" t="s">
        <v>782</v>
      </c>
      <c r="B255" s="1" t="s">
        <v>783</v>
      </c>
      <c r="C255" s="1" t="s">
        <v>784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7">
        <v>0</v>
      </c>
      <c r="AE255" s="35">
        <f t="shared" si="49"/>
        <v>0</v>
      </c>
      <c r="AF255" s="34" t="s">
        <v>51</v>
      </c>
      <c r="AG255" s="30" cm="1">
        <f t="array" ref="AG255">DIASQUIEBRE(Q255:AB255)</f>
        <v>0</v>
      </c>
      <c r="AH255" s="30" cm="1">
        <f t="array" ref="AH255">DiasMesesGris(Q255:AB255)</f>
        <v>360</v>
      </c>
      <c r="AI255" s="30">
        <f t="shared" si="52"/>
        <v>360</v>
      </c>
      <c r="AJ255" s="30">
        <f t="shared" si="53"/>
        <v>0</v>
      </c>
      <c r="AK255" s="31">
        <f t="shared" si="54"/>
        <v>0</v>
      </c>
      <c r="AL255" s="32">
        <f t="shared" si="50"/>
        <v>0</v>
      </c>
    </row>
    <row r="256" spans="1:38" x14ac:dyDescent="0.25">
      <c r="A256" s="1" t="s">
        <v>785</v>
      </c>
      <c r="B256" s="1" t="s">
        <v>786</v>
      </c>
      <c r="C256" s="1" t="s">
        <v>787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7">
        <v>0</v>
      </c>
      <c r="AE256" s="35">
        <f t="shared" si="49"/>
        <v>0</v>
      </c>
      <c r="AF256" s="34" t="s">
        <v>35</v>
      </c>
      <c r="AG256" s="30" cm="1">
        <f t="array" ref="AG256">DIASQUIEBRE(Q256:AB256)</f>
        <v>0</v>
      </c>
      <c r="AH256" s="30" cm="1">
        <f t="array" ref="AH256">DiasMesesGris(Q256:AB256)</f>
        <v>360</v>
      </c>
      <c r="AI256" s="30">
        <f t="shared" si="52"/>
        <v>360</v>
      </c>
      <c r="AJ256" s="30">
        <f t="shared" si="53"/>
        <v>0</v>
      </c>
      <c r="AK256" s="31">
        <f t="shared" si="54"/>
        <v>0</v>
      </c>
      <c r="AL256" s="32">
        <f t="shared" si="50"/>
        <v>0</v>
      </c>
    </row>
    <row r="257" spans="1:38" x14ac:dyDescent="0.25">
      <c r="A257" s="1" t="s">
        <v>788</v>
      </c>
      <c r="B257" s="1" t="s">
        <v>789</v>
      </c>
      <c r="C257" s="1" t="s">
        <v>790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7">
        <v>0</v>
      </c>
      <c r="AE257" s="35">
        <f t="shared" si="49"/>
        <v>0</v>
      </c>
      <c r="AF257" s="34" t="s">
        <v>51</v>
      </c>
      <c r="AG257" s="30" cm="1">
        <f t="array" ref="AG257">DIASQUIEBRE(Q257:AB257)</f>
        <v>0</v>
      </c>
      <c r="AH257" s="30" cm="1">
        <f t="array" ref="AH257">DiasMesesGris(Q257:AB257)</f>
        <v>360</v>
      </c>
      <c r="AI257" s="30">
        <f t="shared" si="52"/>
        <v>360</v>
      </c>
      <c r="AJ257" s="30">
        <f t="shared" si="53"/>
        <v>0</v>
      </c>
      <c r="AK257" s="31">
        <f t="shared" si="54"/>
        <v>0</v>
      </c>
      <c r="AL257" s="32">
        <f t="shared" si="50"/>
        <v>0</v>
      </c>
    </row>
    <row r="258" spans="1:38" x14ac:dyDescent="0.25">
      <c r="A258" s="1" t="s">
        <v>791</v>
      </c>
      <c r="B258" s="1" t="s">
        <v>792</v>
      </c>
      <c r="C258" s="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7">
        <v>0</v>
      </c>
      <c r="AE258" s="35">
        <f t="shared" si="49"/>
        <v>0</v>
      </c>
      <c r="AF258" s="34" t="s">
        <v>35</v>
      </c>
      <c r="AG258" s="30" cm="1">
        <f t="array" ref="AG258">DIASQUIEBRE(Q258:AB258)</f>
        <v>0</v>
      </c>
      <c r="AH258" s="30" cm="1">
        <f t="array" ref="AH258">DiasMesesGris(Q258:AB258)</f>
        <v>360</v>
      </c>
      <c r="AI258" s="30">
        <f t="shared" si="52"/>
        <v>360</v>
      </c>
      <c r="AJ258" s="30">
        <f t="shared" si="53"/>
        <v>0</v>
      </c>
      <c r="AK258" s="31">
        <f t="shared" si="54"/>
        <v>0</v>
      </c>
      <c r="AL258" s="32">
        <f t="shared" si="50"/>
        <v>0</v>
      </c>
    </row>
    <row r="259" spans="1:38" x14ac:dyDescent="0.25">
      <c r="A259" s="10" t="s">
        <v>793</v>
      </c>
      <c r="B259" s="1" t="s">
        <v>794</v>
      </c>
      <c r="C259" s="1" t="s">
        <v>795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7">
        <v>0</v>
      </c>
      <c r="AE259" s="35">
        <f t="shared" ref="AE259:AE322" si="62">AVERAGE(V259:AB259)</f>
        <v>0</v>
      </c>
      <c r="AF259" s="34" t="s">
        <v>51</v>
      </c>
      <c r="AG259" s="30" cm="1">
        <f t="array" ref="AG259">DIASQUIEBRE(Q259:AB259)</f>
        <v>0</v>
      </c>
      <c r="AH259" s="30" cm="1">
        <f t="array" ref="AH259">DiasMesesGris(Q259:AB259)</f>
        <v>360</v>
      </c>
      <c r="AI259" s="30">
        <f t="shared" si="52"/>
        <v>360</v>
      </c>
      <c r="AJ259" s="30">
        <f t="shared" si="53"/>
        <v>0</v>
      </c>
      <c r="AK259" s="31">
        <f t="shared" si="54"/>
        <v>0</v>
      </c>
      <c r="AL259" s="32">
        <f t="shared" ref="AL259:AL322" si="63">IFERROR(AK259/AJ259,0)</f>
        <v>0</v>
      </c>
    </row>
    <row r="260" spans="1:38" x14ac:dyDescent="0.25">
      <c r="A260" s="1" t="s">
        <v>796</v>
      </c>
      <c r="B260" s="1" t="s">
        <v>797</v>
      </c>
      <c r="C260" s="1" t="s">
        <v>798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7">
        <v>0</v>
      </c>
      <c r="AE260" s="35">
        <f t="shared" si="62"/>
        <v>0</v>
      </c>
      <c r="AF260" s="34" t="s">
        <v>51</v>
      </c>
      <c r="AG260" s="30" cm="1">
        <f t="array" ref="AG260">DIASQUIEBRE(Q260:AB260)</f>
        <v>0</v>
      </c>
      <c r="AH260" s="30" cm="1">
        <f t="array" ref="AH260">DiasMesesGris(Q260:AB260)</f>
        <v>360</v>
      </c>
      <c r="AI260" s="30">
        <f t="shared" ref="AI260:AI323" si="64">AG260+AH260</f>
        <v>360</v>
      </c>
      <c r="AJ260" s="30">
        <f t="shared" ref="AJ260:AJ323" si="65">360-AI260</f>
        <v>0</v>
      </c>
      <c r="AK260" s="31">
        <f t="shared" ref="AK260:AK323" si="66">SUM(D260:O260)</f>
        <v>0</v>
      </c>
      <c r="AL260" s="32">
        <f t="shared" si="63"/>
        <v>0</v>
      </c>
    </row>
    <row r="261" spans="1:38" x14ac:dyDescent="0.25">
      <c r="A261" s="1" t="s">
        <v>799</v>
      </c>
      <c r="B261" s="1" t="s">
        <v>800</v>
      </c>
      <c r="C261" s="1" t="s">
        <v>801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7">
        <v>0</v>
      </c>
      <c r="AE261" s="35">
        <f t="shared" si="62"/>
        <v>0</v>
      </c>
      <c r="AF261" s="34" t="s">
        <v>51</v>
      </c>
      <c r="AG261" s="30" cm="1">
        <f t="array" ref="AG261">DIASQUIEBRE(Q261:AB261)</f>
        <v>0</v>
      </c>
      <c r="AH261" s="30" cm="1">
        <f t="array" ref="AH261">DiasMesesGris(Q261:AB261)</f>
        <v>360</v>
      </c>
      <c r="AI261" s="30">
        <f t="shared" si="64"/>
        <v>360</v>
      </c>
      <c r="AJ261" s="30">
        <f t="shared" si="65"/>
        <v>0</v>
      </c>
      <c r="AK261" s="31">
        <f t="shared" si="66"/>
        <v>0</v>
      </c>
      <c r="AL261" s="32">
        <f t="shared" si="63"/>
        <v>0</v>
      </c>
    </row>
    <row r="262" spans="1:38" x14ac:dyDescent="0.25">
      <c r="A262" s="1" t="s">
        <v>802</v>
      </c>
      <c r="B262" s="1" t="s">
        <v>803</v>
      </c>
      <c r="C262" s="1" t="s">
        <v>804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7">
        <v>0</v>
      </c>
      <c r="AE262" s="35">
        <f t="shared" si="62"/>
        <v>0</v>
      </c>
      <c r="AF262" s="34" t="s">
        <v>51</v>
      </c>
      <c r="AG262" s="30" cm="1">
        <f t="array" ref="AG262">DIASQUIEBRE(Q262:AB262)</f>
        <v>0</v>
      </c>
      <c r="AH262" s="30" cm="1">
        <f t="array" ref="AH262">DiasMesesGris(Q262:AB262)</f>
        <v>360</v>
      </c>
      <c r="AI262" s="30">
        <f t="shared" si="64"/>
        <v>360</v>
      </c>
      <c r="AJ262" s="30">
        <f t="shared" si="65"/>
        <v>0</v>
      </c>
      <c r="AK262" s="31">
        <f t="shared" si="66"/>
        <v>0</v>
      </c>
      <c r="AL262" s="32">
        <f t="shared" si="63"/>
        <v>0</v>
      </c>
    </row>
    <row r="263" spans="1:38" x14ac:dyDescent="0.25">
      <c r="A263" s="1" t="s">
        <v>805</v>
      </c>
      <c r="B263" s="1" t="s">
        <v>806</v>
      </c>
      <c r="C263" s="1" t="s">
        <v>807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7">
        <v>0</v>
      </c>
      <c r="AE263" s="35">
        <f t="shared" si="62"/>
        <v>0</v>
      </c>
      <c r="AF263" s="34" t="s">
        <v>51</v>
      </c>
      <c r="AG263" s="30" cm="1">
        <f t="array" ref="AG263">DIASQUIEBRE(Q263:AB263)</f>
        <v>0</v>
      </c>
      <c r="AH263" s="30" cm="1">
        <f t="array" ref="AH263">DiasMesesGris(Q263:AB263)</f>
        <v>360</v>
      </c>
      <c r="AI263" s="30">
        <f t="shared" si="64"/>
        <v>360</v>
      </c>
      <c r="AJ263" s="30">
        <f t="shared" si="65"/>
        <v>0</v>
      </c>
      <c r="AK263" s="31">
        <f t="shared" si="66"/>
        <v>0</v>
      </c>
      <c r="AL263" s="32">
        <f t="shared" si="63"/>
        <v>0</v>
      </c>
    </row>
    <row r="264" spans="1:38" x14ac:dyDescent="0.25">
      <c r="A264" s="1" t="s">
        <v>808</v>
      </c>
      <c r="B264" s="1" t="s">
        <v>809</v>
      </c>
      <c r="C264" s="1" t="s">
        <v>810</v>
      </c>
      <c r="D264" s="5">
        <v>97</v>
      </c>
      <c r="E264" s="5">
        <v>93</v>
      </c>
      <c r="F264" s="5">
        <v>82</v>
      </c>
      <c r="G264" s="5">
        <v>107</v>
      </c>
      <c r="H264" s="5">
        <v>56</v>
      </c>
      <c r="I264" s="5">
        <v>50</v>
      </c>
      <c r="J264" s="5">
        <v>33</v>
      </c>
      <c r="K264" s="5">
        <v>51</v>
      </c>
      <c r="L264" s="5">
        <v>94</v>
      </c>
      <c r="M264" s="5">
        <v>103</v>
      </c>
      <c r="N264" s="5">
        <v>74</v>
      </c>
      <c r="O264" s="5">
        <v>112</v>
      </c>
      <c r="P264" s="5">
        <v>1</v>
      </c>
      <c r="Q264" s="6">
        <v>3.129</v>
      </c>
      <c r="R264" s="6">
        <v>3</v>
      </c>
      <c r="S264" s="6">
        <v>2.3767999999999998</v>
      </c>
      <c r="T264" s="6">
        <v>3.4516</v>
      </c>
      <c r="U264" s="6">
        <v>1.8667</v>
      </c>
      <c r="V264" s="6">
        <v>1.6129</v>
      </c>
      <c r="W264" s="6">
        <v>1.3306</v>
      </c>
      <c r="X264" s="6">
        <v>2.1429</v>
      </c>
      <c r="Y264" s="6">
        <v>2.7566000000000002</v>
      </c>
      <c r="Z264" s="6">
        <v>3.8148</v>
      </c>
      <c r="AA264" s="6">
        <v>2.2734000000000001</v>
      </c>
      <c r="AB264" s="6">
        <v>3.2464</v>
      </c>
      <c r="AC264" s="7">
        <v>3.2300000000000002E-2</v>
      </c>
      <c r="AD264" s="35">
        <v>2.5834999999999999</v>
      </c>
      <c r="AE264" s="35">
        <f t="shared" si="62"/>
        <v>2.4539428571428572</v>
      </c>
      <c r="AF264" s="34" t="s">
        <v>35</v>
      </c>
      <c r="AG264" s="30" cm="1">
        <f t="array" ref="AG264">DIASQUIEBRE(Q264:AB264)</f>
        <v>0</v>
      </c>
      <c r="AH264" s="30" cm="1">
        <f t="array" ref="AH264">DiasMesesGris(Q264:AB264)</f>
        <v>0</v>
      </c>
      <c r="AI264" s="30">
        <f t="shared" si="64"/>
        <v>0</v>
      </c>
      <c r="AJ264" s="30">
        <f t="shared" si="65"/>
        <v>360</v>
      </c>
      <c r="AK264" s="31">
        <f t="shared" si="66"/>
        <v>952</v>
      </c>
      <c r="AL264" s="32">
        <f t="shared" si="63"/>
        <v>2.6444444444444444</v>
      </c>
    </row>
    <row r="265" spans="1:38" x14ac:dyDescent="0.25">
      <c r="A265" s="1" t="s">
        <v>811</v>
      </c>
      <c r="B265" s="1" t="s">
        <v>812</v>
      </c>
      <c r="C265" s="1" t="s">
        <v>813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7">
        <v>0</v>
      </c>
      <c r="AE265" s="35">
        <f t="shared" si="62"/>
        <v>0</v>
      </c>
      <c r="AF265" s="34" t="s">
        <v>51</v>
      </c>
      <c r="AG265" s="30" cm="1">
        <f t="array" ref="AG265">DIASQUIEBRE(Q265:AB265)</f>
        <v>0</v>
      </c>
      <c r="AH265" s="30" cm="1">
        <f t="array" ref="AH265">DiasMesesGris(Q265:AB265)</f>
        <v>360</v>
      </c>
      <c r="AI265" s="30">
        <f t="shared" si="64"/>
        <v>360</v>
      </c>
      <c r="AJ265" s="30">
        <f t="shared" si="65"/>
        <v>0</v>
      </c>
      <c r="AK265" s="31">
        <f t="shared" si="66"/>
        <v>0</v>
      </c>
      <c r="AL265" s="32">
        <f t="shared" si="63"/>
        <v>0</v>
      </c>
    </row>
    <row r="266" spans="1:38" x14ac:dyDescent="0.25">
      <c r="A266" s="1" t="s">
        <v>814</v>
      </c>
      <c r="B266" s="1" t="s">
        <v>815</v>
      </c>
      <c r="C266" s="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7">
        <v>0</v>
      </c>
      <c r="AE266" s="35">
        <f t="shared" si="62"/>
        <v>0</v>
      </c>
      <c r="AF266" s="34" t="s">
        <v>51</v>
      </c>
      <c r="AG266" s="30" cm="1">
        <f t="array" ref="AG266">DIASQUIEBRE(Q266:AB266)</f>
        <v>0</v>
      </c>
      <c r="AH266" s="30" cm="1">
        <f t="array" ref="AH266">DiasMesesGris(Q266:AB266)</f>
        <v>360</v>
      </c>
      <c r="AI266" s="30">
        <f t="shared" si="64"/>
        <v>360</v>
      </c>
      <c r="AJ266" s="30">
        <f t="shared" si="65"/>
        <v>0</v>
      </c>
      <c r="AK266" s="31">
        <f t="shared" si="66"/>
        <v>0</v>
      </c>
      <c r="AL266" s="32">
        <f t="shared" si="63"/>
        <v>0</v>
      </c>
    </row>
    <row r="267" spans="1:38" x14ac:dyDescent="0.25">
      <c r="A267" s="1" t="s">
        <v>816</v>
      </c>
      <c r="B267" s="1" t="s">
        <v>817</v>
      </c>
      <c r="C267" s="1" t="s">
        <v>818</v>
      </c>
      <c r="D267" s="5">
        <v>8</v>
      </c>
      <c r="E267" s="3"/>
      <c r="F267" s="5">
        <v>24</v>
      </c>
      <c r="G267" s="5">
        <v>39</v>
      </c>
      <c r="H267" s="5">
        <v>17</v>
      </c>
      <c r="I267" s="5">
        <v>32</v>
      </c>
      <c r="J267" s="5">
        <v>6</v>
      </c>
      <c r="K267" s="5">
        <v>35</v>
      </c>
      <c r="L267" s="5">
        <v>2</v>
      </c>
      <c r="M267" s="5">
        <v>3</v>
      </c>
      <c r="N267" s="5">
        <v>47</v>
      </c>
      <c r="O267" s="5">
        <v>5</v>
      </c>
      <c r="P267" s="3"/>
      <c r="Q267" s="6">
        <v>0.2581</v>
      </c>
      <c r="R267" s="6">
        <v>0</v>
      </c>
      <c r="S267" s="6">
        <v>0.69569999999999999</v>
      </c>
      <c r="T267" s="6">
        <v>1.2581</v>
      </c>
      <c r="U267" s="6">
        <v>0.56669999999999998</v>
      </c>
      <c r="V267" s="6">
        <v>1.0323</v>
      </c>
      <c r="W267" s="6">
        <v>0.2419</v>
      </c>
      <c r="X267" s="8">
        <f t="shared" ref="X267" si="67">K267/30</f>
        <v>1.1666666666666667</v>
      </c>
      <c r="Y267" s="9">
        <v>0</v>
      </c>
      <c r="Z267" s="8">
        <v>0.15870000000000001</v>
      </c>
      <c r="AA267" s="6">
        <v>1.4439</v>
      </c>
      <c r="AB267" s="6">
        <v>0.1449</v>
      </c>
      <c r="AC267" s="7">
        <v>0</v>
      </c>
      <c r="AD267" s="35">
        <v>0.62680000000000002</v>
      </c>
      <c r="AE267" s="35">
        <v>0.7</v>
      </c>
      <c r="AF267" s="34" t="s">
        <v>35</v>
      </c>
      <c r="AG267" s="30" cm="1">
        <f t="array" ref="AG267">DIASQUIEBRE(Q267:AB267)</f>
        <v>20</v>
      </c>
      <c r="AH267" s="30" cm="1">
        <f t="array" ref="AH267">DiasMesesGris(Q267:AB267)</f>
        <v>30</v>
      </c>
      <c r="AI267" s="30">
        <f t="shared" si="64"/>
        <v>50</v>
      </c>
      <c r="AJ267" s="30">
        <f t="shared" si="65"/>
        <v>310</v>
      </c>
      <c r="AK267" s="31">
        <f t="shared" si="66"/>
        <v>218</v>
      </c>
      <c r="AL267" s="32">
        <f t="shared" si="63"/>
        <v>0.70322580645161292</v>
      </c>
    </row>
    <row r="268" spans="1:38" x14ac:dyDescent="0.25">
      <c r="A268" s="1" t="s">
        <v>819</v>
      </c>
      <c r="B268" s="1" t="s">
        <v>820</v>
      </c>
      <c r="C268" s="1" t="s">
        <v>344</v>
      </c>
      <c r="D268" s="5">
        <v>242</v>
      </c>
      <c r="E268" s="5">
        <v>274</v>
      </c>
      <c r="F268" s="5">
        <v>309</v>
      </c>
      <c r="G268" s="5">
        <v>280</v>
      </c>
      <c r="H268" s="5">
        <v>241</v>
      </c>
      <c r="I268" s="5">
        <v>235</v>
      </c>
      <c r="J268" s="5">
        <v>215</v>
      </c>
      <c r="K268" s="5">
        <v>247</v>
      </c>
      <c r="L268" s="5">
        <v>352</v>
      </c>
      <c r="M268" s="5">
        <v>261</v>
      </c>
      <c r="N268" s="5">
        <v>329</v>
      </c>
      <c r="O268" s="5">
        <v>278</v>
      </c>
      <c r="P268" s="5">
        <v>14</v>
      </c>
      <c r="Q268" s="6">
        <v>7.8064999999999998</v>
      </c>
      <c r="R268" s="6">
        <v>8.8386999999999993</v>
      </c>
      <c r="S268" s="6">
        <v>8.9565000000000001</v>
      </c>
      <c r="T268" s="6">
        <v>9.0322999999999993</v>
      </c>
      <c r="U268" s="6">
        <v>8.0333000000000006</v>
      </c>
      <c r="V268" s="6">
        <v>7.5805999999999996</v>
      </c>
      <c r="W268" s="6">
        <v>8.6693999999999996</v>
      </c>
      <c r="X268" s="6">
        <v>10.3782</v>
      </c>
      <c r="Y268" s="6">
        <v>10.3226</v>
      </c>
      <c r="Z268" s="6">
        <v>9.6667000000000005</v>
      </c>
      <c r="AA268" s="6">
        <v>10.1075</v>
      </c>
      <c r="AB268" s="6">
        <v>8.0579999999999998</v>
      </c>
      <c r="AC268" s="7">
        <v>0.4516</v>
      </c>
      <c r="AD268" s="35">
        <v>8.9542000000000002</v>
      </c>
      <c r="AE268" s="35">
        <v>9.5299999999999994</v>
      </c>
      <c r="AF268" s="34" t="s">
        <v>35</v>
      </c>
      <c r="AG268" s="30" cm="1">
        <f t="array" ref="AG268">DIASQUIEBRE(Q268:AB268)</f>
        <v>0</v>
      </c>
      <c r="AH268" s="30" cm="1">
        <f t="array" ref="AH268">DiasMesesGris(Q268:AB268)</f>
        <v>0</v>
      </c>
      <c r="AI268" s="30">
        <f t="shared" si="64"/>
        <v>0</v>
      </c>
      <c r="AJ268" s="30">
        <f t="shared" si="65"/>
        <v>360</v>
      </c>
      <c r="AK268" s="31">
        <f t="shared" si="66"/>
        <v>3263</v>
      </c>
      <c r="AL268" s="32">
        <f t="shared" si="63"/>
        <v>9.0638888888888882</v>
      </c>
    </row>
    <row r="269" spans="1:38" x14ac:dyDescent="0.25">
      <c r="A269" s="1" t="s">
        <v>821</v>
      </c>
      <c r="B269" s="1" t="s">
        <v>822</v>
      </c>
      <c r="C269" s="1" t="s">
        <v>394</v>
      </c>
      <c r="D269" s="5">
        <v>142</v>
      </c>
      <c r="E269" s="5">
        <v>71</v>
      </c>
      <c r="F269" s="5">
        <v>48</v>
      </c>
      <c r="G269" s="5">
        <v>77</v>
      </c>
      <c r="H269" s="5">
        <v>41</v>
      </c>
      <c r="I269" s="5">
        <v>97</v>
      </c>
      <c r="J269" s="5">
        <v>55</v>
      </c>
      <c r="K269" s="5">
        <v>62</v>
      </c>
      <c r="L269" s="5">
        <v>56</v>
      </c>
      <c r="M269" s="5">
        <v>62</v>
      </c>
      <c r="N269" s="5">
        <v>79</v>
      </c>
      <c r="O269" s="5">
        <v>36</v>
      </c>
      <c r="P269" s="3"/>
      <c r="Q269" s="6">
        <v>4.5805999999999996</v>
      </c>
      <c r="R269" s="6">
        <v>2.2902999999999998</v>
      </c>
      <c r="S269" s="6">
        <v>1.3913</v>
      </c>
      <c r="T269" s="6">
        <v>2.4839000000000002</v>
      </c>
      <c r="U269" s="6">
        <v>1.3667</v>
      </c>
      <c r="V269" s="6">
        <v>3.129</v>
      </c>
      <c r="W269" s="6">
        <v>2.2176999999999998</v>
      </c>
      <c r="X269" s="6">
        <v>2.605</v>
      </c>
      <c r="Y269" s="6">
        <v>1.6422000000000001</v>
      </c>
      <c r="Z269" s="6">
        <v>2.2963</v>
      </c>
      <c r="AA269" s="6">
        <v>2.427</v>
      </c>
      <c r="AB269" s="6">
        <v>1.0435000000000001</v>
      </c>
      <c r="AC269" s="7">
        <v>0</v>
      </c>
      <c r="AD269" s="35">
        <v>2.2894999999999999</v>
      </c>
      <c r="AE269" s="35">
        <f t="shared" si="62"/>
        <v>2.1943857142857146</v>
      </c>
      <c r="AF269" s="34" t="s">
        <v>35</v>
      </c>
      <c r="AG269" s="30" cm="1">
        <f t="array" ref="AG269">DIASQUIEBRE(Q269:AB269)</f>
        <v>0</v>
      </c>
      <c r="AH269" s="30" cm="1">
        <f t="array" ref="AH269">DiasMesesGris(Q269:AB269)</f>
        <v>0</v>
      </c>
      <c r="AI269" s="30">
        <f t="shared" si="64"/>
        <v>0</v>
      </c>
      <c r="AJ269" s="30">
        <f t="shared" si="65"/>
        <v>360</v>
      </c>
      <c r="AK269" s="31">
        <f t="shared" si="66"/>
        <v>826</v>
      </c>
      <c r="AL269" s="32">
        <f t="shared" si="63"/>
        <v>2.2944444444444443</v>
      </c>
    </row>
    <row r="270" spans="1:38" x14ac:dyDescent="0.25">
      <c r="A270" s="1" t="s">
        <v>823</v>
      </c>
      <c r="B270" s="1" t="s">
        <v>824</v>
      </c>
      <c r="C270" s="1" t="s">
        <v>347</v>
      </c>
      <c r="D270" s="5">
        <v>96</v>
      </c>
      <c r="E270" s="5">
        <v>58</v>
      </c>
      <c r="F270" s="5">
        <v>64</v>
      </c>
      <c r="G270" s="5">
        <v>28</v>
      </c>
      <c r="H270" s="5">
        <v>35</v>
      </c>
      <c r="I270" s="5">
        <v>86</v>
      </c>
      <c r="J270" s="5">
        <v>18</v>
      </c>
      <c r="K270" s="5">
        <v>26</v>
      </c>
      <c r="L270" s="5">
        <v>94</v>
      </c>
      <c r="M270" s="5">
        <v>65</v>
      </c>
      <c r="N270" s="5">
        <v>73</v>
      </c>
      <c r="O270" s="5">
        <v>78</v>
      </c>
      <c r="P270" s="5">
        <v>13</v>
      </c>
      <c r="Q270" s="6">
        <v>3.0968</v>
      </c>
      <c r="R270" s="6">
        <v>1.871</v>
      </c>
      <c r="S270" s="6">
        <v>1.8551</v>
      </c>
      <c r="T270" s="6">
        <v>0.9032</v>
      </c>
      <c r="U270" s="6">
        <v>1.1667000000000001</v>
      </c>
      <c r="V270" s="6">
        <v>2.7742</v>
      </c>
      <c r="W270" s="6">
        <v>0.7258</v>
      </c>
      <c r="X270" s="6">
        <v>1.0924</v>
      </c>
      <c r="Y270" s="6">
        <v>2.7566000000000002</v>
      </c>
      <c r="Z270" s="6">
        <v>2.4074</v>
      </c>
      <c r="AA270" s="6">
        <v>2.2427000000000001</v>
      </c>
      <c r="AB270" s="6">
        <v>2.2608999999999999</v>
      </c>
      <c r="AC270" s="7">
        <v>0.4194</v>
      </c>
      <c r="AD270" s="35">
        <v>1.9294</v>
      </c>
      <c r="AE270" s="35">
        <f t="shared" si="62"/>
        <v>2.0371428571428569</v>
      </c>
      <c r="AF270" s="34" t="s">
        <v>35</v>
      </c>
      <c r="AG270" s="30" cm="1">
        <f t="array" ref="AG270">DIASQUIEBRE(Q270:AB270)</f>
        <v>0</v>
      </c>
      <c r="AH270" s="30" cm="1">
        <f t="array" ref="AH270">DiasMesesGris(Q270:AB270)</f>
        <v>0</v>
      </c>
      <c r="AI270" s="30">
        <f t="shared" si="64"/>
        <v>0</v>
      </c>
      <c r="AJ270" s="30">
        <f t="shared" si="65"/>
        <v>360</v>
      </c>
      <c r="AK270" s="31">
        <f t="shared" si="66"/>
        <v>721</v>
      </c>
      <c r="AL270" s="32">
        <f t="shared" si="63"/>
        <v>2.0027777777777778</v>
      </c>
    </row>
    <row r="271" spans="1:38" x14ac:dyDescent="0.25">
      <c r="A271" s="1" t="s">
        <v>825</v>
      </c>
      <c r="B271" s="1" t="s">
        <v>826</v>
      </c>
      <c r="C271" s="1" t="s">
        <v>382</v>
      </c>
      <c r="D271" s="5">
        <v>20</v>
      </c>
      <c r="E271" s="5">
        <v>7</v>
      </c>
      <c r="F271" s="5">
        <v>25</v>
      </c>
      <c r="G271" s="5">
        <v>24</v>
      </c>
      <c r="H271" s="5">
        <v>2</v>
      </c>
      <c r="I271" s="5">
        <v>16</v>
      </c>
      <c r="J271" s="5">
        <v>10</v>
      </c>
      <c r="K271" s="5">
        <v>36</v>
      </c>
      <c r="L271" s="5">
        <v>19</v>
      </c>
      <c r="M271" s="5">
        <v>27</v>
      </c>
      <c r="N271" s="5">
        <v>24</v>
      </c>
      <c r="O271" s="5">
        <v>18</v>
      </c>
      <c r="P271" s="3"/>
      <c r="Q271" s="6">
        <v>0.6452</v>
      </c>
      <c r="R271" s="6">
        <v>0.2258</v>
      </c>
      <c r="S271" s="6">
        <v>0.72460000000000002</v>
      </c>
      <c r="T271" s="6">
        <v>0.7742</v>
      </c>
      <c r="U271" s="6">
        <v>6.6699999999999995E-2</v>
      </c>
      <c r="V271" s="6">
        <v>0.5161</v>
      </c>
      <c r="W271" s="6">
        <v>0.4032</v>
      </c>
      <c r="X271" s="6">
        <v>1.5125999999999999</v>
      </c>
      <c r="Y271" s="6">
        <v>0.55720000000000003</v>
      </c>
      <c r="Z271" s="6">
        <v>1</v>
      </c>
      <c r="AA271" s="6">
        <v>0.73729999999999996</v>
      </c>
      <c r="AB271" s="6">
        <v>0.52170000000000005</v>
      </c>
      <c r="AC271" s="7">
        <v>0</v>
      </c>
      <c r="AD271" s="35">
        <v>0.64039999999999997</v>
      </c>
      <c r="AE271" s="35">
        <f t="shared" si="62"/>
        <v>0.74972857142857141</v>
      </c>
      <c r="AF271" s="34" t="s">
        <v>35</v>
      </c>
      <c r="AG271" s="30" cm="1">
        <f t="array" ref="AG271">DIASQUIEBRE(Q271:AB271)</f>
        <v>0</v>
      </c>
      <c r="AH271" s="30" cm="1">
        <f t="array" ref="AH271">DiasMesesGris(Q271:AB271)</f>
        <v>0</v>
      </c>
      <c r="AI271" s="30">
        <f t="shared" si="64"/>
        <v>0</v>
      </c>
      <c r="AJ271" s="30">
        <f t="shared" si="65"/>
        <v>360</v>
      </c>
      <c r="AK271" s="31">
        <f t="shared" si="66"/>
        <v>228</v>
      </c>
      <c r="AL271" s="32">
        <f t="shared" si="63"/>
        <v>0.6333333333333333</v>
      </c>
    </row>
    <row r="272" spans="1:38" x14ac:dyDescent="0.25">
      <c r="A272" s="1" t="s">
        <v>827</v>
      </c>
      <c r="B272" s="1" t="s">
        <v>828</v>
      </c>
      <c r="C272" s="1" t="s">
        <v>829</v>
      </c>
      <c r="D272" s="5">
        <v>3</v>
      </c>
      <c r="E272" s="5">
        <v>5</v>
      </c>
      <c r="F272" s="5">
        <v>7</v>
      </c>
      <c r="G272" s="5">
        <v>2</v>
      </c>
      <c r="H272" s="5">
        <v>9</v>
      </c>
      <c r="I272" s="5">
        <v>4</v>
      </c>
      <c r="J272" s="5">
        <v>7</v>
      </c>
      <c r="K272" s="5">
        <v>5</v>
      </c>
      <c r="L272" s="3"/>
      <c r="M272" s="5">
        <v>3</v>
      </c>
      <c r="N272" s="5">
        <v>3</v>
      </c>
      <c r="O272" s="5">
        <v>1</v>
      </c>
      <c r="P272" s="3"/>
      <c r="Q272" s="8">
        <v>0.2727</v>
      </c>
      <c r="R272" s="6">
        <v>0.1613</v>
      </c>
      <c r="S272" s="6">
        <v>0.2029</v>
      </c>
      <c r="T272" s="6">
        <v>6.4500000000000002E-2</v>
      </c>
      <c r="U272" s="6">
        <v>0.3</v>
      </c>
      <c r="V272" s="6">
        <v>0.129</v>
      </c>
      <c r="W272" s="6">
        <v>0.2823</v>
      </c>
      <c r="X272" s="8">
        <f t="shared" ref="X272" si="68">K272/30</f>
        <v>0.16666666666666666</v>
      </c>
      <c r="Y272" s="8">
        <f t="shared" ref="Y272" si="69">L272/30</f>
        <v>0</v>
      </c>
      <c r="Z272" s="8">
        <f t="shared" ref="Z272" si="70">M272/30</f>
        <v>0.1</v>
      </c>
      <c r="AA272" s="8">
        <f t="shared" ref="AA272" si="71">N272/30</f>
        <v>0.1</v>
      </c>
      <c r="AB272" s="6">
        <v>2.9000000000000001E-2</v>
      </c>
      <c r="AC272" s="7">
        <v>0</v>
      </c>
      <c r="AD272" s="35">
        <v>0.16700000000000001</v>
      </c>
      <c r="AE272" s="35">
        <f t="shared" si="62"/>
        <v>0.11528095238095237</v>
      </c>
      <c r="AF272" s="34" t="s">
        <v>35</v>
      </c>
      <c r="AG272" s="30" cm="1">
        <f t="array" ref="AG272">DIASQUIEBRE(Q272:AB272)</f>
        <v>61</v>
      </c>
      <c r="AH272" s="30" cm="1">
        <f t="array" ref="AH272">DiasMesesGris(Q272:AB272)</f>
        <v>0</v>
      </c>
      <c r="AI272" s="30">
        <f t="shared" si="64"/>
        <v>61</v>
      </c>
      <c r="AJ272" s="30">
        <f t="shared" si="65"/>
        <v>299</v>
      </c>
      <c r="AK272" s="31">
        <f t="shared" si="66"/>
        <v>49</v>
      </c>
      <c r="AL272" s="32">
        <f t="shared" si="63"/>
        <v>0.16387959866220736</v>
      </c>
    </row>
    <row r="273" spans="1:38" x14ac:dyDescent="0.25">
      <c r="A273" s="1" t="s">
        <v>830</v>
      </c>
      <c r="B273" s="1" t="s">
        <v>831</v>
      </c>
      <c r="C273" s="1" t="s">
        <v>832</v>
      </c>
      <c r="D273" s="3"/>
      <c r="E273" s="3"/>
      <c r="F273" s="3"/>
      <c r="G273" s="3"/>
      <c r="H273" s="3"/>
      <c r="I273" s="3"/>
      <c r="J273" s="3"/>
      <c r="K273" s="3"/>
      <c r="L273" s="5">
        <v>2</v>
      </c>
      <c r="M273" s="3"/>
      <c r="N273" s="5">
        <v>2</v>
      </c>
      <c r="O273" s="3"/>
      <c r="P273" s="3"/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7">
        <v>0</v>
      </c>
      <c r="AE273" s="35">
        <f t="shared" si="62"/>
        <v>0</v>
      </c>
      <c r="AF273" s="34" t="s">
        <v>35</v>
      </c>
      <c r="AG273" s="30" cm="1">
        <f t="array" ref="AG273">DIASQUIEBRE(Q273:AB273)</f>
        <v>0</v>
      </c>
      <c r="AH273" s="30" cm="1">
        <f t="array" ref="AH273">DiasMesesGris(Q273:AB273)</f>
        <v>360</v>
      </c>
      <c r="AI273" s="30">
        <f t="shared" si="64"/>
        <v>360</v>
      </c>
      <c r="AJ273" s="30">
        <f t="shared" si="65"/>
        <v>0</v>
      </c>
      <c r="AK273" s="31">
        <f t="shared" si="66"/>
        <v>4</v>
      </c>
      <c r="AL273" s="32">
        <f t="shared" si="63"/>
        <v>0</v>
      </c>
    </row>
    <row r="274" spans="1:38" x14ac:dyDescent="0.25">
      <c r="A274" s="1" t="s">
        <v>833</v>
      </c>
      <c r="B274" s="1" t="s">
        <v>834</v>
      </c>
      <c r="C274" s="1" t="s">
        <v>835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5">
        <v>3</v>
      </c>
      <c r="O274" s="3"/>
      <c r="P274" s="3"/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7">
        <v>0</v>
      </c>
      <c r="AE274" s="35">
        <f t="shared" si="62"/>
        <v>0</v>
      </c>
      <c r="AF274" s="34" t="s">
        <v>35</v>
      </c>
      <c r="AG274" s="30" cm="1">
        <f t="array" ref="AG274">DIASQUIEBRE(Q274:AB274)</f>
        <v>0</v>
      </c>
      <c r="AH274" s="30" cm="1">
        <f t="array" ref="AH274">DiasMesesGris(Q274:AB274)</f>
        <v>360</v>
      </c>
      <c r="AI274" s="30">
        <f t="shared" si="64"/>
        <v>360</v>
      </c>
      <c r="AJ274" s="30">
        <f t="shared" si="65"/>
        <v>0</v>
      </c>
      <c r="AK274" s="31">
        <f t="shared" si="66"/>
        <v>3</v>
      </c>
      <c r="AL274" s="32">
        <f t="shared" si="63"/>
        <v>0</v>
      </c>
    </row>
    <row r="275" spans="1:38" x14ac:dyDescent="0.25">
      <c r="A275" s="1" t="s">
        <v>836</v>
      </c>
      <c r="B275" s="1" t="s">
        <v>837</v>
      </c>
      <c r="C275" s="1" t="s">
        <v>838</v>
      </c>
      <c r="D275" s="5">
        <v>4</v>
      </c>
      <c r="E275" s="5">
        <v>4</v>
      </c>
      <c r="F275" s="5">
        <v>3</v>
      </c>
      <c r="G275" s="5">
        <v>2</v>
      </c>
      <c r="H275" s="5">
        <v>3</v>
      </c>
      <c r="I275" s="5">
        <v>10</v>
      </c>
      <c r="J275" s="5">
        <v>1</v>
      </c>
      <c r="K275" s="5">
        <v>3</v>
      </c>
      <c r="L275" s="5">
        <v>4</v>
      </c>
      <c r="M275" s="5">
        <v>4</v>
      </c>
      <c r="N275" s="3"/>
      <c r="O275" s="5">
        <v>1</v>
      </c>
      <c r="P275" s="3"/>
      <c r="Q275" s="6">
        <v>0.129</v>
      </c>
      <c r="R275" s="6">
        <v>0.129</v>
      </c>
      <c r="S275" s="6">
        <v>8.6999999999999994E-2</v>
      </c>
      <c r="T275" s="6">
        <v>6.4500000000000002E-2</v>
      </c>
      <c r="U275" s="6">
        <v>0.1</v>
      </c>
      <c r="V275" s="6">
        <v>0.3226</v>
      </c>
      <c r="W275" s="6">
        <v>4.0300000000000002E-2</v>
      </c>
      <c r="X275" s="6">
        <v>0.12609999999999999</v>
      </c>
      <c r="Y275" s="6">
        <v>0.1173</v>
      </c>
      <c r="Z275" s="6">
        <v>0.14810000000000001</v>
      </c>
      <c r="AA275" s="6">
        <v>0</v>
      </c>
      <c r="AB275" s="6">
        <v>2.9000000000000001E-2</v>
      </c>
      <c r="AC275" s="7">
        <v>0</v>
      </c>
      <c r="AD275" s="35">
        <v>0.1077</v>
      </c>
      <c r="AE275" s="35">
        <f t="shared" si="62"/>
        <v>0.11191428571428572</v>
      </c>
      <c r="AF275" s="34" t="s">
        <v>35</v>
      </c>
      <c r="AG275" s="30" cm="1">
        <f t="array" ref="AG275">DIASQUIEBRE(Q275:AB275)</f>
        <v>0</v>
      </c>
      <c r="AH275" s="30" cm="1">
        <f t="array" ref="AH275">DiasMesesGris(Q275:AB275)</f>
        <v>0</v>
      </c>
      <c r="AI275" s="30">
        <f t="shared" si="64"/>
        <v>0</v>
      </c>
      <c r="AJ275" s="30">
        <f t="shared" si="65"/>
        <v>360</v>
      </c>
      <c r="AK275" s="31">
        <f t="shared" si="66"/>
        <v>39</v>
      </c>
      <c r="AL275" s="32">
        <f t="shared" si="63"/>
        <v>0.10833333333333334</v>
      </c>
    </row>
    <row r="276" spans="1:38" x14ac:dyDescent="0.25">
      <c r="A276" s="1" t="s">
        <v>839</v>
      </c>
      <c r="B276" s="1" t="s">
        <v>840</v>
      </c>
      <c r="C276" s="1" t="s">
        <v>841</v>
      </c>
      <c r="D276" s="5">
        <v>249</v>
      </c>
      <c r="E276" s="5">
        <v>282</v>
      </c>
      <c r="F276" s="5">
        <v>232</v>
      </c>
      <c r="G276" s="5">
        <v>224</v>
      </c>
      <c r="H276" s="5">
        <v>310</v>
      </c>
      <c r="I276" s="5">
        <v>121</v>
      </c>
      <c r="J276" s="5">
        <v>141</v>
      </c>
      <c r="K276" s="5">
        <v>137</v>
      </c>
      <c r="L276" s="5">
        <v>221</v>
      </c>
      <c r="M276" s="5">
        <v>175</v>
      </c>
      <c r="N276" s="5">
        <v>207</v>
      </c>
      <c r="O276" s="5">
        <v>164</v>
      </c>
      <c r="P276" s="3"/>
      <c r="Q276" s="6">
        <v>8.0322999999999993</v>
      </c>
      <c r="R276" s="6">
        <v>9.0968</v>
      </c>
      <c r="S276" s="6">
        <v>6.7245999999999997</v>
      </c>
      <c r="T276" s="6">
        <v>7.2257999999999996</v>
      </c>
      <c r="U276" s="6">
        <v>10.333299999999999</v>
      </c>
      <c r="V276" s="6">
        <v>3.9032</v>
      </c>
      <c r="W276" s="6">
        <v>5.6855000000000002</v>
      </c>
      <c r="X276" s="6">
        <v>5.7563000000000004</v>
      </c>
      <c r="Y276" s="6">
        <v>6.4809000000000001</v>
      </c>
      <c r="Z276" s="6">
        <v>6.4814999999999996</v>
      </c>
      <c r="AA276" s="6">
        <v>6.3593999999999999</v>
      </c>
      <c r="AB276" s="6">
        <v>4.7535999999999996</v>
      </c>
      <c r="AC276" s="7">
        <v>0</v>
      </c>
      <c r="AD276" s="35">
        <v>6.7361000000000004</v>
      </c>
      <c r="AE276" s="35">
        <f t="shared" si="62"/>
        <v>5.6314857142857138</v>
      </c>
      <c r="AF276" s="34" t="s">
        <v>35</v>
      </c>
      <c r="AG276" s="30" cm="1">
        <f t="array" ref="AG276">DIASQUIEBRE(Q276:AB276)</f>
        <v>0</v>
      </c>
      <c r="AH276" s="30" cm="1">
        <f t="array" ref="AH276">DiasMesesGris(Q276:AB276)</f>
        <v>0</v>
      </c>
      <c r="AI276" s="30">
        <f t="shared" si="64"/>
        <v>0</v>
      </c>
      <c r="AJ276" s="30">
        <f t="shared" si="65"/>
        <v>360</v>
      </c>
      <c r="AK276" s="31">
        <f t="shared" si="66"/>
        <v>2463</v>
      </c>
      <c r="AL276" s="32">
        <f t="shared" si="63"/>
        <v>6.8416666666666668</v>
      </c>
    </row>
    <row r="277" spans="1:38" x14ac:dyDescent="0.25">
      <c r="A277" s="1" t="s">
        <v>842</v>
      </c>
      <c r="B277" s="1" t="s">
        <v>843</v>
      </c>
      <c r="C277" s="1" t="s">
        <v>844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7">
        <v>0</v>
      </c>
      <c r="AE277" s="35">
        <f t="shared" si="62"/>
        <v>0</v>
      </c>
      <c r="AF277" s="34" t="s">
        <v>51</v>
      </c>
      <c r="AG277" s="30" cm="1">
        <f t="array" ref="AG277">DIASQUIEBRE(Q277:AB277)</f>
        <v>0</v>
      </c>
      <c r="AH277" s="30" cm="1">
        <f t="array" ref="AH277">DiasMesesGris(Q277:AB277)</f>
        <v>360</v>
      </c>
      <c r="AI277" s="30">
        <f t="shared" si="64"/>
        <v>360</v>
      </c>
      <c r="AJ277" s="30">
        <f t="shared" si="65"/>
        <v>0</v>
      </c>
      <c r="AK277" s="31">
        <f t="shared" si="66"/>
        <v>0</v>
      </c>
      <c r="AL277" s="32">
        <f t="shared" si="63"/>
        <v>0</v>
      </c>
    </row>
    <row r="278" spans="1:38" x14ac:dyDescent="0.25">
      <c r="A278" s="1" t="s">
        <v>845</v>
      </c>
      <c r="B278" s="1" t="s">
        <v>846</v>
      </c>
      <c r="C278" s="1" t="s">
        <v>847</v>
      </c>
      <c r="D278" s="5">
        <v>3</v>
      </c>
      <c r="E278" s="5">
        <v>10</v>
      </c>
      <c r="F278" s="5">
        <v>10</v>
      </c>
      <c r="G278" s="5">
        <v>10</v>
      </c>
      <c r="H278" s="5">
        <v>2</v>
      </c>
      <c r="I278" s="5">
        <v>16</v>
      </c>
      <c r="J278" s="5">
        <v>7</v>
      </c>
      <c r="K278" s="5">
        <v>8</v>
      </c>
      <c r="L278" s="3"/>
      <c r="M278" s="5">
        <v>3</v>
      </c>
      <c r="N278" s="5">
        <v>4</v>
      </c>
      <c r="O278" s="5">
        <v>3</v>
      </c>
      <c r="P278" s="3"/>
      <c r="Q278" s="6">
        <v>9.6799999999999997E-2</v>
      </c>
      <c r="R278" s="6">
        <v>0.3226</v>
      </c>
      <c r="S278" s="6">
        <v>0.28989999999999999</v>
      </c>
      <c r="T278" s="6">
        <v>0.3226</v>
      </c>
      <c r="U278" s="6">
        <v>6.6699999999999995E-2</v>
      </c>
      <c r="V278" s="8">
        <f t="shared" ref="V278" si="72">I278/30</f>
        <v>0.53333333333333333</v>
      </c>
      <c r="W278" s="8">
        <f t="shared" ref="W278" si="73">J278/30</f>
        <v>0.23333333333333334</v>
      </c>
      <c r="X278" s="6">
        <v>0.33610000000000001</v>
      </c>
      <c r="Y278" s="6">
        <v>0</v>
      </c>
      <c r="Z278" s="6">
        <v>0.1111</v>
      </c>
      <c r="AA278" s="6">
        <v>0.1229</v>
      </c>
      <c r="AB278" s="6">
        <v>8.6999999999999994E-2</v>
      </c>
      <c r="AC278" s="7">
        <v>0</v>
      </c>
      <c r="AD278" s="35">
        <v>0.17560000000000001</v>
      </c>
      <c r="AE278" s="35">
        <f t="shared" si="62"/>
        <v>0.2033952380952381</v>
      </c>
      <c r="AF278" s="34" t="s">
        <v>35</v>
      </c>
      <c r="AG278" s="30" cm="1">
        <f t="array" ref="AG278">DIASQUIEBRE(Q278:AB278)</f>
        <v>24</v>
      </c>
      <c r="AH278" s="30" cm="1">
        <f t="array" ref="AH278">DiasMesesGris(Q278:AB278)</f>
        <v>0</v>
      </c>
      <c r="AI278" s="30">
        <f t="shared" si="64"/>
        <v>24</v>
      </c>
      <c r="AJ278" s="30">
        <f t="shared" si="65"/>
        <v>336</v>
      </c>
      <c r="AK278" s="31">
        <f t="shared" si="66"/>
        <v>76</v>
      </c>
      <c r="AL278" s="32">
        <f t="shared" si="63"/>
        <v>0.22619047619047619</v>
      </c>
    </row>
    <row r="279" spans="1:38" x14ac:dyDescent="0.25">
      <c r="A279" s="1" t="s">
        <v>848</v>
      </c>
      <c r="B279" s="1" t="s">
        <v>849</v>
      </c>
      <c r="C279" s="1" t="s">
        <v>850</v>
      </c>
      <c r="D279" s="5">
        <v>8</v>
      </c>
      <c r="E279" s="5">
        <v>15</v>
      </c>
      <c r="F279" s="5">
        <v>6</v>
      </c>
      <c r="G279" s="5">
        <v>9</v>
      </c>
      <c r="H279" s="5">
        <v>12</v>
      </c>
      <c r="I279" s="5">
        <v>1</v>
      </c>
      <c r="J279" s="5">
        <v>26</v>
      </c>
      <c r="K279" s="5">
        <v>10</v>
      </c>
      <c r="L279" s="5">
        <v>5</v>
      </c>
      <c r="M279" s="5">
        <v>7</v>
      </c>
      <c r="N279" s="5">
        <v>25</v>
      </c>
      <c r="O279" s="5">
        <v>14</v>
      </c>
      <c r="P279" s="5">
        <v>1</v>
      </c>
      <c r="Q279" s="6">
        <v>0.2581</v>
      </c>
      <c r="R279" s="6">
        <v>0.4839</v>
      </c>
      <c r="S279" s="6">
        <v>0.1739</v>
      </c>
      <c r="T279" s="6">
        <v>0.2903</v>
      </c>
      <c r="U279" s="6">
        <v>0.4</v>
      </c>
      <c r="V279" s="6">
        <v>3.2300000000000002E-2</v>
      </c>
      <c r="W279" s="6">
        <v>1.0484</v>
      </c>
      <c r="X279" s="6">
        <v>0.42020000000000002</v>
      </c>
      <c r="Y279" s="6">
        <v>0.14660000000000001</v>
      </c>
      <c r="Z279" s="6">
        <v>0.25929999999999997</v>
      </c>
      <c r="AA279" s="6">
        <v>0.76800000000000002</v>
      </c>
      <c r="AB279" s="6">
        <v>0.40579999999999999</v>
      </c>
      <c r="AC279" s="7">
        <v>3.2300000000000002E-2</v>
      </c>
      <c r="AD279" s="35">
        <v>0.3906</v>
      </c>
      <c r="AE279" s="35">
        <f t="shared" si="62"/>
        <v>0.44008571428571436</v>
      </c>
      <c r="AF279" s="34" t="s">
        <v>35</v>
      </c>
      <c r="AG279" s="30" cm="1">
        <f t="array" ref="AG279">DIASQUIEBRE(Q279:AB279)</f>
        <v>0</v>
      </c>
      <c r="AH279" s="30" cm="1">
        <f t="array" ref="AH279">DiasMesesGris(Q279:AB279)</f>
        <v>0</v>
      </c>
      <c r="AI279" s="30">
        <f t="shared" si="64"/>
        <v>0</v>
      </c>
      <c r="AJ279" s="30">
        <f t="shared" si="65"/>
        <v>360</v>
      </c>
      <c r="AK279" s="31">
        <f t="shared" si="66"/>
        <v>138</v>
      </c>
      <c r="AL279" s="32">
        <f t="shared" si="63"/>
        <v>0.38333333333333336</v>
      </c>
    </row>
    <row r="280" spans="1:38" x14ac:dyDescent="0.25">
      <c r="A280" s="1" t="s">
        <v>851</v>
      </c>
      <c r="B280" s="1" t="s">
        <v>852</v>
      </c>
      <c r="C280" s="1" t="s">
        <v>853</v>
      </c>
      <c r="D280" s="5">
        <v>2</v>
      </c>
      <c r="E280" s="3"/>
      <c r="F280" s="5">
        <v>2</v>
      </c>
      <c r="G280" s="3"/>
      <c r="H280" s="5">
        <v>5</v>
      </c>
      <c r="I280" s="5">
        <v>2</v>
      </c>
      <c r="J280" s="3"/>
      <c r="K280" s="3"/>
      <c r="L280" s="3"/>
      <c r="M280" s="5">
        <v>1</v>
      </c>
      <c r="N280" s="5">
        <v>5</v>
      </c>
      <c r="O280" s="3"/>
      <c r="P280" s="3"/>
      <c r="Q280" s="6">
        <v>6.4500000000000002E-2</v>
      </c>
      <c r="R280" s="6">
        <v>0</v>
      </c>
      <c r="S280" s="6">
        <v>5.8000000000000003E-2</v>
      </c>
      <c r="T280" s="6">
        <v>0</v>
      </c>
      <c r="U280" s="6">
        <v>0.16669999999999999</v>
      </c>
      <c r="V280" s="6">
        <v>6.4500000000000002E-2</v>
      </c>
      <c r="W280" s="6">
        <v>0</v>
      </c>
      <c r="X280" s="6">
        <v>0</v>
      </c>
      <c r="Y280" s="6">
        <v>0</v>
      </c>
      <c r="Z280" s="6">
        <v>3.6999999999999998E-2</v>
      </c>
      <c r="AA280" s="6">
        <v>0.15359999999999999</v>
      </c>
      <c r="AB280" s="6">
        <v>0</v>
      </c>
      <c r="AC280" s="7">
        <v>0</v>
      </c>
      <c r="AD280" s="35">
        <v>4.5400000000000003E-2</v>
      </c>
      <c r="AE280" s="35">
        <f t="shared" si="62"/>
        <v>3.6442857142857145E-2</v>
      </c>
      <c r="AF280" s="34" t="s">
        <v>35</v>
      </c>
      <c r="AG280" s="30" cm="1">
        <f t="array" ref="AG280">DIASQUIEBRE(Q280:AB280)</f>
        <v>0</v>
      </c>
      <c r="AH280" s="30" cm="1">
        <f t="array" ref="AH280">DiasMesesGris(Q280:AB280)</f>
        <v>0</v>
      </c>
      <c r="AI280" s="30">
        <f t="shared" si="64"/>
        <v>0</v>
      </c>
      <c r="AJ280" s="30">
        <f t="shared" si="65"/>
        <v>360</v>
      </c>
      <c r="AK280" s="31">
        <f t="shared" si="66"/>
        <v>17</v>
      </c>
      <c r="AL280" s="32">
        <f t="shared" si="63"/>
        <v>4.7222222222222221E-2</v>
      </c>
    </row>
    <row r="281" spans="1:38" x14ac:dyDescent="0.25">
      <c r="A281" s="1" t="s">
        <v>854</v>
      </c>
      <c r="B281" s="1" t="s">
        <v>855</v>
      </c>
      <c r="C281" s="1" t="s">
        <v>856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7">
        <v>0</v>
      </c>
      <c r="AE281" s="35">
        <f t="shared" si="62"/>
        <v>0</v>
      </c>
      <c r="AF281" s="34" t="s">
        <v>51</v>
      </c>
      <c r="AG281" s="30" cm="1">
        <f t="array" ref="AG281">DIASQUIEBRE(Q281:AB281)</f>
        <v>0</v>
      </c>
      <c r="AH281" s="30" cm="1">
        <f t="array" ref="AH281">DiasMesesGris(Q281:AB281)</f>
        <v>360</v>
      </c>
      <c r="AI281" s="30">
        <f t="shared" si="64"/>
        <v>360</v>
      </c>
      <c r="AJ281" s="30">
        <f t="shared" si="65"/>
        <v>0</v>
      </c>
      <c r="AK281" s="31">
        <f t="shared" si="66"/>
        <v>0</v>
      </c>
      <c r="AL281" s="32">
        <f t="shared" si="63"/>
        <v>0</v>
      </c>
    </row>
    <row r="282" spans="1:38" x14ac:dyDescent="0.25">
      <c r="A282" s="1" t="s">
        <v>857</v>
      </c>
      <c r="B282" s="1" t="s">
        <v>858</v>
      </c>
      <c r="C282" s="1" t="s">
        <v>859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7">
        <v>0</v>
      </c>
      <c r="AE282" s="35">
        <f t="shared" si="62"/>
        <v>0</v>
      </c>
      <c r="AF282" s="34" t="s">
        <v>51</v>
      </c>
      <c r="AG282" s="30" cm="1">
        <f t="array" ref="AG282">DIASQUIEBRE(Q282:AB282)</f>
        <v>0</v>
      </c>
      <c r="AH282" s="30" cm="1">
        <f t="array" ref="AH282">DiasMesesGris(Q282:AB282)</f>
        <v>360</v>
      </c>
      <c r="AI282" s="30">
        <f t="shared" si="64"/>
        <v>360</v>
      </c>
      <c r="AJ282" s="30">
        <f t="shared" si="65"/>
        <v>0</v>
      </c>
      <c r="AK282" s="31">
        <f t="shared" si="66"/>
        <v>0</v>
      </c>
      <c r="AL282" s="32">
        <f t="shared" si="63"/>
        <v>0</v>
      </c>
    </row>
    <row r="283" spans="1:38" x14ac:dyDescent="0.25">
      <c r="A283" s="1" t="s">
        <v>860</v>
      </c>
      <c r="B283" s="1" t="s">
        <v>861</v>
      </c>
      <c r="C283" s="1" t="s">
        <v>862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7">
        <v>0</v>
      </c>
      <c r="AE283" s="35">
        <f t="shared" si="62"/>
        <v>0</v>
      </c>
      <c r="AF283" s="34" t="s">
        <v>51</v>
      </c>
      <c r="AG283" s="30" cm="1">
        <f t="array" ref="AG283">DIASQUIEBRE(Q283:AB283)</f>
        <v>0</v>
      </c>
      <c r="AH283" s="30" cm="1">
        <f t="array" ref="AH283">DiasMesesGris(Q283:AB283)</f>
        <v>360</v>
      </c>
      <c r="AI283" s="30">
        <f t="shared" si="64"/>
        <v>360</v>
      </c>
      <c r="AJ283" s="30">
        <f t="shared" si="65"/>
        <v>0</v>
      </c>
      <c r="AK283" s="31">
        <f t="shared" si="66"/>
        <v>0</v>
      </c>
      <c r="AL283" s="32">
        <f t="shared" si="63"/>
        <v>0</v>
      </c>
    </row>
    <row r="284" spans="1:38" x14ac:dyDescent="0.25">
      <c r="A284" s="1" t="s">
        <v>863</v>
      </c>
      <c r="B284" s="1" t="s">
        <v>864</v>
      </c>
      <c r="C284" s="1" t="s">
        <v>865</v>
      </c>
      <c r="D284" s="3"/>
      <c r="E284" s="5">
        <v>1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6">
        <v>0</v>
      </c>
      <c r="R284" s="6">
        <v>3.2300000000000002E-2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7">
        <v>0</v>
      </c>
      <c r="AD284" s="35">
        <v>2.7000000000000001E-3</v>
      </c>
      <c r="AE284" s="35">
        <f t="shared" si="62"/>
        <v>0</v>
      </c>
      <c r="AF284" s="34" t="s">
        <v>35</v>
      </c>
      <c r="AG284" s="30" cm="1">
        <f t="array" ref="AG284">DIASQUIEBRE(Q284:AB284)</f>
        <v>0</v>
      </c>
      <c r="AH284" s="30" cm="1">
        <f t="array" ref="AH284">DiasMesesGris(Q284:AB284)</f>
        <v>0</v>
      </c>
      <c r="AI284" s="30">
        <f t="shared" si="64"/>
        <v>0</v>
      </c>
      <c r="AJ284" s="30">
        <f t="shared" si="65"/>
        <v>360</v>
      </c>
      <c r="AK284" s="31">
        <f t="shared" si="66"/>
        <v>1</v>
      </c>
      <c r="AL284" s="32">
        <f t="shared" si="63"/>
        <v>2.7777777777777779E-3</v>
      </c>
    </row>
    <row r="285" spans="1:38" x14ac:dyDescent="0.25">
      <c r="A285" s="1" t="s">
        <v>866</v>
      </c>
      <c r="B285" s="1" t="s">
        <v>867</v>
      </c>
      <c r="C285" s="1" t="s">
        <v>868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7">
        <v>0</v>
      </c>
      <c r="AE285" s="35">
        <f t="shared" si="62"/>
        <v>0</v>
      </c>
      <c r="AF285" s="34" t="s">
        <v>51</v>
      </c>
      <c r="AG285" s="30" cm="1">
        <f t="array" ref="AG285">DIASQUIEBRE(Q285:AB285)</f>
        <v>0</v>
      </c>
      <c r="AH285" s="30" cm="1">
        <f t="array" ref="AH285">DiasMesesGris(Q285:AB285)</f>
        <v>360</v>
      </c>
      <c r="AI285" s="30">
        <f t="shared" si="64"/>
        <v>360</v>
      </c>
      <c r="AJ285" s="30">
        <f t="shared" si="65"/>
        <v>0</v>
      </c>
      <c r="AK285" s="31">
        <f t="shared" si="66"/>
        <v>0</v>
      </c>
      <c r="AL285" s="32">
        <f t="shared" si="63"/>
        <v>0</v>
      </c>
    </row>
    <row r="286" spans="1:38" x14ac:dyDescent="0.25">
      <c r="A286" s="1" t="s">
        <v>869</v>
      </c>
      <c r="B286" s="1" t="s">
        <v>870</v>
      </c>
      <c r="C286" s="1" t="s">
        <v>871</v>
      </c>
      <c r="D286" s="3"/>
      <c r="E286" s="5">
        <v>5</v>
      </c>
      <c r="F286" s="5">
        <v>4</v>
      </c>
      <c r="G286" s="5">
        <v>1</v>
      </c>
      <c r="H286" s="3"/>
      <c r="I286" s="5">
        <v>2</v>
      </c>
      <c r="J286" s="5">
        <v>2</v>
      </c>
      <c r="K286" s="3"/>
      <c r="L286" s="3"/>
      <c r="M286" s="5">
        <v>2</v>
      </c>
      <c r="N286" s="3"/>
      <c r="O286" s="5">
        <v>1</v>
      </c>
      <c r="P286" s="3"/>
      <c r="Q286" s="6">
        <v>0</v>
      </c>
      <c r="R286" s="6">
        <v>0.1613</v>
      </c>
      <c r="S286" s="6">
        <v>0.1159</v>
      </c>
      <c r="T286" s="6">
        <v>3.2300000000000002E-2</v>
      </c>
      <c r="U286" s="6">
        <v>0</v>
      </c>
      <c r="V286" s="6">
        <v>6.4500000000000002E-2</v>
      </c>
      <c r="W286" s="6">
        <v>8.0600000000000005E-2</v>
      </c>
      <c r="X286" s="6">
        <v>0</v>
      </c>
      <c r="Y286" s="6">
        <v>0</v>
      </c>
      <c r="Z286" s="6">
        <v>7.4099999999999999E-2</v>
      </c>
      <c r="AA286" s="6">
        <v>0</v>
      </c>
      <c r="AB286" s="6">
        <v>2.9000000000000001E-2</v>
      </c>
      <c r="AC286" s="7">
        <v>0</v>
      </c>
      <c r="AD286" s="35">
        <v>4.65E-2</v>
      </c>
      <c r="AE286" s="35">
        <f t="shared" si="62"/>
        <v>3.5457142857142861E-2</v>
      </c>
      <c r="AF286" s="34" t="s">
        <v>35</v>
      </c>
      <c r="AG286" s="30" cm="1">
        <f t="array" ref="AG286">DIASQUIEBRE(Q286:AB286)</f>
        <v>0</v>
      </c>
      <c r="AH286" s="30" cm="1">
        <f t="array" ref="AH286">DiasMesesGris(Q286:AB286)</f>
        <v>0</v>
      </c>
      <c r="AI286" s="30">
        <f t="shared" si="64"/>
        <v>0</v>
      </c>
      <c r="AJ286" s="30">
        <f t="shared" si="65"/>
        <v>360</v>
      </c>
      <c r="AK286" s="31">
        <f t="shared" si="66"/>
        <v>17</v>
      </c>
      <c r="AL286" s="32">
        <f t="shared" si="63"/>
        <v>4.7222222222222221E-2</v>
      </c>
    </row>
    <row r="287" spans="1:38" x14ac:dyDescent="0.25">
      <c r="A287" s="1" t="s">
        <v>872</v>
      </c>
      <c r="B287" s="1" t="s">
        <v>873</v>
      </c>
      <c r="C287" s="1" t="s">
        <v>874</v>
      </c>
      <c r="D287" s="5">
        <v>84</v>
      </c>
      <c r="E287" s="5">
        <v>76</v>
      </c>
      <c r="F287" s="5">
        <v>65</v>
      </c>
      <c r="G287" s="5">
        <v>106</v>
      </c>
      <c r="H287" s="5">
        <v>75</v>
      </c>
      <c r="I287" s="5">
        <v>46</v>
      </c>
      <c r="J287" s="5">
        <v>32</v>
      </c>
      <c r="K287" s="5">
        <v>9</v>
      </c>
      <c r="L287" s="5">
        <v>57</v>
      </c>
      <c r="M287" s="5">
        <v>15</v>
      </c>
      <c r="N287" s="5">
        <v>15</v>
      </c>
      <c r="O287" s="5">
        <v>3</v>
      </c>
      <c r="P287" s="3"/>
      <c r="Q287" s="6">
        <v>2.7097000000000002</v>
      </c>
      <c r="R287" s="6">
        <v>2.4516</v>
      </c>
      <c r="S287" s="6">
        <v>1.8841000000000001</v>
      </c>
      <c r="T287" s="6">
        <v>3.4194</v>
      </c>
      <c r="U287" s="6">
        <v>2.5</v>
      </c>
      <c r="V287" s="6">
        <v>1.4839</v>
      </c>
      <c r="W287" s="6">
        <v>1.2903</v>
      </c>
      <c r="X287" s="6">
        <v>0.37819999999999998</v>
      </c>
      <c r="Y287" s="6">
        <v>1.6716</v>
      </c>
      <c r="Z287" s="6">
        <v>0.55559999999999998</v>
      </c>
      <c r="AA287" s="6">
        <v>0.46079999999999999</v>
      </c>
      <c r="AB287" s="6">
        <v>8.6999999999999994E-2</v>
      </c>
      <c r="AC287" s="7">
        <v>0</v>
      </c>
      <c r="AD287" s="35">
        <v>1.5744</v>
      </c>
      <c r="AE287" s="35">
        <f t="shared" si="62"/>
        <v>0.84677142857142851</v>
      </c>
      <c r="AF287" s="34" t="s">
        <v>35</v>
      </c>
      <c r="AG287" s="30" cm="1">
        <f t="array" ref="AG287">DIASQUIEBRE(Q287:AB287)</f>
        <v>0</v>
      </c>
      <c r="AH287" s="30" cm="1">
        <f t="array" ref="AH287">DiasMesesGris(Q287:AB287)</f>
        <v>0</v>
      </c>
      <c r="AI287" s="30">
        <f t="shared" si="64"/>
        <v>0</v>
      </c>
      <c r="AJ287" s="30">
        <f t="shared" si="65"/>
        <v>360</v>
      </c>
      <c r="AK287" s="31">
        <f t="shared" si="66"/>
        <v>583</v>
      </c>
      <c r="AL287" s="32">
        <f t="shared" si="63"/>
        <v>1.6194444444444445</v>
      </c>
    </row>
    <row r="288" spans="1:38" x14ac:dyDescent="0.25">
      <c r="A288" s="1" t="s">
        <v>875</v>
      </c>
      <c r="B288" s="1" t="s">
        <v>876</v>
      </c>
      <c r="C288" s="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7">
        <v>0</v>
      </c>
      <c r="AE288" s="35">
        <f t="shared" si="62"/>
        <v>0</v>
      </c>
      <c r="AF288" s="34" t="s">
        <v>35</v>
      </c>
      <c r="AG288" s="30" cm="1">
        <f t="array" ref="AG288">DIASQUIEBRE(Q288:AB288)</f>
        <v>0</v>
      </c>
      <c r="AH288" s="30" cm="1">
        <f t="array" ref="AH288">DiasMesesGris(Q288:AB288)</f>
        <v>360</v>
      </c>
      <c r="AI288" s="30">
        <f t="shared" si="64"/>
        <v>360</v>
      </c>
      <c r="AJ288" s="30">
        <f t="shared" si="65"/>
        <v>0</v>
      </c>
      <c r="AK288" s="31">
        <f t="shared" si="66"/>
        <v>0</v>
      </c>
      <c r="AL288" s="32">
        <f t="shared" si="63"/>
        <v>0</v>
      </c>
    </row>
    <row r="289" spans="1:38" x14ac:dyDescent="0.25">
      <c r="A289" s="1" t="s">
        <v>877</v>
      </c>
      <c r="B289" s="1" t="s">
        <v>878</v>
      </c>
      <c r="C289" s="1" t="s">
        <v>879</v>
      </c>
      <c r="D289" s="3"/>
      <c r="E289" s="5">
        <v>1</v>
      </c>
      <c r="F289" s="3"/>
      <c r="G289" s="3"/>
      <c r="H289" s="3"/>
      <c r="I289" s="3"/>
      <c r="J289" s="3"/>
      <c r="K289" s="5">
        <v>1</v>
      </c>
      <c r="L289" s="3"/>
      <c r="M289" s="3"/>
      <c r="N289" s="3"/>
      <c r="O289" s="3"/>
      <c r="P289" s="3"/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7">
        <v>0</v>
      </c>
      <c r="AE289" s="35">
        <f t="shared" si="62"/>
        <v>0</v>
      </c>
      <c r="AF289" s="34" t="s">
        <v>35</v>
      </c>
      <c r="AG289" s="30" cm="1">
        <f t="array" ref="AG289">DIASQUIEBRE(Q289:AB289)</f>
        <v>0</v>
      </c>
      <c r="AH289" s="30" cm="1">
        <f t="array" ref="AH289">DiasMesesGris(Q289:AB289)</f>
        <v>360</v>
      </c>
      <c r="AI289" s="30">
        <f t="shared" si="64"/>
        <v>360</v>
      </c>
      <c r="AJ289" s="30">
        <f t="shared" si="65"/>
        <v>0</v>
      </c>
      <c r="AK289" s="31">
        <f t="shared" si="66"/>
        <v>2</v>
      </c>
      <c r="AL289" s="32">
        <f t="shared" si="63"/>
        <v>0</v>
      </c>
    </row>
    <row r="290" spans="1:38" x14ac:dyDescent="0.25">
      <c r="A290" s="1" t="s">
        <v>880</v>
      </c>
      <c r="B290" s="1" t="s">
        <v>881</v>
      </c>
      <c r="C290" s="1" t="s">
        <v>882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7">
        <v>0</v>
      </c>
      <c r="AE290" s="35">
        <f t="shared" si="62"/>
        <v>0</v>
      </c>
      <c r="AF290" s="34" t="s">
        <v>51</v>
      </c>
      <c r="AG290" s="30" cm="1">
        <f t="array" ref="AG290">DIASQUIEBRE(Q290:AB290)</f>
        <v>0</v>
      </c>
      <c r="AH290" s="30" cm="1">
        <f t="array" ref="AH290">DiasMesesGris(Q290:AB290)</f>
        <v>360</v>
      </c>
      <c r="AI290" s="30">
        <f t="shared" si="64"/>
        <v>360</v>
      </c>
      <c r="AJ290" s="30">
        <f t="shared" si="65"/>
        <v>0</v>
      </c>
      <c r="AK290" s="31">
        <f t="shared" si="66"/>
        <v>0</v>
      </c>
      <c r="AL290" s="32">
        <f t="shared" si="63"/>
        <v>0</v>
      </c>
    </row>
    <row r="291" spans="1:38" x14ac:dyDescent="0.25">
      <c r="A291" s="1" t="s">
        <v>883</v>
      </c>
      <c r="B291" s="1" t="s">
        <v>884</v>
      </c>
      <c r="C291" s="1" t="s">
        <v>885</v>
      </c>
      <c r="D291" s="3"/>
      <c r="E291" s="3"/>
      <c r="F291" s="5">
        <v>1</v>
      </c>
      <c r="G291" s="3"/>
      <c r="H291" s="3"/>
      <c r="I291" s="5">
        <v>2</v>
      </c>
      <c r="J291" s="3"/>
      <c r="K291" s="3"/>
      <c r="L291" s="5">
        <v>2</v>
      </c>
      <c r="M291" s="3"/>
      <c r="N291" s="3"/>
      <c r="O291" s="3"/>
      <c r="P291" s="3"/>
      <c r="Q291" s="6">
        <v>0</v>
      </c>
      <c r="R291" s="6">
        <v>0</v>
      </c>
      <c r="S291" s="6">
        <v>2.9000000000000001E-2</v>
      </c>
      <c r="T291" s="6">
        <v>0</v>
      </c>
      <c r="U291" s="6">
        <v>0</v>
      </c>
      <c r="V291" s="6">
        <v>6.4500000000000002E-2</v>
      </c>
      <c r="W291" s="6">
        <v>0</v>
      </c>
      <c r="X291" s="6">
        <v>0</v>
      </c>
      <c r="Y291" s="6">
        <v>5.8700000000000002E-2</v>
      </c>
      <c r="Z291" s="6">
        <v>0</v>
      </c>
      <c r="AA291" s="6">
        <v>0</v>
      </c>
      <c r="AB291" s="6">
        <v>0</v>
      </c>
      <c r="AC291" s="7">
        <v>0</v>
      </c>
      <c r="AD291" s="35">
        <v>1.2699999999999999E-2</v>
      </c>
      <c r="AE291" s="35">
        <f t="shared" si="62"/>
        <v>1.7600000000000001E-2</v>
      </c>
      <c r="AF291" s="34" t="s">
        <v>35</v>
      </c>
      <c r="AG291" s="30" cm="1">
        <f t="array" ref="AG291">DIASQUIEBRE(Q291:AB291)</f>
        <v>0</v>
      </c>
      <c r="AH291" s="30" cm="1">
        <f t="array" ref="AH291">DiasMesesGris(Q291:AB291)</f>
        <v>0</v>
      </c>
      <c r="AI291" s="30">
        <f t="shared" si="64"/>
        <v>0</v>
      </c>
      <c r="AJ291" s="30">
        <f t="shared" si="65"/>
        <v>360</v>
      </c>
      <c r="AK291" s="31">
        <f t="shared" si="66"/>
        <v>5</v>
      </c>
      <c r="AL291" s="32">
        <f t="shared" si="63"/>
        <v>1.3888888888888888E-2</v>
      </c>
    </row>
    <row r="292" spans="1:38" x14ac:dyDescent="0.25">
      <c r="A292" s="1" t="s">
        <v>886</v>
      </c>
      <c r="B292" s="1" t="s">
        <v>887</v>
      </c>
      <c r="C292" s="1" t="s">
        <v>888</v>
      </c>
      <c r="D292" s="5">
        <v>14</v>
      </c>
      <c r="E292" s="5">
        <v>6</v>
      </c>
      <c r="F292" s="5">
        <v>6</v>
      </c>
      <c r="G292" s="5">
        <v>10</v>
      </c>
      <c r="H292" s="5">
        <v>5</v>
      </c>
      <c r="I292" s="5">
        <v>3</v>
      </c>
      <c r="J292" s="5">
        <v>1</v>
      </c>
      <c r="K292" s="5">
        <v>4</v>
      </c>
      <c r="L292" s="5">
        <v>2</v>
      </c>
      <c r="M292" s="5">
        <v>4</v>
      </c>
      <c r="N292" s="5">
        <v>5</v>
      </c>
      <c r="O292" s="5">
        <v>2</v>
      </c>
      <c r="P292" s="3"/>
      <c r="Q292" s="6">
        <v>0.4516</v>
      </c>
      <c r="R292" s="6">
        <v>0.19350000000000001</v>
      </c>
      <c r="S292" s="6">
        <v>0.1739</v>
      </c>
      <c r="T292" s="6">
        <v>0.3226</v>
      </c>
      <c r="U292" s="6">
        <v>0.16669999999999999</v>
      </c>
      <c r="V292" s="6">
        <v>9.6799999999999997E-2</v>
      </c>
      <c r="W292" s="6">
        <v>4.0300000000000002E-2</v>
      </c>
      <c r="X292" s="6">
        <v>0.1681</v>
      </c>
      <c r="Y292" s="6">
        <v>5.8700000000000002E-2</v>
      </c>
      <c r="Z292" s="6">
        <v>0.14810000000000001</v>
      </c>
      <c r="AA292" s="6">
        <v>0.15359999999999999</v>
      </c>
      <c r="AB292" s="6">
        <v>5.8000000000000003E-2</v>
      </c>
      <c r="AC292" s="7">
        <v>0</v>
      </c>
      <c r="AD292" s="35">
        <v>0.16930000000000001</v>
      </c>
      <c r="AE292" s="35">
        <f t="shared" si="62"/>
        <v>0.10337142857142857</v>
      </c>
      <c r="AF292" s="34" t="s">
        <v>35</v>
      </c>
      <c r="AG292" s="30" cm="1">
        <f t="array" ref="AG292">DIASQUIEBRE(Q292:AB292)</f>
        <v>0</v>
      </c>
      <c r="AH292" s="30" cm="1">
        <f t="array" ref="AH292">DiasMesesGris(Q292:AB292)</f>
        <v>0</v>
      </c>
      <c r="AI292" s="30">
        <f t="shared" si="64"/>
        <v>0</v>
      </c>
      <c r="AJ292" s="30">
        <f t="shared" si="65"/>
        <v>360</v>
      </c>
      <c r="AK292" s="31">
        <f t="shared" si="66"/>
        <v>62</v>
      </c>
      <c r="AL292" s="32">
        <f t="shared" si="63"/>
        <v>0.17222222222222222</v>
      </c>
    </row>
    <row r="293" spans="1:38" x14ac:dyDescent="0.25">
      <c r="A293" s="1" t="s">
        <v>889</v>
      </c>
      <c r="B293" s="1" t="s">
        <v>890</v>
      </c>
      <c r="C293" s="1" t="s">
        <v>891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7">
        <v>0</v>
      </c>
      <c r="AE293" s="35">
        <f t="shared" si="62"/>
        <v>0</v>
      </c>
      <c r="AF293" s="34" t="s">
        <v>35</v>
      </c>
      <c r="AG293" s="30" cm="1">
        <f t="array" ref="AG293">DIASQUIEBRE(Q293:AB293)</f>
        <v>0</v>
      </c>
      <c r="AH293" s="30" cm="1">
        <f t="array" ref="AH293">DiasMesesGris(Q293:AB293)</f>
        <v>360</v>
      </c>
      <c r="AI293" s="30">
        <f t="shared" si="64"/>
        <v>360</v>
      </c>
      <c r="AJ293" s="30">
        <f t="shared" si="65"/>
        <v>0</v>
      </c>
      <c r="AK293" s="31">
        <f t="shared" si="66"/>
        <v>0</v>
      </c>
      <c r="AL293" s="32">
        <f t="shared" si="63"/>
        <v>0</v>
      </c>
    </row>
    <row r="294" spans="1:38" x14ac:dyDescent="0.25">
      <c r="A294" s="1" t="s">
        <v>892</v>
      </c>
      <c r="B294" s="1" t="s">
        <v>893</v>
      </c>
      <c r="C294" s="1" t="s">
        <v>894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7">
        <v>0</v>
      </c>
      <c r="AE294" s="35">
        <f t="shared" si="62"/>
        <v>0</v>
      </c>
      <c r="AF294" s="34" t="s">
        <v>35</v>
      </c>
      <c r="AG294" s="30" cm="1">
        <f t="array" ref="AG294">DIASQUIEBRE(Q294:AB294)</f>
        <v>0</v>
      </c>
      <c r="AH294" s="30" cm="1">
        <f t="array" ref="AH294">DiasMesesGris(Q294:AB294)</f>
        <v>360</v>
      </c>
      <c r="AI294" s="30">
        <f t="shared" si="64"/>
        <v>360</v>
      </c>
      <c r="AJ294" s="30">
        <f t="shared" si="65"/>
        <v>0</v>
      </c>
      <c r="AK294" s="31">
        <f t="shared" si="66"/>
        <v>0</v>
      </c>
      <c r="AL294" s="32">
        <f t="shared" si="63"/>
        <v>0</v>
      </c>
    </row>
    <row r="295" spans="1:38" x14ac:dyDescent="0.25">
      <c r="A295" s="1" t="s">
        <v>895</v>
      </c>
      <c r="B295" s="1" t="s">
        <v>896</v>
      </c>
      <c r="C295" s="1" t="s">
        <v>897</v>
      </c>
      <c r="D295" s="5">
        <v>38</v>
      </c>
      <c r="E295" s="5">
        <v>18</v>
      </c>
      <c r="F295" s="5">
        <v>-4</v>
      </c>
      <c r="G295" s="5">
        <v>38</v>
      </c>
      <c r="H295" s="5">
        <v>11</v>
      </c>
      <c r="I295" s="5">
        <v>16</v>
      </c>
      <c r="J295" s="5">
        <v>34</v>
      </c>
      <c r="K295" s="5">
        <v>18</v>
      </c>
      <c r="L295" s="5">
        <v>70</v>
      </c>
      <c r="M295" s="5">
        <v>26</v>
      </c>
      <c r="N295" s="5">
        <v>26</v>
      </c>
      <c r="O295" s="5">
        <v>12</v>
      </c>
      <c r="P295" s="5">
        <v>1</v>
      </c>
      <c r="Q295" s="6">
        <v>1.2258</v>
      </c>
      <c r="R295" s="6">
        <v>0.5806</v>
      </c>
      <c r="S295" s="6">
        <v>-0.1159</v>
      </c>
      <c r="T295" s="6">
        <v>1.2258</v>
      </c>
      <c r="U295" s="6">
        <v>0.36670000000000003</v>
      </c>
      <c r="V295" s="6">
        <v>0.5161</v>
      </c>
      <c r="W295" s="6">
        <v>1.371</v>
      </c>
      <c r="X295" s="6">
        <v>0.75629999999999997</v>
      </c>
      <c r="Y295" s="6">
        <v>2.0528</v>
      </c>
      <c r="Z295" s="6">
        <v>0.96299999999999997</v>
      </c>
      <c r="AA295" s="6">
        <v>0.79879999999999995</v>
      </c>
      <c r="AB295" s="6">
        <v>0.3478</v>
      </c>
      <c r="AC295" s="7">
        <v>3.2300000000000002E-2</v>
      </c>
      <c r="AD295" s="35">
        <v>0.8407</v>
      </c>
      <c r="AE295" s="35">
        <f t="shared" si="62"/>
        <v>0.97225714285714282</v>
      </c>
      <c r="AF295" s="34" t="s">
        <v>35</v>
      </c>
      <c r="AG295" s="30" cm="1">
        <f t="array" ref="AG295">DIASQUIEBRE(Q295:AB295)</f>
        <v>0</v>
      </c>
      <c r="AH295" s="30" cm="1">
        <f t="array" ref="AH295">DiasMesesGris(Q295:AB295)</f>
        <v>0</v>
      </c>
      <c r="AI295" s="30">
        <f t="shared" si="64"/>
        <v>0</v>
      </c>
      <c r="AJ295" s="30">
        <f t="shared" si="65"/>
        <v>360</v>
      </c>
      <c r="AK295" s="31">
        <f t="shared" si="66"/>
        <v>303</v>
      </c>
      <c r="AL295" s="32">
        <f t="shared" si="63"/>
        <v>0.84166666666666667</v>
      </c>
    </row>
    <row r="296" spans="1:38" x14ac:dyDescent="0.25">
      <c r="A296" s="1" t="s">
        <v>898</v>
      </c>
      <c r="B296" s="1" t="s">
        <v>899</v>
      </c>
      <c r="C296" s="1" t="s">
        <v>900</v>
      </c>
      <c r="D296" s="5">
        <v>14</v>
      </c>
      <c r="E296" s="5">
        <v>9</v>
      </c>
      <c r="F296" s="5">
        <v>4</v>
      </c>
      <c r="G296" s="5">
        <v>12</v>
      </c>
      <c r="H296" s="5">
        <v>4</v>
      </c>
      <c r="I296" s="5">
        <v>9</v>
      </c>
      <c r="J296" s="5">
        <v>17</v>
      </c>
      <c r="K296" s="5">
        <v>10</v>
      </c>
      <c r="L296" s="5">
        <v>13</v>
      </c>
      <c r="M296" s="5">
        <v>6</v>
      </c>
      <c r="N296" s="5">
        <v>2</v>
      </c>
      <c r="O296" s="5">
        <v>8</v>
      </c>
      <c r="P296" s="3"/>
      <c r="Q296" s="6">
        <v>0.4516</v>
      </c>
      <c r="R296" s="6">
        <v>0.2903</v>
      </c>
      <c r="S296" s="6">
        <v>0.1159</v>
      </c>
      <c r="T296" s="6">
        <v>0.3871</v>
      </c>
      <c r="U296" s="6">
        <v>0.1333</v>
      </c>
      <c r="V296" s="6">
        <v>0.2903</v>
      </c>
      <c r="W296" s="6">
        <v>0.6855</v>
      </c>
      <c r="X296" s="6">
        <v>0.42020000000000002</v>
      </c>
      <c r="Y296" s="6">
        <v>0.38119999999999998</v>
      </c>
      <c r="Z296" s="6">
        <v>0.22220000000000001</v>
      </c>
      <c r="AA296" s="6">
        <v>6.1400000000000003E-2</v>
      </c>
      <c r="AB296" s="6">
        <v>0.2319</v>
      </c>
      <c r="AC296" s="7">
        <v>0</v>
      </c>
      <c r="AD296" s="35">
        <v>0.30590000000000001</v>
      </c>
      <c r="AE296" s="35">
        <f t="shared" si="62"/>
        <v>0.32752857142857145</v>
      </c>
      <c r="AF296" s="34" t="s">
        <v>35</v>
      </c>
      <c r="AG296" s="30" cm="1">
        <f t="array" ref="AG296">DIASQUIEBRE(Q296:AB296)</f>
        <v>0</v>
      </c>
      <c r="AH296" s="30" cm="1">
        <f t="array" ref="AH296">DiasMesesGris(Q296:AB296)</f>
        <v>0</v>
      </c>
      <c r="AI296" s="30">
        <f t="shared" si="64"/>
        <v>0</v>
      </c>
      <c r="AJ296" s="30">
        <f t="shared" si="65"/>
        <v>360</v>
      </c>
      <c r="AK296" s="31">
        <f t="shared" si="66"/>
        <v>108</v>
      </c>
      <c r="AL296" s="32">
        <f t="shared" si="63"/>
        <v>0.3</v>
      </c>
    </row>
    <row r="297" spans="1:38" x14ac:dyDescent="0.25">
      <c r="A297" s="1" t="s">
        <v>901</v>
      </c>
      <c r="B297" s="1" t="s">
        <v>902</v>
      </c>
      <c r="C297" s="1" t="s">
        <v>903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7">
        <v>0</v>
      </c>
      <c r="AE297" s="35">
        <f t="shared" si="62"/>
        <v>0</v>
      </c>
      <c r="AF297" s="34" t="s">
        <v>35</v>
      </c>
      <c r="AG297" s="30" cm="1">
        <f t="array" ref="AG297">DIASQUIEBRE(Q297:AB297)</f>
        <v>0</v>
      </c>
      <c r="AH297" s="30" cm="1">
        <f t="array" ref="AH297">DiasMesesGris(Q297:AB297)</f>
        <v>360</v>
      </c>
      <c r="AI297" s="30">
        <f t="shared" si="64"/>
        <v>360</v>
      </c>
      <c r="AJ297" s="30">
        <f t="shared" si="65"/>
        <v>0</v>
      </c>
      <c r="AK297" s="31">
        <f t="shared" si="66"/>
        <v>0</v>
      </c>
      <c r="AL297" s="32">
        <f t="shared" si="63"/>
        <v>0</v>
      </c>
    </row>
    <row r="298" spans="1:38" x14ac:dyDescent="0.25">
      <c r="A298" s="1" t="s">
        <v>904</v>
      </c>
      <c r="B298" s="1" t="s">
        <v>905</v>
      </c>
      <c r="C298" s="1" t="s">
        <v>906</v>
      </c>
      <c r="D298" s="5">
        <v>13</v>
      </c>
      <c r="E298" s="5">
        <v>5</v>
      </c>
      <c r="F298" s="5">
        <v>4</v>
      </c>
      <c r="G298" s="5">
        <v>3</v>
      </c>
      <c r="H298" s="5">
        <v>4</v>
      </c>
      <c r="I298" s="5">
        <v>5</v>
      </c>
      <c r="J298" s="5">
        <v>15</v>
      </c>
      <c r="K298" s="3"/>
      <c r="L298" s="5">
        <v>3</v>
      </c>
      <c r="M298" s="5">
        <v>6</v>
      </c>
      <c r="N298" s="5">
        <v>3</v>
      </c>
      <c r="O298" s="5">
        <v>9</v>
      </c>
      <c r="P298" s="3"/>
      <c r="Q298" s="6">
        <v>0.4194</v>
      </c>
      <c r="R298" s="6">
        <v>0.1613</v>
      </c>
      <c r="S298" s="6">
        <v>0.1159</v>
      </c>
      <c r="T298" s="6">
        <v>9.6799999999999997E-2</v>
      </c>
      <c r="U298" s="6">
        <v>0.1333</v>
      </c>
      <c r="V298" s="6">
        <v>0.1613</v>
      </c>
      <c r="W298" s="6">
        <v>0.6048</v>
      </c>
      <c r="X298" s="6">
        <v>0</v>
      </c>
      <c r="Y298" s="6">
        <v>8.7999999999999995E-2</v>
      </c>
      <c r="Z298" s="6">
        <v>0.22220000000000001</v>
      </c>
      <c r="AA298" s="6">
        <v>9.2200000000000004E-2</v>
      </c>
      <c r="AB298" s="6">
        <v>0.26090000000000002</v>
      </c>
      <c r="AC298" s="7">
        <v>0</v>
      </c>
      <c r="AD298" s="35">
        <v>0.1963</v>
      </c>
      <c r="AE298" s="35">
        <f t="shared" si="62"/>
        <v>0.20420000000000002</v>
      </c>
      <c r="AF298" s="34" t="s">
        <v>35</v>
      </c>
      <c r="AG298" s="30" cm="1">
        <f t="array" ref="AG298">DIASQUIEBRE(Q298:AB298)</f>
        <v>0</v>
      </c>
      <c r="AH298" s="30" cm="1">
        <f t="array" ref="AH298">DiasMesesGris(Q298:AB298)</f>
        <v>0</v>
      </c>
      <c r="AI298" s="30">
        <f t="shared" si="64"/>
        <v>0</v>
      </c>
      <c r="AJ298" s="30">
        <f t="shared" si="65"/>
        <v>360</v>
      </c>
      <c r="AK298" s="31">
        <f t="shared" si="66"/>
        <v>70</v>
      </c>
      <c r="AL298" s="32">
        <f t="shared" si="63"/>
        <v>0.19444444444444445</v>
      </c>
    </row>
    <row r="299" spans="1:38" x14ac:dyDescent="0.25">
      <c r="A299" s="1" t="s">
        <v>907</v>
      </c>
      <c r="B299" s="1" t="s">
        <v>908</v>
      </c>
      <c r="C299" s="1" t="s">
        <v>909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7">
        <v>0</v>
      </c>
      <c r="AE299" s="35">
        <f t="shared" si="62"/>
        <v>0</v>
      </c>
      <c r="AF299" s="34" t="s">
        <v>51</v>
      </c>
      <c r="AG299" s="30" cm="1">
        <f t="array" ref="AG299">DIASQUIEBRE(Q299:AB299)</f>
        <v>0</v>
      </c>
      <c r="AH299" s="30" cm="1">
        <f t="array" ref="AH299">DiasMesesGris(Q299:AB299)</f>
        <v>360</v>
      </c>
      <c r="AI299" s="30">
        <f t="shared" si="64"/>
        <v>360</v>
      </c>
      <c r="AJ299" s="30">
        <f t="shared" si="65"/>
        <v>0</v>
      </c>
      <c r="AK299" s="31">
        <f t="shared" si="66"/>
        <v>0</v>
      </c>
      <c r="AL299" s="32">
        <f t="shared" si="63"/>
        <v>0</v>
      </c>
    </row>
    <row r="300" spans="1:38" x14ac:dyDescent="0.25">
      <c r="A300" s="1" t="s">
        <v>910</v>
      </c>
      <c r="B300" s="1" t="s">
        <v>911</v>
      </c>
      <c r="C300" s="1" t="s">
        <v>912</v>
      </c>
      <c r="D300" s="5">
        <v>12</v>
      </c>
      <c r="E300" s="5">
        <v>25</v>
      </c>
      <c r="F300" s="5">
        <v>20</v>
      </c>
      <c r="G300" s="5">
        <v>15</v>
      </c>
      <c r="H300" s="5">
        <v>28</v>
      </c>
      <c r="I300" s="5">
        <v>15</v>
      </c>
      <c r="J300" s="5">
        <v>14</v>
      </c>
      <c r="K300" s="5">
        <v>8</v>
      </c>
      <c r="L300" s="5">
        <v>24</v>
      </c>
      <c r="M300" s="5">
        <v>10</v>
      </c>
      <c r="N300" s="5">
        <v>4</v>
      </c>
      <c r="O300" s="5">
        <v>7</v>
      </c>
      <c r="P300" s="5">
        <v>4</v>
      </c>
      <c r="Q300" s="6">
        <v>0.3871</v>
      </c>
      <c r="R300" s="6">
        <v>0.80649999999999999</v>
      </c>
      <c r="S300" s="6">
        <v>0.57969999999999999</v>
      </c>
      <c r="T300" s="6">
        <v>0.4839</v>
      </c>
      <c r="U300" s="6">
        <v>0.93330000000000002</v>
      </c>
      <c r="V300" s="6">
        <v>0.4839</v>
      </c>
      <c r="W300" s="6">
        <v>0.5645</v>
      </c>
      <c r="X300" s="6">
        <v>0.33610000000000001</v>
      </c>
      <c r="Y300" s="6">
        <v>0.70379999999999998</v>
      </c>
      <c r="Z300" s="6">
        <v>0.37040000000000001</v>
      </c>
      <c r="AA300" s="6">
        <v>0.1229</v>
      </c>
      <c r="AB300" s="6">
        <v>0.2029</v>
      </c>
      <c r="AC300" s="7">
        <v>0.129</v>
      </c>
      <c r="AD300" s="35">
        <v>0.49790000000000001</v>
      </c>
      <c r="AE300" s="35">
        <f t="shared" si="62"/>
        <v>0.39778571428571435</v>
      </c>
      <c r="AF300" s="34" t="s">
        <v>35</v>
      </c>
      <c r="AG300" s="30" cm="1">
        <f t="array" ref="AG300">DIASQUIEBRE(Q300:AB300)</f>
        <v>0</v>
      </c>
      <c r="AH300" s="30" cm="1">
        <f t="array" ref="AH300">DiasMesesGris(Q300:AB300)</f>
        <v>0</v>
      </c>
      <c r="AI300" s="30">
        <f t="shared" si="64"/>
        <v>0</v>
      </c>
      <c r="AJ300" s="30">
        <f t="shared" si="65"/>
        <v>360</v>
      </c>
      <c r="AK300" s="31">
        <f t="shared" si="66"/>
        <v>182</v>
      </c>
      <c r="AL300" s="32">
        <f t="shared" si="63"/>
        <v>0.50555555555555554</v>
      </c>
    </row>
    <row r="301" spans="1:38" x14ac:dyDescent="0.25">
      <c r="A301" s="1" t="s">
        <v>913</v>
      </c>
      <c r="B301" s="1" t="s">
        <v>914</v>
      </c>
      <c r="C301" s="1" t="s">
        <v>915</v>
      </c>
      <c r="D301" s="5">
        <v>18</v>
      </c>
      <c r="E301" s="5">
        <v>9</v>
      </c>
      <c r="F301" s="5">
        <v>26</v>
      </c>
      <c r="G301" s="5">
        <v>6</v>
      </c>
      <c r="H301" s="5">
        <v>7</v>
      </c>
      <c r="I301" s="5">
        <v>9</v>
      </c>
      <c r="J301" s="5">
        <v>24</v>
      </c>
      <c r="K301" s="5">
        <v>5</v>
      </c>
      <c r="L301" s="5">
        <v>37</v>
      </c>
      <c r="M301" s="5">
        <v>6</v>
      </c>
      <c r="N301" s="5">
        <v>3</v>
      </c>
      <c r="O301" s="5">
        <v>42</v>
      </c>
      <c r="P301" s="3"/>
      <c r="Q301" s="6">
        <v>0.5806</v>
      </c>
      <c r="R301" s="6">
        <v>0.2903</v>
      </c>
      <c r="S301" s="8">
        <v>0.77959999999999996</v>
      </c>
      <c r="T301" s="8">
        <v>0.375</v>
      </c>
      <c r="U301" s="6">
        <v>0.23330000000000001</v>
      </c>
      <c r="V301" s="6">
        <v>0.2903</v>
      </c>
      <c r="W301" s="6">
        <v>0.9677</v>
      </c>
      <c r="X301" s="6">
        <v>0.21010000000000001</v>
      </c>
      <c r="Y301" s="6">
        <v>1.085</v>
      </c>
      <c r="Z301" s="6">
        <v>0.22220000000000001</v>
      </c>
      <c r="AA301" s="6">
        <v>9.2200000000000004E-2</v>
      </c>
      <c r="AB301" s="6">
        <v>1.2174</v>
      </c>
      <c r="AC301" s="7">
        <v>0</v>
      </c>
      <c r="AD301" s="35">
        <v>0.51890000000000003</v>
      </c>
      <c r="AE301" s="35">
        <f t="shared" si="62"/>
        <v>0.58355714285714277</v>
      </c>
      <c r="AF301" s="34" t="s">
        <v>35</v>
      </c>
      <c r="AG301" s="30" cm="1">
        <f t="array" ref="AG301">DIASQUIEBRE(Q301:AB301)</f>
        <v>16</v>
      </c>
      <c r="AH301" s="30" cm="1">
        <f t="array" ref="AH301">DiasMesesGris(Q301:AB301)</f>
        <v>0</v>
      </c>
      <c r="AI301" s="30">
        <f t="shared" si="64"/>
        <v>16</v>
      </c>
      <c r="AJ301" s="30">
        <f t="shared" si="65"/>
        <v>344</v>
      </c>
      <c r="AK301" s="31">
        <f t="shared" si="66"/>
        <v>192</v>
      </c>
      <c r="AL301" s="32">
        <f t="shared" si="63"/>
        <v>0.55813953488372092</v>
      </c>
    </row>
    <row r="302" spans="1:38" x14ac:dyDescent="0.25">
      <c r="A302" s="1" t="s">
        <v>916</v>
      </c>
      <c r="B302" s="1" t="s">
        <v>917</v>
      </c>
      <c r="C302" s="1" t="s">
        <v>918</v>
      </c>
      <c r="D302" s="3"/>
      <c r="E302" s="3"/>
      <c r="F302" s="5">
        <v>2</v>
      </c>
      <c r="G302" s="5">
        <v>2</v>
      </c>
      <c r="H302" s="3"/>
      <c r="I302" s="5">
        <v>3</v>
      </c>
      <c r="J302" s="3"/>
      <c r="K302" s="3"/>
      <c r="L302" s="3"/>
      <c r="M302" s="3"/>
      <c r="N302" s="3"/>
      <c r="O302" s="5">
        <v>3</v>
      </c>
      <c r="P302" s="3"/>
      <c r="Q302" s="9">
        <v>0</v>
      </c>
      <c r="R302" s="9">
        <v>0</v>
      </c>
      <c r="S302" s="8">
        <f t="shared" ref="S302" si="74">F302/30</f>
        <v>6.6666666666666666E-2</v>
      </c>
      <c r="T302" s="6">
        <v>6.4500000000000002E-2</v>
      </c>
      <c r="U302" s="6">
        <v>0</v>
      </c>
      <c r="V302" s="8">
        <f t="shared" ref="V302" si="75">I302/30</f>
        <v>0.1</v>
      </c>
      <c r="W302" s="9">
        <v>0</v>
      </c>
      <c r="X302" s="9">
        <v>0</v>
      </c>
      <c r="Y302" s="9">
        <v>0</v>
      </c>
      <c r="Z302" s="9">
        <v>0</v>
      </c>
      <c r="AA302" s="8">
        <v>0</v>
      </c>
      <c r="AB302" s="6">
        <v>8.6999999999999994E-2</v>
      </c>
      <c r="AC302" s="7">
        <v>0</v>
      </c>
      <c r="AD302" s="35">
        <v>5.0500000000000003E-2</v>
      </c>
      <c r="AE302" s="35">
        <v>3.3000000000000002E-2</v>
      </c>
      <c r="AF302" s="34" t="s">
        <v>35</v>
      </c>
      <c r="AG302" s="30" cm="1">
        <f t="array" ref="AG302">DIASQUIEBRE(Q302:AB302)</f>
        <v>38</v>
      </c>
      <c r="AH302" s="30" cm="1">
        <f t="array" ref="AH302">DiasMesesGris(Q302:AB302)</f>
        <v>180</v>
      </c>
      <c r="AI302" s="30">
        <f t="shared" si="64"/>
        <v>218</v>
      </c>
      <c r="AJ302" s="30">
        <f t="shared" si="65"/>
        <v>142</v>
      </c>
      <c r="AK302" s="31">
        <f t="shared" si="66"/>
        <v>10</v>
      </c>
      <c r="AL302" s="32">
        <f t="shared" si="63"/>
        <v>7.0422535211267609E-2</v>
      </c>
    </row>
    <row r="303" spans="1:38" x14ac:dyDescent="0.25">
      <c r="A303" s="1" t="s">
        <v>919</v>
      </c>
      <c r="B303" s="1" t="s">
        <v>920</v>
      </c>
      <c r="C303" s="1" t="s">
        <v>921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5">
        <v>-1</v>
      </c>
      <c r="P303" s="3"/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7">
        <v>0</v>
      </c>
      <c r="AE303" s="35">
        <f t="shared" si="62"/>
        <v>0</v>
      </c>
      <c r="AF303" s="34" t="s">
        <v>35</v>
      </c>
      <c r="AG303" s="30" cm="1">
        <f t="array" ref="AG303">DIASQUIEBRE(Q303:AB303)</f>
        <v>0</v>
      </c>
      <c r="AH303" s="30" cm="1">
        <f t="array" ref="AH303">DiasMesesGris(Q303:AB303)</f>
        <v>360</v>
      </c>
      <c r="AI303" s="30">
        <f t="shared" si="64"/>
        <v>360</v>
      </c>
      <c r="AJ303" s="30">
        <f t="shared" si="65"/>
        <v>0</v>
      </c>
      <c r="AK303" s="31">
        <f t="shared" si="66"/>
        <v>-1</v>
      </c>
      <c r="AL303" s="32">
        <f t="shared" si="63"/>
        <v>0</v>
      </c>
    </row>
    <row r="304" spans="1:38" x14ac:dyDescent="0.25">
      <c r="A304" s="1" t="s">
        <v>922</v>
      </c>
      <c r="B304" s="1" t="s">
        <v>923</v>
      </c>
      <c r="C304" s="1" t="s">
        <v>924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7">
        <v>0</v>
      </c>
      <c r="AE304" s="35">
        <f t="shared" si="62"/>
        <v>0</v>
      </c>
      <c r="AF304" s="34" t="s">
        <v>51</v>
      </c>
      <c r="AG304" s="30" cm="1">
        <f t="array" ref="AG304">DIASQUIEBRE(Q304:AB304)</f>
        <v>0</v>
      </c>
      <c r="AH304" s="30" cm="1">
        <f t="array" ref="AH304">DiasMesesGris(Q304:AB304)</f>
        <v>360</v>
      </c>
      <c r="AI304" s="30">
        <f t="shared" si="64"/>
        <v>360</v>
      </c>
      <c r="AJ304" s="30">
        <f t="shared" si="65"/>
        <v>0</v>
      </c>
      <c r="AK304" s="31">
        <f t="shared" si="66"/>
        <v>0</v>
      </c>
      <c r="AL304" s="32">
        <f t="shared" si="63"/>
        <v>0</v>
      </c>
    </row>
    <row r="305" spans="1:38" x14ac:dyDescent="0.25">
      <c r="A305" s="1" t="s">
        <v>925</v>
      </c>
      <c r="B305" s="1" t="s">
        <v>926</v>
      </c>
      <c r="C305" s="1" t="s">
        <v>927</v>
      </c>
      <c r="D305" s="5">
        <v>11</v>
      </c>
      <c r="E305" s="5">
        <v>9</v>
      </c>
      <c r="F305" s="3"/>
      <c r="G305" s="5">
        <v>9</v>
      </c>
      <c r="H305" s="5">
        <v>1</v>
      </c>
      <c r="I305" s="5">
        <v>10</v>
      </c>
      <c r="J305" s="3"/>
      <c r="K305" s="5">
        <v>4</v>
      </c>
      <c r="L305" s="5">
        <v>10</v>
      </c>
      <c r="M305" s="5">
        <v>6</v>
      </c>
      <c r="N305" s="3"/>
      <c r="O305" s="5">
        <v>21</v>
      </c>
      <c r="P305" s="5">
        <v>7</v>
      </c>
      <c r="Q305" s="8">
        <f t="shared" ref="Q305" si="76">D305/30</f>
        <v>0.36666666666666664</v>
      </c>
      <c r="R305" s="8">
        <f t="shared" ref="R305" si="77">E305/30</f>
        <v>0.3</v>
      </c>
      <c r="S305" s="9">
        <v>0</v>
      </c>
      <c r="T305" s="8">
        <f t="shared" ref="T305" si="78">G305/30</f>
        <v>0.3</v>
      </c>
      <c r="U305" s="6">
        <v>3.3300000000000003E-2</v>
      </c>
      <c r="V305" s="8">
        <f t="shared" ref="V305" si="79">I305/30</f>
        <v>0.33333333333333331</v>
      </c>
      <c r="W305" s="8">
        <f t="shared" ref="W305" si="80">J305/30</f>
        <v>0</v>
      </c>
      <c r="X305" s="6">
        <v>0.1681</v>
      </c>
      <c r="Y305" s="6">
        <v>0.29330000000000001</v>
      </c>
      <c r="Z305" s="8">
        <f t="shared" ref="Z305" si="81">M305/30</f>
        <v>0.2</v>
      </c>
      <c r="AA305" s="8">
        <v>0</v>
      </c>
      <c r="AB305" s="6">
        <v>0.60870000000000002</v>
      </c>
      <c r="AC305" s="7">
        <v>0.2258</v>
      </c>
      <c r="AD305" s="35">
        <v>0.27589999999999998</v>
      </c>
      <c r="AE305" s="36">
        <v>0.32</v>
      </c>
      <c r="AF305" s="34" t="s">
        <v>35</v>
      </c>
      <c r="AG305" s="30" cm="1">
        <f t="array" ref="AG305">DIASQUIEBRE(Q305:AB305)</f>
        <v>77</v>
      </c>
      <c r="AH305" s="30" cm="1">
        <f t="array" ref="AH305">DiasMesesGris(Q305:AB305)</f>
        <v>30</v>
      </c>
      <c r="AI305" s="30">
        <f t="shared" si="64"/>
        <v>107</v>
      </c>
      <c r="AJ305" s="30">
        <f t="shared" si="65"/>
        <v>253</v>
      </c>
      <c r="AK305" s="31">
        <f t="shared" si="66"/>
        <v>81</v>
      </c>
      <c r="AL305" s="32">
        <f t="shared" si="63"/>
        <v>0.3201581027667984</v>
      </c>
    </row>
    <row r="306" spans="1:38" x14ac:dyDescent="0.25">
      <c r="A306" s="1" t="s">
        <v>928</v>
      </c>
      <c r="B306" s="1" t="s">
        <v>929</v>
      </c>
      <c r="C306" s="1" t="s">
        <v>930</v>
      </c>
      <c r="D306" s="3"/>
      <c r="E306" s="3"/>
      <c r="F306" s="3"/>
      <c r="G306" s="3"/>
      <c r="H306" s="3"/>
      <c r="I306" s="3"/>
      <c r="J306" s="3"/>
      <c r="K306" s="3"/>
      <c r="L306" s="5">
        <v>3</v>
      </c>
      <c r="M306" s="3"/>
      <c r="N306" s="5">
        <v>2</v>
      </c>
      <c r="O306" s="3"/>
      <c r="P306" s="3"/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8">
        <v>1.3635999999999999</v>
      </c>
      <c r="Z306" s="9">
        <v>0</v>
      </c>
      <c r="AA306" s="9">
        <v>0</v>
      </c>
      <c r="AB306" s="9">
        <v>0</v>
      </c>
      <c r="AC306" s="7">
        <v>0</v>
      </c>
      <c r="AE306" s="35">
        <f t="shared" si="62"/>
        <v>0.1948</v>
      </c>
      <c r="AF306" s="34" t="s">
        <v>35</v>
      </c>
      <c r="AG306" s="30" cm="1">
        <f t="array" ref="AG306">DIASQUIEBRE(Q306:AB306)</f>
        <v>29</v>
      </c>
      <c r="AH306" s="30" cm="1">
        <f t="array" ref="AH306">DiasMesesGris(Q306:AB306)</f>
        <v>330</v>
      </c>
      <c r="AI306" s="30">
        <f t="shared" si="64"/>
        <v>359</v>
      </c>
      <c r="AJ306" s="30">
        <f t="shared" si="65"/>
        <v>1</v>
      </c>
      <c r="AK306" s="31">
        <f t="shared" si="66"/>
        <v>5</v>
      </c>
      <c r="AL306" s="32">
        <f t="shared" si="63"/>
        <v>5</v>
      </c>
    </row>
    <row r="307" spans="1:38" x14ac:dyDescent="0.25">
      <c r="A307" s="1" t="s">
        <v>931</v>
      </c>
      <c r="B307" s="1" t="s">
        <v>932</v>
      </c>
      <c r="C307" s="1" t="s">
        <v>933</v>
      </c>
      <c r="D307" s="3"/>
      <c r="E307" s="3"/>
      <c r="F307" s="3"/>
      <c r="G307" s="3"/>
      <c r="H307" s="5">
        <v>1</v>
      </c>
      <c r="I307" s="3"/>
      <c r="J307" s="3"/>
      <c r="K307" s="3"/>
      <c r="L307" s="3"/>
      <c r="M307" s="3"/>
      <c r="N307" s="3"/>
      <c r="O307" s="3"/>
      <c r="P307" s="3"/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7">
        <v>0</v>
      </c>
      <c r="AE307" s="35">
        <f t="shared" si="62"/>
        <v>0</v>
      </c>
      <c r="AF307" s="34" t="s">
        <v>35</v>
      </c>
      <c r="AG307" s="30" cm="1">
        <f t="array" ref="AG307">DIASQUIEBRE(Q307:AB307)</f>
        <v>0</v>
      </c>
      <c r="AH307" s="30" cm="1">
        <f t="array" ref="AH307">DiasMesesGris(Q307:AB307)</f>
        <v>360</v>
      </c>
      <c r="AI307" s="30">
        <f t="shared" si="64"/>
        <v>360</v>
      </c>
      <c r="AJ307" s="30">
        <f t="shared" si="65"/>
        <v>0</v>
      </c>
      <c r="AK307" s="31">
        <f t="shared" si="66"/>
        <v>1</v>
      </c>
      <c r="AL307" s="32">
        <f t="shared" si="63"/>
        <v>0</v>
      </c>
    </row>
    <row r="308" spans="1:38" x14ac:dyDescent="0.25">
      <c r="A308" s="1" t="s">
        <v>934</v>
      </c>
      <c r="B308" s="1" t="s">
        <v>935</v>
      </c>
      <c r="C308" s="1" t="s">
        <v>936</v>
      </c>
      <c r="D308" s="3"/>
      <c r="E308" s="3"/>
      <c r="F308" s="3"/>
      <c r="G308" s="3"/>
      <c r="H308" s="5">
        <v>1</v>
      </c>
      <c r="I308" s="3"/>
      <c r="J308" s="3"/>
      <c r="K308" s="3"/>
      <c r="L308" s="3"/>
      <c r="M308" s="3"/>
      <c r="N308" s="3"/>
      <c r="O308" s="3"/>
      <c r="P308" s="3"/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7">
        <v>0</v>
      </c>
      <c r="AE308" s="35">
        <f t="shared" si="62"/>
        <v>0</v>
      </c>
      <c r="AF308" s="34" t="s">
        <v>51</v>
      </c>
      <c r="AG308" s="30" cm="1">
        <f t="array" ref="AG308">DIASQUIEBRE(Q308:AB308)</f>
        <v>0</v>
      </c>
      <c r="AH308" s="30" cm="1">
        <f t="array" ref="AH308">DiasMesesGris(Q308:AB308)</f>
        <v>360</v>
      </c>
      <c r="AI308" s="30">
        <f t="shared" si="64"/>
        <v>360</v>
      </c>
      <c r="AJ308" s="30">
        <f t="shared" si="65"/>
        <v>0</v>
      </c>
      <c r="AK308" s="31">
        <f t="shared" si="66"/>
        <v>1</v>
      </c>
      <c r="AL308" s="32">
        <f t="shared" si="63"/>
        <v>0</v>
      </c>
    </row>
    <row r="309" spans="1:38" x14ac:dyDescent="0.25">
      <c r="A309" s="1" t="s">
        <v>937</v>
      </c>
      <c r="B309" s="1" t="s">
        <v>938</v>
      </c>
      <c r="C309" s="1" t="s">
        <v>939</v>
      </c>
      <c r="D309" s="3"/>
      <c r="E309" s="3"/>
      <c r="F309" s="3"/>
      <c r="G309" s="3"/>
      <c r="H309" s="5">
        <v>1</v>
      </c>
      <c r="I309" s="3"/>
      <c r="J309" s="3"/>
      <c r="K309" s="3"/>
      <c r="L309" s="3"/>
      <c r="M309" s="3"/>
      <c r="N309" s="3"/>
      <c r="O309" s="3"/>
      <c r="P309" s="3"/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7">
        <v>0</v>
      </c>
      <c r="AE309" s="35">
        <f t="shared" si="62"/>
        <v>0</v>
      </c>
      <c r="AF309" s="34" t="s">
        <v>51</v>
      </c>
      <c r="AG309" s="30" cm="1">
        <f t="array" ref="AG309">DIASQUIEBRE(Q309:AB309)</f>
        <v>0</v>
      </c>
      <c r="AH309" s="30" cm="1">
        <f t="array" ref="AH309">DiasMesesGris(Q309:AB309)</f>
        <v>360</v>
      </c>
      <c r="AI309" s="30">
        <f t="shared" si="64"/>
        <v>360</v>
      </c>
      <c r="AJ309" s="30">
        <f t="shared" si="65"/>
        <v>0</v>
      </c>
      <c r="AK309" s="31">
        <f t="shared" si="66"/>
        <v>1</v>
      </c>
      <c r="AL309" s="32">
        <f t="shared" si="63"/>
        <v>0</v>
      </c>
    </row>
    <row r="310" spans="1:38" x14ac:dyDescent="0.25">
      <c r="A310" s="1" t="s">
        <v>940</v>
      </c>
      <c r="B310" s="1" t="s">
        <v>941</v>
      </c>
      <c r="C310" s="1" t="s">
        <v>942</v>
      </c>
      <c r="D310" s="3"/>
      <c r="E310" s="3"/>
      <c r="F310" s="3"/>
      <c r="G310" s="3"/>
      <c r="H310" s="5">
        <v>1</v>
      </c>
      <c r="I310" s="3"/>
      <c r="J310" s="3"/>
      <c r="K310" s="3"/>
      <c r="L310" s="3"/>
      <c r="M310" s="3"/>
      <c r="N310" s="3"/>
      <c r="O310" s="3"/>
      <c r="P310" s="3"/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7">
        <v>0</v>
      </c>
      <c r="AE310" s="35">
        <f t="shared" si="62"/>
        <v>0</v>
      </c>
      <c r="AF310" s="34" t="s">
        <v>51</v>
      </c>
      <c r="AG310" s="30" cm="1">
        <f t="array" ref="AG310">DIASQUIEBRE(Q310:AB310)</f>
        <v>0</v>
      </c>
      <c r="AH310" s="30" cm="1">
        <f t="array" ref="AH310">DiasMesesGris(Q310:AB310)</f>
        <v>360</v>
      </c>
      <c r="AI310" s="30">
        <f t="shared" si="64"/>
        <v>360</v>
      </c>
      <c r="AJ310" s="30">
        <f t="shared" si="65"/>
        <v>0</v>
      </c>
      <c r="AK310" s="31">
        <f t="shared" si="66"/>
        <v>1</v>
      </c>
      <c r="AL310" s="32">
        <f t="shared" si="63"/>
        <v>0</v>
      </c>
    </row>
    <row r="311" spans="1:38" x14ac:dyDescent="0.25">
      <c r="A311" s="1" t="s">
        <v>943</v>
      </c>
      <c r="B311" s="1" t="s">
        <v>944</v>
      </c>
      <c r="C311" s="1" t="s">
        <v>945</v>
      </c>
      <c r="D311" s="5">
        <v>2</v>
      </c>
      <c r="E311" s="3"/>
      <c r="F311" s="5">
        <v>2</v>
      </c>
      <c r="G311" s="5">
        <v>2</v>
      </c>
      <c r="H311" s="3"/>
      <c r="I311" s="5">
        <v>3</v>
      </c>
      <c r="J311" s="3"/>
      <c r="K311" s="3"/>
      <c r="L311" s="3"/>
      <c r="M311" s="5">
        <v>1</v>
      </c>
      <c r="N311" s="5">
        <v>1</v>
      </c>
      <c r="O311" s="3"/>
      <c r="P311" s="3"/>
      <c r="Q311" s="6">
        <v>6.4500000000000002E-2</v>
      </c>
      <c r="R311" s="6">
        <v>0</v>
      </c>
      <c r="S311" s="6">
        <v>5.8000000000000003E-2</v>
      </c>
      <c r="T311" s="6">
        <v>6.4500000000000002E-2</v>
      </c>
      <c r="U311" s="6">
        <v>0</v>
      </c>
      <c r="V311" s="6">
        <v>9.6799999999999997E-2</v>
      </c>
      <c r="W311" s="6">
        <v>0</v>
      </c>
      <c r="X311" s="6">
        <v>0</v>
      </c>
      <c r="Y311" s="6">
        <v>0</v>
      </c>
      <c r="Z311" s="6">
        <v>3.6999999999999998E-2</v>
      </c>
      <c r="AA311" s="6">
        <v>3.0700000000000002E-2</v>
      </c>
      <c r="AB311" s="6">
        <v>0</v>
      </c>
      <c r="AC311" s="7">
        <v>0</v>
      </c>
      <c r="AD311" s="35">
        <v>2.93E-2</v>
      </c>
      <c r="AE311" s="35">
        <f t="shared" si="62"/>
        <v>2.35E-2</v>
      </c>
      <c r="AF311" s="34" t="s">
        <v>35</v>
      </c>
      <c r="AG311" s="30" cm="1">
        <f t="array" ref="AG311">DIASQUIEBRE(Q311:AB311)</f>
        <v>0</v>
      </c>
      <c r="AH311" s="30" cm="1">
        <f t="array" ref="AH311">DiasMesesGris(Q311:AB311)</f>
        <v>0</v>
      </c>
      <c r="AI311" s="30">
        <f t="shared" si="64"/>
        <v>0</v>
      </c>
      <c r="AJ311" s="30">
        <f t="shared" si="65"/>
        <v>360</v>
      </c>
      <c r="AK311" s="31">
        <f t="shared" si="66"/>
        <v>11</v>
      </c>
      <c r="AL311" s="32">
        <f t="shared" si="63"/>
        <v>3.0555555555555555E-2</v>
      </c>
    </row>
    <row r="312" spans="1:38" x14ac:dyDescent="0.25">
      <c r="A312" s="1" t="s">
        <v>946</v>
      </c>
      <c r="B312" s="1" t="s">
        <v>947</v>
      </c>
      <c r="C312" s="1" t="s">
        <v>948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7">
        <v>0</v>
      </c>
      <c r="AE312" s="35">
        <f t="shared" si="62"/>
        <v>0</v>
      </c>
      <c r="AF312" s="34" t="s">
        <v>51</v>
      </c>
      <c r="AG312" s="30" cm="1">
        <f t="array" ref="AG312">DIASQUIEBRE(Q312:AB312)</f>
        <v>0</v>
      </c>
      <c r="AH312" s="30" cm="1">
        <f t="array" ref="AH312">DiasMesesGris(Q312:AB312)</f>
        <v>360</v>
      </c>
      <c r="AI312" s="30">
        <f t="shared" si="64"/>
        <v>360</v>
      </c>
      <c r="AJ312" s="30">
        <f t="shared" si="65"/>
        <v>0</v>
      </c>
      <c r="AK312" s="31">
        <f t="shared" si="66"/>
        <v>0</v>
      </c>
      <c r="AL312" s="32">
        <f t="shared" si="63"/>
        <v>0</v>
      </c>
    </row>
    <row r="313" spans="1:38" x14ac:dyDescent="0.25">
      <c r="A313" s="1" t="s">
        <v>949</v>
      </c>
      <c r="B313" s="1" t="s">
        <v>950</v>
      </c>
      <c r="C313" s="1" t="s">
        <v>951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7">
        <v>0</v>
      </c>
      <c r="AE313" s="35">
        <f t="shared" si="62"/>
        <v>0</v>
      </c>
      <c r="AF313" s="34" t="s">
        <v>51</v>
      </c>
      <c r="AG313" s="30" cm="1">
        <f t="array" ref="AG313">DIASQUIEBRE(Q313:AB313)</f>
        <v>0</v>
      </c>
      <c r="AH313" s="30" cm="1">
        <f t="array" ref="AH313">DiasMesesGris(Q313:AB313)</f>
        <v>360</v>
      </c>
      <c r="AI313" s="30">
        <f t="shared" si="64"/>
        <v>360</v>
      </c>
      <c r="AJ313" s="30">
        <f t="shared" si="65"/>
        <v>0</v>
      </c>
      <c r="AK313" s="31">
        <f t="shared" si="66"/>
        <v>0</v>
      </c>
      <c r="AL313" s="32">
        <f t="shared" si="63"/>
        <v>0</v>
      </c>
    </row>
    <row r="314" spans="1:38" x14ac:dyDescent="0.25">
      <c r="A314" s="1" t="s">
        <v>952</v>
      </c>
      <c r="B314" s="1" t="s">
        <v>953</v>
      </c>
      <c r="C314" s="1" t="s">
        <v>954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7">
        <v>0</v>
      </c>
      <c r="AE314" s="35">
        <f t="shared" si="62"/>
        <v>0</v>
      </c>
      <c r="AF314" s="34" t="s">
        <v>51</v>
      </c>
      <c r="AG314" s="30" cm="1">
        <f t="array" ref="AG314">DIASQUIEBRE(Q314:AB314)</f>
        <v>0</v>
      </c>
      <c r="AH314" s="30" cm="1">
        <f t="array" ref="AH314">DiasMesesGris(Q314:AB314)</f>
        <v>360</v>
      </c>
      <c r="AI314" s="30">
        <f t="shared" si="64"/>
        <v>360</v>
      </c>
      <c r="AJ314" s="30">
        <f t="shared" si="65"/>
        <v>0</v>
      </c>
      <c r="AK314" s="31">
        <f t="shared" si="66"/>
        <v>0</v>
      </c>
      <c r="AL314" s="32">
        <f t="shared" si="63"/>
        <v>0</v>
      </c>
    </row>
    <row r="315" spans="1:38" x14ac:dyDescent="0.25">
      <c r="A315" s="1" t="s">
        <v>955</v>
      </c>
      <c r="B315" s="1" t="s">
        <v>956</v>
      </c>
      <c r="C315" s="1" t="s">
        <v>957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7">
        <v>0</v>
      </c>
      <c r="AE315" s="35">
        <f t="shared" si="62"/>
        <v>0</v>
      </c>
      <c r="AF315" s="34" t="s">
        <v>51</v>
      </c>
      <c r="AG315" s="30" cm="1">
        <f t="array" ref="AG315">DIASQUIEBRE(Q315:AB315)</f>
        <v>0</v>
      </c>
      <c r="AH315" s="30" cm="1">
        <f t="array" ref="AH315">DiasMesesGris(Q315:AB315)</f>
        <v>360</v>
      </c>
      <c r="AI315" s="30">
        <f t="shared" si="64"/>
        <v>360</v>
      </c>
      <c r="AJ315" s="30">
        <f t="shared" si="65"/>
        <v>0</v>
      </c>
      <c r="AK315" s="31">
        <f t="shared" si="66"/>
        <v>0</v>
      </c>
      <c r="AL315" s="32">
        <f t="shared" si="63"/>
        <v>0</v>
      </c>
    </row>
    <row r="316" spans="1:38" x14ac:dyDescent="0.25">
      <c r="A316" s="1" t="s">
        <v>958</v>
      </c>
      <c r="B316" s="1" t="s">
        <v>959</v>
      </c>
      <c r="C316" s="1" t="s">
        <v>960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7">
        <v>0</v>
      </c>
      <c r="AE316" s="35">
        <f t="shared" si="62"/>
        <v>0</v>
      </c>
      <c r="AF316" s="34" t="s">
        <v>51</v>
      </c>
      <c r="AG316" s="30" cm="1">
        <f t="array" ref="AG316">DIASQUIEBRE(Q316:AB316)</f>
        <v>0</v>
      </c>
      <c r="AH316" s="30" cm="1">
        <f t="array" ref="AH316">DiasMesesGris(Q316:AB316)</f>
        <v>360</v>
      </c>
      <c r="AI316" s="30">
        <f t="shared" si="64"/>
        <v>360</v>
      </c>
      <c r="AJ316" s="30">
        <f t="shared" si="65"/>
        <v>0</v>
      </c>
      <c r="AK316" s="31">
        <f t="shared" si="66"/>
        <v>0</v>
      </c>
      <c r="AL316" s="32">
        <f t="shared" si="63"/>
        <v>0</v>
      </c>
    </row>
    <row r="317" spans="1:38" x14ac:dyDescent="0.25">
      <c r="A317" s="1" t="s">
        <v>961</v>
      </c>
      <c r="B317" s="1" t="s">
        <v>962</v>
      </c>
      <c r="C317" s="1" t="s">
        <v>963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7">
        <v>0</v>
      </c>
      <c r="AE317" s="35">
        <f t="shared" si="62"/>
        <v>0</v>
      </c>
      <c r="AF317" s="34" t="s">
        <v>51</v>
      </c>
      <c r="AG317" s="30" cm="1">
        <f t="array" ref="AG317">DIASQUIEBRE(Q317:AB317)</f>
        <v>0</v>
      </c>
      <c r="AH317" s="30" cm="1">
        <f t="array" ref="AH317">DiasMesesGris(Q317:AB317)</f>
        <v>360</v>
      </c>
      <c r="AI317" s="30">
        <f t="shared" si="64"/>
        <v>360</v>
      </c>
      <c r="AJ317" s="30">
        <f t="shared" si="65"/>
        <v>0</v>
      </c>
      <c r="AK317" s="31">
        <f t="shared" si="66"/>
        <v>0</v>
      </c>
      <c r="AL317" s="32">
        <f t="shared" si="63"/>
        <v>0</v>
      </c>
    </row>
    <row r="318" spans="1:38" x14ac:dyDescent="0.25">
      <c r="A318" s="1" t="s">
        <v>964</v>
      </c>
      <c r="B318" s="1" t="s">
        <v>965</v>
      </c>
      <c r="C318" s="1" t="s">
        <v>966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7">
        <v>0</v>
      </c>
      <c r="AE318" s="35">
        <f t="shared" si="62"/>
        <v>0</v>
      </c>
      <c r="AF318" s="34" t="s">
        <v>51</v>
      </c>
      <c r="AG318" s="30" cm="1">
        <f t="array" ref="AG318">DIASQUIEBRE(Q318:AB318)</f>
        <v>0</v>
      </c>
      <c r="AH318" s="30" cm="1">
        <f t="array" ref="AH318">DiasMesesGris(Q318:AB318)</f>
        <v>360</v>
      </c>
      <c r="AI318" s="30">
        <f t="shared" si="64"/>
        <v>360</v>
      </c>
      <c r="AJ318" s="30">
        <f t="shared" si="65"/>
        <v>0</v>
      </c>
      <c r="AK318" s="31">
        <f t="shared" si="66"/>
        <v>0</v>
      </c>
      <c r="AL318" s="32">
        <f t="shared" si="63"/>
        <v>0</v>
      </c>
    </row>
    <row r="319" spans="1:38" x14ac:dyDescent="0.25">
      <c r="A319" s="1" t="s">
        <v>967</v>
      </c>
      <c r="B319" s="1" t="s">
        <v>968</v>
      </c>
      <c r="C319" s="1" t="s">
        <v>969</v>
      </c>
      <c r="D319" s="5">
        <v>10</v>
      </c>
      <c r="E319" s="3"/>
      <c r="F319" s="5">
        <v>9</v>
      </c>
      <c r="G319" s="5">
        <v>10</v>
      </c>
      <c r="H319" s="5">
        <v>2</v>
      </c>
      <c r="I319" s="5">
        <v>3</v>
      </c>
      <c r="J319" s="5">
        <v>7</v>
      </c>
      <c r="K319" s="5">
        <v>8</v>
      </c>
      <c r="L319" s="5">
        <v>5</v>
      </c>
      <c r="M319" s="5">
        <v>3</v>
      </c>
      <c r="N319" s="5">
        <v>6</v>
      </c>
      <c r="O319" s="5">
        <v>22</v>
      </c>
      <c r="P319" s="5">
        <v>1</v>
      </c>
      <c r="Q319" s="8">
        <f t="shared" ref="Q319" si="82">D319/30</f>
        <v>0.33333333333333331</v>
      </c>
      <c r="R319" s="6">
        <v>0</v>
      </c>
      <c r="S319" s="6">
        <v>0.26090000000000002</v>
      </c>
      <c r="T319" s="6">
        <v>0.3226</v>
      </c>
      <c r="U319" s="6">
        <v>6.6699999999999995E-2</v>
      </c>
      <c r="V319" s="6">
        <v>9.6799999999999997E-2</v>
      </c>
      <c r="W319" s="6">
        <v>0.2823</v>
      </c>
      <c r="X319" s="6">
        <v>0.33610000000000001</v>
      </c>
      <c r="Y319" s="6">
        <v>0.14660000000000001</v>
      </c>
      <c r="Z319" s="6">
        <v>0.1111</v>
      </c>
      <c r="AA319" s="6">
        <v>0.18429999999999999</v>
      </c>
      <c r="AB319" s="6">
        <v>0.63770000000000004</v>
      </c>
      <c r="AC319" s="7">
        <v>3.2300000000000002E-2</v>
      </c>
      <c r="AD319" s="35">
        <v>0.2223</v>
      </c>
      <c r="AE319" s="35">
        <f t="shared" si="62"/>
        <v>0.25641428571428576</v>
      </c>
      <c r="AF319" s="34" t="s">
        <v>35</v>
      </c>
      <c r="AG319" s="30" cm="1">
        <f t="array" ref="AG319">DIASQUIEBRE(Q319:AB319)</f>
        <v>20</v>
      </c>
      <c r="AH319" s="30" cm="1">
        <f t="array" ref="AH319">DiasMesesGris(Q319:AB319)</f>
        <v>0</v>
      </c>
      <c r="AI319" s="30">
        <f t="shared" si="64"/>
        <v>20</v>
      </c>
      <c r="AJ319" s="30">
        <f t="shared" si="65"/>
        <v>340</v>
      </c>
      <c r="AK319" s="31">
        <f t="shared" si="66"/>
        <v>85</v>
      </c>
      <c r="AL319" s="32">
        <f t="shared" si="63"/>
        <v>0.25</v>
      </c>
    </row>
    <row r="320" spans="1:38" x14ac:dyDescent="0.25">
      <c r="A320" s="1" t="s">
        <v>970</v>
      </c>
      <c r="B320" s="1" t="s">
        <v>971</v>
      </c>
      <c r="C320" s="1" t="s">
        <v>972</v>
      </c>
      <c r="D320" s="5">
        <v>48</v>
      </c>
      <c r="E320" s="5">
        <v>29</v>
      </c>
      <c r="F320" s="5">
        <v>41</v>
      </c>
      <c r="G320" s="5">
        <v>37</v>
      </c>
      <c r="H320" s="5">
        <v>74</v>
      </c>
      <c r="I320" s="5">
        <v>21</v>
      </c>
      <c r="J320" s="5">
        <v>47</v>
      </c>
      <c r="K320" s="5">
        <v>48</v>
      </c>
      <c r="L320" s="5">
        <v>37</v>
      </c>
      <c r="M320" s="5">
        <v>50</v>
      </c>
      <c r="N320" s="5">
        <v>52</v>
      </c>
      <c r="O320" s="5">
        <v>21</v>
      </c>
      <c r="P320" s="3"/>
      <c r="Q320" s="6">
        <v>1.5484</v>
      </c>
      <c r="R320" s="6">
        <v>0.9355</v>
      </c>
      <c r="S320" s="6">
        <v>1.1883999999999999</v>
      </c>
      <c r="T320" s="6">
        <v>1.1935</v>
      </c>
      <c r="U320" s="6">
        <v>2.4666999999999999</v>
      </c>
      <c r="V320" s="6">
        <v>0.6774</v>
      </c>
      <c r="W320" s="6">
        <v>1.8952</v>
      </c>
      <c r="X320" s="6">
        <v>2.0167999999999999</v>
      </c>
      <c r="Y320" s="6">
        <v>1.085</v>
      </c>
      <c r="Z320" s="6">
        <v>1.8519000000000001</v>
      </c>
      <c r="AA320" s="6">
        <v>1.5974999999999999</v>
      </c>
      <c r="AB320" s="6">
        <v>0.60870000000000002</v>
      </c>
      <c r="AC320" s="7">
        <v>0</v>
      </c>
      <c r="AD320" s="35">
        <v>1.4220999999999999</v>
      </c>
      <c r="AE320" s="35">
        <f t="shared" si="62"/>
        <v>1.3903571428571428</v>
      </c>
      <c r="AF320" s="34" t="s">
        <v>35</v>
      </c>
      <c r="AG320" s="30" cm="1">
        <f t="array" ref="AG320">DIASQUIEBRE(Q320:AB320)</f>
        <v>0</v>
      </c>
      <c r="AH320" s="30" cm="1">
        <f t="array" ref="AH320">DiasMesesGris(Q320:AB320)</f>
        <v>0</v>
      </c>
      <c r="AI320" s="30">
        <f t="shared" si="64"/>
        <v>0</v>
      </c>
      <c r="AJ320" s="30">
        <f t="shared" si="65"/>
        <v>360</v>
      </c>
      <c r="AK320" s="31">
        <f t="shared" si="66"/>
        <v>505</v>
      </c>
      <c r="AL320" s="32">
        <f t="shared" si="63"/>
        <v>1.4027777777777777</v>
      </c>
    </row>
    <row r="321" spans="1:38" x14ac:dyDescent="0.25">
      <c r="A321" s="1" t="s">
        <v>973</v>
      </c>
      <c r="B321" s="1" t="s">
        <v>974</v>
      </c>
      <c r="C321" s="1" t="s">
        <v>975</v>
      </c>
      <c r="D321" s="5">
        <v>6</v>
      </c>
      <c r="E321" s="3"/>
      <c r="F321" s="3"/>
      <c r="G321" s="5">
        <v>5</v>
      </c>
      <c r="H321" s="5">
        <v>2</v>
      </c>
      <c r="I321" s="3"/>
      <c r="J321" s="3"/>
      <c r="K321" s="3"/>
      <c r="L321" s="5">
        <v>12</v>
      </c>
      <c r="M321" s="3"/>
      <c r="N321" s="5">
        <v>3</v>
      </c>
      <c r="O321" s="5">
        <v>5</v>
      </c>
      <c r="P321" s="3"/>
      <c r="Q321" s="8">
        <f t="shared" ref="Q321" si="83">D321/30</f>
        <v>0.2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8">
        <f t="shared" ref="W321" si="84">J321/30</f>
        <v>0</v>
      </c>
      <c r="X321" s="6">
        <v>0</v>
      </c>
      <c r="Y321" s="6">
        <v>0.35189999999999999</v>
      </c>
      <c r="Z321" s="6">
        <v>0</v>
      </c>
      <c r="AA321" s="6">
        <v>9.2200000000000004E-2</v>
      </c>
      <c r="AB321" s="8">
        <f t="shared" ref="AB321" si="85">O321/30</f>
        <v>0.16666666666666666</v>
      </c>
      <c r="AC321" s="7">
        <v>0</v>
      </c>
      <c r="AD321" s="35">
        <v>0.111</v>
      </c>
      <c r="AE321" s="35">
        <v>0.1222</v>
      </c>
      <c r="AF321" s="34" t="s">
        <v>35</v>
      </c>
      <c r="AG321" s="30" cm="1">
        <f t="array" ref="AG321">DIASQUIEBRE(Q321:AB321)</f>
        <v>54</v>
      </c>
      <c r="AH321" s="30" cm="1">
        <f t="array" ref="AH321">DiasMesesGris(Q321:AB321)</f>
        <v>150</v>
      </c>
      <c r="AI321" s="30">
        <f t="shared" si="64"/>
        <v>204</v>
      </c>
      <c r="AJ321" s="30">
        <f t="shared" si="65"/>
        <v>156</v>
      </c>
      <c r="AK321" s="31">
        <f t="shared" si="66"/>
        <v>33</v>
      </c>
      <c r="AL321" s="32">
        <f t="shared" si="63"/>
        <v>0.21153846153846154</v>
      </c>
    </row>
    <row r="322" spans="1:38" x14ac:dyDescent="0.25">
      <c r="A322" s="1" t="s">
        <v>976</v>
      </c>
      <c r="B322" s="1" t="s">
        <v>977</v>
      </c>
      <c r="C322" s="1" t="s">
        <v>978</v>
      </c>
      <c r="D322" s="3"/>
      <c r="E322" s="3"/>
      <c r="F322" s="3"/>
      <c r="G322" s="3"/>
      <c r="H322" s="3"/>
      <c r="I322" s="3"/>
      <c r="J322" s="5">
        <v>1</v>
      </c>
      <c r="K322" s="3"/>
      <c r="L322" s="3"/>
      <c r="M322" s="3"/>
      <c r="N322" s="3"/>
      <c r="O322" s="3"/>
      <c r="P322" s="3"/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7">
        <v>0</v>
      </c>
      <c r="AE322" s="35">
        <f t="shared" si="62"/>
        <v>0</v>
      </c>
      <c r="AF322" s="34" t="s">
        <v>35</v>
      </c>
      <c r="AG322" s="30" cm="1">
        <f t="array" ref="AG322">DIASQUIEBRE(Q322:AB322)</f>
        <v>0</v>
      </c>
      <c r="AH322" s="30" cm="1">
        <f t="array" ref="AH322">DiasMesesGris(Q322:AB322)</f>
        <v>360</v>
      </c>
      <c r="AI322" s="30">
        <f t="shared" si="64"/>
        <v>360</v>
      </c>
      <c r="AJ322" s="30">
        <f t="shared" si="65"/>
        <v>0</v>
      </c>
      <c r="AK322" s="31">
        <f t="shared" si="66"/>
        <v>1</v>
      </c>
      <c r="AL322" s="32">
        <f t="shared" si="63"/>
        <v>0</v>
      </c>
    </row>
    <row r="323" spans="1:38" x14ac:dyDescent="0.25">
      <c r="A323" s="1" t="s">
        <v>979</v>
      </c>
      <c r="B323" s="1" t="s">
        <v>980</v>
      </c>
      <c r="C323" s="1" t="s">
        <v>981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7">
        <v>0</v>
      </c>
      <c r="AE323" s="35">
        <f t="shared" ref="AE323:AE386" si="86">AVERAGE(V323:AB323)</f>
        <v>0</v>
      </c>
      <c r="AF323" s="34" t="s">
        <v>35</v>
      </c>
      <c r="AG323" s="30" cm="1">
        <f t="array" ref="AG323">DIASQUIEBRE(Q323:AB323)</f>
        <v>0</v>
      </c>
      <c r="AH323" s="30" cm="1">
        <f t="array" ref="AH323">DiasMesesGris(Q323:AB323)</f>
        <v>360</v>
      </c>
      <c r="AI323" s="30">
        <f t="shared" si="64"/>
        <v>360</v>
      </c>
      <c r="AJ323" s="30">
        <f t="shared" si="65"/>
        <v>0</v>
      </c>
      <c r="AK323" s="31">
        <f t="shared" si="66"/>
        <v>0</v>
      </c>
      <c r="AL323" s="32">
        <f t="shared" ref="AL323:AL386" si="87">IFERROR(AK323/AJ323,0)</f>
        <v>0</v>
      </c>
    </row>
    <row r="324" spans="1:38" x14ac:dyDescent="0.25">
      <c r="A324" s="1" t="s">
        <v>982</v>
      </c>
      <c r="B324" s="1" t="s">
        <v>983</v>
      </c>
      <c r="C324" s="1" t="s">
        <v>984</v>
      </c>
      <c r="D324" s="3"/>
      <c r="E324" s="3"/>
      <c r="F324" s="3"/>
      <c r="G324" s="3"/>
      <c r="H324" s="3"/>
      <c r="I324" s="3"/>
      <c r="J324" s="3"/>
      <c r="K324" s="3"/>
      <c r="L324" s="3"/>
      <c r="M324" s="5">
        <v>1</v>
      </c>
      <c r="N324" s="3"/>
      <c r="O324" s="3"/>
      <c r="P324" s="3"/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3.6999999999999998E-2</v>
      </c>
      <c r="AA324" s="6">
        <v>0</v>
      </c>
      <c r="AB324" s="6">
        <v>0</v>
      </c>
      <c r="AC324" s="7">
        <v>0</v>
      </c>
      <c r="AD324" s="35">
        <v>3.0999999999999999E-3</v>
      </c>
      <c r="AE324" s="35">
        <f t="shared" si="86"/>
        <v>5.2857142857142851E-3</v>
      </c>
      <c r="AF324" s="34" t="s">
        <v>51</v>
      </c>
      <c r="AG324" s="30" cm="1">
        <f t="array" ref="AG324">DIASQUIEBRE(Q324:AB324)</f>
        <v>0</v>
      </c>
      <c r="AH324" s="30" cm="1">
        <f t="array" ref="AH324">DiasMesesGris(Q324:AB324)</f>
        <v>0</v>
      </c>
      <c r="AI324" s="30">
        <f t="shared" ref="AI324:AI387" si="88">AG324+AH324</f>
        <v>0</v>
      </c>
      <c r="AJ324" s="30">
        <f t="shared" ref="AJ324:AJ387" si="89">360-AI324</f>
        <v>360</v>
      </c>
      <c r="AK324" s="31">
        <f t="shared" ref="AK324:AK387" si="90">SUM(D324:O324)</f>
        <v>1</v>
      </c>
      <c r="AL324" s="32">
        <f t="shared" si="87"/>
        <v>2.7777777777777779E-3</v>
      </c>
    </row>
    <row r="325" spans="1:38" x14ac:dyDescent="0.25">
      <c r="A325" s="1" t="s">
        <v>985</v>
      </c>
      <c r="B325" s="1" t="s">
        <v>986</v>
      </c>
      <c r="C325" s="1" t="s">
        <v>987</v>
      </c>
      <c r="D325" s="3"/>
      <c r="E325" s="3"/>
      <c r="F325" s="3"/>
      <c r="G325" s="5">
        <v>2</v>
      </c>
      <c r="H325" s="3"/>
      <c r="I325" s="3"/>
      <c r="J325" s="3"/>
      <c r="K325" s="3"/>
      <c r="L325" s="5">
        <v>2</v>
      </c>
      <c r="M325" s="3"/>
      <c r="N325" s="5">
        <v>2</v>
      </c>
      <c r="O325" s="3"/>
      <c r="P325" s="3"/>
      <c r="Q325" s="6">
        <v>0</v>
      </c>
      <c r="R325" s="6">
        <v>0</v>
      </c>
      <c r="S325" s="6">
        <v>0</v>
      </c>
      <c r="T325" s="6">
        <v>6.4500000000000002E-2</v>
      </c>
      <c r="U325" s="6">
        <v>0</v>
      </c>
      <c r="V325" s="6">
        <v>0</v>
      </c>
      <c r="W325" s="6">
        <v>0</v>
      </c>
      <c r="X325" s="6">
        <v>0</v>
      </c>
      <c r="Y325" s="6">
        <v>5.8700000000000002E-2</v>
      </c>
      <c r="Z325" s="6">
        <v>0</v>
      </c>
      <c r="AA325" s="6">
        <v>6.1400000000000003E-2</v>
      </c>
      <c r="AB325" s="6">
        <v>0</v>
      </c>
      <c r="AC325" s="7">
        <v>0</v>
      </c>
      <c r="AD325" s="35">
        <v>1.54E-2</v>
      </c>
      <c r="AE325" s="35">
        <f t="shared" si="86"/>
        <v>1.715714285714286E-2</v>
      </c>
      <c r="AF325" s="34" t="s">
        <v>35</v>
      </c>
      <c r="AG325" s="30" cm="1">
        <f t="array" ref="AG325">DIASQUIEBRE(Q325:AB325)</f>
        <v>0</v>
      </c>
      <c r="AH325" s="30" cm="1">
        <f t="array" ref="AH325">DiasMesesGris(Q325:AB325)</f>
        <v>0</v>
      </c>
      <c r="AI325" s="30">
        <f t="shared" si="88"/>
        <v>0</v>
      </c>
      <c r="AJ325" s="30">
        <f t="shared" si="89"/>
        <v>360</v>
      </c>
      <c r="AK325" s="31">
        <f t="shared" si="90"/>
        <v>6</v>
      </c>
      <c r="AL325" s="32">
        <f t="shared" si="87"/>
        <v>1.6666666666666666E-2</v>
      </c>
    </row>
    <row r="326" spans="1:38" x14ac:dyDescent="0.25">
      <c r="A326" s="1" t="s">
        <v>988</v>
      </c>
      <c r="B326" s="1" t="s">
        <v>989</v>
      </c>
      <c r="C326" s="1" t="s">
        <v>990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7">
        <v>0</v>
      </c>
      <c r="AE326" s="35">
        <f t="shared" si="86"/>
        <v>0</v>
      </c>
      <c r="AF326" s="34" t="s">
        <v>35</v>
      </c>
      <c r="AG326" s="30" cm="1">
        <f t="array" ref="AG326">DIASQUIEBRE(Q326:AB326)</f>
        <v>0</v>
      </c>
      <c r="AH326" s="30" cm="1">
        <f t="array" ref="AH326">DiasMesesGris(Q326:AB326)</f>
        <v>360</v>
      </c>
      <c r="AI326" s="30">
        <f t="shared" si="88"/>
        <v>360</v>
      </c>
      <c r="AJ326" s="30">
        <f t="shared" si="89"/>
        <v>0</v>
      </c>
      <c r="AK326" s="31">
        <f t="shared" si="90"/>
        <v>0</v>
      </c>
      <c r="AL326" s="32">
        <f t="shared" si="87"/>
        <v>0</v>
      </c>
    </row>
    <row r="327" spans="1:38" x14ac:dyDescent="0.25">
      <c r="A327" s="1" t="s">
        <v>991</v>
      </c>
      <c r="B327" s="1" t="s">
        <v>992</v>
      </c>
      <c r="C327" s="1" t="s">
        <v>993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7">
        <v>0</v>
      </c>
      <c r="AE327" s="35">
        <f t="shared" si="86"/>
        <v>0</v>
      </c>
      <c r="AF327" s="34" t="s">
        <v>35</v>
      </c>
      <c r="AG327" s="30" cm="1">
        <f t="array" ref="AG327">DIASQUIEBRE(Q327:AB327)</f>
        <v>0</v>
      </c>
      <c r="AH327" s="30" cm="1">
        <f t="array" ref="AH327">DiasMesesGris(Q327:AB327)</f>
        <v>360</v>
      </c>
      <c r="AI327" s="30">
        <f t="shared" si="88"/>
        <v>360</v>
      </c>
      <c r="AJ327" s="30">
        <f t="shared" si="89"/>
        <v>0</v>
      </c>
      <c r="AK327" s="31">
        <f t="shared" si="90"/>
        <v>0</v>
      </c>
      <c r="AL327" s="32">
        <f t="shared" si="87"/>
        <v>0</v>
      </c>
    </row>
    <row r="328" spans="1:38" x14ac:dyDescent="0.25">
      <c r="A328" s="1" t="s">
        <v>994</v>
      </c>
      <c r="B328" s="1" t="s">
        <v>995</v>
      </c>
      <c r="C328" s="1" t="s">
        <v>996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7">
        <v>0</v>
      </c>
      <c r="AE328" s="35">
        <f t="shared" si="86"/>
        <v>0</v>
      </c>
      <c r="AF328" s="34" t="s">
        <v>35</v>
      </c>
      <c r="AG328" s="30" cm="1">
        <f t="array" ref="AG328">DIASQUIEBRE(Q328:AB328)</f>
        <v>0</v>
      </c>
      <c r="AH328" s="30" cm="1">
        <f t="array" ref="AH328">DiasMesesGris(Q328:AB328)</f>
        <v>360</v>
      </c>
      <c r="AI328" s="30">
        <f t="shared" si="88"/>
        <v>360</v>
      </c>
      <c r="AJ328" s="30">
        <f t="shared" si="89"/>
        <v>0</v>
      </c>
      <c r="AK328" s="31">
        <f t="shared" si="90"/>
        <v>0</v>
      </c>
      <c r="AL328" s="32">
        <f t="shared" si="87"/>
        <v>0</v>
      </c>
    </row>
    <row r="329" spans="1:38" x14ac:dyDescent="0.25">
      <c r="A329" s="1" t="s">
        <v>997</v>
      </c>
      <c r="B329" s="1" t="s">
        <v>998</v>
      </c>
      <c r="C329" s="1" t="s">
        <v>999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7">
        <v>0</v>
      </c>
      <c r="AE329" s="35">
        <f t="shared" si="86"/>
        <v>0</v>
      </c>
      <c r="AF329" s="34" t="s">
        <v>35</v>
      </c>
      <c r="AG329" s="30" cm="1">
        <f t="array" ref="AG329">DIASQUIEBRE(Q329:AB329)</f>
        <v>0</v>
      </c>
      <c r="AH329" s="30" cm="1">
        <f t="array" ref="AH329">DiasMesesGris(Q329:AB329)</f>
        <v>360</v>
      </c>
      <c r="AI329" s="30">
        <f t="shared" si="88"/>
        <v>360</v>
      </c>
      <c r="AJ329" s="30">
        <f t="shared" si="89"/>
        <v>0</v>
      </c>
      <c r="AK329" s="31">
        <f t="shared" si="90"/>
        <v>0</v>
      </c>
      <c r="AL329" s="32">
        <f t="shared" si="87"/>
        <v>0</v>
      </c>
    </row>
    <row r="330" spans="1:38" x14ac:dyDescent="0.25">
      <c r="A330" s="1" t="s">
        <v>1000</v>
      </c>
      <c r="B330" s="1" t="s">
        <v>1001</v>
      </c>
      <c r="C330" s="1" t="s">
        <v>1002</v>
      </c>
      <c r="D330" s="5">
        <v>2</v>
      </c>
      <c r="E330" s="5">
        <v>12</v>
      </c>
      <c r="F330" s="5">
        <v>-2</v>
      </c>
      <c r="G330" s="5">
        <v>3</v>
      </c>
      <c r="H330" s="5">
        <v>5</v>
      </c>
      <c r="I330" s="5">
        <v>4</v>
      </c>
      <c r="J330" s="5">
        <v>7</v>
      </c>
      <c r="K330" s="3"/>
      <c r="L330" s="5">
        <v>5</v>
      </c>
      <c r="M330" s="5">
        <v>3</v>
      </c>
      <c r="N330" s="5">
        <v>6</v>
      </c>
      <c r="O330" s="5">
        <v>2</v>
      </c>
      <c r="P330" s="3"/>
      <c r="Q330" s="8">
        <f t="shared" ref="Q330" si="91">D330/30</f>
        <v>6.6666666666666666E-2</v>
      </c>
      <c r="R330" s="8">
        <f t="shared" ref="R330" si="92">E330/30</f>
        <v>0.4</v>
      </c>
      <c r="S330" s="9">
        <v>0</v>
      </c>
      <c r="T330" s="8">
        <f t="shared" ref="T330" si="93">G330/30</f>
        <v>0.1</v>
      </c>
      <c r="U330" s="8">
        <f t="shared" ref="U330" si="94">H330/30</f>
        <v>0.16666666666666666</v>
      </c>
      <c r="V330" s="9">
        <v>0</v>
      </c>
      <c r="W330" s="8">
        <f t="shared" ref="W330:W332" si="95">J330/30</f>
        <v>0.23333333333333334</v>
      </c>
      <c r="X330" s="6">
        <v>0</v>
      </c>
      <c r="Y330" s="6">
        <v>0.14660000000000001</v>
      </c>
      <c r="Z330" s="6">
        <v>0.1111</v>
      </c>
      <c r="AA330" s="6">
        <v>0.18429999999999999</v>
      </c>
      <c r="AB330" s="6">
        <v>5.8000000000000003E-2</v>
      </c>
      <c r="AC330" s="7">
        <v>0</v>
      </c>
      <c r="AD330" s="35">
        <v>0.1</v>
      </c>
      <c r="AE330" s="35">
        <f t="shared" si="86"/>
        <v>0.10476190476190476</v>
      </c>
      <c r="AF330" s="34" t="s">
        <v>35</v>
      </c>
      <c r="AG330" s="30" cm="1">
        <f t="array" ref="AG330">DIASQUIEBRE(Q330:AB330)</f>
        <v>78</v>
      </c>
      <c r="AH330" s="30" cm="1">
        <f t="array" ref="AH330">DiasMesesGris(Q330:AB330)</f>
        <v>60</v>
      </c>
      <c r="AI330" s="30">
        <f t="shared" si="88"/>
        <v>138</v>
      </c>
      <c r="AJ330" s="30">
        <f t="shared" si="89"/>
        <v>222</v>
      </c>
      <c r="AK330" s="31">
        <f t="shared" si="90"/>
        <v>47</v>
      </c>
      <c r="AL330" s="32">
        <f t="shared" si="87"/>
        <v>0.21171171171171171</v>
      </c>
    </row>
    <row r="331" spans="1:38" x14ac:dyDescent="0.25">
      <c r="A331" s="1" t="s">
        <v>1003</v>
      </c>
      <c r="B331" s="1" t="s">
        <v>1004</v>
      </c>
      <c r="C331" s="1" t="s">
        <v>1005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7">
        <v>0</v>
      </c>
      <c r="AE331" s="35">
        <f t="shared" si="86"/>
        <v>0</v>
      </c>
      <c r="AF331" s="34" t="s">
        <v>51</v>
      </c>
      <c r="AG331" s="30" cm="1">
        <f t="array" ref="AG331">DIASQUIEBRE(Q331:AB331)</f>
        <v>0</v>
      </c>
      <c r="AH331" s="30" cm="1">
        <f t="array" ref="AH331">DiasMesesGris(Q331:AB331)</f>
        <v>360</v>
      </c>
      <c r="AI331" s="30">
        <f t="shared" si="88"/>
        <v>360</v>
      </c>
      <c r="AJ331" s="30">
        <f t="shared" si="89"/>
        <v>0</v>
      </c>
      <c r="AK331" s="31">
        <f t="shared" si="90"/>
        <v>0</v>
      </c>
      <c r="AL331" s="32">
        <f t="shared" si="87"/>
        <v>0</v>
      </c>
    </row>
    <row r="332" spans="1:38" x14ac:dyDescent="0.25">
      <c r="A332" s="1" t="s">
        <v>1006</v>
      </c>
      <c r="B332" s="1" t="s">
        <v>1007</v>
      </c>
      <c r="C332" s="1" t="s">
        <v>1008</v>
      </c>
      <c r="D332" s="3"/>
      <c r="E332" s="3"/>
      <c r="F332" s="5">
        <v>7</v>
      </c>
      <c r="G332" s="5">
        <v>2</v>
      </c>
      <c r="H332" s="3"/>
      <c r="I332" s="3"/>
      <c r="J332" s="3"/>
      <c r="K332" s="5">
        <v>6</v>
      </c>
      <c r="L332" s="3"/>
      <c r="M332" s="5">
        <v>5</v>
      </c>
      <c r="N332" s="5">
        <v>1</v>
      </c>
      <c r="O332" s="5">
        <v>2</v>
      </c>
      <c r="P332" s="3"/>
      <c r="Q332" s="9">
        <v>0</v>
      </c>
      <c r="R332" s="9">
        <v>0</v>
      </c>
      <c r="S332" s="8">
        <f t="shared" ref="S332" si="96">F332/30</f>
        <v>0.23333333333333334</v>
      </c>
      <c r="T332" s="9">
        <v>0</v>
      </c>
      <c r="U332" s="9">
        <v>0</v>
      </c>
      <c r="V332" s="9">
        <v>0</v>
      </c>
      <c r="W332" s="8">
        <f t="shared" si="95"/>
        <v>0</v>
      </c>
      <c r="X332" s="6">
        <v>0.25209999999999999</v>
      </c>
      <c r="Y332" s="6">
        <v>0</v>
      </c>
      <c r="Z332" s="8">
        <f t="shared" ref="Z332:AA332" si="97">M332/30</f>
        <v>0.16666666666666666</v>
      </c>
      <c r="AA332" s="8">
        <f t="shared" si="97"/>
        <v>3.3333333333333333E-2</v>
      </c>
      <c r="AB332" s="9">
        <v>0</v>
      </c>
      <c r="AC332" s="7">
        <v>0</v>
      </c>
      <c r="AD332" s="35">
        <v>0.12609999999999999</v>
      </c>
      <c r="AE332" s="35">
        <f t="shared" si="86"/>
        <v>6.4585714285714274E-2</v>
      </c>
      <c r="AF332" s="34" t="s">
        <v>35</v>
      </c>
      <c r="AG332" s="30" cm="1">
        <f t="array" ref="AG332">DIASQUIEBRE(Q332:AB332)</f>
        <v>78</v>
      </c>
      <c r="AH332" s="30" cm="1">
        <f t="array" ref="AH332">DiasMesesGris(Q332:AB332)</f>
        <v>180</v>
      </c>
      <c r="AI332" s="30">
        <f t="shared" si="88"/>
        <v>258</v>
      </c>
      <c r="AJ332" s="30">
        <f t="shared" si="89"/>
        <v>102</v>
      </c>
      <c r="AK332" s="31">
        <f t="shared" si="90"/>
        <v>23</v>
      </c>
      <c r="AL332" s="32">
        <f t="shared" si="87"/>
        <v>0.22549019607843138</v>
      </c>
    </row>
    <row r="333" spans="1:38" x14ac:dyDescent="0.25">
      <c r="A333" s="1" t="s">
        <v>1009</v>
      </c>
      <c r="B333" s="1" t="s">
        <v>1010</v>
      </c>
      <c r="C333" s="1" t="s">
        <v>1011</v>
      </c>
      <c r="D333" s="3"/>
      <c r="E333" s="3"/>
      <c r="F333" s="3"/>
      <c r="G333" s="3"/>
      <c r="H333" s="5">
        <v>1</v>
      </c>
      <c r="I333" s="3"/>
      <c r="J333" s="3"/>
      <c r="K333" s="3"/>
      <c r="L333" s="3"/>
      <c r="M333" s="3"/>
      <c r="N333" s="3"/>
      <c r="O333" s="3"/>
      <c r="P333" s="3"/>
      <c r="Q333" s="6">
        <v>0</v>
      </c>
      <c r="R333" s="6">
        <v>0</v>
      </c>
      <c r="S333" s="6">
        <v>0</v>
      </c>
      <c r="T333" s="6">
        <v>0</v>
      </c>
      <c r="U333" s="6">
        <v>3.3300000000000003E-2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7">
        <v>0</v>
      </c>
      <c r="AD333" s="35">
        <v>2.8E-3</v>
      </c>
      <c r="AE333" s="35">
        <f t="shared" si="86"/>
        <v>0</v>
      </c>
      <c r="AF333" s="34" t="s">
        <v>35</v>
      </c>
      <c r="AG333" s="30" cm="1">
        <f t="array" ref="AG333">DIASQUIEBRE(Q333:AB333)</f>
        <v>0</v>
      </c>
      <c r="AH333" s="30" cm="1">
        <f t="array" ref="AH333">DiasMesesGris(Q333:AB333)</f>
        <v>0</v>
      </c>
      <c r="AI333" s="30">
        <f t="shared" si="88"/>
        <v>0</v>
      </c>
      <c r="AJ333" s="30">
        <f t="shared" si="89"/>
        <v>360</v>
      </c>
      <c r="AK333" s="31">
        <f t="shared" si="90"/>
        <v>1</v>
      </c>
      <c r="AL333" s="32">
        <f t="shared" si="87"/>
        <v>2.7777777777777779E-3</v>
      </c>
    </row>
    <row r="334" spans="1:38" x14ac:dyDescent="0.25">
      <c r="A334" s="1" t="s">
        <v>1012</v>
      </c>
      <c r="B334" s="1" t="s">
        <v>1013</v>
      </c>
      <c r="C334" s="1" t="s">
        <v>1014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7">
        <v>0</v>
      </c>
      <c r="AE334" s="35">
        <f t="shared" si="86"/>
        <v>0</v>
      </c>
      <c r="AF334" s="34" t="s">
        <v>51</v>
      </c>
      <c r="AG334" s="30" cm="1">
        <f t="array" ref="AG334">DIASQUIEBRE(Q334:AB334)</f>
        <v>0</v>
      </c>
      <c r="AH334" s="30" cm="1">
        <f t="array" ref="AH334">DiasMesesGris(Q334:AB334)</f>
        <v>360</v>
      </c>
      <c r="AI334" s="30">
        <f t="shared" si="88"/>
        <v>360</v>
      </c>
      <c r="AJ334" s="30">
        <f t="shared" si="89"/>
        <v>0</v>
      </c>
      <c r="AK334" s="31">
        <f t="shared" si="90"/>
        <v>0</v>
      </c>
      <c r="AL334" s="32">
        <f t="shared" si="87"/>
        <v>0</v>
      </c>
    </row>
    <row r="335" spans="1:38" x14ac:dyDescent="0.25">
      <c r="A335" s="1" t="s">
        <v>1015</v>
      </c>
      <c r="B335" s="1" t="s">
        <v>1016</v>
      </c>
      <c r="C335" s="1" t="s">
        <v>1017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7">
        <v>0</v>
      </c>
      <c r="AE335" s="35">
        <f t="shared" si="86"/>
        <v>0</v>
      </c>
      <c r="AF335" s="34" t="s">
        <v>35</v>
      </c>
      <c r="AG335" s="30" cm="1">
        <f t="array" ref="AG335">DIASQUIEBRE(Q335:AB335)</f>
        <v>0</v>
      </c>
      <c r="AH335" s="30" cm="1">
        <f t="array" ref="AH335">DiasMesesGris(Q335:AB335)</f>
        <v>360</v>
      </c>
      <c r="AI335" s="30">
        <f t="shared" si="88"/>
        <v>360</v>
      </c>
      <c r="AJ335" s="30">
        <f t="shared" si="89"/>
        <v>0</v>
      </c>
      <c r="AK335" s="31">
        <f t="shared" si="90"/>
        <v>0</v>
      </c>
      <c r="AL335" s="32">
        <f t="shared" si="87"/>
        <v>0</v>
      </c>
    </row>
    <row r="336" spans="1:38" x14ac:dyDescent="0.25">
      <c r="A336" s="1" t="s">
        <v>1018</v>
      </c>
      <c r="B336" s="1" t="s">
        <v>1019</v>
      </c>
      <c r="C336" s="1" t="s">
        <v>1020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7">
        <v>0</v>
      </c>
      <c r="AE336" s="35">
        <f t="shared" si="86"/>
        <v>0</v>
      </c>
      <c r="AF336" s="34" t="s">
        <v>35</v>
      </c>
      <c r="AG336" s="30" cm="1">
        <f t="array" ref="AG336">DIASQUIEBRE(Q336:AB336)</f>
        <v>0</v>
      </c>
      <c r="AH336" s="30" cm="1">
        <f t="array" ref="AH336">DiasMesesGris(Q336:AB336)</f>
        <v>360</v>
      </c>
      <c r="AI336" s="30">
        <f t="shared" si="88"/>
        <v>360</v>
      </c>
      <c r="AJ336" s="30">
        <f t="shared" si="89"/>
        <v>0</v>
      </c>
      <c r="AK336" s="31">
        <f t="shared" si="90"/>
        <v>0</v>
      </c>
      <c r="AL336" s="32">
        <f t="shared" si="87"/>
        <v>0</v>
      </c>
    </row>
    <row r="337" spans="1:38" x14ac:dyDescent="0.25">
      <c r="A337" s="1" t="s">
        <v>1021</v>
      </c>
      <c r="B337" s="1" t="s">
        <v>1022</v>
      </c>
      <c r="C337" s="1" t="s">
        <v>1023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7">
        <v>0</v>
      </c>
      <c r="AE337" s="35">
        <f t="shared" si="86"/>
        <v>0</v>
      </c>
      <c r="AF337" s="34" t="s">
        <v>35</v>
      </c>
      <c r="AG337" s="30" cm="1">
        <f t="array" ref="AG337">DIASQUIEBRE(Q337:AB337)</f>
        <v>0</v>
      </c>
      <c r="AH337" s="30" cm="1">
        <f t="array" ref="AH337">DiasMesesGris(Q337:AB337)</f>
        <v>360</v>
      </c>
      <c r="AI337" s="30">
        <f t="shared" si="88"/>
        <v>360</v>
      </c>
      <c r="AJ337" s="30">
        <f t="shared" si="89"/>
        <v>0</v>
      </c>
      <c r="AK337" s="31">
        <f t="shared" si="90"/>
        <v>0</v>
      </c>
      <c r="AL337" s="32">
        <f t="shared" si="87"/>
        <v>0</v>
      </c>
    </row>
    <row r="338" spans="1:38" x14ac:dyDescent="0.25">
      <c r="A338" s="1" t="s">
        <v>1024</v>
      </c>
      <c r="B338" s="1" t="s">
        <v>1025</v>
      </c>
      <c r="C338" s="1" t="s">
        <v>1026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7">
        <v>0</v>
      </c>
      <c r="AE338" s="35">
        <f t="shared" si="86"/>
        <v>0</v>
      </c>
      <c r="AF338" s="34" t="s">
        <v>35</v>
      </c>
      <c r="AG338" s="30" cm="1">
        <f t="array" ref="AG338">DIASQUIEBRE(Q338:AB338)</f>
        <v>0</v>
      </c>
      <c r="AH338" s="30" cm="1">
        <f t="array" ref="AH338">DiasMesesGris(Q338:AB338)</f>
        <v>360</v>
      </c>
      <c r="AI338" s="30">
        <f t="shared" si="88"/>
        <v>360</v>
      </c>
      <c r="AJ338" s="30">
        <f t="shared" si="89"/>
        <v>0</v>
      </c>
      <c r="AK338" s="31">
        <f t="shared" si="90"/>
        <v>0</v>
      </c>
      <c r="AL338" s="32">
        <f t="shared" si="87"/>
        <v>0</v>
      </c>
    </row>
    <row r="339" spans="1:38" x14ac:dyDescent="0.25">
      <c r="A339" s="1" t="s">
        <v>1027</v>
      </c>
      <c r="B339" s="1" t="s">
        <v>1028</v>
      </c>
      <c r="C339" s="1" t="s">
        <v>1029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5">
        <v>1</v>
      </c>
      <c r="O339" s="3"/>
      <c r="P339" s="3"/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3.0700000000000002E-2</v>
      </c>
      <c r="AB339" s="6">
        <v>0</v>
      </c>
      <c r="AC339" s="7">
        <v>0</v>
      </c>
      <c r="AD339" s="35">
        <v>2.5999999999999999E-3</v>
      </c>
      <c r="AE339" s="35">
        <f t="shared" si="86"/>
        <v>4.3857142857142862E-3</v>
      </c>
      <c r="AF339" s="34" t="s">
        <v>35</v>
      </c>
      <c r="AG339" s="30" cm="1">
        <f t="array" ref="AG339">DIASQUIEBRE(Q339:AB339)</f>
        <v>0</v>
      </c>
      <c r="AH339" s="30" cm="1">
        <f t="array" ref="AH339">DiasMesesGris(Q339:AB339)</f>
        <v>0</v>
      </c>
      <c r="AI339" s="30">
        <f t="shared" si="88"/>
        <v>0</v>
      </c>
      <c r="AJ339" s="30">
        <f t="shared" si="89"/>
        <v>360</v>
      </c>
      <c r="AK339" s="31">
        <f t="shared" si="90"/>
        <v>1</v>
      </c>
      <c r="AL339" s="32">
        <f t="shared" si="87"/>
        <v>2.7777777777777779E-3</v>
      </c>
    </row>
    <row r="340" spans="1:38" x14ac:dyDescent="0.25">
      <c r="A340" s="1" t="s">
        <v>1030</v>
      </c>
      <c r="B340" s="1" t="s">
        <v>1031</v>
      </c>
      <c r="C340" s="1" t="s">
        <v>1032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7">
        <v>0</v>
      </c>
      <c r="AE340" s="35">
        <f t="shared" si="86"/>
        <v>0</v>
      </c>
      <c r="AF340" s="34" t="s">
        <v>35</v>
      </c>
      <c r="AG340" s="30" cm="1">
        <f t="array" ref="AG340">DIASQUIEBRE(Q340:AB340)</f>
        <v>0</v>
      </c>
      <c r="AH340" s="30" cm="1">
        <f t="array" ref="AH340">DiasMesesGris(Q340:AB340)</f>
        <v>360</v>
      </c>
      <c r="AI340" s="30">
        <f t="shared" si="88"/>
        <v>360</v>
      </c>
      <c r="AJ340" s="30">
        <f t="shared" si="89"/>
        <v>0</v>
      </c>
      <c r="AK340" s="31">
        <f t="shared" si="90"/>
        <v>0</v>
      </c>
      <c r="AL340" s="32">
        <f t="shared" si="87"/>
        <v>0</v>
      </c>
    </row>
    <row r="341" spans="1:38" x14ac:dyDescent="0.25">
      <c r="A341" s="1" t="s">
        <v>1033</v>
      </c>
      <c r="B341" s="1" t="s">
        <v>1034</v>
      </c>
      <c r="C341" s="1"/>
      <c r="D341" s="3"/>
      <c r="E341" s="3"/>
      <c r="F341" s="3"/>
      <c r="G341" s="3"/>
      <c r="H341" s="3"/>
      <c r="I341" s="3"/>
      <c r="J341" s="5">
        <v>1</v>
      </c>
      <c r="K341" s="3"/>
      <c r="L341" s="3"/>
      <c r="M341" s="3"/>
      <c r="N341" s="3"/>
      <c r="O341" s="3"/>
      <c r="P341" s="3"/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7">
        <v>0</v>
      </c>
      <c r="AE341" s="35">
        <f t="shared" si="86"/>
        <v>0</v>
      </c>
      <c r="AF341" s="34" t="s">
        <v>51</v>
      </c>
      <c r="AG341" s="30" cm="1">
        <f t="array" ref="AG341">DIASQUIEBRE(Q341:AB341)</f>
        <v>0</v>
      </c>
      <c r="AH341" s="30" cm="1">
        <f t="array" ref="AH341">DiasMesesGris(Q341:AB341)</f>
        <v>360</v>
      </c>
      <c r="AI341" s="30">
        <f t="shared" si="88"/>
        <v>360</v>
      </c>
      <c r="AJ341" s="30">
        <f t="shared" si="89"/>
        <v>0</v>
      </c>
      <c r="AK341" s="31">
        <f t="shared" si="90"/>
        <v>1</v>
      </c>
      <c r="AL341" s="32">
        <f t="shared" si="87"/>
        <v>0</v>
      </c>
    </row>
    <row r="342" spans="1:38" x14ac:dyDescent="0.25">
      <c r="A342" s="1" t="s">
        <v>1035</v>
      </c>
      <c r="B342" s="1" t="s">
        <v>1036</v>
      </c>
      <c r="C342" s="1" t="s">
        <v>1037</v>
      </c>
      <c r="D342" s="5">
        <v>4</v>
      </c>
      <c r="E342" s="5">
        <v>7</v>
      </c>
      <c r="F342" s="5">
        <v>5</v>
      </c>
      <c r="G342" s="5">
        <v>1</v>
      </c>
      <c r="H342" s="5">
        <v>3</v>
      </c>
      <c r="I342" s="5">
        <v>7</v>
      </c>
      <c r="J342" s="5">
        <v>5</v>
      </c>
      <c r="K342" s="5">
        <v>14</v>
      </c>
      <c r="L342" s="5">
        <v>10</v>
      </c>
      <c r="M342" s="5">
        <v>5</v>
      </c>
      <c r="N342" s="5">
        <v>5</v>
      </c>
      <c r="O342" s="5">
        <v>5</v>
      </c>
      <c r="P342" s="3"/>
      <c r="Q342" s="6">
        <v>0.129</v>
      </c>
      <c r="R342" s="6">
        <v>0.2258</v>
      </c>
      <c r="S342" s="6">
        <v>0.1449</v>
      </c>
      <c r="T342" s="6">
        <v>3.2300000000000002E-2</v>
      </c>
      <c r="U342" s="6">
        <v>0.1</v>
      </c>
      <c r="V342" s="6">
        <v>0.2258</v>
      </c>
      <c r="W342" s="6">
        <v>0.2016</v>
      </c>
      <c r="X342" s="6">
        <v>0.58819999999999995</v>
      </c>
      <c r="Y342" s="8">
        <f t="shared" ref="Y342" si="98">L342/30</f>
        <v>0.33333333333333331</v>
      </c>
      <c r="Z342" s="8">
        <f t="shared" ref="Z342" si="99">M342/30</f>
        <v>0.16666666666666666</v>
      </c>
      <c r="AA342" s="8">
        <f t="shared" ref="AA342" si="100">N342/30</f>
        <v>0.16666666666666666</v>
      </c>
      <c r="AB342" s="8">
        <f t="shared" ref="AB342" si="101">O342/30</f>
        <v>0.16666666666666666</v>
      </c>
      <c r="AC342" s="7">
        <v>0</v>
      </c>
      <c r="AD342" s="35">
        <v>0.20599999999999999</v>
      </c>
      <c r="AE342" s="35">
        <f t="shared" si="86"/>
        <v>0.26413333333333339</v>
      </c>
      <c r="AF342" s="34" t="s">
        <v>35</v>
      </c>
      <c r="AG342" s="30" cm="1">
        <f t="array" ref="AG342">DIASQUIEBRE(Q342:AB342)</f>
        <v>61</v>
      </c>
      <c r="AH342" s="30" cm="1">
        <f t="array" ref="AH342">DiasMesesGris(Q342:AB342)</f>
        <v>0</v>
      </c>
      <c r="AI342" s="30">
        <f t="shared" si="88"/>
        <v>61</v>
      </c>
      <c r="AJ342" s="30">
        <f t="shared" si="89"/>
        <v>299</v>
      </c>
      <c r="AK342" s="31">
        <f t="shared" si="90"/>
        <v>71</v>
      </c>
      <c r="AL342" s="32">
        <f t="shared" si="87"/>
        <v>0.23745819397993312</v>
      </c>
    </row>
    <row r="343" spans="1:38" x14ac:dyDescent="0.25">
      <c r="A343" s="1" t="s">
        <v>1038</v>
      </c>
      <c r="B343" s="1" t="s">
        <v>1039</v>
      </c>
      <c r="C343" s="1" t="s">
        <v>1040</v>
      </c>
      <c r="D343" s="3"/>
      <c r="E343" s="5">
        <v>1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6">
        <v>0</v>
      </c>
      <c r="R343" s="6">
        <v>3.2300000000000002E-2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7">
        <v>0</v>
      </c>
      <c r="AD343" s="35">
        <v>2.7000000000000001E-3</v>
      </c>
      <c r="AE343" s="35">
        <f t="shared" si="86"/>
        <v>0</v>
      </c>
      <c r="AF343" s="34" t="s">
        <v>35</v>
      </c>
      <c r="AG343" s="30" cm="1">
        <f t="array" ref="AG343">DIASQUIEBRE(Q343:AB343)</f>
        <v>0</v>
      </c>
      <c r="AH343" s="30" cm="1">
        <f t="array" ref="AH343">DiasMesesGris(Q343:AB343)</f>
        <v>0</v>
      </c>
      <c r="AI343" s="30">
        <f t="shared" si="88"/>
        <v>0</v>
      </c>
      <c r="AJ343" s="30">
        <f t="shared" si="89"/>
        <v>360</v>
      </c>
      <c r="AK343" s="31">
        <f t="shared" si="90"/>
        <v>1</v>
      </c>
      <c r="AL343" s="32">
        <f t="shared" si="87"/>
        <v>2.7777777777777779E-3</v>
      </c>
    </row>
    <row r="344" spans="1:38" x14ac:dyDescent="0.25">
      <c r="A344" s="1" t="s">
        <v>1041</v>
      </c>
      <c r="B344" s="1" t="s">
        <v>1042</v>
      </c>
      <c r="C344" s="1" t="s">
        <v>1043</v>
      </c>
      <c r="D344" s="3"/>
      <c r="E344" s="5">
        <v>1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7">
        <v>0</v>
      </c>
      <c r="AE344" s="35">
        <f t="shared" si="86"/>
        <v>0</v>
      </c>
      <c r="AF344" s="34" t="s">
        <v>35</v>
      </c>
      <c r="AG344" s="30" cm="1">
        <f t="array" ref="AG344">DIASQUIEBRE(Q344:AB344)</f>
        <v>0</v>
      </c>
      <c r="AH344" s="30" cm="1">
        <f t="array" ref="AH344">DiasMesesGris(Q344:AB344)</f>
        <v>360</v>
      </c>
      <c r="AI344" s="30">
        <f t="shared" si="88"/>
        <v>360</v>
      </c>
      <c r="AJ344" s="30">
        <f t="shared" si="89"/>
        <v>0</v>
      </c>
      <c r="AK344" s="31">
        <f t="shared" si="90"/>
        <v>1</v>
      </c>
      <c r="AL344" s="32">
        <f t="shared" si="87"/>
        <v>0</v>
      </c>
    </row>
    <row r="345" spans="1:38" x14ac:dyDescent="0.25">
      <c r="A345" s="1" t="s">
        <v>1044</v>
      </c>
      <c r="B345" s="1" t="s">
        <v>1045</v>
      </c>
      <c r="C345" s="1" t="s">
        <v>1046</v>
      </c>
      <c r="D345" s="3"/>
      <c r="E345" s="5">
        <v>1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7">
        <v>0</v>
      </c>
      <c r="AE345" s="35">
        <f t="shared" si="86"/>
        <v>0</v>
      </c>
      <c r="AF345" s="34" t="s">
        <v>35</v>
      </c>
      <c r="AG345" s="30" cm="1">
        <f t="array" ref="AG345">DIASQUIEBRE(Q345:AB345)</f>
        <v>0</v>
      </c>
      <c r="AH345" s="30" cm="1">
        <f t="array" ref="AH345">DiasMesesGris(Q345:AB345)</f>
        <v>360</v>
      </c>
      <c r="AI345" s="30">
        <f t="shared" si="88"/>
        <v>360</v>
      </c>
      <c r="AJ345" s="30">
        <f t="shared" si="89"/>
        <v>0</v>
      </c>
      <c r="AK345" s="31">
        <f t="shared" si="90"/>
        <v>1</v>
      </c>
      <c r="AL345" s="32">
        <f t="shared" si="87"/>
        <v>0</v>
      </c>
    </row>
    <row r="346" spans="1:38" x14ac:dyDescent="0.25">
      <c r="A346" s="1" t="s">
        <v>1047</v>
      </c>
      <c r="B346" s="1" t="s">
        <v>1048</v>
      </c>
      <c r="C346" s="1" t="s">
        <v>1049</v>
      </c>
      <c r="D346" s="3"/>
      <c r="E346" s="5">
        <v>1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7">
        <v>0</v>
      </c>
      <c r="AE346" s="35">
        <f t="shared" si="86"/>
        <v>0</v>
      </c>
      <c r="AF346" s="34" t="s">
        <v>35</v>
      </c>
      <c r="AG346" s="30" cm="1">
        <f t="array" ref="AG346">DIASQUIEBRE(Q346:AB346)</f>
        <v>0</v>
      </c>
      <c r="AH346" s="30" cm="1">
        <f t="array" ref="AH346">DiasMesesGris(Q346:AB346)</f>
        <v>360</v>
      </c>
      <c r="AI346" s="30">
        <f t="shared" si="88"/>
        <v>360</v>
      </c>
      <c r="AJ346" s="30">
        <f t="shared" si="89"/>
        <v>0</v>
      </c>
      <c r="AK346" s="31">
        <f t="shared" si="90"/>
        <v>1</v>
      </c>
      <c r="AL346" s="32">
        <f t="shared" si="87"/>
        <v>0</v>
      </c>
    </row>
    <row r="347" spans="1:38" x14ac:dyDescent="0.25">
      <c r="A347" s="1" t="s">
        <v>1050</v>
      </c>
      <c r="B347" s="1" t="s">
        <v>1051</v>
      </c>
      <c r="C347" s="1" t="s">
        <v>1052</v>
      </c>
      <c r="D347" s="3"/>
      <c r="E347" s="3"/>
      <c r="F347" s="5">
        <v>3</v>
      </c>
      <c r="G347" s="3"/>
      <c r="H347" s="3"/>
      <c r="I347" s="3"/>
      <c r="J347" s="3"/>
      <c r="K347" s="3"/>
      <c r="L347" s="3"/>
      <c r="M347" s="3"/>
      <c r="N347" s="5">
        <v>1</v>
      </c>
      <c r="O347" s="3"/>
      <c r="P347" s="3"/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7">
        <v>0</v>
      </c>
      <c r="AE347" s="35">
        <f t="shared" si="86"/>
        <v>0</v>
      </c>
      <c r="AF347" s="34" t="s">
        <v>35</v>
      </c>
      <c r="AG347" s="30" cm="1">
        <f t="array" ref="AG347">DIASQUIEBRE(Q347:AB347)</f>
        <v>0</v>
      </c>
      <c r="AH347" s="30" cm="1">
        <f t="array" ref="AH347">DiasMesesGris(Q347:AB347)</f>
        <v>360</v>
      </c>
      <c r="AI347" s="30">
        <f t="shared" si="88"/>
        <v>360</v>
      </c>
      <c r="AJ347" s="30">
        <f t="shared" si="89"/>
        <v>0</v>
      </c>
      <c r="AK347" s="31">
        <f t="shared" si="90"/>
        <v>4</v>
      </c>
      <c r="AL347" s="32">
        <f t="shared" si="87"/>
        <v>0</v>
      </c>
    </row>
    <row r="348" spans="1:38" x14ac:dyDescent="0.25">
      <c r="A348" s="1" t="s">
        <v>1053</v>
      </c>
      <c r="B348" s="1" t="s">
        <v>1054</v>
      </c>
      <c r="C348" s="1" t="s">
        <v>1055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7">
        <v>0</v>
      </c>
      <c r="AE348" s="35">
        <f t="shared" si="86"/>
        <v>0</v>
      </c>
      <c r="AF348" s="34" t="s">
        <v>35</v>
      </c>
      <c r="AG348" s="30" cm="1">
        <f t="array" ref="AG348">DIASQUIEBRE(Q348:AB348)</f>
        <v>0</v>
      </c>
      <c r="AH348" s="30" cm="1">
        <f t="array" ref="AH348">DiasMesesGris(Q348:AB348)</f>
        <v>360</v>
      </c>
      <c r="AI348" s="30">
        <f t="shared" si="88"/>
        <v>360</v>
      </c>
      <c r="AJ348" s="30">
        <f t="shared" si="89"/>
        <v>0</v>
      </c>
      <c r="AK348" s="31">
        <f t="shared" si="90"/>
        <v>0</v>
      </c>
      <c r="AL348" s="32">
        <f t="shared" si="87"/>
        <v>0</v>
      </c>
    </row>
    <row r="349" spans="1:38" x14ac:dyDescent="0.25">
      <c r="A349" s="1" t="s">
        <v>1056</v>
      </c>
      <c r="B349" s="1" t="s">
        <v>1057</v>
      </c>
      <c r="C349" s="1" t="s">
        <v>1058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7">
        <v>0</v>
      </c>
      <c r="AE349" s="35">
        <f t="shared" si="86"/>
        <v>0</v>
      </c>
      <c r="AF349" s="34" t="s">
        <v>51</v>
      </c>
      <c r="AG349" s="30" cm="1">
        <f t="array" ref="AG349">DIASQUIEBRE(Q349:AB349)</f>
        <v>0</v>
      </c>
      <c r="AH349" s="30" cm="1">
        <f t="array" ref="AH349">DiasMesesGris(Q349:AB349)</f>
        <v>360</v>
      </c>
      <c r="AI349" s="30">
        <f t="shared" si="88"/>
        <v>360</v>
      </c>
      <c r="AJ349" s="30">
        <f t="shared" si="89"/>
        <v>0</v>
      </c>
      <c r="AK349" s="31">
        <f t="shared" si="90"/>
        <v>0</v>
      </c>
      <c r="AL349" s="32">
        <f t="shared" si="87"/>
        <v>0</v>
      </c>
    </row>
    <row r="350" spans="1:38" x14ac:dyDescent="0.25">
      <c r="A350" s="1" t="s">
        <v>1059</v>
      </c>
      <c r="B350" s="1" t="s">
        <v>1060</v>
      </c>
      <c r="C350" s="1" t="s">
        <v>1061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7">
        <v>0</v>
      </c>
      <c r="AE350" s="35">
        <f t="shared" si="86"/>
        <v>0</v>
      </c>
      <c r="AF350" s="34" t="s">
        <v>51</v>
      </c>
      <c r="AG350" s="30" cm="1">
        <f t="array" ref="AG350">DIASQUIEBRE(Q350:AB350)</f>
        <v>0</v>
      </c>
      <c r="AH350" s="30" cm="1">
        <f t="array" ref="AH350">DiasMesesGris(Q350:AB350)</f>
        <v>360</v>
      </c>
      <c r="AI350" s="30">
        <f t="shared" si="88"/>
        <v>360</v>
      </c>
      <c r="AJ350" s="30">
        <f t="shared" si="89"/>
        <v>0</v>
      </c>
      <c r="AK350" s="31">
        <f t="shared" si="90"/>
        <v>0</v>
      </c>
      <c r="AL350" s="32">
        <f t="shared" si="87"/>
        <v>0</v>
      </c>
    </row>
    <row r="351" spans="1:38" x14ac:dyDescent="0.25">
      <c r="A351" s="1" t="s">
        <v>1062</v>
      </c>
      <c r="B351" s="1" t="s">
        <v>1063</v>
      </c>
      <c r="C351" s="1" t="s">
        <v>1064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7">
        <v>0</v>
      </c>
      <c r="AE351" s="35">
        <f t="shared" si="86"/>
        <v>0</v>
      </c>
      <c r="AF351" s="34" t="s">
        <v>35</v>
      </c>
      <c r="AG351" s="30" cm="1">
        <f t="array" ref="AG351">DIASQUIEBRE(Q351:AB351)</f>
        <v>0</v>
      </c>
      <c r="AH351" s="30" cm="1">
        <f t="array" ref="AH351">DiasMesesGris(Q351:AB351)</f>
        <v>360</v>
      </c>
      <c r="AI351" s="30">
        <f t="shared" si="88"/>
        <v>360</v>
      </c>
      <c r="AJ351" s="30">
        <f t="shared" si="89"/>
        <v>0</v>
      </c>
      <c r="AK351" s="31">
        <f t="shared" si="90"/>
        <v>0</v>
      </c>
      <c r="AL351" s="32">
        <f t="shared" si="87"/>
        <v>0</v>
      </c>
    </row>
    <row r="352" spans="1:38" x14ac:dyDescent="0.25">
      <c r="A352" s="1" t="s">
        <v>1065</v>
      </c>
      <c r="B352" s="1" t="s">
        <v>1066</v>
      </c>
      <c r="C352" s="1" t="s">
        <v>1067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7">
        <v>0</v>
      </c>
      <c r="AE352" s="35">
        <f t="shared" si="86"/>
        <v>0</v>
      </c>
      <c r="AF352" s="34" t="s">
        <v>35</v>
      </c>
      <c r="AG352" s="30" cm="1">
        <f t="array" ref="AG352">DIASQUIEBRE(Q352:AB352)</f>
        <v>0</v>
      </c>
      <c r="AH352" s="30" cm="1">
        <f t="array" ref="AH352">DiasMesesGris(Q352:AB352)</f>
        <v>360</v>
      </c>
      <c r="AI352" s="30">
        <f t="shared" si="88"/>
        <v>360</v>
      </c>
      <c r="AJ352" s="30">
        <f t="shared" si="89"/>
        <v>0</v>
      </c>
      <c r="AK352" s="31">
        <f t="shared" si="90"/>
        <v>0</v>
      </c>
      <c r="AL352" s="32">
        <f t="shared" si="87"/>
        <v>0</v>
      </c>
    </row>
    <row r="353" spans="1:38" x14ac:dyDescent="0.25">
      <c r="A353" s="1" t="s">
        <v>1068</v>
      </c>
      <c r="B353" s="1" t="s">
        <v>1069</v>
      </c>
      <c r="C353" s="1" t="s">
        <v>1070</v>
      </c>
      <c r="D353" s="3"/>
      <c r="E353" s="5">
        <v>1</v>
      </c>
      <c r="F353" s="3"/>
      <c r="G353" s="5">
        <v>1</v>
      </c>
      <c r="H353" s="5">
        <v>6</v>
      </c>
      <c r="I353" s="3"/>
      <c r="J353" s="3"/>
      <c r="K353" s="3"/>
      <c r="L353" s="3"/>
      <c r="M353" s="5">
        <v>1</v>
      </c>
      <c r="N353" s="3"/>
      <c r="O353" s="3"/>
      <c r="P353" s="3"/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7">
        <v>0</v>
      </c>
      <c r="AE353" s="35">
        <f t="shared" si="86"/>
        <v>0</v>
      </c>
      <c r="AF353" s="34" t="s">
        <v>35</v>
      </c>
      <c r="AG353" s="30" cm="1">
        <f t="array" ref="AG353">DIASQUIEBRE(Q353:AB353)</f>
        <v>0</v>
      </c>
      <c r="AH353" s="30" cm="1">
        <f t="array" ref="AH353">DiasMesesGris(Q353:AB353)</f>
        <v>360</v>
      </c>
      <c r="AI353" s="30">
        <f t="shared" si="88"/>
        <v>360</v>
      </c>
      <c r="AJ353" s="30">
        <f t="shared" si="89"/>
        <v>0</v>
      </c>
      <c r="AK353" s="31">
        <f t="shared" si="90"/>
        <v>9</v>
      </c>
      <c r="AL353" s="32">
        <f t="shared" si="87"/>
        <v>0</v>
      </c>
    </row>
    <row r="354" spans="1:38" x14ac:dyDescent="0.25">
      <c r="A354" s="1" t="s">
        <v>1071</v>
      </c>
      <c r="B354" s="1" t="s">
        <v>1072</v>
      </c>
      <c r="C354" s="1" t="s">
        <v>1073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7">
        <v>0</v>
      </c>
      <c r="AE354" s="35">
        <f t="shared" si="86"/>
        <v>0</v>
      </c>
      <c r="AF354" s="34" t="s">
        <v>35</v>
      </c>
      <c r="AG354" s="30" cm="1">
        <f t="array" ref="AG354">DIASQUIEBRE(Q354:AB354)</f>
        <v>0</v>
      </c>
      <c r="AH354" s="30" cm="1">
        <f t="array" ref="AH354">DiasMesesGris(Q354:AB354)</f>
        <v>360</v>
      </c>
      <c r="AI354" s="30">
        <f t="shared" si="88"/>
        <v>360</v>
      </c>
      <c r="AJ354" s="30">
        <f t="shared" si="89"/>
        <v>0</v>
      </c>
      <c r="AK354" s="31">
        <f t="shared" si="90"/>
        <v>0</v>
      </c>
      <c r="AL354" s="32">
        <f t="shared" si="87"/>
        <v>0</v>
      </c>
    </row>
    <row r="355" spans="1:38" x14ac:dyDescent="0.25">
      <c r="A355" s="1" t="s">
        <v>1074</v>
      </c>
      <c r="B355" s="1" t="s">
        <v>1075</v>
      </c>
      <c r="C355" s="1" t="s">
        <v>1076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7">
        <v>0</v>
      </c>
      <c r="AE355" s="35">
        <f t="shared" si="86"/>
        <v>0</v>
      </c>
      <c r="AF355" s="34" t="s">
        <v>35</v>
      </c>
      <c r="AG355" s="30" cm="1">
        <f t="array" ref="AG355">DIASQUIEBRE(Q355:AB355)</f>
        <v>0</v>
      </c>
      <c r="AH355" s="30" cm="1">
        <f t="array" ref="AH355">DiasMesesGris(Q355:AB355)</f>
        <v>360</v>
      </c>
      <c r="AI355" s="30">
        <f t="shared" si="88"/>
        <v>360</v>
      </c>
      <c r="AJ355" s="30">
        <f t="shared" si="89"/>
        <v>0</v>
      </c>
      <c r="AK355" s="31">
        <f t="shared" si="90"/>
        <v>0</v>
      </c>
      <c r="AL355" s="32">
        <f t="shared" si="87"/>
        <v>0</v>
      </c>
    </row>
    <row r="356" spans="1:38" x14ac:dyDescent="0.25">
      <c r="A356" s="1" t="s">
        <v>1077</v>
      </c>
      <c r="B356" s="1" t="s">
        <v>1078</v>
      </c>
      <c r="C356" s="1" t="s">
        <v>1079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7">
        <v>0</v>
      </c>
      <c r="AE356" s="35">
        <f t="shared" si="86"/>
        <v>0</v>
      </c>
      <c r="AF356" s="34" t="s">
        <v>35</v>
      </c>
      <c r="AG356" s="30" cm="1">
        <f t="array" ref="AG356">DIASQUIEBRE(Q356:AB356)</f>
        <v>0</v>
      </c>
      <c r="AH356" s="30" cm="1">
        <f t="array" ref="AH356">DiasMesesGris(Q356:AB356)</f>
        <v>360</v>
      </c>
      <c r="AI356" s="30">
        <f t="shared" si="88"/>
        <v>360</v>
      </c>
      <c r="AJ356" s="30">
        <f t="shared" si="89"/>
        <v>0</v>
      </c>
      <c r="AK356" s="31">
        <f t="shared" si="90"/>
        <v>0</v>
      </c>
      <c r="AL356" s="32">
        <f t="shared" si="87"/>
        <v>0</v>
      </c>
    </row>
    <row r="357" spans="1:38" x14ac:dyDescent="0.25">
      <c r="A357" s="1" t="s">
        <v>1080</v>
      </c>
      <c r="B357" s="1" t="s">
        <v>1081</v>
      </c>
      <c r="C357" s="1" t="s">
        <v>1082</v>
      </c>
      <c r="D357" s="5">
        <v>1</v>
      </c>
      <c r="E357" s="3"/>
      <c r="F357" s="5">
        <v>2</v>
      </c>
      <c r="G357" s="5">
        <v>2</v>
      </c>
      <c r="H357" s="3"/>
      <c r="I357" s="3"/>
      <c r="J357" s="5">
        <v>2</v>
      </c>
      <c r="K357" s="3"/>
      <c r="L357" s="3"/>
      <c r="M357" s="5">
        <v>1</v>
      </c>
      <c r="N357" s="5">
        <v>2</v>
      </c>
      <c r="O357" s="3"/>
      <c r="P357" s="3"/>
      <c r="Q357" s="8">
        <f t="shared" ref="Q357" si="102">D357/30</f>
        <v>3.3333333333333333E-2</v>
      </c>
      <c r="R357" s="6">
        <v>0</v>
      </c>
      <c r="S357" s="6">
        <v>5.8000000000000003E-2</v>
      </c>
      <c r="T357" s="6">
        <v>6.4500000000000002E-2</v>
      </c>
      <c r="U357" s="6">
        <v>0</v>
      </c>
      <c r="V357" s="6">
        <v>0</v>
      </c>
      <c r="W357" s="6">
        <v>8.0600000000000005E-2</v>
      </c>
      <c r="X357" s="6">
        <v>0</v>
      </c>
      <c r="Y357" s="6">
        <v>0</v>
      </c>
      <c r="Z357" s="6">
        <v>3.6999999999999998E-2</v>
      </c>
      <c r="AA357" s="8">
        <f t="shared" ref="AA357" si="103">N357/30</f>
        <v>6.6666666666666666E-2</v>
      </c>
      <c r="AB357" s="9">
        <v>0</v>
      </c>
      <c r="AC357" s="7">
        <v>0</v>
      </c>
      <c r="AD357" s="35">
        <v>2.6700000000000002E-2</v>
      </c>
      <c r="AE357" s="35">
        <f t="shared" si="86"/>
        <v>2.6323809523809527E-2</v>
      </c>
      <c r="AF357" s="34" t="s">
        <v>35</v>
      </c>
      <c r="AG357" s="30" cm="1">
        <f t="array" ref="AG357">DIASQUIEBRE(Q357:AB357)</f>
        <v>46</v>
      </c>
      <c r="AH357" s="30" cm="1">
        <f t="array" ref="AH357">DiasMesesGris(Q357:AB357)</f>
        <v>30</v>
      </c>
      <c r="AI357" s="30">
        <f t="shared" si="88"/>
        <v>76</v>
      </c>
      <c r="AJ357" s="30">
        <f t="shared" si="89"/>
        <v>284</v>
      </c>
      <c r="AK357" s="31">
        <f t="shared" si="90"/>
        <v>10</v>
      </c>
      <c r="AL357" s="32">
        <f t="shared" si="87"/>
        <v>3.5211267605633804E-2</v>
      </c>
    </row>
    <row r="358" spans="1:38" x14ac:dyDescent="0.25">
      <c r="A358" s="1" t="s">
        <v>1083</v>
      </c>
      <c r="B358" s="1" t="s">
        <v>1084</v>
      </c>
      <c r="C358" s="1" t="s">
        <v>1085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7">
        <v>0</v>
      </c>
      <c r="AE358" s="35">
        <f t="shared" si="86"/>
        <v>0</v>
      </c>
      <c r="AF358" s="34" t="s">
        <v>35</v>
      </c>
      <c r="AG358" s="30" cm="1">
        <f t="array" ref="AG358">DIASQUIEBRE(Q358:AB358)</f>
        <v>0</v>
      </c>
      <c r="AH358" s="30" cm="1">
        <f t="array" ref="AH358">DiasMesesGris(Q358:AB358)</f>
        <v>360</v>
      </c>
      <c r="AI358" s="30">
        <f t="shared" si="88"/>
        <v>360</v>
      </c>
      <c r="AJ358" s="30">
        <f t="shared" si="89"/>
        <v>0</v>
      </c>
      <c r="AK358" s="31">
        <f t="shared" si="90"/>
        <v>0</v>
      </c>
      <c r="AL358" s="32">
        <f t="shared" si="87"/>
        <v>0</v>
      </c>
    </row>
    <row r="359" spans="1:38" x14ac:dyDescent="0.25">
      <c r="A359" s="1" t="s">
        <v>1086</v>
      </c>
      <c r="B359" s="1" t="s">
        <v>1087</v>
      </c>
      <c r="C359" s="1" t="s">
        <v>1088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7">
        <v>0</v>
      </c>
      <c r="AE359" s="35">
        <f t="shared" si="86"/>
        <v>0</v>
      </c>
      <c r="AF359" s="34" t="s">
        <v>35</v>
      </c>
      <c r="AG359" s="30" cm="1">
        <f t="array" ref="AG359">DIASQUIEBRE(Q359:AB359)</f>
        <v>0</v>
      </c>
      <c r="AH359" s="30" cm="1">
        <f t="array" ref="AH359">DiasMesesGris(Q359:AB359)</f>
        <v>360</v>
      </c>
      <c r="AI359" s="30">
        <f t="shared" si="88"/>
        <v>360</v>
      </c>
      <c r="AJ359" s="30">
        <f t="shared" si="89"/>
        <v>0</v>
      </c>
      <c r="AK359" s="31">
        <f t="shared" si="90"/>
        <v>0</v>
      </c>
      <c r="AL359" s="32">
        <f t="shared" si="87"/>
        <v>0</v>
      </c>
    </row>
    <row r="360" spans="1:38" x14ac:dyDescent="0.25">
      <c r="A360" s="1" t="s">
        <v>1089</v>
      </c>
      <c r="B360" s="1" t="s">
        <v>1090</v>
      </c>
      <c r="C360" s="1" t="s">
        <v>1091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7">
        <v>0</v>
      </c>
      <c r="AE360" s="35">
        <f t="shared" si="86"/>
        <v>0</v>
      </c>
      <c r="AF360" s="34" t="s">
        <v>35</v>
      </c>
      <c r="AG360" s="30" cm="1">
        <f t="array" ref="AG360">DIASQUIEBRE(Q360:AB360)</f>
        <v>0</v>
      </c>
      <c r="AH360" s="30" cm="1">
        <f t="array" ref="AH360">DiasMesesGris(Q360:AB360)</f>
        <v>360</v>
      </c>
      <c r="AI360" s="30">
        <f t="shared" si="88"/>
        <v>360</v>
      </c>
      <c r="AJ360" s="30">
        <f t="shared" si="89"/>
        <v>0</v>
      </c>
      <c r="AK360" s="31">
        <f t="shared" si="90"/>
        <v>0</v>
      </c>
      <c r="AL360" s="32">
        <f t="shared" si="87"/>
        <v>0</v>
      </c>
    </row>
    <row r="361" spans="1:38" x14ac:dyDescent="0.25">
      <c r="A361" s="1" t="s">
        <v>1092</v>
      </c>
      <c r="B361" s="1" t="s">
        <v>1093</v>
      </c>
      <c r="C361" s="1" t="s">
        <v>1094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7">
        <v>0</v>
      </c>
      <c r="AE361" s="35">
        <f t="shared" si="86"/>
        <v>0</v>
      </c>
      <c r="AF361" s="34" t="s">
        <v>35</v>
      </c>
      <c r="AG361" s="30" cm="1">
        <f t="array" ref="AG361">DIASQUIEBRE(Q361:AB361)</f>
        <v>0</v>
      </c>
      <c r="AH361" s="30" cm="1">
        <f t="array" ref="AH361">DiasMesesGris(Q361:AB361)</f>
        <v>360</v>
      </c>
      <c r="AI361" s="30">
        <f t="shared" si="88"/>
        <v>360</v>
      </c>
      <c r="AJ361" s="30">
        <f t="shared" si="89"/>
        <v>0</v>
      </c>
      <c r="AK361" s="31">
        <f t="shared" si="90"/>
        <v>0</v>
      </c>
      <c r="AL361" s="32">
        <f t="shared" si="87"/>
        <v>0</v>
      </c>
    </row>
    <row r="362" spans="1:38" x14ac:dyDescent="0.25">
      <c r="A362" s="1" t="s">
        <v>1095</v>
      </c>
      <c r="B362" s="1" t="s">
        <v>1096</v>
      </c>
      <c r="C362" s="1" t="s">
        <v>1097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7">
        <v>0</v>
      </c>
      <c r="AE362" s="35">
        <f t="shared" si="86"/>
        <v>0</v>
      </c>
      <c r="AF362" s="34" t="s">
        <v>35</v>
      </c>
      <c r="AG362" s="30" cm="1">
        <f t="array" ref="AG362">DIASQUIEBRE(Q362:AB362)</f>
        <v>0</v>
      </c>
      <c r="AH362" s="30" cm="1">
        <f t="array" ref="AH362">DiasMesesGris(Q362:AB362)</f>
        <v>360</v>
      </c>
      <c r="AI362" s="30">
        <f t="shared" si="88"/>
        <v>360</v>
      </c>
      <c r="AJ362" s="30">
        <f t="shared" si="89"/>
        <v>0</v>
      </c>
      <c r="AK362" s="31">
        <f t="shared" si="90"/>
        <v>0</v>
      </c>
      <c r="AL362" s="32">
        <f t="shared" si="87"/>
        <v>0</v>
      </c>
    </row>
    <row r="363" spans="1:38" x14ac:dyDescent="0.25">
      <c r="A363" s="1" t="s">
        <v>1098</v>
      </c>
      <c r="B363" s="1" t="s">
        <v>1099</v>
      </c>
      <c r="C363" s="1" t="s">
        <v>1100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7">
        <v>0</v>
      </c>
      <c r="AE363" s="35">
        <f t="shared" si="86"/>
        <v>0</v>
      </c>
      <c r="AF363" s="34" t="s">
        <v>35</v>
      </c>
      <c r="AG363" s="30" cm="1">
        <f t="array" ref="AG363">DIASQUIEBRE(Q363:AB363)</f>
        <v>0</v>
      </c>
      <c r="AH363" s="30" cm="1">
        <f t="array" ref="AH363">DiasMesesGris(Q363:AB363)</f>
        <v>360</v>
      </c>
      <c r="AI363" s="30">
        <f t="shared" si="88"/>
        <v>360</v>
      </c>
      <c r="AJ363" s="30">
        <f t="shared" si="89"/>
        <v>0</v>
      </c>
      <c r="AK363" s="31">
        <f t="shared" si="90"/>
        <v>0</v>
      </c>
      <c r="AL363" s="32">
        <f t="shared" si="87"/>
        <v>0</v>
      </c>
    </row>
    <row r="364" spans="1:38" x14ac:dyDescent="0.25">
      <c r="A364" s="1" t="s">
        <v>1101</v>
      </c>
      <c r="B364" s="1" t="s">
        <v>1102</v>
      </c>
      <c r="C364" s="1" t="s">
        <v>1103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7">
        <v>0</v>
      </c>
      <c r="AE364" s="35">
        <f t="shared" si="86"/>
        <v>0</v>
      </c>
      <c r="AF364" s="34" t="s">
        <v>35</v>
      </c>
      <c r="AG364" s="30" cm="1">
        <f t="array" ref="AG364">DIASQUIEBRE(Q364:AB364)</f>
        <v>0</v>
      </c>
      <c r="AH364" s="30" cm="1">
        <f t="array" ref="AH364">DiasMesesGris(Q364:AB364)</f>
        <v>360</v>
      </c>
      <c r="AI364" s="30">
        <f t="shared" si="88"/>
        <v>360</v>
      </c>
      <c r="AJ364" s="30">
        <f t="shared" si="89"/>
        <v>0</v>
      </c>
      <c r="AK364" s="31">
        <f t="shared" si="90"/>
        <v>0</v>
      </c>
      <c r="AL364" s="32">
        <f t="shared" si="87"/>
        <v>0</v>
      </c>
    </row>
    <row r="365" spans="1:38" x14ac:dyDescent="0.25">
      <c r="A365" s="1" t="s">
        <v>1104</v>
      </c>
      <c r="B365" s="1" t="s">
        <v>1105</v>
      </c>
      <c r="C365" s="1" t="s">
        <v>1106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7">
        <v>0</v>
      </c>
      <c r="AE365" s="35">
        <f t="shared" si="86"/>
        <v>0</v>
      </c>
      <c r="AF365" s="34" t="s">
        <v>35</v>
      </c>
      <c r="AG365" s="30" cm="1">
        <f t="array" ref="AG365">DIASQUIEBRE(Q365:AB365)</f>
        <v>0</v>
      </c>
      <c r="AH365" s="30" cm="1">
        <f t="array" ref="AH365">DiasMesesGris(Q365:AB365)</f>
        <v>360</v>
      </c>
      <c r="AI365" s="30">
        <f t="shared" si="88"/>
        <v>360</v>
      </c>
      <c r="AJ365" s="30">
        <f t="shared" si="89"/>
        <v>0</v>
      </c>
      <c r="AK365" s="31">
        <f t="shared" si="90"/>
        <v>0</v>
      </c>
      <c r="AL365" s="32">
        <f t="shared" si="87"/>
        <v>0</v>
      </c>
    </row>
    <row r="366" spans="1:38" x14ac:dyDescent="0.25">
      <c r="A366" s="1" t="s">
        <v>1107</v>
      </c>
      <c r="B366" s="1" t="s">
        <v>1108</v>
      </c>
      <c r="C366" s="1" t="s">
        <v>1109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7">
        <v>0</v>
      </c>
      <c r="AE366" s="35">
        <f t="shared" si="86"/>
        <v>0</v>
      </c>
      <c r="AF366" s="34" t="s">
        <v>35</v>
      </c>
      <c r="AG366" s="30" cm="1">
        <f t="array" ref="AG366">DIASQUIEBRE(Q366:AB366)</f>
        <v>0</v>
      </c>
      <c r="AH366" s="30" cm="1">
        <f t="array" ref="AH366">DiasMesesGris(Q366:AB366)</f>
        <v>360</v>
      </c>
      <c r="AI366" s="30">
        <f t="shared" si="88"/>
        <v>360</v>
      </c>
      <c r="AJ366" s="30">
        <f t="shared" si="89"/>
        <v>0</v>
      </c>
      <c r="AK366" s="31">
        <f t="shared" si="90"/>
        <v>0</v>
      </c>
      <c r="AL366" s="32">
        <f t="shared" si="87"/>
        <v>0</v>
      </c>
    </row>
    <row r="367" spans="1:38" x14ac:dyDescent="0.25">
      <c r="A367" s="1" t="s">
        <v>1110</v>
      </c>
      <c r="B367" s="1" t="s">
        <v>1111</v>
      </c>
      <c r="C367" s="1" t="s">
        <v>1112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7">
        <v>0</v>
      </c>
      <c r="AE367" s="35">
        <f t="shared" si="86"/>
        <v>0</v>
      </c>
      <c r="AF367" s="34" t="s">
        <v>35</v>
      </c>
      <c r="AG367" s="30" cm="1">
        <f t="array" ref="AG367">DIASQUIEBRE(Q367:AB367)</f>
        <v>0</v>
      </c>
      <c r="AH367" s="30" cm="1">
        <f t="array" ref="AH367">DiasMesesGris(Q367:AB367)</f>
        <v>360</v>
      </c>
      <c r="AI367" s="30">
        <f t="shared" si="88"/>
        <v>360</v>
      </c>
      <c r="AJ367" s="30">
        <f t="shared" si="89"/>
        <v>0</v>
      </c>
      <c r="AK367" s="31">
        <f t="shared" si="90"/>
        <v>0</v>
      </c>
      <c r="AL367" s="32">
        <f t="shared" si="87"/>
        <v>0</v>
      </c>
    </row>
    <row r="368" spans="1:38" x14ac:dyDescent="0.25">
      <c r="A368" s="1" t="s">
        <v>1113</v>
      </c>
      <c r="B368" s="1" t="s">
        <v>1114</v>
      </c>
      <c r="C368" s="1" t="s">
        <v>1115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7">
        <v>0</v>
      </c>
      <c r="AE368" s="35">
        <f t="shared" si="86"/>
        <v>0</v>
      </c>
      <c r="AF368" s="34" t="s">
        <v>35</v>
      </c>
      <c r="AG368" s="30" cm="1">
        <f t="array" ref="AG368">DIASQUIEBRE(Q368:AB368)</f>
        <v>0</v>
      </c>
      <c r="AH368" s="30" cm="1">
        <f t="array" ref="AH368">DiasMesesGris(Q368:AB368)</f>
        <v>360</v>
      </c>
      <c r="AI368" s="30">
        <f t="shared" si="88"/>
        <v>360</v>
      </c>
      <c r="AJ368" s="30">
        <f t="shared" si="89"/>
        <v>0</v>
      </c>
      <c r="AK368" s="31">
        <f t="shared" si="90"/>
        <v>0</v>
      </c>
      <c r="AL368" s="32">
        <f t="shared" si="87"/>
        <v>0</v>
      </c>
    </row>
    <row r="369" spans="1:38" x14ac:dyDescent="0.25">
      <c r="A369" s="1" t="s">
        <v>1116</v>
      </c>
      <c r="B369" s="1" t="s">
        <v>1117</v>
      </c>
      <c r="C369" s="1" t="s">
        <v>1118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7">
        <v>0</v>
      </c>
      <c r="AE369" s="35">
        <f t="shared" si="86"/>
        <v>0</v>
      </c>
      <c r="AF369" s="34" t="s">
        <v>35</v>
      </c>
      <c r="AG369" s="30" cm="1">
        <f t="array" ref="AG369">DIASQUIEBRE(Q369:AB369)</f>
        <v>0</v>
      </c>
      <c r="AH369" s="30" cm="1">
        <f t="array" ref="AH369">DiasMesesGris(Q369:AB369)</f>
        <v>360</v>
      </c>
      <c r="AI369" s="30">
        <f t="shared" si="88"/>
        <v>360</v>
      </c>
      <c r="AJ369" s="30">
        <f t="shared" si="89"/>
        <v>0</v>
      </c>
      <c r="AK369" s="31">
        <f t="shared" si="90"/>
        <v>0</v>
      </c>
      <c r="AL369" s="32">
        <f t="shared" si="87"/>
        <v>0</v>
      </c>
    </row>
    <row r="370" spans="1:38" x14ac:dyDescent="0.25">
      <c r="A370" s="1" t="s">
        <v>1119</v>
      </c>
      <c r="B370" s="1" t="s">
        <v>1120</v>
      </c>
      <c r="C370" s="1" t="s">
        <v>1121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7">
        <v>0</v>
      </c>
      <c r="AE370" s="35">
        <f t="shared" si="86"/>
        <v>0</v>
      </c>
      <c r="AF370" s="34" t="s">
        <v>35</v>
      </c>
      <c r="AG370" s="30" cm="1">
        <f t="array" ref="AG370">DIASQUIEBRE(Q370:AB370)</f>
        <v>0</v>
      </c>
      <c r="AH370" s="30" cm="1">
        <f t="array" ref="AH370">DiasMesesGris(Q370:AB370)</f>
        <v>360</v>
      </c>
      <c r="AI370" s="30">
        <f t="shared" si="88"/>
        <v>360</v>
      </c>
      <c r="AJ370" s="30">
        <f t="shared" si="89"/>
        <v>0</v>
      </c>
      <c r="AK370" s="31">
        <f t="shared" si="90"/>
        <v>0</v>
      </c>
      <c r="AL370" s="32">
        <f t="shared" si="87"/>
        <v>0</v>
      </c>
    </row>
    <row r="371" spans="1:38" x14ac:dyDescent="0.25">
      <c r="A371" s="1" t="s">
        <v>1122</v>
      </c>
      <c r="B371" s="1" t="s">
        <v>1123</v>
      </c>
      <c r="C371" s="1" t="s">
        <v>1124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7">
        <v>0</v>
      </c>
      <c r="AE371" s="35">
        <f t="shared" si="86"/>
        <v>0</v>
      </c>
      <c r="AF371" s="34" t="s">
        <v>35</v>
      </c>
      <c r="AG371" s="30" cm="1">
        <f t="array" ref="AG371">DIASQUIEBRE(Q371:AB371)</f>
        <v>0</v>
      </c>
      <c r="AH371" s="30" cm="1">
        <f t="array" ref="AH371">DiasMesesGris(Q371:AB371)</f>
        <v>360</v>
      </c>
      <c r="AI371" s="30">
        <f t="shared" si="88"/>
        <v>360</v>
      </c>
      <c r="AJ371" s="30">
        <f t="shared" si="89"/>
        <v>0</v>
      </c>
      <c r="AK371" s="31">
        <f t="shared" si="90"/>
        <v>0</v>
      </c>
      <c r="AL371" s="32">
        <f t="shared" si="87"/>
        <v>0</v>
      </c>
    </row>
    <row r="372" spans="1:38" x14ac:dyDescent="0.25">
      <c r="A372" s="1" t="s">
        <v>1125</v>
      </c>
      <c r="B372" s="1" t="s">
        <v>1126</v>
      </c>
      <c r="C372" s="1" t="s">
        <v>1127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7">
        <v>0</v>
      </c>
      <c r="AE372" s="35">
        <f t="shared" si="86"/>
        <v>0</v>
      </c>
      <c r="AF372" s="34" t="s">
        <v>35</v>
      </c>
      <c r="AG372" s="30" cm="1">
        <f t="array" ref="AG372">DIASQUIEBRE(Q372:AB372)</f>
        <v>0</v>
      </c>
      <c r="AH372" s="30" cm="1">
        <f t="array" ref="AH372">DiasMesesGris(Q372:AB372)</f>
        <v>360</v>
      </c>
      <c r="AI372" s="30">
        <f t="shared" si="88"/>
        <v>360</v>
      </c>
      <c r="AJ372" s="30">
        <f t="shared" si="89"/>
        <v>0</v>
      </c>
      <c r="AK372" s="31">
        <f t="shared" si="90"/>
        <v>0</v>
      </c>
      <c r="AL372" s="32">
        <f t="shared" si="87"/>
        <v>0</v>
      </c>
    </row>
    <row r="373" spans="1:38" x14ac:dyDescent="0.25">
      <c r="A373" s="1" t="s">
        <v>1128</v>
      </c>
      <c r="B373" s="1" t="s">
        <v>1129</v>
      </c>
      <c r="C373" s="1" t="s">
        <v>1130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7">
        <v>0</v>
      </c>
      <c r="AE373" s="35">
        <f t="shared" si="86"/>
        <v>0</v>
      </c>
      <c r="AF373" s="34" t="s">
        <v>35</v>
      </c>
      <c r="AG373" s="30" cm="1">
        <f t="array" ref="AG373">DIASQUIEBRE(Q373:AB373)</f>
        <v>0</v>
      </c>
      <c r="AH373" s="30" cm="1">
        <f t="array" ref="AH373">DiasMesesGris(Q373:AB373)</f>
        <v>360</v>
      </c>
      <c r="AI373" s="30">
        <f t="shared" si="88"/>
        <v>360</v>
      </c>
      <c r="AJ373" s="30">
        <f t="shared" si="89"/>
        <v>0</v>
      </c>
      <c r="AK373" s="31">
        <f t="shared" si="90"/>
        <v>0</v>
      </c>
      <c r="AL373" s="32">
        <f t="shared" si="87"/>
        <v>0</v>
      </c>
    </row>
    <row r="374" spans="1:38" x14ac:dyDescent="0.25">
      <c r="A374" s="1" t="s">
        <v>1131</v>
      </c>
      <c r="B374" s="1" t="s">
        <v>1132</v>
      </c>
      <c r="C374" s="1" t="s">
        <v>1133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7">
        <v>0</v>
      </c>
      <c r="AE374" s="35">
        <f t="shared" si="86"/>
        <v>0</v>
      </c>
      <c r="AF374" s="34" t="s">
        <v>35</v>
      </c>
      <c r="AG374" s="30" cm="1">
        <f t="array" ref="AG374">DIASQUIEBRE(Q374:AB374)</f>
        <v>0</v>
      </c>
      <c r="AH374" s="30" cm="1">
        <f t="array" ref="AH374">DiasMesesGris(Q374:AB374)</f>
        <v>360</v>
      </c>
      <c r="AI374" s="30">
        <f t="shared" si="88"/>
        <v>360</v>
      </c>
      <c r="AJ374" s="30">
        <f t="shared" si="89"/>
        <v>0</v>
      </c>
      <c r="AK374" s="31">
        <f t="shared" si="90"/>
        <v>0</v>
      </c>
      <c r="AL374" s="32">
        <f t="shared" si="87"/>
        <v>0</v>
      </c>
    </row>
    <row r="375" spans="1:38" x14ac:dyDescent="0.25">
      <c r="A375" s="1" t="s">
        <v>1134</v>
      </c>
      <c r="B375" s="1" t="s">
        <v>1135</v>
      </c>
      <c r="C375" s="1" t="s">
        <v>1136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7">
        <v>0</v>
      </c>
      <c r="AE375" s="35">
        <f t="shared" si="86"/>
        <v>0</v>
      </c>
      <c r="AF375" s="34" t="s">
        <v>35</v>
      </c>
      <c r="AG375" s="30" cm="1">
        <f t="array" ref="AG375">DIASQUIEBRE(Q375:AB375)</f>
        <v>0</v>
      </c>
      <c r="AH375" s="30" cm="1">
        <f t="array" ref="AH375">DiasMesesGris(Q375:AB375)</f>
        <v>360</v>
      </c>
      <c r="AI375" s="30">
        <f t="shared" si="88"/>
        <v>360</v>
      </c>
      <c r="AJ375" s="30">
        <f t="shared" si="89"/>
        <v>0</v>
      </c>
      <c r="AK375" s="31">
        <f t="shared" si="90"/>
        <v>0</v>
      </c>
      <c r="AL375" s="32">
        <f t="shared" si="87"/>
        <v>0</v>
      </c>
    </row>
    <row r="376" spans="1:38" x14ac:dyDescent="0.25">
      <c r="A376" s="1" t="s">
        <v>1137</v>
      </c>
      <c r="B376" s="1" t="s">
        <v>1138</v>
      </c>
      <c r="C376" s="1" t="s">
        <v>1139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5">
        <v>2</v>
      </c>
      <c r="O376" s="3"/>
      <c r="P376" s="3"/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7">
        <v>0</v>
      </c>
      <c r="AE376" s="35">
        <f t="shared" si="86"/>
        <v>0</v>
      </c>
      <c r="AF376" s="34" t="s">
        <v>35</v>
      </c>
      <c r="AG376" s="30" cm="1">
        <f t="array" ref="AG376">DIASQUIEBRE(Q376:AB376)</f>
        <v>0</v>
      </c>
      <c r="AH376" s="30" cm="1">
        <f t="array" ref="AH376">DiasMesesGris(Q376:AB376)</f>
        <v>360</v>
      </c>
      <c r="AI376" s="30">
        <f t="shared" si="88"/>
        <v>360</v>
      </c>
      <c r="AJ376" s="30">
        <f t="shared" si="89"/>
        <v>0</v>
      </c>
      <c r="AK376" s="31">
        <f t="shared" si="90"/>
        <v>2</v>
      </c>
      <c r="AL376" s="32">
        <f t="shared" si="87"/>
        <v>0</v>
      </c>
    </row>
    <row r="377" spans="1:38" x14ac:dyDescent="0.25">
      <c r="A377" s="1" t="s">
        <v>1140</v>
      </c>
      <c r="B377" s="1" t="s">
        <v>1141</v>
      </c>
      <c r="C377" s="1" t="s">
        <v>1142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5">
        <v>1</v>
      </c>
      <c r="O377" s="3"/>
      <c r="P377" s="3"/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7">
        <v>0</v>
      </c>
      <c r="AE377" s="35">
        <f t="shared" si="86"/>
        <v>0</v>
      </c>
      <c r="AF377" s="34" t="s">
        <v>35</v>
      </c>
      <c r="AG377" s="30" cm="1">
        <f t="array" ref="AG377">DIASQUIEBRE(Q377:AB377)</f>
        <v>0</v>
      </c>
      <c r="AH377" s="30" cm="1">
        <f t="array" ref="AH377">DiasMesesGris(Q377:AB377)</f>
        <v>360</v>
      </c>
      <c r="AI377" s="30">
        <f t="shared" si="88"/>
        <v>360</v>
      </c>
      <c r="AJ377" s="30">
        <f t="shared" si="89"/>
        <v>0</v>
      </c>
      <c r="AK377" s="31">
        <f t="shared" si="90"/>
        <v>1</v>
      </c>
      <c r="AL377" s="32">
        <f t="shared" si="87"/>
        <v>0</v>
      </c>
    </row>
    <row r="378" spans="1:38" x14ac:dyDescent="0.25">
      <c r="A378" s="1" t="s">
        <v>1143</v>
      </c>
      <c r="B378" s="1" t="s">
        <v>1144</v>
      </c>
      <c r="C378" s="1" t="s">
        <v>1145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5">
        <v>1</v>
      </c>
      <c r="O378" s="3"/>
      <c r="P378" s="3"/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7">
        <v>0</v>
      </c>
      <c r="AE378" s="35">
        <f t="shared" si="86"/>
        <v>0</v>
      </c>
      <c r="AF378" s="34" t="s">
        <v>35</v>
      </c>
      <c r="AG378" s="30" cm="1">
        <f t="array" ref="AG378">DIASQUIEBRE(Q378:AB378)</f>
        <v>0</v>
      </c>
      <c r="AH378" s="30" cm="1">
        <f t="array" ref="AH378">DiasMesesGris(Q378:AB378)</f>
        <v>360</v>
      </c>
      <c r="AI378" s="30">
        <f t="shared" si="88"/>
        <v>360</v>
      </c>
      <c r="AJ378" s="30">
        <f t="shared" si="89"/>
        <v>0</v>
      </c>
      <c r="AK378" s="31">
        <f t="shared" si="90"/>
        <v>1</v>
      </c>
      <c r="AL378" s="32">
        <f t="shared" si="87"/>
        <v>0</v>
      </c>
    </row>
    <row r="379" spans="1:38" x14ac:dyDescent="0.25">
      <c r="A379" s="1" t="s">
        <v>1146</v>
      </c>
      <c r="B379" s="1" t="s">
        <v>1147</v>
      </c>
      <c r="C379" s="1" t="s">
        <v>1148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5">
        <v>1</v>
      </c>
      <c r="O379" s="3"/>
      <c r="P379" s="3"/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7">
        <v>0</v>
      </c>
      <c r="AE379" s="35">
        <f t="shared" si="86"/>
        <v>0</v>
      </c>
      <c r="AF379" s="34" t="s">
        <v>35</v>
      </c>
      <c r="AG379" s="30" cm="1">
        <f t="array" ref="AG379">DIASQUIEBRE(Q379:AB379)</f>
        <v>0</v>
      </c>
      <c r="AH379" s="30" cm="1">
        <f t="array" ref="AH379">DiasMesesGris(Q379:AB379)</f>
        <v>360</v>
      </c>
      <c r="AI379" s="30">
        <f t="shared" si="88"/>
        <v>360</v>
      </c>
      <c r="AJ379" s="30">
        <f t="shared" si="89"/>
        <v>0</v>
      </c>
      <c r="AK379" s="31">
        <f t="shared" si="90"/>
        <v>1</v>
      </c>
      <c r="AL379" s="32">
        <f t="shared" si="87"/>
        <v>0</v>
      </c>
    </row>
    <row r="380" spans="1:38" x14ac:dyDescent="0.25">
      <c r="A380" s="1" t="s">
        <v>1149</v>
      </c>
      <c r="B380" s="1" t="s">
        <v>1150</v>
      </c>
      <c r="C380" s="1" t="s">
        <v>1151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7">
        <v>0</v>
      </c>
      <c r="AE380" s="35">
        <f t="shared" si="86"/>
        <v>0</v>
      </c>
      <c r="AF380" s="34" t="s">
        <v>35</v>
      </c>
      <c r="AG380" s="30" cm="1">
        <f t="array" ref="AG380">DIASQUIEBRE(Q380:AB380)</f>
        <v>0</v>
      </c>
      <c r="AH380" s="30" cm="1">
        <f t="array" ref="AH380">DiasMesesGris(Q380:AB380)</f>
        <v>360</v>
      </c>
      <c r="AI380" s="30">
        <f t="shared" si="88"/>
        <v>360</v>
      </c>
      <c r="AJ380" s="30">
        <f t="shared" si="89"/>
        <v>0</v>
      </c>
      <c r="AK380" s="31">
        <f t="shared" si="90"/>
        <v>0</v>
      </c>
      <c r="AL380" s="32">
        <f t="shared" si="87"/>
        <v>0</v>
      </c>
    </row>
    <row r="381" spans="1:38" x14ac:dyDescent="0.25">
      <c r="A381" s="1" t="s">
        <v>1152</v>
      </c>
      <c r="B381" s="1" t="s">
        <v>1153</v>
      </c>
      <c r="C381" s="1" t="s">
        <v>1154</v>
      </c>
      <c r="D381" s="3"/>
      <c r="E381" s="3"/>
      <c r="F381" s="3"/>
      <c r="G381" s="3"/>
      <c r="H381" s="3"/>
      <c r="I381" s="3"/>
      <c r="J381" s="3"/>
      <c r="K381" s="3"/>
      <c r="L381" s="5">
        <v>6</v>
      </c>
      <c r="M381" s="3"/>
      <c r="N381" s="3"/>
      <c r="O381" s="3"/>
      <c r="P381" s="3"/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8">
        <f t="shared" ref="Y381" si="104">L381/30</f>
        <v>0.2</v>
      </c>
      <c r="Z381" s="9">
        <v>0</v>
      </c>
      <c r="AA381" s="9">
        <v>0</v>
      </c>
      <c r="AB381" s="9">
        <v>0</v>
      </c>
      <c r="AC381" s="7">
        <v>0</v>
      </c>
      <c r="AE381" s="35">
        <f t="shared" si="86"/>
        <v>2.8571428571428574E-2</v>
      </c>
      <c r="AF381" s="34" t="s">
        <v>35</v>
      </c>
      <c r="AG381" s="30" cm="1">
        <f t="array" ref="AG381">DIASQUIEBRE(Q381:AB381)</f>
        <v>27</v>
      </c>
      <c r="AH381" s="30" cm="1">
        <f t="array" ref="AH381">DiasMesesGris(Q381:AB381)</f>
        <v>330</v>
      </c>
      <c r="AI381" s="30">
        <f t="shared" si="88"/>
        <v>357</v>
      </c>
      <c r="AJ381" s="30">
        <f t="shared" si="89"/>
        <v>3</v>
      </c>
      <c r="AK381" s="31">
        <f t="shared" si="90"/>
        <v>6</v>
      </c>
      <c r="AL381" s="32">
        <f t="shared" si="87"/>
        <v>2</v>
      </c>
    </row>
    <row r="382" spans="1:38" x14ac:dyDescent="0.25">
      <c r="A382" s="1" t="s">
        <v>1155</v>
      </c>
      <c r="B382" s="1" t="s">
        <v>1156</v>
      </c>
      <c r="C382" s="1" t="s">
        <v>1157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7">
        <v>0</v>
      </c>
      <c r="AE382" s="35">
        <f t="shared" si="86"/>
        <v>0</v>
      </c>
      <c r="AF382" s="34" t="s">
        <v>35</v>
      </c>
      <c r="AG382" s="30" cm="1">
        <f t="array" ref="AG382">DIASQUIEBRE(Q382:AB382)</f>
        <v>0</v>
      </c>
      <c r="AH382" s="30" cm="1">
        <f t="array" ref="AH382">DiasMesesGris(Q382:AB382)</f>
        <v>360</v>
      </c>
      <c r="AI382" s="30">
        <f t="shared" si="88"/>
        <v>360</v>
      </c>
      <c r="AJ382" s="30">
        <f t="shared" si="89"/>
        <v>0</v>
      </c>
      <c r="AK382" s="31">
        <f t="shared" si="90"/>
        <v>0</v>
      </c>
      <c r="AL382" s="32">
        <f t="shared" si="87"/>
        <v>0</v>
      </c>
    </row>
    <row r="383" spans="1:38" x14ac:dyDescent="0.25">
      <c r="A383" s="1" t="s">
        <v>1158</v>
      </c>
      <c r="B383" s="1" t="s">
        <v>1159</v>
      </c>
      <c r="C383" s="1" t="s">
        <v>1160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7">
        <v>0</v>
      </c>
      <c r="AE383" s="35">
        <f t="shared" si="86"/>
        <v>0</v>
      </c>
      <c r="AF383" s="34" t="s">
        <v>35</v>
      </c>
      <c r="AG383" s="30" cm="1">
        <f t="array" ref="AG383">DIASQUIEBRE(Q383:AB383)</f>
        <v>0</v>
      </c>
      <c r="AH383" s="30" cm="1">
        <f t="array" ref="AH383">DiasMesesGris(Q383:AB383)</f>
        <v>360</v>
      </c>
      <c r="AI383" s="30">
        <f t="shared" si="88"/>
        <v>360</v>
      </c>
      <c r="AJ383" s="30">
        <f t="shared" si="89"/>
        <v>0</v>
      </c>
      <c r="AK383" s="31">
        <f t="shared" si="90"/>
        <v>0</v>
      </c>
      <c r="AL383" s="32">
        <f t="shared" si="87"/>
        <v>0</v>
      </c>
    </row>
    <row r="384" spans="1:38" x14ac:dyDescent="0.25">
      <c r="A384" s="1" t="s">
        <v>1161</v>
      </c>
      <c r="B384" s="1" t="s">
        <v>1162</v>
      </c>
      <c r="C384" s="1" t="s">
        <v>1163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7">
        <v>0</v>
      </c>
      <c r="AE384" s="35">
        <f t="shared" si="86"/>
        <v>0</v>
      </c>
      <c r="AF384" s="34" t="s">
        <v>35</v>
      </c>
      <c r="AG384" s="30" cm="1">
        <f t="array" ref="AG384">DIASQUIEBRE(Q384:AB384)</f>
        <v>0</v>
      </c>
      <c r="AH384" s="30" cm="1">
        <f t="array" ref="AH384">DiasMesesGris(Q384:AB384)</f>
        <v>360</v>
      </c>
      <c r="AI384" s="30">
        <f t="shared" si="88"/>
        <v>360</v>
      </c>
      <c r="AJ384" s="30">
        <f t="shared" si="89"/>
        <v>0</v>
      </c>
      <c r="AK384" s="31">
        <f t="shared" si="90"/>
        <v>0</v>
      </c>
      <c r="AL384" s="32">
        <f t="shared" si="87"/>
        <v>0</v>
      </c>
    </row>
    <row r="385" spans="1:38" x14ac:dyDescent="0.25">
      <c r="A385" s="1" t="s">
        <v>1164</v>
      </c>
      <c r="B385" s="1" t="s">
        <v>1165</v>
      </c>
      <c r="C385" s="1" t="s">
        <v>1166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7">
        <v>0</v>
      </c>
      <c r="AE385" s="35">
        <f t="shared" si="86"/>
        <v>0</v>
      </c>
      <c r="AF385" s="34" t="s">
        <v>35</v>
      </c>
      <c r="AG385" s="30" cm="1">
        <f t="array" ref="AG385">DIASQUIEBRE(Q385:AB385)</f>
        <v>0</v>
      </c>
      <c r="AH385" s="30" cm="1">
        <f t="array" ref="AH385">DiasMesesGris(Q385:AB385)</f>
        <v>360</v>
      </c>
      <c r="AI385" s="30">
        <f t="shared" si="88"/>
        <v>360</v>
      </c>
      <c r="AJ385" s="30">
        <f t="shared" si="89"/>
        <v>0</v>
      </c>
      <c r="AK385" s="31">
        <f t="shared" si="90"/>
        <v>0</v>
      </c>
      <c r="AL385" s="32">
        <f t="shared" si="87"/>
        <v>0</v>
      </c>
    </row>
    <row r="386" spans="1:38" x14ac:dyDescent="0.25">
      <c r="A386" s="1" t="s">
        <v>1167</v>
      </c>
      <c r="B386" s="1" t="s">
        <v>1168</v>
      </c>
      <c r="C386" s="1" t="s">
        <v>1169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7">
        <v>0</v>
      </c>
      <c r="AE386" s="35">
        <f t="shared" si="86"/>
        <v>0</v>
      </c>
      <c r="AF386" s="34" t="s">
        <v>35</v>
      </c>
      <c r="AG386" s="30" cm="1">
        <f t="array" ref="AG386">DIASQUIEBRE(Q386:AB386)</f>
        <v>0</v>
      </c>
      <c r="AH386" s="30" cm="1">
        <f t="array" ref="AH386">DiasMesesGris(Q386:AB386)</f>
        <v>360</v>
      </c>
      <c r="AI386" s="30">
        <f t="shared" si="88"/>
        <v>360</v>
      </c>
      <c r="AJ386" s="30">
        <f t="shared" si="89"/>
        <v>0</v>
      </c>
      <c r="AK386" s="31">
        <f t="shared" si="90"/>
        <v>0</v>
      </c>
      <c r="AL386" s="32">
        <f t="shared" si="87"/>
        <v>0</v>
      </c>
    </row>
    <row r="387" spans="1:38" x14ac:dyDescent="0.25">
      <c r="A387" s="1" t="s">
        <v>1170</v>
      </c>
      <c r="B387" s="1" t="s">
        <v>1171</v>
      </c>
      <c r="C387" s="1" t="s">
        <v>1172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7">
        <v>0</v>
      </c>
      <c r="AE387" s="35">
        <f t="shared" ref="AE387:AE450" si="105">AVERAGE(V387:AB387)</f>
        <v>0</v>
      </c>
      <c r="AF387" s="34" t="s">
        <v>35</v>
      </c>
      <c r="AG387" s="30" cm="1">
        <f t="array" ref="AG387">DIASQUIEBRE(Q387:AB387)</f>
        <v>0</v>
      </c>
      <c r="AH387" s="30" cm="1">
        <f t="array" ref="AH387">DiasMesesGris(Q387:AB387)</f>
        <v>360</v>
      </c>
      <c r="AI387" s="30">
        <f t="shared" si="88"/>
        <v>360</v>
      </c>
      <c r="AJ387" s="30">
        <f t="shared" si="89"/>
        <v>0</v>
      </c>
      <c r="AK387" s="31">
        <f t="shared" si="90"/>
        <v>0</v>
      </c>
      <c r="AL387" s="32">
        <f t="shared" ref="AL387:AL450" si="106">IFERROR(AK387/AJ387,0)</f>
        <v>0</v>
      </c>
    </row>
    <row r="388" spans="1:38" x14ac:dyDescent="0.25">
      <c r="A388" s="1" t="s">
        <v>1173</v>
      </c>
      <c r="B388" s="1" t="s">
        <v>1174</v>
      </c>
      <c r="C388" s="1" t="s">
        <v>1175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7">
        <v>0</v>
      </c>
      <c r="AE388" s="35">
        <f t="shared" si="105"/>
        <v>0</v>
      </c>
      <c r="AF388" s="34" t="s">
        <v>35</v>
      </c>
      <c r="AG388" s="30" cm="1">
        <f t="array" ref="AG388">DIASQUIEBRE(Q388:AB388)</f>
        <v>0</v>
      </c>
      <c r="AH388" s="30" cm="1">
        <f t="array" ref="AH388">DiasMesesGris(Q388:AB388)</f>
        <v>360</v>
      </c>
      <c r="AI388" s="30">
        <f t="shared" ref="AI388:AI451" si="107">AG388+AH388</f>
        <v>360</v>
      </c>
      <c r="AJ388" s="30">
        <f t="shared" ref="AJ388:AJ451" si="108">360-AI388</f>
        <v>0</v>
      </c>
      <c r="AK388" s="31">
        <f t="shared" ref="AK388:AK451" si="109">SUM(D388:O388)</f>
        <v>0</v>
      </c>
      <c r="AL388" s="32">
        <f t="shared" si="106"/>
        <v>0</v>
      </c>
    </row>
    <row r="389" spans="1:38" x14ac:dyDescent="0.25">
      <c r="A389" s="1" t="s">
        <v>1176</v>
      </c>
      <c r="B389" s="1" t="s">
        <v>1177</v>
      </c>
      <c r="C389" s="1" t="s">
        <v>1178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7">
        <v>0</v>
      </c>
      <c r="AE389" s="35">
        <f t="shared" si="105"/>
        <v>0</v>
      </c>
      <c r="AF389" s="34" t="s">
        <v>35</v>
      </c>
      <c r="AG389" s="30" cm="1">
        <f t="array" ref="AG389">DIASQUIEBRE(Q389:AB389)</f>
        <v>0</v>
      </c>
      <c r="AH389" s="30" cm="1">
        <f t="array" ref="AH389">DiasMesesGris(Q389:AB389)</f>
        <v>360</v>
      </c>
      <c r="AI389" s="30">
        <f t="shared" si="107"/>
        <v>360</v>
      </c>
      <c r="AJ389" s="30">
        <f t="shared" si="108"/>
        <v>0</v>
      </c>
      <c r="AK389" s="31">
        <f t="shared" si="109"/>
        <v>0</v>
      </c>
      <c r="AL389" s="32">
        <f t="shared" si="106"/>
        <v>0</v>
      </c>
    </row>
    <row r="390" spans="1:38" x14ac:dyDescent="0.25">
      <c r="A390" s="1" t="s">
        <v>1179</v>
      </c>
      <c r="B390" s="1" t="s">
        <v>1180</v>
      </c>
      <c r="C390" s="1" t="s">
        <v>1181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7">
        <v>0</v>
      </c>
      <c r="AE390" s="35">
        <f t="shared" si="105"/>
        <v>0</v>
      </c>
      <c r="AF390" s="34" t="s">
        <v>35</v>
      </c>
      <c r="AG390" s="30" cm="1">
        <f t="array" ref="AG390">DIASQUIEBRE(Q390:AB390)</f>
        <v>0</v>
      </c>
      <c r="AH390" s="30" cm="1">
        <f t="array" ref="AH390">DiasMesesGris(Q390:AB390)</f>
        <v>360</v>
      </c>
      <c r="AI390" s="30">
        <f t="shared" si="107"/>
        <v>360</v>
      </c>
      <c r="AJ390" s="30">
        <f t="shared" si="108"/>
        <v>0</v>
      </c>
      <c r="AK390" s="31">
        <f t="shared" si="109"/>
        <v>0</v>
      </c>
      <c r="AL390" s="32">
        <f t="shared" si="106"/>
        <v>0</v>
      </c>
    </row>
    <row r="391" spans="1:38" x14ac:dyDescent="0.25">
      <c r="A391" s="1" t="s">
        <v>1182</v>
      </c>
      <c r="B391" s="1" t="s">
        <v>1183</v>
      </c>
      <c r="C391" s="1" t="s">
        <v>1184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7">
        <v>0</v>
      </c>
      <c r="AE391" s="35">
        <f t="shared" si="105"/>
        <v>0</v>
      </c>
      <c r="AF391" s="34" t="s">
        <v>35</v>
      </c>
      <c r="AG391" s="30" cm="1">
        <f t="array" ref="AG391">DIASQUIEBRE(Q391:AB391)</f>
        <v>0</v>
      </c>
      <c r="AH391" s="30" cm="1">
        <f t="array" ref="AH391">DiasMesesGris(Q391:AB391)</f>
        <v>360</v>
      </c>
      <c r="AI391" s="30">
        <f t="shared" si="107"/>
        <v>360</v>
      </c>
      <c r="AJ391" s="30">
        <f t="shared" si="108"/>
        <v>0</v>
      </c>
      <c r="AK391" s="31">
        <f t="shared" si="109"/>
        <v>0</v>
      </c>
      <c r="AL391" s="32">
        <f t="shared" si="106"/>
        <v>0</v>
      </c>
    </row>
    <row r="392" spans="1:38" x14ac:dyDescent="0.25">
      <c r="A392" s="1" t="s">
        <v>1185</v>
      </c>
      <c r="B392" s="1" t="s">
        <v>1186</v>
      </c>
      <c r="C392" s="1" t="s">
        <v>1187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7">
        <v>0</v>
      </c>
      <c r="AE392" s="35">
        <f t="shared" si="105"/>
        <v>0</v>
      </c>
      <c r="AF392" s="34" t="s">
        <v>35</v>
      </c>
      <c r="AG392" s="30" cm="1">
        <f t="array" ref="AG392">DIASQUIEBRE(Q392:AB392)</f>
        <v>0</v>
      </c>
      <c r="AH392" s="30" cm="1">
        <f t="array" ref="AH392">DiasMesesGris(Q392:AB392)</f>
        <v>360</v>
      </c>
      <c r="AI392" s="30">
        <f t="shared" si="107"/>
        <v>360</v>
      </c>
      <c r="AJ392" s="30">
        <f t="shared" si="108"/>
        <v>0</v>
      </c>
      <c r="AK392" s="31">
        <f t="shared" si="109"/>
        <v>0</v>
      </c>
      <c r="AL392" s="32">
        <f t="shared" si="106"/>
        <v>0</v>
      </c>
    </row>
    <row r="393" spans="1:38" x14ac:dyDescent="0.25">
      <c r="A393" s="1" t="s">
        <v>1188</v>
      </c>
      <c r="B393" s="1" t="s">
        <v>1189</v>
      </c>
      <c r="C393" s="1" t="s">
        <v>1190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7">
        <v>0</v>
      </c>
      <c r="AE393" s="35">
        <f t="shared" si="105"/>
        <v>0</v>
      </c>
      <c r="AF393" s="34" t="s">
        <v>35</v>
      </c>
      <c r="AG393" s="30" cm="1">
        <f t="array" ref="AG393">DIASQUIEBRE(Q393:AB393)</f>
        <v>0</v>
      </c>
      <c r="AH393" s="30" cm="1">
        <f t="array" ref="AH393">DiasMesesGris(Q393:AB393)</f>
        <v>360</v>
      </c>
      <c r="AI393" s="30">
        <f t="shared" si="107"/>
        <v>360</v>
      </c>
      <c r="AJ393" s="30">
        <f t="shared" si="108"/>
        <v>0</v>
      </c>
      <c r="AK393" s="31">
        <f t="shared" si="109"/>
        <v>0</v>
      </c>
      <c r="AL393" s="32">
        <f t="shared" si="106"/>
        <v>0</v>
      </c>
    </row>
    <row r="394" spans="1:38" x14ac:dyDescent="0.25">
      <c r="A394" s="1" t="s">
        <v>1191</v>
      </c>
      <c r="B394" s="1" t="s">
        <v>1192</v>
      </c>
      <c r="C394" s="1" t="s">
        <v>1193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7">
        <v>0</v>
      </c>
      <c r="AE394" s="35">
        <f t="shared" si="105"/>
        <v>0</v>
      </c>
      <c r="AF394" s="34" t="s">
        <v>35</v>
      </c>
      <c r="AG394" s="30" cm="1">
        <f t="array" ref="AG394">DIASQUIEBRE(Q394:AB394)</f>
        <v>0</v>
      </c>
      <c r="AH394" s="30" cm="1">
        <f t="array" ref="AH394">DiasMesesGris(Q394:AB394)</f>
        <v>360</v>
      </c>
      <c r="AI394" s="30">
        <f t="shared" si="107"/>
        <v>360</v>
      </c>
      <c r="AJ394" s="30">
        <f t="shared" si="108"/>
        <v>0</v>
      </c>
      <c r="AK394" s="31">
        <f t="shared" si="109"/>
        <v>0</v>
      </c>
      <c r="AL394" s="32">
        <f t="shared" si="106"/>
        <v>0</v>
      </c>
    </row>
    <row r="395" spans="1:38" x14ac:dyDescent="0.25">
      <c r="A395" s="1" t="s">
        <v>1194</v>
      </c>
      <c r="B395" s="1" t="s">
        <v>1195</v>
      </c>
      <c r="C395" s="1" t="s">
        <v>1196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7">
        <v>0</v>
      </c>
      <c r="AE395" s="35">
        <f t="shared" si="105"/>
        <v>0</v>
      </c>
      <c r="AF395" s="34" t="s">
        <v>35</v>
      </c>
      <c r="AG395" s="30" cm="1">
        <f t="array" ref="AG395">DIASQUIEBRE(Q395:AB395)</f>
        <v>0</v>
      </c>
      <c r="AH395" s="30" cm="1">
        <f t="array" ref="AH395">DiasMesesGris(Q395:AB395)</f>
        <v>360</v>
      </c>
      <c r="AI395" s="30">
        <f t="shared" si="107"/>
        <v>360</v>
      </c>
      <c r="AJ395" s="30">
        <f t="shared" si="108"/>
        <v>0</v>
      </c>
      <c r="AK395" s="31">
        <f t="shared" si="109"/>
        <v>0</v>
      </c>
      <c r="AL395" s="32">
        <f t="shared" si="106"/>
        <v>0</v>
      </c>
    </row>
    <row r="396" spans="1:38" x14ac:dyDescent="0.25">
      <c r="A396" s="1" t="s">
        <v>1197</v>
      </c>
      <c r="B396" s="1" t="s">
        <v>1198</v>
      </c>
      <c r="C396" s="1" t="s">
        <v>1199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7">
        <v>0</v>
      </c>
      <c r="AE396" s="35">
        <f t="shared" si="105"/>
        <v>0</v>
      </c>
      <c r="AF396" s="34" t="s">
        <v>35</v>
      </c>
      <c r="AG396" s="30" cm="1">
        <f t="array" ref="AG396">DIASQUIEBRE(Q396:AB396)</f>
        <v>0</v>
      </c>
      <c r="AH396" s="30" cm="1">
        <f t="array" ref="AH396">DiasMesesGris(Q396:AB396)</f>
        <v>360</v>
      </c>
      <c r="AI396" s="30">
        <f t="shared" si="107"/>
        <v>360</v>
      </c>
      <c r="AJ396" s="30">
        <f t="shared" si="108"/>
        <v>0</v>
      </c>
      <c r="AK396" s="31">
        <f t="shared" si="109"/>
        <v>0</v>
      </c>
      <c r="AL396" s="32">
        <f t="shared" si="106"/>
        <v>0</v>
      </c>
    </row>
    <row r="397" spans="1:38" x14ac:dyDescent="0.25">
      <c r="A397" s="1" t="s">
        <v>1200</v>
      </c>
      <c r="B397" s="1" t="s">
        <v>1201</v>
      </c>
      <c r="C397" s="1" t="s">
        <v>1202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7">
        <v>0</v>
      </c>
      <c r="AE397" s="35">
        <f t="shared" si="105"/>
        <v>0</v>
      </c>
      <c r="AF397" s="34" t="s">
        <v>35</v>
      </c>
      <c r="AG397" s="30" cm="1">
        <f t="array" ref="AG397">DIASQUIEBRE(Q397:AB397)</f>
        <v>0</v>
      </c>
      <c r="AH397" s="30" cm="1">
        <f t="array" ref="AH397">DiasMesesGris(Q397:AB397)</f>
        <v>360</v>
      </c>
      <c r="AI397" s="30">
        <f t="shared" si="107"/>
        <v>360</v>
      </c>
      <c r="AJ397" s="30">
        <f t="shared" si="108"/>
        <v>0</v>
      </c>
      <c r="AK397" s="31">
        <f t="shared" si="109"/>
        <v>0</v>
      </c>
      <c r="AL397" s="32">
        <f t="shared" si="106"/>
        <v>0</v>
      </c>
    </row>
    <row r="398" spans="1:38" x14ac:dyDescent="0.25">
      <c r="A398" s="1" t="s">
        <v>1203</v>
      </c>
      <c r="B398" s="1" t="s">
        <v>1204</v>
      </c>
      <c r="C398" s="1" t="s">
        <v>1205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7">
        <v>0</v>
      </c>
      <c r="AE398" s="35">
        <f t="shared" si="105"/>
        <v>0</v>
      </c>
      <c r="AF398" s="34" t="s">
        <v>35</v>
      </c>
      <c r="AG398" s="30" cm="1">
        <f t="array" ref="AG398">DIASQUIEBRE(Q398:AB398)</f>
        <v>0</v>
      </c>
      <c r="AH398" s="30" cm="1">
        <f t="array" ref="AH398">DiasMesesGris(Q398:AB398)</f>
        <v>360</v>
      </c>
      <c r="AI398" s="30">
        <f t="shared" si="107"/>
        <v>360</v>
      </c>
      <c r="AJ398" s="30">
        <f t="shared" si="108"/>
        <v>0</v>
      </c>
      <c r="AK398" s="31">
        <f t="shared" si="109"/>
        <v>0</v>
      </c>
      <c r="AL398" s="32">
        <f t="shared" si="106"/>
        <v>0</v>
      </c>
    </row>
    <row r="399" spans="1:38" x14ac:dyDescent="0.25">
      <c r="A399" s="1" t="s">
        <v>1206</v>
      </c>
      <c r="B399" s="1" t="s">
        <v>1207</v>
      </c>
      <c r="C399" s="1" t="s">
        <v>1208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7">
        <v>0</v>
      </c>
      <c r="AE399" s="35">
        <f t="shared" si="105"/>
        <v>0</v>
      </c>
      <c r="AF399" s="34" t="s">
        <v>35</v>
      </c>
      <c r="AG399" s="30" cm="1">
        <f t="array" ref="AG399">DIASQUIEBRE(Q399:AB399)</f>
        <v>0</v>
      </c>
      <c r="AH399" s="30" cm="1">
        <f t="array" ref="AH399">DiasMesesGris(Q399:AB399)</f>
        <v>360</v>
      </c>
      <c r="AI399" s="30">
        <f t="shared" si="107"/>
        <v>360</v>
      </c>
      <c r="AJ399" s="30">
        <f t="shared" si="108"/>
        <v>0</v>
      </c>
      <c r="AK399" s="31">
        <f t="shared" si="109"/>
        <v>0</v>
      </c>
      <c r="AL399" s="32">
        <f t="shared" si="106"/>
        <v>0</v>
      </c>
    </row>
    <row r="400" spans="1:38" x14ac:dyDescent="0.25">
      <c r="A400" s="1" t="s">
        <v>1209</v>
      </c>
      <c r="B400" s="1" t="s">
        <v>1210</v>
      </c>
      <c r="C400" s="1" t="s">
        <v>1211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7">
        <v>0</v>
      </c>
      <c r="AE400" s="35">
        <f t="shared" si="105"/>
        <v>0</v>
      </c>
      <c r="AF400" s="34" t="s">
        <v>35</v>
      </c>
      <c r="AG400" s="30" cm="1">
        <f t="array" ref="AG400">DIASQUIEBRE(Q400:AB400)</f>
        <v>0</v>
      </c>
      <c r="AH400" s="30" cm="1">
        <f t="array" ref="AH400">DiasMesesGris(Q400:AB400)</f>
        <v>360</v>
      </c>
      <c r="AI400" s="30">
        <f t="shared" si="107"/>
        <v>360</v>
      </c>
      <c r="AJ400" s="30">
        <f t="shared" si="108"/>
        <v>0</v>
      </c>
      <c r="AK400" s="31">
        <f t="shared" si="109"/>
        <v>0</v>
      </c>
      <c r="AL400" s="32">
        <f t="shared" si="106"/>
        <v>0</v>
      </c>
    </row>
    <row r="401" spans="1:38" x14ac:dyDescent="0.25">
      <c r="A401" s="1" t="s">
        <v>1212</v>
      </c>
      <c r="B401" s="1" t="s">
        <v>1213</v>
      </c>
      <c r="C401" s="1" t="s">
        <v>1214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7">
        <v>0</v>
      </c>
      <c r="AE401" s="35">
        <f t="shared" si="105"/>
        <v>0</v>
      </c>
      <c r="AF401" s="34" t="s">
        <v>35</v>
      </c>
      <c r="AG401" s="30" cm="1">
        <f t="array" ref="AG401">DIASQUIEBRE(Q401:AB401)</f>
        <v>0</v>
      </c>
      <c r="AH401" s="30" cm="1">
        <f t="array" ref="AH401">DiasMesesGris(Q401:AB401)</f>
        <v>360</v>
      </c>
      <c r="AI401" s="30">
        <f t="shared" si="107"/>
        <v>360</v>
      </c>
      <c r="AJ401" s="30">
        <f t="shared" si="108"/>
        <v>0</v>
      </c>
      <c r="AK401" s="31">
        <f t="shared" si="109"/>
        <v>0</v>
      </c>
      <c r="AL401" s="32">
        <f t="shared" si="106"/>
        <v>0</v>
      </c>
    </row>
    <row r="402" spans="1:38" x14ac:dyDescent="0.25">
      <c r="A402" s="1" t="s">
        <v>1215</v>
      </c>
      <c r="B402" s="1" t="s">
        <v>1216</v>
      </c>
      <c r="C402" s="1" t="s">
        <v>1217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7">
        <v>0</v>
      </c>
      <c r="AE402" s="35">
        <f t="shared" si="105"/>
        <v>0</v>
      </c>
      <c r="AF402" s="34" t="s">
        <v>35</v>
      </c>
      <c r="AG402" s="30" cm="1">
        <f t="array" ref="AG402">DIASQUIEBRE(Q402:AB402)</f>
        <v>0</v>
      </c>
      <c r="AH402" s="30" cm="1">
        <f t="array" ref="AH402">DiasMesesGris(Q402:AB402)</f>
        <v>360</v>
      </c>
      <c r="AI402" s="30">
        <f t="shared" si="107"/>
        <v>360</v>
      </c>
      <c r="AJ402" s="30">
        <f t="shared" si="108"/>
        <v>0</v>
      </c>
      <c r="AK402" s="31">
        <f t="shared" si="109"/>
        <v>0</v>
      </c>
      <c r="AL402" s="32">
        <f t="shared" si="106"/>
        <v>0</v>
      </c>
    </row>
    <row r="403" spans="1:38" x14ac:dyDescent="0.25">
      <c r="A403" s="1" t="s">
        <v>1218</v>
      </c>
      <c r="B403" s="1" t="s">
        <v>1219</v>
      </c>
      <c r="C403" s="1" t="s">
        <v>1220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7">
        <v>0</v>
      </c>
      <c r="AE403" s="35">
        <f t="shared" si="105"/>
        <v>0</v>
      </c>
      <c r="AF403" s="34" t="s">
        <v>35</v>
      </c>
      <c r="AG403" s="30" cm="1">
        <f t="array" ref="AG403">DIASQUIEBRE(Q403:AB403)</f>
        <v>0</v>
      </c>
      <c r="AH403" s="30" cm="1">
        <f t="array" ref="AH403">DiasMesesGris(Q403:AB403)</f>
        <v>360</v>
      </c>
      <c r="AI403" s="30">
        <f t="shared" si="107"/>
        <v>360</v>
      </c>
      <c r="AJ403" s="30">
        <f t="shared" si="108"/>
        <v>0</v>
      </c>
      <c r="AK403" s="31">
        <f t="shared" si="109"/>
        <v>0</v>
      </c>
      <c r="AL403" s="32">
        <f t="shared" si="106"/>
        <v>0</v>
      </c>
    </row>
    <row r="404" spans="1:38" x14ac:dyDescent="0.25">
      <c r="A404" s="1" t="s">
        <v>1221</v>
      </c>
      <c r="B404" s="1" t="s">
        <v>1222</v>
      </c>
      <c r="C404" s="1" t="s">
        <v>1223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7">
        <v>0</v>
      </c>
      <c r="AE404" s="35">
        <f t="shared" si="105"/>
        <v>0</v>
      </c>
      <c r="AF404" s="34" t="s">
        <v>35</v>
      </c>
      <c r="AG404" s="30" cm="1">
        <f t="array" ref="AG404">DIASQUIEBRE(Q404:AB404)</f>
        <v>0</v>
      </c>
      <c r="AH404" s="30" cm="1">
        <f t="array" ref="AH404">DiasMesesGris(Q404:AB404)</f>
        <v>360</v>
      </c>
      <c r="AI404" s="30">
        <f t="shared" si="107"/>
        <v>360</v>
      </c>
      <c r="AJ404" s="30">
        <f t="shared" si="108"/>
        <v>0</v>
      </c>
      <c r="AK404" s="31">
        <f t="shared" si="109"/>
        <v>0</v>
      </c>
      <c r="AL404" s="32">
        <f t="shared" si="106"/>
        <v>0</v>
      </c>
    </row>
    <row r="405" spans="1:38" x14ac:dyDescent="0.25">
      <c r="A405" s="1" t="s">
        <v>1224</v>
      </c>
      <c r="B405" s="1" t="s">
        <v>1225</v>
      </c>
      <c r="C405" s="1" t="s">
        <v>1226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7">
        <v>0</v>
      </c>
      <c r="AE405" s="35">
        <f t="shared" si="105"/>
        <v>0</v>
      </c>
      <c r="AF405" s="34" t="s">
        <v>35</v>
      </c>
      <c r="AG405" s="30" cm="1">
        <f t="array" ref="AG405">DIASQUIEBRE(Q405:AB405)</f>
        <v>0</v>
      </c>
      <c r="AH405" s="30" cm="1">
        <f t="array" ref="AH405">DiasMesesGris(Q405:AB405)</f>
        <v>360</v>
      </c>
      <c r="AI405" s="30">
        <f t="shared" si="107"/>
        <v>360</v>
      </c>
      <c r="AJ405" s="30">
        <f t="shared" si="108"/>
        <v>0</v>
      </c>
      <c r="AK405" s="31">
        <f t="shared" si="109"/>
        <v>0</v>
      </c>
      <c r="AL405" s="32">
        <f t="shared" si="106"/>
        <v>0</v>
      </c>
    </row>
    <row r="406" spans="1:38" x14ac:dyDescent="0.25">
      <c r="A406" s="1" t="s">
        <v>1227</v>
      </c>
      <c r="B406" s="1" t="s">
        <v>1228</v>
      </c>
      <c r="C406" s="1" t="s">
        <v>1229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7">
        <v>0</v>
      </c>
      <c r="AE406" s="35">
        <f t="shared" si="105"/>
        <v>0</v>
      </c>
      <c r="AF406" s="34" t="s">
        <v>35</v>
      </c>
      <c r="AG406" s="30" cm="1">
        <f t="array" ref="AG406">DIASQUIEBRE(Q406:AB406)</f>
        <v>0</v>
      </c>
      <c r="AH406" s="30" cm="1">
        <f t="array" ref="AH406">DiasMesesGris(Q406:AB406)</f>
        <v>360</v>
      </c>
      <c r="AI406" s="30">
        <f t="shared" si="107"/>
        <v>360</v>
      </c>
      <c r="AJ406" s="30">
        <f t="shared" si="108"/>
        <v>0</v>
      </c>
      <c r="AK406" s="31">
        <f t="shared" si="109"/>
        <v>0</v>
      </c>
      <c r="AL406" s="32">
        <f t="shared" si="106"/>
        <v>0</v>
      </c>
    </row>
    <row r="407" spans="1:38" x14ac:dyDescent="0.25">
      <c r="A407" s="1" t="s">
        <v>1230</v>
      </c>
      <c r="B407" s="1" t="s">
        <v>1231</v>
      </c>
      <c r="C407" s="1" t="s">
        <v>1232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7">
        <v>0</v>
      </c>
      <c r="AE407" s="35">
        <f t="shared" si="105"/>
        <v>0</v>
      </c>
      <c r="AF407" s="34" t="s">
        <v>35</v>
      </c>
      <c r="AG407" s="30" cm="1">
        <f t="array" ref="AG407">DIASQUIEBRE(Q407:AB407)</f>
        <v>0</v>
      </c>
      <c r="AH407" s="30" cm="1">
        <f t="array" ref="AH407">DiasMesesGris(Q407:AB407)</f>
        <v>360</v>
      </c>
      <c r="AI407" s="30">
        <f t="shared" si="107"/>
        <v>360</v>
      </c>
      <c r="AJ407" s="30">
        <f t="shared" si="108"/>
        <v>0</v>
      </c>
      <c r="AK407" s="31">
        <f t="shared" si="109"/>
        <v>0</v>
      </c>
      <c r="AL407" s="32">
        <f t="shared" si="106"/>
        <v>0</v>
      </c>
    </row>
    <row r="408" spans="1:38" x14ac:dyDescent="0.25">
      <c r="A408" s="1" t="s">
        <v>1233</v>
      </c>
      <c r="B408" s="1" t="s">
        <v>1234</v>
      </c>
      <c r="C408" s="1" t="s">
        <v>1235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7">
        <v>0</v>
      </c>
      <c r="AE408" s="35">
        <f t="shared" si="105"/>
        <v>0</v>
      </c>
      <c r="AF408" s="34" t="s">
        <v>35</v>
      </c>
      <c r="AG408" s="30" cm="1">
        <f t="array" ref="AG408">DIASQUIEBRE(Q408:AB408)</f>
        <v>0</v>
      </c>
      <c r="AH408" s="30" cm="1">
        <f t="array" ref="AH408">DiasMesesGris(Q408:AB408)</f>
        <v>360</v>
      </c>
      <c r="AI408" s="30">
        <f t="shared" si="107"/>
        <v>360</v>
      </c>
      <c r="AJ408" s="30">
        <f t="shared" si="108"/>
        <v>0</v>
      </c>
      <c r="AK408" s="31">
        <f t="shared" si="109"/>
        <v>0</v>
      </c>
      <c r="AL408" s="32">
        <f t="shared" si="106"/>
        <v>0</v>
      </c>
    </row>
    <row r="409" spans="1:38" x14ac:dyDescent="0.25">
      <c r="A409" s="1" t="s">
        <v>1236</v>
      </c>
      <c r="B409" s="1" t="s">
        <v>1237</v>
      </c>
      <c r="C409" s="1" t="s">
        <v>1238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7">
        <v>0</v>
      </c>
      <c r="AE409" s="35">
        <f t="shared" si="105"/>
        <v>0</v>
      </c>
      <c r="AF409" s="34" t="s">
        <v>35</v>
      </c>
      <c r="AG409" s="30" cm="1">
        <f t="array" ref="AG409">DIASQUIEBRE(Q409:AB409)</f>
        <v>0</v>
      </c>
      <c r="AH409" s="30" cm="1">
        <f t="array" ref="AH409">DiasMesesGris(Q409:AB409)</f>
        <v>360</v>
      </c>
      <c r="AI409" s="30">
        <f t="shared" si="107"/>
        <v>360</v>
      </c>
      <c r="AJ409" s="30">
        <f t="shared" si="108"/>
        <v>0</v>
      </c>
      <c r="AK409" s="31">
        <f t="shared" si="109"/>
        <v>0</v>
      </c>
      <c r="AL409" s="32">
        <f t="shared" si="106"/>
        <v>0</v>
      </c>
    </row>
    <row r="410" spans="1:38" x14ac:dyDescent="0.25">
      <c r="A410" s="1" t="s">
        <v>1239</v>
      </c>
      <c r="B410" s="1" t="s">
        <v>1240</v>
      </c>
      <c r="C410" s="1" t="s">
        <v>1241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7">
        <v>0</v>
      </c>
      <c r="AE410" s="35">
        <f t="shared" si="105"/>
        <v>0</v>
      </c>
      <c r="AF410" s="34" t="s">
        <v>35</v>
      </c>
      <c r="AG410" s="30" cm="1">
        <f t="array" ref="AG410">DIASQUIEBRE(Q410:AB410)</f>
        <v>0</v>
      </c>
      <c r="AH410" s="30" cm="1">
        <f t="array" ref="AH410">DiasMesesGris(Q410:AB410)</f>
        <v>360</v>
      </c>
      <c r="AI410" s="30">
        <f t="shared" si="107"/>
        <v>360</v>
      </c>
      <c r="AJ410" s="30">
        <f t="shared" si="108"/>
        <v>0</v>
      </c>
      <c r="AK410" s="31">
        <f t="shared" si="109"/>
        <v>0</v>
      </c>
      <c r="AL410" s="32">
        <f t="shared" si="106"/>
        <v>0</v>
      </c>
    </row>
    <row r="411" spans="1:38" x14ac:dyDescent="0.25">
      <c r="A411" s="1" t="s">
        <v>1242</v>
      </c>
      <c r="B411" s="1" t="s">
        <v>1243</v>
      </c>
      <c r="C411" s="1" t="s">
        <v>1244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7">
        <v>0</v>
      </c>
      <c r="AE411" s="35">
        <f t="shared" si="105"/>
        <v>0</v>
      </c>
      <c r="AF411" s="34" t="s">
        <v>35</v>
      </c>
      <c r="AG411" s="30" cm="1">
        <f t="array" ref="AG411">DIASQUIEBRE(Q411:AB411)</f>
        <v>0</v>
      </c>
      <c r="AH411" s="30" cm="1">
        <f t="array" ref="AH411">DiasMesesGris(Q411:AB411)</f>
        <v>360</v>
      </c>
      <c r="AI411" s="30">
        <f t="shared" si="107"/>
        <v>360</v>
      </c>
      <c r="AJ411" s="30">
        <f t="shared" si="108"/>
        <v>0</v>
      </c>
      <c r="AK411" s="31">
        <f t="shared" si="109"/>
        <v>0</v>
      </c>
      <c r="AL411" s="32">
        <f t="shared" si="106"/>
        <v>0</v>
      </c>
    </row>
    <row r="412" spans="1:38" x14ac:dyDescent="0.25">
      <c r="A412" s="1" t="s">
        <v>1245</v>
      </c>
      <c r="B412" s="1" t="s">
        <v>1246</v>
      </c>
      <c r="C412" s="1" t="s">
        <v>1247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7">
        <v>0</v>
      </c>
      <c r="AE412" s="35">
        <f t="shared" si="105"/>
        <v>0</v>
      </c>
      <c r="AF412" s="34" t="s">
        <v>35</v>
      </c>
      <c r="AG412" s="30" cm="1">
        <f t="array" ref="AG412">DIASQUIEBRE(Q412:AB412)</f>
        <v>0</v>
      </c>
      <c r="AH412" s="30" cm="1">
        <f t="array" ref="AH412">DiasMesesGris(Q412:AB412)</f>
        <v>360</v>
      </c>
      <c r="AI412" s="30">
        <f t="shared" si="107"/>
        <v>360</v>
      </c>
      <c r="AJ412" s="30">
        <f t="shared" si="108"/>
        <v>0</v>
      </c>
      <c r="AK412" s="31">
        <f t="shared" si="109"/>
        <v>0</v>
      </c>
      <c r="AL412" s="32">
        <f t="shared" si="106"/>
        <v>0</v>
      </c>
    </row>
    <row r="413" spans="1:38" x14ac:dyDescent="0.25">
      <c r="A413" s="1" t="s">
        <v>1248</v>
      </c>
      <c r="B413" s="1" t="s">
        <v>1249</v>
      </c>
      <c r="C413" s="1" t="s">
        <v>1250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7">
        <v>0</v>
      </c>
      <c r="AE413" s="35">
        <f t="shared" si="105"/>
        <v>0</v>
      </c>
      <c r="AF413" s="34" t="s">
        <v>35</v>
      </c>
      <c r="AG413" s="30" cm="1">
        <f t="array" ref="AG413">DIASQUIEBRE(Q413:AB413)</f>
        <v>0</v>
      </c>
      <c r="AH413" s="30" cm="1">
        <f t="array" ref="AH413">DiasMesesGris(Q413:AB413)</f>
        <v>360</v>
      </c>
      <c r="AI413" s="30">
        <f t="shared" si="107"/>
        <v>360</v>
      </c>
      <c r="AJ413" s="30">
        <f t="shared" si="108"/>
        <v>0</v>
      </c>
      <c r="AK413" s="31">
        <f t="shared" si="109"/>
        <v>0</v>
      </c>
      <c r="AL413" s="32">
        <f t="shared" si="106"/>
        <v>0</v>
      </c>
    </row>
    <row r="414" spans="1:38" x14ac:dyDescent="0.25">
      <c r="A414" s="1" t="s">
        <v>1251</v>
      </c>
      <c r="B414" s="1" t="s">
        <v>1252</v>
      </c>
      <c r="C414" s="1" t="s">
        <v>1253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7">
        <v>0</v>
      </c>
      <c r="AE414" s="35">
        <f t="shared" si="105"/>
        <v>0</v>
      </c>
      <c r="AF414" s="34" t="s">
        <v>35</v>
      </c>
      <c r="AG414" s="30" cm="1">
        <f t="array" ref="AG414">DIASQUIEBRE(Q414:AB414)</f>
        <v>0</v>
      </c>
      <c r="AH414" s="30" cm="1">
        <f t="array" ref="AH414">DiasMesesGris(Q414:AB414)</f>
        <v>360</v>
      </c>
      <c r="AI414" s="30">
        <f t="shared" si="107"/>
        <v>360</v>
      </c>
      <c r="AJ414" s="30">
        <f t="shared" si="108"/>
        <v>0</v>
      </c>
      <c r="AK414" s="31">
        <f t="shared" si="109"/>
        <v>0</v>
      </c>
      <c r="AL414" s="32">
        <f t="shared" si="106"/>
        <v>0</v>
      </c>
    </row>
    <row r="415" spans="1:38" x14ac:dyDescent="0.25">
      <c r="A415" s="1" t="s">
        <v>1254</v>
      </c>
      <c r="B415" s="1" t="s">
        <v>1255</v>
      </c>
      <c r="C415" s="1" t="s">
        <v>1256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7">
        <v>0</v>
      </c>
      <c r="AE415" s="35">
        <f t="shared" si="105"/>
        <v>0</v>
      </c>
      <c r="AF415" s="34" t="s">
        <v>35</v>
      </c>
      <c r="AG415" s="30" cm="1">
        <f t="array" ref="AG415">DIASQUIEBRE(Q415:AB415)</f>
        <v>0</v>
      </c>
      <c r="AH415" s="30" cm="1">
        <f t="array" ref="AH415">DiasMesesGris(Q415:AB415)</f>
        <v>360</v>
      </c>
      <c r="AI415" s="30">
        <f t="shared" si="107"/>
        <v>360</v>
      </c>
      <c r="AJ415" s="30">
        <f t="shared" si="108"/>
        <v>0</v>
      </c>
      <c r="AK415" s="31">
        <f t="shared" si="109"/>
        <v>0</v>
      </c>
      <c r="AL415" s="32">
        <f t="shared" si="106"/>
        <v>0</v>
      </c>
    </row>
    <row r="416" spans="1:38" x14ac:dyDescent="0.25">
      <c r="A416" s="1" t="s">
        <v>1257</v>
      </c>
      <c r="B416" s="1" t="s">
        <v>1258</v>
      </c>
      <c r="C416" s="1" t="s">
        <v>1259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7">
        <v>0</v>
      </c>
      <c r="AE416" s="35">
        <f t="shared" si="105"/>
        <v>0</v>
      </c>
      <c r="AF416" s="34" t="s">
        <v>35</v>
      </c>
      <c r="AG416" s="30" cm="1">
        <f t="array" ref="AG416">DIASQUIEBRE(Q416:AB416)</f>
        <v>0</v>
      </c>
      <c r="AH416" s="30" cm="1">
        <f t="array" ref="AH416">DiasMesesGris(Q416:AB416)</f>
        <v>360</v>
      </c>
      <c r="AI416" s="30">
        <f t="shared" si="107"/>
        <v>360</v>
      </c>
      <c r="AJ416" s="30">
        <f t="shared" si="108"/>
        <v>0</v>
      </c>
      <c r="AK416" s="31">
        <f t="shared" si="109"/>
        <v>0</v>
      </c>
      <c r="AL416" s="32">
        <f t="shared" si="106"/>
        <v>0</v>
      </c>
    </row>
    <row r="417" spans="1:38" x14ac:dyDescent="0.25">
      <c r="A417" s="1" t="s">
        <v>1260</v>
      </c>
      <c r="B417" s="1" t="s">
        <v>1261</v>
      </c>
      <c r="C417" s="1" t="s">
        <v>1262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7">
        <v>0</v>
      </c>
      <c r="AE417" s="35">
        <f t="shared" si="105"/>
        <v>0</v>
      </c>
      <c r="AF417" s="34" t="s">
        <v>35</v>
      </c>
      <c r="AG417" s="30" cm="1">
        <f t="array" ref="AG417">DIASQUIEBRE(Q417:AB417)</f>
        <v>0</v>
      </c>
      <c r="AH417" s="30" cm="1">
        <f t="array" ref="AH417">DiasMesesGris(Q417:AB417)</f>
        <v>360</v>
      </c>
      <c r="AI417" s="30">
        <f t="shared" si="107"/>
        <v>360</v>
      </c>
      <c r="AJ417" s="30">
        <f t="shared" si="108"/>
        <v>0</v>
      </c>
      <c r="AK417" s="31">
        <f t="shared" si="109"/>
        <v>0</v>
      </c>
      <c r="AL417" s="32">
        <f t="shared" si="106"/>
        <v>0</v>
      </c>
    </row>
    <row r="418" spans="1:38" x14ac:dyDescent="0.25">
      <c r="A418" s="1" t="s">
        <v>1263</v>
      </c>
      <c r="B418" s="1" t="s">
        <v>1264</v>
      </c>
      <c r="C418" s="1" t="s">
        <v>1265</v>
      </c>
      <c r="D418" s="3"/>
      <c r="E418" s="3"/>
      <c r="F418" s="5">
        <v>2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7">
        <v>0</v>
      </c>
      <c r="AE418" s="35">
        <f t="shared" si="105"/>
        <v>0</v>
      </c>
      <c r="AF418" s="34" t="s">
        <v>35</v>
      </c>
      <c r="AG418" s="30" cm="1">
        <f t="array" ref="AG418">DIASQUIEBRE(Q418:AB418)</f>
        <v>0</v>
      </c>
      <c r="AH418" s="30" cm="1">
        <f t="array" ref="AH418">DiasMesesGris(Q418:AB418)</f>
        <v>360</v>
      </c>
      <c r="AI418" s="30">
        <f t="shared" si="107"/>
        <v>360</v>
      </c>
      <c r="AJ418" s="30">
        <f t="shared" si="108"/>
        <v>0</v>
      </c>
      <c r="AK418" s="31">
        <f t="shared" si="109"/>
        <v>2</v>
      </c>
      <c r="AL418" s="32">
        <f t="shared" si="106"/>
        <v>0</v>
      </c>
    </row>
    <row r="419" spans="1:38" x14ac:dyDescent="0.25">
      <c r="A419" s="1" t="s">
        <v>1266</v>
      </c>
      <c r="B419" s="1" t="s">
        <v>1267</v>
      </c>
      <c r="C419" s="1" t="s">
        <v>1268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7">
        <v>0</v>
      </c>
      <c r="AE419" s="35">
        <f t="shared" si="105"/>
        <v>0</v>
      </c>
      <c r="AF419" s="34" t="s">
        <v>35</v>
      </c>
      <c r="AG419" s="30" cm="1">
        <f t="array" ref="AG419">DIASQUIEBRE(Q419:AB419)</f>
        <v>0</v>
      </c>
      <c r="AH419" s="30" cm="1">
        <f t="array" ref="AH419">DiasMesesGris(Q419:AB419)</f>
        <v>360</v>
      </c>
      <c r="AI419" s="30">
        <f t="shared" si="107"/>
        <v>360</v>
      </c>
      <c r="AJ419" s="30">
        <f t="shared" si="108"/>
        <v>0</v>
      </c>
      <c r="AK419" s="31">
        <f t="shared" si="109"/>
        <v>0</v>
      </c>
      <c r="AL419" s="32">
        <f t="shared" si="106"/>
        <v>0</v>
      </c>
    </row>
    <row r="420" spans="1:38" x14ac:dyDescent="0.25">
      <c r="A420" s="1" t="s">
        <v>1269</v>
      </c>
      <c r="B420" s="1" t="s">
        <v>1270</v>
      </c>
      <c r="C420" s="1" t="s">
        <v>1271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7">
        <v>0</v>
      </c>
      <c r="AE420" s="35">
        <f t="shared" si="105"/>
        <v>0</v>
      </c>
      <c r="AF420" s="34" t="s">
        <v>35</v>
      </c>
      <c r="AG420" s="30" cm="1">
        <f t="array" ref="AG420">DIASQUIEBRE(Q420:AB420)</f>
        <v>0</v>
      </c>
      <c r="AH420" s="30" cm="1">
        <f t="array" ref="AH420">DiasMesesGris(Q420:AB420)</f>
        <v>360</v>
      </c>
      <c r="AI420" s="30">
        <f t="shared" si="107"/>
        <v>360</v>
      </c>
      <c r="AJ420" s="30">
        <f t="shared" si="108"/>
        <v>0</v>
      </c>
      <c r="AK420" s="31">
        <f t="shared" si="109"/>
        <v>0</v>
      </c>
      <c r="AL420" s="32">
        <f t="shared" si="106"/>
        <v>0</v>
      </c>
    </row>
    <row r="421" spans="1:38" x14ac:dyDescent="0.25">
      <c r="A421" s="1" t="s">
        <v>1272</v>
      </c>
      <c r="B421" s="1" t="s">
        <v>1273</v>
      </c>
      <c r="C421" s="1" t="s">
        <v>1274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7">
        <v>0</v>
      </c>
      <c r="AE421" s="35">
        <f t="shared" si="105"/>
        <v>0</v>
      </c>
      <c r="AF421" s="34" t="s">
        <v>35</v>
      </c>
      <c r="AG421" s="30" cm="1">
        <f t="array" ref="AG421">DIASQUIEBRE(Q421:AB421)</f>
        <v>0</v>
      </c>
      <c r="AH421" s="30" cm="1">
        <f t="array" ref="AH421">DiasMesesGris(Q421:AB421)</f>
        <v>360</v>
      </c>
      <c r="AI421" s="30">
        <f t="shared" si="107"/>
        <v>360</v>
      </c>
      <c r="AJ421" s="30">
        <f t="shared" si="108"/>
        <v>0</v>
      </c>
      <c r="AK421" s="31">
        <f t="shared" si="109"/>
        <v>0</v>
      </c>
      <c r="AL421" s="32">
        <f t="shared" si="106"/>
        <v>0</v>
      </c>
    </row>
    <row r="422" spans="1:38" x14ac:dyDescent="0.25">
      <c r="A422" s="1" t="s">
        <v>1275</v>
      </c>
      <c r="B422" s="1" t="s">
        <v>1276</v>
      </c>
      <c r="C422" s="1" t="s">
        <v>1277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7">
        <v>0</v>
      </c>
      <c r="AE422" s="35">
        <f t="shared" si="105"/>
        <v>0</v>
      </c>
      <c r="AF422" s="34" t="s">
        <v>35</v>
      </c>
      <c r="AG422" s="30" cm="1">
        <f t="array" ref="AG422">DIASQUIEBRE(Q422:AB422)</f>
        <v>0</v>
      </c>
      <c r="AH422" s="30" cm="1">
        <f t="array" ref="AH422">DiasMesesGris(Q422:AB422)</f>
        <v>360</v>
      </c>
      <c r="AI422" s="30">
        <f t="shared" si="107"/>
        <v>360</v>
      </c>
      <c r="AJ422" s="30">
        <f t="shared" si="108"/>
        <v>0</v>
      </c>
      <c r="AK422" s="31">
        <f t="shared" si="109"/>
        <v>0</v>
      </c>
      <c r="AL422" s="32">
        <f t="shared" si="106"/>
        <v>0</v>
      </c>
    </row>
    <row r="423" spans="1:38" x14ac:dyDescent="0.25">
      <c r="A423" s="1" t="s">
        <v>1278</v>
      </c>
      <c r="B423" s="1" t="s">
        <v>1279</v>
      </c>
      <c r="C423" s="1" t="s">
        <v>1280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7">
        <v>0</v>
      </c>
      <c r="AE423" s="35">
        <f t="shared" si="105"/>
        <v>0</v>
      </c>
      <c r="AF423" s="34" t="s">
        <v>35</v>
      </c>
      <c r="AG423" s="30" cm="1">
        <f t="array" ref="AG423">DIASQUIEBRE(Q423:AB423)</f>
        <v>0</v>
      </c>
      <c r="AH423" s="30" cm="1">
        <f t="array" ref="AH423">DiasMesesGris(Q423:AB423)</f>
        <v>360</v>
      </c>
      <c r="AI423" s="30">
        <f t="shared" si="107"/>
        <v>360</v>
      </c>
      <c r="AJ423" s="30">
        <f t="shared" si="108"/>
        <v>0</v>
      </c>
      <c r="AK423" s="31">
        <f t="shared" si="109"/>
        <v>0</v>
      </c>
      <c r="AL423" s="32">
        <f t="shared" si="106"/>
        <v>0</v>
      </c>
    </row>
    <row r="424" spans="1:38" x14ac:dyDescent="0.25">
      <c r="A424" s="1" t="s">
        <v>1281</v>
      </c>
      <c r="B424" s="1" t="s">
        <v>1282</v>
      </c>
      <c r="C424" s="1" t="s">
        <v>1283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7">
        <v>0</v>
      </c>
      <c r="AE424" s="35">
        <f t="shared" si="105"/>
        <v>0</v>
      </c>
      <c r="AF424" s="34" t="s">
        <v>35</v>
      </c>
      <c r="AG424" s="30" cm="1">
        <f t="array" ref="AG424">DIASQUIEBRE(Q424:AB424)</f>
        <v>0</v>
      </c>
      <c r="AH424" s="30" cm="1">
        <f t="array" ref="AH424">DiasMesesGris(Q424:AB424)</f>
        <v>360</v>
      </c>
      <c r="AI424" s="30">
        <f t="shared" si="107"/>
        <v>360</v>
      </c>
      <c r="AJ424" s="30">
        <f t="shared" si="108"/>
        <v>0</v>
      </c>
      <c r="AK424" s="31">
        <f t="shared" si="109"/>
        <v>0</v>
      </c>
      <c r="AL424" s="32">
        <f t="shared" si="106"/>
        <v>0</v>
      </c>
    </row>
    <row r="425" spans="1:38" x14ac:dyDescent="0.25">
      <c r="A425" s="1" t="s">
        <v>1284</v>
      </c>
      <c r="B425" s="1" t="s">
        <v>1285</v>
      </c>
      <c r="C425" s="1" t="s">
        <v>1286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7">
        <v>0</v>
      </c>
      <c r="AE425" s="35">
        <f t="shared" si="105"/>
        <v>0</v>
      </c>
      <c r="AF425" s="34" t="s">
        <v>35</v>
      </c>
      <c r="AG425" s="30" cm="1">
        <f t="array" ref="AG425">DIASQUIEBRE(Q425:AB425)</f>
        <v>0</v>
      </c>
      <c r="AH425" s="30" cm="1">
        <f t="array" ref="AH425">DiasMesesGris(Q425:AB425)</f>
        <v>360</v>
      </c>
      <c r="AI425" s="30">
        <f t="shared" si="107"/>
        <v>360</v>
      </c>
      <c r="AJ425" s="30">
        <f t="shared" si="108"/>
        <v>0</v>
      </c>
      <c r="AK425" s="31">
        <f t="shared" si="109"/>
        <v>0</v>
      </c>
      <c r="AL425" s="32">
        <f t="shared" si="106"/>
        <v>0</v>
      </c>
    </row>
    <row r="426" spans="1:38" x14ac:dyDescent="0.25">
      <c r="A426" s="1" t="s">
        <v>1287</v>
      </c>
      <c r="B426" s="1" t="s">
        <v>1288</v>
      </c>
      <c r="C426" s="1" t="s">
        <v>1289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7">
        <v>0</v>
      </c>
      <c r="AE426" s="35">
        <f t="shared" si="105"/>
        <v>0</v>
      </c>
      <c r="AF426" s="34" t="s">
        <v>35</v>
      </c>
      <c r="AG426" s="30" cm="1">
        <f t="array" ref="AG426">DIASQUIEBRE(Q426:AB426)</f>
        <v>0</v>
      </c>
      <c r="AH426" s="30" cm="1">
        <f t="array" ref="AH426">DiasMesesGris(Q426:AB426)</f>
        <v>360</v>
      </c>
      <c r="AI426" s="30">
        <f t="shared" si="107"/>
        <v>360</v>
      </c>
      <c r="AJ426" s="30">
        <f t="shared" si="108"/>
        <v>0</v>
      </c>
      <c r="AK426" s="31">
        <f t="shared" si="109"/>
        <v>0</v>
      </c>
      <c r="AL426" s="32">
        <f t="shared" si="106"/>
        <v>0</v>
      </c>
    </row>
    <row r="427" spans="1:38" x14ac:dyDescent="0.25">
      <c r="A427" s="1" t="s">
        <v>1290</v>
      </c>
      <c r="B427" s="1" t="s">
        <v>1291</v>
      </c>
      <c r="C427" s="1" t="s">
        <v>1292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7">
        <v>0</v>
      </c>
      <c r="AE427" s="35">
        <f t="shared" si="105"/>
        <v>0</v>
      </c>
      <c r="AF427" s="34" t="s">
        <v>35</v>
      </c>
      <c r="AG427" s="30" cm="1">
        <f t="array" ref="AG427">DIASQUIEBRE(Q427:AB427)</f>
        <v>0</v>
      </c>
      <c r="AH427" s="30" cm="1">
        <f t="array" ref="AH427">DiasMesesGris(Q427:AB427)</f>
        <v>360</v>
      </c>
      <c r="AI427" s="30">
        <f t="shared" si="107"/>
        <v>360</v>
      </c>
      <c r="AJ427" s="30">
        <f t="shared" si="108"/>
        <v>0</v>
      </c>
      <c r="AK427" s="31">
        <f t="shared" si="109"/>
        <v>0</v>
      </c>
      <c r="AL427" s="32">
        <f t="shared" si="106"/>
        <v>0</v>
      </c>
    </row>
    <row r="428" spans="1:38" x14ac:dyDescent="0.25">
      <c r="A428" s="1" t="s">
        <v>1293</v>
      </c>
      <c r="B428" s="1" t="s">
        <v>1294</v>
      </c>
      <c r="C428" s="1" t="s">
        <v>1295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7">
        <v>0</v>
      </c>
      <c r="AE428" s="35">
        <f t="shared" si="105"/>
        <v>0</v>
      </c>
      <c r="AF428" s="34" t="s">
        <v>35</v>
      </c>
      <c r="AG428" s="30" cm="1">
        <f t="array" ref="AG428">DIASQUIEBRE(Q428:AB428)</f>
        <v>0</v>
      </c>
      <c r="AH428" s="30" cm="1">
        <f t="array" ref="AH428">DiasMesesGris(Q428:AB428)</f>
        <v>360</v>
      </c>
      <c r="AI428" s="30">
        <f t="shared" si="107"/>
        <v>360</v>
      </c>
      <c r="AJ428" s="30">
        <f t="shared" si="108"/>
        <v>0</v>
      </c>
      <c r="AK428" s="31">
        <f t="shared" si="109"/>
        <v>0</v>
      </c>
      <c r="AL428" s="32">
        <f t="shared" si="106"/>
        <v>0</v>
      </c>
    </row>
    <row r="429" spans="1:38" x14ac:dyDescent="0.25">
      <c r="A429" s="1" t="s">
        <v>1296</v>
      </c>
      <c r="B429" s="1" t="s">
        <v>1297</v>
      </c>
      <c r="C429" s="1" t="s">
        <v>1298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7">
        <v>0</v>
      </c>
      <c r="AE429" s="35">
        <f t="shared" si="105"/>
        <v>0</v>
      </c>
      <c r="AF429" s="34" t="s">
        <v>35</v>
      </c>
      <c r="AG429" s="30" cm="1">
        <f t="array" ref="AG429">DIASQUIEBRE(Q429:AB429)</f>
        <v>0</v>
      </c>
      <c r="AH429" s="30" cm="1">
        <f t="array" ref="AH429">DiasMesesGris(Q429:AB429)</f>
        <v>360</v>
      </c>
      <c r="AI429" s="30">
        <f t="shared" si="107"/>
        <v>360</v>
      </c>
      <c r="AJ429" s="30">
        <f t="shared" si="108"/>
        <v>0</v>
      </c>
      <c r="AK429" s="31">
        <f t="shared" si="109"/>
        <v>0</v>
      </c>
      <c r="AL429" s="32">
        <f t="shared" si="106"/>
        <v>0</v>
      </c>
    </row>
    <row r="430" spans="1:38" x14ac:dyDescent="0.25">
      <c r="A430" s="1" t="s">
        <v>1299</v>
      </c>
      <c r="B430" s="1" t="s">
        <v>1300</v>
      </c>
      <c r="C430" s="1" t="s">
        <v>1301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7">
        <v>0</v>
      </c>
      <c r="AE430" s="35">
        <f t="shared" si="105"/>
        <v>0</v>
      </c>
      <c r="AF430" s="34" t="s">
        <v>35</v>
      </c>
      <c r="AG430" s="30" cm="1">
        <f t="array" ref="AG430">DIASQUIEBRE(Q430:AB430)</f>
        <v>0</v>
      </c>
      <c r="AH430" s="30" cm="1">
        <f t="array" ref="AH430">DiasMesesGris(Q430:AB430)</f>
        <v>360</v>
      </c>
      <c r="AI430" s="30">
        <f t="shared" si="107"/>
        <v>360</v>
      </c>
      <c r="AJ430" s="30">
        <f t="shared" si="108"/>
        <v>0</v>
      </c>
      <c r="AK430" s="31">
        <f t="shared" si="109"/>
        <v>0</v>
      </c>
      <c r="AL430" s="32">
        <f t="shared" si="106"/>
        <v>0</v>
      </c>
    </row>
    <row r="431" spans="1:38" x14ac:dyDescent="0.25">
      <c r="A431" s="1" t="s">
        <v>1302</v>
      </c>
      <c r="B431" s="1" t="s">
        <v>1303</v>
      </c>
      <c r="C431" s="1" t="s">
        <v>1304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7">
        <v>0</v>
      </c>
      <c r="AE431" s="35">
        <f t="shared" si="105"/>
        <v>0</v>
      </c>
      <c r="AF431" s="34" t="s">
        <v>35</v>
      </c>
      <c r="AG431" s="30" cm="1">
        <f t="array" ref="AG431">DIASQUIEBRE(Q431:AB431)</f>
        <v>0</v>
      </c>
      <c r="AH431" s="30" cm="1">
        <f t="array" ref="AH431">DiasMesesGris(Q431:AB431)</f>
        <v>360</v>
      </c>
      <c r="AI431" s="30">
        <f t="shared" si="107"/>
        <v>360</v>
      </c>
      <c r="AJ431" s="30">
        <f t="shared" si="108"/>
        <v>0</v>
      </c>
      <c r="AK431" s="31">
        <f t="shared" si="109"/>
        <v>0</v>
      </c>
      <c r="AL431" s="32">
        <f t="shared" si="106"/>
        <v>0</v>
      </c>
    </row>
    <row r="432" spans="1:38" x14ac:dyDescent="0.25">
      <c r="A432" s="1" t="s">
        <v>1305</v>
      </c>
      <c r="B432" s="1" t="s">
        <v>1306</v>
      </c>
      <c r="C432" s="1" t="s">
        <v>1307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7">
        <v>0</v>
      </c>
      <c r="AE432" s="35">
        <f t="shared" si="105"/>
        <v>0</v>
      </c>
      <c r="AF432" s="34" t="s">
        <v>35</v>
      </c>
      <c r="AG432" s="30" cm="1">
        <f t="array" ref="AG432">DIASQUIEBRE(Q432:AB432)</f>
        <v>0</v>
      </c>
      <c r="AH432" s="30" cm="1">
        <f t="array" ref="AH432">DiasMesesGris(Q432:AB432)</f>
        <v>360</v>
      </c>
      <c r="AI432" s="30">
        <f t="shared" si="107"/>
        <v>360</v>
      </c>
      <c r="AJ432" s="30">
        <f t="shared" si="108"/>
        <v>0</v>
      </c>
      <c r="AK432" s="31">
        <f t="shared" si="109"/>
        <v>0</v>
      </c>
      <c r="AL432" s="32">
        <f t="shared" si="106"/>
        <v>0</v>
      </c>
    </row>
    <row r="433" spans="1:38" x14ac:dyDescent="0.25">
      <c r="A433" s="1" t="s">
        <v>1308</v>
      </c>
      <c r="B433" s="1" t="s">
        <v>1309</v>
      </c>
      <c r="C433" s="1" t="s">
        <v>1310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7">
        <v>0</v>
      </c>
      <c r="AE433" s="35">
        <f t="shared" si="105"/>
        <v>0</v>
      </c>
      <c r="AF433" s="34" t="s">
        <v>35</v>
      </c>
      <c r="AG433" s="30" cm="1">
        <f t="array" ref="AG433">DIASQUIEBRE(Q433:AB433)</f>
        <v>0</v>
      </c>
      <c r="AH433" s="30" cm="1">
        <f t="array" ref="AH433">DiasMesesGris(Q433:AB433)</f>
        <v>360</v>
      </c>
      <c r="AI433" s="30">
        <f t="shared" si="107"/>
        <v>360</v>
      </c>
      <c r="AJ433" s="30">
        <f t="shared" si="108"/>
        <v>0</v>
      </c>
      <c r="AK433" s="31">
        <f t="shared" si="109"/>
        <v>0</v>
      </c>
      <c r="AL433" s="32">
        <f t="shared" si="106"/>
        <v>0</v>
      </c>
    </row>
    <row r="434" spans="1:38" x14ac:dyDescent="0.25">
      <c r="A434" s="1" t="s">
        <v>1311</v>
      </c>
      <c r="B434" s="1" t="s">
        <v>1312</v>
      </c>
      <c r="C434" s="1" t="s">
        <v>1313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7">
        <v>0</v>
      </c>
      <c r="AE434" s="35">
        <f t="shared" si="105"/>
        <v>0</v>
      </c>
      <c r="AF434" s="34" t="s">
        <v>35</v>
      </c>
      <c r="AG434" s="30" cm="1">
        <f t="array" ref="AG434">DIASQUIEBRE(Q434:AB434)</f>
        <v>0</v>
      </c>
      <c r="AH434" s="30" cm="1">
        <f t="array" ref="AH434">DiasMesesGris(Q434:AB434)</f>
        <v>360</v>
      </c>
      <c r="AI434" s="30">
        <f t="shared" si="107"/>
        <v>360</v>
      </c>
      <c r="AJ434" s="30">
        <f t="shared" si="108"/>
        <v>0</v>
      </c>
      <c r="AK434" s="31">
        <f t="shared" si="109"/>
        <v>0</v>
      </c>
      <c r="AL434" s="32">
        <f t="shared" si="106"/>
        <v>0</v>
      </c>
    </row>
    <row r="435" spans="1:38" x14ac:dyDescent="0.25">
      <c r="A435" s="1" t="s">
        <v>1314</v>
      </c>
      <c r="B435" s="1" t="s">
        <v>1315</v>
      </c>
      <c r="C435" s="1" t="s">
        <v>1316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7">
        <v>0</v>
      </c>
      <c r="AE435" s="35">
        <f t="shared" si="105"/>
        <v>0</v>
      </c>
      <c r="AF435" s="34" t="s">
        <v>35</v>
      </c>
      <c r="AG435" s="30" cm="1">
        <f t="array" ref="AG435">DIASQUIEBRE(Q435:AB435)</f>
        <v>0</v>
      </c>
      <c r="AH435" s="30" cm="1">
        <f t="array" ref="AH435">DiasMesesGris(Q435:AB435)</f>
        <v>360</v>
      </c>
      <c r="AI435" s="30">
        <f t="shared" si="107"/>
        <v>360</v>
      </c>
      <c r="AJ435" s="30">
        <f t="shared" si="108"/>
        <v>0</v>
      </c>
      <c r="AK435" s="31">
        <f t="shared" si="109"/>
        <v>0</v>
      </c>
      <c r="AL435" s="32">
        <f t="shared" si="106"/>
        <v>0</v>
      </c>
    </row>
    <row r="436" spans="1:38" x14ac:dyDescent="0.25">
      <c r="A436" s="1" t="s">
        <v>1317</v>
      </c>
      <c r="B436" s="1" t="s">
        <v>1318</v>
      </c>
      <c r="C436" s="1" t="s">
        <v>1319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7">
        <v>0</v>
      </c>
      <c r="AE436" s="35">
        <f t="shared" si="105"/>
        <v>0</v>
      </c>
      <c r="AF436" s="34" t="s">
        <v>35</v>
      </c>
      <c r="AG436" s="30" cm="1">
        <f t="array" ref="AG436">DIASQUIEBRE(Q436:AB436)</f>
        <v>0</v>
      </c>
      <c r="AH436" s="30" cm="1">
        <f t="array" ref="AH436">DiasMesesGris(Q436:AB436)</f>
        <v>360</v>
      </c>
      <c r="AI436" s="30">
        <f t="shared" si="107"/>
        <v>360</v>
      </c>
      <c r="AJ436" s="30">
        <f t="shared" si="108"/>
        <v>0</v>
      </c>
      <c r="AK436" s="31">
        <f t="shared" si="109"/>
        <v>0</v>
      </c>
      <c r="AL436" s="32">
        <f t="shared" si="106"/>
        <v>0</v>
      </c>
    </row>
    <row r="437" spans="1:38" x14ac:dyDescent="0.25">
      <c r="A437" s="1" t="s">
        <v>1320</v>
      </c>
      <c r="B437" s="1" t="s">
        <v>1321</v>
      </c>
      <c r="C437" s="1" t="s">
        <v>1322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7">
        <v>0</v>
      </c>
      <c r="AE437" s="35">
        <f t="shared" si="105"/>
        <v>0</v>
      </c>
      <c r="AF437" s="34" t="s">
        <v>35</v>
      </c>
      <c r="AG437" s="30" cm="1">
        <f t="array" ref="AG437">DIASQUIEBRE(Q437:AB437)</f>
        <v>0</v>
      </c>
      <c r="AH437" s="30" cm="1">
        <f t="array" ref="AH437">DiasMesesGris(Q437:AB437)</f>
        <v>360</v>
      </c>
      <c r="AI437" s="30">
        <f t="shared" si="107"/>
        <v>360</v>
      </c>
      <c r="AJ437" s="30">
        <f t="shared" si="108"/>
        <v>0</v>
      </c>
      <c r="AK437" s="31">
        <f t="shared" si="109"/>
        <v>0</v>
      </c>
      <c r="AL437" s="32">
        <f t="shared" si="106"/>
        <v>0</v>
      </c>
    </row>
    <row r="438" spans="1:38" x14ac:dyDescent="0.25">
      <c r="A438" s="1" t="s">
        <v>1323</v>
      </c>
      <c r="B438" s="1" t="s">
        <v>1324</v>
      </c>
      <c r="C438" s="1" t="s">
        <v>1325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7">
        <v>0</v>
      </c>
      <c r="AE438" s="35">
        <f t="shared" si="105"/>
        <v>0</v>
      </c>
      <c r="AF438" s="34" t="s">
        <v>35</v>
      </c>
      <c r="AG438" s="30" cm="1">
        <f t="array" ref="AG438">DIASQUIEBRE(Q438:AB438)</f>
        <v>0</v>
      </c>
      <c r="AH438" s="30" cm="1">
        <f t="array" ref="AH438">DiasMesesGris(Q438:AB438)</f>
        <v>360</v>
      </c>
      <c r="AI438" s="30">
        <f t="shared" si="107"/>
        <v>360</v>
      </c>
      <c r="AJ438" s="30">
        <f t="shared" si="108"/>
        <v>0</v>
      </c>
      <c r="AK438" s="31">
        <f t="shared" si="109"/>
        <v>0</v>
      </c>
      <c r="AL438" s="32">
        <f t="shared" si="106"/>
        <v>0</v>
      </c>
    </row>
    <row r="439" spans="1:38" x14ac:dyDescent="0.25">
      <c r="A439" s="1" t="s">
        <v>1326</v>
      </c>
      <c r="B439" s="1" t="s">
        <v>1327</v>
      </c>
      <c r="C439" s="1" t="s">
        <v>1328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7">
        <v>0</v>
      </c>
      <c r="AE439" s="35">
        <f t="shared" si="105"/>
        <v>0</v>
      </c>
      <c r="AF439" s="34" t="s">
        <v>35</v>
      </c>
      <c r="AG439" s="30" cm="1">
        <f t="array" ref="AG439">DIASQUIEBRE(Q439:AB439)</f>
        <v>0</v>
      </c>
      <c r="AH439" s="30" cm="1">
        <f t="array" ref="AH439">DiasMesesGris(Q439:AB439)</f>
        <v>360</v>
      </c>
      <c r="AI439" s="30">
        <f t="shared" si="107"/>
        <v>360</v>
      </c>
      <c r="AJ439" s="30">
        <f t="shared" si="108"/>
        <v>0</v>
      </c>
      <c r="AK439" s="31">
        <f t="shared" si="109"/>
        <v>0</v>
      </c>
      <c r="AL439" s="32">
        <f t="shared" si="106"/>
        <v>0</v>
      </c>
    </row>
    <row r="440" spans="1:38" x14ac:dyDescent="0.25">
      <c r="A440" s="1" t="s">
        <v>1329</v>
      </c>
      <c r="B440" s="1" t="s">
        <v>1330</v>
      </c>
      <c r="C440" s="1" t="s">
        <v>1331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7">
        <v>0</v>
      </c>
      <c r="AE440" s="35">
        <f t="shared" si="105"/>
        <v>0</v>
      </c>
      <c r="AF440" s="34" t="s">
        <v>35</v>
      </c>
      <c r="AG440" s="30" cm="1">
        <f t="array" ref="AG440">DIASQUIEBRE(Q440:AB440)</f>
        <v>0</v>
      </c>
      <c r="AH440" s="30" cm="1">
        <f t="array" ref="AH440">DiasMesesGris(Q440:AB440)</f>
        <v>360</v>
      </c>
      <c r="AI440" s="30">
        <f t="shared" si="107"/>
        <v>360</v>
      </c>
      <c r="AJ440" s="30">
        <f t="shared" si="108"/>
        <v>0</v>
      </c>
      <c r="AK440" s="31">
        <f t="shared" si="109"/>
        <v>0</v>
      </c>
      <c r="AL440" s="32">
        <f t="shared" si="106"/>
        <v>0</v>
      </c>
    </row>
    <row r="441" spans="1:38" x14ac:dyDescent="0.25">
      <c r="A441" s="1" t="s">
        <v>1332</v>
      </c>
      <c r="B441" s="1" t="s">
        <v>1333</v>
      </c>
      <c r="C441" s="1" t="s">
        <v>1334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7">
        <v>0</v>
      </c>
      <c r="AE441" s="35">
        <f t="shared" si="105"/>
        <v>0</v>
      </c>
      <c r="AF441" s="34" t="s">
        <v>35</v>
      </c>
      <c r="AG441" s="30" cm="1">
        <f t="array" ref="AG441">DIASQUIEBRE(Q441:AB441)</f>
        <v>0</v>
      </c>
      <c r="AH441" s="30" cm="1">
        <f t="array" ref="AH441">DiasMesesGris(Q441:AB441)</f>
        <v>360</v>
      </c>
      <c r="AI441" s="30">
        <f t="shared" si="107"/>
        <v>360</v>
      </c>
      <c r="AJ441" s="30">
        <f t="shared" si="108"/>
        <v>0</v>
      </c>
      <c r="AK441" s="31">
        <f t="shared" si="109"/>
        <v>0</v>
      </c>
      <c r="AL441" s="32">
        <f t="shared" si="106"/>
        <v>0</v>
      </c>
    </row>
    <row r="442" spans="1:38" x14ac:dyDescent="0.25">
      <c r="A442" s="1" t="s">
        <v>1335</v>
      </c>
      <c r="B442" s="1" t="s">
        <v>1336</v>
      </c>
      <c r="C442" s="1" t="s">
        <v>1337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7">
        <v>0</v>
      </c>
      <c r="AE442" s="35">
        <f t="shared" si="105"/>
        <v>0</v>
      </c>
      <c r="AF442" s="34" t="s">
        <v>35</v>
      </c>
      <c r="AG442" s="30" cm="1">
        <f t="array" ref="AG442">DIASQUIEBRE(Q442:AB442)</f>
        <v>0</v>
      </c>
      <c r="AH442" s="30" cm="1">
        <f t="array" ref="AH442">DiasMesesGris(Q442:AB442)</f>
        <v>360</v>
      </c>
      <c r="AI442" s="30">
        <f t="shared" si="107"/>
        <v>360</v>
      </c>
      <c r="AJ442" s="30">
        <f t="shared" si="108"/>
        <v>0</v>
      </c>
      <c r="AK442" s="31">
        <f t="shared" si="109"/>
        <v>0</v>
      </c>
      <c r="AL442" s="32">
        <f t="shared" si="106"/>
        <v>0</v>
      </c>
    </row>
    <row r="443" spans="1:38" x14ac:dyDescent="0.25">
      <c r="A443" s="1" t="s">
        <v>1338</v>
      </c>
      <c r="B443" s="1" t="s">
        <v>1339</v>
      </c>
      <c r="C443" s="1" t="s">
        <v>1340</v>
      </c>
      <c r="D443" s="3"/>
      <c r="E443" s="3"/>
      <c r="F443" s="3"/>
      <c r="G443" s="3"/>
      <c r="H443" s="3"/>
      <c r="I443" s="3"/>
      <c r="J443" s="3"/>
      <c r="K443" s="3"/>
      <c r="L443" s="5">
        <v>2</v>
      </c>
      <c r="M443" s="3"/>
      <c r="N443" s="3"/>
      <c r="O443" s="3"/>
      <c r="P443" s="3"/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7">
        <v>0</v>
      </c>
      <c r="AE443" s="35">
        <f t="shared" si="105"/>
        <v>0</v>
      </c>
      <c r="AF443" s="34" t="s">
        <v>35</v>
      </c>
      <c r="AG443" s="30" cm="1">
        <f t="array" ref="AG443">DIASQUIEBRE(Q443:AB443)</f>
        <v>0</v>
      </c>
      <c r="AH443" s="30" cm="1">
        <f t="array" ref="AH443">DiasMesesGris(Q443:AB443)</f>
        <v>360</v>
      </c>
      <c r="AI443" s="30">
        <f t="shared" si="107"/>
        <v>360</v>
      </c>
      <c r="AJ443" s="30">
        <f t="shared" si="108"/>
        <v>0</v>
      </c>
      <c r="AK443" s="31">
        <f t="shared" si="109"/>
        <v>2</v>
      </c>
      <c r="AL443" s="32">
        <f t="shared" si="106"/>
        <v>0</v>
      </c>
    </row>
    <row r="444" spans="1:38" x14ac:dyDescent="0.25">
      <c r="A444" s="1" t="s">
        <v>1341</v>
      </c>
      <c r="B444" s="1" t="s">
        <v>1342</v>
      </c>
      <c r="C444" s="1" t="s">
        <v>1343</v>
      </c>
      <c r="D444" s="3"/>
      <c r="E444" s="3"/>
      <c r="F444" s="3"/>
      <c r="G444" s="3"/>
      <c r="H444" s="3"/>
      <c r="I444" s="3"/>
      <c r="J444" s="5">
        <v>3</v>
      </c>
      <c r="K444" s="3"/>
      <c r="L444" s="5">
        <v>-1</v>
      </c>
      <c r="M444" s="5">
        <v>2</v>
      </c>
      <c r="N444" s="3"/>
      <c r="O444" s="5">
        <v>1</v>
      </c>
      <c r="P444" s="3"/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7">
        <v>0</v>
      </c>
      <c r="AE444" s="35">
        <f t="shared" si="105"/>
        <v>0</v>
      </c>
      <c r="AF444" s="34" t="s">
        <v>35</v>
      </c>
      <c r="AG444" s="30" cm="1">
        <f t="array" ref="AG444">DIASQUIEBRE(Q444:AB444)</f>
        <v>0</v>
      </c>
      <c r="AH444" s="30" cm="1">
        <f t="array" ref="AH444">DiasMesesGris(Q444:AB444)</f>
        <v>360</v>
      </c>
      <c r="AI444" s="30">
        <f t="shared" si="107"/>
        <v>360</v>
      </c>
      <c r="AJ444" s="30">
        <f t="shared" si="108"/>
        <v>0</v>
      </c>
      <c r="AK444" s="31">
        <f t="shared" si="109"/>
        <v>5</v>
      </c>
      <c r="AL444" s="32">
        <f t="shared" si="106"/>
        <v>0</v>
      </c>
    </row>
    <row r="445" spans="1:38" x14ac:dyDescent="0.25">
      <c r="A445" s="1" t="s">
        <v>1344</v>
      </c>
      <c r="B445" s="1" t="s">
        <v>1345</v>
      </c>
      <c r="C445" s="1" t="s">
        <v>1346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7">
        <v>0</v>
      </c>
      <c r="AE445" s="35">
        <f t="shared" si="105"/>
        <v>0</v>
      </c>
      <c r="AF445" s="34" t="s">
        <v>35</v>
      </c>
      <c r="AG445" s="30" cm="1">
        <f t="array" ref="AG445">DIASQUIEBRE(Q445:AB445)</f>
        <v>0</v>
      </c>
      <c r="AH445" s="30" cm="1">
        <f t="array" ref="AH445">DiasMesesGris(Q445:AB445)</f>
        <v>360</v>
      </c>
      <c r="AI445" s="30">
        <f t="shared" si="107"/>
        <v>360</v>
      </c>
      <c r="AJ445" s="30">
        <f t="shared" si="108"/>
        <v>0</v>
      </c>
      <c r="AK445" s="31">
        <f t="shared" si="109"/>
        <v>0</v>
      </c>
      <c r="AL445" s="32">
        <f t="shared" si="106"/>
        <v>0</v>
      </c>
    </row>
    <row r="446" spans="1:38" x14ac:dyDescent="0.25">
      <c r="A446" s="1" t="s">
        <v>1347</v>
      </c>
      <c r="B446" s="1" t="s">
        <v>1348</v>
      </c>
      <c r="C446" s="1" t="s">
        <v>1349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7">
        <v>0</v>
      </c>
      <c r="AE446" s="35">
        <f t="shared" si="105"/>
        <v>0</v>
      </c>
      <c r="AF446" s="34" t="s">
        <v>35</v>
      </c>
      <c r="AG446" s="30" cm="1">
        <f t="array" ref="AG446">DIASQUIEBRE(Q446:AB446)</f>
        <v>0</v>
      </c>
      <c r="AH446" s="30" cm="1">
        <f t="array" ref="AH446">DiasMesesGris(Q446:AB446)</f>
        <v>360</v>
      </c>
      <c r="AI446" s="30">
        <f t="shared" si="107"/>
        <v>360</v>
      </c>
      <c r="AJ446" s="30">
        <f t="shared" si="108"/>
        <v>0</v>
      </c>
      <c r="AK446" s="31">
        <f t="shared" si="109"/>
        <v>0</v>
      </c>
      <c r="AL446" s="32">
        <f t="shared" si="106"/>
        <v>0</v>
      </c>
    </row>
    <row r="447" spans="1:38" x14ac:dyDescent="0.25">
      <c r="A447" s="1" t="s">
        <v>1350</v>
      </c>
      <c r="B447" s="1" t="s">
        <v>1351</v>
      </c>
      <c r="C447" s="1" t="s">
        <v>1352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7">
        <v>0</v>
      </c>
      <c r="AE447" s="35">
        <f t="shared" si="105"/>
        <v>0</v>
      </c>
      <c r="AF447" s="34" t="s">
        <v>35</v>
      </c>
      <c r="AG447" s="30" cm="1">
        <f t="array" ref="AG447">DIASQUIEBRE(Q447:AB447)</f>
        <v>0</v>
      </c>
      <c r="AH447" s="30" cm="1">
        <f t="array" ref="AH447">DiasMesesGris(Q447:AB447)</f>
        <v>360</v>
      </c>
      <c r="AI447" s="30">
        <f t="shared" si="107"/>
        <v>360</v>
      </c>
      <c r="AJ447" s="30">
        <f t="shared" si="108"/>
        <v>0</v>
      </c>
      <c r="AK447" s="31">
        <f t="shared" si="109"/>
        <v>0</v>
      </c>
      <c r="AL447" s="32">
        <f t="shared" si="106"/>
        <v>0</v>
      </c>
    </row>
    <row r="448" spans="1:38" x14ac:dyDescent="0.25">
      <c r="A448" s="1" t="s">
        <v>1353</v>
      </c>
      <c r="B448" s="1" t="s">
        <v>1354</v>
      </c>
      <c r="C448" s="1" t="s">
        <v>1355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7">
        <v>0</v>
      </c>
      <c r="AE448" s="35">
        <f t="shared" si="105"/>
        <v>0</v>
      </c>
      <c r="AF448" s="34" t="s">
        <v>35</v>
      </c>
      <c r="AG448" s="30" cm="1">
        <f t="array" ref="AG448">DIASQUIEBRE(Q448:AB448)</f>
        <v>0</v>
      </c>
      <c r="AH448" s="30" cm="1">
        <f t="array" ref="AH448">DiasMesesGris(Q448:AB448)</f>
        <v>360</v>
      </c>
      <c r="AI448" s="30">
        <f t="shared" si="107"/>
        <v>360</v>
      </c>
      <c r="AJ448" s="30">
        <f t="shared" si="108"/>
        <v>0</v>
      </c>
      <c r="AK448" s="31">
        <f t="shared" si="109"/>
        <v>0</v>
      </c>
      <c r="AL448" s="32">
        <f t="shared" si="106"/>
        <v>0</v>
      </c>
    </row>
    <row r="449" spans="1:38" x14ac:dyDescent="0.25">
      <c r="A449" s="1" t="s">
        <v>1356</v>
      </c>
      <c r="B449" s="1" t="s">
        <v>1357</v>
      </c>
      <c r="C449" s="1" t="s">
        <v>1358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7">
        <v>0</v>
      </c>
      <c r="AE449" s="35">
        <f t="shared" si="105"/>
        <v>0</v>
      </c>
      <c r="AF449" s="34" t="s">
        <v>35</v>
      </c>
      <c r="AG449" s="30" cm="1">
        <f t="array" ref="AG449">DIASQUIEBRE(Q449:AB449)</f>
        <v>0</v>
      </c>
      <c r="AH449" s="30" cm="1">
        <f t="array" ref="AH449">DiasMesesGris(Q449:AB449)</f>
        <v>360</v>
      </c>
      <c r="AI449" s="30">
        <f t="shared" si="107"/>
        <v>360</v>
      </c>
      <c r="AJ449" s="30">
        <f t="shared" si="108"/>
        <v>0</v>
      </c>
      <c r="AK449" s="31">
        <f t="shared" si="109"/>
        <v>0</v>
      </c>
      <c r="AL449" s="32">
        <f t="shared" si="106"/>
        <v>0</v>
      </c>
    </row>
    <row r="450" spans="1:38" x14ac:dyDescent="0.25">
      <c r="A450" s="1" t="s">
        <v>1359</v>
      </c>
      <c r="B450" s="1" t="s">
        <v>1360</v>
      </c>
      <c r="C450" s="1" t="s">
        <v>1361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7">
        <v>0</v>
      </c>
      <c r="AE450" s="35">
        <f t="shared" si="105"/>
        <v>0</v>
      </c>
      <c r="AF450" s="34" t="s">
        <v>35</v>
      </c>
      <c r="AG450" s="30" cm="1">
        <f t="array" ref="AG450">DIASQUIEBRE(Q450:AB450)</f>
        <v>0</v>
      </c>
      <c r="AH450" s="30" cm="1">
        <f t="array" ref="AH450">DiasMesesGris(Q450:AB450)</f>
        <v>360</v>
      </c>
      <c r="AI450" s="30">
        <f t="shared" si="107"/>
        <v>360</v>
      </c>
      <c r="AJ450" s="30">
        <f t="shared" si="108"/>
        <v>0</v>
      </c>
      <c r="AK450" s="31">
        <f t="shared" si="109"/>
        <v>0</v>
      </c>
      <c r="AL450" s="32">
        <f t="shared" si="106"/>
        <v>0</v>
      </c>
    </row>
    <row r="451" spans="1:38" x14ac:dyDescent="0.25">
      <c r="A451" s="1" t="s">
        <v>1362</v>
      </c>
      <c r="B451" s="1" t="s">
        <v>1363</v>
      </c>
      <c r="C451" s="1" t="s">
        <v>1364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7">
        <v>0</v>
      </c>
      <c r="AE451" s="35">
        <f t="shared" ref="AE451:AE512" si="110">AVERAGE(V451:AB451)</f>
        <v>0</v>
      </c>
      <c r="AF451" s="34" t="s">
        <v>35</v>
      </c>
      <c r="AG451" s="30" cm="1">
        <f t="array" ref="AG451">DIASQUIEBRE(Q451:AB451)</f>
        <v>0</v>
      </c>
      <c r="AH451" s="30" cm="1">
        <f t="array" ref="AH451">DiasMesesGris(Q451:AB451)</f>
        <v>360</v>
      </c>
      <c r="AI451" s="30">
        <f t="shared" si="107"/>
        <v>360</v>
      </c>
      <c r="AJ451" s="30">
        <f t="shared" si="108"/>
        <v>0</v>
      </c>
      <c r="AK451" s="31">
        <f t="shared" si="109"/>
        <v>0</v>
      </c>
      <c r="AL451" s="32">
        <f t="shared" ref="AL451:AL514" si="111">IFERROR(AK451/AJ451,0)</f>
        <v>0</v>
      </c>
    </row>
    <row r="452" spans="1:38" x14ac:dyDescent="0.25">
      <c r="A452" s="1" t="s">
        <v>1365</v>
      </c>
      <c r="B452" s="1" t="s">
        <v>1366</v>
      </c>
      <c r="C452" s="1" t="s">
        <v>1367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7">
        <v>0</v>
      </c>
      <c r="AE452" s="35">
        <f t="shared" si="110"/>
        <v>0</v>
      </c>
      <c r="AF452" s="34" t="s">
        <v>35</v>
      </c>
      <c r="AG452" s="30" cm="1">
        <f t="array" ref="AG452">DIASQUIEBRE(Q452:AB452)</f>
        <v>0</v>
      </c>
      <c r="AH452" s="30" cm="1">
        <f t="array" ref="AH452">DiasMesesGris(Q452:AB452)</f>
        <v>360</v>
      </c>
      <c r="AI452" s="30">
        <f t="shared" ref="AI452:AI515" si="112">AG452+AH452</f>
        <v>360</v>
      </c>
      <c r="AJ452" s="30">
        <f t="shared" ref="AJ452:AJ515" si="113">360-AI452</f>
        <v>0</v>
      </c>
      <c r="AK452" s="31">
        <f t="shared" ref="AK452:AK515" si="114">SUM(D452:O452)</f>
        <v>0</v>
      </c>
      <c r="AL452" s="32">
        <f t="shared" si="111"/>
        <v>0</v>
      </c>
    </row>
    <row r="453" spans="1:38" x14ac:dyDescent="0.25">
      <c r="A453" s="1" t="s">
        <v>1368</v>
      </c>
      <c r="B453" s="1" t="s">
        <v>1369</v>
      </c>
      <c r="C453" s="1" t="s">
        <v>1370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7">
        <v>0</v>
      </c>
      <c r="AE453" s="35">
        <f t="shared" si="110"/>
        <v>0</v>
      </c>
      <c r="AF453" s="34" t="s">
        <v>35</v>
      </c>
      <c r="AG453" s="30" cm="1">
        <f t="array" ref="AG453">DIASQUIEBRE(Q453:AB453)</f>
        <v>0</v>
      </c>
      <c r="AH453" s="30" cm="1">
        <f t="array" ref="AH453">DiasMesesGris(Q453:AB453)</f>
        <v>360</v>
      </c>
      <c r="AI453" s="30">
        <f t="shared" si="112"/>
        <v>360</v>
      </c>
      <c r="AJ453" s="30">
        <f t="shared" si="113"/>
        <v>0</v>
      </c>
      <c r="AK453" s="31">
        <f t="shared" si="114"/>
        <v>0</v>
      </c>
      <c r="AL453" s="32">
        <f t="shared" si="111"/>
        <v>0</v>
      </c>
    </row>
    <row r="454" spans="1:38" x14ac:dyDescent="0.25">
      <c r="A454" s="1" t="s">
        <v>1371</v>
      </c>
      <c r="B454" s="1" t="s">
        <v>1372</v>
      </c>
      <c r="C454" s="1" t="s">
        <v>1373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7">
        <v>0</v>
      </c>
      <c r="AE454" s="35">
        <f t="shared" si="110"/>
        <v>0</v>
      </c>
      <c r="AF454" s="34" t="s">
        <v>35</v>
      </c>
      <c r="AG454" s="30" cm="1">
        <f t="array" ref="AG454">DIASQUIEBRE(Q454:AB454)</f>
        <v>0</v>
      </c>
      <c r="AH454" s="30" cm="1">
        <f t="array" ref="AH454">DiasMesesGris(Q454:AB454)</f>
        <v>360</v>
      </c>
      <c r="AI454" s="30">
        <f t="shared" si="112"/>
        <v>360</v>
      </c>
      <c r="AJ454" s="30">
        <f t="shared" si="113"/>
        <v>0</v>
      </c>
      <c r="AK454" s="31">
        <f t="shared" si="114"/>
        <v>0</v>
      </c>
      <c r="AL454" s="32">
        <f t="shared" si="111"/>
        <v>0</v>
      </c>
    </row>
    <row r="455" spans="1:38" x14ac:dyDescent="0.25">
      <c r="A455" s="1" t="s">
        <v>1374</v>
      </c>
      <c r="B455" s="1" t="s">
        <v>1375</v>
      </c>
      <c r="C455" s="1" t="s">
        <v>1376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7">
        <v>0</v>
      </c>
      <c r="AE455" s="35">
        <f t="shared" si="110"/>
        <v>0</v>
      </c>
      <c r="AF455" s="34" t="s">
        <v>35</v>
      </c>
      <c r="AG455" s="30" cm="1">
        <f t="array" ref="AG455">DIASQUIEBRE(Q455:AB455)</f>
        <v>0</v>
      </c>
      <c r="AH455" s="30" cm="1">
        <f t="array" ref="AH455">DiasMesesGris(Q455:AB455)</f>
        <v>360</v>
      </c>
      <c r="AI455" s="30">
        <f t="shared" si="112"/>
        <v>360</v>
      </c>
      <c r="AJ455" s="30">
        <f t="shared" si="113"/>
        <v>0</v>
      </c>
      <c r="AK455" s="31">
        <f t="shared" si="114"/>
        <v>0</v>
      </c>
      <c r="AL455" s="32">
        <f t="shared" si="111"/>
        <v>0</v>
      </c>
    </row>
    <row r="456" spans="1:38" x14ac:dyDescent="0.25">
      <c r="A456" s="1" t="s">
        <v>1377</v>
      </c>
      <c r="B456" s="1" t="s">
        <v>1378</v>
      </c>
      <c r="C456" s="1" t="s">
        <v>1379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7">
        <v>0</v>
      </c>
      <c r="AE456" s="35">
        <f t="shared" si="110"/>
        <v>0</v>
      </c>
      <c r="AF456" s="34" t="s">
        <v>35</v>
      </c>
      <c r="AG456" s="30" cm="1">
        <f t="array" ref="AG456">DIASQUIEBRE(Q456:AB456)</f>
        <v>0</v>
      </c>
      <c r="AH456" s="30" cm="1">
        <f t="array" ref="AH456">DiasMesesGris(Q456:AB456)</f>
        <v>360</v>
      </c>
      <c r="AI456" s="30">
        <f t="shared" si="112"/>
        <v>360</v>
      </c>
      <c r="AJ456" s="30">
        <f t="shared" si="113"/>
        <v>0</v>
      </c>
      <c r="AK456" s="31">
        <f t="shared" si="114"/>
        <v>0</v>
      </c>
      <c r="AL456" s="32">
        <f t="shared" si="111"/>
        <v>0</v>
      </c>
    </row>
    <row r="457" spans="1:38" x14ac:dyDescent="0.25">
      <c r="A457" s="1" t="s">
        <v>1380</v>
      </c>
      <c r="B457" s="1" t="s">
        <v>1381</v>
      </c>
      <c r="C457" s="1" t="s">
        <v>1382</v>
      </c>
      <c r="D457" s="3"/>
      <c r="E457" s="3"/>
      <c r="F457" s="5">
        <v>2</v>
      </c>
      <c r="G457" s="5">
        <v>1</v>
      </c>
      <c r="H457" s="5">
        <v>1</v>
      </c>
      <c r="I457" s="5">
        <v>1</v>
      </c>
      <c r="J457" s="3"/>
      <c r="K457" s="3"/>
      <c r="L457" s="3"/>
      <c r="M457" s="3"/>
      <c r="N457" s="3"/>
      <c r="O457" s="3"/>
      <c r="P457" s="3"/>
      <c r="Q457" s="9">
        <v>0</v>
      </c>
      <c r="R457" s="9">
        <v>0</v>
      </c>
      <c r="S457" s="8">
        <f t="shared" ref="S457" si="115">F457/30</f>
        <v>6.6666666666666666E-2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7">
        <v>0</v>
      </c>
      <c r="AE457" s="35">
        <f t="shared" si="110"/>
        <v>0</v>
      </c>
      <c r="AF457" s="34" t="s">
        <v>35</v>
      </c>
      <c r="AG457" s="30" cm="1">
        <f t="array" ref="AG457">DIASQUIEBRE(Q457:AB457)</f>
        <v>29</v>
      </c>
      <c r="AH457" s="30" cm="1">
        <f t="array" ref="AH457">DiasMesesGris(Q457:AB457)</f>
        <v>330</v>
      </c>
      <c r="AI457" s="30">
        <f t="shared" si="112"/>
        <v>359</v>
      </c>
      <c r="AJ457" s="30">
        <f t="shared" si="113"/>
        <v>1</v>
      </c>
      <c r="AK457" s="31">
        <f t="shared" si="114"/>
        <v>5</v>
      </c>
      <c r="AL457" s="32">
        <f t="shared" si="111"/>
        <v>5</v>
      </c>
    </row>
    <row r="458" spans="1:38" x14ac:dyDescent="0.25">
      <c r="A458" s="1" t="s">
        <v>1383</v>
      </c>
      <c r="B458" s="1" t="s">
        <v>1384</v>
      </c>
      <c r="C458" s="1" t="s">
        <v>1385</v>
      </c>
      <c r="D458" s="3"/>
      <c r="E458" s="3"/>
      <c r="F458" s="5">
        <v>1</v>
      </c>
      <c r="G458" s="5">
        <v>2</v>
      </c>
      <c r="H458" s="5">
        <v>1</v>
      </c>
      <c r="I458" s="5">
        <v>1</v>
      </c>
      <c r="J458" s="3"/>
      <c r="K458" s="3"/>
      <c r="L458" s="3"/>
      <c r="M458" s="3"/>
      <c r="N458" s="3"/>
      <c r="O458" s="3"/>
      <c r="P458" s="3"/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7">
        <v>0</v>
      </c>
      <c r="AE458" s="35">
        <f t="shared" si="110"/>
        <v>0</v>
      </c>
      <c r="AF458" s="34" t="s">
        <v>35</v>
      </c>
      <c r="AG458" s="30" cm="1">
        <f t="array" ref="AG458">DIASQUIEBRE(Q458:AB458)</f>
        <v>0</v>
      </c>
      <c r="AH458" s="30" cm="1">
        <f t="array" ref="AH458">DiasMesesGris(Q458:AB458)</f>
        <v>360</v>
      </c>
      <c r="AI458" s="30">
        <f t="shared" si="112"/>
        <v>360</v>
      </c>
      <c r="AJ458" s="30">
        <f t="shared" si="113"/>
        <v>0</v>
      </c>
      <c r="AK458" s="31">
        <f t="shared" si="114"/>
        <v>5</v>
      </c>
      <c r="AL458" s="32">
        <f t="shared" si="111"/>
        <v>0</v>
      </c>
    </row>
    <row r="459" spans="1:38" x14ac:dyDescent="0.25">
      <c r="A459" s="1" t="s">
        <v>1386</v>
      </c>
      <c r="B459" s="1" t="s">
        <v>1387</v>
      </c>
      <c r="C459" s="1" t="s">
        <v>1388</v>
      </c>
      <c r="D459" s="3"/>
      <c r="E459" s="3"/>
      <c r="F459" s="5">
        <v>1</v>
      </c>
      <c r="G459" s="3"/>
      <c r="H459" s="5">
        <v>1</v>
      </c>
      <c r="I459" s="5">
        <v>1</v>
      </c>
      <c r="J459" s="3"/>
      <c r="K459" s="3"/>
      <c r="L459" s="3"/>
      <c r="M459" s="3"/>
      <c r="N459" s="3"/>
      <c r="O459" s="3"/>
      <c r="P459" s="3"/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7">
        <v>0</v>
      </c>
      <c r="AE459" s="35">
        <f t="shared" si="110"/>
        <v>0</v>
      </c>
      <c r="AF459" s="34" t="s">
        <v>35</v>
      </c>
      <c r="AG459" s="30" cm="1">
        <f t="array" ref="AG459">DIASQUIEBRE(Q459:AB459)</f>
        <v>0</v>
      </c>
      <c r="AH459" s="30" cm="1">
        <f t="array" ref="AH459">DiasMesesGris(Q459:AB459)</f>
        <v>360</v>
      </c>
      <c r="AI459" s="30">
        <f t="shared" si="112"/>
        <v>360</v>
      </c>
      <c r="AJ459" s="30">
        <f t="shared" si="113"/>
        <v>0</v>
      </c>
      <c r="AK459" s="31">
        <f t="shared" si="114"/>
        <v>3</v>
      </c>
      <c r="AL459" s="32">
        <f t="shared" si="111"/>
        <v>0</v>
      </c>
    </row>
    <row r="460" spans="1:38" x14ac:dyDescent="0.25">
      <c r="A460" s="1" t="s">
        <v>1389</v>
      </c>
      <c r="B460" s="1" t="s">
        <v>1390</v>
      </c>
      <c r="C460" s="1" t="s">
        <v>1391</v>
      </c>
      <c r="D460" s="3"/>
      <c r="E460" s="3"/>
      <c r="F460" s="5">
        <v>1</v>
      </c>
      <c r="G460" s="3"/>
      <c r="H460" s="5">
        <v>1</v>
      </c>
      <c r="I460" s="5">
        <v>1</v>
      </c>
      <c r="J460" s="3"/>
      <c r="K460" s="3"/>
      <c r="L460" s="3"/>
      <c r="M460" s="3"/>
      <c r="N460" s="3"/>
      <c r="O460" s="3"/>
      <c r="P460" s="3"/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7">
        <v>0</v>
      </c>
      <c r="AE460" s="35">
        <f t="shared" si="110"/>
        <v>0</v>
      </c>
      <c r="AF460" s="34" t="s">
        <v>35</v>
      </c>
      <c r="AG460" s="30" cm="1">
        <f t="array" ref="AG460">DIASQUIEBRE(Q460:AB460)</f>
        <v>0</v>
      </c>
      <c r="AH460" s="30" cm="1">
        <f t="array" ref="AH460">DiasMesesGris(Q460:AB460)</f>
        <v>360</v>
      </c>
      <c r="AI460" s="30">
        <f t="shared" si="112"/>
        <v>360</v>
      </c>
      <c r="AJ460" s="30">
        <f t="shared" si="113"/>
        <v>0</v>
      </c>
      <c r="AK460" s="31">
        <f t="shared" si="114"/>
        <v>3</v>
      </c>
      <c r="AL460" s="32">
        <f t="shared" si="111"/>
        <v>0</v>
      </c>
    </row>
    <row r="461" spans="1:38" x14ac:dyDescent="0.25">
      <c r="A461" s="1" t="s">
        <v>1392</v>
      </c>
      <c r="B461" s="1" t="s">
        <v>1276</v>
      </c>
      <c r="C461" s="1" t="s">
        <v>1393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7">
        <v>0</v>
      </c>
      <c r="AE461" s="35">
        <f t="shared" si="110"/>
        <v>0</v>
      </c>
      <c r="AF461" s="34" t="s">
        <v>35</v>
      </c>
      <c r="AG461" s="30" cm="1">
        <f t="array" ref="AG461">DIASQUIEBRE(Q461:AB461)</f>
        <v>0</v>
      </c>
      <c r="AH461" s="30" cm="1">
        <f t="array" ref="AH461">DiasMesesGris(Q461:AB461)</f>
        <v>360</v>
      </c>
      <c r="AI461" s="30">
        <f t="shared" si="112"/>
        <v>360</v>
      </c>
      <c r="AJ461" s="30">
        <f t="shared" si="113"/>
        <v>0</v>
      </c>
      <c r="AK461" s="31">
        <f t="shared" si="114"/>
        <v>0</v>
      </c>
      <c r="AL461" s="32">
        <f t="shared" si="111"/>
        <v>0</v>
      </c>
    </row>
    <row r="462" spans="1:38" x14ac:dyDescent="0.25">
      <c r="A462" s="1" t="s">
        <v>1394</v>
      </c>
      <c r="B462" s="1" t="s">
        <v>1395</v>
      </c>
      <c r="C462" s="1" t="s">
        <v>1396</v>
      </c>
      <c r="D462" s="5">
        <v>2</v>
      </c>
      <c r="E462" s="3"/>
      <c r="F462" s="5">
        <v>2</v>
      </c>
      <c r="G462" s="5">
        <v>3</v>
      </c>
      <c r="H462" s="3"/>
      <c r="I462" s="3"/>
      <c r="J462" s="3"/>
      <c r="K462" s="5">
        <v>7</v>
      </c>
      <c r="L462" s="3"/>
      <c r="M462" s="3"/>
      <c r="N462" s="5">
        <v>2</v>
      </c>
      <c r="O462" s="5">
        <v>4</v>
      </c>
      <c r="P462" s="3"/>
      <c r="Q462" s="8">
        <f t="shared" ref="Q462" si="116">D462/30</f>
        <v>6.6666666666666666E-2</v>
      </c>
      <c r="R462" s="6">
        <v>0</v>
      </c>
      <c r="S462" s="8">
        <f t="shared" ref="S462:T462" si="117">F462/30</f>
        <v>6.6666666666666666E-2</v>
      </c>
      <c r="T462" s="8">
        <f t="shared" si="117"/>
        <v>0.1</v>
      </c>
      <c r="U462" s="9">
        <v>0</v>
      </c>
      <c r="V462" s="9">
        <v>0</v>
      </c>
      <c r="W462" s="8">
        <v>0</v>
      </c>
      <c r="X462" s="6">
        <v>0.29409999999999997</v>
      </c>
      <c r="Y462" s="6">
        <v>0</v>
      </c>
      <c r="Z462" s="6">
        <v>0</v>
      </c>
      <c r="AA462" s="6">
        <v>6.1400000000000003E-2</v>
      </c>
      <c r="AB462" s="6">
        <v>0.1159</v>
      </c>
      <c r="AC462" s="7">
        <v>0</v>
      </c>
      <c r="AD462" s="35">
        <v>7.8600000000000003E-2</v>
      </c>
      <c r="AE462" s="35">
        <v>0.09</v>
      </c>
      <c r="AF462" s="34" t="s">
        <v>35</v>
      </c>
      <c r="AG462" s="30" cm="1">
        <f t="array" ref="AG462">DIASQUIEBRE(Q462:AB462)</f>
        <v>75</v>
      </c>
      <c r="AH462" s="30" cm="1">
        <f t="array" ref="AH462">DiasMesesGris(Q462:AB462)</f>
        <v>60</v>
      </c>
      <c r="AI462" s="30">
        <f t="shared" si="112"/>
        <v>135</v>
      </c>
      <c r="AJ462" s="30">
        <f t="shared" si="113"/>
        <v>225</v>
      </c>
      <c r="AK462" s="31">
        <f t="shared" si="114"/>
        <v>20</v>
      </c>
      <c r="AL462" s="32">
        <f t="shared" si="111"/>
        <v>8.8888888888888892E-2</v>
      </c>
    </row>
    <row r="463" spans="1:38" x14ac:dyDescent="0.25">
      <c r="A463" s="1" t="s">
        <v>1397</v>
      </c>
      <c r="B463" s="1" t="s">
        <v>1398</v>
      </c>
      <c r="C463" s="1" t="s">
        <v>1399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7">
        <v>0</v>
      </c>
      <c r="AE463" s="35">
        <f t="shared" si="110"/>
        <v>0</v>
      </c>
      <c r="AF463" s="34" t="s">
        <v>35</v>
      </c>
      <c r="AG463" s="30" cm="1">
        <f t="array" ref="AG463">DIASQUIEBRE(Q463:AB463)</f>
        <v>0</v>
      </c>
      <c r="AH463" s="30" cm="1">
        <f t="array" ref="AH463">DiasMesesGris(Q463:AB463)</f>
        <v>360</v>
      </c>
      <c r="AI463" s="30">
        <f t="shared" si="112"/>
        <v>360</v>
      </c>
      <c r="AJ463" s="30">
        <f t="shared" si="113"/>
        <v>0</v>
      </c>
      <c r="AK463" s="31">
        <f t="shared" si="114"/>
        <v>0</v>
      </c>
      <c r="AL463" s="32">
        <f t="shared" si="111"/>
        <v>0</v>
      </c>
    </row>
    <row r="464" spans="1:38" x14ac:dyDescent="0.25">
      <c r="A464" s="1" t="s">
        <v>1400</v>
      </c>
      <c r="B464" s="1" t="s">
        <v>1401</v>
      </c>
      <c r="C464" s="1" t="s">
        <v>1402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7">
        <v>0</v>
      </c>
      <c r="AE464" s="35">
        <f t="shared" si="110"/>
        <v>0</v>
      </c>
      <c r="AF464" s="34" t="s">
        <v>35</v>
      </c>
      <c r="AG464" s="30" cm="1">
        <f t="array" ref="AG464">DIASQUIEBRE(Q464:AB464)</f>
        <v>0</v>
      </c>
      <c r="AH464" s="30" cm="1">
        <f t="array" ref="AH464">DiasMesesGris(Q464:AB464)</f>
        <v>360</v>
      </c>
      <c r="AI464" s="30">
        <f t="shared" si="112"/>
        <v>360</v>
      </c>
      <c r="AJ464" s="30">
        <f t="shared" si="113"/>
        <v>0</v>
      </c>
      <c r="AK464" s="31">
        <f t="shared" si="114"/>
        <v>0</v>
      </c>
      <c r="AL464" s="32">
        <f t="shared" si="111"/>
        <v>0</v>
      </c>
    </row>
    <row r="465" spans="1:38" x14ac:dyDescent="0.25">
      <c r="A465" s="1" t="s">
        <v>1403</v>
      </c>
      <c r="B465" s="1" t="s">
        <v>1404</v>
      </c>
      <c r="C465" s="1" t="s">
        <v>1405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5">
        <v>1</v>
      </c>
      <c r="O465" s="3"/>
      <c r="P465" s="3"/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7">
        <v>0</v>
      </c>
      <c r="AE465" s="35">
        <f t="shared" si="110"/>
        <v>0</v>
      </c>
      <c r="AF465" s="34" t="s">
        <v>35</v>
      </c>
      <c r="AG465" s="30" cm="1">
        <f t="array" ref="AG465">DIASQUIEBRE(Q465:AB465)</f>
        <v>0</v>
      </c>
      <c r="AH465" s="30" cm="1">
        <f t="array" ref="AH465">DiasMesesGris(Q465:AB465)</f>
        <v>360</v>
      </c>
      <c r="AI465" s="30">
        <f t="shared" si="112"/>
        <v>360</v>
      </c>
      <c r="AJ465" s="30">
        <f t="shared" si="113"/>
        <v>0</v>
      </c>
      <c r="AK465" s="31">
        <f t="shared" si="114"/>
        <v>1</v>
      </c>
      <c r="AL465" s="32">
        <f t="shared" si="111"/>
        <v>0</v>
      </c>
    </row>
    <row r="466" spans="1:38" x14ac:dyDescent="0.25">
      <c r="A466" s="1" t="s">
        <v>1406</v>
      </c>
      <c r="B466" s="1" t="s">
        <v>1407</v>
      </c>
      <c r="C466" s="1" t="s">
        <v>1408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7">
        <v>0</v>
      </c>
      <c r="AE466" s="35">
        <f t="shared" si="110"/>
        <v>0</v>
      </c>
      <c r="AF466" s="34" t="s">
        <v>35</v>
      </c>
      <c r="AG466" s="30" cm="1">
        <f t="array" ref="AG466">DIASQUIEBRE(Q466:AB466)</f>
        <v>0</v>
      </c>
      <c r="AH466" s="30" cm="1">
        <f t="array" ref="AH466">DiasMesesGris(Q466:AB466)</f>
        <v>360</v>
      </c>
      <c r="AI466" s="30">
        <f t="shared" si="112"/>
        <v>360</v>
      </c>
      <c r="AJ466" s="30">
        <f t="shared" si="113"/>
        <v>0</v>
      </c>
      <c r="AK466" s="31">
        <f t="shared" si="114"/>
        <v>0</v>
      </c>
      <c r="AL466" s="32">
        <f t="shared" si="111"/>
        <v>0</v>
      </c>
    </row>
    <row r="467" spans="1:38" x14ac:dyDescent="0.25">
      <c r="A467" s="1" t="s">
        <v>1409</v>
      </c>
      <c r="B467" s="1" t="s">
        <v>1410</v>
      </c>
      <c r="C467" s="1" t="s">
        <v>1411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7">
        <v>0</v>
      </c>
      <c r="AE467" s="35">
        <f t="shared" si="110"/>
        <v>0</v>
      </c>
      <c r="AF467" s="34" t="s">
        <v>35</v>
      </c>
      <c r="AG467" s="30" cm="1">
        <f t="array" ref="AG467">DIASQUIEBRE(Q467:AB467)</f>
        <v>0</v>
      </c>
      <c r="AH467" s="30" cm="1">
        <f t="array" ref="AH467">DiasMesesGris(Q467:AB467)</f>
        <v>360</v>
      </c>
      <c r="AI467" s="30">
        <f t="shared" si="112"/>
        <v>360</v>
      </c>
      <c r="AJ467" s="30">
        <f t="shared" si="113"/>
        <v>0</v>
      </c>
      <c r="AK467" s="31">
        <f t="shared" si="114"/>
        <v>0</v>
      </c>
      <c r="AL467" s="32">
        <f t="shared" si="111"/>
        <v>0</v>
      </c>
    </row>
    <row r="468" spans="1:38" x14ac:dyDescent="0.25">
      <c r="A468" s="1" t="s">
        <v>1412</v>
      </c>
      <c r="B468" s="1" t="s">
        <v>1413</v>
      </c>
      <c r="C468" s="1" t="s">
        <v>1414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7">
        <v>0</v>
      </c>
      <c r="AE468" s="35">
        <f t="shared" si="110"/>
        <v>0</v>
      </c>
      <c r="AF468" s="34" t="s">
        <v>35</v>
      </c>
      <c r="AG468" s="30" cm="1">
        <f t="array" ref="AG468">DIASQUIEBRE(Q468:AB468)</f>
        <v>0</v>
      </c>
      <c r="AH468" s="30" cm="1">
        <f t="array" ref="AH468">DiasMesesGris(Q468:AB468)</f>
        <v>360</v>
      </c>
      <c r="AI468" s="30">
        <f t="shared" si="112"/>
        <v>360</v>
      </c>
      <c r="AJ468" s="30">
        <f t="shared" si="113"/>
        <v>0</v>
      </c>
      <c r="AK468" s="31">
        <f t="shared" si="114"/>
        <v>0</v>
      </c>
      <c r="AL468" s="32">
        <f t="shared" si="111"/>
        <v>0</v>
      </c>
    </row>
    <row r="469" spans="1:38" x14ac:dyDescent="0.25">
      <c r="A469" s="1" t="s">
        <v>1415</v>
      </c>
      <c r="B469" s="1" t="s">
        <v>1416</v>
      </c>
      <c r="C469" s="1" t="s">
        <v>1417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7">
        <v>0</v>
      </c>
      <c r="AE469" s="35">
        <f t="shared" si="110"/>
        <v>0</v>
      </c>
      <c r="AF469" s="34" t="s">
        <v>35</v>
      </c>
      <c r="AG469" s="30" cm="1">
        <f t="array" ref="AG469">DIASQUIEBRE(Q469:AB469)</f>
        <v>0</v>
      </c>
      <c r="AH469" s="30" cm="1">
        <f t="array" ref="AH469">DiasMesesGris(Q469:AB469)</f>
        <v>360</v>
      </c>
      <c r="AI469" s="30">
        <f t="shared" si="112"/>
        <v>360</v>
      </c>
      <c r="AJ469" s="30">
        <f t="shared" si="113"/>
        <v>0</v>
      </c>
      <c r="AK469" s="31">
        <f t="shared" si="114"/>
        <v>0</v>
      </c>
      <c r="AL469" s="32">
        <f t="shared" si="111"/>
        <v>0</v>
      </c>
    </row>
    <row r="470" spans="1:38" x14ac:dyDescent="0.25">
      <c r="A470" s="1" t="s">
        <v>1418</v>
      </c>
      <c r="B470" s="1" t="s">
        <v>1419</v>
      </c>
      <c r="C470" s="1" t="s">
        <v>1420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7">
        <v>0</v>
      </c>
      <c r="AE470" s="35">
        <f t="shared" si="110"/>
        <v>0</v>
      </c>
      <c r="AF470" s="34" t="s">
        <v>35</v>
      </c>
      <c r="AG470" s="30" cm="1">
        <f t="array" ref="AG470">DIASQUIEBRE(Q470:AB470)</f>
        <v>0</v>
      </c>
      <c r="AH470" s="30" cm="1">
        <f t="array" ref="AH470">DiasMesesGris(Q470:AB470)</f>
        <v>360</v>
      </c>
      <c r="AI470" s="30">
        <f t="shared" si="112"/>
        <v>360</v>
      </c>
      <c r="AJ470" s="30">
        <f t="shared" si="113"/>
        <v>0</v>
      </c>
      <c r="AK470" s="31">
        <f t="shared" si="114"/>
        <v>0</v>
      </c>
      <c r="AL470" s="32">
        <f t="shared" si="111"/>
        <v>0</v>
      </c>
    </row>
    <row r="471" spans="1:38" x14ac:dyDescent="0.25">
      <c r="A471" s="1" t="s">
        <v>1421</v>
      </c>
      <c r="B471" s="1" t="s">
        <v>1422</v>
      </c>
      <c r="C471" s="1" t="s">
        <v>1423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7">
        <v>0</v>
      </c>
      <c r="AE471" s="35">
        <f t="shared" si="110"/>
        <v>0</v>
      </c>
      <c r="AF471" s="34" t="s">
        <v>35</v>
      </c>
      <c r="AG471" s="30" cm="1">
        <f t="array" ref="AG471">DIASQUIEBRE(Q471:AB471)</f>
        <v>0</v>
      </c>
      <c r="AH471" s="30" cm="1">
        <f t="array" ref="AH471">DiasMesesGris(Q471:AB471)</f>
        <v>360</v>
      </c>
      <c r="AI471" s="30">
        <f t="shared" si="112"/>
        <v>360</v>
      </c>
      <c r="AJ471" s="30">
        <f t="shared" si="113"/>
        <v>0</v>
      </c>
      <c r="AK471" s="31">
        <f t="shared" si="114"/>
        <v>0</v>
      </c>
      <c r="AL471" s="32">
        <f t="shared" si="111"/>
        <v>0</v>
      </c>
    </row>
    <row r="472" spans="1:38" x14ac:dyDescent="0.25">
      <c r="A472" s="1" t="s">
        <v>1424</v>
      </c>
      <c r="B472" s="1" t="s">
        <v>1425</v>
      </c>
      <c r="C472" s="1" t="s">
        <v>1426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7">
        <v>0</v>
      </c>
      <c r="AE472" s="35">
        <f t="shared" si="110"/>
        <v>0</v>
      </c>
      <c r="AF472" s="34" t="s">
        <v>35</v>
      </c>
      <c r="AG472" s="30" cm="1">
        <f t="array" ref="AG472">DIASQUIEBRE(Q472:AB472)</f>
        <v>0</v>
      </c>
      <c r="AH472" s="30" cm="1">
        <f t="array" ref="AH472">DiasMesesGris(Q472:AB472)</f>
        <v>360</v>
      </c>
      <c r="AI472" s="30">
        <f t="shared" si="112"/>
        <v>360</v>
      </c>
      <c r="AJ472" s="30">
        <f t="shared" si="113"/>
        <v>0</v>
      </c>
      <c r="AK472" s="31">
        <f t="shared" si="114"/>
        <v>0</v>
      </c>
      <c r="AL472" s="32">
        <f t="shared" si="111"/>
        <v>0</v>
      </c>
    </row>
    <row r="473" spans="1:38" x14ac:dyDescent="0.25">
      <c r="A473" s="10" t="s">
        <v>1427</v>
      </c>
      <c r="B473" s="1" t="s">
        <v>1428</v>
      </c>
      <c r="C473" s="1" t="s">
        <v>1429</v>
      </c>
      <c r="D473" s="3"/>
      <c r="E473" s="3"/>
      <c r="F473" s="5">
        <v>5</v>
      </c>
      <c r="G473" s="5">
        <v>1</v>
      </c>
      <c r="H473" s="3"/>
      <c r="I473" s="3"/>
      <c r="J473" s="3"/>
      <c r="K473" s="3"/>
      <c r="L473" s="3"/>
      <c r="M473" s="3"/>
      <c r="N473" s="3"/>
      <c r="O473" s="3"/>
      <c r="P473" s="3"/>
      <c r="Q473" s="9">
        <v>0</v>
      </c>
      <c r="R473" s="9">
        <v>0</v>
      </c>
      <c r="S473" s="8">
        <v>4.3478000000000003</v>
      </c>
      <c r="T473" s="8">
        <v>0.2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7">
        <v>0</v>
      </c>
      <c r="AE473" s="35">
        <f t="shared" si="110"/>
        <v>0</v>
      </c>
      <c r="AF473" s="34" t="s">
        <v>35</v>
      </c>
      <c r="AG473" s="30" cm="1">
        <f t="array" ref="AG473">DIASQUIEBRE(Q473:AB473)</f>
        <v>55</v>
      </c>
      <c r="AH473" s="30" cm="1">
        <f t="array" ref="AH473">DiasMesesGris(Q473:AB473)</f>
        <v>300</v>
      </c>
      <c r="AI473" s="30">
        <f t="shared" si="112"/>
        <v>355</v>
      </c>
      <c r="AJ473" s="30">
        <f t="shared" si="113"/>
        <v>5</v>
      </c>
      <c r="AK473" s="31">
        <f t="shared" si="114"/>
        <v>6</v>
      </c>
      <c r="AL473" s="32">
        <f t="shared" si="111"/>
        <v>1.2</v>
      </c>
    </row>
    <row r="474" spans="1:38" x14ac:dyDescent="0.25">
      <c r="A474" s="10" t="s">
        <v>1430</v>
      </c>
      <c r="B474" s="1" t="s">
        <v>1431</v>
      </c>
      <c r="C474" s="1" t="s">
        <v>1432</v>
      </c>
      <c r="D474" s="5">
        <v>6</v>
      </c>
      <c r="E474" s="5">
        <v>7</v>
      </c>
      <c r="F474" s="5">
        <v>40</v>
      </c>
      <c r="G474" s="5">
        <v>28</v>
      </c>
      <c r="H474" s="5">
        <v>32</v>
      </c>
      <c r="I474" s="5">
        <v>10</v>
      </c>
      <c r="J474" s="5">
        <v>43</v>
      </c>
      <c r="K474" s="5">
        <v>11</v>
      </c>
      <c r="L474" s="5">
        <v>1</v>
      </c>
      <c r="M474" s="5">
        <v>11</v>
      </c>
      <c r="N474" s="5">
        <v>7</v>
      </c>
      <c r="O474" s="5">
        <v>4</v>
      </c>
      <c r="P474" s="3"/>
      <c r="Q474" s="8">
        <v>6</v>
      </c>
      <c r="R474" s="8">
        <v>0.63639999999999997</v>
      </c>
      <c r="S474" s="8">
        <v>1.9323999999999999</v>
      </c>
      <c r="T474" s="6">
        <v>0.9032</v>
      </c>
      <c r="U474" s="8">
        <v>1.1429</v>
      </c>
      <c r="V474" s="8">
        <v>0.43480000000000002</v>
      </c>
      <c r="W474" s="8">
        <v>2.4432</v>
      </c>
      <c r="X474" s="6">
        <v>0.4622</v>
      </c>
      <c r="Y474" s="6">
        <v>2.93E-2</v>
      </c>
      <c r="Z474" s="6">
        <v>0.40739999999999998</v>
      </c>
      <c r="AA474" s="6">
        <v>0.21510000000000001</v>
      </c>
      <c r="AB474" s="6">
        <v>0.1159</v>
      </c>
      <c r="AC474" s="7">
        <v>0</v>
      </c>
      <c r="AD474" s="35">
        <v>0.35549999999999998</v>
      </c>
      <c r="AE474" s="35">
        <f t="shared" si="110"/>
        <v>0.58684285714285722</v>
      </c>
      <c r="AF474" s="34" t="s">
        <v>35</v>
      </c>
      <c r="AG474" s="30" cm="1">
        <f t="array" ref="AG474">DIASQUIEBRE(Q474:AB474)</f>
        <v>81</v>
      </c>
      <c r="AH474" s="30" cm="1">
        <f t="array" ref="AH474">DiasMesesGris(Q474:AB474)</f>
        <v>0</v>
      </c>
      <c r="AI474" s="30">
        <f t="shared" si="112"/>
        <v>81</v>
      </c>
      <c r="AJ474" s="30">
        <f t="shared" si="113"/>
        <v>279</v>
      </c>
      <c r="AK474" s="31">
        <f t="shared" si="114"/>
        <v>200</v>
      </c>
      <c r="AL474" s="32">
        <f t="shared" si="111"/>
        <v>0.71684587813620071</v>
      </c>
    </row>
    <row r="475" spans="1:38" x14ac:dyDescent="0.25">
      <c r="A475" s="1" t="s">
        <v>1433</v>
      </c>
      <c r="B475" s="1" t="s">
        <v>1434</v>
      </c>
      <c r="C475" s="1" t="s">
        <v>1435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7">
        <v>0</v>
      </c>
      <c r="AE475" s="35">
        <f t="shared" si="110"/>
        <v>0</v>
      </c>
      <c r="AF475" s="34" t="s">
        <v>35</v>
      </c>
      <c r="AG475" s="30" cm="1">
        <f t="array" ref="AG475">DIASQUIEBRE(Q475:AB475)</f>
        <v>0</v>
      </c>
      <c r="AH475" s="30" cm="1">
        <f t="array" ref="AH475">DiasMesesGris(Q475:AB475)</f>
        <v>360</v>
      </c>
      <c r="AI475" s="30">
        <f t="shared" si="112"/>
        <v>360</v>
      </c>
      <c r="AJ475" s="30">
        <f t="shared" si="113"/>
        <v>0</v>
      </c>
      <c r="AK475" s="31">
        <f t="shared" si="114"/>
        <v>0</v>
      </c>
      <c r="AL475" s="32">
        <f t="shared" si="111"/>
        <v>0</v>
      </c>
    </row>
    <row r="476" spans="1:38" x14ac:dyDescent="0.25">
      <c r="A476" s="1" t="s">
        <v>1436</v>
      </c>
      <c r="B476" s="1" t="s">
        <v>1437</v>
      </c>
      <c r="C476" s="1" t="s">
        <v>1438</v>
      </c>
      <c r="D476" s="3"/>
      <c r="E476" s="5">
        <v>2</v>
      </c>
      <c r="F476" s="5">
        <v>1</v>
      </c>
      <c r="G476" s="5">
        <v>6</v>
      </c>
      <c r="H476" s="5">
        <v>4</v>
      </c>
      <c r="I476" s="5">
        <v>1</v>
      </c>
      <c r="J476" s="5">
        <v>4</v>
      </c>
      <c r="K476" s="3"/>
      <c r="L476" s="5">
        <v>1</v>
      </c>
      <c r="M476" s="5">
        <v>12</v>
      </c>
      <c r="N476" s="5">
        <v>15</v>
      </c>
      <c r="O476" s="5">
        <v>19</v>
      </c>
      <c r="P476" s="5">
        <v>-1</v>
      </c>
      <c r="Q476" s="9">
        <v>0</v>
      </c>
      <c r="R476" s="8">
        <v>0.66669999999999996</v>
      </c>
      <c r="S476" s="6">
        <v>2.9000000000000001E-2</v>
      </c>
      <c r="T476" s="8">
        <v>0.3</v>
      </c>
      <c r="U476" s="8">
        <v>0.16</v>
      </c>
      <c r="V476" s="9">
        <v>0</v>
      </c>
      <c r="W476" s="8">
        <v>0.55559999999999998</v>
      </c>
      <c r="X476" s="6">
        <v>0</v>
      </c>
      <c r="Y476" s="6">
        <v>2.93E-2</v>
      </c>
      <c r="Z476" s="6">
        <v>0.44440000000000002</v>
      </c>
      <c r="AA476" s="6">
        <v>0.46079999999999999</v>
      </c>
      <c r="AB476" s="8">
        <v>0.66090000000000004</v>
      </c>
      <c r="AC476" s="7">
        <v>-1</v>
      </c>
      <c r="AD476" s="35">
        <v>0.19270000000000001</v>
      </c>
      <c r="AE476" s="35">
        <v>0.36</v>
      </c>
      <c r="AF476" s="34" t="s">
        <v>35</v>
      </c>
      <c r="AG476" s="30" cm="1">
        <f t="array" ref="AG476">DIASQUIEBRE(Q476:AB476)</f>
        <v>71</v>
      </c>
      <c r="AH476" s="30" cm="1">
        <f t="array" ref="AH476">DiasMesesGris(Q476:AB476)</f>
        <v>60</v>
      </c>
      <c r="AI476" s="30">
        <f t="shared" si="112"/>
        <v>131</v>
      </c>
      <c r="AJ476" s="30">
        <f t="shared" si="113"/>
        <v>229</v>
      </c>
      <c r="AK476" s="31">
        <f t="shared" si="114"/>
        <v>65</v>
      </c>
      <c r="AL476" s="32">
        <f t="shared" si="111"/>
        <v>0.28384279475982532</v>
      </c>
    </row>
    <row r="477" spans="1:38" x14ac:dyDescent="0.25">
      <c r="A477" s="1" t="s">
        <v>1439</v>
      </c>
      <c r="B477" s="1" t="s">
        <v>1440</v>
      </c>
      <c r="C477" s="1" t="s">
        <v>1441</v>
      </c>
      <c r="D477" s="3"/>
      <c r="E477" s="5">
        <v>5</v>
      </c>
      <c r="F477" s="3"/>
      <c r="G477" s="5">
        <v>1</v>
      </c>
      <c r="H477" s="5">
        <v>6</v>
      </c>
      <c r="I477" s="3"/>
      <c r="J477" s="3"/>
      <c r="K477" s="5">
        <v>8</v>
      </c>
      <c r="L477" s="5">
        <v>11</v>
      </c>
      <c r="M477" s="3"/>
      <c r="N477" s="3"/>
      <c r="O477" s="5">
        <v>2</v>
      </c>
      <c r="P477" s="3"/>
      <c r="Q477" s="8">
        <v>0</v>
      </c>
      <c r="R477" s="6">
        <v>0.1613</v>
      </c>
      <c r="S477" s="6">
        <v>0</v>
      </c>
      <c r="T477" s="6">
        <v>3.2300000000000002E-2</v>
      </c>
      <c r="U477" s="6">
        <v>0.2</v>
      </c>
      <c r="V477" s="6">
        <v>0</v>
      </c>
      <c r="W477" s="6">
        <v>0</v>
      </c>
      <c r="X477" s="6">
        <v>0.33610000000000001</v>
      </c>
      <c r="Y477" s="6">
        <v>0.3226</v>
      </c>
      <c r="Z477" s="6">
        <v>0</v>
      </c>
      <c r="AA477" s="6">
        <v>0</v>
      </c>
      <c r="AB477" s="6">
        <v>5.8000000000000003E-2</v>
      </c>
      <c r="AC477" s="7">
        <v>0</v>
      </c>
      <c r="AD477" s="35">
        <v>0.1009</v>
      </c>
      <c r="AE477" s="35">
        <f t="shared" si="110"/>
        <v>0.1023857142857143</v>
      </c>
      <c r="AF477" s="34" t="s">
        <v>35</v>
      </c>
      <c r="AG477" s="30" cm="1">
        <f t="array" ref="AG477">DIASQUIEBRE(Q477:AB477)</f>
        <v>20</v>
      </c>
      <c r="AH477" s="30" cm="1">
        <f t="array" ref="AH477">DiasMesesGris(Q477:AB477)</f>
        <v>0</v>
      </c>
      <c r="AI477" s="30">
        <f t="shared" si="112"/>
        <v>20</v>
      </c>
      <c r="AJ477" s="30">
        <f t="shared" si="113"/>
        <v>340</v>
      </c>
      <c r="AK477" s="31">
        <f t="shared" si="114"/>
        <v>33</v>
      </c>
      <c r="AL477" s="32">
        <f t="shared" si="111"/>
        <v>9.7058823529411767E-2</v>
      </c>
    </row>
    <row r="478" spans="1:38" x14ac:dyDescent="0.25">
      <c r="A478" s="1" t="s">
        <v>1442</v>
      </c>
      <c r="B478" s="1" t="s">
        <v>1443</v>
      </c>
      <c r="C478" s="1" t="s">
        <v>1444</v>
      </c>
      <c r="D478" s="3"/>
      <c r="E478" s="5">
        <v>2</v>
      </c>
      <c r="F478" s="3"/>
      <c r="G478" s="3"/>
      <c r="H478" s="5">
        <v>5</v>
      </c>
      <c r="I478" s="3"/>
      <c r="J478" s="5">
        <v>4</v>
      </c>
      <c r="K478" s="3"/>
      <c r="L478" s="3"/>
      <c r="M478" s="3"/>
      <c r="N478" s="3"/>
      <c r="O478" s="5">
        <v>1</v>
      </c>
      <c r="P478" s="3"/>
      <c r="Q478" s="8">
        <v>0</v>
      </c>
      <c r="R478" s="6">
        <v>6.4500000000000002E-2</v>
      </c>
      <c r="S478" s="6">
        <v>0</v>
      </c>
      <c r="T478" s="6">
        <v>0</v>
      </c>
      <c r="U478" s="6">
        <v>0.16669999999999999</v>
      </c>
      <c r="V478" s="6">
        <v>0</v>
      </c>
      <c r="W478" s="6">
        <v>0.1613</v>
      </c>
      <c r="X478" s="6">
        <v>0</v>
      </c>
      <c r="Y478" s="6">
        <v>0</v>
      </c>
      <c r="Z478" s="6">
        <v>0</v>
      </c>
      <c r="AA478" s="6">
        <v>0</v>
      </c>
      <c r="AB478" s="6">
        <v>2.9000000000000001E-2</v>
      </c>
      <c r="AC478" s="7">
        <v>0</v>
      </c>
      <c r="AD478" s="35">
        <v>3.8300000000000001E-2</v>
      </c>
      <c r="AE478" s="35">
        <f t="shared" si="110"/>
        <v>2.7185714285714285E-2</v>
      </c>
      <c r="AF478" s="34" t="s">
        <v>35</v>
      </c>
      <c r="AG478" s="30" cm="1">
        <f t="array" ref="AG478">DIASQUIEBRE(Q478:AB478)</f>
        <v>20</v>
      </c>
      <c r="AH478" s="30" cm="1">
        <f t="array" ref="AH478">DiasMesesGris(Q478:AB478)</f>
        <v>0</v>
      </c>
      <c r="AI478" s="30">
        <f t="shared" si="112"/>
        <v>20</v>
      </c>
      <c r="AJ478" s="30">
        <f t="shared" si="113"/>
        <v>340</v>
      </c>
      <c r="AK478" s="31">
        <f t="shared" si="114"/>
        <v>12</v>
      </c>
      <c r="AL478" s="32">
        <f t="shared" si="111"/>
        <v>3.5294117647058823E-2</v>
      </c>
    </row>
    <row r="479" spans="1:38" x14ac:dyDescent="0.25">
      <c r="A479" s="1" t="s">
        <v>1445</v>
      </c>
      <c r="B479" s="1" t="s">
        <v>1446</v>
      </c>
      <c r="C479" s="1" t="s">
        <v>1447</v>
      </c>
      <c r="D479" s="3"/>
      <c r="E479" s="5">
        <v>3</v>
      </c>
      <c r="F479" s="5">
        <v>1</v>
      </c>
      <c r="G479" s="3"/>
      <c r="H479" s="5">
        <v>5</v>
      </c>
      <c r="I479" s="5">
        <v>4</v>
      </c>
      <c r="J479" s="3"/>
      <c r="K479" s="5">
        <v>7</v>
      </c>
      <c r="L479" s="3"/>
      <c r="M479" s="3"/>
      <c r="N479" s="3"/>
      <c r="O479" s="3"/>
      <c r="P479" s="3"/>
      <c r="Q479" s="8">
        <v>0</v>
      </c>
      <c r="R479" s="6">
        <v>9.6799999999999997E-2</v>
      </c>
      <c r="S479" s="6">
        <v>2.9000000000000001E-2</v>
      </c>
      <c r="T479" s="6">
        <v>0</v>
      </c>
      <c r="U479" s="6">
        <v>0.16669999999999999</v>
      </c>
      <c r="V479" s="6">
        <v>0.129</v>
      </c>
      <c r="W479" s="6">
        <v>0</v>
      </c>
      <c r="X479" s="6">
        <v>0.29409999999999997</v>
      </c>
      <c r="Y479" s="6">
        <v>0</v>
      </c>
      <c r="Z479" s="6">
        <v>0</v>
      </c>
      <c r="AA479" s="6">
        <v>0</v>
      </c>
      <c r="AB479" s="6">
        <v>0</v>
      </c>
      <c r="AC479" s="7">
        <v>0</v>
      </c>
      <c r="AD479" s="35">
        <v>6.5100000000000005E-2</v>
      </c>
      <c r="AE479" s="35">
        <f t="shared" si="110"/>
        <v>6.0442857142857138E-2</v>
      </c>
      <c r="AF479" s="34" t="s">
        <v>35</v>
      </c>
      <c r="AG479" s="30" cm="1">
        <f t="array" ref="AG479">DIASQUIEBRE(Q479:AB479)</f>
        <v>20</v>
      </c>
      <c r="AH479" s="30" cm="1">
        <f t="array" ref="AH479">DiasMesesGris(Q479:AB479)</f>
        <v>0</v>
      </c>
      <c r="AI479" s="30">
        <f t="shared" si="112"/>
        <v>20</v>
      </c>
      <c r="AJ479" s="30">
        <f t="shared" si="113"/>
        <v>340</v>
      </c>
      <c r="AK479" s="31">
        <f t="shared" si="114"/>
        <v>20</v>
      </c>
      <c r="AL479" s="32">
        <f t="shared" si="111"/>
        <v>5.8823529411764705E-2</v>
      </c>
    </row>
    <row r="480" spans="1:38" x14ac:dyDescent="0.25">
      <c r="A480" s="1" t="s">
        <v>1448</v>
      </c>
      <c r="B480" s="1" t="s">
        <v>1449</v>
      </c>
      <c r="C480" s="1" t="s">
        <v>1450</v>
      </c>
      <c r="D480" s="3"/>
      <c r="E480" s="3"/>
      <c r="F480" s="5">
        <v>4</v>
      </c>
      <c r="G480" s="5">
        <v>11</v>
      </c>
      <c r="H480" s="5">
        <v>10</v>
      </c>
      <c r="I480" s="5">
        <v>8</v>
      </c>
      <c r="J480" s="5">
        <v>11</v>
      </c>
      <c r="K480" s="5">
        <v>13</v>
      </c>
      <c r="L480" s="5">
        <v>33</v>
      </c>
      <c r="M480" s="5">
        <v>10</v>
      </c>
      <c r="N480" s="3"/>
      <c r="O480" s="3"/>
      <c r="P480" s="3"/>
      <c r="Q480" s="8">
        <v>0</v>
      </c>
      <c r="R480" s="6">
        <v>0</v>
      </c>
      <c r="S480" s="6">
        <v>0.1159</v>
      </c>
      <c r="T480" s="6">
        <v>0.3548</v>
      </c>
      <c r="U480" s="6">
        <v>0.33329999999999999</v>
      </c>
      <c r="V480" s="6">
        <v>0.2581</v>
      </c>
      <c r="W480" s="6">
        <v>0.44350000000000001</v>
      </c>
      <c r="X480" s="6">
        <v>0.54620000000000002</v>
      </c>
      <c r="Y480" s="6">
        <v>0.9677</v>
      </c>
      <c r="Z480" s="8">
        <v>1.2345999999999999</v>
      </c>
      <c r="AA480" s="9">
        <v>0</v>
      </c>
      <c r="AB480" s="9">
        <v>0</v>
      </c>
      <c r="AC480" s="7">
        <v>0</v>
      </c>
      <c r="AD480" s="35">
        <v>0.37740000000000001</v>
      </c>
      <c r="AE480" s="35">
        <f t="shared" si="110"/>
        <v>0.49287142857142857</v>
      </c>
      <c r="AF480" s="34" t="s">
        <v>35</v>
      </c>
      <c r="AG480" s="30" cm="1">
        <f t="array" ref="AG480">DIASQUIEBRE(Q480:AB480)</f>
        <v>41</v>
      </c>
      <c r="AH480" s="30" cm="1">
        <f t="array" ref="AH480">DiasMesesGris(Q480:AB480)</f>
        <v>60</v>
      </c>
      <c r="AI480" s="30">
        <f t="shared" si="112"/>
        <v>101</v>
      </c>
      <c r="AJ480" s="30">
        <f t="shared" si="113"/>
        <v>259</v>
      </c>
      <c r="AK480" s="31">
        <f t="shared" si="114"/>
        <v>100</v>
      </c>
      <c r="AL480" s="32">
        <f t="shared" si="111"/>
        <v>0.38610038610038611</v>
      </c>
    </row>
    <row r="481" spans="1:38" x14ac:dyDescent="0.25">
      <c r="A481" s="1" t="s">
        <v>1451</v>
      </c>
      <c r="B481" s="1" t="s">
        <v>1452</v>
      </c>
      <c r="C481" s="1" t="s">
        <v>1453</v>
      </c>
      <c r="D481" s="3"/>
      <c r="E481" s="3"/>
      <c r="F481" s="3"/>
      <c r="G481" s="3"/>
      <c r="H481" s="3"/>
      <c r="I481" s="3"/>
      <c r="J481" s="3"/>
      <c r="K481" s="3"/>
      <c r="L481" s="5">
        <v>2</v>
      </c>
      <c r="M481" s="3"/>
      <c r="N481" s="5">
        <v>4</v>
      </c>
      <c r="O481" s="3"/>
      <c r="P481" s="3"/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8">
        <f t="shared" ref="Y481" si="118">L481/30</f>
        <v>6.6666666666666666E-2</v>
      </c>
      <c r="Z481" s="9">
        <v>0</v>
      </c>
      <c r="AA481" s="9">
        <v>0</v>
      </c>
      <c r="AB481" s="9">
        <v>0</v>
      </c>
      <c r="AC481" s="7">
        <v>0</v>
      </c>
      <c r="AE481" s="35">
        <f t="shared" si="110"/>
        <v>9.5238095238095229E-3</v>
      </c>
      <c r="AF481" s="34" t="s">
        <v>35</v>
      </c>
      <c r="AG481" s="30" cm="1">
        <f t="array" ref="AG481">DIASQUIEBRE(Q481:AB481)</f>
        <v>29</v>
      </c>
      <c r="AH481" s="30" cm="1">
        <f t="array" ref="AH481">DiasMesesGris(Q481:AB481)</f>
        <v>330</v>
      </c>
      <c r="AI481" s="30">
        <f t="shared" si="112"/>
        <v>359</v>
      </c>
      <c r="AJ481" s="30">
        <f t="shared" si="113"/>
        <v>1</v>
      </c>
      <c r="AK481" s="31">
        <f t="shared" si="114"/>
        <v>6</v>
      </c>
      <c r="AL481" s="32">
        <f t="shared" si="111"/>
        <v>6</v>
      </c>
    </row>
    <row r="482" spans="1:38" x14ac:dyDescent="0.25">
      <c r="A482" s="1" t="s">
        <v>1454</v>
      </c>
      <c r="B482" s="1" t="s">
        <v>1455</v>
      </c>
      <c r="C482" s="1" t="s">
        <v>1456</v>
      </c>
      <c r="D482" s="3"/>
      <c r="E482" s="3"/>
      <c r="F482" s="3"/>
      <c r="G482" s="5">
        <v>16</v>
      </c>
      <c r="H482" s="5">
        <v>23</v>
      </c>
      <c r="I482" s="5">
        <v>32</v>
      </c>
      <c r="J482" s="5">
        <v>38</v>
      </c>
      <c r="K482" s="5">
        <v>12</v>
      </c>
      <c r="L482" s="5">
        <v>20</v>
      </c>
      <c r="M482" s="5">
        <v>37</v>
      </c>
      <c r="N482" s="5">
        <v>39</v>
      </c>
      <c r="O482" s="5">
        <v>38</v>
      </c>
      <c r="P482" s="5">
        <v>12</v>
      </c>
      <c r="Q482" s="9">
        <v>0</v>
      </c>
      <c r="R482" s="9">
        <v>0</v>
      </c>
      <c r="S482" s="9">
        <v>0</v>
      </c>
      <c r="T482" s="8">
        <f t="shared" ref="T482:T483" si="119">G482/30</f>
        <v>0.53333333333333333</v>
      </c>
      <c r="U482" s="6">
        <v>0.76670000000000005</v>
      </c>
      <c r="V482" s="6">
        <v>1.0323</v>
      </c>
      <c r="W482" s="6">
        <v>1.5323</v>
      </c>
      <c r="X482" s="6">
        <v>0.50419999999999998</v>
      </c>
      <c r="Y482" s="6">
        <v>0.58650000000000002</v>
      </c>
      <c r="Z482" s="6">
        <v>1.3704000000000001</v>
      </c>
      <c r="AA482" s="6">
        <v>1.1981999999999999</v>
      </c>
      <c r="AB482" s="6">
        <v>1.1013999999999999</v>
      </c>
      <c r="AC482" s="7">
        <v>0.3871</v>
      </c>
      <c r="AD482" s="35">
        <v>1.0115000000000001</v>
      </c>
      <c r="AE482" s="35">
        <f t="shared" si="110"/>
        <v>1.0464714285714287</v>
      </c>
      <c r="AF482" s="34" t="s">
        <v>35</v>
      </c>
      <c r="AG482" s="30" cm="1">
        <f t="array" ref="AG482">DIASQUIEBRE(Q482:AB482)</f>
        <v>15</v>
      </c>
      <c r="AH482" s="30" cm="1">
        <f t="array" ref="AH482">DiasMesesGris(Q482:AB482)</f>
        <v>90</v>
      </c>
      <c r="AI482" s="30">
        <f t="shared" si="112"/>
        <v>105</v>
      </c>
      <c r="AJ482" s="30">
        <f t="shared" si="113"/>
        <v>255</v>
      </c>
      <c r="AK482" s="31">
        <f t="shared" si="114"/>
        <v>255</v>
      </c>
      <c r="AL482" s="32">
        <f t="shared" si="111"/>
        <v>1</v>
      </c>
    </row>
    <row r="483" spans="1:38" x14ac:dyDescent="0.25">
      <c r="A483" s="1" t="s">
        <v>1457</v>
      </c>
      <c r="B483" s="1" t="s">
        <v>1458</v>
      </c>
      <c r="C483" s="1" t="s">
        <v>1459</v>
      </c>
      <c r="D483" s="5">
        <v>4</v>
      </c>
      <c r="E483" s="5">
        <v>16</v>
      </c>
      <c r="F483" s="5">
        <v>12</v>
      </c>
      <c r="G483" s="5">
        <v>8</v>
      </c>
      <c r="H483" s="3"/>
      <c r="I483" s="3"/>
      <c r="J483" s="3"/>
      <c r="K483" s="5">
        <v>1</v>
      </c>
      <c r="L483" s="5">
        <v>2</v>
      </c>
      <c r="M483" s="5">
        <v>1</v>
      </c>
      <c r="N483" s="5">
        <v>28</v>
      </c>
      <c r="O483" s="5">
        <v>7</v>
      </c>
      <c r="P483" s="3"/>
      <c r="Q483" s="8">
        <f t="shared" ref="Q483" si="120">D483/30</f>
        <v>0.13333333333333333</v>
      </c>
      <c r="R483" s="8">
        <f t="shared" ref="R483" si="121">E483/30</f>
        <v>0.53333333333333333</v>
      </c>
      <c r="S483" s="8">
        <f t="shared" ref="S483" si="122">F483/30</f>
        <v>0.4</v>
      </c>
      <c r="T483" s="8">
        <f t="shared" si="119"/>
        <v>0.26666666666666666</v>
      </c>
      <c r="U483" s="9">
        <v>0</v>
      </c>
      <c r="V483" s="9">
        <v>0</v>
      </c>
      <c r="W483" s="8">
        <v>0</v>
      </c>
      <c r="X483" s="6">
        <v>4.2000000000000003E-2</v>
      </c>
      <c r="Y483" s="6">
        <v>5.8700000000000002E-2</v>
      </c>
      <c r="Z483" s="6">
        <v>3.6999999999999998E-2</v>
      </c>
      <c r="AA483" s="6">
        <v>0.86019999999999996</v>
      </c>
      <c r="AB483" s="6">
        <v>0.2029</v>
      </c>
      <c r="AC483" s="7">
        <v>0</v>
      </c>
      <c r="AD483" s="35">
        <v>0.2402</v>
      </c>
      <c r="AE483" s="35">
        <v>0.24</v>
      </c>
      <c r="AF483" s="34" t="s">
        <v>35</v>
      </c>
      <c r="AG483" s="30" cm="1">
        <f t="array" ref="AG483">DIASQUIEBRE(Q483:AB483)</f>
        <v>78</v>
      </c>
      <c r="AH483" s="30" cm="1">
        <f t="array" ref="AH483">DiasMesesGris(Q483:AB483)</f>
        <v>60</v>
      </c>
      <c r="AI483" s="30">
        <f t="shared" si="112"/>
        <v>138</v>
      </c>
      <c r="AJ483" s="30">
        <f t="shared" si="113"/>
        <v>222</v>
      </c>
      <c r="AK483" s="31">
        <f t="shared" si="114"/>
        <v>79</v>
      </c>
      <c r="AL483" s="32">
        <f t="shared" si="111"/>
        <v>0.35585585585585583</v>
      </c>
    </row>
    <row r="484" spans="1:38" x14ac:dyDescent="0.25">
      <c r="A484" s="1" t="s">
        <v>1460</v>
      </c>
      <c r="B484" s="1" t="s">
        <v>1461</v>
      </c>
      <c r="C484" s="1" t="s">
        <v>1462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9">
        <v>0</v>
      </c>
      <c r="R484" s="9">
        <v>0</v>
      </c>
      <c r="S484" s="9">
        <v>0</v>
      </c>
      <c r="T484" s="8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7">
        <v>0</v>
      </c>
      <c r="AE484" s="35">
        <f t="shared" si="110"/>
        <v>0</v>
      </c>
      <c r="AF484" s="34" t="s">
        <v>35</v>
      </c>
      <c r="AG484" s="30" cm="1">
        <f t="array" ref="AG484">DIASQUIEBRE(Q484:AB484)</f>
        <v>15</v>
      </c>
      <c r="AH484" s="30" cm="1">
        <f t="array" ref="AH484">DiasMesesGris(Q484:AB484)</f>
        <v>90</v>
      </c>
      <c r="AI484" s="30">
        <f t="shared" si="112"/>
        <v>105</v>
      </c>
      <c r="AJ484" s="30">
        <f t="shared" si="113"/>
        <v>255</v>
      </c>
      <c r="AK484" s="31">
        <f t="shared" si="114"/>
        <v>0</v>
      </c>
      <c r="AL484" s="32">
        <f t="shared" si="111"/>
        <v>0</v>
      </c>
    </row>
    <row r="485" spans="1:38" x14ac:dyDescent="0.25">
      <c r="A485" s="1" t="s">
        <v>1463</v>
      </c>
      <c r="B485" s="1" t="s">
        <v>1464</v>
      </c>
      <c r="C485" s="1" t="s">
        <v>1465</v>
      </c>
      <c r="D485" s="3"/>
      <c r="E485" s="3"/>
      <c r="F485" s="3"/>
      <c r="G485" s="3"/>
      <c r="H485" s="5">
        <v>2</v>
      </c>
      <c r="I485" s="3"/>
      <c r="J485" s="3"/>
      <c r="K485" s="3"/>
      <c r="L485" s="5">
        <v>2</v>
      </c>
      <c r="M485" s="3"/>
      <c r="N485" s="3"/>
      <c r="O485" s="3"/>
      <c r="P485" s="3"/>
      <c r="Q485" s="9">
        <v>0</v>
      </c>
      <c r="R485" s="9">
        <v>0</v>
      </c>
      <c r="S485" s="9">
        <v>0</v>
      </c>
      <c r="T485" s="8">
        <v>0</v>
      </c>
      <c r="U485" s="6">
        <v>6.6699999999999995E-2</v>
      </c>
      <c r="V485" s="6">
        <v>0</v>
      </c>
      <c r="W485" s="6">
        <v>0</v>
      </c>
      <c r="X485" s="6">
        <v>0</v>
      </c>
      <c r="Y485" s="6">
        <v>5.8700000000000002E-2</v>
      </c>
      <c r="Z485" s="6">
        <v>0</v>
      </c>
      <c r="AA485" s="6">
        <v>0</v>
      </c>
      <c r="AB485" s="6">
        <v>0</v>
      </c>
      <c r="AC485" s="7">
        <v>0</v>
      </c>
      <c r="AD485" s="35">
        <v>1.5699999999999999E-2</v>
      </c>
      <c r="AE485" s="35">
        <f t="shared" si="110"/>
        <v>8.3857142857142863E-3</v>
      </c>
      <c r="AF485" s="34" t="s">
        <v>35</v>
      </c>
      <c r="AG485" s="30" cm="1">
        <f t="array" ref="AG485">DIASQUIEBRE(Q485:AB485)</f>
        <v>15</v>
      </c>
      <c r="AH485" s="30" cm="1">
        <f t="array" ref="AH485">DiasMesesGris(Q485:AB485)</f>
        <v>90</v>
      </c>
      <c r="AI485" s="30">
        <f t="shared" si="112"/>
        <v>105</v>
      </c>
      <c r="AJ485" s="30">
        <f t="shared" si="113"/>
        <v>255</v>
      </c>
      <c r="AK485" s="31">
        <f t="shared" si="114"/>
        <v>4</v>
      </c>
      <c r="AL485" s="32">
        <f t="shared" si="111"/>
        <v>1.5686274509803921E-2</v>
      </c>
    </row>
    <row r="486" spans="1:38" x14ac:dyDescent="0.25">
      <c r="A486" s="1" t="s">
        <v>1466</v>
      </c>
      <c r="B486" s="1" t="s">
        <v>1467</v>
      </c>
      <c r="C486" s="1" t="s">
        <v>1468</v>
      </c>
      <c r="D486" s="3"/>
      <c r="E486" s="3"/>
      <c r="F486" s="3"/>
      <c r="G486" s="3"/>
      <c r="H486" s="5">
        <v>2</v>
      </c>
      <c r="I486" s="3"/>
      <c r="J486" s="3"/>
      <c r="K486" s="3"/>
      <c r="L486" s="3"/>
      <c r="M486" s="3"/>
      <c r="N486" s="3"/>
      <c r="O486" s="3"/>
      <c r="P486" s="3"/>
      <c r="Q486" s="9">
        <v>0</v>
      </c>
      <c r="R486" s="9">
        <v>0</v>
      </c>
      <c r="S486" s="9">
        <v>0</v>
      </c>
      <c r="T486" s="8">
        <v>0</v>
      </c>
      <c r="U486" s="6">
        <v>6.6699999999999995E-2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7">
        <v>0</v>
      </c>
      <c r="AD486" s="35">
        <v>8.3000000000000001E-3</v>
      </c>
      <c r="AE486" s="35">
        <f t="shared" si="110"/>
        <v>0</v>
      </c>
      <c r="AF486" s="34" t="s">
        <v>35</v>
      </c>
      <c r="AG486" s="30" cm="1">
        <f t="array" ref="AG486">DIASQUIEBRE(Q486:AB486)</f>
        <v>15</v>
      </c>
      <c r="AH486" s="30" cm="1">
        <f t="array" ref="AH486">DiasMesesGris(Q486:AB486)</f>
        <v>90</v>
      </c>
      <c r="AI486" s="30">
        <f t="shared" si="112"/>
        <v>105</v>
      </c>
      <c r="AJ486" s="30">
        <f t="shared" si="113"/>
        <v>255</v>
      </c>
      <c r="AK486" s="31">
        <f t="shared" si="114"/>
        <v>2</v>
      </c>
      <c r="AL486" s="32">
        <f t="shared" si="111"/>
        <v>7.8431372549019607E-3</v>
      </c>
    </row>
    <row r="487" spans="1:38" x14ac:dyDescent="0.25">
      <c r="A487" s="1" t="s">
        <v>1469</v>
      </c>
      <c r="B487" s="1" t="s">
        <v>1470</v>
      </c>
      <c r="C487" s="1" t="s">
        <v>1471</v>
      </c>
      <c r="D487" s="3"/>
      <c r="E487" s="3"/>
      <c r="F487" s="5">
        <v>3</v>
      </c>
      <c r="G487" s="3"/>
      <c r="H487" s="3"/>
      <c r="I487" s="3"/>
      <c r="J487" s="3"/>
      <c r="K487" s="3"/>
      <c r="L487" s="3"/>
      <c r="M487" s="3"/>
      <c r="N487" s="5">
        <v>3</v>
      </c>
      <c r="O487" s="3"/>
      <c r="P487" s="3"/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8">
        <f t="shared" ref="AA487:AA488" si="123">N487/30</f>
        <v>0.1</v>
      </c>
      <c r="AB487" s="9">
        <v>0</v>
      </c>
      <c r="AC487" s="7">
        <v>0</v>
      </c>
      <c r="AE487" s="35">
        <f t="shared" si="110"/>
        <v>1.4285714285714287E-2</v>
      </c>
      <c r="AF487" s="34" t="s">
        <v>35</v>
      </c>
      <c r="AG487" s="30" cm="1">
        <f t="array" ref="AG487">DIASQUIEBRE(Q487:AB487)</f>
        <v>27</v>
      </c>
      <c r="AH487" s="30" cm="1">
        <f t="array" ref="AH487">DiasMesesGris(Q487:AB487)</f>
        <v>330</v>
      </c>
      <c r="AI487" s="30">
        <f t="shared" si="112"/>
        <v>357</v>
      </c>
      <c r="AJ487" s="30">
        <f t="shared" si="113"/>
        <v>3</v>
      </c>
      <c r="AK487" s="31">
        <f t="shared" si="114"/>
        <v>6</v>
      </c>
      <c r="AL487" s="32">
        <f t="shared" si="111"/>
        <v>2</v>
      </c>
    </row>
    <row r="488" spans="1:38" x14ac:dyDescent="0.25">
      <c r="A488" s="1" t="s">
        <v>1472</v>
      </c>
      <c r="B488" s="1" t="s">
        <v>1473</v>
      </c>
      <c r="C488" s="1" t="s">
        <v>1474</v>
      </c>
      <c r="D488" s="3"/>
      <c r="E488" s="3"/>
      <c r="F488" s="5">
        <v>4</v>
      </c>
      <c r="G488" s="5">
        <v>4</v>
      </c>
      <c r="H488" s="5">
        <v>6</v>
      </c>
      <c r="I488" s="3"/>
      <c r="J488" s="3"/>
      <c r="K488" s="5">
        <v>6</v>
      </c>
      <c r="L488" s="5">
        <v>5</v>
      </c>
      <c r="M488" s="3"/>
      <c r="N488" s="5">
        <v>16</v>
      </c>
      <c r="O488" s="5">
        <v>5</v>
      </c>
      <c r="P488" s="3"/>
      <c r="Q488" s="9">
        <v>0</v>
      </c>
      <c r="R488" s="9">
        <v>0</v>
      </c>
      <c r="S488" s="9">
        <v>0</v>
      </c>
      <c r="T488" s="9">
        <v>0</v>
      </c>
      <c r="U488" s="8">
        <f t="shared" ref="T488:W490" si="124">H488/30</f>
        <v>0.2</v>
      </c>
      <c r="V488" s="6">
        <v>0</v>
      </c>
      <c r="W488" s="6">
        <v>0</v>
      </c>
      <c r="X488" s="8">
        <f t="shared" ref="X488" si="125">K488/30</f>
        <v>0.2</v>
      </c>
      <c r="Y488" s="9">
        <v>0</v>
      </c>
      <c r="Z488" s="9">
        <v>0</v>
      </c>
      <c r="AA488" s="8">
        <f t="shared" si="123"/>
        <v>0.53333333333333333</v>
      </c>
      <c r="AB488" s="6">
        <v>0.1449</v>
      </c>
      <c r="AC488" s="7">
        <v>0</v>
      </c>
      <c r="AD488" s="35">
        <v>4.8300000000000003E-2</v>
      </c>
      <c r="AE488" s="35">
        <v>0.2</v>
      </c>
      <c r="AF488" s="34" t="s">
        <v>35</v>
      </c>
      <c r="AG488" s="30" cm="1">
        <f t="array" ref="AG488">DIASQUIEBRE(Q488:AB488)</f>
        <v>51</v>
      </c>
      <c r="AH488" s="30" cm="1">
        <f t="array" ref="AH488">DiasMesesGris(Q488:AB488)</f>
        <v>180</v>
      </c>
      <c r="AI488" s="30">
        <f t="shared" si="112"/>
        <v>231</v>
      </c>
      <c r="AJ488" s="30">
        <f t="shared" si="113"/>
        <v>129</v>
      </c>
      <c r="AK488" s="31">
        <f t="shared" si="114"/>
        <v>46</v>
      </c>
      <c r="AL488" s="32">
        <f t="shared" si="111"/>
        <v>0.35658914728682173</v>
      </c>
    </row>
    <row r="489" spans="1:38" x14ac:dyDescent="0.25">
      <c r="A489" s="1" t="s">
        <v>1475</v>
      </c>
      <c r="B489" s="1" t="s">
        <v>1476</v>
      </c>
      <c r="C489" s="1" t="s">
        <v>1477</v>
      </c>
      <c r="D489" s="3"/>
      <c r="E489" s="3"/>
      <c r="F489" s="3"/>
      <c r="G489" s="5">
        <v>1</v>
      </c>
      <c r="H489" s="5">
        <v>8</v>
      </c>
      <c r="I489" s="5">
        <v>1</v>
      </c>
      <c r="J489" s="5">
        <v>3</v>
      </c>
      <c r="K489" s="3"/>
      <c r="L489" s="5">
        <v>3</v>
      </c>
      <c r="M489" s="5">
        <v>6</v>
      </c>
      <c r="N489" s="5">
        <v>4</v>
      </c>
      <c r="O489" s="5">
        <v>5</v>
      </c>
      <c r="P489" s="3"/>
      <c r="Q489" s="9">
        <v>0</v>
      </c>
      <c r="R489" s="9">
        <v>0</v>
      </c>
      <c r="S489" s="9">
        <v>0</v>
      </c>
      <c r="T489" s="8">
        <f t="shared" si="124"/>
        <v>3.3333333333333333E-2</v>
      </c>
      <c r="U489" s="8">
        <f t="shared" si="124"/>
        <v>0.26666666666666666</v>
      </c>
      <c r="V489" s="9">
        <v>0</v>
      </c>
      <c r="W489" s="8">
        <f t="shared" si="124"/>
        <v>0.1</v>
      </c>
      <c r="X489" s="6">
        <v>0</v>
      </c>
      <c r="Y489" s="6">
        <v>8.7999999999999995E-2</v>
      </c>
      <c r="Z489" s="6">
        <v>0.22220000000000001</v>
      </c>
      <c r="AA489" s="6">
        <v>0.1229</v>
      </c>
      <c r="AB489" s="6">
        <v>0.1449</v>
      </c>
      <c r="AC489" s="7">
        <v>0</v>
      </c>
      <c r="AD489" s="35">
        <v>0.11559999999999999</v>
      </c>
      <c r="AE489" s="35">
        <v>0.13</v>
      </c>
      <c r="AF489" s="34" t="s">
        <v>35</v>
      </c>
      <c r="AG489" s="30" cm="1">
        <f t="array" ref="AG489">DIASQUIEBRE(Q489:AB489)</f>
        <v>31</v>
      </c>
      <c r="AH489" s="30" cm="1">
        <f t="array" ref="AH489">DiasMesesGris(Q489:AB489)</f>
        <v>120</v>
      </c>
      <c r="AI489" s="30">
        <f t="shared" si="112"/>
        <v>151</v>
      </c>
      <c r="AJ489" s="30">
        <f t="shared" si="113"/>
        <v>209</v>
      </c>
      <c r="AK489" s="31">
        <f t="shared" si="114"/>
        <v>31</v>
      </c>
      <c r="AL489" s="32">
        <f t="shared" si="111"/>
        <v>0.14832535885167464</v>
      </c>
    </row>
    <row r="490" spans="1:38" x14ac:dyDescent="0.25">
      <c r="A490" s="10" t="s">
        <v>1478</v>
      </c>
      <c r="B490" s="1" t="s">
        <v>1479</v>
      </c>
      <c r="C490" s="1" t="s">
        <v>1480</v>
      </c>
      <c r="D490" s="3"/>
      <c r="E490" s="3"/>
      <c r="F490" s="3"/>
      <c r="G490" s="3"/>
      <c r="H490" s="3"/>
      <c r="I490" s="3"/>
      <c r="J490" s="5">
        <v>2</v>
      </c>
      <c r="K490" s="5">
        <v>4</v>
      </c>
      <c r="L490" s="3"/>
      <c r="M490" s="5">
        <v>4</v>
      </c>
      <c r="N490" s="5">
        <v>1</v>
      </c>
      <c r="O490" s="5">
        <v>2</v>
      </c>
      <c r="P490" s="3"/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8">
        <f t="shared" si="124"/>
        <v>0</v>
      </c>
      <c r="W490" s="6">
        <v>8.0600000000000005E-2</v>
      </c>
      <c r="X490" s="6">
        <v>0.1681</v>
      </c>
      <c r="Y490" s="6">
        <v>0</v>
      </c>
      <c r="Z490" s="8">
        <f t="shared" ref="Z490" si="126">M490/30</f>
        <v>0.13333333333333333</v>
      </c>
      <c r="AA490" s="8">
        <f t="shared" ref="AA490" si="127">N490/30</f>
        <v>3.3333333333333333E-2</v>
      </c>
      <c r="AB490" s="8">
        <f t="shared" ref="AB490" si="128">O490/30</f>
        <v>6.6666666666666666E-2</v>
      </c>
      <c r="AC490" s="7">
        <v>0</v>
      </c>
      <c r="AD490" s="35">
        <v>8.2900000000000001E-2</v>
      </c>
      <c r="AE490" s="35">
        <f t="shared" si="110"/>
        <v>6.8861904761904763E-2</v>
      </c>
      <c r="AF490" s="34" t="s">
        <v>35</v>
      </c>
      <c r="AG490" s="30" cm="1">
        <f t="array" ref="AG490">DIASQUIEBRE(Q490:AB490)</f>
        <v>19</v>
      </c>
      <c r="AH490" s="30" cm="1">
        <f t="array" ref="AH490">DiasMesesGris(Q490:AB490)</f>
        <v>150</v>
      </c>
      <c r="AI490" s="30">
        <f t="shared" si="112"/>
        <v>169</v>
      </c>
      <c r="AJ490" s="30">
        <f t="shared" si="113"/>
        <v>191</v>
      </c>
      <c r="AK490" s="31">
        <f t="shared" si="114"/>
        <v>13</v>
      </c>
      <c r="AL490" s="32">
        <f t="shared" si="111"/>
        <v>6.8062827225130892E-2</v>
      </c>
    </row>
    <row r="491" spans="1:38" x14ac:dyDescent="0.25">
      <c r="A491" s="10" t="s">
        <v>1481</v>
      </c>
      <c r="B491" s="1" t="s">
        <v>1482</v>
      </c>
      <c r="C491" s="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7">
        <v>0</v>
      </c>
      <c r="AE491" s="35">
        <f t="shared" si="110"/>
        <v>0</v>
      </c>
      <c r="AF491" s="34" t="s">
        <v>35</v>
      </c>
      <c r="AG491" s="30" cm="1">
        <f t="array" ref="AG491">DIASQUIEBRE(Q491:AB491)</f>
        <v>0</v>
      </c>
      <c r="AH491" s="30" cm="1">
        <f t="array" ref="AH491">DiasMesesGris(Q491:AB491)</f>
        <v>360</v>
      </c>
      <c r="AI491" s="30">
        <f t="shared" si="112"/>
        <v>360</v>
      </c>
      <c r="AJ491" s="30">
        <f t="shared" si="113"/>
        <v>0</v>
      </c>
      <c r="AK491" s="31">
        <f t="shared" si="114"/>
        <v>0</v>
      </c>
      <c r="AL491" s="32">
        <f t="shared" si="111"/>
        <v>0</v>
      </c>
    </row>
    <row r="492" spans="1:38" x14ac:dyDescent="0.25">
      <c r="A492" s="10" t="s">
        <v>1483</v>
      </c>
      <c r="B492" s="1" t="s">
        <v>1484</v>
      </c>
      <c r="C492" s="1"/>
      <c r="D492" s="3"/>
      <c r="E492" s="3"/>
      <c r="F492" s="3"/>
      <c r="G492" s="3"/>
      <c r="H492" s="3"/>
      <c r="I492" s="3"/>
      <c r="J492" s="3"/>
      <c r="K492" s="3"/>
      <c r="L492" s="5">
        <v>6</v>
      </c>
      <c r="M492" s="5">
        <v>1</v>
      </c>
      <c r="N492" s="5">
        <v>30</v>
      </c>
      <c r="O492" s="5">
        <v>-5</v>
      </c>
      <c r="P492" s="3"/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8">
        <v>0.55559999999999998</v>
      </c>
      <c r="AA492" s="8">
        <v>0.95240000000000002</v>
      </c>
      <c r="AB492" s="8">
        <v>-0.43480000000000002</v>
      </c>
      <c r="AC492" s="7">
        <v>0</v>
      </c>
      <c r="AE492" s="35">
        <v>0.36</v>
      </c>
      <c r="AF492" s="34" t="s">
        <v>35</v>
      </c>
      <c r="AG492" s="30" cm="1">
        <f t="array" ref="AG492">DIASQUIEBRE(Q492:AB492)</f>
        <v>49</v>
      </c>
      <c r="AH492" s="30" cm="1">
        <f t="array" ref="AH492">DiasMesesGris(Q492:AB492)</f>
        <v>270</v>
      </c>
      <c r="AI492" s="30">
        <f t="shared" si="112"/>
        <v>319</v>
      </c>
      <c r="AJ492" s="30">
        <f t="shared" si="113"/>
        <v>41</v>
      </c>
      <c r="AK492" s="31">
        <f t="shared" si="114"/>
        <v>32</v>
      </c>
      <c r="AL492" s="32">
        <f t="shared" si="111"/>
        <v>0.78048780487804881</v>
      </c>
    </row>
    <row r="493" spans="1:38" x14ac:dyDescent="0.25">
      <c r="A493" s="10" t="s">
        <v>1485</v>
      </c>
      <c r="B493" s="1" t="s">
        <v>1486</v>
      </c>
      <c r="C493" s="1"/>
      <c r="D493" s="3"/>
      <c r="E493" s="3"/>
      <c r="F493" s="3"/>
      <c r="G493" s="3"/>
      <c r="H493" s="3"/>
      <c r="I493" s="3"/>
      <c r="J493" s="3"/>
      <c r="K493" s="3"/>
      <c r="L493" s="5">
        <v>5</v>
      </c>
      <c r="M493" s="3"/>
      <c r="N493" s="3"/>
      <c r="O493" s="3"/>
      <c r="P493" s="3"/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7">
        <v>0</v>
      </c>
      <c r="AE493" s="35">
        <f t="shared" si="110"/>
        <v>0</v>
      </c>
      <c r="AF493" s="34" t="s">
        <v>35</v>
      </c>
      <c r="AG493" s="30" cm="1">
        <f t="array" ref="AG493">DIASQUIEBRE(Q493:AB493)</f>
        <v>0</v>
      </c>
      <c r="AH493" s="30" cm="1">
        <f t="array" ref="AH493">DiasMesesGris(Q493:AB493)</f>
        <v>360</v>
      </c>
      <c r="AI493" s="30">
        <f t="shared" si="112"/>
        <v>360</v>
      </c>
      <c r="AJ493" s="30">
        <f t="shared" si="113"/>
        <v>0</v>
      </c>
      <c r="AK493" s="31">
        <f t="shared" si="114"/>
        <v>5</v>
      </c>
      <c r="AL493" s="32">
        <f t="shared" si="111"/>
        <v>0</v>
      </c>
    </row>
    <row r="494" spans="1:38" x14ac:dyDescent="0.25">
      <c r="A494" s="1" t="s">
        <v>1487</v>
      </c>
      <c r="B494" s="1" t="s">
        <v>1488</v>
      </c>
      <c r="C494" s="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5">
        <v>16</v>
      </c>
      <c r="P494" s="3"/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8">
        <f t="shared" ref="AB494:AB495" si="129">O494/30</f>
        <v>0.53333333333333333</v>
      </c>
      <c r="AC494" s="7">
        <v>0</v>
      </c>
      <c r="AE494" s="35">
        <v>0.3</v>
      </c>
      <c r="AF494" s="34" t="s">
        <v>35</v>
      </c>
      <c r="AG494" s="30" cm="1">
        <f t="array" ref="AG494">DIASQUIEBRE(Q494:AB494)</f>
        <v>22</v>
      </c>
      <c r="AH494" s="30" cm="1">
        <f t="array" ref="AH494">DiasMesesGris(Q494:AB494)</f>
        <v>330</v>
      </c>
      <c r="AI494" s="30">
        <f t="shared" si="112"/>
        <v>352</v>
      </c>
      <c r="AJ494" s="30">
        <f t="shared" si="113"/>
        <v>8</v>
      </c>
      <c r="AK494" s="31">
        <f t="shared" si="114"/>
        <v>16</v>
      </c>
      <c r="AL494" s="32">
        <f t="shared" si="111"/>
        <v>2</v>
      </c>
    </row>
    <row r="495" spans="1:38" x14ac:dyDescent="0.25">
      <c r="A495" s="1" t="s">
        <v>1489</v>
      </c>
      <c r="B495" s="1" t="s">
        <v>1490</v>
      </c>
      <c r="C495" s="1" t="s">
        <v>1491</v>
      </c>
      <c r="D495" s="5">
        <v>2</v>
      </c>
      <c r="E495" s="3"/>
      <c r="F495" s="3"/>
      <c r="G495" s="5">
        <v>4</v>
      </c>
      <c r="H495" s="3"/>
      <c r="I495" s="3"/>
      <c r="J495" s="3"/>
      <c r="K495" s="3"/>
      <c r="L495" s="3"/>
      <c r="M495" s="3"/>
      <c r="N495" s="5">
        <v>4</v>
      </c>
      <c r="O495" s="5">
        <v>8</v>
      </c>
      <c r="P495" s="3"/>
      <c r="Q495" s="6">
        <v>6.4500000000000002E-2</v>
      </c>
      <c r="R495" s="6">
        <v>0</v>
      </c>
      <c r="S495" s="6">
        <v>0</v>
      </c>
      <c r="T495" s="6">
        <v>0.129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0.1229</v>
      </c>
      <c r="AB495" s="8">
        <f t="shared" si="129"/>
        <v>0.26666666666666666</v>
      </c>
      <c r="AC495" s="7">
        <v>0</v>
      </c>
      <c r="AD495" s="35">
        <v>2.8799999999999999E-2</v>
      </c>
      <c r="AE495" s="35">
        <v>0</v>
      </c>
      <c r="AF495" s="34" t="s">
        <v>35</v>
      </c>
      <c r="AG495" s="30" cm="1">
        <f t="array" ref="AG495">DIASQUIEBRE(Q495:AB495)</f>
        <v>2</v>
      </c>
      <c r="AH495" s="30" cm="1">
        <f t="array" ref="AH495">DiasMesesGris(Q495:AB495)</f>
        <v>0</v>
      </c>
      <c r="AI495" s="30">
        <f t="shared" si="112"/>
        <v>2</v>
      </c>
      <c r="AJ495" s="30">
        <f t="shared" si="113"/>
        <v>358</v>
      </c>
      <c r="AK495" s="31">
        <f t="shared" si="114"/>
        <v>18</v>
      </c>
      <c r="AL495" s="32">
        <f t="shared" si="111"/>
        <v>5.027932960893855E-2</v>
      </c>
    </row>
    <row r="496" spans="1:38" x14ac:dyDescent="0.25">
      <c r="A496" s="1" t="s">
        <v>1492</v>
      </c>
      <c r="B496" s="1" t="s">
        <v>1493</v>
      </c>
      <c r="C496" s="1" t="s">
        <v>1494</v>
      </c>
      <c r="D496" s="3"/>
      <c r="E496" s="5">
        <v>1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6">
        <v>0</v>
      </c>
      <c r="R496" s="6">
        <v>3.2300000000000002E-2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7">
        <v>0</v>
      </c>
      <c r="AD496" s="35">
        <v>2.7000000000000001E-3</v>
      </c>
      <c r="AE496" s="35">
        <f t="shared" si="110"/>
        <v>0</v>
      </c>
      <c r="AF496" s="34" t="s">
        <v>35</v>
      </c>
      <c r="AG496" s="30" cm="1">
        <f t="array" ref="AG496">DIASQUIEBRE(Q496:AB496)</f>
        <v>0</v>
      </c>
      <c r="AH496" s="30" cm="1">
        <f t="array" ref="AH496">DiasMesesGris(Q496:AB496)</f>
        <v>0</v>
      </c>
      <c r="AI496" s="30">
        <f t="shared" si="112"/>
        <v>0</v>
      </c>
      <c r="AJ496" s="30">
        <f t="shared" si="113"/>
        <v>360</v>
      </c>
      <c r="AK496" s="31">
        <f t="shared" si="114"/>
        <v>1</v>
      </c>
      <c r="AL496" s="32">
        <f t="shared" si="111"/>
        <v>2.7777777777777779E-3</v>
      </c>
    </row>
    <row r="497" spans="1:38" x14ac:dyDescent="0.25">
      <c r="A497" s="1" t="s">
        <v>1495</v>
      </c>
      <c r="B497" s="1" t="s">
        <v>1496</v>
      </c>
      <c r="C497" s="1" t="s">
        <v>1497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7">
        <v>0</v>
      </c>
      <c r="AE497" s="35">
        <f t="shared" si="110"/>
        <v>0</v>
      </c>
      <c r="AF497" s="34" t="s">
        <v>51</v>
      </c>
      <c r="AG497" s="30" cm="1">
        <f t="array" ref="AG497">DIASQUIEBRE(Q497:AB497)</f>
        <v>0</v>
      </c>
      <c r="AH497" s="30" cm="1">
        <f t="array" ref="AH497">DiasMesesGris(Q497:AB497)</f>
        <v>360</v>
      </c>
      <c r="AI497" s="30">
        <f t="shared" si="112"/>
        <v>360</v>
      </c>
      <c r="AJ497" s="30">
        <f t="shared" si="113"/>
        <v>0</v>
      </c>
      <c r="AK497" s="31">
        <f t="shared" si="114"/>
        <v>0</v>
      </c>
      <c r="AL497" s="32">
        <f t="shared" si="111"/>
        <v>0</v>
      </c>
    </row>
    <row r="498" spans="1:38" x14ac:dyDescent="0.25">
      <c r="A498" s="1" t="s">
        <v>1498</v>
      </c>
      <c r="B498" s="1" t="s">
        <v>46</v>
      </c>
      <c r="C498" s="1" t="s">
        <v>1499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7">
        <v>0</v>
      </c>
      <c r="AE498" s="35">
        <f t="shared" si="110"/>
        <v>0</v>
      </c>
      <c r="AF498" s="34" t="s">
        <v>51</v>
      </c>
      <c r="AG498" s="30" cm="1">
        <f t="array" ref="AG498">DIASQUIEBRE(Q498:AB498)</f>
        <v>0</v>
      </c>
      <c r="AH498" s="30" cm="1">
        <f t="array" ref="AH498">DiasMesesGris(Q498:AB498)</f>
        <v>360</v>
      </c>
      <c r="AI498" s="30">
        <f t="shared" si="112"/>
        <v>360</v>
      </c>
      <c r="AJ498" s="30">
        <f t="shared" si="113"/>
        <v>0</v>
      </c>
      <c r="AK498" s="31">
        <f t="shared" si="114"/>
        <v>0</v>
      </c>
      <c r="AL498" s="32">
        <f t="shared" si="111"/>
        <v>0</v>
      </c>
    </row>
    <row r="499" spans="1:38" x14ac:dyDescent="0.25">
      <c r="A499" s="1" t="s">
        <v>1500</v>
      </c>
      <c r="B499" s="1" t="s">
        <v>1501</v>
      </c>
      <c r="C499" s="1" t="s">
        <v>1502</v>
      </c>
      <c r="D499" s="5">
        <v>2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7">
        <v>0</v>
      </c>
      <c r="AE499" s="35">
        <f t="shared" si="110"/>
        <v>0</v>
      </c>
      <c r="AF499" s="34" t="s">
        <v>35</v>
      </c>
      <c r="AG499" s="30" cm="1">
        <f t="array" ref="AG499">DIASQUIEBRE(Q499:AB499)</f>
        <v>0</v>
      </c>
      <c r="AH499" s="30" cm="1">
        <f t="array" ref="AH499">DiasMesesGris(Q499:AB499)</f>
        <v>360</v>
      </c>
      <c r="AI499" s="30">
        <f t="shared" si="112"/>
        <v>360</v>
      </c>
      <c r="AJ499" s="30">
        <f t="shared" si="113"/>
        <v>0</v>
      </c>
      <c r="AK499" s="31">
        <f t="shared" si="114"/>
        <v>2</v>
      </c>
      <c r="AL499" s="32">
        <f t="shared" si="111"/>
        <v>0</v>
      </c>
    </row>
    <row r="500" spans="1:38" x14ac:dyDescent="0.25">
      <c r="A500" s="1" t="s">
        <v>1503</v>
      </c>
      <c r="B500" s="1" t="s">
        <v>76</v>
      </c>
      <c r="C500" s="1" t="s">
        <v>1504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7">
        <v>0</v>
      </c>
      <c r="AE500" s="35">
        <f t="shared" si="110"/>
        <v>0</v>
      </c>
      <c r="AF500" s="34" t="s">
        <v>35</v>
      </c>
      <c r="AG500" s="30" cm="1">
        <f t="array" ref="AG500">DIASQUIEBRE(Q500:AB500)</f>
        <v>0</v>
      </c>
      <c r="AH500" s="30" cm="1">
        <f t="array" ref="AH500">DiasMesesGris(Q500:AB500)</f>
        <v>360</v>
      </c>
      <c r="AI500" s="30">
        <f t="shared" si="112"/>
        <v>360</v>
      </c>
      <c r="AJ500" s="30">
        <f t="shared" si="113"/>
        <v>0</v>
      </c>
      <c r="AK500" s="31">
        <f t="shared" si="114"/>
        <v>0</v>
      </c>
      <c r="AL500" s="32">
        <f t="shared" si="111"/>
        <v>0</v>
      </c>
    </row>
    <row r="501" spans="1:38" x14ac:dyDescent="0.25">
      <c r="A501" s="1" t="s">
        <v>1505</v>
      </c>
      <c r="B501" s="1" t="s">
        <v>1506</v>
      </c>
      <c r="C501" s="1" t="s">
        <v>1507</v>
      </c>
      <c r="D501" s="3"/>
      <c r="E501" s="5">
        <v>6</v>
      </c>
      <c r="F501" s="5">
        <v>22</v>
      </c>
      <c r="G501" s="5">
        <v>20</v>
      </c>
      <c r="H501" s="5">
        <v>16</v>
      </c>
      <c r="I501" s="3"/>
      <c r="J501" s="5">
        <v>16</v>
      </c>
      <c r="K501" s="5">
        <v>10</v>
      </c>
      <c r="L501" s="5">
        <v>25</v>
      </c>
      <c r="M501" s="5">
        <v>23</v>
      </c>
      <c r="N501" s="3"/>
      <c r="O501" s="5">
        <v>15</v>
      </c>
      <c r="P501" s="3"/>
      <c r="Q501" s="6">
        <v>0</v>
      </c>
      <c r="R501" s="6">
        <v>0.19350000000000001</v>
      </c>
      <c r="S501" s="6">
        <v>0.63770000000000004</v>
      </c>
      <c r="T501" s="6">
        <v>0.6452</v>
      </c>
      <c r="U501" s="6">
        <v>0.5333</v>
      </c>
      <c r="V501" s="6">
        <v>0</v>
      </c>
      <c r="W501" s="6">
        <v>0.6452</v>
      </c>
      <c r="X501" s="6">
        <v>0.42020000000000002</v>
      </c>
      <c r="Y501" s="6">
        <v>0.73309999999999997</v>
      </c>
      <c r="Z501" s="6">
        <v>0.85189999999999999</v>
      </c>
      <c r="AA501" s="6">
        <v>0</v>
      </c>
      <c r="AB501" s="6">
        <v>0.43480000000000002</v>
      </c>
      <c r="AC501" s="7">
        <v>0</v>
      </c>
      <c r="AD501" s="35">
        <v>0.42459999999999998</v>
      </c>
      <c r="AE501" s="35">
        <f t="shared" si="110"/>
        <v>0.44074285714285716</v>
      </c>
      <c r="AF501" s="34" t="s">
        <v>35</v>
      </c>
      <c r="AG501" s="30" cm="1">
        <f t="array" ref="AG501">DIASQUIEBRE(Q501:AB501)</f>
        <v>0</v>
      </c>
      <c r="AH501" s="30" cm="1">
        <f t="array" ref="AH501">DiasMesesGris(Q501:AB501)</f>
        <v>0</v>
      </c>
      <c r="AI501" s="30">
        <f t="shared" si="112"/>
        <v>0</v>
      </c>
      <c r="AJ501" s="30">
        <f t="shared" si="113"/>
        <v>360</v>
      </c>
      <c r="AK501" s="31">
        <f t="shared" si="114"/>
        <v>153</v>
      </c>
      <c r="AL501" s="32">
        <f t="shared" si="111"/>
        <v>0.42499999999999999</v>
      </c>
    </row>
    <row r="502" spans="1:38" x14ac:dyDescent="0.25">
      <c r="A502" s="1" t="s">
        <v>1508</v>
      </c>
      <c r="B502" s="1" t="s">
        <v>1509</v>
      </c>
      <c r="C502" s="1" t="s">
        <v>1510</v>
      </c>
      <c r="D502" s="3"/>
      <c r="E502" s="5">
        <v>1</v>
      </c>
      <c r="F502" s="5">
        <v>4</v>
      </c>
      <c r="G502" s="3"/>
      <c r="H502" s="3"/>
      <c r="I502" s="5">
        <v>4</v>
      </c>
      <c r="J502" s="5">
        <v>6</v>
      </c>
      <c r="K502" s="5">
        <v>-5</v>
      </c>
      <c r="L502" s="3"/>
      <c r="M502" s="5">
        <v>2</v>
      </c>
      <c r="N502" s="5">
        <v>1</v>
      </c>
      <c r="O502" s="3"/>
      <c r="P502" s="3"/>
      <c r="Q502" s="8">
        <f t="shared" ref="Q502" si="130">D502/30</f>
        <v>0</v>
      </c>
      <c r="R502" s="6">
        <v>3.2300000000000002E-2</v>
      </c>
      <c r="S502" s="9">
        <v>0</v>
      </c>
      <c r="T502" s="8">
        <f t="shared" ref="T502" si="131">G502/30</f>
        <v>0</v>
      </c>
      <c r="U502" s="6">
        <v>0</v>
      </c>
      <c r="V502" s="6">
        <v>0.129</v>
      </c>
      <c r="W502" s="8">
        <f t="shared" ref="W502" si="132">J502/30</f>
        <v>0.2</v>
      </c>
      <c r="X502" s="8">
        <f t="shared" ref="X502" si="133">K502/30</f>
        <v>-0.16666666666666666</v>
      </c>
      <c r="Y502" s="6">
        <v>0</v>
      </c>
      <c r="Z502" s="6">
        <v>7.4099999999999999E-2</v>
      </c>
      <c r="AA502" s="8">
        <f t="shared" ref="AA502" si="134">N502/30</f>
        <v>3.3333333333333333E-2</v>
      </c>
      <c r="AB502" s="9">
        <v>0</v>
      </c>
      <c r="AC502" s="7">
        <v>0</v>
      </c>
      <c r="AD502" s="35">
        <v>4.7100000000000003E-2</v>
      </c>
      <c r="AE502" s="35">
        <v>0.05</v>
      </c>
      <c r="AF502" s="34" t="s">
        <v>35</v>
      </c>
      <c r="AG502" s="30" cm="1">
        <f t="array" ref="AG502">DIASQUIEBRE(Q502:AB502)</f>
        <v>54</v>
      </c>
      <c r="AH502" s="30" cm="1">
        <f t="array" ref="AH502">DiasMesesGris(Q502:AB502)</f>
        <v>60</v>
      </c>
      <c r="AI502" s="30">
        <f t="shared" si="112"/>
        <v>114</v>
      </c>
      <c r="AJ502" s="30">
        <f t="shared" si="113"/>
        <v>246</v>
      </c>
      <c r="AK502" s="31">
        <f t="shared" si="114"/>
        <v>13</v>
      </c>
      <c r="AL502" s="32">
        <f t="shared" si="111"/>
        <v>5.2845528455284556E-2</v>
      </c>
    </row>
    <row r="503" spans="1:38" x14ac:dyDescent="0.25">
      <c r="A503" s="1" t="s">
        <v>1511</v>
      </c>
      <c r="B503" s="1" t="s">
        <v>1512</v>
      </c>
      <c r="C503" s="1" t="s">
        <v>1513</v>
      </c>
      <c r="D503" s="5">
        <v>23</v>
      </c>
      <c r="E503" s="5">
        <v>26</v>
      </c>
      <c r="F503" s="5">
        <v>7</v>
      </c>
      <c r="G503" s="5">
        <v>11</v>
      </c>
      <c r="H503" s="5">
        <v>-1</v>
      </c>
      <c r="I503" s="5">
        <v>20</v>
      </c>
      <c r="J503" s="3"/>
      <c r="K503" s="3"/>
      <c r="L503" s="5">
        <v>24</v>
      </c>
      <c r="M503" s="5">
        <v>1</v>
      </c>
      <c r="N503" s="5">
        <v>20</v>
      </c>
      <c r="O503" s="5">
        <v>15</v>
      </c>
      <c r="P503" s="5">
        <v>4</v>
      </c>
      <c r="Q503" s="6">
        <v>0.7419</v>
      </c>
      <c r="R503" s="6">
        <v>0.8387</v>
      </c>
      <c r="S503" s="6">
        <v>0.2029</v>
      </c>
      <c r="T503" s="6">
        <v>0.3548</v>
      </c>
      <c r="U503" s="6">
        <v>-3.3300000000000003E-2</v>
      </c>
      <c r="V503" s="6">
        <v>0.6452</v>
      </c>
      <c r="W503" s="6">
        <v>0</v>
      </c>
      <c r="X503" s="6">
        <v>0</v>
      </c>
      <c r="Y503" s="6">
        <v>0.70379999999999998</v>
      </c>
      <c r="Z503" s="6">
        <v>3.6999999999999998E-2</v>
      </c>
      <c r="AA503" s="6">
        <v>0.61439999999999995</v>
      </c>
      <c r="AB503" s="6">
        <v>0.43480000000000002</v>
      </c>
      <c r="AC503" s="7">
        <v>0.129</v>
      </c>
      <c r="AD503" s="35">
        <v>0.37840000000000001</v>
      </c>
      <c r="AE503" s="35">
        <f t="shared" si="110"/>
        <v>0.3478857142857143</v>
      </c>
      <c r="AF503" s="34" t="s">
        <v>35</v>
      </c>
      <c r="AG503" s="30" cm="1">
        <f t="array" ref="AG503">DIASQUIEBRE(Q503:AB503)</f>
        <v>0</v>
      </c>
      <c r="AH503" s="30" cm="1">
        <f t="array" ref="AH503">DiasMesesGris(Q503:AB503)</f>
        <v>0</v>
      </c>
      <c r="AI503" s="30">
        <f t="shared" si="112"/>
        <v>0</v>
      </c>
      <c r="AJ503" s="30">
        <f t="shared" si="113"/>
        <v>360</v>
      </c>
      <c r="AK503" s="31">
        <f t="shared" si="114"/>
        <v>146</v>
      </c>
      <c r="AL503" s="32">
        <f t="shared" si="111"/>
        <v>0.40555555555555556</v>
      </c>
    </row>
    <row r="504" spans="1:38" x14ac:dyDescent="0.25">
      <c r="A504" s="1" t="s">
        <v>1514</v>
      </c>
      <c r="B504" s="1" t="s">
        <v>1515</v>
      </c>
      <c r="C504" s="1" t="s">
        <v>1516</v>
      </c>
      <c r="D504" s="5">
        <v>33</v>
      </c>
      <c r="E504" s="5">
        <v>74</v>
      </c>
      <c r="F504" s="5">
        <v>28</v>
      </c>
      <c r="G504" s="5">
        <v>53</v>
      </c>
      <c r="H504" s="5">
        <v>58</v>
      </c>
      <c r="I504" s="5">
        <v>71</v>
      </c>
      <c r="J504" s="5">
        <v>40</v>
      </c>
      <c r="K504" s="5">
        <v>10</v>
      </c>
      <c r="L504" s="5">
        <v>53</v>
      </c>
      <c r="M504" s="5">
        <v>48</v>
      </c>
      <c r="N504" s="5">
        <v>25</v>
      </c>
      <c r="O504" s="5">
        <v>51</v>
      </c>
      <c r="P504" s="3"/>
      <c r="Q504" s="6">
        <v>1.0645</v>
      </c>
      <c r="R504" s="6">
        <v>2.3871000000000002</v>
      </c>
      <c r="S504" s="6">
        <v>0.81159999999999999</v>
      </c>
      <c r="T504" s="6">
        <v>1.7097</v>
      </c>
      <c r="U504" s="6">
        <v>1.9333</v>
      </c>
      <c r="V504" s="6">
        <v>2.2902999999999998</v>
      </c>
      <c r="W504" s="6">
        <v>1.6129</v>
      </c>
      <c r="X504" s="6">
        <v>0.42020000000000002</v>
      </c>
      <c r="Y504" s="6">
        <v>1.5543</v>
      </c>
      <c r="Z504" s="6">
        <v>1.7778</v>
      </c>
      <c r="AA504" s="6">
        <v>0.76800000000000002</v>
      </c>
      <c r="AB504" s="6">
        <v>1.4782999999999999</v>
      </c>
      <c r="AC504" s="7">
        <v>0</v>
      </c>
      <c r="AD504" s="35">
        <v>1.484</v>
      </c>
      <c r="AE504" s="35">
        <f t="shared" si="110"/>
        <v>1.4145428571428573</v>
      </c>
      <c r="AF504" s="34" t="s">
        <v>35</v>
      </c>
      <c r="AG504" s="30" cm="1">
        <f t="array" ref="AG504">DIASQUIEBRE(Q504:AB504)</f>
        <v>0</v>
      </c>
      <c r="AH504" s="30" cm="1">
        <f t="array" ref="AH504">DiasMesesGris(Q504:AB504)</f>
        <v>0</v>
      </c>
      <c r="AI504" s="30">
        <f t="shared" si="112"/>
        <v>0</v>
      </c>
      <c r="AJ504" s="30">
        <f t="shared" si="113"/>
        <v>360</v>
      </c>
      <c r="AK504" s="31">
        <f t="shared" si="114"/>
        <v>544</v>
      </c>
      <c r="AL504" s="32">
        <f t="shared" si="111"/>
        <v>1.5111111111111111</v>
      </c>
    </row>
    <row r="505" spans="1:38" x14ac:dyDescent="0.25">
      <c r="A505" s="1" t="s">
        <v>1517</v>
      </c>
      <c r="B505" s="1" t="s">
        <v>144</v>
      </c>
      <c r="C505" s="1" t="s">
        <v>1518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7">
        <v>0</v>
      </c>
      <c r="AE505" s="35">
        <f t="shared" si="110"/>
        <v>0</v>
      </c>
      <c r="AF505" s="34" t="s">
        <v>51</v>
      </c>
      <c r="AG505" s="30" cm="1">
        <f t="array" ref="AG505">DIASQUIEBRE(Q505:AB505)</f>
        <v>0</v>
      </c>
      <c r="AH505" s="30" cm="1">
        <f t="array" ref="AH505">DiasMesesGris(Q505:AB505)</f>
        <v>360</v>
      </c>
      <c r="AI505" s="30">
        <f t="shared" si="112"/>
        <v>360</v>
      </c>
      <c r="AJ505" s="30">
        <f t="shared" si="113"/>
        <v>0</v>
      </c>
      <c r="AK505" s="31">
        <f t="shared" si="114"/>
        <v>0</v>
      </c>
      <c r="AL505" s="32">
        <f t="shared" si="111"/>
        <v>0</v>
      </c>
    </row>
    <row r="506" spans="1:38" x14ac:dyDescent="0.25">
      <c r="A506" s="1" t="s">
        <v>1519</v>
      </c>
      <c r="B506" s="1" t="s">
        <v>147</v>
      </c>
      <c r="C506" s="1" t="s">
        <v>1520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7">
        <v>0</v>
      </c>
      <c r="AE506" s="35">
        <f t="shared" si="110"/>
        <v>0</v>
      </c>
      <c r="AF506" s="34" t="s">
        <v>35</v>
      </c>
      <c r="AG506" s="30" cm="1">
        <f t="array" ref="AG506">DIASQUIEBRE(Q506:AB506)</f>
        <v>0</v>
      </c>
      <c r="AH506" s="30" cm="1">
        <f t="array" ref="AH506">DiasMesesGris(Q506:AB506)</f>
        <v>360</v>
      </c>
      <c r="AI506" s="30">
        <f t="shared" si="112"/>
        <v>360</v>
      </c>
      <c r="AJ506" s="30">
        <f t="shared" si="113"/>
        <v>0</v>
      </c>
      <c r="AK506" s="31">
        <f t="shared" si="114"/>
        <v>0</v>
      </c>
      <c r="AL506" s="32">
        <f t="shared" si="111"/>
        <v>0</v>
      </c>
    </row>
    <row r="507" spans="1:38" x14ac:dyDescent="0.25">
      <c r="A507" s="1" t="s">
        <v>1521</v>
      </c>
      <c r="B507" s="1" t="s">
        <v>1522</v>
      </c>
      <c r="C507" s="1" t="s">
        <v>1523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7">
        <v>0</v>
      </c>
      <c r="AE507" s="35">
        <f t="shared" si="110"/>
        <v>0</v>
      </c>
      <c r="AF507" s="34" t="s">
        <v>51</v>
      </c>
      <c r="AG507" s="30" cm="1">
        <f t="array" ref="AG507">DIASQUIEBRE(Q507:AB507)</f>
        <v>0</v>
      </c>
      <c r="AH507" s="30" cm="1">
        <f t="array" ref="AH507">DiasMesesGris(Q507:AB507)</f>
        <v>360</v>
      </c>
      <c r="AI507" s="30">
        <f t="shared" si="112"/>
        <v>360</v>
      </c>
      <c r="AJ507" s="30">
        <f t="shared" si="113"/>
        <v>0</v>
      </c>
      <c r="AK507" s="31">
        <f t="shared" si="114"/>
        <v>0</v>
      </c>
      <c r="AL507" s="32">
        <f t="shared" si="111"/>
        <v>0</v>
      </c>
    </row>
    <row r="508" spans="1:38" x14ac:dyDescent="0.25">
      <c r="A508" s="1" t="s">
        <v>1524</v>
      </c>
      <c r="B508" s="1" t="s">
        <v>1525</v>
      </c>
      <c r="C508" s="1" t="s">
        <v>1526</v>
      </c>
      <c r="D508" s="5">
        <v>2</v>
      </c>
      <c r="E508" s="5">
        <v>2</v>
      </c>
      <c r="F508" s="3"/>
      <c r="G508" s="5">
        <v>3</v>
      </c>
      <c r="H508" s="3"/>
      <c r="I508" s="3"/>
      <c r="J508" s="5">
        <v>2</v>
      </c>
      <c r="K508" s="3"/>
      <c r="L508" s="3"/>
      <c r="M508" s="3"/>
      <c r="N508" s="5">
        <v>2</v>
      </c>
      <c r="O508" s="5">
        <v>2</v>
      </c>
      <c r="P508" s="3"/>
      <c r="Q508" s="6">
        <v>6.4500000000000002E-2</v>
      </c>
      <c r="R508" s="6">
        <v>6.4500000000000002E-2</v>
      </c>
      <c r="S508" s="6">
        <v>0</v>
      </c>
      <c r="T508" s="6">
        <v>9.6799999999999997E-2</v>
      </c>
      <c r="U508" s="6">
        <v>0</v>
      </c>
      <c r="V508" s="6">
        <v>0</v>
      </c>
      <c r="W508" s="6">
        <v>8.0600000000000005E-2</v>
      </c>
      <c r="X508" s="6">
        <v>0</v>
      </c>
      <c r="Y508" s="6">
        <v>0</v>
      </c>
      <c r="Z508" s="6">
        <v>0</v>
      </c>
      <c r="AA508" s="6">
        <v>6.1400000000000003E-2</v>
      </c>
      <c r="AB508" s="6">
        <v>5.8000000000000003E-2</v>
      </c>
      <c r="AC508" s="7">
        <v>0</v>
      </c>
      <c r="AD508" s="35">
        <v>3.5499999999999997E-2</v>
      </c>
      <c r="AE508" s="35">
        <f t="shared" si="110"/>
        <v>2.8571428571428574E-2</v>
      </c>
      <c r="AF508" s="34" t="s">
        <v>35</v>
      </c>
      <c r="AG508" s="30" cm="1">
        <f t="array" ref="AG508">DIASQUIEBRE(Q508:AB508)</f>
        <v>0</v>
      </c>
      <c r="AH508" s="30" cm="1">
        <f t="array" ref="AH508">DiasMesesGris(Q508:AB508)</f>
        <v>0</v>
      </c>
      <c r="AI508" s="30">
        <f t="shared" si="112"/>
        <v>0</v>
      </c>
      <c r="AJ508" s="30">
        <f t="shared" si="113"/>
        <v>360</v>
      </c>
      <c r="AK508" s="31">
        <f t="shared" si="114"/>
        <v>13</v>
      </c>
      <c r="AL508" s="32">
        <f t="shared" si="111"/>
        <v>3.6111111111111108E-2</v>
      </c>
    </row>
    <row r="509" spans="1:38" x14ac:dyDescent="0.25">
      <c r="A509" s="1" t="s">
        <v>1527</v>
      </c>
      <c r="B509" s="1" t="s">
        <v>1528</v>
      </c>
      <c r="C509" s="1" t="s">
        <v>1529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7">
        <v>0</v>
      </c>
      <c r="AE509" s="35">
        <f t="shared" si="110"/>
        <v>0</v>
      </c>
      <c r="AF509" s="34" t="s">
        <v>51</v>
      </c>
      <c r="AG509" s="30" cm="1">
        <f t="array" ref="AG509">DIASQUIEBRE(Q509:AB509)</f>
        <v>0</v>
      </c>
      <c r="AH509" s="30" cm="1">
        <f t="array" ref="AH509">DiasMesesGris(Q509:AB509)</f>
        <v>360</v>
      </c>
      <c r="AI509" s="30">
        <f t="shared" si="112"/>
        <v>360</v>
      </c>
      <c r="AJ509" s="30">
        <f t="shared" si="113"/>
        <v>0</v>
      </c>
      <c r="AK509" s="31">
        <f t="shared" si="114"/>
        <v>0</v>
      </c>
      <c r="AL509" s="32">
        <f t="shared" si="111"/>
        <v>0</v>
      </c>
    </row>
    <row r="510" spans="1:38" x14ac:dyDescent="0.25">
      <c r="A510" s="1" t="s">
        <v>1530</v>
      </c>
      <c r="B510" s="1" t="s">
        <v>1531</v>
      </c>
      <c r="C510" s="1" t="s">
        <v>1532</v>
      </c>
      <c r="D510" s="5">
        <v>336</v>
      </c>
      <c r="E510" s="5">
        <v>223</v>
      </c>
      <c r="F510" s="5">
        <v>100</v>
      </c>
      <c r="G510" s="5">
        <v>275</v>
      </c>
      <c r="H510" s="5">
        <v>275</v>
      </c>
      <c r="I510" s="5">
        <v>173</v>
      </c>
      <c r="J510" s="5">
        <v>200</v>
      </c>
      <c r="K510" s="5">
        <v>299</v>
      </c>
      <c r="L510" s="5">
        <v>200</v>
      </c>
      <c r="M510" s="5">
        <v>202</v>
      </c>
      <c r="N510" s="5">
        <v>215</v>
      </c>
      <c r="O510" s="5">
        <v>168</v>
      </c>
      <c r="P510" s="3"/>
      <c r="Q510" s="6">
        <v>10.838699999999999</v>
      </c>
      <c r="R510" s="6">
        <v>7.1935000000000002</v>
      </c>
      <c r="S510" s="6">
        <v>2.8986000000000001</v>
      </c>
      <c r="T510" s="6">
        <v>8.8710000000000004</v>
      </c>
      <c r="U510" s="6">
        <v>9.1667000000000005</v>
      </c>
      <c r="V510" s="6">
        <v>5.5805999999999996</v>
      </c>
      <c r="W510" s="6">
        <v>8.0645000000000007</v>
      </c>
      <c r="X510" s="6">
        <v>12.563000000000001</v>
      </c>
      <c r="Y510" s="6">
        <v>5.8651</v>
      </c>
      <c r="Z510" s="6">
        <v>7.4814999999999996</v>
      </c>
      <c r="AA510" s="8">
        <v>7.3129</v>
      </c>
      <c r="AB510" s="8">
        <v>10.434799999999999</v>
      </c>
      <c r="AC510" s="7">
        <v>0</v>
      </c>
      <c r="AD510" s="35">
        <v>7.8522999999999996</v>
      </c>
      <c r="AE510" s="35">
        <v>8.3000000000000007</v>
      </c>
      <c r="AF510" s="34" t="s">
        <v>35</v>
      </c>
      <c r="AG510" s="30" cm="1">
        <f t="array" ref="AG510">DIASQUIEBRE(Q510:AB510)</f>
        <v>19</v>
      </c>
      <c r="AH510" s="30" cm="1">
        <f t="array" ref="AH510">DiasMesesGris(Q510:AB510)</f>
        <v>0</v>
      </c>
      <c r="AI510" s="30">
        <f t="shared" si="112"/>
        <v>19</v>
      </c>
      <c r="AJ510" s="30">
        <f t="shared" si="113"/>
        <v>341</v>
      </c>
      <c r="AK510" s="31">
        <f t="shared" si="114"/>
        <v>2666</v>
      </c>
      <c r="AL510" s="32">
        <f t="shared" si="111"/>
        <v>7.8181818181818183</v>
      </c>
    </row>
    <row r="511" spans="1:38" x14ac:dyDescent="0.25">
      <c r="A511" s="1" t="s">
        <v>1533</v>
      </c>
      <c r="B511" s="1" t="s">
        <v>1534</v>
      </c>
      <c r="C511" s="1" t="s">
        <v>1535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7">
        <v>0</v>
      </c>
      <c r="AE511" s="35">
        <f t="shared" si="110"/>
        <v>0</v>
      </c>
      <c r="AF511" s="34" t="s">
        <v>51</v>
      </c>
      <c r="AG511" s="30" cm="1">
        <f t="array" ref="AG511">DIASQUIEBRE(Q511:AB511)</f>
        <v>0</v>
      </c>
      <c r="AH511" s="30" cm="1">
        <f t="array" ref="AH511">DiasMesesGris(Q511:AB511)</f>
        <v>360</v>
      </c>
      <c r="AI511" s="30">
        <f t="shared" si="112"/>
        <v>360</v>
      </c>
      <c r="AJ511" s="30">
        <f t="shared" si="113"/>
        <v>0</v>
      </c>
      <c r="AK511" s="31">
        <f t="shared" si="114"/>
        <v>0</v>
      </c>
      <c r="AL511" s="32">
        <f t="shared" si="111"/>
        <v>0</v>
      </c>
    </row>
    <row r="512" spans="1:38" x14ac:dyDescent="0.25">
      <c r="A512" s="1" t="s">
        <v>1536</v>
      </c>
      <c r="B512" s="1" t="s">
        <v>346</v>
      </c>
      <c r="C512" s="1" t="s">
        <v>1537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7">
        <v>0</v>
      </c>
      <c r="AE512" s="35">
        <f t="shared" si="110"/>
        <v>0</v>
      </c>
      <c r="AF512" s="34" t="s">
        <v>51</v>
      </c>
      <c r="AG512" s="30" cm="1">
        <f t="array" ref="AG512">DIASQUIEBRE(Q512:AB512)</f>
        <v>0</v>
      </c>
      <c r="AH512" s="30" cm="1">
        <f t="array" ref="AH512">DiasMesesGris(Q512:AB512)</f>
        <v>360</v>
      </c>
      <c r="AI512" s="30">
        <f t="shared" si="112"/>
        <v>360</v>
      </c>
      <c r="AJ512" s="30">
        <f t="shared" si="113"/>
        <v>0</v>
      </c>
      <c r="AK512" s="31">
        <f t="shared" si="114"/>
        <v>0</v>
      </c>
      <c r="AL512" s="32">
        <f t="shared" si="111"/>
        <v>0</v>
      </c>
    </row>
    <row r="513" spans="1:38" x14ac:dyDescent="0.25">
      <c r="A513" s="1" t="s">
        <v>1538</v>
      </c>
      <c r="B513" s="1" t="s">
        <v>1539</v>
      </c>
      <c r="C513" s="1" t="s">
        <v>1540</v>
      </c>
      <c r="D513" s="5">
        <v>26</v>
      </c>
      <c r="E513" s="5">
        <v>22</v>
      </c>
      <c r="F513" s="5">
        <v>27</v>
      </c>
      <c r="G513" s="5">
        <v>23</v>
      </c>
      <c r="H513" s="5">
        <v>32</v>
      </c>
      <c r="I513" s="3"/>
      <c r="J513" s="5">
        <v>47</v>
      </c>
      <c r="K513" s="5">
        <v>2</v>
      </c>
      <c r="L513" s="5">
        <v>2</v>
      </c>
      <c r="M513" s="5">
        <v>22</v>
      </c>
      <c r="N513" s="5">
        <v>20</v>
      </c>
      <c r="O513" s="5">
        <v>42</v>
      </c>
      <c r="P513" s="3"/>
      <c r="Q513" s="6">
        <v>0.8387</v>
      </c>
      <c r="R513" s="6">
        <v>0.7097</v>
      </c>
      <c r="S513" s="6">
        <v>0.78259999999999996</v>
      </c>
      <c r="T513" s="6">
        <v>0.7419</v>
      </c>
      <c r="U513" s="6">
        <v>1.0667</v>
      </c>
      <c r="V513" s="6">
        <v>0</v>
      </c>
      <c r="W513" s="6">
        <v>1.8952</v>
      </c>
      <c r="X513" s="6">
        <v>8.4000000000000005E-2</v>
      </c>
      <c r="Y513" s="6">
        <v>5.8700000000000002E-2</v>
      </c>
      <c r="Z513" s="6">
        <v>0.81479999999999997</v>
      </c>
      <c r="AA513" s="6">
        <v>0.61439999999999995</v>
      </c>
      <c r="AB513" s="6">
        <v>1.2174</v>
      </c>
      <c r="AC513" s="7">
        <v>0</v>
      </c>
      <c r="AD513" s="35">
        <v>0.73529999999999995</v>
      </c>
      <c r="AE513" s="35">
        <v>0.74</v>
      </c>
      <c r="AF513" s="34" t="s">
        <v>35</v>
      </c>
      <c r="AG513" s="30" cm="1">
        <f t="array" ref="AG513">DIASQUIEBRE(Q513:AB513)</f>
        <v>0</v>
      </c>
      <c r="AH513" s="30" cm="1">
        <f t="array" ref="AH513">DiasMesesGris(Q513:AB513)</f>
        <v>0</v>
      </c>
      <c r="AI513" s="30">
        <f t="shared" si="112"/>
        <v>0</v>
      </c>
      <c r="AJ513" s="30">
        <f t="shared" si="113"/>
        <v>360</v>
      </c>
      <c r="AK513" s="31">
        <f t="shared" si="114"/>
        <v>265</v>
      </c>
      <c r="AL513" s="32">
        <f t="shared" si="111"/>
        <v>0.73611111111111116</v>
      </c>
    </row>
    <row r="514" spans="1:38" x14ac:dyDescent="0.25">
      <c r="A514" s="1" t="s">
        <v>1541</v>
      </c>
      <c r="B514" s="1" t="s">
        <v>1542</v>
      </c>
      <c r="C514" s="1" t="s">
        <v>1543</v>
      </c>
      <c r="D514" s="5">
        <v>17</v>
      </c>
      <c r="E514" s="5">
        <v>5</v>
      </c>
      <c r="F514" s="3"/>
      <c r="G514" s="3"/>
      <c r="H514" s="5">
        <v>9</v>
      </c>
      <c r="I514" s="5">
        <v>2</v>
      </c>
      <c r="J514" s="5">
        <v>8</v>
      </c>
      <c r="K514" s="5">
        <v>14</v>
      </c>
      <c r="L514" s="5">
        <v>12</v>
      </c>
      <c r="M514" s="3"/>
      <c r="N514" s="5">
        <v>4</v>
      </c>
      <c r="O514" s="3"/>
      <c r="P514" s="3"/>
      <c r="Q514" s="6">
        <v>0.5484</v>
      </c>
      <c r="R514" s="8">
        <v>0.83330000000000004</v>
      </c>
      <c r="S514" s="9">
        <v>0</v>
      </c>
      <c r="T514" s="8">
        <v>0</v>
      </c>
      <c r="U514" s="6">
        <v>0.3</v>
      </c>
      <c r="V514" s="6">
        <v>6.4500000000000002E-2</v>
      </c>
      <c r="W514" s="8">
        <v>1</v>
      </c>
      <c r="X514" s="6">
        <v>0.58819999999999995</v>
      </c>
      <c r="Y514" s="8">
        <v>0.90910000000000002</v>
      </c>
      <c r="Z514" s="9">
        <v>0</v>
      </c>
      <c r="AA514" s="8">
        <v>0.127</v>
      </c>
      <c r="AB514" s="6">
        <v>0</v>
      </c>
      <c r="AC514" s="7">
        <v>0</v>
      </c>
      <c r="AD514" s="35">
        <v>0.30020000000000002</v>
      </c>
      <c r="AE514" s="35">
        <v>0.32</v>
      </c>
      <c r="AF514" s="34" t="s">
        <v>35</v>
      </c>
      <c r="AG514" s="30" cm="1">
        <f t="array" ref="AG514">DIASQUIEBRE(Q514:AB514)</f>
        <v>81</v>
      </c>
      <c r="AH514" s="30" cm="1">
        <f t="array" ref="AH514">DiasMesesGris(Q514:AB514)</f>
        <v>60</v>
      </c>
      <c r="AI514" s="30">
        <f t="shared" si="112"/>
        <v>141</v>
      </c>
      <c r="AJ514" s="30">
        <f t="shared" si="113"/>
        <v>219</v>
      </c>
      <c r="AK514" s="31">
        <f t="shared" si="114"/>
        <v>71</v>
      </c>
      <c r="AL514" s="32">
        <f t="shared" si="111"/>
        <v>0.32420091324200911</v>
      </c>
    </row>
    <row r="515" spans="1:38" x14ac:dyDescent="0.25">
      <c r="A515" s="1" t="s">
        <v>1544</v>
      </c>
      <c r="B515" s="1" t="s">
        <v>1545</v>
      </c>
      <c r="C515" s="1" t="s">
        <v>1546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7">
        <v>0</v>
      </c>
      <c r="AE515" s="35">
        <f t="shared" ref="AE515:AE529" si="135">AVERAGE(V515:AB515)</f>
        <v>0</v>
      </c>
      <c r="AF515" s="34" t="s">
        <v>35</v>
      </c>
      <c r="AG515" s="30" cm="1">
        <f t="array" ref="AG515">DIASQUIEBRE(Q515:AB515)</f>
        <v>0</v>
      </c>
      <c r="AH515" s="30" cm="1">
        <f t="array" ref="AH515">DiasMesesGris(Q515:AB515)</f>
        <v>360</v>
      </c>
      <c r="AI515" s="30">
        <f t="shared" si="112"/>
        <v>360</v>
      </c>
      <c r="AJ515" s="30">
        <f t="shared" si="113"/>
        <v>0</v>
      </c>
      <c r="AK515" s="31">
        <f t="shared" si="114"/>
        <v>0</v>
      </c>
      <c r="AL515" s="32">
        <f t="shared" ref="AL515:AL529" si="136">IFERROR(AK515/AJ515,0)</f>
        <v>0</v>
      </c>
    </row>
    <row r="516" spans="1:38" x14ac:dyDescent="0.25">
      <c r="A516" s="1" t="s">
        <v>1547</v>
      </c>
      <c r="B516" s="1" t="s">
        <v>381</v>
      </c>
      <c r="C516" s="1" t="s">
        <v>1548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7">
        <v>0</v>
      </c>
      <c r="AE516" s="35">
        <f t="shared" si="135"/>
        <v>0</v>
      </c>
      <c r="AF516" s="34" t="s">
        <v>35</v>
      </c>
      <c r="AG516" s="30" cm="1">
        <f t="array" ref="AG516">DIASQUIEBRE(Q516:AB516)</f>
        <v>0</v>
      </c>
      <c r="AH516" s="30" cm="1">
        <f t="array" ref="AH516">DiasMesesGris(Q516:AB516)</f>
        <v>360</v>
      </c>
      <c r="AI516" s="30">
        <f t="shared" ref="AI516:AI529" si="137">AG516+AH516</f>
        <v>360</v>
      </c>
      <c r="AJ516" s="30">
        <f t="shared" ref="AJ516:AJ529" si="138">360-AI516</f>
        <v>0</v>
      </c>
      <c r="AK516" s="31">
        <f t="shared" ref="AK516:AK529" si="139">SUM(D516:O516)</f>
        <v>0</v>
      </c>
      <c r="AL516" s="32">
        <f t="shared" si="136"/>
        <v>0</v>
      </c>
    </row>
    <row r="517" spans="1:38" x14ac:dyDescent="0.25">
      <c r="A517" s="1" t="s">
        <v>1549</v>
      </c>
      <c r="B517" s="1" t="s">
        <v>393</v>
      </c>
      <c r="C517" s="1" t="s">
        <v>1550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7">
        <v>0</v>
      </c>
      <c r="AE517" s="35">
        <f t="shared" si="135"/>
        <v>0</v>
      </c>
      <c r="AF517" s="34" t="s">
        <v>51</v>
      </c>
      <c r="AG517" s="30" cm="1">
        <f t="array" ref="AG517">DIASQUIEBRE(Q517:AB517)</f>
        <v>0</v>
      </c>
      <c r="AH517" s="30" cm="1">
        <f t="array" ref="AH517">DiasMesesGris(Q517:AB517)</f>
        <v>360</v>
      </c>
      <c r="AI517" s="30">
        <f t="shared" si="137"/>
        <v>360</v>
      </c>
      <c r="AJ517" s="30">
        <f t="shared" si="138"/>
        <v>0</v>
      </c>
      <c r="AK517" s="31">
        <f t="shared" si="139"/>
        <v>0</v>
      </c>
      <c r="AL517" s="32">
        <f t="shared" si="136"/>
        <v>0</v>
      </c>
    </row>
    <row r="518" spans="1:38" x14ac:dyDescent="0.25">
      <c r="A518" s="1" t="s">
        <v>1551</v>
      </c>
      <c r="B518" s="1" t="s">
        <v>1552</v>
      </c>
      <c r="C518" s="1" t="s">
        <v>1553</v>
      </c>
      <c r="D518" s="5">
        <v>145</v>
      </c>
      <c r="E518" s="5">
        <v>72</v>
      </c>
      <c r="F518" s="5">
        <v>56</v>
      </c>
      <c r="G518" s="5">
        <v>99</v>
      </c>
      <c r="H518" s="5">
        <v>75</v>
      </c>
      <c r="I518" s="5">
        <v>105</v>
      </c>
      <c r="J518" s="5">
        <v>4</v>
      </c>
      <c r="K518" s="5">
        <v>53</v>
      </c>
      <c r="L518" s="5">
        <v>80</v>
      </c>
      <c r="M518" s="5">
        <v>84</v>
      </c>
      <c r="N518" s="5">
        <v>80</v>
      </c>
      <c r="O518" s="5">
        <v>259</v>
      </c>
      <c r="P518" s="5">
        <v>3</v>
      </c>
      <c r="Q518" s="6">
        <v>4.6773999999999996</v>
      </c>
      <c r="R518" s="6">
        <v>2.3226</v>
      </c>
      <c r="S518" s="6">
        <v>1.6232</v>
      </c>
      <c r="T518" s="6">
        <v>3.1934999999999998</v>
      </c>
      <c r="U518" s="6">
        <v>2.5</v>
      </c>
      <c r="V518" s="6">
        <v>3.3871000000000002</v>
      </c>
      <c r="W518" s="6">
        <v>0.1613</v>
      </c>
      <c r="X518" s="6">
        <v>2.2269000000000001</v>
      </c>
      <c r="Y518" s="6">
        <v>2.3460000000000001</v>
      </c>
      <c r="Z518" s="6">
        <v>3.1111</v>
      </c>
      <c r="AA518" s="6">
        <v>2.4578000000000002</v>
      </c>
      <c r="AB518" s="6">
        <v>7.5072000000000001</v>
      </c>
      <c r="AC518" s="7">
        <v>9.6799999999999997E-2</v>
      </c>
      <c r="AD518" s="35">
        <v>2.9594999999999998</v>
      </c>
      <c r="AE518" s="35">
        <f t="shared" si="135"/>
        <v>3.0282000000000004</v>
      </c>
      <c r="AF518" s="34" t="s">
        <v>35</v>
      </c>
      <c r="AG518" s="30" cm="1">
        <f t="array" ref="AG518">DIASQUIEBRE(Q518:AB518)</f>
        <v>0</v>
      </c>
      <c r="AH518" s="30" cm="1">
        <f t="array" ref="AH518">DiasMesesGris(Q518:AB518)</f>
        <v>0</v>
      </c>
      <c r="AI518" s="30">
        <f t="shared" si="137"/>
        <v>0</v>
      </c>
      <c r="AJ518" s="30">
        <f t="shared" si="138"/>
        <v>360</v>
      </c>
      <c r="AK518" s="31">
        <f t="shared" si="139"/>
        <v>1112</v>
      </c>
      <c r="AL518" s="32">
        <f t="shared" si="136"/>
        <v>3.088888888888889</v>
      </c>
    </row>
    <row r="519" spans="1:38" x14ac:dyDescent="0.25">
      <c r="A519" s="1" t="s">
        <v>1554</v>
      </c>
      <c r="B519" s="1" t="s">
        <v>399</v>
      </c>
      <c r="C519" s="1" t="s">
        <v>1555</v>
      </c>
      <c r="D519" s="3"/>
      <c r="E519" s="3"/>
      <c r="F519" s="3"/>
      <c r="G519" s="5">
        <v>1</v>
      </c>
      <c r="H519" s="5">
        <v>4</v>
      </c>
      <c r="I519" s="3"/>
      <c r="J519" s="3"/>
      <c r="K519" s="3"/>
      <c r="L519" s="3"/>
      <c r="M519" s="3"/>
      <c r="N519" s="3"/>
      <c r="O519" s="5">
        <v>1</v>
      </c>
      <c r="P519" s="3"/>
      <c r="Q519" s="6">
        <v>0</v>
      </c>
      <c r="R519" s="6">
        <v>0</v>
      </c>
      <c r="S519" s="6">
        <v>0</v>
      </c>
      <c r="T519" s="6">
        <v>3.2300000000000002E-2</v>
      </c>
      <c r="U519" s="6">
        <v>0.1333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2.9000000000000001E-2</v>
      </c>
      <c r="AC519" s="7">
        <v>0</v>
      </c>
      <c r="AD519" s="35">
        <v>1.6199999999999999E-2</v>
      </c>
      <c r="AE519" s="35">
        <f t="shared" si="135"/>
        <v>4.1428571428571434E-3</v>
      </c>
      <c r="AF519" s="34" t="s">
        <v>35</v>
      </c>
      <c r="AG519" s="30" cm="1">
        <f t="array" ref="AG519">DIASQUIEBRE(Q519:AB519)</f>
        <v>0</v>
      </c>
      <c r="AH519" s="30" cm="1">
        <f t="array" ref="AH519">DiasMesesGris(Q519:AB519)</f>
        <v>0</v>
      </c>
      <c r="AI519" s="30">
        <f t="shared" si="137"/>
        <v>0</v>
      </c>
      <c r="AJ519" s="30">
        <f t="shared" si="138"/>
        <v>360</v>
      </c>
      <c r="AK519" s="31">
        <f t="shared" si="139"/>
        <v>6</v>
      </c>
      <c r="AL519" s="32">
        <f t="shared" si="136"/>
        <v>1.6666666666666666E-2</v>
      </c>
    </row>
    <row r="520" spans="1:38" x14ac:dyDescent="0.25">
      <c r="A520" s="1" t="s">
        <v>1556</v>
      </c>
      <c r="B520" s="1" t="s">
        <v>1557</v>
      </c>
      <c r="C520" s="1" t="s">
        <v>1558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7">
        <v>0</v>
      </c>
      <c r="AE520" s="35">
        <f t="shared" si="135"/>
        <v>0</v>
      </c>
      <c r="AF520" s="34" t="s">
        <v>35</v>
      </c>
      <c r="AG520" s="30" cm="1">
        <f t="array" ref="AG520">DIASQUIEBRE(Q520:AB520)</f>
        <v>0</v>
      </c>
      <c r="AH520" s="30" cm="1">
        <f t="array" ref="AH520">DiasMesesGris(Q520:AB520)</f>
        <v>360</v>
      </c>
      <c r="AI520" s="30">
        <f t="shared" si="137"/>
        <v>360</v>
      </c>
      <c r="AJ520" s="30">
        <f t="shared" si="138"/>
        <v>0</v>
      </c>
      <c r="AK520" s="31">
        <f t="shared" si="139"/>
        <v>0</v>
      </c>
      <c r="AL520" s="32">
        <f t="shared" si="136"/>
        <v>0</v>
      </c>
    </row>
    <row r="521" spans="1:38" x14ac:dyDescent="0.25">
      <c r="A521" s="1" t="s">
        <v>1559</v>
      </c>
      <c r="B521" s="1" t="s">
        <v>1560</v>
      </c>
      <c r="C521" s="1" t="s">
        <v>1561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7">
        <v>0</v>
      </c>
      <c r="AE521" s="35">
        <f t="shared" si="135"/>
        <v>0</v>
      </c>
      <c r="AF521" s="34" t="s">
        <v>51</v>
      </c>
      <c r="AG521" s="30" cm="1">
        <f t="array" ref="AG521">DIASQUIEBRE(Q521:AB521)</f>
        <v>0</v>
      </c>
      <c r="AH521" s="30" cm="1">
        <f t="array" ref="AH521">DiasMesesGris(Q521:AB521)</f>
        <v>360</v>
      </c>
      <c r="AI521" s="30">
        <f t="shared" si="137"/>
        <v>360</v>
      </c>
      <c r="AJ521" s="30">
        <f t="shared" si="138"/>
        <v>0</v>
      </c>
      <c r="AK521" s="31">
        <f t="shared" si="139"/>
        <v>0</v>
      </c>
      <c r="AL521" s="32">
        <f t="shared" si="136"/>
        <v>0</v>
      </c>
    </row>
    <row r="522" spans="1:38" x14ac:dyDescent="0.25">
      <c r="A522" s="1" t="s">
        <v>1562</v>
      </c>
      <c r="B522" s="1" t="s">
        <v>1563</v>
      </c>
      <c r="C522" s="1" t="s">
        <v>1564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7">
        <v>0</v>
      </c>
      <c r="AE522" s="35">
        <f t="shared" si="135"/>
        <v>0</v>
      </c>
      <c r="AF522" s="34" t="s">
        <v>35</v>
      </c>
      <c r="AG522" s="30" cm="1">
        <f t="array" ref="AG522">DIASQUIEBRE(Q522:AB522)</f>
        <v>0</v>
      </c>
      <c r="AH522" s="30" cm="1">
        <f t="array" ref="AH522">DiasMesesGris(Q522:AB522)</f>
        <v>360</v>
      </c>
      <c r="AI522" s="30">
        <f t="shared" si="137"/>
        <v>360</v>
      </c>
      <c r="AJ522" s="30">
        <f t="shared" si="138"/>
        <v>0</v>
      </c>
      <c r="AK522" s="31">
        <f t="shared" si="139"/>
        <v>0</v>
      </c>
      <c r="AL522" s="32">
        <f t="shared" si="136"/>
        <v>0</v>
      </c>
    </row>
    <row r="523" spans="1:38" x14ac:dyDescent="0.25">
      <c r="A523" s="1" t="s">
        <v>1565</v>
      </c>
      <c r="B523" s="1" t="s">
        <v>1566</v>
      </c>
      <c r="C523" s="1" t="s">
        <v>1567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7">
        <v>0</v>
      </c>
      <c r="AE523" s="35">
        <f t="shared" si="135"/>
        <v>0</v>
      </c>
      <c r="AF523" s="34" t="s">
        <v>51</v>
      </c>
      <c r="AG523" s="30" cm="1">
        <f t="array" ref="AG523">DIASQUIEBRE(Q523:AB523)</f>
        <v>0</v>
      </c>
      <c r="AH523" s="30" cm="1">
        <f t="array" ref="AH523">DiasMesesGris(Q523:AB523)</f>
        <v>360</v>
      </c>
      <c r="AI523" s="30">
        <f t="shared" si="137"/>
        <v>360</v>
      </c>
      <c r="AJ523" s="30">
        <f t="shared" si="138"/>
        <v>0</v>
      </c>
      <c r="AK523" s="31">
        <f t="shared" si="139"/>
        <v>0</v>
      </c>
      <c r="AL523" s="32">
        <f t="shared" si="136"/>
        <v>0</v>
      </c>
    </row>
    <row r="524" spans="1:38" x14ac:dyDescent="0.25">
      <c r="A524" s="1" t="s">
        <v>1568</v>
      </c>
      <c r="B524" s="1" t="s">
        <v>1569</v>
      </c>
      <c r="C524" s="1" t="s">
        <v>1570</v>
      </c>
      <c r="D524" s="5">
        <v>15</v>
      </c>
      <c r="E524" s="5">
        <v>42</v>
      </c>
      <c r="F524" s="5">
        <v>21</v>
      </c>
      <c r="G524" s="5">
        <v>7</v>
      </c>
      <c r="H524" s="5">
        <v>20</v>
      </c>
      <c r="I524" s="3"/>
      <c r="J524" s="5">
        <v>2</v>
      </c>
      <c r="K524" s="5">
        <v>7</v>
      </c>
      <c r="L524" s="5">
        <v>22</v>
      </c>
      <c r="M524" s="5">
        <v>1</v>
      </c>
      <c r="N524" s="5">
        <v>12</v>
      </c>
      <c r="O524" s="5">
        <v>55</v>
      </c>
      <c r="P524" s="3"/>
      <c r="Q524" s="6">
        <v>0.4839</v>
      </c>
      <c r="R524" s="6">
        <v>1.3548</v>
      </c>
      <c r="S524" s="6">
        <v>0.60870000000000002</v>
      </c>
      <c r="T524" s="6">
        <v>0.2258</v>
      </c>
      <c r="U524" s="6">
        <v>0.66669999999999996</v>
      </c>
      <c r="V524" s="6">
        <v>0</v>
      </c>
      <c r="W524" s="6">
        <v>8.0600000000000005E-2</v>
      </c>
      <c r="X524" s="6">
        <v>0.29409999999999997</v>
      </c>
      <c r="Y524" s="6">
        <v>0.6452</v>
      </c>
      <c r="Z524" s="6">
        <v>3.6999999999999998E-2</v>
      </c>
      <c r="AA524" s="6">
        <v>0.36870000000000003</v>
      </c>
      <c r="AB524" s="6">
        <v>1.5942000000000001</v>
      </c>
      <c r="AC524" s="7">
        <v>0</v>
      </c>
      <c r="AD524" s="35">
        <v>0.53</v>
      </c>
      <c r="AE524" s="35">
        <f t="shared" si="135"/>
        <v>0.43140000000000001</v>
      </c>
      <c r="AF524" s="34" t="s">
        <v>35</v>
      </c>
      <c r="AG524" s="30" cm="1">
        <f t="array" ref="AG524">DIASQUIEBRE(Q524:AB524)</f>
        <v>0</v>
      </c>
      <c r="AH524" s="30" cm="1">
        <f t="array" ref="AH524">DiasMesesGris(Q524:AB524)</f>
        <v>0</v>
      </c>
      <c r="AI524" s="30">
        <f t="shared" si="137"/>
        <v>0</v>
      </c>
      <c r="AJ524" s="30">
        <f t="shared" si="138"/>
        <v>360</v>
      </c>
      <c r="AK524" s="31">
        <f t="shared" si="139"/>
        <v>204</v>
      </c>
      <c r="AL524" s="32">
        <f t="shared" si="136"/>
        <v>0.56666666666666665</v>
      </c>
    </row>
    <row r="525" spans="1:38" x14ac:dyDescent="0.25">
      <c r="A525" s="1" t="s">
        <v>1571</v>
      </c>
      <c r="B525" s="1" t="s">
        <v>1572</v>
      </c>
      <c r="C525" s="1" t="s">
        <v>1535</v>
      </c>
      <c r="D525" s="5">
        <v>43</v>
      </c>
      <c r="E525" s="5">
        <v>56</v>
      </c>
      <c r="F525" s="5">
        <v>94</v>
      </c>
      <c r="G525" s="5">
        <v>69</v>
      </c>
      <c r="H525" s="5">
        <v>146</v>
      </c>
      <c r="I525" s="5">
        <v>28</v>
      </c>
      <c r="J525" s="5">
        <v>52</v>
      </c>
      <c r="K525" s="5">
        <v>68</v>
      </c>
      <c r="L525" s="5">
        <v>54</v>
      </c>
      <c r="M525" s="5">
        <v>56</v>
      </c>
      <c r="N525" s="5">
        <v>87</v>
      </c>
      <c r="O525" s="5">
        <v>98</v>
      </c>
      <c r="P525" s="3"/>
      <c r="Q525" s="6">
        <v>1.3871</v>
      </c>
      <c r="R525" s="6">
        <v>1.8065</v>
      </c>
      <c r="S525" s="6">
        <v>2.7246000000000001</v>
      </c>
      <c r="T525" s="6">
        <v>2.2258</v>
      </c>
      <c r="U525" s="6">
        <v>4.8666999999999998</v>
      </c>
      <c r="V525" s="6">
        <v>0.9032</v>
      </c>
      <c r="W525" s="6">
        <v>2.0968</v>
      </c>
      <c r="X525" s="6">
        <v>2.8571</v>
      </c>
      <c r="Y525" s="6">
        <v>1.5835999999999999</v>
      </c>
      <c r="Z525" s="6">
        <v>2.0741000000000001</v>
      </c>
      <c r="AA525" s="6">
        <v>2.6728000000000001</v>
      </c>
      <c r="AB525" s="6">
        <v>2.8405999999999998</v>
      </c>
      <c r="AC525" s="7">
        <v>0</v>
      </c>
      <c r="AD525" s="35">
        <v>2.3365999999999998</v>
      </c>
      <c r="AE525" s="35">
        <f t="shared" si="135"/>
        <v>2.1468857142857143</v>
      </c>
      <c r="AF525" s="34" t="s">
        <v>35</v>
      </c>
      <c r="AG525" s="30" cm="1">
        <f t="array" ref="AG525">DIASQUIEBRE(Q525:AB525)</f>
        <v>0</v>
      </c>
      <c r="AH525" s="30" cm="1">
        <f t="array" ref="AH525">DiasMesesGris(Q525:AB525)</f>
        <v>0</v>
      </c>
      <c r="AI525" s="30">
        <f t="shared" si="137"/>
        <v>0</v>
      </c>
      <c r="AJ525" s="30">
        <f t="shared" si="138"/>
        <v>360</v>
      </c>
      <c r="AK525" s="31">
        <f t="shared" si="139"/>
        <v>851</v>
      </c>
      <c r="AL525" s="32">
        <f t="shared" si="136"/>
        <v>2.3638888888888889</v>
      </c>
    </row>
    <row r="526" spans="1:38" x14ac:dyDescent="0.25">
      <c r="A526" s="1" t="s">
        <v>1573</v>
      </c>
      <c r="B526" s="1" t="s">
        <v>1574</v>
      </c>
      <c r="C526" s="1" t="s">
        <v>1550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7">
        <v>0</v>
      </c>
      <c r="AE526" s="35">
        <f t="shared" si="135"/>
        <v>0</v>
      </c>
      <c r="AF526" s="34" t="s">
        <v>35</v>
      </c>
      <c r="AG526" s="30" cm="1">
        <f t="array" ref="AG526">DIASQUIEBRE(Q526:AB526)</f>
        <v>0</v>
      </c>
      <c r="AH526" s="30" cm="1">
        <f t="array" ref="AH526">DiasMesesGris(Q526:AB526)</f>
        <v>360</v>
      </c>
      <c r="AI526" s="30">
        <f t="shared" si="137"/>
        <v>360</v>
      </c>
      <c r="AJ526" s="30">
        <f t="shared" si="138"/>
        <v>0</v>
      </c>
      <c r="AK526" s="31">
        <f t="shared" si="139"/>
        <v>0</v>
      </c>
      <c r="AL526" s="32">
        <f t="shared" si="136"/>
        <v>0</v>
      </c>
    </row>
    <row r="527" spans="1:38" x14ac:dyDescent="0.25">
      <c r="A527" s="1" t="s">
        <v>1575</v>
      </c>
      <c r="B527" s="1" t="s">
        <v>1576</v>
      </c>
      <c r="C527" s="1" t="s">
        <v>1537</v>
      </c>
      <c r="D527" s="5">
        <v>5</v>
      </c>
      <c r="E527" s="5">
        <v>7</v>
      </c>
      <c r="F527" s="5">
        <v>40</v>
      </c>
      <c r="G527" s="5">
        <v>45</v>
      </c>
      <c r="H527" s="5">
        <v>2</v>
      </c>
      <c r="I527" s="5">
        <v>43</v>
      </c>
      <c r="J527" s="5">
        <v>1</v>
      </c>
      <c r="K527" s="5">
        <v>27</v>
      </c>
      <c r="L527" s="5">
        <v>27</v>
      </c>
      <c r="M527" s="5">
        <v>26</v>
      </c>
      <c r="N527" s="5">
        <v>41</v>
      </c>
      <c r="O527" s="5">
        <v>52</v>
      </c>
      <c r="P527" s="3"/>
      <c r="Q527" s="6">
        <v>0.1613</v>
      </c>
      <c r="R527" s="6">
        <v>0.2258</v>
      </c>
      <c r="S527" s="6">
        <v>1.1594</v>
      </c>
      <c r="T527" s="6">
        <v>1.4516</v>
      </c>
      <c r="U527" s="6">
        <v>6.6699999999999995E-2</v>
      </c>
      <c r="V527" s="6">
        <v>1.3871</v>
      </c>
      <c r="W527" s="6">
        <v>4.0300000000000002E-2</v>
      </c>
      <c r="X527" s="6">
        <v>1.1345000000000001</v>
      </c>
      <c r="Y527" s="6">
        <v>0.79179999999999995</v>
      </c>
      <c r="Z527" s="6">
        <v>0.96299999999999997</v>
      </c>
      <c r="AA527" s="6">
        <v>1.2596000000000001</v>
      </c>
      <c r="AB527" s="6">
        <v>1.5072000000000001</v>
      </c>
      <c r="AC527" s="7">
        <v>0</v>
      </c>
      <c r="AD527" s="35">
        <v>0.84570000000000001</v>
      </c>
      <c r="AE527" s="35">
        <f t="shared" si="135"/>
        <v>1.0119285714285715</v>
      </c>
      <c r="AF527" s="34" t="s">
        <v>35</v>
      </c>
      <c r="AG527" s="30" cm="1">
        <f t="array" ref="AG527">DIASQUIEBRE(Q527:AB527)</f>
        <v>0</v>
      </c>
      <c r="AH527" s="30" cm="1">
        <f t="array" ref="AH527">DiasMesesGris(Q527:AB527)</f>
        <v>0</v>
      </c>
      <c r="AI527" s="30">
        <f t="shared" si="137"/>
        <v>0</v>
      </c>
      <c r="AJ527" s="30">
        <f t="shared" si="138"/>
        <v>360</v>
      </c>
      <c r="AK527" s="31">
        <f t="shared" si="139"/>
        <v>316</v>
      </c>
      <c r="AL527" s="32">
        <f t="shared" si="136"/>
        <v>0.87777777777777777</v>
      </c>
    </row>
    <row r="528" spans="1:38" x14ac:dyDescent="0.25">
      <c r="A528" s="1" t="s">
        <v>1577</v>
      </c>
      <c r="B528" s="1" t="s">
        <v>1578</v>
      </c>
      <c r="C528" s="1" t="s">
        <v>1579</v>
      </c>
      <c r="D528" s="5">
        <v>26</v>
      </c>
      <c r="E528" s="5">
        <v>47</v>
      </c>
      <c r="F528" s="5">
        <v>23</v>
      </c>
      <c r="G528" s="5">
        <v>75</v>
      </c>
      <c r="H528" s="5">
        <v>37</v>
      </c>
      <c r="I528" s="5">
        <v>114</v>
      </c>
      <c r="J528" s="5">
        <v>9</v>
      </c>
      <c r="K528" s="5">
        <v>19</v>
      </c>
      <c r="L528" s="5">
        <v>102</v>
      </c>
      <c r="M528" s="5">
        <v>4</v>
      </c>
      <c r="N528" s="5">
        <v>75</v>
      </c>
      <c r="O528" s="5">
        <v>65</v>
      </c>
      <c r="P528" s="3"/>
      <c r="Q528" s="6">
        <v>0.8387</v>
      </c>
      <c r="R528" s="6">
        <v>1.5161</v>
      </c>
      <c r="S528" s="6">
        <v>0.66669999999999996</v>
      </c>
      <c r="T528" s="6">
        <v>2.4194</v>
      </c>
      <c r="U528" s="6">
        <v>1.2333000000000001</v>
      </c>
      <c r="V528" s="6">
        <v>3.6774</v>
      </c>
      <c r="W528" s="6">
        <v>0.3629</v>
      </c>
      <c r="X528" s="6">
        <v>0.79830000000000001</v>
      </c>
      <c r="Y528" s="6">
        <v>2.9912000000000001</v>
      </c>
      <c r="Z528" s="8">
        <v>0.3175</v>
      </c>
      <c r="AA528" s="8">
        <v>2.3809999999999998</v>
      </c>
      <c r="AB528" s="6">
        <v>1.8841000000000001</v>
      </c>
      <c r="AC528" s="7">
        <v>0</v>
      </c>
      <c r="AD528" s="35">
        <v>1.6388</v>
      </c>
      <c r="AE528" s="35">
        <v>1.74</v>
      </c>
      <c r="AF528" s="34" t="s">
        <v>35</v>
      </c>
      <c r="AG528" s="30" cm="1">
        <f t="array" ref="AG528">DIASQUIEBRE(Q528:AB528)</f>
        <v>17</v>
      </c>
      <c r="AH528" s="30" cm="1">
        <f t="array" ref="AH528">DiasMesesGris(Q528:AB528)</f>
        <v>0</v>
      </c>
      <c r="AI528" s="30">
        <f t="shared" si="137"/>
        <v>17</v>
      </c>
      <c r="AJ528" s="30">
        <f t="shared" si="138"/>
        <v>343</v>
      </c>
      <c r="AK528" s="31">
        <f t="shared" si="139"/>
        <v>596</v>
      </c>
      <c r="AL528" s="32">
        <f t="shared" si="136"/>
        <v>1.7376093294460642</v>
      </c>
    </row>
    <row r="529" spans="1:38" x14ac:dyDescent="0.25">
      <c r="A529" s="1" t="s">
        <v>1580</v>
      </c>
      <c r="B529" s="1" t="s">
        <v>1581</v>
      </c>
      <c r="C529" s="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7">
        <v>0</v>
      </c>
      <c r="AE529" s="35">
        <f t="shared" si="135"/>
        <v>0</v>
      </c>
      <c r="AF529" s="34" t="s">
        <v>35</v>
      </c>
      <c r="AG529" s="30" cm="1">
        <f t="array" ref="AG529">DIASQUIEBRE(Q529:AB529)</f>
        <v>0</v>
      </c>
      <c r="AH529" s="30" cm="1">
        <f t="array" ref="AH529">DiasMesesGris(Q529:AB529)</f>
        <v>360</v>
      </c>
      <c r="AI529" s="30">
        <f t="shared" si="137"/>
        <v>360</v>
      </c>
      <c r="AJ529" s="30">
        <f t="shared" si="138"/>
        <v>0</v>
      </c>
      <c r="AK529" s="31">
        <f t="shared" si="139"/>
        <v>0</v>
      </c>
      <c r="AL529" s="32">
        <f t="shared" si="136"/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BL500"/>
  <sheetViews>
    <sheetView tabSelected="1" workbookViewId="0">
      <pane xSplit="3" ySplit="4" topLeftCell="AM5" activePane="bottomRight" state="frozen"/>
      <selection pane="topRight" activeCell="D1" sqref="D1"/>
      <selection pane="bottomLeft" activeCell="A5" sqref="A5"/>
      <selection pane="bottomRight" activeCell="BK1" sqref="BK1:BK1048576"/>
    </sheetView>
  </sheetViews>
  <sheetFormatPr baseColWidth="10" defaultColWidth="9" defaultRowHeight="14.3" x14ac:dyDescent="0.25"/>
  <cols>
    <col min="1" max="1" width="6" customWidth="1"/>
    <col min="2" max="2" width="26.25" customWidth="1"/>
    <col min="3" max="4" width="12" customWidth="1"/>
    <col min="5" max="5" width="8.625" customWidth="1"/>
    <col min="6" max="7" width="12" customWidth="1"/>
    <col min="8" max="8" width="1" customWidth="1"/>
    <col min="9" max="9" width="12" customWidth="1"/>
    <col min="10" max="10" width="6" customWidth="1"/>
    <col min="11" max="14" width="12" customWidth="1"/>
    <col min="15" max="16" width="1" customWidth="1"/>
    <col min="17" max="19" width="12" customWidth="1"/>
    <col min="20" max="20" width="1" customWidth="1"/>
    <col min="21" max="22" width="12" customWidth="1"/>
    <col min="23" max="23" width="1" customWidth="1"/>
    <col min="24" max="25" width="12" customWidth="1"/>
    <col min="26" max="26" width="1" customWidth="1"/>
    <col min="27" max="29" width="12" customWidth="1"/>
    <col min="30" max="30" width="6" customWidth="1"/>
    <col min="31" max="34" width="12" customWidth="1"/>
    <col min="35" max="36" width="1" customWidth="1"/>
    <col min="37" max="42" width="12" customWidth="1"/>
    <col min="43" max="43" width="8.625" customWidth="1"/>
    <col min="44" max="44" width="7.875" style="30" customWidth="1"/>
    <col min="45" max="46" width="12" customWidth="1"/>
    <col min="47" max="47" width="7.75" style="30" customWidth="1"/>
    <col min="48" max="48" width="8.25" customWidth="1"/>
    <col min="49" max="49" width="12" hidden="1" customWidth="1"/>
    <col min="50" max="50" width="8.625" customWidth="1"/>
    <col min="51" max="51" width="12" hidden="1" customWidth="1"/>
    <col min="52" max="52" width="9.875" customWidth="1"/>
    <col min="53" max="53" width="7.75" customWidth="1"/>
    <col min="54" max="54" width="9.375" customWidth="1"/>
    <col min="55" max="55" width="9.25" customWidth="1"/>
    <col min="56" max="56" width="9.125" bestFit="1" customWidth="1"/>
    <col min="57" max="57" width="12.75" bestFit="1" customWidth="1"/>
    <col min="58" max="58" width="14.875" hidden="1" customWidth="1"/>
    <col min="59" max="59" width="12.75" hidden="1" customWidth="1"/>
    <col min="60" max="61" width="12" customWidth="1"/>
    <col min="62" max="62" width="7.875" customWidth="1"/>
  </cols>
  <sheetData>
    <row r="1" spans="1:64" x14ac:dyDescent="0.25">
      <c r="A1" s="1" t="s">
        <v>1582</v>
      </c>
      <c r="B1" s="11">
        <v>46313</v>
      </c>
      <c r="D1" s="1" t="s">
        <v>1583</v>
      </c>
      <c r="E1" s="4">
        <v>180</v>
      </c>
      <c r="G1" s="1" t="s">
        <v>1584</v>
      </c>
      <c r="H1" s="4">
        <v>90</v>
      </c>
      <c r="J1" s="1" t="s">
        <v>1585</v>
      </c>
      <c r="K1" s="12">
        <v>7</v>
      </c>
      <c r="L1" s="12">
        <v>1</v>
      </c>
      <c r="AN1" t="s">
        <v>1656</v>
      </c>
      <c r="AP1" t="s">
        <v>1656</v>
      </c>
    </row>
    <row r="2" spans="1:64" x14ac:dyDescent="0.25">
      <c r="AN2" s="41" t="s">
        <v>1655</v>
      </c>
      <c r="AP2" s="41" t="s">
        <v>1655</v>
      </c>
      <c r="AR2" s="30" t="s">
        <v>1645</v>
      </c>
      <c r="AU2" s="30" t="s">
        <v>1646</v>
      </c>
    </row>
    <row r="3" spans="1:64" x14ac:dyDescent="0.25">
      <c r="I3" s="43" t="s">
        <v>1592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5" t="s">
        <v>1613</v>
      </c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BB3" s="43" t="s">
        <v>1633</v>
      </c>
      <c r="BC3" s="44"/>
      <c r="BD3" s="44"/>
      <c r="BE3" s="44"/>
      <c r="BF3" s="44"/>
      <c r="BG3" s="44"/>
      <c r="BH3" s="44"/>
      <c r="BI3" s="44"/>
    </row>
    <row r="4" spans="1:64" x14ac:dyDescent="0.25">
      <c r="A4" s="2" t="s">
        <v>2</v>
      </c>
      <c r="B4" s="2" t="s">
        <v>1</v>
      </c>
      <c r="C4" s="2" t="s">
        <v>1586</v>
      </c>
      <c r="D4" s="2" t="s">
        <v>1587</v>
      </c>
      <c r="E4" s="2" t="s">
        <v>1588</v>
      </c>
      <c r="F4" s="2" t="s">
        <v>1589</v>
      </c>
      <c r="G4" s="2" t="s">
        <v>1590</v>
      </c>
      <c r="H4" s="2" t="s">
        <v>1591</v>
      </c>
      <c r="I4" s="2" t="s">
        <v>1593</v>
      </c>
      <c r="J4" s="2" t="s">
        <v>1594</v>
      </c>
      <c r="K4" s="2" t="s">
        <v>1595</v>
      </c>
      <c r="L4" s="2" t="s">
        <v>1596</v>
      </c>
      <c r="M4" s="2" t="s">
        <v>1597</v>
      </c>
      <c r="N4" s="2" t="s">
        <v>1598</v>
      </c>
      <c r="O4" s="2" t="s">
        <v>1599</v>
      </c>
      <c r="P4" s="2" t="s">
        <v>1600</v>
      </c>
      <c r="Q4" s="2" t="s">
        <v>1601</v>
      </c>
      <c r="R4" s="2" t="s">
        <v>1602</v>
      </c>
      <c r="S4" s="2" t="s">
        <v>1603</v>
      </c>
      <c r="T4" s="2" t="s">
        <v>1604</v>
      </c>
      <c r="U4" s="2" t="s">
        <v>1605</v>
      </c>
      <c r="V4" s="2" t="s">
        <v>1606</v>
      </c>
      <c r="W4" s="2" t="s">
        <v>1607</v>
      </c>
      <c r="X4" s="2" t="s">
        <v>1608</v>
      </c>
      <c r="Y4" s="2" t="s">
        <v>1609</v>
      </c>
      <c r="Z4" s="2" t="s">
        <v>1610</v>
      </c>
      <c r="AA4" s="2" t="s">
        <v>1611</v>
      </c>
      <c r="AB4" s="2" t="s">
        <v>1612</v>
      </c>
      <c r="AC4" s="2" t="s">
        <v>1614</v>
      </c>
      <c r="AD4" s="2" t="s">
        <v>1615</v>
      </c>
      <c r="AE4" s="2" t="s">
        <v>1595</v>
      </c>
      <c r="AF4" s="2" t="s">
        <v>1596</v>
      </c>
      <c r="AG4" s="2" t="s">
        <v>1597</v>
      </c>
      <c r="AH4" s="2" t="s">
        <v>1598</v>
      </c>
      <c r="AI4" s="2" t="s">
        <v>1599</v>
      </c>
      <c r="AJ4" s="2" t="s">
        <v>1600</v>
      </c>
      <c r="AK4" s="2" t="s">
        <v>1616</v>
      </c>
      <c r="AL4" s="2" t="s">
        <v>1617</v>
      </c>
      <c r="AM4" s="2" t="s">
        <v>1618</v>
      </c>
      <c r="AN4" s="2" t="s">
        <v>1619</v>
      </c>
      <c r="AO4" s="2" t="s">
        <v>1620</v>
      </c>
      <c r="AP4" s="2" t="s">
        <v>1621</v>
      </c>
      <c r="AQ4" s="2" t="s">
        <v>1622</v>
      </c>
      <c r="AR4" s="33" t="s">
        <v>1623</v>
      </c>
      <c r="AS4" s="2" t="s">
        <v>1624</v>
      </c>
      <c r="AT4" s="2" t="s">
        <v>1625</v>
      </c>
      <c r="AU4" s="33" t="s">
        <v>1626</v>
      </c>
      <c r="AV4" s="2" t="s">
        <v>1627</v>
      </c>
      <c r="AW4" s="2" t="s">
        <v>1628</v>
      </c>
      <c r="AX4" s="2" t="s">
        <v>1629</v>
      </c>
      <c r="AY4" s="2" t="s">
        <v>1630</v>
      </c>
      <c r="AZ4" s="2" t="s">
        <v>1631</v>
      </c>
      <c r="BA4" s="2" t="s">
        <v>1632</v>
      </c>
      <c r="BB4" s="2" t="s">
        <v>1634</v>
      </c>
      <c r="BC4" s="2" t="s">
        <v>1596</v>
      </c>
      <c r="BD4" s="2" t="s">
        <v>1635</v>
      </c>
      <c r="BE4" s="2" t="s">
        <v>1598</v>
      </c>
      <c r="BF4" s="2" t="s">
        <v>1636</v>
      </c>
      <c r="BG4" s="2" t="s">
        <v>1600</v>
      </c>
      <c r="BH4" s="2" t="s">
        <v>1637</v>
      </c>
      <c r="BI4" s="2" t="s">
        <v>1617</v>
      </c>
      <c r="BJ4" s="2" t="s">
        <v>1638</v>
      </c>
    </row>
    <row r="5" spans="1:64" x14ac:dyDescent="0.25">
      <c r="A5" s="1" t="s">
        <v>34</v>
      </c>
      <c r="B5" s="1" t="s">
        <v>33</v>
      </c>
      <c r="C5" s="13" t="s">
        <v>32</v>
      </c>
      <c r="D5" s="15" t="s">
        <v>1489</v>
      </c>
      <c r="E5" s="17"/>
      <c r="F5" s="5">
        <v>27</v>
      </c>
      <c r="G5" s="14"/>
      <c r="H5" s="16"/>
      <c r="I5" s="11">
        <v>46221</v>
      </c>
      <c r="J5" s="4">
        <v>17</v>
      </c>
      <c r="K5" s="18">
        <f>(F5-(0)+0-(J5*Ventas!AE2*1))</f>
        <v>24.603728571428572</v>
      </c>
      <c r="L5" s="20">
        <f>(K5/(Ventas!AE2*1)/80)</f>
        <v>2.1818447856491336</v>
      </c>
      <c r="M5" s="22">
        <f>(G5-(0)+0-(J5*Ventas!AE495*1))</f>
        <v>0</v>
      </c>
      <c r="N5" s="23" t="e">
        <f>(M5/(Ventas!AE495*1)/85)</f>
        <v>#DIV/0!</v>
      </c>
      <c r="O5" s="25">
        <f t="shared" ref="O5:O68" si="0">(H5+0)</f>
        <v>0</v>
      </c>
      <c r="P5" s="16"/>
      <c r="Q5" s="12">
        <f t="shared" ref="Q5:Q68" si="1">(K5+M5+O5)</f>
        <v>24.603728571428572</v>
      </c>
      <c r="R5" s="5">
        <v>0</v>
      </c>
      <c r="S5" s="24">
        <v>0</v>
      </c>
      <c r="T5" s="26">
        <v>0</v>
      </c>
      <c r="U5" s="18">
        <f t="shared" ref="U5:U68" si="2">IF(K5&gt;0,K5+R5,R5)</f>
        <v>24.603728571428572</v>
      </c>
      <c r="V5" s="22">
        <f t="shared" ref="V5:V68" si="3">IF(M5&gt;0,M5+S5,S5)</f>
        <v>0</v>
      </c>
      <c r="W5" s="25">
        <f t="shared" ref="W5:W68" si="4">IF(O5&gt;0,O5+T5,T5)</f>
        <v>0</v>
      </c>
      <c r="X5" s="3"/>
      <c r="Y5" s="14"/>
      <c r="Z5" s="14"/>
      <c r="AA5" s="18">
        <v>18</v>
      </c>
      <c r="AB5" s="21">
        <v>5.5659999999999998E-3</v>
      </c>
      <c r="AC5" s="11">
        <v>46313</v>
      </c>
      <c r="AD5" s="4">
        <v>92</v>
      </c>
      <c r="AE5" s="18">
        <f>(IF(K5&gt;0,K5+R5,R5)-(AD5*Ventas!AE2*1.0489))</f>
        <v>11.001533434285715</v>
      </c>
      <c r="AF5" s="20">
        <f>(AE5/(Ventas!AE2*1.0489)/80)</f>
        <v>0.930126595146471</v>
      </c>
      <c r="AG5" s="22">
        <f>(IF(M5&gt;0,M5+S5,S5)-(AD5*Ventas!AE495*1.0489))</f>
        <v>0</v>
      </c>
      <c r="AH5" s="23" t="e">
        <f>(AG5/(Ventas!AE495*1.0489)/85)</f>
        <v>#DIV/0!</v>
      </c>
      <c r="AI5" s="25">
        <f t="shared" ref="AI5:AI68" si="5">(H5+0)</f>
        <v>0</v>
      </c>
      <c r="AJ5" s="16"/>
      <c r="AK5" s="12">
        <f t="shared" ref="AK5:AK68" si="6">(AE5+AG5+AI5)</f>
        <v>11.001533434285715</v>
      </c>
      <c r="AL5" s="19" t="e">
        <f t="shared" ref="AL5:AL68" si="7">(((AF5*7)+(AH5*1)+(AJ5*0))/8)</f>
        <v>#DIV/0!</v>
      </c>
      <c r="AM5" s="18">
        <f>(180*(Ventas!AE2*0.9644) - IF(AE5&gt;0,AE5,0))</f>
        <v>13.467498908571432</v>
      </c>
      <c r="AN5" s="42">
        <v>10</v>
      </c>
      <c r="AO5" s="22">
        <f>(180*(Ventas!AE495*0.9644) - IF(AG5&gt;0,AG5,0))</f>
        <v>0</v>
      </c>
      <c r="AP5" s="22">
        <f t="shared" ref="AP5:AP19" si="8">IF(AO5&gt;3,CEILING(AO5,5),0)</f>
        <v>0</v>
      </c>
      <c r="AQ5" s="16">
        <f t="shared" ref="AQ5:AQ68" si="9">(AN5+AP5)*AB5</f>
        <v>5.5660000000000001E-2</v>
      </c>
      <c r="AR5" s="37">
        <f>_xlfn.XLOOKUP(C5,[1]Hoja2!$C$6:$C$24,[1]Hoja2!$D$6:$D$24,0,2,1)</f>
        <v>0</v>
      </c>
      <c r="AS5" s="18">
        <f t="shared" ref="AS5:AS68" si="10">IF(AE5&gt;0,AE5+IF(AN5&gt;0,AN5,0),AN5)</f>
        <v>21.001533434285715</v>
      </c>
      <c r="AT5" s="22">
        <f>IF(AG5&gt;0,AG5+IF(AP5&gt;0,AP5,0),AP5)</f>
        <v>0</v>
      </c>
      <c r="AU5" s="37">
        <f>_xlfn.XLOOKUP(D5,[1]Hoja2!$E$6:$E$24,[1]Hoja2!$F$6:$F$24,0,2,1)</f>
        <v>0</v>
      </c>
      <c r="AV5" s="27">
        <v>4.5999999999999996</v>
      </c>
      <c r="AW5" s="5">
        <v>3016</v>
      </c>
      <c r="AX5" s="28">
        <v>0</v>
      </c>
      <c r="AY5" s="14"/>
      <c r="AZ5" s="16">
        <f>_xlfn.XLOOKUP(C5,[2]PI!$B$15:$B$99,[2]PI!$L$15:$L$99,0,2,1)</f>
        <v>4.5999999999999996</v>
      </c>
      <c r="BA5" s="16">
        <f>_xlfn.XLOOKUP(D5,[2]PI!$B$15:$B$99,[2]PI!$L$15:$L$99,0,2,1)</f>
        <v>0</v>
      </c>
      <c r="BB5" s="18">
        <f>(AS5-(90*Ventas!AE2*0.9644))</f>
        <v>8.7670172628571414</v>
      </c>
      <c r="BC5" s="20">
        <f>(BB5/(Ventas!AE2*0.9644)/80)</f>
        <v>0.80615320479507235</v>
      </c>
      <c r="BD5" s="22">
        <f>(AT5-(90*Ventas!AE495*0.9644))</f>
        <v>0</v>
      </c>
      <c r="BE5" s="23" t="e">
        <f>(BD5/(Ventas!AE495*0.9644)/85)</f>
        <v>#DIV/0!</v>
      </c>
      <c r="BF5" s="16"/>
      <c r="BG5" s="16"/>
      <c r="BH5" s="12">
        <f t="shared" ref="BH5:BH68" si="11">(IF(BB5&gt;0,BB5,0)+IF(BD5&gt;0,BD5,0)+IF(BF5&gt;0,BF5,0))</f>
        <v>8.7670172628571414</v>
      </c>
      <c r="BI5" s="19" t="e">
        <f t="shared" ref="BI5:BI68" si="12">(((BC5*7)+(BE5*1)+(BG5*1))/8)</f>
        <v>#DIV/0!</v>
      </c>
      <c r="BJ5" s="1" t="s">
        <v>35</v>
      </c>
      <c r="BK5">
        <f>AV5*AN5+AP5*AX5</f>
        <v>46</v>
      </c>
      <c r="BL5">
        <f>(AN5)*AZ5+AP5*BA5</f>
        <v>46</v>
      </c>
    </row>
    <row r="6" spans="1:64" x14ac:dyDescent="0.25">
      <c r="A6" s="1" t="s">
        <v>38</v>
      </c>
      <c r="B6" s="1" t="s">
        <v>37</v>
      </c>
      <c r="C6" s="13" t="s">
        <v>36</v>
      </c>
      <c r="D6" s="15" t="s">
        <v>1492</v>
      </c>
      <c r="E6" s="17"/>
      <c r="F6" s="5">
        <v>40</v>
      </c>
      <c r="G6" s="24">
        <v>22</v>
      </c>
      <c r="H6" s="16"/>
      <c r="I6" s="11">
        <v>46221</v>
      </c>
      <c r="J6" s="4">
        <v>17</v>
      </c>
      <c r="K6" s="18">
        <f>(F6-(0)+0-(J6*Ventas!AE3*1))</f>
        <v>29.518528571428568</v>
      </c>
      <c r="L6" s="20">
        <f>(K6/(Ventas!AE3*1)/80)</f>
        <v>0.59845484140040306</v>
      </c>
      <c r="M6" s="22">
        <f>(G6-(0)+0-(J6*Ventas!AE496*1))</f>
        <v>22</v>
      </c>
      <c r="N6" s="23" t="e">
        <f>(M6/(Ventas!AE496*1)/85)</f>
        <v>#DIV/0!</v>
      </c>
      <c r="O6" s="25">
        <f t="shared" si="0"/>
        <v>0</v>
      </c>
      <c r="P6" s="16"/>
      <c r="Q6" s="12">
        <f t="shared" si="1"/>
        <v>51.518528571428568</v>
      </c>
      <c r="R6" s="5">
        <v>30</v>
      </c>
      <c r="S6" s="24">
        <v>0</v>
      </c>
      <c r="T6" s="26">
        <v>0</v>
      </c>
      <c r="U6" s="18">
        <f t="shared" si="2"/>
        <v>59.518528571428568</v>
      </c>
      <c r="V6" s="22">
        <f t="shared" si="3"/>
        <v>22</v>
      </c>
      <c r="W6" s="25">
        <f t="shared" si="4"/>
        <v>0</v>
      </c>
      <c r="X6" s="18">
        <v>2.2999999999999998</v>
      </c>
      <c r="Y6" s="14"/>
      <c r="Z6" s="14"/>
      <c r="AA6" s="18">
        <v>20</v>
      </c>
      <c r="AB6" s="21">
        <v>3.5639999999999999E-3</v>
      </c>
      <c r="AC6" s="11">
        <v>46313</v>
      </c>
      <c r="AD6" s="4">
        <v>92</v>
      </c>
      <c r="AE6" s="18">
        <f>(IF(K6&gt;0,K6+R6,R6)-(AD6*Ventas!AE3*1.0489))</f>
        <v>2.1504154285707955E-2</v>
      </c>
      <c r="AF6" s="20">
        <f>(AE6/(Ventas!AE3*1.0489)/80)</f>
        <v>4.156472978409785E-4</v>
      </c>
      <c r="AG6" s="22">
        <f>(IF(M6&gt;0,M6+S6,S6)-(AD6*Ventas!AE496*1.0489))</f>
        <v>22</v>
      </c>
      <c r="AH6" s="23" t="e">
        <f>(AG6/(Ventas!AE496*1.0489)/85)</f>
        <v>#DIV/0!</v>
      </c>
      <c r="AI6" s="25">
        <f t="shared" si="5"/>
        <v>0</v>
      </c>
      <c r="AJ6" s="16"/>
      <c r="AK6" s="12">
        <f t="shared" si="6"/>
        <v>22.021504154285708</v>
      </c>
      <c r="AL6" s="19" t="e">
        <f t="shared" si="7"/>
        <v>#DIV/0!</v>
      </c>
      <c r="AM6" s="18">
        <f>(180*(Ventas!AE3*0.9644) - IF(AE6&gt;0,AE6,0))</f>
        <v>107.00788338857144</v>
      </c>
      <c r="AN6" s="18">
        <f>IF(AM6&gt;3,CEILING(AM6+AO6,5),0)</f>
        <v>90</v>
      </c>
      <c r="AO6" s="22">
        <f>(180*(Ventas!AE496*0.9644) - IF(AG6&gt;0,AG6,0))</f>
        <v>-22</v>
      </c>
      <c r="AP6" s="22">
        <f t="shared" si="8"/>
        <v>0</v>
      </c>
      <c r="AQ6" s="16">
        <f t="shared" si="9"/>
        <v>0.32075999999999999</v>
      </c>
      <c r="AR6" s="37">
        <f>_xlfn.XLOOKUP(C6,[1]Hoja2!$C$6:$C$24,[1]Hoja2!$D$6:$D$24,0,2,1)</f>
        <v>0</v>
      </c>
      <c r="AS6" s="18">
        <f t="shared" si="10"/>
        <v>90.021504154285708</v>
      </c>
      <c r="AT6" s="22">
        <f>IF(AG6&gt;0,AG6+IF(AP6&gt;0,AP6,0),AP6)</f>
        <v>22</v>
      </c>
      <c r="AU6" s="37">
        <f>_xlfn.XLOOKUP(D6,[1]Hoja2!$E$6:$E$24,[1]Hoja2!$F$6:$F$24,0,2,1)</f>
        <v>0</v>
      </c>
      <c r="AV6" s="27">
        <v>2.2999999999999998</v>
      </c>
      <c r="AW6" s="5">
        <v>3016</v>
      </c>
      <c r="AX6" s="28">
        <v>0</v>
      </c>
      <c r="AY6" s="14"/>
      <c r="AZ6" s="16">
        <f>_xlfn.XLOOKUP(C6,[2]PI!$B$15:$B$99,[2]PI!$L$15:$L$99,0,2,1)</f>
        <v>2.2999999999999998</v>
      </c>
      <c r="BA6" s="16">
        <f>_xlfn.XLOOKUP(D6,[2]PI!$B$15:$B$99,[2]PI!$L$15:$L$99,0,2,1)</f>
        <v>0</v>
      </c>
      <c r="BB6" s="18">
        <f>(AS6-(90*Ventas!AE3*0.9644))</f>
        <v>36.506810382857125</v>
      </c>
      <c r="BC6" s="20">
        <f>(BB6/(Ventas!AE3*0.9644)/80)</f>
        <v>0.76745579178931167</v>
      </c>
      <c r="BD6" s="22">
        <f>(AT6-(90*Ventas!AE496*0.9644))</f>
        <v>22</v>
      </c>
      <c r="BE6" s="23" t="e">
        <f>(BD6/(Ventas!AE496*0.9644)/85)</f>
        <v>#DIV/0!</v>
      </c>
      <c r="BF6" s="16"/>
      <c r="BG6" s="16"/>
      <c r="BH6" s="12">
        <f t="shared" si="11"/>
        <v>58.506810382857125</v>
      </c>
      <c r="BI6" s="19" t="e">
        <f t="shared" si="12"/>
        <v>#DIV/0!</v>
      </c>
      <c r="BJ6" s="1" t="s">
        <v>35</v>
      </c>
      <c r="BK6">
        <f t="shared" ref="BK6:BK69" si="13">AV6*AN6+AP6*AX6</f>
        <v>206.99999999999997</v>
      </c>
      <c r="BL6">
        <f t="shared" ref="BL6:BL69" si="14">(AN6)*AZ6+AP6*BA6</f>
        <v>206.99999999999997</v>
      </c>
    </row>
    <row r="7" spans="1:64" x14ac:dyDescent="0.25">
      <c r="A7" s="1" t="s">
        <v>41</v>
      </c>
      <c r="B7" s="1" t="s">
        <v>40</v>
      </c>
      <c r="C7" s="13" t="s">
        <v>39</v>
      </c>
      <c r="D7" s="15" t="s">
        <v>1495</v>
      </c>
      <c r="E7" s="17"/>
      <c r="F7" s="5">
        <v>9</v>
      </c>
      <c r="G7" s="14"/>
      <c r="H7" s="16"/>
      <c r="I7" s="11">
        <v>46221</v>
      </c>
      <c r="J7" s="4">
        <v>17</v>
      </c>
      <c r="K7" s="18">
        <f>(F7-(0)+0-(J7*Ventas!AE4*1))</f>
        <v>9</v>
      </c>
      <c r="L7" s="3"/>
      <c r="M7" s="22">
        <f>(G7-(0)+0-(J7*Ventas!AE497*1))</f>
        <v>0</v>
      </c>
      <c r="N7" s="14"/>
      <c r="O7" s="25">
        <f t="shared" si="0"/>
        <v>0</v>
      </c>
      <c r="P7" s="16"/>
      <c r="Q7" s="12">
        <f t="shared" si="1"/>
        <v>9</v>
      </c>
      <c r="R7" s="5">
        <v>0</v>
      </c>
      <c r="S7" s="24">
        <v>0</v>
      </c>
      <c r="T7" s="26">
        <v>0</v>
      </c>
      <c r="U7" s="18">
        <f t="shared" si="2"/>
        <v>9</v>
      </c>
      <c r="V7" s="22">
        <f t="shared" si="3"/>
        <v>0</v>
      </c>
      <c r="W7" s="25">
        <f t="shared" si="4"/>
        <v>0</v>
      </c>
      <c r="X7" s="3"/>
      <c r="Y7" s="14"/>
      <c r="Z7" s="14"/>
      <c r="AA7" s="18">
        <v>18</v>
      </c>
      <c r="AB7" s="21">
        <v>5.5659999999999998E-3</v>
      </c>
      <c r="AC7" s="11">
        <v>46313</v>
      </c>
      <c r="AD7" s="4">
        <v>92</v>
      </c>
      <c r="AE7" s="18">
        <f>(IF(K7&gt;0,K7+R7,R7)-(AD7*Ventas!AE4*1.0489))</f>
        <v>9</v>
      </c>
      <c r="AF7" s="3"/>
      <c r="AG7" s="22">
        <f>(IF(M7&gt;0,M7+S7,S7)-(AD7*Ventas!AE497*1.0489))</f>
        <v>0</v>
      </c>
      <c r="AH7" s="14"/>
      <c r="AI7" s="25">
        <f t="shared" si="5"/>
        <v>0</v>
      </c>
      <c r="AJ7" s="16"/>
      <c r="AK7" s="12">
        <f t="shared" si="6"/>
        <v>9</v>
      </c>
      <c r="AL7" s="19">
        <f t="shared" si="7"/>
        <v>0</v>
      </c>
      <c r="AM7" s="18">
        <f>(180*(Ventas!AE4*0.9644) - IF(AE7&gt;0,AE7,0))</f>
        <v>-9</v>
      </c>
      <c r="AN7" s="18">
        <f t="shared" ref="AN7:AN19" si="15">IF(AM7&gt;3,CEILING(AM7,5),0)</f>
        <v>0</v>
      </c>
      <c r="AO7" s="22">
        <f>(180*(Ventas!AE497*0.9644) - IF(AG7&gt;0,AG7,0))</f>
        <v>0</v>
      </c>
      <c r="AP7" s="22">
        <f t="shared" si="8"/>
        <v>0</v>
      </c>
      <c r="AQ7" s="16">
        <f t="shared" si="9"/>
        <v>0</v>
      </c>
      <c r="AR7" s="37">
        <f>_xlfn.XLOOKUP(C7,[1]Hoja2!$C$6:$C$24,[1]Hoja2!$D$6:$D$24,0,2,1)</f>
        <v>0</v>
      </c>
      <c r="AS7" s="18">
        <f t="shared" si="10"/>
        <v>9</v>
      </c>
      <c r="AT7" s="22">
        <f>IF(AG7&gt;0,AG7+IF(AP7&gt;0,AP7,0),AP7)</f>
        <v>0</v>
      </c>
      <c r="AU7" s="37">
        <f>_xlfn.XLOOKUP(D7,[1]Hoja2!$E$6:$E$24,[1]Hoja2!$F$6:$F$24,0,2,1)</f>
        <v>0</v>
      </c>
      <c r="AV7" s="27">
        <v>0</v>
      </c>
      <c r="AW7" s="5">
        <v>3016</v>
      </c>
      <c r="AX7" s="28">
        <v>0</v>
      </c>
      <c r="AY7" s="14"/>
      <c r="AZ7" s="16">
        <f>_xlfn.XLOOKUP(C7,[2]PI!$B$15:$B$99,[2]PI!$L$15:$L$99,0,2,1)</f>
        <v>0</v>
      </c>
      <c r="BA7" s="16">
        <f>_xlfn.XLOOKUP(D7,[2]PI!$B$15:$B$99,[2]PI!$L$15:$L$99,0,2,1)</f>
        <v>0</v>
      </c>
      <c r="BB7" s="3"/>
      <c r="BC7" s="3"/>
      <c r="BD7" s="14"/>
      <c r="BE7" s="14"/>
      <c r="BF7" s="16"/>
      <c r="BG7" s="16"/>
      <c r="BH7" s="12">
        <f t="shared" si="11"/>
        <v>0</v>
      </c>
      <c r="BI7" s="19">
        <f t="shared" si="12"/>
        <v>0</v>
      </c>
      <c r="BJ7" s="1" t="s">
        <v>35</v>
      </c>
      <c r="BK7">
        <f t="shared" si="13"/>
        <v>0</v>
      </c>
      <c r="BL7">
        <f t="shared" si="14"/>
        <v>0</v>
      </c>
    </row>
    <row r="8" spans="1:64" x14ac:dyDescent="0.25">
      <c r="A8" s="1" t="s">
        <v>44</v>
      </c>
      <c r="B8" s="1" t="s">
        <v>43</v>
      </c>
      <c r="C8" s="13" t="s">
        <v>42</v>
      </c>
      <c r="D8" s="15"/>
      <c r="E8" s="17"/>
      <c r="F8" s="5">
        <v>9</v>
      </c>
      <c r="G8" s="14"/>
      <c r="H8" s="16"/>
      <c r="I8" s="11">
        <v>46221</v>
      </c>
      <c r="J8" s="4">
        <v>17</v>
      </c>
      <c r="K8" s="18">
        <f>(F8-(0)+0-(J8*Ventas!AE5*1))</f>
        <v>8.3498714285714293</v>
      </c>
      <c r="L8" s="20">
        <f>(K8/(Ventas!AE5*1)/80)</f>
        <v>2.7292258124766531</v>
      </c>
      <c r="M8" s="22">
        <f>(G8+0)</f>
        <v>0</v>
      </c>
      <c r="N8" s="14"/>
      <c r="O8" s="25">
        <f t="shared" si="0"/>
        <v>0</v>
      </c>
      <c r="P8" s="16"/>
      <c r="Q8" s="12">
        <f t="shared" si="1"/>
        <v>8.3498714285714293</v>
      </c>
      <c r="R8" s="5">
        <v>0</v>
      </c>
      <c r="S8" s="24">
        <v>0</v>
      </c>
      <c r="T8" s="26">
        <v>0</v>
      </c>
      <c r="U8" s="18">
        <f t="shared" si="2"/>
        <v>8.3498714285714293</v>
      </c>
      <c r="V8" s="22">
        <f t="shared" si="3"/>
        <v>0</v>
      </c>
      <c r="W8" s="25">
        <f t="shared" si="4"/>
        <v>0</v>
      </c>
      <c r="X8" s="3"/>
      <c r="Y8" s="14"/>
      <c r="Z8" s="14"/>
      <c r="AA8" s="18">
        <v>18</v>
      </c>
      <c r="AB8" s="21">
        <v>5.5659999999999998E-3</v>
      </c>
      <c r="AC8" s="11">
        <v>46313</v>
      </c>
      <c r="AD8" s="4">
        <v>92</v>
      </c>
      <c r="AE8" s="18">
        <f>(IF(K8&gt;0,K8+R8,R8)-(AD8*Ventas!AE5*1.0489))</f>
        <v>4.6594816057142863</v>
      </c>
      <c r="AF8" s="20">
        <f>(AE8/(Ventas!AE5*1.0489)/80)</f>
        <v>1.4519885713382144</v>
      </c>
      <c r="AG8" s="22">
        <f>(G8+0)</f>
        <v>0</v>
      </c>
      <c r="AH8" s="14"/>
      <c r="AI8" s="25">
        <f t="shared" si="5"/>
        <v>0</v>
      </c>
      <c r="AJ8" s="16"/>
      <c r="AK8" s="12">
        <f t="shared" si="6"/>
        <v>4.6594816057142863</v>
      </c>
      <c r="AL8" s="19">
        <f t="shared" si="7"/>
        <v>1.2704899999209376</v>
      </c>
      <c r="AM8" s="18">
        <f>(180*(Ventas!AE5*0.9644) - IF(AE8&gt;0,AE8,0))</f>
        <v>1.9791724514285729</v>
      </c>
      <c r="AN8" s="18">
        <f t="shared" si="15"/>
        <v>0</v>
      </c>
      <c r="AO8" s="14"/>
      <c r="AP8" s="14">
        <f t="shared" si="8"/>
        <v>0</v>
      </c>
      <c r="AQ8" s="16">
        <f t="shared" si="9"/>
        <v>0</v>
      </c>
      <c r="AR8" s="37">
        <f>_xlfn.XLOOKUP(C8,[1]Hoja2!$C$6:$C$24,[1]Hoja2!$D$6:$D$24,0,2,1)</f>
        <v>0</v>
      </c>
      <c r="AS8" s="18">
        <f t="shared" si="10"/>
        <v>4.6594816057142863</v>
      </c>
      <c r="AT8" s="14"/>
      <c r="AU8" s="37">
        <f>_xlfn.XLOOKUP(D8,[1]Hoja2!$E$6:$E$24,[1]Hoja2!$F$6:$F$24,0,2,1)</f>
        <v>0</v>
      </c>
      <c r="AV8" s="27">
        <v>0</v>
      </c>
      <c r="AW8" s="5">
        <v>3016</v>
      </c>
      <c r="AX8" s="14">
        <v>0</v>
      </c>
      <c r="AY8" s="14"/>
      <c r="AZ8" s="16">
        <f>_xlfn.XLOOKUP(C8,[2]PI!$B$15:$B$99,[2]PI!$L$15:$L$99,0,2,1)</f>
        <v>0</v>
      </c>
      <c r="BA8" s="16">
        <f>_xlfn.XLOOKUP(D8,[2]PI!$B$15:$B$99,[2]PI!$L$15:$L$99,0,2,1)</f>
        <v>0</v>
      </c>
      <c r="BB8" s="18">
        <f>(AS8-(90*Ventas!AE5*0.9644))</f>
        <v>1.3401545771428571</v>
      </c>
      <c r="BC8" s="20">
        <f>(BB8/(Ventas!AE5*0.9644)/80)</f>
        <v>0.45421071389117884</v>
      </c>
      <c r="BD8" s="14"/>
      <c r="BE8" s="14"/>
      <c r="BF8" s="16"/>
      <c r="BG8" s="16"/>
      <c r="BH8" s="12">
        <f t="shared" si="11"/>
        <v>1.3401545771428571</v>
      </c>
      <c r="BI8" s="19">
        <f t="shared" si="12"/>
        <v>0.39743437465478149</v>
      </c>
      <c r="BJ8" s="1" t="s">
        <v>35</v>
      </c>
      <c r="BK8">
        <f t="shared" si="13"/>
        <v>0</v>
      </c>
      <c r="BL8">
        <f t="shared" si="14"/>
        <v>0</v>
      </c>
    </row>
    <row r="9" spans="1:64" x14ac:dyDescent="0.25">
      <c r="A9" s="1" t="s">
        <v>47</v>
      </c>
      <c r="B9" s="1" t="s">
        <v>46</v>
      </c>
      <c r="C9" s="13" t="s">
        <v>45</v>
      </c>
      <c r="D9" s="15" t="s">
        <v>1498</v>
      </c>
      <c r="E9" s="17"/>
      <c r="F9" s="5">
        <v>1</v>
      </c>
      <c r="G9" s="14"/>
      <c r="H9" s="16"/>
      <c r="I9" s="11">
        <v>46221</v>
      </c>
      <c r="J9" s="4">
        <v>17</v>
      </c>
      <c r="K9" s="18">
        <f>(F9-(0)+0-(J9*Ventas!AE6*1))</f>
        <v>1</v>
      </c>
      <c r="L9" s="3"/>
      <c r="M9" s="22">
        <f>(G9-(0)+0-(J9*Ventas!AE498*1))</f>
        <v>0</v>
      </c>
      <c r="N9" s="14"/>
      <c r="O9" s="25">
        <f t="shared" si="0"/>
        <v>0</v>
      </c>
      <c r="P9" s="16"/>
      <c r="Q9" s="12">
        <f t="shared" si="1"/>
        <v>1</v>
      </c>
      <c r="R9" s="5">
        <v>0</v>
      </c>
      <c r="S9" s="24">
        <v>0</v>
      </c>
      <c r="T9" s="26">
        <v>0</v>
      </c>
      <c r="U9" s="18">
        <f t="shared" si="2"/>
        <v>1</v>
      </c>
      <c r="V9" s="22">
        <f t="shared" si="3"/>
        <v>0</v>
      </c>
      <c r="W9" s="25">
        <f t="shared" si="4"/>
        <v>0</v>
      </c>
      <c r="X9" s="3"/>
      <c r="Y9" s="14"/>
      <c r="Z9" s="14"/>
      <c r="AA9" s="18">
        <v>18</v>
      </c>
      <c r="AB9" s="21">
        <v>4.333E-3</v>
      </c>
      <c r="AC9" s="11">
        <v>46313</v>
      </c>
      <c r="AD9" s="4">
        <v>92</v>
      </c>
      <c r="AE9" s="18">
        <f>(IF(K9&gt;0,K9+R9,R9)-(AD9*Ventas!AE6*1.0489))</f>
        <v>1</v>
      </c>
      <c r="AF9" s="3"/>
      <c r="AG9" s="22">
        <f>(IF(M9&gt;0,M9+S9,S9)-(AD9*Ventas!AE498*1.0489))</f>
        <v>0</v>
      </c>
      <c r="AH9" s="14"/>
      <c r="AI9" s="25">
        <f t="shared" si="5"/>
        <v>0</v>
      </c>
      <c r="AJ9" s="16"/>
      <c r="AK9" s="12">
        <f t="shared" si="6"/>
        <v>1</v>
      </c>
      <c r="AL9" s="19">
        <f t="shared" si="7"/>
        <v>0</v>
      </c>
      <c r="AM9" s="18">
        <f>(180*(Ventas!AE6*0.9644) - IF(AE9&gt;0,AE9,0))</f>
        <v>-1</v>
      </c>
      <c r="AN9" s="18">
        <f t="shared" si="15"/>
        <v>0</v>
      </c>
      <c r="AO9" s="22">
        <f>(180*(Ventas!AE498*0.9644) - IF(AG9&gt;0,AG9,0))</f>
        <v>0</v>
      </c>
      <c r="AP9" s="22">
        <f t="shared" si="8"/>
        <v>0</v>
      </c>
      <c r="AQ9" s="16">
        <f t="shared" si="9"/>
        <v>0</v>
      </c>
      <c r="AR9" s="37">
        <f>_xlfn.XLOOKUP(C9,[1]Hoja2!$C$6:$C$24,[1]Hoja2!$D$6:$D$24,0,2,1)</f>
        <v>0</v>
      </c>
      <c r="AS9" s="18">
        <f t="shared" si="10"/>
        <v>1</v>
      </c>
      <c r="AT9" s="22">
        <f>IF(AG9&gt;0,AG9+IF(AP9&gt;0,AP9,0),AP9)</f>
        <v>0</v>
      </c>
      <c r="AU9" s="37">
        <f>_xlfn.XLOOKUP(D9,[1]Hoja2!$E$6:$E$24,[1]Hoja2!$F$6:$F$24,0,2,1)</f>
        <v>0</v>
      </c>
      <c r="AV9" s="27">
        <v>0</v>
      </c>
      <c r="AW9" s="5">
        <v>3022</v>
      </c>
      <c r="AX9" s="28">
        <v>0</v>
      </c>
      <c r="AY9" s="14"/>
      <c r="AZ9" s="16">
        <f>_xlfn.XLOOKUP(C9,[2]PI!$B$15:$B$99,[2]PI!$L$15:$L$99,0,2,1)</f>
        <v>0</v>
      </c>
      <c r="BA9" s="16">
        <f>_xlfn.XLOOKUP(D9,[2]PI!$B$15:$B$99,[2]PI!$L$15:$L$99,0,2,1)</f>
        <v>0</v>
      </c>
      <c r="BB9" s="3"/>
      <c r="BC9" s="3"/>
      <c r="BD9" s="14"/>
      <c r="BE9" s="14"/>
      <c r="BF9" s="16"/>
      <c r="BG9" s="16"/>
      <c r="BH9" s="12">
        <f t="shared" si="11"/>
        <v>0</v>
      </c>
      <c r="BI9" s="19">
        <f t="shared" si="12"/>
        <v>0</v>
      </c>
      <c r="BJ9" s="1" t="s">
        <v>35</v>
      </c>
      <c r="BK9">
        <f t="shared" si="13"/>
        <v>0</v>
      </c>
      <c r="BL9">
        <f t="shared" si="14"/>
        <v>0</v>
      </c>
    </row>
    <row r="10" spans="1:64" x14ac:dyDescent="0.25">
      <c r="A10" s="1" t="s">
        <v>50</v>
      </c>
      <c r="B10" s="1" t="s">
        <v>49</v>
      </c>
      <c r="C10" s="13" t="s">
        <v>48</v>
      </c>
      <c r="D10" s="15"/>
      <c r="E10" s="17"/>
      <c r="F10" s="3"/>
      <c r="G10" s="14"/>
      <c r="H10" s="16"/>
      <c r="I10" s="11">
        <v>46221</v>
      </c>
      <c r="J10" s="4">
        <v>17</v>
      </c>
      <c r="K10" s="18">
        <f>(F10-(0)+0-(J10*Ventas!AE7*1))</f>
        <v>0</v>
      </c>
      <c r="L10" s="3"/>
      <c r="M10" s="22">
        <f>(G10+0)</f>
        <v>0</v>
      </c>
      <c r="N10" s="14"/>
      <c r="O10" s="25">
        <f t="shared" si="0"/>
        <v>0</v>
      </c>
      <c r="P10" s="16"/>
      <c r="Q10" s="12">
        <f t="shared" si="1"/>
        <v>0</v>
      </c>
      <c r="R10" s="5">
        <v>0</v>
      </c>
      <c r="S10" s="24">
        <v>0</v>
      </c>
      <c r="T10" s="26">
        <v>0</v>
      </c>
      <c r="U10" s="18">
        <f t="shared" si="2"/>
        <v>0</v>
      </c>
      <c r="V10" s="22">
        <f t="shared" si="3"/>
        <v>0</v>
      </c>
      <c r="W10" s="25">
        <f t="shared" si="4"/>
        <v>0</v>
      </c>
      <c r="X10" s="3"/>
      <c r="Y10" s="14"/>
      <c r="Z10" s="14"/>
      <c r="AA10" s="3"/>
      <c r="AB10" s="3"/>
      <c r="AC10" s="11">
        <v>46313</v>
      </c>
      <c r="AD10" s="4">
        <v>92</v>
      </c>
      <c r="AE10" s="18">
        <f>(IF(K10&gt;0,K10+R10,R10)-(AD10*Ventas!AE7*1.0489))</f>
        <v>0</v>
      </c>
      <c r="AF10" s="3"/>
      <c r="AG10" s="22">
        <f>(G10+0)</f>
        <v>0</v>
      </c>
      <c r="AH10" s="14"/>
      <c r="AI10" s="25">
        <f t="shared" si="5"/>
        <v>0</v>
      </c>
      <c r="AJ10" s="16"/>
      <c r="AK10" s="12">
        <f t="shared" si="6"/>
        <v>0</v>
      </c>
      <c r="AL10" s="19">
        <f t="shared" si="7"/>
        <v>0</v>
      </c>
      <c r="AM10" s="18">
        <f>(180*(Ventas!AE7*0.9644) - IF(AE10&gt;0,AE10,0))</f>
        <v>0</v>
      </c>
      <c r="AN10" s="18">
        <f t="shared" si="15"/>
        <v>0</v>
      </c>
      <c r="AO10" s="14"/>
      <c r="AP10" s="14">
        <f t="shared" si="8"/>
        <v>0</v>
      </c>
      <c r="AQ10" s="16">
        <f t="shared" si="9"/>
        <v>0</v>
      </c>
      <c r="AR10" s="37">
        <f>_xlfn.XLOOKUP(C10,[1]Hoja2!$C$6:$C$24,[1]Hoja2!$D$6:$D$24,0,2,1)</f>
        <v>0</v>
      </c>
      <c r="AS10" s="18">
        <f t="shared" si="10"/>
        <v>0</v>
      </c>
      <c r="AT10" s="14"/>
      <c r="AU10" s="37">
        <f>_xlfn.XLOOKUP(D10,[1]Hoja2!$E$6:$E$24,[1]Hoja2!$F$6:$F$24,0,2,1)</f>
        <v>0</v>
      </c>
      <c r="AV10" s="27">
        <v>0</v>
      </c>
      <c r="AW10" s="5">
        <v>3002</v>
      </c>
      <c r="AX10" s="14">
        <v>0</v>
      </c>
      <c r="AY10" s="14"/>
      <c r="AZ10" s="16">
        <f>_xlfn.XLOOKUP(C10,[2]PI!$B$15:$B$99,[2]PI!$L$15:$L$99,0,2,1)</f>
        <v>0</v>
      </c>
      <c r="BA10" s="16">
        <f>_xlfn.XLOOKUP(D10,[2]PI!$B$15:$B$99,[2]PI!$L$15:$L$99,0,2,1)</f>
        <v>0</v>
      </c>
      <c r="BB10" s="3"/>
      <c r="BC10" s="3"/>
      <c r="BD10" s="14"/>
      <c r="BE10" s="14"/>
      <c r="BF10" s="16"/>
      <c r="BG10" s="16"/>
      <c r="BH10" s="12">
        <f t="shared" si="11"/>
        <v>0</v>
      </c>
      <c r="BI10" s="19">
        <f t="shared" si="12"/>
        <v>0</v>
      </c>
      <c r="BJ10" s="1" t="s">
        <v>51</v>
      </c>
      <c r="BK10">
        <f t="shared" si="13"/>
        <v>0</v>
      </c>
      <c r="BL10">
        <f t="shared" si="14"/>
        <v>0</v>
      </c>
    </row>
    <row r="11" spans="1:64" x14ac:dyDescent="0.25">
      <c r="A11" s="1" t="s">
        <v>54</v>
      </c>
      <c r="B11" s="1" t="s">
        <v>53</v>
      </c>
      <c r="C11" s="13" t="s">
        <v>52</v>
      </c>
      <c r="D11" s="15"/>
      <c r="E11" s="17"/>
      <c r="F11" s="3"/>
      <c r="G11" s="14"/>
      <c r="H11" s="16"/>
      <c r="I11" s="11">
        <v>46221</v>
      </c>
      <c r="J11" s="4">
        <v>17</v>
      </c>
      <c r="K11" s="18">
        <f>(F11-(0)+0-(J11*Ventas!AE8*1))</f>
        <v>0</v>
      </c>
      <c r="L11" s="3"/>
      <c r="M11" s="22">
        <f>(G11+0)</f>
        <v>0</v>
      </c>
      <c r="N11" s="14"/>
      <c r="O11" s="25">
        <f t="shared" si="0"/>
        <v>0</v>
      </c>
      <c r="P11" s="16"/>
      <c r="Q11" s="12">
        <f t="shared" si="1"/>
        <v>0</v>
      </c>
      <c r="R11" s="5">
        <v>0</v>
      </c>
      <c r="S11" s="24">
        <v>0</v>
      </c>
      <c r="T11" s="26">
        <v>0</v>
      </c>
      <c r="U11" s="18">
        <f t="shared" si="2"/>
        <v>0</v>
      </c>
      <c r="V11" s="22">
        <f t="shared" si="3"/>
        <v>0</v>
      </c>
      <c r="W11" s="25">
        <f t="shared" si="4"/>
        <v>0</v>
      </c>
      <c r="X11" s="3"/>
      <c r="Y11" s="14"/>
      <c r="Z11" s="14"/>
      <c r="AA11" s="18">
        <v>48</v>
      </c>
      <c r="AB11" s="21">
        <v>5.7236000000000002E-2</v>
      </c>
      <c r="AC11" s="11">
        <v>46313</v>
      </c>
      <c r="AD11" s="4">
        <v>92</v>
      </c>
      <c r="AE11" s="18">
        <f>(IF(K11&gt;0,K11+R11,R11)-(AD11*Ventas!AE8*1.0489))</f>
        <v>0</v>
      </c>
      <c r="AF11" s="3"/>
      <c r="AG11" s="22">
        <f>(G11+0)</f>
        <v>0</v>
      </c>
      <c r="AH11" s="14"/>
      <c r="AI11" s="25">
        <f t="shared" si="5"/>
        <v>0</v>
      </c>
      <c r="AJ11" s="16"/>
      <c r="AK11" s="12">
        <f t="shared" si="6"/>
        <v>0</v>
      </c>
      <c r="AL11" s="19">
        <f t="shared" si="7"/>
        <v>0</v>
      </c>
      <c r="AM11" s="18">
        <f>(180*(Ventas!AE8*0.9644) - IF(AE11&gt;0,AE11,0))</f>
        <v>0</v>
      </c>
      <c r="AN11" s="18">
        <f t="shared" si="15"/>
        <v>0</v>
      </c>
      <c r="AO11" s="14"/>
      <c r="AP11" s="14">
        <f t="shared" si="8"/>
        <v>0</v>
      </c>
      <c r="AQ11" s="16">
        <f t="shared" si="9"/>
        <v>0</v>
      </c>
      <c r="AR11" s="37">
        <f>_xlfn.XLOOKUP(C11,[1]Hoja2!$C$6:$C$24,[1]Hoja2!$D$6:$D$24,0,2,1)</f>
        <v>0</v>
      </c>
      <c r="AS11" s="18">
        <f t="shared" si="10"/>
        <v>0</v>
      </c>
      <c r="AT11" s="14"/>
      <c r="AU11" s="37">
        <f>_xlfn.XLOOKUP(D11,[1]Hoja2!$E$6:$E$24,[1]Hoja2!$F$6:$F$24,0,2,1)</f>
        <v>0</v>
      </c>
      <c r="AV11" s="27">
        <v>0</v>
      </c>
      <c r="AW11" s="5">
        <v>2998</v>
      </c>
      <c r="AX11" s="14">
        <v>0</v>
      </c>
      <c r="AY11" s="14"/>
      <c r="AZ11" s="16">
        <f>_xlfn.XLOOKUP(C11,[2]PI!$B$15:$B$99,[2]PI!$L$15:$L$99,0,2,1)</f>
        <v>0</v>
      </c>
      <c r="BA11" s="16">
        <f>_xlfn.XLOOKUP(D11,[2]PI!$B$15:$B$99,[2]PI!$L$15:$L$99,0,2,1)</f>
        <v>0</v>
      </c>
      <c r="BB11" s="3"/>
      <c r="BC11" s="3"/>
      <c r="BD11" s="14"/>
      <c r="BE11" s="14"/>
      <c r="BF11" s="16"/>
      <c r="BG11" s="16"/>
      <c r="BH11" s="12">
        <f t="shared" si="11"/>
        <v>0</v>
      </c>
      <c r="BI11" s="19">
        <f t="shared" si="12"/>
        <v>0</v>
      </c>
      <c r="BJ11" s="1" t="s">
        <v>35</v>
      </c>
      <c r="BK11">
        <f t="shared" si="13"/>
        <v>0</v>
      </c>
      <c r="BL11">
        <f t="shared" si="14"/>
        <v>0</v>
      </c>
    </row>
    <row r="12" spans="1:64" x14ac:dyDescent="0.25">
      <c r="A12" s="1" t="s">
        <v>57</v>
      </c>
      <c r="B12" s="1" t="s">
        <v>56</v>
      </c>
      <c r="C12" s="13" t="s">
        <v>55</v>
      </c>
      <c r="D12" s="15"/>
      <c r="E12" s="17"/>
      <c r="F12" s="5">
        <v>3</v>
      </c>
      <c r="G12" s="14"/>
      <c r="H12" s="16"/>
      <c r="I12" s="11">
        <v>46221</v>
      </c>
      <c r="J12" s="4">
        <v>17</v>
      </c>
      <c r="K12" s="18">
        <f>(F12-(0)+0-(J12*Ventas!AE9*1))</f>
        <v>3</v>
      </c>
      <c r="L12" s="3"/>
      <c r="M12" s="22">
        <f>(G12+0)</f>
        <v>0</v>
      </c>
      <c r="N12" s="14"/>
      <c r="O12" s="25">
        <f t="shared" si="0"/>
        <v>0</v>
      </c>
      <c r="P12" s="16"/>
      <c r="Q12" s="12">
        <f t="shared" si="1"/>
        <v>3</v>
      </c>
      <c r="R12" s="5">
        <v>0</v>
      </c>
      <c r="S12" s="24">
        <v>0</v>
      </c>
      <c r="T12" s="26">
        <v>0</v>
      </c>
      <c r="U12" s="18">
        <f t="shared" si="2"/>
        <v>3</v>
      </c>
      <c r="V12" s="22">
        <f t="shared" si="3"/>
        <v>0</v>
      </c>
      <c r="W12" s="25">
        <f t="shared" si="4"/>
        <v>0</v>
      </c>
      <c r="X12" s="3"/>
      <c r="Y12" s="14"/>
      <c r="Z12" s="14"/>
      <c r="AA12" s="3"/>
      <c r="AB12" s="3"/>
      <c r="AC12" s="11">
        <v>46313</v>
      </c>
      <c r="AD12" s="4">
        <v>92</v>
      </c>
      <c r="AE12" s="18">
        <f>(IF(K12&gt;0,K12+R12,R12)-(AD12*Ventas!AE9*1.0489))</f>
        <v>3</v>
      </c>
      <c r="AF12" s="3"/>
      <c r="AG12" s="22">
        <f>(G12+0)</f>
        <v>0</v>
      </c>
      <c r="AH12" s="14"/>
      <c r="AI12" s="25">
        <f t="shared" si="5"/>
        <v>0</v>
      </c>
      <c r="AJ12" s="16"/>
      <c r="AK12" s="12">
        <f t="shared" si="6"/>
        <v>3</v>
      </c>
      <c r="AL12" s="19">
        <f t="shared" si="7"/>
        <v>0</v>
      </c>
      <c r="AM12" s="18">
        <f>(180*(Ventas!AE9*0.9644) - IF(AE12&gt;0,AE12,0))</f>
        <v>-3</v>
      </c>
      <c r="AN12" s="18">
        <f t="shared" si="15"/>
        <v>0</v>
      </c>
      <c r="AO12" s="14"/>
      <c r="AP12" s="14">
        <f t="shared" si="8"/>
        <v>0</v>
      </c>
      <c r="AQ12" s="16">
        <f t="shared" si="9"/>
        <v>0</v>
      </c>
      <c r="AR12" s="37">
        <f>_xlfn.XLOOKUP(C12,[1]Hoja2!$C$6:$C$24,[1]Hoja2!$D$6:$D$24,0,2,1)</f>
        <v>0</v>
      </c>
      <c r="AS12" s="18">
        <f t="shared" si="10"/>
        <v>3</v>
      </c>
      <c r="AT12" s="14"/>
      <c r="AU12" s="37">
        <f>_xlfn.XLOOKUP(D12,[1]Hoja2!$E$6:$E$24,[1]Hoja2!$F$6:$F$24,0,2,1)</f>
        <v>0</v>
      </c>
      <c r="AV12" s="27">
        <v>0</v>
      </c>
      <c r="AW12" s="5">
        <v>2998</v>
      </c>
      <c r="AX12" s="14">
        <v>0</v>
      </c>
      <c r="AY12" s="14"/>
      <c r="AZ12" s="16">
        <f>_xlfn.XLOOKUP(C12,[2]PI!$B$15:$B$99,[2]PI!$L$15:$L$99,0,2,1)</f>
        <v>0</v>
      </c>
      <c r="BA12" s="16">
        <f>_xlfn.XLOOKUP(D12,[2]PI!$B$15:$B$99,[2]PI!$L$15:$L$99,0,2,1)</f>
        <v>0</v>
      </c>
      <c r="BB12" s="3"/>
      <c r="BC12" s="3"/>
      <c r="BD12" s="14"/>
      <c r="BE12" s="14"/>
      <c r="BF12" s="16"/>
      <c r="BG12" s="16"/>
      <c r="BH12" s="12">
        <f t="shared" si="11"/>
        <v>0</v>
      </c>
      <c r="BI12" s="19">
        <f t="shared" si="12"/>
        <v>0</v>
      </c>
      <c r="BJ12" s="1" t="s">
        <v>35</v>
      </c>
      <c r="BK12">
        <f t="shared" si="13"/>
        <v>0</v>
      </c>
      <c r="BL12">
        <f t="shared" si="14"/>
        <v>0</v>
      </c>
    </row>
    <row r="13" spans="1:64" x14ac:dyDescent="0.25">
      <c r="A13" s="1" t="s">
        <v>60</v>
      </c>
      <c r="B13" s="1" t="s">
        <v>59</v>
      </c>
      <c r="C13" s="13" t="s">
        <v>58</v>
      </c>
      <c r="D13" s="15"/>
      <c r="E13" s="17"/>
      <c r="F13" s="5">
        <v>3</v>
      </c>
      <c r="G13" s="14"/>
      <c r="H13" s="16"/>
      <c r="I13" s="11">
        <v>46221</v>
      </c>
      <c r="J13" s="4">
        <v>17</v>
      </c>
      <c r="K13" s="18">
        <f>(F13-(0)+0-(J13*Ventas!AE10*1))</f>
        <v>3</v>
      </c>
      <c r="L13" s="3"/>
      <c r="M13" s="22">
        <f>(G13+0)</f>
        <v>0</v>
      </c>
      <c r="N13" s="14"/>
      <c r="O13" s="25">
        <f t="shared" si="0"/>
        <v>0</v>
      </c>
      <c r="P13" s="16"/>
      <c r="Q13" s="12">
        <f t="shared" si="1"/>
        <v>3</v>
      </c>
      <c r="R13" s="5">
        <v>0</v>
      </c>
      <c r="S13" s="24">
        <v>0</v>
      </c>
      <c r="T13" s="26">
        <v>0</v>
      </c>
      <c r="U13" s="18">
        <f t="shared" si="2"/>
        <v>3</v>
      </c>
      <c r="V13" s="22">
        <f t="shared" si="3"/>
        <v>0</v>
      </c>
      <c r="W13" s="25">
        <f t="shared" si="4"/>
        <v>0</v>
      </c>
      <c r="X13" s="3"/>
      <c r="Y13" s="14"/>
      <c r="Z13" s="14"/>
      <c r="AA13" s="3"/>
      <c r="AB13" s="3"/>
      <c r="AC13" s="11">
        <v>46313</v>
      </c>
      <c r="AD13" s="4">
        <v>92</v>
      </c>
      <c r="AE13" s="18">
        <f>(IF(K13&gt;0,K13+R13,R13)-(AD13*Ventas!AE10*1.0489))</f>
        <v>3</v>
      </c>
      <c r="AF13" s="3"/>
      <c r="AG13" s="22">
        <f>(G13+0)</f>
        <v>0</v>
      </c>
      <c r="AH13" s="14"/>
      <c r="AI13" s="25">
        <f t="shared" si="5"/>
        <v>0</v>
      </c>
      <c r="AJ13" s="16"/>
      <c r="AK13" s="12">
        <f t="shared" si="6"/>
        <v>3</v>
      </c>
      <c r="AL13" s="19">
        <f t="shared" si="7"/>
        <v>0</v>
      </c>
      <c r="AM13" s="18">
        <f>(180*(Ventas!AE10*0.9644) - IF(AE13&gt;0,AE13,0))</f>
        <v>-3</v>
      </c>
      <c r="AN13" s="18">
        <f t="shared" si="15"/>
        <v>0</v>
      </c>
      <c r="AO13" s="14"/>
      <c r="AP13" s="14">
        <f t="shared" si="8"/>
        <v>0</v>
      </c>
      <c r="AQ13" s="16">
        <f t="shared" si="9"/>
        <v>0</v>
      </c>
      <c r="AR13" s="37">
        <f>_xlfn.XLOOKUP(C13,[1]Hoja2!$C$6:$C$24,[1]Hoja2!$D$6:$D$24,0,2,1)</f>
        <v>0</v>
      </c>
      <c r="AS13" s="18">
        <f t="shared" si="10"/>
        <v>3</v>
      </c>
      <c r="AT13" s="14"/>
      <c r="AU13" s="37">
        <f>_xlfn.XLOOKUP(D13,[1]Hoja2!$E$6:$E$24,[1]Hoja2!$F$6:$F$24,0,2,1)</f>
        <v>0</v>
      </c>
      <c r="AV13" s="27">
        <v>0</v>
      </c>
      <c r="AW13" s="5">
        <v>2998</v>
      </c>
      <c r="AX13" s="14">
        <v>0</v>
      </c>
      <c r="AY13" s="14"/>
      <c r="AZ13" s="16">
        <f>_xlfn.XLOOKUP(C13,[2]PI!$B$15:$B$99,[2]PI!$L$15:$L$99,0,2,1)</f>
        <v>0</v>
      </c>
      <c r="BA13" s="16">
        <f>_xlfn.XLOOKUP(D13,[2]PI!$B$15:$B$99,[2]PI!$L$15:$L$99,0,2,1)</f>
        <v>0</v>
      </c>
      <c r="BB13" s="3"/>
      <c r="BC13" s="3"/>
      <c r="BD13" s="14"/>
      <c r="BE13" s="14"/>
      <c r="BF13" s="16"/>
      <c r="BG13" s="16"/>
      <c r="BH13" s="12">
        <f t="shared" si="11"/>
        <v>0</v>
      </c>
      <c r="BI13" s="19">
        <f t="shared" si="12"/>
        <v>0</v>
      </c>
      <c r="BJ13" s="1" t="s">
        <v>35</v>
      </c>
      <c r="BK13">
        <f t="shared" si="13"/>
        <v>0</v>
      </c>
      <c r="BL13">
        <f t="shared" si="14"/>
        <v>0</v>
      </c>
    </row>
    <row r="14" spans="1:64" x14ac:dyDescent="0.25">
      <c r="A14" s="1" t="s">
        <v>63</v>
      </c>
      <c r="B14" s="1" t="s">
        <v>62</v>
      </c>
      <c r="C14" s="13" t="s">
        <v>61</v>
      </c>
      <c r="D14" s="15"/>
      <c r="E14" s="17"/>
      <c r="F14" s="5">
        <v>1</v>
      </c>
      <c r="G14" s="14"/>
      <c r="H14" s="16"/>
      <c r="I14" s="11">
        <v>46221</v>
      </c>
      <c r="J14" s="4">
        <v>17</v>
      </c>
      <c r="K14" s="18">
        <f>(F14-(0)+0-(J14*Ventas!AE11*1))</f>
        <v>1</v>
      </c>
      <c r="L14" s="3"/>
      <c r="M14" s="22">
        <f>(G14+0)</f>
        <v>0</v>
      </c>
      <c r="N14" s="14"/>
      <c r="O14" s="25">
        <f t="shared" si="0"/>
        <v>0</v>
      </c>
      <c r="P14" s="16"/>
      <c r="Q14" s="12">
        <f t="shared" si="1"/>
        <v>1</v>
      </c>
      <c r="R14" s="5">
        <v>0</v>
      </c>
      <c r="S14" s="24">
        <v>0</v>
      </c>
      <c r="T14" s="26">
        <v>0</v>
      </c>
      <c r="U14" s="18">
        <f t="shared" si="2"/>
        <v>1</v>
      </c>
      <c r="V14" s="22">
        <f t="shared" si="3"/>
        <v>0</v>
      </c>
      <c r="W14" s="25">
        <f t="shared" si="4"/>
        <v>0</v>
      </c>
      <c r="X14" s="3"/>
      <c r="Y14" s="14"/>
      <c r="Z14" s="14"/>
      <c r="AA14" s="3"/>
      <c r="AB14" s="3"/>
      <c r="AC14" s="11">
        <v>46313</v>
      </c>
      <c r="AD14" s="4">
        <v>92</v>
      </c>
      <c r="AE14" s="18">
        <f>(IF(K14&gt;0,K14+R14,R14)-(AD14*Ventas!AE11*1.0489))</f>
        <v>1</v>
      </c>
      <c r="AF14" s="3"/>
      <c r="AG14" s="22">
        <f>(G14+0)</f>
        <v>0</v>
      </c>
      <c r="AH14" s="14"/>
      <c r="AI14" s="25">
        <f t="shared" si="5"/>
        <v>0</v>
      </c>
      <c r="AJ14" s="16"/>
      <c r="AK14" s="12">
        <f t="shared" si="6"/>
        <v>1</v>
      </c>
      <c r="AL14" s="19">
        <f t="shared" si="7"/>
        <v>0</v>
      </c>
      <c r="AM14" s="18">
        <f>(180*(Ventas!AE11*0.9644) - IF(AE14&gt;0,AE14,0))</f>
        <v>-1</v>
      </c>
      <c r="AN14" s="18">
        <f t="shared" si="15"/>
        <v>0</v>
      </c>
      <c r="AO14" s="14"/>
      <c r="AP14" s="14">
        <f t="shared" si="8"/>
        <v>0</v>
      </c>
      <c r="AQ14" s="16">
        <f t="shared" si="9"/>
        <v>0</v>
      </c>
      <c r="AR14" s="37">
        <f>_xlfn.XLOOKUP(C14,[1]Hoja2!$C$6:$C$24,[1]Hoja2!$D$6:$D$24,0,2,1)</f>
        <v>0</v>
      </c>
      <c r="AS14" s="18">
        <f t="shared" si="10"/>
        <v>1</v>
      </c>
      <c r="AT14" s="14"/>
      <c r="AU14" s="37">
        <f>_xlfn.XLOOKUP(D14,[1]Hoja2!$E$6:$E$24,[1]Hoja2!$F$6:$F$24,0,2,1)</f>
        <v>0</v>
      </c>
      <c r="AV14" s="27">
        <v>0</v>
      </c>
      <c r="AW14" s="5">
        <v>2998</v>
      </c>
      <c r="AX14" s="14">
        <v>0</v>
      </c>
      <c r="AY14" s="14"/>
      <c r="AZ14" s="16">
        <f>_xlfn.XLOOKUP(C14,[2]PI!$B$15:$B$99,[2]PI!$L$15:$L$99,0,2,1)</f>
        <v>0</v>
      </c>
      <c r="BA14" s="16">
        <f>_xlfn.XLOOKUP(D14,[2]PI!$B$15:$B$99,[2]PI!$L$15:$L$99,0,2,1)</f>
        <v>0</v>
      </c>
      <c r="BB14" s="3"/>
      <c r="BC14" s="3"/>
      <c r="BD14" s="14"/>
      <c r="BE14" s="14"/>
      <c r="BF14" s="16"/>
      <c r="BG14" s="16"/>
      <c r="BH14" s="12">
        <f t="shared" si="11"/>
        <v>0</v>
      </c>
      <c r="BI14" s="19">
        <f t="shared" si="12"/>
        <v>0</v>
      </c>
      <c r="BJ14" s="1" t="s">
        <v>35</v>
      </c>
      <c r="BK14">
        <f t="shared" si="13"/>
        <v>0</v>
      </c>
      <c r="BL14">
        <f t="shared" si="14"/>
        <v>0</v>
      </c>
    </row>
    <row r="15" spans="1:64" x14ac:dyDescent="0.25">
      <c r="A15" s="1" t="s">
        <v>66</v>
      </c>
      <c r="B15" s="1" t="s">
        <v>65</v>
      </c>
      <c r="C15" s="13" t="s">
        <v>64</v>
      </c>
      <c r="D15" s="15" t="s">
        <v>1500</v>
      </c>
      <c r="E15" s="17"/>
      <c r="F15" s="5">
        <v>65</v>
      </c>
      <c r="G15" s="14"/>
      <c r="H15" s="16"/>
      <c r="I15" s="11">
        <v>46221</v>
      </c>
      <c r="J15" s="4">
        <v>17</v>
      </c>
      <c r="K15" s="18">
        <f>(F15-(0)+0-(J15*Ventas!AE12*1))</f>
        <v>60.885757142857145</v>
      </c>
      <c r="L15" s="20">
        <f>(K15/(Ventas!AE12*1)/80)</f>
        <v>3.1447398323593649</v>
      </c>
      <c r="M15" s="22">
        <f>(G15-(0)+0-(J15*Ventas!AE499*1))</f>
        <v>0</v>
      </c>
      <c r="N15" s="14"/>
      <c r="O15" s="25">
        <f t="shared" si="0"/>
        <v>0</v>
      </c>
      <c r="P15" s="16"/>
      <c r="Q15" s="12">
        <f t="shared" si="1"/>
        <v>60.885757142857145</v>
      </c>
      <c r="R15" s="5">
        <v>10</v>
      </c>
      <c r="S15" s="24">
        <v>0</v>
      </c>
      <c r="T15" s="26">
        <v>0</v>
      </c>
      <c r="U15" s="18">
        <f t="shared" si="2"/>
        <v>70.885757142857145</v>
      </c>
      <c r="V15" s="22">
        <f t="shared" si="3"/>
        <v>0</v>
      </c>
      <c r="W15" s="25">
        <f t="shared" si="4"/>
        <v>0</v>
      </c>
      <c r="X15" s="18">
        <v>2.75</v>
      </c>
      <c r="Y15" s="14"/>
      <c r="Z15" s="14"/>
      <c r="AA15" s="3"/>
      <c r="AB15" s="3"/>
      <c r="AC15" s="11">
        <v>46313</v>
      </c>
      <c r="AD15" s="4">
        <v>92</v>
      </c>
      <c r="AE15" s="18">
        <f>(IF(K15&gt;0,K15+R15,R15)-(AD15*Ventas!AE12*1.0489))</f>
        <v>47.531668988571433</v>
      </c>
      <c r="AF15" s="20">
        <f>(AE15/(Ventas!AE12*1.0489)/80)</f>
        <v>2.3405503557126126</v>
      </c>
      <c r="AG15" s="22">
        <f>(IF(M15&gt;0,M15+S15,S15)-(AD15*Ventas!AE499*1.0489))</f>
        <v>0</v>
      </c>
      <c r="AH15" s="14"/>
      <c r="AI15" s="25">
        <f t="shared" si="5"/>
        <v>0</v>
      </c>
      <c r="AJ15" s="16"/>
      <c r="AK15" s="12">
        <f t="shared" si="6"/>
        <v>47.531668988571433</v>
      </c>
      <c r="AL15" s="19">
        <f t="shared" si="7"/>
        <v>2.0479815612485361</v>
      </c>
      <c r="AM15" s="18">
        <f>(180*(Ventas!AE12*0.9644) - IF(AE15&gt;0,AE15,0))</f>
        <v>-5.519925102857151</v>
      </c>
      <c r="AN15" s="18">
        <f t="shared" si="15"/>
        <v>0</v>
      </c>
      <c r="AO15" s="22">
        <f>(180*(Ventas!AE499*0.9644) - IF(AG15&gt;0,AG15,0))</f>
        <v>0</v>
      </c>
      <c r="AP15" s="22">
        <f t="shared" si="8"/>
        <v>0</v>
      </c>
      <c r="AQ15" s="16">
        <f t="shared" si="9"/>
        <v>0</v>
      </c>
      <c r="AR15" s="37">
        <f>_xlfn.XLOOKUP(C15,[1]Hoja2!$C$6:$C$24,[1]Hoja2!$D$6:$D$24,0,2,1)</f>
        <v>0</v>
      </c>
      <c r="AS15" s="18">
        <f t="shared" si="10"/>
        <v>47.531668988571433</v>
      </c>
      <c r="AT15" s="22">
        <f>IF(AG15&gt;0,AG15+IF(AP15&gt;0,AP15,0),AP15)</f>
        <v>0</v>
      </c>
      <c r="AU15" s="37">
        <f>_xlfn.XLOOKUP(D15,[1]Hoja2!$E$6:$E$24,[1]Hoja2!$F$6:$F$24,0,2,1)</f>
        <v>0</v>
      </c>
      <c r="AV15" s="27">
        <v>0</v>
      </c>
      <c r="AW15" s="5">
        <v>3016</v>
      </c>
      <c r="AX15" s="28">
        <v>0</v>
      </c>
      <c r="AY15" s="14"/>
      <c r="AZ15" s="16">
        <f>_xlfn.XLOOKUP(C15,[2]PI!$B$15:$B$99,[2]PI!$L$15:$L$99,0,2,1)</f>
        <v>0</v>
      </c>
      <c r="BA15" s="16">
        <f>_xlfn.XLOOKUP(D15,[2]PI!$B$15:$B$99,[2]PI!$L$15:$L$99,0,2,1)</f>
        <v>0</v>
      </c>
      <c r="BB15" s="18">
        <f>(AS15-(90*Ventas!AE12*0.9644))</f>
        <v>26.525797045714288</v>
      </c>
      <c r="BC15" s="20">
        <f>(BB15/(Ventas!AE12*0.9644)/80)</f>
        <v>1.4206276110607212</v>
      </c>
      <c r="BD15" s="14"/>
      <c r="BE15" s="14"/>
      <c r="BF15" s="16"/>
      <c r="BG15" s="16"/>
      <c r="BH15" s="12">
        <f t="shared" si="11"/>
        <v>26.525797045714288</v>
      </c>
      <c r="BI15" s="19">
        <f t="shared" si="12"/>
        <v>1.243049159678131</v>
      </c>
      <c r="BJ15" s="1" t="s">
        <v>35</v>
      </c>
      <c r="BK15">
        <f t="shared" si="13"/>
        <v>0</v>
      </c>
      <c r="BL15">
        <f t="shared" si="14"/>
        <v>0</v>
      </c>
    </row>
    <row r="16" spans="1:64" x14ac:dyDescent="0.25">
      <c r="A16" s="1" t="s">
        <v>69</v>
      </c>
      <c r="B16" s="1" t="s">
        <v>68</v>
      </c>
      <c r="C16" s="13" t="s">
        <v>67</v>
      </c>
      <c r="D16" s="15"/>
      <c r="E16" s="17"/>
      <c r="F16" s="5">
        <v>58</v>
      </c>
      <c r="G16" s="14"/>
      <c r="H16" s="16"/>
      <c r="I16" s="11">
        <v>46221</v>
      </c>
      <c r="J16" s="4">
        <v>17</v>
      </c>
      <c r="K16" s="18">
        <f>(F16-(0)+0-(J16*Ventas!AE13*1))</f>
        <v>54.092185714285712</v>
      </c>
      <c r="L16" s="20">
        <f>(K16/(Ventas!AE13*1)/80)</f>
        <v>2.9414369834068732</v>
      </c>
      <c r="M16" s="22">
        <f>(G16+0)</f>
        <v>0</v>
      </c>
      <c r="N16" s="14"/>
      <c r="O16" s="25">
        <f t="shared" si="0"/>
        <v>0</v>
      </c>
      <c r="P16" s="16"/>
      <c r="Q16" s="12">
        <f t="shared" si="1"/>
        <v>54.092185714285712</v>
      </c>
      <c r="R16" s="5">
        <v>0</v>
      </c>
      <c r="S16" s="24">
        <v>0</v>
      </c>
      <c r="T16" s="26">
        <v>0</v>
      </c>
      <c r="U16" s="18">
        <f t="shared" si="2"/>
        <v>54.092185714285712</v>
      </c>
      <c r="V16" s="22">
        <f t="shared" si="3"/>
        <v>0</v>
      </c>
      <c r="W16" s="25">
        <f t="shared" si="4"/>
        <v>0</v>
      </c>
      <c r="X16" s="3"/>
      <c r="Y16" s="14"/>
      <c r="Z16" s="14"/>
      <c r="AA16" s="18">
        <v>18</v>
      </c>
      <c r="AB16" s="21">
        <v>5.5659999999999998E-3</v>
      </c>
      <c r="AC16" s="11">
        <v>46313</v>
      </c>
      <c r="AD16" s="4">
        <v>92</v>
      </c>
      <c r="AE16" s="18">
        <f>(IF(K16&gt;0,K16+R16,R16)-(AD16*Ventas!AE13*1.0489))</f>
        <v>31.909868702857143</v>
      </c>
      <c r="AF16" s="20">
        <f>(AE16/(Ventas!AE13*1.0489)/80)</f>
        <v>1.6543064004260402</v>
      </c>
      <c r="AG16" s="22">
        <f>(G16+0)</f>
        <v>0</v>
      </c>
      <c r="AH16" s="14"/>
      <c r="AI16" s="25">
        <f t="shared" si="5"/>
        <v>0</v>
      </c>
      <c r="AJ16" s="16"/>
      <c r="AK16" s="12">
        <f t="shared" si="6"/>
        <v>31.909868702857143</v>
      </c>
      <c r="AL16" s="19">
        <f t="shared" si="7"/>
        <v>1.4475181003727851</v>
      </c>
      <c r="AM16" s="18">
        <f>(180*(Ventas!AE13*0.9644) - IF(AE16&gt;0,AE16,0))</f>
        <v>7.9939723257142852</v>
      </c>
      <c r="AN16" s="18">
        <f t="shared" si="15"/>
        <v>10</v>
      </c>
      <c r="AO16" s="14"/>
      <c r="AP16" s="14">
        <f t="shared" si="8"/>
        <v>0</v>
      </c>
      <c r="AQ16" s="16">
        <f t="shared" si="9"/>
        <v>5.5660000000000001E-2</v>
      </c>
      <c r="AR16" s="37">
        <f>_xlfn.XLOOKUP(C16,[1]Hoja2!$C$6:$C$24,[1]Hoja2!$D$6:$D$24,0,2,1)</f>
        <v>0</v>
      </c>
      <c r="AS16" s="18">
        <f t="shared" si="10"/>
        <v>41.909868702857139</v>
      </c>
      <c r="AT16" s="14"/>
      <c r="AU16" s="37">
        <f>_xlfn.XLOOKUP(D16,[1]Hoja2!$E$6:$E$24,[1]Hoja2!$F$6:$F$24,0,2,1)</f>
        <v>0</v>
      </c>
      <c r="AV16" s="27">
        <v>3.3</v>
      </c>
      <c r="AW16" s="5">
        <v>3016</v>
      </c>
      <c r="AX16" s="14">
        <v>0</v>
      </c>
      <c r="AY16" s="14"/>
      <c r="AZ16" s="16">
        <f>_xlfn.XLOOKUP(C16,[2]PI!$B$15:$B$99,[2]PI!$L$15:$L$99,0,2,1)</f>
        <v>3.3</v>
      </c>
      <c r="BA16" s="16">
        <f>_xlfn.XLOOKUP(D16,[2]PI!$B$15:$B$99,[2]PI!$L$15:$L$99,0,2,1)</f>
        <v>0</v>
      </c>
      <c r="BB16" s="18">
        <f>(AS16-(90*Ventas!AE13*0.9644))</f>
        <v>21.957948188571425</v>
      </c>
      <c r="BC16" s="20">
        <f>(BB16/(Ventas!AE13*0.9644)/80)</f>
        <v>1.2381109725480088</v>
      </c>
      <c r="BD16" s="14"/>
      <c r="BE16" s="14"/>
      <c r="BF16" s="16"/>
      <c r="BG16" s="16"/>
      <c r="BH16" s="12">
        <f t="shared" si="11"/>
        <v>21.957948188571425</v>
      </c>
      <c r="BI16" s="19">
        <f t="shared" si="12"/>
        <v>1.0833471009795077</v>
      </c>
      <c r="BJ16" s="1" t="s">
        <v>35</v>
      </c>
      <c r="BK16">
        <f t="shared" si="13"/>
        <v>33</v>
      </c>
      <c r="BL16">
        <f t="shared" si="14"/>
        <v>33</v>
      </c>
    </row>
    <row r="17" spans="1:64" x14ac:dyDescent="0.25">
      <c r="A17" s="1"/>
      <c r="B17" s="1" t="s">
        <v>71</v>
      </c>
      <c r="C17" s="13" t="s">
        <v>70</v>
      </c>
      <c r="D17" s="15"/>
      <c r="E17" s="17"/>
      <c r="F17" s="3"/>
      <c r="G17" s="14"/>
      <c r="H17" s="16"/>
      <c r="I17" s="11">
        <v>46221</v>
      </c>
      <c r="J17" s="4">
        <v>17</v>
      </c>
      <c r="K17" s="18">
        <f>(F17-(0)+0-(J17*Ventas!AE14*1))</f>
        <v>0</v>
      </c>
      <c r="L17" s="3"/>
      <c r="M17" s="22">
        <f>(G17+0)</f>
        <v>0</v>
      </c>
      <c r="N17" s="14"/>
      <c r="O17" s="25">
        <f t="shared" si="0"/>
        <v>0</v>
      </c>
      <c r="P17" s="16"/>
      <c r="Q17" s="12">
        <f t="shared" si="1"/>
        <v>0</v>
      </c>
      <c r="R17" s="5">
        <v>0</v>
      </c>
      <c r="S17" s="24">
        <v>0</v>
      </c>
      <c r="T17" s="26">
        <v>0</v>
      </c>
      <c r="U17" s="18">
        <f t="shared" si="2"/>
        <v>0</v>
      </c>
      <c r="V17" s="22">
        <f t="shared" si="3"/>
        <v>0</v>
      </c>
      <c r="W17" s="25">
        <f t="shared" si="4"/>
        <v>0</v>
      </c>
      <c r="X17" s="3"/>
      <c r="Y17" s="14"/>
      <c r="Z17" s="14"/>
      <c r="AA17" s="3"/>
      <c r="AB17" s="3"/>
      <c r="AC17" s="11">
        <v>46313</v>
      </c>
      <c r="AD17" s="4">
        <v>92</v>
      </c>
      <c r="AE17" s="18">
        <f>(IF(K17&gt;0,K17+R17,R17)-(AD17*Ventas!AE14*1.0489))</f>
        <v>0</v>
      </c>
      <c r="AF17" s="3"/>
      <c r="AG17" s="22">
        <f>(G17+0)</f>
        <v>0</v>
      </c>
      <c r="AH17" s="14"/>
      <c r="AI17" s="25">
        <f t="shared" si="5"/>
        <v>0</v>
      </c>
      <c r="AJ17" s="16"/>
      <c r="AK17" s="12">
        <f t="shared" si="6"/>
        <v>0</v>
      </c>
      <c r="AL17" s="19">
        <f t="shared" si="7"/>
        <v>0</v>
      </c>
      <c r="AM17" s="18">
        <f>(180*(Ventas!AE14*0.9644) - IF(AE17&gt;0,AE17,0))</f>
        <v>0</v>
      </c>
      <c r="AN17" s="18">
        <f t="shared" si="15"/>
        <v>0</v>
      </c>
      <c r="AO17" s="14"/>
      <c r="AP17" s="14">
        <f t="shared" si="8"/>
        <v>0</v>
      </c>
      <c r="AQ17" s="16">
        <f t="shared" si="9"/>
        <v>0</v>
      </c>
      <c r="AR17" s="37">
        <f>_xlfn.XLOOKUP(C17,[1]Hoja2!$C$6:$C$24,[1]Hoja2!$D$6:$D$24,0,2,1)</f>
        <v>0</v>
      </c>
      <c r="AS17" s="18">
        <f t="shared" si="10"/>
        <v>0</v>
      </c>
      <c r="AT17" s="14"/>
      <c r="AU17" s="37">
        <f>_xlfn.XLOOKUP(D17,[1]Hoja2!$E$6:$E$24,[1]Hoja2!$F$6:$F$24,0,2,1)</f>
        <v>0</v>
      </c>
      <c r="AV17" s="3">
        <v>0</v>
      </c>
      <c r="AW17" s="3"/>
      <c r="AX17" s="14">
        <v>0</v>
      </c>
      <c r="AY17" s="14"/>
      <c r="AZ17" s="16">
        <f>_xlfn.XLOOKUP(C17,[2]PI!$B$15:$B$99,[2]PI!$L$15:$L$99,0,2,1)</f>
        <v>0</v>
      </c>
      <c r="BA17" s="16">
        <f>_xlfn.XLOOKUP(D17,[2]PI!$B$15:$B$99,[2]PI!$L$15:$L$99,0,2,1)</f>
        <v>0</v>
      </c>
      <c r="BB17" s="3"/>
      <c r="BC17" s="3"/>
      <c r="BD17" s="14"/>
      <c r="BE17" s="14"/>
      <c r="BF17" s="16"/>
      <c r="BG17" s="16"/>
      <c r="BH17" s="12">
        <f t="shared" si="11"/>
        <v>0</v>
      </c>
      <c r="BI17" s="19">
        <f t="shared" si="12"/>
        <v>0</v>
      </c>
      <c r="BJ17" s="1" t="s">
        <v>51</v>
      </c>
      <c r="BK17">
        <f t="shared" si="13"/>
        <v>0</v>
      </c>
      <c r="BL17">
        <f t="shared" si="14"/>
        <v>0</v>
      </c>
    </row>
    <row r="18" spans="1:64" x14ac:dyDescent="0.25">
      <c r="A18" s="1" t="s">
        <v>74</v>
      </c>
      <c r="B18" s="1" t="s">
        <v>73</v>
      </c>
      <c r="C18" s="13" t="s">
        <v>72</v>
      </c>
      <c r="D18" s="15"/>
      <c r="E18" s="17"/>
      <c r="F18" s="3"/>
      <c r="G18" s="14"/>
      <c r="H18" s="16"/>
      <c r="I18" s="11">
        <v>46221</v>
      </c>
      <c r="J18" s="4">
        <v>17</v>
      </c>
      <c r="K18" s="18">
        <f>(F18-(0)+0-(J18*Ventas!AE15*1))</f>
        <v>0</v>
      </c>
      <c r="L18" s="3"/>
      <c r="M18" s="22">
        <f>(G18+0)</f>
        <v>0</v>
      </c>
      <c r="N18" s="14"/>
      <c r="O18" s="25">
        <f t="shared" si="0"/>
        <v>0</v>
      </c>
      <c r="P18" s="16"/>
      <c r="Q18" s="12">
        <f t="shared" si="1"/>
        <v>0</v>
      </c>
      <c r="R18" s="5">
        <v>0</v>
      </c>
      <c r="S18" s="24">
        <v>0</v>
      </c>
      <c r="T18" s="26">
        <v>0</v>
      </c>
      <c r="U18" s="18">
        <f t="shared" si="2"/>
        <v>0</v>
      </c>
      <c r="V18" s="22">
        <f t="shared" si="3"/>
        <v>0</v>
      </c>
      <c r="W18" s="25">
        <f t="shared" si="4"/>
        <v>0</v>
      </c>
      <c r="X18" s="3"/>
      <c r="Y18" s="14"/>
      <c r="Z18" s="14"/>
      <c r="AA18" s="18">
        <v>6</v>
      </c>
      <c r="AB18" s="21">
        <v>1.5716999999999998E-2</v>
      </c>
      <c r="AC18" s="11">
        <v>46313</v>
      </c>
      <c r="AD18" s="4">
        <v>92</v>
      </c>
      <c r="AE18" s="18">
        <f>(IF(K18&gt;0,K18+R18,R18)-(AD18*Ventas!AE15*1.0489))</f>
        <v>0</v>
      </c>
      <c r="AF18" s="3"/>
      <c r="AG18" s="22">
        <f>(G18+0)</f>
        <v>0</v>
      </c>
      <c r="AH18" s="14"/>
      <c r="AI18" s="25">
        <f t="shared" si="5"/>
        <v>0</v>
      </c>
      <c r="AJ18" s="16"/>
      <c r="AK18" s="12">
        <f t="shared" si="6"/>
        <v>0</v>
      </c>
      <c r="AL18" s="19">
        <f t="shared" si="7"/>
        <v>0</v>
      </c>
      <c r="AM18" s="18">
        <f>(180*(Ventas!AE15*0.9644) - IF(AE18&gt;0,AE18,0))</f>
        <v>0</v>
      </c>
      <c r="AN18" s="18">
        <f t="shared" si="15"/>
        <v>0</v>
      </c>
      <c r="AO18" s="14"/>
      <c r="AP18" s="14">
        <f t="shared" si="8"/>
        <v>0</v>
      </c>
      <c r="AQ18" s="16">
        <f t="shared" si="9"/>
        <v>0</v>
      </c>
      <c r="AR18" s="37">
        <f>_xlfn.XLOOKUP(C18,[1]Hoja2!$C$6:$C$24,[1]Hoja2!$D$6:$D$24,0,2,1)</f>
        <v>0</v>
      </c>
      <c r="AS18" s="18">
        <f t="shared" si="10"/>
        <v>0</v>
      </c>
      <c r="AT18" s="14"/>
      <c r="AU18" s="37">
        <f>_xlfn.XLOOKUP(D18,[1]Hoja2!$E$6:$E$24,[1]Hoja2!$F$6:$F$24,0,2,1)</f>
        <v>0</v>
      </c>
      <c r="AV18" s="3">
        <v>0</v>
      </c>
      <c r="AW18" s="3"/>
      <c r="AX18" s="14">
        <v>0</v>
      </c>
      <c r="AY18" s="14"/>
      <c r="AZ18" s="16">
        <f>_xlfn.XLOOKUP(C18,[2]PI!$B$15:$B$99,[2]PI!$L$15:$L$99,0,2,1)</f>
        <v>0</v>
      </c>
      <c r="BA18" s="16">
        <f>_xlfn.XLOOKUP(D18,[2]PI!$B$15:$B$99,[2]PI!$L$15:$L$99,0,2,1)</f>
        <v>0</v>
      </c>
      <c r="BB18" s="3"/>
      <c r="BC18" s="3"/>
      <c r="BD18" s="14"/>
      <c r="BE18" s="14"/>
      <c r="BF18" s="16"/>
      <c r="BG18" s="16"/>
      <c r="BH18" s="12">
        <f t="shared" si="11"/>
        <v>0</v>
      </c>
      <c r="BI18" s="19">
        <f t="shared" si="12"/>
        <v>0</v>
      </c>
      <c r="BJ18" s="1" t="s">
        <v>35</v>
      </c>
      <c r="BK18">
        <f t="shared" si="13"/>
        <v>0</v>
      </c>
      <c r="BL18">
        <f t="shared" si="14"/>
        <v>0</v>
      </c>
    </row>
    <row r="19" spans="1:64" x14ac:dyDescent="0.25">
      <c r="A19" s="1" t="s">
        <v>77</v>
      </c>
      <c r="B19" s="1" t="s">
        <v>76</v>
      </c>
      <c r="C19" s="13" t="s">
        <v>75</v>
      </c>
      <c r="D19" s="15" t="s">
        <v>1503</v>
      </c>
      <c r="E19" s="17"/>
      <c r="F19" s="5">
        <v>43</v>
      </c>
      <c r="G19" s="14"/>
      <c r="H19" s="16"/>
      <c r="I19" s="11">
        <v>46221</v>
      </c>
      <c r="J19" s="4">
        <v>17</v>
      </c>
      <c r="K19" s="18">
        <f>(F19-(0)+0-(J19*Ventas!AE16*1))</f>
        <v>41.585357142857141</v>
      </c>
      <c r="L19" s="20">
        <f>(K19/(Ventas!AE16*1)/80)</f>
        <v>6.2467274678111586</v>
      </c>
      <c r="M19" s="22">
        <f>(G19-(0)+0-(J19*Ventas!AE500*1))</f>
        <v>0</v>
      </c>
      <c r="N19" s="14"/>
      <c r="O19" s="25">
        <f t="shared" si="0"/>
        <v>0</v>
      </c>
      <c r="P19" s="16"/>
      <c r="Q19" s="12">
        <f t="shared" si="1"/>
        <v>41.585357142857141</v>
      </c>
      <c r="R19" s="5">
        <v>0</v>
      </c>
      <c r="S19" s="24">
        <v>0</v>
      </c>
      <c r="T19" s="26">
        <v>0</v>
      </c>
      <c r="U19" s="18">
        <f t="shared" si="2"/>
        <v>41.585357142857141</v>
      </c>
      <c r="V19" s="22">
        <f t="shared" si="3"/>
        <v>0</v>
      </c>
      <c r="W19" s="25">
        <f t="shared" si="4"/>
        <v>0</v>
      </c>
      <c r="X19" s="3"/>
      <c r="Y19" s="14"/>
      <c r="Z19" s="14"/>
      <c r="AA19" s="18">
        <v>12</v>
      </c>
      <c r="AB19" s="21">
        <v>7.9889000000000002E-2</v>
      </c>
      <c r="AC19" s="11">
        <v>46313</v>
      </c>
      <c r="AD19" s="4">
        <v>92</v>
      </c>
      <c r="AE19" s="18">
        <f>(IF(K19&gt;0,K19+R19,R19)-(AD19*Ventas!AE16*1.0489))</f>
        <v>33.555278428571427</v>
      </c>
      <c r="AF19" s="20">
        <f>(AE19/(Ventas!AE16*1.0489)/80)</f>
        <v>4.8055033538098568</v>
      </c>
      <c r="AG19" s="22">
        <f>(IF(M19&gt;0,M19+S19,S19)-(AD19*Ventas!AE500*1.0489))</f>
        <v>0</v>
      </c>
      <c r="AH19" s="14"/>
      <c r="AI19" s="25">
        <f t="shared" si="5"/>
        <v>0</v>
      </c>
      <c r="AJ19" s="16"/>
      <c r="AK19" s="12">
        <f t="shared" si="6"/>
        <v>33.555278428571427</v>
      </c>
      <c r="AL19" s="19">
        <f t="shared" si="7"/>
        <v>4.2048154345836251</v>
      </c>
      <c r="AM19" s="18">
        <f>(180*(Ventas!AE16*0.9644) - IF(AE19&gt;0,AE19,0))</f>
        <v>-19.109944142857142</v>
      </c>
      <c r="AN19" s="18">
        <f t="shared" si="15"/>
        <v>0</v>
      </c>
      <c r="AO19" s="22">
        <f>(180*(Ventas!AE500*0.9644) - IF(AG19&gt;0,AG19,0))</f>
        <v>0</v>
      </c>
      <c r="AP19" s="22">
        <f t="shared" si="8"/>
        <v>0</v>
      </c>
      <c r="AQ19" s="16">
        <f t="shared" si="9"/>
        <v>0</v>
      </c>
      <c r="AR19" s="37">
        <f>_xlfn.XLOOKUP(C19,[1]Hoja2!$C$6:$C$24,[1]Hoja2!$D$6:$D$24,0,2,1)</f>
        <v>0</v>
      </c>
      <c r="AS19" s="18">
        <f t="shared" si="10"/>
        <v>33.555278428571427</v>
      </c>
      <c r="AT19" s="22">
        <f>IF(AG19&gt;0,AG19+IF(AP19&gt;0,AP19,0),AP19)</f>
        <v>0</v>
      </c>
      <c r="AU19" s="37">
        <f>_xlfn.XLOOKUP(D19,[1]Hoja2!$E$6:$E$24,[1]Hoja2!$F$6:$F$24,0,2,1)</f>
        <v>0</v>
      </c>
      <c r="AV19" s="27">
        <v>0</v>
      </c>
      <c r="AW19" s="5">
        <v>3016</v>
      </c>
      <c r="AX19" s="14">
        <v>0</v>
      </c>
      <c r="AY19" s="14"/>
      <c r="AZ19" s="16">
        <f>_xlfn.XLOOKUP(C19,[2]PI!$B$15:$B$99,[2]PI!$L$15:$L$99,0,2,1)</f>
        <v>0</v>
      </c>
      <c r="BA19" s="16">
        <f>_xlfn.XLOOKUP(D19,[2]PI!$B$15:$B$99,[2]PI!$L$15:$L$99,0,2,1)</f>
        <v>0</v>
      </c>
      <c r="BB19" s="18">
        <f>(AS19-(90*Ventas!AE16*0.9644))</f>
        <v>26.332611285714286</v>
      </c>
      <c r="BC19" s="20">
        <f>(BB19/(Ventas!AE16*0.9644)/80)</f>
        <v>4.1015579301235574</v>
      </c>
      <c r="BD19" s="14"/>
      <c r="BE19" s="14"/>
      <c r="BF19" s="16"/>
      <c r="BG19" s="16"/>
      <c r="BH19" s="12">
        <f t="shared" si="11"/>
        <v>26.332611285714286</v>
      </c>
      <c r="BI19" s="19">
        <f t="shared" si="12"/>
        <v>3.5888631888581126</v>
      </c>
      <c r="BJ19" s="1" t="s">
        <v>35</v>
      </c>
      <c r="BK19">
        <f t="shared" si="13"/>
        <v>0</v>
      </c>
      <c r="BL19">
        <f t="shared" si="14"/>
        <v>0</v>
      </c>
    </row>
    <row r="20" spans="1:64" x14ac:dyDescent="0.25">
      <c r="A20" s="1" t="s">
        <v>80</v>
      </c>
      <c r="B20" s="1" t="s">
        <v>79</v>
      </c>
      <c r="C20" s="13" t="s">
        <v>78</v>
      </c>
      <c r="D20" s="15" t="s">
        <v>1505</v>
      </c>
      <c r="E20" s="17"/>
      <c r="F20" s="5">
        <v>376</v>
      </c>
      <c r="G20" s="24">
        <v>50</v>
      </c>
      <c r="H20" s="16"/>
      <c r="I20" s="11">
        <v>46221</v>
      </c>
      <c r="J20" s="4">
        <v>17</v>
      </c>
      <c r="K20" s="18">
        <f>(F20-(0)+0-(J20*Ventas!AE17*1))</f>
        <v>347.62287142857144</v>
      </c>
      <c r="L20" s="20">
        <f>(K20/(Ventas!AE17*1)/80)</f>
        <v>2.6031478129519798</v>
      </c>
      <c r="M20" s="22">
        <f>(G20-(0)+0-(J20*Ventas!AE501*1))</f>
        <v>42.507371428571432</v>
      </c>
      <c r="N20" s="23">
        <f>(M20/(Ventas!AE501*1)/80)</f>
        <v>1.2055604174769869</v>
      </c>
      <c r="O20" s="25">
        <f t="shared" si="0"/>
        <v>0</v>
      </c>
      <c r="P20" s="16"/>
      <c r="Q20" s="12">
        <f t="shared" si="1"/>
        <v>390.13024285714289</v>
      </c>
      <c r="R20" s="5">
        <v>0</v>
      </c>
      <c r="S20" s="24">
        <v>15</v>
      </c>
      <c r="T20" s="26">
        <v>0</v>
      </c>
      <c r="U20" s="18">
        <f t="shared" si="2"/>
        <v>347.62287142857144</v>
      </c>
      <c r="V20" s="22">
        <f t="shared" si="3"/>
        <v>57.507371428571432</v>
      </c>
      <c r="W20" s="25">
        <f t="shared" si="4"/>
        <v>0</v>
      </c>
      <c r="X20" s="3"/>
      <c r="Y20" s="22">
        <v>3.3</v>
      </c>
      <c r="Z20" s="14"/>
      <c r="AA20" s="18">
        <v>20</v>
      </c>
      <c r="AB20" s="21">
        <v>3.8860000000000001E-3</v>
      </c>
      <c r="AC20" s="11">
        <v>46313</v>
      </c>
      <c r="AD20" s="4">
        <v>92</v>
      </c>
      <c r="AE20" s="18">
        <f>(IF(K20&gt;0,K20+R20,R20)-(AD20*Ventas!AE17*1.0489))</f>
        <v>186.5429388057143</v>
      </c>
      <c r="AF20" s="20">
        <f>(AE20/(Ventas!AE17*1.0489)/80)</f>
        <v>1.3317883620478406</v>
      </c>
      <c r="AG20" s="22">
        <f>(IF(M20&gt;0,M20+S20,S20)-(AD20*Ventas!AE501*1.0489))</f>
        <v>14.97621460571429</v>
      </c>
      <c r="AH20" s="23">
        <f>(AG20/(Ventas!AE501*1.0489)/80)</f>
        <v>0.40494188456486147</v>
      </c>
      <c r="AI20" s="25">
        <f t="shared" si="5"/>
        <v>0</v>
      </c>
      <c r="AJ20" s="16"/>
      <c r="AK20" s="12">
        <f t="shared" si="6"/>
        <v>201.51915341142859</v>
      </c>
      <c r="AL20" s="19">
        <f t="shared" si="7"/>
        <v>1.2159325523624682</v>
      </c>
      <c r="AM20" s="18">
        <f>(180*(Ventas!AE17*0.9644) - IF(AE20&gt;0,AE20,0))</f>
        <v>103.22426725142856</v>
      </c>
      <c r="AN20" s="38">
        <v>105</v>
      </c>
      <c r="AO20" s="22">
        <f>(180*(Ventas!AE501*0.9644) - IF(AG20&gt;0,AG20,0))</f>
        <v>61.533219451428579</v>
      </c>
      <c r="AP20" s="22">
        <v>75</v>
      </c>
      <c r="AQ20" s="16">
        <f t="shared" si="9"/>
        <v>0.69947999999999999</v>
      </c>
      <c r="AR20" s="37">
        <f>_xlfn.XLOOKUP(C20,[1]Hoja2!$C$6:$C$24,[1]Hoja2!$D$6:$D$24,0,2,1)</f>
        <v>145</v>
      </c>
      <c r="AS20" s="18">
        <f t="shared" si="10"/>
        <v>291.5429388057143</v>
      </c>
      <c r="AT20" s="22">
        <f>IF(AG20&gt;0,AG20+IF(AP20&gt;0,AP20,0),AP20)</f>
        <v>89.97621460571429</v>
      </c>
      <c r="AU20" s="37">
        <f>_xlfn.XLOOKUP(D20,[1]Hoja2!$E$6:$E$24,[1]Hoja2!$F$6:$F$24,0,2,1)</f>
        <v>75</v>
      </c>
      <c r="AV20" s="27">
        <v>3.3</v>
      </c>
      <c r="AW20" s="5">
        <v>3016</v>
      </c>
      <c r="AX20" s="28">
        <v>3.3</v>
      </c>
      <c r="AY20" s="14"/>
      <c r="AZ20" s="16">
        <f>_xlfn.XLOOKUP(C20,[2]PI!$B$15:$B$99,[2]PI!$L$15:$L$99,0,2,1)</f>
        <v>3.3</v>
      </c>
      <c r="BA20" s="16">
        <f>_xlfn.XLOOKUP(D20,[2]PI!$B$15:$B$99,[2]PI!$L$15:$L$99,0,2,1)</f>
        <v>3.3</v>
      </c>
      <c r="BB20" s="18">
        <f>(AS20-(90*Ventas!AE17*0.9644))</f>
        <v>146.65933577714284</v>
      </c>
      <c r="BC20" s="20">
        <f>(BB20/(Ventas!AE17*0.9644)/80)</f>
        <v>1.1387883052352645</v>
      </c>
      <c r="BD20" s="22">
        <f>(AT20-(90*Ventas!AE501*0.9644))</f>
        <v>51.721497577142856</v>
      </c>
      <c r="BE20" s="23">
        <f>(BD20/(Ventas!AE501*0.9644)/80)</f>
        <v>1.5210329416586097</v>
      </c>
      <c r="BF20" s="16"/>
      <c r="BG20" s="16"/>
      <c r="BH20" s="12">
        <f t="shared" si="11"/>
        <v>198.3808333542857</v>
      </c>
      <c r="BI20" s="19">
        <f t="shared" si="12"/>
        <v>1.1865688847881826</v>
      </c>
      <c r="BJ20" s="1" t="s">
        <v>35</v>
      </c>
      <c r="BK20">
        <f t="shared" si="13"/>
        <v>594</v>
      </c>
      <c r="BL20">
        <f t="shared" si="14"/>
        <v>594</v>
      </c>
    </row>
    <row r="21" spans="1:64" x14ac:dyDescent="0.25">
      <c r="A21" s="1" t="s">
        <v>83</v>
      </c>
      <c r="B21" s="1" t="s">
        <v>82</v>
      </c>
      <c r="C21" s="13" t="s">
        <v>81</v>
      </c>
      <c r="D21" s="15"/>
      <c r="E21" s="17"/>
      <c r="F21" s="3"/>
      <c r="G21" s="14"/>
      <c r="H21" s="16"/>
      <c r="I21" s="11">
        <v>46221</v>
      </c>
      <c r="J21" s="4">
        <v>17</v>
      </c>
      <c r="K21" s="18">
        <f>(F21-(0)+0-(J21*Ventas!AE18*1))</f>
        <v>0</v>
      </c>
      <c r="L21" s="3"/>
      <c r="M21" s="22">
        <f>(G21+0)</f>
        <v>0</v>
      </c>
      <c r="N21" s="14"/>
      <c r="O21" s="25">
        <f t="shared" si="0"/>
        <v>0</v>
      </c>
      <c r="P21" s="16"/>
      <c r="Q21" s="12">
        <f t="shared" si="1"/>
        <v>0</v>
      </c>
      <c r="R21" s="5">
        <v>0</v>
      </c>
      <c r="S21" s="24">
        <v>0</v>
      </c>
      <c r="T21" s="26">
        <v>0</v>
      </c>
      <c r="U21" s="18">
        <f t="shared" si="2"/>
        <v>0</v>
      </c>
      <c r="V21" s="22">
        <f t="shared" si="3"/>
        <v>0</v>
      </c>
      <c r="W21" s="25">
        <f t="shared" si="4"/>
        <v>0</v>
      </c>
      <c r="X21" s="3"/>
      <c r="Y21" s="14"/>
      <c r="Z21" s="14"/>
      <c r="AA21" s="18">
        <v>30</v>
      </c>
      <c r="AB21" s="21">
        <v>2.7290000000000001E-3</v>
      </c>
      <c r="AC21" s="11">
        <v>46313</v>
      </c>
      <c r="AD21" s="4">
        <v>92</v>
      </c>
      <c r="AE21" s="18">
        <f>(IF(K21&gt;0,K21+R21,R21)-(AD21*Ventas!AE18*1.0489))</f>
        <v>0</v>
      </c>
      <c r="AF21" s="3"/>
      <c r="AG21" s="22">
        <f>(G21+0)</f>
        <v>0</v>
      </c>
      <c r="AH21" s="14"/>
      <c r="AI21" s="25">
        <f t="shared" si="5"/>
        <v>0</v>
      </c>
      <c r="AJ21" s="16"/>
      <c r="AK21" s="12">
        <f t="shared" si="6"/>
        <v>0</v>
      </c>
      <c r="AL21" s="19">
        <f t="shared" si="7"/>
        <v>0</v>
      </c>
      <c r="AM21" s="18">
        <f>(180*(Ventas!AE18*0.9644) - IF(AE21&gt;0,AE21,0))</f>
        <v>0</v>
      </c>
      <c r="AN21" s="18">
        <f>IF(AM21&gt;3,CEILING(AM21,5),0)</f>
        <v>0</v>
      </c>
      <c r="AO21" s="14"/>
      <c r="AP21" s="14">
        <f>IF(AO21&gt;3,CEILING(AO21,5),0)</f>
        <v>0</v>
      </c>
      <c r="AQ21" s="16">
        <f t="shared" si="9"/>
        <v>0</v>
      </c>
      <c r="AR21" s="37">
        <f>_xlfn.XLOOKUP(C21,[1]Hoja2!$C$6:$C$24,[1]Hoja2!$D$6:$D$24,0,2,1)</f>
        <v>0</v>
      </c>
      <c r="AS21" s="18">
        <f t="shared" si="10"/>
        <v>0</v>
      </c>
      <c r="AT21" s="14"/>
      <c r="AU21" s="37">
        <f>_xlfn.XLOOKUP(D21,[1]Hoja2!$E$6:$E$24,[1]Hoja2!$F$6:$F$24,0,2,1)</f>
        <v>0</v>
      </c>
      <c r="AV21" s="27">
        <v>0</v>
      </c>
      <c r="AW21" s="5">
        <v>3022</v>
      </c>
      <c r="AX21" s="14">
        <v>0</v>
      </c>
      <c r="AY21" s="14"/>
      <c r="AZ21" s="16">
        <f>_xlfn.XLOOKUP(C21,[2]PI!$B$15:$B$99,[2]PI!$L$15:$L$99,0,2,1)</f>
        <v>0</v>
      </c>
      <c r="BA21" s="16">
        <f>_xlfn.XLOOKUP(D21,[2]PI!$B$15:$B$99,[2]PI!$L$15:$L$99,0,2,1)</f>
        <v>0</v>
      </c>
      <c r="BB21" s="3"/>
      <c r="BC21" s="3"/>
      <c r="BD21" s="14"/>
      <c r="BE21" s="14"/>
      <c r="BF21" s="16"/>
      <c r="BG21" s="16"/>
      <c r="BH21" s="12">
        <f t="shared" si="11"/>
        <v>0</v>
      </c>
      <c r="BI21" s="19">
        <f t="shared" si="12"/>
        <v>0</v>
      </c>
      <c r="BJ21" s="1" t="s">
        <v>35</v>
      </c>
      <c r="BK21">
        <f t="shared" si="13"/>
        <v>0</v>
      </c>
      <c r="BL21">
        <f t="shared" si="14"/>
        <v>0</v>
      </c>
    </row>
    <row r="22" spans="1:64" x14ac:dyDescent="0.25">
      <c r="A22" s="1" t="s">
        <v>86</v>
      </c>
      <c r="B22" s="1" t="s">
        <v>85</v>
      </c>
      <c r="C22" s="13" t="s">
        <v>84</v>
      </c>
      <c r="D22" s="15"/>
      <c r="E22" s="17"/>
      <c r="F22" s="3"/>
      <c r="G22" s="14"/>
      <c r="H22" s="16"/>
      <c r="I22" s="11">
        <v>46221</v>
      </c>
      <c r="J22" s="4">
        <v>17</v>
      </c>
      <c r="K22" s="18">
        <f>(F22-(0)+0-(J22*Ventas!AE19*1))</f>
        <v>0</v>
      </c>
      <c r="L22" s="3"/>
      <c r="M22" s="22">
        <f>(G22+0)</f>
        <v>0</v>
      </c>
      <c r="N22" s="14"/>
      <c r="O22" s="25">
        <f t="shared" si="0"/>
        <v>0</v>
      </c>
      <c r="P22" s="16"/>
      <c r="Q22" s="12">
        <f t="shared" si="1"/>
        <v>0</v>
      </c>
      <c r="R22" s="5">
        <v>0</v>
      </c>
      <c r="S22" s="24">
        <v>0</v>
      </c>
      <c r="T22" s="26">
        <v>0</v>
      </c>
      <c r="U22" s="18">
        <f t="shared" si="2"/>
        <v>0</v>
      </c>
      <c r="V22" s="22">
        <f t="shared" si="3"/>
        <v>0</v>
      </c>
      <c r="W22" s="25">
        <f t="shared" si="4"/>
        <v>0</v>
      </c>
      <c r="X22" s="3"/>
      <c r="Y22" s="14"/>
      <c r="Z22" s="14"/>
      <c r="AA22" s="3"/>
      <c r="AB22" s="3"/>
      <c r="AC22" s="11">
        <v>46313</v>
      </c>
      <c r="AD22" s="4">
        <v>92</v>
      </c>
      <c r="AE22" s="18">
        <f>(IF(K22&gt;0,K22+R22,R22)-(AD22*Ventas!AE19*1.0489))</f>
        <v>0</v>
      </c>
      <c r="AF22" s="3"/>
      <c r="AG22" s="22">
        <f>(G22+0)</f>
        <v>0</v>
      </c>
      <c r="AH22" s="14"/>
      <c r="AI22" s="25">
        <f t="shared" si="5"/>
        <v>0</v>
      </c>
      <c r="AJ22" s="16"/>
      <c r="AK22" s="12">
        <f t="shared" si="6"/>
        <v>0</v>
      </c>
      <c r="AL22" s="19">
        <f t="shared" si="7"/>
        <v>0</v>
      </c>
      <c r="AM22" s="18">
        <f>(180*(Ventas!AE19*0.9644) - IF(AE22&gt;0,AE22,0))</f>
        <v>0</v>
      </c>
      <c r="AN22" s="18">
        <f>IF(AM22&gt;3,CEILING(AM22,5),0)</f>
        <v>0</v>
      </c>
      <c r="AO22" s="14"/>
      <c r="AP22" s="14">
        <f>IF(AO22&gt;3,CEILING(AO22,5),0)</f>
        <v>0</v>
      </c>
      <c r="AQ22" s="16">
        <f t="shared" si="9"/>
        <v>0</v>
      </c>
      <c r="AR22" s="37">
        <f>_xlfn.XLOOKUP(C22,[1]Hoja2!$C$6:$C$24,[1]Hoja2!$D$6:$D$24,0,2,1)</f>
        <v>0</v>
      </c>
      <c r="AS22" s="18">
        <f t="shared" si="10"/>
        <v>0</v>
      </c>
      <c r="AT22" s="14"/>
      <c r="AU22" s="37">
        <f>_xlfn.XLOOKUP(D22,[1]Hoja2!$E$6:$E$24,[1]Hoja2!$F$6:$F$24,0,2,1)</f>
        <v>0</v>
      </c>
      <c r="AV22" s="27">
        <v>0</v>
      </c>
      <c r="AW22" s="5">
        <v>3011</v>
      </c>
      <c r="AX22" s="14">
        <v>0</v>
      </c>
      <c r="AY22" s="14"/>
      <c r="AZ22" s="16">
        <f>_xlfn.XLOOKUP(C22,[2]PI!$B$15:$B$99,[2]PI!$L$15:$L$99,0,2,1)</f>
        <v>0</v>
      </c>
      <c r="BA22" s="16">
        <f>_xlfn.XLOOKUP(D22,[2]PI!$B$15:$B$99,[2]PI!$L$15:$L$99,0,2,1)</f>
        <v>0</v>
      </c>
      <c r="BB22" s="3"/>
      <c r="BC22" s="3"/>
      <c r="BD22" s="14"/>
      <c r="BE22" s="14"/>
      <c r="BF22" s="16"/>
      <c r="BG22" s="16"/>
      <c r="BH22" s="12">
        <f t="shared" si="11"/>
        <v>0</v>
      </c>
      <c r="BI22" s="19">
        <f t="shared" si="12"/>
        <v>0</v>
      </c>
      <c r="BJ22" s="1" t="s">
        <v>51</v>
      </c>
      <c r="BK22">
        <f t="shared" si="13"/>
        <v>0</v>
      </c>
      <c r="BL22">
        <f t="shared" si="14"/>
        <v>0</v>
      </c>
    </row>
    <row r="23" spans="1:64" x14ac:dyDescent="0.25">
      <c r="A23" s="1" t="s">
        <v>89</v>
      </c>
      <c r="B23" s="1" t="s">
        <v>88</v>
      </c>
      <c r="C23" s="13" t="s">
        <v>87</v>
      </c>
      <c r="D23" s="15" t="s">
        <v>1508</v>
      </c>
      <c r="E23" s="17"/>
      <c r="F23" s="5">
        <v>15</v>
      </c>
      <c r="G23" s="24">
        <v>2</v>
      </c>
      <c r="H23" s="16"/>
      <c r="I23" s="11">
        <v>46221</v>
      </c>
      <c r="J23" s="4">
        <v>17</v>
      </c>
      <c r="K23" s="18">
        <f>(F23-(0)+0-(J23*Ventas!AE20*1))</f>
        <v>9.3552714285714274</v>
      </c>
      <c r="L23" s="20">
        <f>(K23/(Ventas!AE20*1)/80)</f>
        <v>0.3521861420642774</v>
      </c>
      <c r="M23" s="22">
        <f>(G23-(0)+0-(J23*Ventas!AE502*1))</f>
        <v>1.1499999999999999</v>
      </c>
      <c r="N23" s="23">
        <f>(M23/(Ventas!AE502*1)/85)</f>
        <v>0.27058823529411763</v>
      </c>
      <c r="O23" s="25">
        <f t="shared" si="0"/>
        <v>0</v>
      </c>
      <c r="P23" s="16"/>
      <c r="Q23" s="12">
        <f t="shared" si="1"/>
        <v>10.505271428571428</v>
      </c>
      <c r="R23" s="5">
        <v>10</v>
      </c>
      <c r="S23" s="24">
        <v>10</v>
      </c>
      <c r="T23" s="26">
        <v>0</v>
      </c>
      <c r="U23" s="18">
        <f t="shared" si="2"/>
        <v>19.355271428571427</v>
      </c>
      <c r="V23" s="22">
        <f t="shared" si="3"/>
        <v>11.15</v>
      </c>
      <c r="W23" s="25">
        <f t="shared" si="4"/>
        <v>0</v>
      </c>
      <c r="X23" s="18">
        <v>4.3</v>
      </c>
      <c r="Y23" s="22">
        <v>4.3</v>
      </c>
      <c r="Z23" s="14"/>
      <c r="AA23" s="18">
        <v>12</v>
      </c>
      <c r="AB23" s="21">
        <v>6.6569999999999997E-3</v>
      </c>
      <c r="AC23" s="11">
        <v>46313</v>
      </c>
      <c r="AD23" s="4">
        <v>92</v>
      </c>
      <c r="AE23" s="18">
        <f>(IF(K23&gt;0,K23+R23,R23)-(AD23*Ventas!AE20*1.0489))</f>
        <v>-12.686465834285713</v>
      </c>
      <c r="AF23" s="20">
        <f>(AE23/(Ventas!AE20*1.0489)/80)</f>
        <v>-0.4553259890293363</v>
      </c>
      <c r="AG23" s="22">
        <f>(IF(M23&gt;0,M23+S23,S23)-(AD23*Ventas!AE502*1.0489))</f>
        <v>6.3250599999999997</v>
      </c>
      <c r="AH23" s="23">
        <f>(AG23/(Ventas!AE502*1.0489)/85)</f>
        <v>1.4188668240677909</v>
      </c>
      <c r="AI23" s="25">
        <f t="shared" si="5"/>
        <v>0</v>
      </c>
      <c r="AJ23" s="16"/>
      <c r="AK23" s="12">
        <f t="shared" si="6"/>
        <v>-6.3614058342857129</v>
      </c>
      <c r="AL23" s="19">
        <f t="shared" si="7"/>
        <v>-0.22105188739219539</v>
      </c>
      <c r="AM23" s="18">
        <f>(180*(Ventas!AE20*0.9644) - IF(AE23&gt;0,AE23,0))</f>
        <v>57.639983657142857</v>
      </c>
      <c r="AN23" s="18">
        <v>60</v>
      </c>
      <c r="AO23" s="22">
        <f>(180*(Ventas!AE502*0.9644) - IF(AG23&gt;0,AG23,0))</f>
        <v>2.354540000000001</v>
      </c>
      <c r="AP23" s="22">
        <f>IF(AO23&gt;3,CEILING(AO23,5),0)</f>
        <v>0</v>
      </c>
      <c r="AQ23" s="16">
        <f t="shared" si="9"/>
        <v>0.39942</v>
      </c>
      <c r="AR23" s="37">
        <f>_xlfn.XLOOKUP(C23,[1]Hoja2!$C$6:$C$24,[1]Hoja2!$D$6:$D$24,0,2,1)</f>
        <v>0</v>
      </c>
      <c r="AS23" s="18">
        <f t="shared" si="10"/>
        <v>60</v>
      </c>
      <c r="AT23" s="22">
        <f>IF(AG23&gt;0,AG23+IF(AP23&gt;0,AP23,0),AP23)</f>
        <v>6.3250599999999997</v>
      </c>
      <c r="AU23" s="37">
        <f>_xlfn.XLOOKUP(D23,[1]Hoja2!$E$6:$E$24,[1]Hoja2!$F$6:$F$24,0,2,1)</f>
        <v>0</v>
      </c>
      <c r="AV23" s="27">
        <v>4.3</v>
      </c>
      <c r="AW23" s="5">
        <v>3016</v>
      </c>
      <c r="AX23" s="28">
        <v>0</v>
      </c>
      <c r="AY23" s="14"/>
      <c r="AZ23" s="16">
        <f>_xlfn.XLOOKUP(C23,[2]PI!$B$15:$B$99,[2]PI!$L$15:$L$99,0,2,1)</f>
        <v>4.3</v>
      </c>
      <c r="BA23" s="16">
        <f>_xlfn.XLOOKUP(D23,[2]PI!$B$15:$B$99,[2]PI!$L$15:$L$99,0,2,1)</f>
        <v>0</v>
      </c>
      <c r="BB23" s="18">
        <f>(AS23-(90*Ventas!AE20*0.9644))</f>
        <v>31.180008171428572</v>
      </c>
      <c r="BC23" s="20">
        <f>(BB23/(Ventas!AE20*0.9644)/80)</f>
        <v>1.2171241893997404</v>
      </c>
      <c r="BD23" s="22">
        <f>(AT23-(90*Ventas!AE502*0.9644))</f>
        <v>1.9852599999999994</v>
      </c>
      <c r="BE23" s="23">
        <f>(BD23/(Ventas!AE502*0.9644)/85)</f>
        <v>0.48436333471588527</v>
      </c>
      <c r="BF23" s="16"/>
      <c r="BG23" s="16"/>
      <c r="BH23" s="12">
        <f t="shared" si="11"/>
        <v>33.165268171428572</v>
      </c>
      <c r="BI23" s="19">
        <f t="shared" si="12"/>
        <v>1.1255290825642585</v>
      </c>
      <c r="BJ23" s="1" t="s">
        <v>35</v>
      </c>
      <c r="BK23">
        <f t="shared" si="13"/>
        <v>258</v>
      </c>
      <c r="BL23">
        <f t="shared" si="14"/>
        <v>258</v>
      </c>
    </row>
    <row r="24" spans="1:64" x14ac:dyDescent="0.25">
      <c r="A24" s="1" t="s">
        <v>92</v>
      </c>
      <c r="B24" s="1" t="s">
        <v>91</v>
      </c>
      <c r="C24" s="13" t="s">
        <v>90</v>
      </c>
      <c r="D24" s="15"/>
      <c r="E24" s="17"/>
      <c r="F24" s="3"/>
      <c r="G24" s="14"/>
      <c r="H24" s="16"/>
      <c r="I24" s="11">
        <v>46221</v>
      </c>
      <c r="J24" s="4">
        <v>17</v>
      </c>
      <c r="K24" s="18">
        <f>(F24-(0)+0-(J24*Ventas!AE21*1))</f>
        <v>0</v>
      </c>
      <c r="L24" s="3"/>
      <c r="M24" s="22">
        <f>(G24+0)</f>
        <v>0</v>
      </c>
      <c r="N24" s="14"/>
      <c r="O24" s="25">
        <f t="shared" si="0"/>
        <v>0</v>
      </c>
      <c r="P24" s="16"/>
      <c r="Q24" s="12">
        <f t="shared" si="1"/>
        <v>0</v>
      </c>
      <c r="R24" s="5">
        <v>0</v>
      </c>
      <c r="S24" s="24">
        <v>0</v>
      </c>
      <c r="T24" s="26">
        <v>0</v>
      </c>
      <c r="U24" s="18">
        <f t="shared" si="2"/>
        <v>0</v>
      </c>
      <c r="V24" s="22">
        <f t="shared" si="3"/>
        <v>0</v>
      </c>
      <c r="W24" s="25">
        <f t="shared" si="4"/>
        <v>0</v>
      </c>
      <c r="X24" s="3"/>
      <c r="Y24" s="14"/>
      <c r="Z24" s="14"/>
      <c r="AA24" s="3"/>
      <c r="AB24" s="3"/>
      <c r="AC24" s="11">
        <v>46313</v>
      </c>
      <c r="AD24" s="4">
        <v>92</v>
      </c>
      <c r="AE24" s="18">
        <f>(IF(K24&gt;0,K24+R24,R24)-(AD24*Ventas!AE21*1.0489))</f>
        <v>0</v>
      </c>
      <c r="AF24" s="3"/>
      <c r="AG24" s="22">
        <f>(G24+0)</f>
        <v>0</v>
      </c>
      <c r="AH24" s="14"/>
      <c r="AI24" s="25">
        <f t="shared" si="5"/>
        <v>0</v>
      </c>
      <c r="AJ24" s="16"/>
      <c r="AK24" s="12">
        <f t="shared" si="6"/>
        <v>0</v>
      </c>
      <c r="AL24" s="19">
        <f t="shared" si="7"/>
        <v>0</v>
      </c>
      <c r="AM24" s="18">
        <f>(180*(Ventas!AE21*0.9644) - IF(AE24&gt;0,AE24,0))</f>
        <v>0</v>
      </c>
      <c r="AN24" s="18">
        <f>IF(AM24&gt;3,CEILING(AM24,5),0)</f>
        <v>0</v>
      </c>
      <c r="AO24" s="14"/>
      <c r="AP24" s="14">
        <f>IF(AO24&gt;3,CEILING(AO24,5),0)</f>
        <v>0</v>
      </c>
      <c r="AQ24" s="16">
        <f t="shared" si="9"/>
        <v>0</v>
      </c>
      <c r="AR24" s="37">
        <f>_xlfn.XLOOKUP(C24,[1]Hoja2!$C$6:$C$24,[1]Hoja2!$D$6:$D$24,0,2,1)</f>
        <v>0</v>
      </c>
      <c r="AS24" s="18">
        <f t="shared" si="10"/>
        <v>0</v>
      </c>
      <c r="AT24" s="14"/>
      <c r="AU24" s="37">
        <f>_xlfn.XLOOKUP(D24,[1]Hoja2!$E$6:$E$24,[1]Hoja2!$F$6:$F$24,0,2,1)</f>
        <v>0</v>
      </c>
      <c r="AV24" s="27">
        <v>0</v>
      </c>
      <c r="AW24" s="5">
        <v>3013</v>
      </c>
      <c r="AX24" s="14">
        <v>0</v>
      </c>
      <c r="AY24" s="14"/>
      <c r="AZ24" s="16">
        <f>_xlfn.XLOOKUP(C24,[2]PI!$B$15:$B$99,[2]PI!$L$15:$L$99,0,2,1)</f>
        <v>0</v>
      </c>
      <c r="BA24" s="16">
        <f>_xlfn.XLOOKUP(D24,[2]PI!$B$15:$B$99,[2]PI!$L$15:$L$99,0,2,1)</f>
        <v>0</v>
      </c>
      <c r="BB24" s="3"/>
      <c r="BC24" s="3"/>
      <c r="BD24" s="14"/>
      <c r="BE24" s="14"/>
      <c r="BF24" s="16"/>
      <c r="BG24" s="16"/>
      <c r="BH24" s="12">
        <f t="shared" si="11"/>
        <v>0</v>
      </c>
      <c r="BI24" s="19">
        <f t="shared" si="12"/>
        <v>0</v>
      </c>
      <c r="BJ24" s="1" t="s">
        <v>35</v>
      </c>
      <c r="BK24">
        <f t="shared" si="13"/>
        <v>0</v>
      </c>
      <c r="BL24">
        <f t="shared" si="14"/>
        <v>0</v>
      </c>
    </row>
    <row r="25" spans="1:64" x14ac:dyDescent="0.25">
      <c r="A25" s="1" t="s">
        <v>95</v>
      </c>
      <c r="B25" s="1" t="s">
        <v>94</v>
      </c>
      <c r="C25" s="13" t="s">
        <v>93</v>
      </c>
      <c r="D25" s="15"/>
      <c r="E25" s="17"/>
      <c r="F25" s="5">
        <v>2</v>
      </c>
      <c r="G25" s="14"/>
      <c r="H25" s="16"/>
      <c r="I25" s="11">
        <v>46221</v>
      </c>
      <c r="J25" s="4">
        <v>17</v>
      </c>
      <c r="K25" s="18">
        <f>(F25-(0)+0-(J25*Ventas!AE22*1))</f>
        <v>0.84221904761904764</v>
      </c>
      <c r="L25" s="20">
        <f>(K25/(Ventas!AE22*1)/80)</f>
        <v>0.15458152705915257</v>
      </c>
      <c r="M25" s="22">
        <f>(G25+0)</f>
        <v>0</v>
      </c>
      <c r="N25" s="14"/>
      <c r="O25" s="25">
        <f t="shared" si="0"/>
        <v>0</v>
      </c>
      <c r="P25" s="16"/>
      <c r="Q25" s="12">
        <f t="shared" si="1"/>
        <v>0.84221904761904764</v>
      </c>
      <c r="R25" s="5">
        <v>0</v>
      </c>
      <c r="S25" s="24">
        <v>0</v>
      </c>
      <c r="T25" s="26">
        <v>0</v>
      </c>
      <c r="U25" s="18">
        <f t="shared" si="2"/>
        <v>0.84221904761904764</v>
      </c>
      <c r="V25" s="22">
        <f t="shared" si="3"/>
        <v>0</v>
      </c>
      <c r="W25" s="25">
        <f t="shared" si="4"/>
        <v>0</v>
      </c>
      <c r="X25" s="3"/>
      <c r="Y25" s="14"/>
      <c r="Z25" s="14"/>
      <c r="AA25" s="18">
        <v>10</v>
      </c>
      <c r="AB25" s="21">
        <v>1.3318E-2</v>
      </c>
      <c r="AC25" s="11">
        <v>46313</v>
      </c>
      <c r="AD25" s="4">
        <v>92</v>
      </c>
      <c r="AE25" s="18">
        <f>(IF(K25&gt;0,K25+R25,R25)-(AD25*Ventas!AE22*1.0489))</f>
        <v>-5.7298087504761899</v>
      </c>
      <c r="AF25" s="20">
        <f>(AE25/(Ventas!AE22*1.0489)/80)</f>
        <v>-1.0026251052920654</v>
      </c>
      <c r="AG25" s="22">
        <f>(G25+0)</f>
        <v>0</v>
      </c>
      <c r="AH25" s="14"/>
      <c r="AI25" s="25">
        <f t="shared" si="5"/>
        <v>0</v>
      </c>
      <c r="AJ25" s="16"/>
      <c r="AK25" s="12">
        <f t="shared" si="6"/>
        <v>-5.7298087504761899</v>
      </c>
      <c r="AL25" s="19">
        <f t="shared" si="7"/>
        <v>-0.87729696713055727</v>
      </c>
      <c r="AM25" s="18">
        <f>(180*(Ventas!AE22*0.9644) - IF(AE25&gt;0,AE25,0))</f>
        <v>11.82244182857143</v>
      </c>
      <c r="AN25" s="18">
        <v>12</v>
      </c>
      <c r="AO25" s="14"/>
      <c r="AP25" s="14"/>
      <c r="AQ25" s="16">
        <f t="shared" si="9"/>
        <v>0.15981600000000001</v>
      </c>
      <c r="AR25" s="37">
        <f>_xlfn.XLOOKUP(C25,[1]Hoja2!$C$6:$C$24,[1]Hoja2!$D$6:$D$24,0,2,1)</f>
        <v>0</v>
      </c>
      <c r="AS25" s="18">
        <f t="shared" si="10"/>
        <v>12</v>
      </c>
      <c r="AT25" s="14"/>
      <c r="AU25" s="37">
        <f>_xlfn.XLOOKUP(D25,[1]Hoja2!$E$6:$E$24,[1]Hoja2!$F$6:$F$24,0,2,1)</f>
        <v>0</v>
      </c>
      <c r="AV25" s="27">
        <v>7.1</v>
      </c>
      <c r="AW25" s="5">
        <v>3016</v>
      </c>
      <c r="AX25" s="14">
        <v>0</v>
      </c>
      <c r="AY25" s="14"/>
      <c r="AZ25" s="16">
        <f>_xlfn.XLOOKUP(C25,[2]PI!$B$15:$B$99,[2]PI!$L$15:$L$99,0,2,1)</f>
        <v>7.1</v>
      </c>
      <c r="BA25" s="16">
        <f>_xlfn.XLOOKUP(D25,[2]PI!$B$15:$B$99,[2]PI!$L$15:$L$99,0,2,1)</f>
        <v>0</v>
      </c>
      <c r="BB25" s="18">
        <f>(AS25-(90*Ventas!AE22*0.9644))</f>
        <v>6.0887790857142861</v>
      </c>
      <c r="BC25" s="20">
        <f>(BB25/(Ventas!AE22*0.9644)/80)</f>
        <v>1.1587921633709202</v>
      </c>
      <c r="BD25" s="14"/>
      <c r="BE25" s="14"/>
      <c r="BF25" s="16"/>
      <c r="BG25" s="16"/>
      <c r="BH25" s="12">
        <f t="shared" si="11"/>
        <v>6.0887790857142861</v>
      </c>
      <c r="BI25" s="19">
        <f t="shared" si="12"/>
        <v>1.0139431429495551</v>
      </c>
      <c r="BJ25" s="1" t="s">
        <v>35</v>
      </c>
      <c r="BK25">
        <f t="shared" si="13"/>
        <v>85.199999999999989</v>
      </c>
      <c r="BL25">
        <f t="shared" si="14"/>
        <v>85.199999999999989</v>
      </c>
    </row>
    <row r="26" spans="1:64" x14ac:dyDescent="0.25">
      <c r="A26" s="1" t="s">
        <v>98</v>
      </c>
      <c r="B26" s="1" t="s">
        <v>97</v>
      </c>
      <c r="C26" s="13" t="s">
        <v>96</v>
      </c>
      <c r="D26" s="15" t="s">
        <v>1511</v>
      </c>
      <c r="E26" s="17"/>
      <c r="F26" s="5">
        <v>321</v>
      </c>
      <c r="G26" s="24">
        <v>20</v>
      </c>
      <c r="H26" s="16"/>
      <c r="I26" s="11">
        <v>46221</v>
      </c>
      <c r="J26" s="4">
        <v>17</v>
      </c>
      <c r="K26" s="18">
        <f>(F26-(0)+0-(J26*Ventas!AE23*1))</f>
        <v>282.26355714285717</v>
      </c>
      <c r="L26" s="20">
        <f>(K26/(Ventas!AE23*1)/80)</f>
        <v>1.5484386657304252</v>
      </c>
      <c r="M26" s="22">
        <f>(G26-(0)+0-(J26*Ventas!AE503*1))</f>
        <v>14.085942857142857</v>
      </c>
      <c r="N26" s="23">
        <f>(M26/(Ventas!AE503*1)/80)</f>
        <v>0.5061268068331144</v>
      </c>
      <c r="O26" s="25">
        <f t="shared" si="0"/>
        <v>0</v>
      </c>
      <c r="P26" s="16"/>
      <c r="Q26" s="12">
        <f t="shared" si="1"/>
        <v>296.34950000000003</v>
      </c>
      <c r="R26" s="5">
        <v>96</v>
      </c>
      <c r="S26" s="24">
        <v>50</v>
      </c>
      <c r="T26" s="26">
        <v>0</v>
      </c>
      <c r="U26" s="18">
        <f t="shared" si="2"/>
        <v>378.26355714285717</v>
      </c>
      <c r="V26" s="22">
        <f t="shared" si="3"/>
        <v>64.085942857142854</v>
      </c>
      <c r="W26" s="25">
        <f t="shared" si="4"/>
        <v>0</v>
      </c>
      <c r="X26" s="18">
        <v>2.1</v>
      </c>
      <c r="Y26" s="22">
        <v>2.1</v>
      </c>
      <c r="Z26" s="14"/>
      <c r="AA26" s="18">
        <v>18</v>
      </c>
      <c r="AB26" s="21">
        <v>5.5659999999999998E-3</v>
      </c>
      <c r="AC26" s="11">
        <v>46313</v>
      </c>
      <c r="AD26" s="4">
        <v>92</v>
      </c>
      <c r="AE26" s="18">
        <f>(IF(K26&gt;0,K26+R26,R26)-(AD26*Ventas!AE23*1.0489))</f>
        <v>158.38001290857147</v>
      </c>
      <c r="AF26" s="20">
        <f>(AE26/(Ventas!AE23*1.0489)/80)</f>
        <v>0.82833399597557145</v>
      </c>
      <c r="AG26" s="22">
        <f>(IF(M26&gt;0,M26+S26,S26)-(AD26*Ventas!AE503*1.0489))</f>
        <v>30.515388891428564</v>
      </c>
      <c r="AH26" s="23">
        <f>(AG26/(Ventas!AE503*1.0489)/80)</f>
        <v>1.0453416187586042</v>
      </c>
      <c r="AI26" s="25">
        <f t="shared" si="5"/>
        <v>0</v>
      </c>
      <c r="AJ26" s="16"/>
      <c r="AK26" s="12">
        <f t="shared" si="6"/>
        <v>188.89540180000003</v>
      </c>
      <c r="AL26" s="19">
        <f t="shared" si="7"/>
        <v>0.85545994882345056</v>
      </c>
      <c r="AM26" s="18">
        <f>(180*(Ventas!AE23*0.9644) - IF(AE26&gt;0,AE26,0))</f>
        <v>237.16919817714285</v>
      </c>
      <c r="AN26" s="42">
        <v>216</v>
      </c>
      <c r="AO26" s="22">
        <f>(180*(Ventas!AE503*0.9644) - IF(AG26&gt;0,AG26,0))</f>
        <v>29.874788022857153</v>
      </c>
      <c r="AP26" s="22">
        <f t="shared" ref="AP26:AP39" si="16">IF(AO26&gt;3,CEILING(AO26,5),0)</f>
        <v>30</v>
      </c>
      <c r="AQ26" s="16">
        <f t="shared" si="9"/>
        <v>1.3692359999999999</v>
      </c>
      <c r="AR26" s="37">
        <f>_xlfn.XLOOKUP(C26,[1]Hoja2!$C$6:$C$24,[1]Hoja2!$D$6:$D$24,0,2,1)</f>
        <v>0</v>
      </c>
      <c r="AS26" s="18">
        <f t="shared" si="10"/>
        <v>374.38001290857147</v>
      </c>
      <c r="AT26" s="22">
        <f>IF(AG26&gt;0,AG26+IF(AP26&gt;0,AP26,0),AP26)</f>
        <v>60.515388891428564</v>
      </c>
      <c r="AU26" s="37">
        <f>_xlfn.XLOOKUP(D26,[1]Hoja2!$E$6:$E$24,[1]Hoja2!$F$6:$F$24,0,2,1)</f>
        <v>0</v>
      </c>
      <c r="AV26" s="27">
        <v>2.2000000000000002</v>
      </c>
      <c r="AW26" s="5">
        <v>3016</v>
      </c>
      <c r="AX26" s="28">
        <v>2.2000000000000002</v>
      </c>
      <c r="AY26" s="14"/>
      <c r="AZ26" s="16">
        <f>_xlfn.XLOOKUP(C26,[2]PI!$B$15:$B$99,[2]PI!$L$15:$L$99,0,2,1)</f>
        <v>2.2000000000000002</v>
      </c>
      <c r="BA26" s="16">
        <f>_xlfn.XLOOKUP(D26,[2]PI!$B$15:$B$99,[2]PI!$L$15:$L$99,0,2,1)</f>
        <v>2.2000000000000002</v>
      </c>
      <c r="BB26" s="18">
        <f>(AS26-(90*Ventas!AE23*0.9644))</f>
        <v>176.60540736571431</v>
      </c>
      <c r="BC26" s="20">
        <f>(BB26/(Ventas!AE23*0.9644)/80)</f>
        <v>1.0045833879485353</v>
      </c>
      <c r="BD26" s="22">
        <f>(AT26-(90*Ventas!AE503*0.9644))</f>
        <v>30.320300434285706</v>
      </c>
      <c r="BE26" s="23">
        <f>(BD26/(Ventas!AE503*0.9644)/80)</f>
        <v>1.1296651121584107</v>
      </c>
      <c r="BF26" s="16"/>
      <c r="BG26" s="16"/>
      <c r="BH26" s="12">
        <f t="shared" si="11"/>
        <v>206.92570780000003</v>
      </c>
      <c r="BI26" s="19">
        <f t="shared" si="12"/>
        <v>1.0202186034747696</v>
      </c>
      <c r="BJ26" s="1" t="s">
        <v>35</v>
      </c>
      <c r="BK26">
        <f t="shared" si="13"/>
        <v>541.20000000000005</v>
      </c>
      <c r="BL26">
        <f t="shared" si="14"/>
        <v>541.20000000000005</v>
      </c>
    </row>
    <row r="27" spans="1:64" x14ac:dyDescent="0.25">
      <c r="A27" s="1"/>
      <c r="B27" s="1" t="s">
        <v>100</v>
      </c>
      <c r="C27" s="13" t="s">
        <v>99</v>
      </c>
      <c r="D27" s="15"/>
      <c r="E27" s="17"/>
      <c r="F27" s="3"/>
      <c r="G27" s="14"/>
      <c r="H27" s="16"/>
      <c r="I27" s="11">
        <v>46221</v>
      </c>
      <c r="J27" s="4">
        <v>17</v>
      </c>
      <c r="K27" s="18">
        <f>(F27-(0)+0-(J27*Ventas!AE24*1))</f>
        <v>0</v>
      </c>
      <c r="L27" s="3"/>
      <c r="M27" s="22">
        <f t="shared" ref="M27:M39" si="17">(G27+0)</f>
        <v>0</v>
      </c>
      <c r="N27" s="14"/>
      <c r="O27" s="25">
        <f t="shared" si="0"/>
        <v>0</v>
      </c>
      <c r="P27" s="16"/>
      <c r="Q27" s="12">
        <f t="shared" si="1"/>
        <v>0</v>
      </c>
      <c r="R27" s="5">
        <v>0</v>
      </c>
      <c r="S27" s="24">
        <v>0</v>
      </c>
      <c r="T27" s="26">
        <v>0</v>
      </c>
      <c r="U27" s="18">
        <f t="shared" si="2"/>
        <v>0</v>
      </c>
      <c r="V27" s="22">
        <f t="shared" si="3"/>
        <v>0</v>
      </c>
      <c r="W27" s="25">
        <f t="shared" si="4"/>
        <v>0</v>
      </c>
      <c r="X27" s="3"/>
      <c r="Y27" s="14"/>
      <c r="Z27" s="14"/>
      <c r="AA27" s="3"/>
      <c r="AB27" s="3"/>
      <c r="AC27" s="11">
        <v>46313</v>
      </c>
      <c r="AD27" s="4">
        <v>92</v>
      </c>
      <c r="AE27" s="18">
        <f>(IF(K27&gt;0,K27+R27,R27)-(AD27*Ventas!AE24*1.0489))</f>
        <v>0</v>
      </c>
      <c r="AF27" s="3"/>
      <c r="AG27" s="22">
        <f t="shared" ref="AG27:AG39" si="18">(G27+0)</f>
        <v>0</v>
      </c>
      <c r="AH27" s="14"/>
      <c r="AI27" s="25">
        <f t="shared" si="5"/>
        <v>0</v>
      </c>
      <c r="AJ27" s="16"/>
      <c r="AK27" s="12">
        <f t="shared" si="6"/>
        <v>0</v>
      </c>
      <c r="AL27" s="19">
        <f t="shared" si="7"/>
        <v>0</v>
      </c>
      <c r="AM27" s="18">
        <f>(180*(Ventas!AE24*0.9644) - IF(AE27&gt;0,AE27,0))</f>
        <v>0</v>
      </c>
      <c r="AN27" s="18">
        <f t="shared" ref="AN27:AN39" si="19">IF(AM27&gt;3,CEILING(AM27,5),0)</f>
        <v>0</v>
      </c>
      <c r="AO27" s="14"/>
      <c r="AP27" s="14">
        <f t="shared" si="16"/>
        <v>0</v>
      </c>
      <c r="AQ27" s="16">
        <f t="shared" si="9"/>
        <v>0</v>
      </c>
      <c r="AR27" s="37">
        <f>_xlfn.XLOOKUP(C27,[1]Hoja2!$C$6:$C$24,[1]Hoja2!$D$6:$D$24,0,2,1)</f>
        <v>0</v>
      </c>
      <c r="AS27" s="18">
        <f t="shared" si="10"/>
        <v>0</v>
      </c>
      <c r="AT27" s="14"/>
      <c r="AU27" s="37">
        <f>_xlfn.XLOOKUP(D27,[1]Hoja2!$E$6:$E$24,[1]Hoja2!$F$6:$F$24,0,2,1)</f>
        <v>0</v>
      </c>
      <c r="AV27" s="27">
        <v>0</v>
      </c>
      <c r="AW27" s="5">
        <v>2998</v>
      </c>
      <c r="AX27" s="14">
        <v>0</v>
      </c>
      <c r="AY27" s="14"/>
      <c r="AZ27" s="16">
        <f>_xlfn.XLOOKUP(C27,[2]PI!$B$15:$B$99,[2]PI!$L$15:$L$99,0,2,1)</f>
        <v>0</v>
      </c>
      <c r="BA27" s="16">
        <f>_xlfn.XLOOKUP(D27,[2]PI!$B$15:$B$99,[2]PI!$L$15:$L$99,0,2,1)</f>
        <v>0</v>
      </c>
      <c r="BB27" s="3"/>
      <c r="BC27" s="3"/>
      <c r="BD27" s="14"/>
      <c r="BE27" s="14"/>
      <c r="BF27" s="16"/>
      <c r="BG27" s="16"/>
      <c r="BH27" s="12">
        <f t="shared" si="11"/>
        <v>0</v>
      </c>
      <c r="BI27" s="19">
        <f t="shared" si="12"/>
        <v>0</v>
      </c>
      <c r="BJ27" s="1" t="s">
        <v>51</v>
      </c>
      <c r="BK27">
        <f t="shared" si="13"/>
        <v>0</v>
      </c>
      <c r="BL27">
        <f t="shared" si="14"/>
        <v>0</v>
      </c>
    </row>
    <row r="28" spans="1:64" x14ac:dyDescent="0.25">
      <c r="A28" s="1" t="s">
        <v>103</v>
      </c>
      <c r="B28" s="1" t="s">
        <v>102</v>
      </c>
      <c r="C28" s="13" t="s">
        <v>101</v>
      </c>
      <c r="D28" s="15"/>
      <c r="E28" s="17"/>
      <c r="F28" s="5">
        <v>1</v>
      </c>
      <c r="G28" s="14"/>
      <c r="H28" s="16"/>
      <c r="I28" s="11">
        <v>46221</v>
      </c>
      <c r="J28" s="4">
        <v>17</v>
      </c>
      <c r="K28" s="18">
        <f>(F28-(0)+0-(J28*Ventas!AE25*1))</f>
        <v>1</v>
      </c>
      <c r="L28" s="3"/>
      <c r="M28" s="22">
        <f t="shared" si="17"/>
        <v>0</v>
      </c>
      <c r="N28" s="14"/>
      <c r="O28" s="25">
        <f t="shared" si="0"/>
        <v>0</v>
      </c>
      <c r="P28" s="16"/>
      <c r="Q28" s="12">
        <f t="shared" si="1"/>
        <v>1</v>
      </c>
      <c r="R28" s="5">
        <v>0</v>
      </c>
      <c r="S28" s="24">
        <v>0</v>
      </c>
      <c r="T28" s="26">
        <v>0</v>
      </c>
      <c r="U28" s="18">
        <f t="shared" si="2"/>
        <v>1</v>
      </c>
      <c r="V28" s="22">
        <f t="shared" si="3"/>
        <v>0</v>
      </c>
      <c r="W28" s="25">
        <f t="shared" si="4"/>
        <v>0</v>
      </c>
      <c r="X28" s="3"/>
      <c r="Y28" s="14"/>
      <c r="Z28" s="14"/>
      <c r="AA28" s="18">
        <v>10</v>
      </c>
      <c r="AB28" s="21">
        <v>6.3489999999999996E-3</v>
      </c>
      <c r="AC28" s="11">
        <v>46313</v>
      </c>
      <c r="AD28" s="4">
        <v>92</v>
      </c>
      <c r="AE28" s="18">
        <f>(IF(K28&gt;0,K28+R28,R28)-(AD28*Ventas!AE25*1.0489))</f>
        <v>1</v>
      </c>
      <c r="AF28" s="3"/>
      <c r="AG28" s="22">
        <f t="shared" si="18"/>
        <v>0</v>
      </c>
      <c r="AH28" s="14"/>
      <c r="AI28" s="25">
        <f t="shared" si="5"/>
        <v>0</v>
      </c>
      <c r="AJ28" s="16"/>
      <c r="AK28" s="12">
        <f t="shared" si="6"/>
        <v>1</v>
      </c>
      <c r="AL28" s="19">
        <f t="shared" si="7"/>
        <v>0</v>
      </c>
      <c r="AM28" s="18">
        <f>(180*(Ventas!AE25*0.9644) - IF(AE28&gt;0,AE28,0))</f>
        <v>-1</v>
      </c>
      <c r="AN28" s="18">
        <f t="shared" si="19"/>
        <v>0</v>
      </c>
      <c r="AO28" s="14"/>
      <c r="AP28" s="14">
        <f t="shared" si="16"/>
        <v>0</v>
      </c>
      <c r="AQ28" s="16">
        <f t="shared" si="9"/>
        <v>0</v>
      </c>
      <c r="AR28" s="37">
        <f>_xlfn.XLOOKUP(C28,[1]Hoja2!$C$6:$C$24,[1]Hoja2!$D$6:$D$24,0,2,1)</f>
        <v>0</v>
      </c>
      <c r="AS28" s="18">
        <f t="shared" si="10"/>
        <v>1</v>
      </c>
      <c r="AT28" s="14"/>
      <c r="AU28" s="37">
        <f>_xlfn.XLOOKUP(D28,[1]Hoja2!$E$6:$E$24,[1]Hoja2!$F$6:$F$24,0,2,1)</f>
        <v>0</v>
      </c>
      <c r="AV28" s="27">
        <v>0</v>
      </c>
      <c r="AW28" s="5">
        <v>3011</v>
      </c>
      <c r="AX28" s="14">
        <v>0</v>
      </c>
      <c r="AY28" s="14"/>
      <c r="AZ28" s="16">
        <f>_xlfn.XLOOKUP(C28,[2]PI!$B$15:$B$99,[2]PI!$L$15:$L$99,0,2,1)</f>
        <v>0</v>
      </c>
      <c r="BA28" s="16">
        <f>_xlfn.XLOOKUP(D28,[2]PI!$B$15:$B$99,[2]PI!$L$15:$L$99,0,2,1)</f>
        <v>0</v>
      </c>
      <c r="BB28" s="3"/>
      <c r="BC28" s="3"/>
      <c r="BD28" s="14"/>
      <c r="BE28" s="14"/>
      <c r="BF28" s="16"/>
      <c r="BG28" s="16"/>
      <c r="BH28" s="12">
        <f t="shared" si="11"/>
        <v>0</v>
      </c>
      <c r="BI28" s="19">
        <f t="shared" si="12"/>
        <v>0</v>
      </c>
      <c r="BJ28" s="1" t="s">
        <v>51</v>
      </c>
      <c r="BK28">
        <f t="shared" si="13"/>
        <v>0</v>
      </c>
      <c r="BL28">
        <f t="shared" si="14"/>
        <v>0</v>
      </c>
    </row>
    <row r="29" spans="1:64" x14ac:dyDescent="0.25">
      <c r="A29" s="1" t="s">
        <v>106</v>
      </c>
      <c r="B29" s="1" t="s">
        <v>105</v>
      </c>
      <c r="C29" s="13" t="s">
        <v>104</v>
      </c>
      <c r="D29" s="15"/>
      <c r="E29" s="17"/>
      <c r="F29" s="3"/>
      <c r="G29" s="14"/>
      <c r="H29" s="16"/>
      <c r="I29" s="11">
        <v>46221</v>
      </c>
      <c r="J29" s="4">
        <v>17</v>
      </c>
      <c r="K29" s="18">
        <f>(F29-(0)+0-(J29*Ventas!AE26*1))</f>
        <v>0</v>
      </c>
      <c r="L29" s="3"/>
      <c r="M29" s="22">
        <f t="shared" si="17"/>
        <v>0</v>
      </c>
      <c r="N29" s="14"/>
      <c r="O29" s="25">
        <f t="shared" si="0"/>
        <v>0</v>
      </c>
      <c r="P29" s="16"/>
      <c r="Q29" s="12">
        <f t="shared" si="1"/>
        <v>0</v>
      </c>
      <c r="R29" s="5">
        <v>0</v>
      </c>
      <c r="S29" s="24">
        <v>0</v>
      </c>
      <c r="T29" s="26">
        <v>0</v>
      </c>
      <c r="U29" s="18">
        <f t="shared" si="2"/>
        <v>0</v>
      </c>
      <c r="V29" s="22">
        <f t="shared" si="3"/>
        <v>0</v>
      </c>
      <c r="W29" s="25">
        <f t="shared" si="4"/>
        <v>0</v>
      </c>
      <c r="X29" s="3"/>
      <c r="Y29" s="14"/>
      <c r="Z29" s="14"/>
      <c r="AA29" s="18">
        <v>10</v>
      </c>
      <c r="AB29" s="21">
        <v>6.3489999999999996E-3</v>
      </c>
      <c r="AC29" s="11">
        <v>46313</v>
      </c>
      <c r="AD29" s="4">
        <v>92</v>
      </c>
      <c r="AE29" s="18">
        <f>(IF(K29&gt;0,K29+R29,R29)-(AD29*Ventas!AE26*1.0489))</f>
        <v>0</v>
      </c>
      <c r="AF29" s="3"/>
      <c r="AG29" s="22">
        <f t="shared" si="18"/>
        <v>0</v>
      </c>
      <c r="AH29" s="14"/>
      <c r="AI29" s="25">
        <f t="shared" si="5"/>
        <v>0</v>
      </c>
      <c r="AJ29" s="16"/>
      <c r="AK29" s="12">
        <f t="shared" si="6"/>
        <v>0</v>
      </c>
      <c r="AL29" s="19">
        <f t="shared" si="7"/>
        <v>0</v>
      </c>
      <c r="AM29" s="18">
        <f>(180*(Ventas!AE26*0.9644) - IF(AE29&gt;0,AE29,0))</f>
        <v>0</v>
      </c>
      <c r="AN29" s="18">
        <f t="shared" si="19"/>
        <v>0</v>
      </c>
      <c r="AO29" s="14"/>
      <c r="AP29" s="14">
        <f t="shared" si="16"/>
        <v>0</v>
      </c>
      <c r="AQ29" s="16">
        <f t="shared" si="9"/>
        <v>0</v>
      </c>
      <c r="AR29" s="37">
        <f>_xlfn.XLOOKUP(C29,[1]Hoja2!$C$6:$C$24,[1]Hoja2!$D$6:$D$24,0,2,1)</f>
        <v>0</v>
      </c>
      <c r="AS29" s="18">
        <f t="shared" si="10"/>
        <v>0</v>
      </c>
      <c r="AT29" s="14"/>
      <c r="AU29" s="37">
        <f>_xlfn.XLOOKUP(D29,[1]Hoja2!$E$6:$E$24,[1]Hoja2!$F$6:$F$24,0,2,1)</f>
        <v>0</v>
      </c>
      <c r="AV29" s="27">
        <v>0</v>
      </c>
      <c r="AW29" s="5">
        <v>3002</v>
      </c>
      <c r="AX29" s="14">
        <v>0</v>
      </c>
      <c r="AY29" s="14"/>
      <c r="AZ29" s="16">
        <f>_xlfn.XLOOKUP(C29,[2]PI!$B$15:$B$99,[2]PI!$L$15:$L$99,0,2,1)</f>
        <v>0</v>
      </c>
      <c r="BA29" s="16">
        <f>_xlfn.XLOOKUP(D29,[2]PI!$B$15:$B$99,[2]PI!$L$15:$L$99,0,2,1)</f>
        <v>0</v>
      </c>
      <c r="BB29" s="3"/>
      <c r="BC29" s="3"/>
      <c r="BD29" s="14"/>
      <c r="BE29" s="14"/>
      <c r="BF29" s="16"/>
      <c r="BG29" s="16"/>
      <c r="BH29" s="12">
        <f t="shared" si="11"/>
        <v>0</v>
      </c>
      <c r="BI29" s="19">
        <f t="shared" si="12"/>
        <v>0</v>
      </c>
      <c r="BJ29" s="1" t="s">
        <v>51</v>
      </c>
      <c r="BK29">
        <f t="shared" si="13"/>
        <v>0</v>
      </c>
      <c r="BL29">
        <f t="shared" si="14"/>
        <v>0</v>
      </c>
    </row>
    <row r="30" spans="1:64" x14ac:dyDescent="0.25">
      <c r="A30" s="1" t="s">
        <v>109</v>
      </c>
      <c r="B30" s="1" t="s">
        <v>108</v>
      </c>
      <c r="C30" s="13" t="s">
        <v>107</v>
      </c>
      <c r="D30" s="15"/>
      <c r="E30" s="17"/>
      <c r="F30" s="3"/>
      <c r="G30" s="14"/>
      <c r="H30" s="16"/>
      <c r="I30" s="11">
        <v>46221</v>
      </c>
      <c r="J30" s="4">
        <v>17</v>
      </c>
      <c r="K30" s="18">
        <f>(F30-(0)+0-(J30*Ventas!AE27*1))</f>
        <v>0</v>
      </c>
      <c r="L30" s="3"/>
      <c r="M30" s="22">
        <f t="shared" si="17"/>
        <v>0</v>
      </c>
      <c r="N30" s="14"/>
      <c r="O30" s="25">
        <f t="shared" si="0"/>
        <v>0</v>
      </c>
      <c r="P30" s="16"/>
      <c r="Q30" s="12">
        <f t="shared" si="1"/>
        <v>0</v>
      </c>
      <c r="R30" s="5">
        <v>0</v>
      </c>
      <c r="S30" s="24">
        <v>0</v>
      </c>
      <c r="T30" s="26">
        <v>0</v>
      </c>
      <c r="U30" s="18">
        <f t="shared" si="2"/>
        <v>0</v>
      </c>
      <c r="V30" s="22">
        <f t="shared" si="3"/>
        <v>0</v>
      </c>
      <c r="W30" s="25">
        <f t="shared" si="4"/>
        <v>0</v>
      </c>
      <c r="X30" s="3"/>
      <c r="Y30" s="14"/>
      <c r="Z30" s="14"/>
      <c r="AA30" s="18">
        <v>10</v>
      </c>
      <c r="AB30" s="21">
        <v>6.3489999999999996E-3</v>
      </c>
      <c r="AC30" s="11">
        <v>46313</v>
      </c>
      <c r="AD30" s="4">
        <v>92</v>
      </c>
      <c r="AE30" s="18">
        <f>(IF(K30&gt;0,K30+R30,R30)-(AD30*Ventas!AE27*1.0489))</f>
        <v>0</v>
      </c>
      <c r="AF30" s="3"/>
      <c r="AG30" s="22">
        <f t="shared" si="18"/>
        <v>0</v>
      </c>
      <c r="AH30" s="14"/>
      <c r="AI30" s="25">
        <f t="shared" si="5"/>
        <v>0</v>
      </c>
      <c r="AJ30" s="16"/>
      <c r="AK30" s="12">
        <f t="shared" si="6"/>
        <v>0</v>
      </c>
      <c r="AL30" s="19">
        <f t="shared" si="7"/>
        <v>0</v>
      </c>
      <c r="AM30" s="18">
        <f>(180*(Ventas!AE27*0.9644) - IF(AE30&gt;0,AE30,0))</f>
        <v>0</v>
      </c>
      <c r="AN30" s="18">
        <f t="shared" si="19"/>
        <v>0</v>
      </c>
      <c r="AO30" s="14"/>
      <c r="AP30" s="14">
        <f t="shared" si="16"/>
        <v>0</v>
      </c>
      <c r="AQ30" s="16">
        <f t="shared" si="9"/>
        <v>0</v>
      </c>
      <c r="AR30" s="37">
        <f>_xlfn.XLOOKUP(C30,[1]Hoja2!$C$6:$C$24,[1]Hoja2!$D$6:$D$24,0,2,1)</f>
        <v>0</v>
      </c>
      <c r="AS30" s="18">
        <f t="shared" si="10"/>
        <v>0</v>
      </c>
      <c r="AT30" s="14"/>
      <c r="AU30" s="37">
        <f>_xlfn.XLOOKUP(D30,[1]Hoja2!$E$6:$E$24,[1]Hoja2!$F$6:$F$24,0,2,1)</f>
        <v>0</v>
      </c>
      <c r="AV30" s="27">
        <v>0</v>
      </c>
      <c r="AW30" s="5">
        <v>3002</v>
      </c>
      <c r="AX30" s="14">
        <v>0</v>
      </c>
      <c r="AY30" s="14"/>
      <c r="AZ30" s="16">
        <f>_xlfn.XLOOKUP(C30,[2]PI!$B$15:$B$99,[2]PI!$L$15:$L$99,0,2,1)</f>
        <v>0</v>
      </c>
      <c r="BA30" s="16">
        <f>_xlfn.XLOOKUP(D30,[2]PI!$B$15:$B$99,[2]PI!$L$15:$L$99,0,2,1)</f>
        <v>0</v>
      </c>
      <c r="BB30" s="3"/>
      <c r="BC30" s="3"/>
      <c r="BD30" s="14"/>
      <c r="BE30" s="14"/>
      <c r="BF30" s="16"/>
      <c r="BG30" s="16"/>
      <c r="BH30" s="12">
        <f t="shared" si="11"/>
        <v>0</v>
      </c>
      <c r="BI30" s="19">
        <f t="shared" si="12"/>
        <v>0</v>
      </c>
      <c r="BJ30" s="1" t="s">
        <v>51</v>
      </c>
      <c r="BK30">
        <f t="shared" si="13"/>
        <v>0</v>
      </c>
      <c r="BL30">
        <f t="shared" si="14"/>
        <v>0</v>
      </c>
    </row>
    <row r="31" spans="1:64" x14ac:dyDescent="0.25">
      <c r="A31" s="1" t="s">
        <v>112</v>
      </c>
      <c r="B31" s="1" t="s">
        <v>111</v>
      </c>
      <c r="C31" s="13" t="s">
        <v>110</v>
      </c>
      <c r="D31" s="15"/>
      <c r="E31" s="17"/>
      <c r="F31" s="3"/>
      <c r="G31" s="14"/>
      <c r="H31" s="16"/>
      <c r="I31" s="11">
        <v>46221</v>
      </c>
      <c r="J31" s="4">
        <v>17</v>
      </c>
      <c r="K31" s="18">
        <f>(F31-(0)+0-(J31*Ventas!AE28*1))</f>
        <v>0</v>
      </c>
      <c r="L31" s="3"/>
      <c r="M31" s="22">
        <f t="shared" si="17"/>
        <v>0</v>
      </c>
      <c r="N31" s="14"/>
      <c r="O31" s="25">
        <f t="shared" si="0"/>
        <v>0</v>
      </c>
      <c r="P31" s="16"/>
      <c r="Q31" s="12">
        <f t="shared" si="1"/>
        <v>0</v>
      </c>
      <c r="R31" s="5">
        <v>0</v>
      </c>
      <c r="S31" s="24">
        <v>0</v>
      </c>
      <c r="T31" s="26">
        <v>0</v>
      </c>
      <c r="U31" s="18">
        <f t="shared" si="2"/>
        <v>0</v>
      </c>
      <c r="V31" s="22">
        <f t="shared" si="3"/>
        <v>0</v>
      </c>
      <c r="W31" s="25">
        <f t="shared" si="4"/>
        <v>0</v>
      </c>
      <c r="X31" s="3"/>
      <c r="Y31" s="14"/>
      <c r="Z31" s="14"/>
      <c r="AA31" s="18">
        <v>10</v>
      </c>
      <c r="AB31" s="21">
        <v>6.3489999999999996E-3</v>
      </c>
      <c r="AC31" s="11">
        <v>46313</v>
      </c>
      <c r="AD31" s="4">
        <v>92</v>
      </c>
      <c r="AE31" s="18">
        <f>(IF(K31&gt;0,K31+R31,R31)-(AD31*Ventas!AE28*1.0489))</f>
        <v>0</v>
      </c>
      <c r="AF31" s="3"/>
      <c r="AG31" s="22">
        <f t="shared" si="18"/>
        <v>0</v>
      </c>
      <c r="AH31" s="14"/>
      <c r="AI31" s="25">
        <f t="shared" si="5"/>
        <v>0</v>
      </c>
      <c r="AJ31" s="16"/>
      <c r="AK31" s="12">
        <f t="shared" si="6"/>
        <v>0</v>
      </c>
      <c r="AL31" s="19">
        <f t="shared" si="7"/>
        <v>0</v>
      </c>
      <c r="AM31" s="18">
        <f>(180*(Ventas!AE28*0.9644) - IF(AE31&gt;0,AE31,0))</f>
        <v>0</v>
      </c>
      <c r="AN31" s="18">
        <f t="shared" si="19"/>
        <v>0</v>
      </c>
      <c r="AO31" s="14"/>
      <c r="AP31" s="14">
        <f t="shared" si="16"/>
        <v>0</v>
      </c>
      <c r="AQ31" s="16">
        <f t="shared" si="9"/>
        <v>0</v>
      </c>
      <c r="AR31" s="37">
        <f>_xlfn.XLOOKUP(C31,[1]Hoja2!$C$6:$C$24,[1]Hoja2!$D$6:$D$24,0,2,1)</f>
        <v>0</v>
      </c>
      <c r="AS31" s="18">
        <f t="shared" si="10"/>
        <v>0</v>
      </c>
      <c r="AT31" s="14"/>
      <c r="AU31" s="37">
        <f>_xlfn.XLOOKUP(D31,[1]Hoja2!$E$6:$E$24,[1]Hoja2!$F$6:$F$24,0,2,1)</f>
        <v>0</v>
      </c>
      <c r="AV31" s="27">
        <v>0</v>
      </c>
      <c r="AW31" s="5">
        <v>3011</v>
      </c>
      <c r="AX31" s="14">
        <v>0</v>
      </c>
      <c r="AY31" s="14"/>
      <c r="AZ31" s="16">
        <f>_xlfn.XLOOKUP(C31,[2]PI!$B$15:$B$99,[2]PI!$L$15:$L$99,0,2,1)</f>
        <v>0</v>
      </c>
      <c r="BA31" s="16">
        <f>_xlfn.XLOOKUP(D31,[2]PI!$B$15:$B$99,[2]PI!$L$15:$L$99,0,2,1)</f>
        <v>0</v>
      </c>
      <c r="BB31" s="3"/>
      <c r="BC31" s="3"/>
      <c r="BD31" s="14"/>
      <c r="BE31" s="14"/>
      <c r="BF31" s="16"/>
      <c r="BG31" s="16"/>
      <c r="BH31" s="12">
        <f t="shared" si="11"/>
        <v>0</v>
      </c>
      <c r="BI31" s="19">
        <f t="shared" si="12"/>
        <v>0</v>
      </c>
      <c r="BJ31" s="1" t="s">
        <v>51</v>
      </c>
      <c r="BK31">
        <f t="shared" si="13"/>
        <v>0</v>
      </c>
      <c r="BL31">
        <f t="shared" si="14"/>
        <v>0</v>
      </c>
    </row>
    <row r="32" spans="1:64" x14ac:dyDescent="0.25">
      <c r="A32" s="1" t="s">
        <v>115</v>
      </c>
      <c r="B32" s="1" t="s">
        <v>114</v>
      </c>
      <c r="C32" s="13" t="s">
        <v>113</v>
      </c>
      <c r="D32" s="15"/>
      <c r="E32" s="17"/>
      <c r="F32" s="3"/>
      <c r="G32" s="14"/>
      <c r="H32" s="16"/>
      <c r="I32" s="11">
        <v>46221</v>
      </c>
      <c r="J32" s="4">
        <v>17</v>
      </c>
      <c r="K32" s="18">
        <f>(F32-(0)+0-(J32*Ventas!AE29*1))</f>
        <v>0</v>
      </c>
      <c r="L32" s="3"/>
      <c r="M32" s="22">
        <f t="shared" si="17"/>
        <v>0</v>
      </c>
      <c r="N32" s="14"/>
      <c r="O32" s="25">
        <f t="shared" si="0"/>
        <v>0</v>
      </c>
      <c r="P32" s="16"/>
      <c r="Q32" s="12">
        <f t="shared" si="1"/>
        <v>0</v>
      </c>
      <c r="R32" s="5">
        <v>0</v>
      </c>
      <c r="S32" s="24">
        <v>0</v>
      </c>
      <c r="T32" s="26">
        <v>0</v>
      </c>
      <c r="U32" s="18">
        <f t="shared" si="2"/>
        <v>0</v>
      </c>
      <c r="V32" s="22">
        <f t="shared" si="3"/>
        <v>0</v>
      </c>
      <c r="W32" s="25">
        <f t="shared" si="4"/>
        <v>0</v>
      </c>
      <c r="X32" s="3"/>
      <c r="Y32" s="14"/>
      <c r="Z32" s="14"/>
      <c r="AA32" s="18">
        <v>10</v>
      </c>
      <c r="AB32" s="21">
        <v>6.3489999999999996E-3</v>
      </c>
      <c r="AC32" s="11">
        <v>46313</v>
      </c>
      <c r="AD32" s="4">
        <v>92</v>
      </c>
      <c r="AE32" s="18">
        <f>(IF(K32&gt;0,K32+R32,R32)-(AD32*Ventas!AE29*1.0489))</f>
        <v>0</v>
      </c>
      <c r="AF32" s="3"/>
      <c r="AG32" s="22">
        <f t="shared" si="18"/>
        <v>0</v>
      </c>
      <c r="AH32" s="14"/>
      <c r="AI32" s="25">
        <f t="shared" si="5"/>
        <v>0</v>
      </c>
      <c r="AJ32" s="16"/>
      <c r="AK32" s="12">
        <f t="shared" si="6"/>
        <v>0</v>
      </c>
      <c r="AL32" s="19">
        <f t="shared" si="7"/>
        <v>0</v>
      </c>
      <c r="AM32" s="18">
        <f>(180*(Ventas!AE29*0.9644) - IF(AE32&gt;0,AE32,0))</f>
        <v>0</v>
      </c>
      <c r="AN32" s="18">
        <f t="shared" si="19"/>
        <v>0</v>
      </c>
      <c r="AO32" s="14"/>
      <c r="AP32" s="14">
        <f t="shared" si="16"/>
        <v>0</v>
      </c>
      <c r="AQ32" s="16">
        <f t="shared" si="9"/>
        <v>0</v>
      </c>
      <c r="AR32" s="37">
        <f>_xlfn.XLOOKUP(C32,[1]Hoja2!$C$6:$C$24,[1]Hoja2!$D$6:$D$24,0,2,1)</f>
        <v>0</v>
      </c>
      <c r="AS32" s="18">
        <f t="shared" si="10"/>
        <v>0</v>
      </c>
      <c r="AT32" s="14"/>
      <c r="AU32" s="37">
        <f>_xlfn.XLOOKUP(D32,[1]Hoja2!$E$6:$E$24,[1]Hoja2!$F$6:$F$24,0,2,1)</f>
        <v>0</v>
      </c>
      <c r="AV32" s="27">
        <v>0</v>
      </c>
      <c r="AW32" s="5">
        <v>2998</v>
      </c>
      <c r="AX32" s="14">
        <v>0</v>
      </c>
      <c r="AY32" s="14"/>
      <c r="AZ32" s="16">
        <f>_xlfn.XLOOKUP(C32,[2]PI!$B$15:$B$99,[2]PI!$L$15:$L$99,0,2,1)</f>
        <v>0</v>
      </c>
      <c r="BA32" s="16">
        <f>_xlfn.XLOOKUP(D32,[2]PI!$B$15:$B$99,[2]PI!$L$15:$L$99,0,2,1)</f>
        <v>0</v>
      </c>
      <c r="BB32" s="3"/>
      <c r="BC32" s="3"/>
      <c r="BD32" s="14"/>
      <c r="BE32" s="14"/>
      <c r="BF32" s="16"/>
      <c r="BG32" s="16"/>
      <c r="BH32" s="12">
        <f t="shared" si="11"/>
        <v>0</v>
      </c>
      <c r="BI32" s="19">
        <f t="shared" si="12"/>
        <v>0</v>
      </c>
      <c r="BJ32" s="1" t="s">
        <v>35</v>
      </c>
      <c r="BK32">
        <f t="shared" si="13"/>
        <v>0</v>
      </c>
      <c r="BL32">
        <f t="shared" si="14"/>
        <v>0</v>
      </c>
    </row>
    <row r="33" spans="1:64" x14ac:dyDescent="0.25">
      <c r="A33" s="1" t="s">
        <v>118</v>
      </c>
      <c r="B33" s="1" t="s">
        <v>117</v>
      </c>
      <c r="C33" s="13" t="s">
        <v>116</v>
      </c>
      <c r="D33" s="15"/>
      <c r="E33" s="17"/>
      <c r="F33" s="3"/>
      <c r="G33" s="14"/>
      <c r="H33" s="16"/>
      <c r="I33" s="11">
        <v>46221</v>
      </c>
      <c r="J33" s="4">
        <v>17</v>
      </c>
      <c r="K33" s="18">
        <f>(F33-(0)+0-(J33*Ventas!AE30*1))</f>
        <v>0</v>
      </c>
      <c r="L33" s="3"/>
      <c r="M33" s="22">
        <f t="shared" si="17"/>
        <v>0</v>
      </c>
      <c r="N33" s="14"/>
      <c r="O33" s="25">
        <f t="shared" si="0"/>
        <v>0</v>
      </c>
      <c r="P33" s="16"/>
      <c r="Q33" s="12">
        <f t="shared" si="1"/>
        <v>0</v>
      </c>
      <c r="R33" s="5">
        <v>0</v>
      </c>
      <c r="S33" s="24">
        <v>0</v>
      </c>
      <c r="T33" s="26">
        <v>0</v>
      </c>
      <c r="U33" s="18">
        <f t="shared" si="2"/>
        <v>0</v>
      </c>
      <c r="V33" s="22">
        <f t="shared" si="3"/>
        <v>0</v>
      </c>
      <c r="W33" s="25">
        <f t="shared" si="4"/>
        <v>0</v>
      </c>
      <c r="X33" s="3"/>
      <c r="Y33" s="14"/>
      <c r="Z33" s="14"/>
      <c r="AA33" s="18">
        <v>10</v>
      </c>
      <c r="AB33" s="21">
        <v>6.3489999999999996E-3</v>
      </c>
      <c r="AC33" s="11">
        <v>46313</v>
      </c>
      <c r="AD33" s="4">
        <v>92</v>
      </c>
      <c r="AE33" s="18">
        <f>(IF(K33&gt;0,K33+R33,R33)-(AD33*Ventas!AE30*1.0489))</f>
        <v>0</v>
      </c>
      <c r="AF33" s="3"/>
      <c r="AG33" s="22">
        <f t="shared" si="18"/>
        <v>0</v>
      </c>
      <c r="AH33" s="14"/>
      <c r="AI33" s="25">
        <f t="shared" si="5"/>
        <v>0</v>
      </c>
      <c r="AJ33" s="16"/>
      <c r="AK33" s="12">
        <f t="shared" si="6"/>
        <v>0</v>
      </c>
      <c r="AL33" s="19">
        <f t="shared" si="7"/>
        <v>0</v>
      </c>
      <c r="AM33" s="18">
        <f>(180*(Ventas!AE30*0.9644) - IF(AE33&gt;0,AE33,0))</f>
        <v>0</v>
      </c>
      <c r="AN33" s="18">
        <f t="shared" si="19"/>
        <v>0</v>
      </c>
      <c r="AO33" s="14"/>
      <c r="AP33" s="14">
        <f t="shared" si="16"/>
        <v>0</v>
      </c>
      <c r="AQ33" s="16">
        <f t="shared" si="9"/>
        <v>0</v>
      </c>
      <c r="AR33" s="37">
        <f>_xlfn.XLOOKUP(C33,[1]Hoja2!$C$6:$C$24,[1]Hoja2!$D$6:$D$24,0,2,1)</f>
        <v>0</v>
      </c>
      <c r="AS33" s="18">
        <f t="shared" si="10"/>
        <v>0</v>
      </c>
      <c r="AT33" s="14"/>
      <c r="AU33" s="37">
        <f>_xlfn.XLOOKUP(D33,[1]Hoja2!$E$6:$E$24,[1]Hoja2!$F$6:$F$24,0,2,1)</f>
        <v>0</v>
      </c>
      <c r="AV33" s="27">
        <v>0</v>
      </c>
      <c r="AW33" s="5">
        <v>2998</v>
      </c>
      <c r="AX33" s="14">
        <v>0</v>
      </c>
      <c r="AY33" s="14"/>
      <c r="AZ33" s="16">
        <f>_xlfn.XLOOKUP(C33,[2]PI!$B$15:$B$99,[2]PI!$L$15:$L$99,0,2,1)</f>
        <v>0</v>
      </c>
      <c r="BA33" s="16">
        <f>_xlfn.XLOOKUP(D33,[2]PI!$B$15:$B$99,[2]PI!$L$15:$L$99,0,2,1)</f>
        <v>0</v>
      </c>
      <c r="BB33" s="3"/>
      <c r="BC33" s="3"/>
      <c r="BD33" s="14"/>
      <c r="BE33" s="14"/>
      <c r="BF33" s="16"/>
      <c r="BG33" s="16"/>
      <c r="BH33" s="12">
        <f t="shared" si="11"/>
        <v>0</v>
      </c>
      <c r="BI33" s="19">
        <f t="shared" si="12"/>
        <v>0</v>
      </c>
      <c r="BJ33" s="1" t="s">
        <v>35</v>
      </c>
      <c r="BK33">
        <f t="shared" si="13"/>
        <v>0</v>
      </c>
      <c r="BL33">
        <f t="shared" si="14"/>
        <v>0</v>
      </c>
    </row>
    <row r="34" spans="1:64" x14ac:dyDescent="0.25">
      <c r="A34" s="1" t="s">
        <v>121</v>
      </c>
      <c r="B34" s="1" t="s">
        <v>120</v>
      </c>
      <c r="C34" s="13" t="s">
        <v>119</v>
      </c>
      <c r="D34" s="15"/>
      <c r="E34" s="17"/>
      <c r="F34" s="3"/>
      <c r="G34" s="14"/>
      <c r="H34" s="16"/>
      <c r="I34" s="11">
        <v>46221</v>
      </c>
      <c r="J34" s="4">
        <v>17</v>
      </c>
      <c r="K34" s="18">
        <f>(F34-(0)+0-(J34*Ventas!AE31*1))</f>
        <v>0</v>
      </c>
      <c r="L34" s="3"/>
      <c r="M34" s="22">
        <f t="shared" si="17"/>
        <v>0</v>
      </c>
      <c r="N34" s="14"/>
      <c r="O34" s="25">
        <f t="shared" si="0"/>
        <v>0</v>
      </c>
      <c r="P34" s="16"/>
      <c r="Q34" s="12">
        <f t="shared" si="1"/>
        <v>0</v>
      </c>
      <c r="R34" s="5">
        <v>0</v>
      </c>
      <c r="S34" s="24">
        <v>0</v>
      </c>
      <c r="T34" s="26">
        <v>0</v>
      </c>
      <c r="U34" s="18">
        <f t="shared" si="2"/>
        <v>0</v>
      </c>
      <c r="V34" s="22">
        <f t="shared" si="3"/>
        <v>0</v>
      </c>
      <c r="W34" s="25">
        <f t="shared" si="4"/>
        <v>0</v>
      </c>
      <c r="X34" s="3"/>
      <c r="Y34" s="14"/>
      <c r="Z34" s="14"/>
      <c r="AA34" s="18">
        <v>10</v>
      </c>
      <c r="AB34" s="21">
        <v>6.3489999999999996E-3</v>
      </c>
      <c r="AC34" s="11">
        <v>46313</v>
      </c>
      <c r="AD34" s="4">
        <v>92</v>
      </c>
      <c r="AE34" s="18">
        <f>(IF(K34&gt;0,K34+R34,R34)-(AD34*Ventas!AE31*1.0489))</f>
        <v>0</v>
      </c>
      <c r="AF34" s="3"/>
      <c r="AG34" s="22">
        <f t="shared" si="18"/>
        <v>0</v>
      </c>
      <c r="AH34" s="14"/>
      <c r="AI34" s="25">
        <f t="shared" si="5"/>
        <v>0</v>
      </c>
      <c r="AJ34" s="16"/>
      <c r="AK34" s="12">
        <f t="shared" si="6"/>
        <v>0</v>
      </c>
      <c r="AL34" s="19">
        <f t="shared" si="7"/>
        <v>0</v>
      </c>
      <c r="AM34" s="18">
        <f>(180*(Ventas!AE31*0.9644) - IF(AE34&gt;0,AE34,0))</f>
        <v>0</v>
      </c>
      <c r="AN34" s="18">
        <f t="shared" si="19"/>
        <v>0</v>
      </c>
      <c r="AO34" s="14"/>
      <c r="AP34" s="14">
        <f t="shared" si="16"/>
        <v>0</v>
      </c>
      <c r="AQ34" s="16">
        <f t="shared" si="9"/>
        <v>0</v>
      </c>
      <c r="AR34" s="37">
        <f>_xlfn.XLOOKUP(C34,[1]Hoja2!$C$6:$C$24,[1]Hoja2!$D$6:$D$24,0,2,1)</f>
        <v>0</v>
      </c>
      <c r="AS34" s="18">
        <f t="shared" si="10"/>
        <v>0</v>
      </c>
      <c r="AT34" s="14"/>
      <c r="AU34" s="37">
        <f>_xlfn.XLOOKUP(D34,[1]Hoja2!$E$6:$E$24,[1]Hoja2!$F$6:$F$24,0,2,1)</f>
        <v>0</v>
      </c>
      <c r="AV34" s="27">
        <v>0</v>
      </c>
      <c r="AW34" s="5">
        <v>2998</v>
      </c>
      <c r="AX34" s="14">
        <v>0</v>
      </c>
      <c r="AY34" s="14"/>
      <c r="AZ34" s="16">
        <f>_xlfn.XLOOKUP(C34,[2]PI!$B$15:$B$99,[2]PI!$L$15:$L$99,0,2,1)</f>
        <v>0</v>
      </c>
      <c r="BA34" s="16">
        <f>_xlfn.XLOOKUP(D34,[2]PI!$B$15:$B$99,[2]PI!$L$15:$L$99,0,2,1)</f>
        <v>0</v>
      </c>
      <c r="BB34" s="3"/>
      <c r="BC34" s="3"/>
      <c r="BD34" s="14"/>
      <c r="BE34" s="14"/>
      <c r="BF34" s="16"/>
      <c r="BG34" s="16"/>
      <c r="BH34" s="12">
        <f t="shared" si="11"/>
        <v>0</v>
      </c>
      <c r="BI34" s="19">
        <f t="shared" si="12"/>
        <v>0</v>
      </c>
      <c r="BJ34" s="1" t="s">
        <v>35</v>
      </c>
      <c r="BK34">
        <f t="shared" si="13"/>
        <v>0</v>
      </c>
      <c r="BL34">
        <f t="shared" si="14"/>
        <v>0</v>
      </c>
    </row>
    <row r="35" spans="1:64" x14ac:dyDescent="0.25">
      <c r="A35" s="1" t="s">
        <v>124</v>
      </c>
      <c r="B35" s="1" t="s">
        <v>123</v>
      </c>
      <c r="C35" s="13" t="s">
        <v>122</v>
      </c>
      <c r="D35" s="15"/>
      <c r="E35" s="17"/>
      <c r="F35" s="3"/>
      <c r="G35" s="14"/>
      <c r="H35" s="16"/>
      <c r="I35" s="11">
        <v>46221</v>
      </c>
      <c r="J35" s="4">
        <v>17</v>
      </c>
      <c r="K35" s="18">
        <f>(F35-(0)+0-(J35*Ventas!AE32*1))</f>
        <v>0</v>
      </c>
      <c r="L35" s="3"/>
      <c r="M35" s="22">
        <f t="shared" si="17"/>
        <v>0</v>
      </c>
      <c r="N35" s="14"/>
      <c r="O35" s="25">
        <f t="shared" si="0"/>
        <v>0</v>
      </c>
      <c r="P35" s="16"/>
      <c r="Q35" s="12">
        <f t="shared" si="1"/>
        <v>0</v>
      </c>
      <c r="R35" s="5">
        <v>0</v>
      </c>
      <c r="S35" s="24">
        <v>0</v>
      </c>
      <c r="T35" s="26">
        <v>0</v>
      </c>
      <c r="U35" s="18">
        <f t="shared" si="2"/>
        <v>0</v>
      </c>
      <c r="V35" s="22">
        <f t="shared" si="3"/>
        <v>0</v>
      </c>
      <c r="W35" s="25">
        <f t="shared" si="4"/>
        <v>0</v>
      </c>
      <c r="X35" s="3"/>
      <c r="Y35" s="14"/>
      <c r="Z35" s="14"/>
      <c r="AA35" s="18">
        <v>10</v>
      </c>
      <c r="AB35" s="21">
        <v>6.3489999999999996E-3</v>
      </c>
      <c r="AC35" s="11">
        <v>46313</v>
      </c>
      <c r="AD35" s="4">
        <v>92</v>
      </c>
      <c r="AE35" s="18">
        <f>(IF(K35&gt;0,K35+R35,R35)-(AD35*Ventas!AE32*1.0489))</f>
        <v>0</v>
      </c>
      <c r="AF35" s="3"/>
      <c r="AG35" s="22">
        <f t="shared" si="18"/>
        <v>0</v>
      </c>
      <c r="AH35" s="14"/>
      <c r="AI35" s="25">
        <f t="shared" si="5"/>
        <v>0</v>
      </c>
      <c r="AJ35" s="16"/>
      <c r="AK35" s="12">
        <f t="shared" si="6"/>
        <v>0</v>
      </c>
      <c r="AL35" s="19">
        <f t="shared" si="7"/>
        <v>0</v>
      </c>
      <c r="AM35" s="18">
        <f>(180*(Ventas!AE32*0.9644) - IF(AE35&gt;0,AE35,0))</f>
        <v>0</v>
      </c>
      <c r="AN35" s="18">
        <f t="shared" si="19"/>
        <v>0</v>
      </c>
      <c r="AO35" s="14"/>
      <c r="AP35" s="14">
        <f t="shared" si="16"/>
        <v>0</v>
      </c>
      <c r="AQ35" s="16">
        <f t="shared" si="9"/>
        <v>0</v>
      </c>
      <c r="AR35" s="37">
        <f>_xlfn.XLOOKUP(C35,[1]Hoja2!$C$6:$C$24,[1]Hoja2!$D$6:$D$24,0,2,1)</f>
        <v>0</v>
      </c>
      <c r="AS35" s="18">
        <f t="shared" si="10"/>
        <v>0</v>
      </c>
      <c r="AT35" s="14"/>
      <c r="AU35" s="37">
        <f>_xlfn.XLOOKUP(D35,[1]Hoja2!$E$6:$E$24,[1]Hoja2!$F$6:$F$24,0,2,1)</f>
        <v>0</v>
      </c>
      <c r="AV35" s="27">
        <v>0</v>
      </c>
      <c r="AW35" s="5">
        <v>3013</v>
      </c>
      <c r="AX35" s="14">
        <v>0</v>
      </c>
      <c r="AY35" s="14"/>
      <c r="AZ35" s="16">
        <f>_xlfn.XLOOKUP(C35,[2]PI!$B$15:$B$99,[2]PI!$L$15:$L$99,0,2,1)</f>
        <v>0</v>
      </c>
      <c r="BA35" s="16">
        <f>_xlfn.XLOOKUP(D35,[2]PI!$B$15:$B$99,[2]PI!$L$15:$L$99,0,2,1)</f>
        <v>0</v>
      </c>
      <c r="BB35" s="3"/>
      <c r="BC35" s="3"/>
      <c r="BD35" s="14"/>
      <c r="BE35" s="14"/>
      <c r="BF35" s="16"/>
      <c r="BG35" s="16"/>
      <c r="BH35" s="12">
        <f t="shared" si="11"/>
        <v>0</v>
      </c>
      <c r="BI35" s="19">
        <f t="shared" si="12"/>
        <v>0</v>
      </c>
      <c r="BJ35" s="1" t="s">
        <v>35</v>
      </c>
      <c r="BK35">
        <f t="shared" si="13"/>
        <v>0</v>
      </c>
      <c r="BL35">
        <f t="shared" si="14"/>
        <v>0</v>
      </c>
    </row>
    <row r="36" spans="1:64" x14ac:dyDescent="0.25">
      <c r="A36" s="1" t="s">
        <v>127</v>
      </c>
      <c r="B36" s="1" t="s">
        <v>126</v>
      </c>
      <c r="C36" s="13" t="s">
        <v>125</v>
      </c>
      <c r="D36" s="15"/>
      <c r="E36" s="17"/>
      <c r="F36" s="5">
        <v>24</v>
      </c>
      <c r="G36" s="14"/>
      <c r="H36" s="16"/>
      <c r="I36" s="11">
        <v>46221</v>
      </c>
      <c r="J36" s="4">
        <v>17</v>
      </c>
      <c r="K36" s="18">
        <f>(F36-(0)+0-(J36*Ventas!AE33*1))</f>
        <v>23.568200000000001</v>
      </c>
      <c r="L36" s="20">
        <f>(K36/(Ventas!AE33*1)/80)</f>
        <v>11.598523622047242</v>
      </c>
      <c r="M36" s="22">
        <f t="shared" si="17"/>
        <v>0</v>
      </c>
      <c r="N36" s="14"/>
      <c r="O36" s="25">
        <f t="shared" si="0"/>
        <v>0</v>
      </c>
      <c r="P36" s="16"/>
      <c r="Q36" s="12">
        <f t="shared" si="1"/>
        <v>23.568200000000001</v>
      </c>
      <c r="R36" s="5">
        <v>0</v>
      </c>
      <c r="S36" s="24">
        <v>0</v>
      </c>
      <c r="T36" s="26">
        <v>0</v>
      </c>
      <c r="U36" s="18">
        <f t="shared" si="2"/>
        <v>23.568200000000001</v>
      </c>
      <c r="V36" s="22">
        <f t="shared" si="3"/>
        <v>0</v>
      </c>
      <c r="W36" s="25">
        <f t="shared" si="4"/>
        <v>0</v>
      </c>
      <c r="X36" s="3"/>
      <c r="Y36" s="14"/>
      <c r="Z36" s="14"/>
      <c r="AA36" s="18">
        <v>20</v>
      </c>
      <c r="AB36" s="21">
        <v>3.5639999999999999E-3</v>
      </c>
      <c r="AC36" s="11">
        <v>46313</v>
      </c>
      <c r="AD36" s="4">
        <v>92</v>
      </c>
      <c r="AE36" s="18">
        <f>(IF(K36&gt;0,K36+R36,R36)-(AD36*Ventas!AE33*1.0489))</f>
        <v>21.11713048</v>
      </c>
      <c r="AF36" s="20">
        <f>(AE36/(Ventas!AE33*1.0489)/80)</f>
        <v>9.9077973324885527</v>
      </c>
      <c r="AG36" s="22">
        <f t="shared" si="18"/>
        <v>0</v>
      </c>
      <c r="AH36" s="14"/>
      <c r="AI36" s="25">
        <f t="shared" si="5"/>
        <v>0</v>
      </c>
      <c r="AJ36" s="16"/>
      <c r="AK36" s="12">
        <f t="shared" si="6"/>
        <v>21.11713048</v>
      </c>
      <c r="AL36" s="19">
        <f t="shared" si="7"/>
        <v>8.6693226659274831</v>
      </c>
      <c r="AM36" s="18">
        <f>(180*(Ventas!AE33*0.9644) - IF(AE36&gt;0,AE36,0))</f>
        <v>-16.707893679999998</v>
      </c>
      <c r="AN36" s="18">
        <f t="shared" si="19"/>
        <v>0</v>
      </c>
      <c r="AO36" s="14"/>
      <c r="AP36" s="14">
        <f t="shared" si="16"/>
        <v>0</v>
      </c>
      <c r="AQ36" s="16">
        <f t="shared" si="9"/>
        <v>0</v>
      </c>
      <c r="AR36" s="37">
        <f>_xlfn.XLOOKUP(C36,[1]Hoja2!$C$6:$C$24,[1]Hoja2!$D$6:$D$24,0,2,1)</f>
        <v>0</v>
      </c>
      <c r="AS36" s="18">
        <f t="shared" si="10"/>
        <v>21.11713048</v>
      </c>
      <c r="AT36" s="14"/>
      <c r="AU36" s="37">
        <f>_xlfn.XLOOKUP(D36,[1]Hoja2!$E$6:$E$24,[1]Hoja2!$F$6:$F$24,0,2,1)</f>
        <v>0</v>
      </c>
      <c r="AV36" s="27">
        <v>0</v>
      </c>
      <c r="AW36" s="5">
        <v>3016</v>
      </c>
      <c r="AX36" s="14">
        <v>0</v>
      </c>
      <c r="AY36" s="14"/>
      <c r="AZ36" s="16">
        <f>_xlfn.XLOOKUP(C36,[2]PI!$B$15:$B$99,[2]PI!$L$15:$L$99,0,2,1)</f>
        <v>0</v>
      </c>
      <c r="BA36" s="16">
        <f>_xlfn.XLOOKUP(D36,[2]PI!$B$15:$B$99,[2]PI!$L$15:$L$99,0,2,1)</f>
        <v>0</v>
      </c>
      <c r="BB36" s="18">
        <f>(AS36-(90*Ventas!AE33*0.9644))</f>
        <v>18.912512079999999</v>
      </c>
      <c r="BC36" s="20">
        <f>(BB36/(Ventas!AE33*0.9644)/80)</f>
        <v>9.650911055627585</v>
      </c>
      <c r="BD36" s="14"/>
      <c r="BE36" s="14"/>
      <c r="BF36" s="16"/>
      <c r="BG36" s="16"/>
      <c r="BH36" s="12">
        <f t="shared" si="11"/>
        <v>18.912512079999999</v>
      </c>
      <c r="BI36" s="19">
        <f t="shared" si="12"/>
        <v>8.4445471736741364</v>
      </c>
      <c r="BJ36" s="1" t="s">
        <v>35</v>
      </c>
      <c r="BK36">
        <f t="shared" si="13"/>
        <v>0</v>
      </c>
      <c r="BL36">
        <f t="shared" si="14"/>
        <v>0</v>
      </c>
    </row>
    <row r="37" spans="1:64" x14ac:dyDescent="0.25">
      <c r="A37" s="1" t="s">
        <v>130</v>
      </c>
      <c r="B37" s="1" t="s">
        <v>129</v>
      </c>
      <c r="C37" s="13" t="s">
        <v>128</v>
      </c>
      <c r="D37" s="15"/>
      <c r="E37" s="17"/>
      <c r="F37" s="5">
        <v>30</v>
      </c>
      <c r="G37" s="14"/>
      <c r="H37" s="16"/>
      <c r="I37" s="11">
        <v>46221</v>
      </c>
      <c r="J37" s="4">
        <v>17</v>
      </c>
      <c r="K37" s="18">
        <f>(F37-(0)+0-(J37*Ventas!AE34*1))</f>
        <v>29.725571428571428</v>
      </c>
      <c r="L37" s="20">
        <f>(K37/(Ventas!AE34*1)/80)</f>
        <v>23.017588495575218</v>
      </c>
      <c r="M37" s="22">
        <f t="shared" si="17"/>
        <v>0</v>
      </c>
      <c r="N37" s="14"/>
      <c r="O37" s="25">
        <f t="shared" si="0"/>
        <v>0</v>
      </c>
      <c r="P37" s="16"/>
      <c r="Q37" s="12">
        <f t="shared" si="1"/>
        <v>29.725571428571428</v>
      </c>
      <c r="R37" s="5">
        <v>0</v>
      </c>
      <c r="S37" s="24">
        <v>0</v>
      </c>
      <c r="T37" s="26">
        <v>0</v>
      </c>
      <c r="U37" s="18">
        <f t="shared" si="2"/>
        <v>29.725571428571428</v>
      </c>
      <c r="V37" s="22">
        <f t="shared" si="3"/>
        <v>0</v>
      </c>
      <c r="W37" s="25">
        <f t="shared" si="4"/>
        <v>0</v>
      </c>
      <c r="X37" s="3"/>
      <c r="Y37" s="14"/>
      <c r="Z37" s="14"/>
      <c r="AA37" s="18">
        <v>15</v>
      </c>
      <c r="AB37" s="21">
        <v>6.783E-3</v>
      </c>
      <c r="AC37" s="11">
        <v>46313</v>
      </c>
      <c r="AD37" s="4">
        <v>92</v>
      </c>
      <c r="AE37" s="18">
        <f>(IF(K37&gt;0,K37+R37,R37)-(AD37*Ventas!AE34*1.0489))</f>
        <v>28.167805085714285</v>
      </c>
      <c r="AF37" s="20">
        <f>(AE37/(Ventas!AE34*1.0489)/80)</f>
        <v>20.794502331561848</v>
      </c>
      <c r="AG37" s="22">
        <f t="shared" si="18"/>
        <v>0</v>
      </c>
      <c r="AH37" s="14"/>
      <c r="AI37" s="25">
        <f t="shared" si="5"/>
        <v>0</v>
      </c>
      <c r="AJ37" s="16"/>
      <c r="AK37" s="12">
        <f t="shared" si="6"/>
        <v>28.167805085714285</v>
      </c>
      <c r="AL37" s="19">
        <f t="shared" si="7"/>
        <v>18.195189540116615</v>
      </c>
      <c r="AM37" s="18">
        <f>(180*(Ventas!AE34*0.9644) - IF(AE37&gt;0,AE37,0))</f>
        <v>-25.365534228571427</v>
      </c>
      <c r="AN37" s="18">
        <f t="shared" si="19"/>
        <v>0</v>
      </c>
      <c r="AO37" s="14"/>
      <c r="AP37" s="14">
        <f t="shared" si="16"/>
        <v>0</v>
      </c>
      <c r="AQ37" s="16">
        <f t="shared" si="9"/>
        <v>0</v>
      </c>
      <c r="AR37" s="37">
        <f>_xlfn.XLOOKUP(C37,[1]Hoja2!$C$6:$C$24,[1]Hoja2!$D$6:$D$24,0,2,1)</f>
        <v>0</v>
      </c>
      <c r="AS37" s="18">
        <f t="shared" si="10"/>
        <v>28.167805085714285</v>
      </c>
      <c r="AT37" s="14"/>
      <c r="AU37" s="37">
        <f>_xlfn.XLOOKUP(D37,[1]Hoja2!$E$6:$E$24,[1]Hoja2!$F$6:$F$24,0,2,1)</f>
        <v>0</v>
      </c>
      <c r="AV37" s="27">
        <v>0</v>
      </c>
      <c r="AW37" s="5">
        <v>3016</v>
      </c>
      <c r="AX37" s="14">
        <v>0</v>
      </c>
      <c r="AY37" s="14"/>
      <c r="AZ37" s="16">
        <f>_xlfn.XLOOKUP(C37,[2]PI!$B$15:$B$99,[2]PI!$L$15:$L$99,0,2,1)</f>
        <v>0</v>
      </c>
      <c r="BA37" s="16">
        <f>_xlfn.XLOOKUP(D37,[2]PI!$B$15:$B$99,[2]PI!$L$15:$L$99,0,2,1)</f>
        <v>0</v>
      </c>
      <c r="BB37" s="18">
        <f>(AS37-(90*Ventas!AE34*0.9644))</f>
        <v>26.766669657142856</v>
      </c>
      <c r="BC37" s="20">
        <f>(BB37/(Ventas!AE34*0.9644)/80)</f>
        <v>21.491500928634615</v>
      </c>
      <c r="BD37" s="14"/>
      <c r="BE37" s="14"/>
      <c r="BF37" s="16"/>
      <c r="BG37" s="16"/>
      <c r="BH37" s="12">
        <f t="shared" si="11"/>
        <v>26.766669657142856</v>
      </c>
      <c r="BI37" s="19">
        <f t="shared" si="12"/>
        <v>18.805063312555287</v>
      </c>
      <c r="BJ37" s="1" t="s">
        <v>35</v>
      </c>
      <c r="BK37">
        <f t="shared" si="13"/>
        <v>0</v>
      </c>
      <c r="BL37">
        <f t="shared" si="14"/>
        <v>0</v>
      </c>
    </row>
    <row r="38" spans="1:64" x14ac:dyDescent="0.25">
      <c r="A38" s="1" t="s">
        <v>133</v>
      </c>
      <c r="B38" s="1" t="s">
        <v>132</v>
      </c>
      <c r="C38" s="13" t="s">
        <v>131</v>
      </c>
      <c r="D38" s="15"/>
      <c r="E38" s="17"/>
      <c r="F38" s="5">
        <v>26</v>
      </c>
      <c r="G38" s="14"/>
      <c r="H38" s="16"/>
      <c r="I38" s="11">
        <v>46221</v>
      </c>
      <c r="J38" s="4">
        <v>17</v>
      </c>
      <c r="K38" s="18">
        <f>(F38-(0)+0-(J38*Ventas!AE35*1))</f>
        <v>25.756414285714285</v>
      </c>
      <c r="L38" s="20">
        <f>(K38/(Ventas!AE35*1)/80)</f>
        <v>22.469454137587238</v>
      </c>
      <c r="M38" s="22">
        <f t="shared" si="17"/>
        <v>0</v>
      </c>
      <c r="N38" s="14"/>
      <c r="O38" s="25">
        <f t="shared" si="0"/>
        <v>0</v>
      </c>
      <c r="P38" s="16"/>
      <c r="Q38" s="12">
        <f t="shared" si="1"/>
        <v>25.756414285714285</v>
      </c>
      <c r="R38" s="5">
        <v>0</v>
      </c>
      <c r="S38" s="24">
        <v>0</v>
      </c>
      <c r="T38" s="26">
        <v>0</v>
      </c>
      <c r="U38" s="18">
        <f t="shared" si="2"/>
        <v>25.756414285714285</v>
      </c>
      <c r="V38" s="22">
        <f t="shared" si="3"/>
        <v>0</v>
      </c>
      <c r="W38" s="25">
        <f t="shared" si="4"/>
        <v>0</v>
      </c>
      <c r="X38" s="3"/>
      <c r="Y38" s="14"/>
      <c r="Z38" s="14"/>
      <c r="AA38" s="18">
        <v>20</v>
      </c>
      <c r="AB38" s="21">
        <v>4.0699999999999998E-3</v>
      </c>
      <c r="AC38" s="11">
        <v>46313</v>
      </c>
      <c r="AD38" s="4">
        <v>92</v>
      </c>
      <c r="AE38" s="18">
        <f>(IF(K38&gt;0,K38+R38,R38)-(AD38*Ventas!AE35*1.0489))</f>
        <v>24.373724337142857</v>
      </c>
      <c r="AF38" s="20">
        <f>(AE38/(Ventas!AE35*1.0489)/80)</f>
        <v>20.271922144710878</v>
      </c>
      <c r="AG38" s="22">
        <f t="shared" si="18"/>
        <v>0</v>
      </c>
      <c r="AH38" s="14"/>
      <c r="AI38" s="25">
        <f t="shared" si="5"/>
        <v>0</v>
      </c>
      <c r="AJ38" s="16"/>
      <c r="AK38" s="12">
        <f t="shared" si="6"/>
        <v>24.373724337142857</v>
      </c>
      <c r="AL38" s="19">
        <f t="shared" si="7"/>
        <v>17.737931876622017</v>
      </c>
      <c r="AM38" s="18">
        <f>(180*(Ventas!AE35*0.9644) - IF(AE38&gt;0,AE38,0))</f>
        <v>-21.886398965714285</v>
      </c>
      <c r="AN38" s="18">
        <f t="shared" si="19"/>
        <v>0</v>
      </c>
      <c r="AO38" s="14"/>
      <c r="AP38" s="14">
        <f t="shared" si="16"/>
        <v>0</v>
      </c>
      <c r="AQ38" s="16">
        <f t="shared" si="9"/>
        <v>0</v>
      </c>
      <c r="AR38" s="37">
        <f>_xlfn.XLOOKUP(C38,[1]Hoja2!$C$6:$C$24,[1]Hoja2!$D$6:$D$24,0,2,1)</f>
        <v>0</v>
      </c>
      <c r="AS38" s="18">
        <f t="shared" si="10"/>
        <v>24.373724337142857</v>
      </c>
      <c r="AT38" s="14"/>
      <c r="AU38" s="37">
        <f>_xlfn.XLOOKUP(D38,[1]Hoja2!$E$6:$E$24,[1]Hoja2!$F$6:$F$24,0,2,1)</f>
        <v>0</v>
      </c>
      <c r="AV38" s="27">
        <v>0</v>
      </c>
      <c r="AW38" s="5">
        <v>3016</v>
      </c>
      <c r="AX38" s="14">
        <v>0</v>
      </c>
      <c r="AY38" s="14"/>
      <c r="AZ38" s="16">
        <f>_xlfn.XLOOKUP(C38,[2]PI!$B$15:$B$99,[2]PI!$L$15:$L$99,0,2,1)</f>
        <v>0</v>
      </c>
      <c r="BA38" s="16">
        <f>_xlfn.XLOOKUP(D38,[2]PI!$B$15:$B$99,[2]PI!$L$15:$L$99,0,2,1)</f>
        <v>0</v>
      </c>
      <c r="BB38" s="18">
        <f>(AS38-(90*Ventas!AE35*0.9644))</f>
        <v>23.130061651428569</v>
      </c>
      <c r="BC38" s="20">
        <f>(BB38/(Ventas!AE35*0.9644)/80)</f>
        <v>20.923132660293692</v>
      </c>
      <c r="BD38" s="14"/>
      <c r="BE38" s="14"/>
      <c r="BF38" s="16"/>
      <c r="BG38" s="16"/>
      <c r="BH38" s="12">
        <f t="shared" si="11"/>
        <v>23.130061651428569</v>
      </c>
      <c r="BI38" s="19">
        <f t="shared" si="12"/>
        <v>18.30774107775698</v>
      </c>
      <c r="BJ38" s="1" t="s">
        <v>35</v>
      </c>
      <c r="BK38">
        <f t="shared" si="13"/>
        <v>0</v>
      </c>
      <c r="BL38">
        <f t="shared" si="14"/>
        <v>0</v>
      </c>
    </row>
    <row r="39" spans="1:64" x14ac:dyDescent="0.25">
      <c r="A39" s="1" t="s">
        <v>136</v>
      </c>
      <c r="B39" s="1" t="s">
        <v>135</v>
      </c>
      <c r="C39" s="13" t="s">
        <v>134</v>
      </c>
      <c r="D39" s="15"/>
      <c r="E39" s="17"/>
      <c r="F39" s="5">
        <v>19</v>
      </c>
      <c r="G39" s="14"/>
      <c r="H39" s="16"/>
      <c r="I39" s="11">
        <v>46221</v>
      </c>
      <c r="J39" s="4">
        <v>17</v>
      </c>
      <c r="K39" s="18">
        <f>(F39-(0)+0-(J39*Ventas!AE36*1))</f>
        <v>18.724842857142857</v>
      </c>
      <c r="L39" s="20">
        <f>(K39/(Ventas!AE36*1)/80)</f>
        <v>14.46093336275375</v>
      </c>
      <c r="M39" s="22">
        <f t="shared" si="17"/>
        <v>0</v>
      </c>
      <c r="N39" s="14"/>
      <c r="O39" s="25">
        <f t="shared" si="0"/>
        <v>0</v>
      </c>
      <c r="P39" s="16"/>
      <c r="Q39" s="12">
        <f t="shared" si="1"/>
        <v>18.724842857142857</v>
      </c>
      <c r="R39" s="5">
        <v>0</v>
      </c>
      <c r="S39" s="24">
        <v>0</v>
      </c>
      <c r="T39" s="26">
        <v>0</v>
      </c>
      <c r="U39" s="18">
        <f t="shared" si="2"/>
        <v>18.724842857142857</v>
      </c>
      <c r="V39" s="22">
        <f t="shared" si="3"/>
        <v>0</v>
      </c>
      <c r="W39" s="25">
        <f t="shared" si="4"/>
        <v>0</v>
      </c>
      <c r="X39" s="3"/>
      <c r="Y39" s="14"/>
      <c r="Z39" s="14"/>
      <c r="AA39" s="18">
        <v>20</v>
      </c>
      <c r="AB39" s="21">
        <v>4.0699999999999998E-3</v>
      </c>
      <c r="AC39" s="11">
        <v>46313</v>
      </c>
      <c r="AD39" s="4">
        <v>92</v>
      </c>
      <c r="AE39" s="18">
        <f>(IF(K39&gt;0,K39+R39,R39)-(AD39*Ventas!AE36*1.0489))</f>
        <v>17.162940851428573</v>
      </c>
      <c r="AF39" s="20">
        <f>(AE39/(Ventas!AE36*1.0489)/80)</f>
        <v>12.636760761515637</v>
      </c>
      <c r="AG39" s="22">
        <f t="shared" si="18"/>
        <v>0</v>
      </c>
      <c r="AH39" s="14"/>
      <c r="AI39" s="25">
        <f t="shared" si="5"/>
        <v>0</v>
      </c>
      <c r="AJ39" s="16"/>
      <c r="AK39" s="12">
        <f t="shared" si="6"/>
        <v>17.162940851428573</v>
      </c>
      <c r="AL39" s="19">
        <f t="shared" si="7"/>
        <v>11.057165666326183</v>
      </c>
      <c r="AM39" s="18">
        <f>(180*(Ventas!AE36*0.9644) - IF(AE39&gt;0,AE39,0))</f>
        <v>-14.353230337142858</v>
      </c>
      <c r="AN39" s="18">
        <f t="shared" si="19"/>
        <v>0</v>
      </c>
      <c r="AO39" s="14"/>
      <c r="AP39" s="14">
        <f t="shared" si="16"/>
        <v>0</v>
      </c>
      <c r="AQ39" s="16">
        <f t="shared" si="9"/>
        <v>0</v>
      </c>
      <c r="AR39" s="37">
        <f>_xlfn.XLOOKUP(C39,[1]Hoja2!$C$6:$C$24,[1]Hoja2!$D$6:$D$24,0,2,1)</f>
        <v>0</v>
      </c>
      <c r="AS39" s="18">
        <f t="shared" si="10"/>
        <v>17.162940851428573</v>
      </c>
      <c r="AT39" s="14"/>
      <c r="AU39" s="37">
        <f>_xlfn.XLOOKUP(D39,[1]Hoja2!$E$6:$E$24,[1]Hoja2!$F$6:$F$24,0,2,1)</f>
        <v>0</v>
      </c>
      <c r="AV39" s="27">
        <v>0</v>
      </c>
      <c r="AW39" s="5">
        <v>3016</v>
      </c>
      <c r="AX39" s="14">
        <v>0</v>
      </c>
      <c r="AY39" s="14"/>
      <c r="AZ39" s="16">
        <f>_xlfn.XLOOKUP(C39,[2]PI!$B$15:$B$99,[2]PI!$L$15:$L$99,0,2,1)</f>
        <v>0</v>
      </c>
      <c r="BA39" s="16">
        <f>_xlfn.XLOOKUP(D39,[2]PI!$B$15:$B$99,[2]PI!$L$15:$L$99,0,2,1)</f>
        <v>0</v>
      </c>
      <c r="BB39" s="18">
        <f>(AS39-(90*Ventas!AE36*0.9644))</f>
        <v>15.758085594285715</v>
      </c>
      <c r="BC39" s="20">
        <f>(BB39/(Ventas!AE36*0.9644)/80)</f>
        <v>12.618984200283858</v>
      </c>
      <c r="BD39" s="14"/>
      <c r="BE39" s="14"/>
      <c r="BF39" s="16"/>
      <c r="BG39" s="16"/>
      <c r="BH39" s="12">
        <f t="shared" si="11"/>
        <v>15.758085594285715</v>
      </c>
      <c r="BI39" s="19">
        <f t="shared" si="12"/>
        <v>11.041611175248375</v>
      </c>
      <c r="BJ39" s="1" t="s">
        <v>35</v>
      </c>
      <c r="BK39">
        <f t="shared" si="13"/>
        <v>0</v>
      </c>
      <c r="BL39">
        <f t="shared" si="14"/>
        <v>0</v>
      </c>
    </row>
    <row r="40" spans="1:64" x14ac:dyDescent="0.25">
      <c r="A40" s="1" t="s">
        <v>139</v>
      </c>
      <c r="B40" s="1" t="s">
        <v>138</v>
      </c>
      <c r="C40" s="13" t="s">
        <v>137</v>
      </c>
      <c r="D40" s="15" t="s">
        <v>1514</v>
      </c>
      <c r="E40" s="17"/>
      <c r="F40" s="5">
        <v>462</v>
      </c>
      <c r="G40" s="24">
        <v>314</v>
      </c>
      <c r="H40" s="16"/>
      <c r="I40" s="11">
        <v>46221</v>
      </c>
      <c r="J40" s="4">
        <v>17</v>
      </c>
      <c r="K40" s="18">
        <f>(F40-(0)+0-(J40*Ventas!AE37*1))</f>
        <v>370.29714285714283</v>
      </c>
      <c r="L40" s="20">
        <f>(K40/(Ventas!AE37*1)/80)</f>
        <v>0.85807733050847435</v>
      </c>
      <c r="M40" s="22">
        <f>(G40-(0)+0-(J40*Ventas!AE504*1))</f>
        <v>289.9527714285714</v>
      </c>
      <c r="N40" s="23">
        <f>(M40/(Ventas!AE504*1)/80)</f>
        <v>2.5622480256115043</v>
      </c>
      <c r="O40" s="25">
        <f t="shared" si="0"/>
        <v>0</v>
      </c>
      <c r="P40" s="16"/>
      <c r="Q40" s="12">
        <f t="shared" si="1"/>
        <v>660.24991428571423</v>
      </c>
      <c r="R40" s="5">
        <v>420</v>
      </c>
      <c r="S40" s="24">
        <v>0</v>
      </c>
      <c r="T40" s="26">
        <v>0</v>
      </c>
      <c r="U40" s="18">
        <f t="shared" si="2"/>
        <v>790.29714285714283</v>
      </c>
      <c r="V40" s="22">
        <f t="shared" si="3"/>
        <v>289.9527714285714</v>
      </c>
      <c r="W40" s="25">
        <f t="shared" si="4"/>
        <v>0</v>
      </c>
      <c r="X40" s="18">
        <v>3</v>
      </c>
      <c r="Y40" s="14"/>
      <c r="Z40" s="14"/>
      <c r="AA40" s="18">
        <v>20</v>
      </c>
      <c r="AB40" s="21">
        <v>3.8860000000000001E-3</v>
      </c>
      <c r="AC40" s="11">
        <v>46313</v>
      </c>
      <c r="AD40" s="4">
        <v>92</v>
      </c>
      <c r="AE40" s="18">
        <f>(IF(K40&gt;0,K40+R40,R40)-(AD40*Ventas!AE37*1.0489))</f>
        <v>269.75504457142847</v>
      </c>
      <c r="AF40" s="20">
        <f>(AE40/(Ventas!AE37*1.0489)/80)</f>
        <v>0.59595237787447997</v>
      </c>
      <c r="AG40" s="22">
        <f>(IF(M40&gt;0,M40+S40,S40)-(AD40*Ventas!AE504*1.0489))</f>
        <v>153.45108316571427</v>
      </c>
      <c r="AH40" s="23">
        <f>(AG40/(Ventas!AE504*1.0489)/80)</f>
        <v>1.2927953337892122</v>
      </c>
      <c r="AI40" s="25">
        <f t="shared" si="5"/>
        <v>0</v>
      </c>
      <c r="AJ40" s="16"/>
      <c r="AK40" s="12">
        <f t="shared" si="6"/>
        <v>423.20612773714276</v>
      </c>
      <c r="AL40" s="19">
        <f t="shared" si="7"/>
        <v>0.68305774736382152</v>
      </c>
      <c r="AM40" s="18">
        <f>(180*(Ventas!AE37*0.9644) - IF(AE40&gt;0,AE40,0))</f>
        <v>666.64980114285743</v>
      </c>
      <c r="AN40" s="42">
        <v>615</v>
      </c>
      <c r="AO40" s="22">
        <f>(180*(Ventas!AE504*0.9644) - IF(AG40&gt;0,AG40,0))</f>
        <v>92.102240491428603</v>
      </c>
      <c r="AP40" s="22">
        <v>165</v>
      </c>
      <c r="AQ40" s="16">
        <f t="shared" si="9"/>
        <v>3.0310800000000002</v>
      </c>
      <c r="AR40" s="37">
        <f>_xlfn.XLOOKUP(C40,[1]Hoja2!$C$6:$C$24,[1]Hoja2!$D$6:$D$24,0,2,1)</f>
        <v>460</v>
      </c>
      <c r="AS40" s="18">
        <f t="shared" si="10"/>
        <v>884.75504457142847</v>
      </c>
      <c r="AT40" s="22">
        <f>IF(AG40&gt;0,AG40+IF(AP40&gt;0,AP40,0),AP40)</f>
        <v>318.45108316571429</v>
      </c>
      <c r="AU40" s="37">
        <f>_xlfn.XLOOKUP(D40,[1]Hoja2!$E$6:$E$24,[1]Hoja2!$F$6:$F$24,0,2,1)</f>
        <v>165</v>
      </c>
      <c r="AV40" s="27">
        <v>3</v>
      </c>
      <c r="AW40" s="5">
        <v>3016</v>
      </c>
      <c r="AX40" s="28">
        <v>3</v>
      </c>
      <c r="AY40" s="14"/>
      <c r="AZ40" s="16">
        <f>_xlfn.XLOOKUP(C40,[2]PI!$B$15:$B$99,[2]PI!$L$15:$L$99,0,2,1)</f>
        <v>3</v>
      </c>
      <c r="BA40" s="16">
        <f>_xlfn.XLOOKUP(D40,[2]PI!$B$15:$B$99,[2]PI!$L$15:$L$99,0,2,1)</f>
        <v>3</v>
      </c>
      <c r="BB40" s="18">
        <f>(AS40-(90*Ventas!AE37*0.9644))</f>
        <v>416.55262171428552</v>
      </c>
      <c r="BC40" s="20">
        <f>(BB40/(Ventas!AE37*0.9644)/80)</f>
        <v>1.0008955027803352</v>
      </c>
      <c r="BD40" s="22">
        <f>(AT40-(90*Ventas!AE504*0.9644))</f>
        <v>195.67442133714286</v>
      </c>
      <c r="BE40" s="23">
        <f>(BD40/(Ventas!AE504*0.9644)/80)</f>
        <v>1.7929606549463806</v>
      </c>
      <c r="BF40" s="16"/>
      <c r="BG40" s="16"/>
      <c r="BH40" s="12">
        <f t="shared" si="11"/>
        <v>612.22704305142838</v>
      </c>
      <c r="BI40" s="19">
        <f t="shared" si="12"/>
        <v>1.0999036468010908</v>
      </c>
      <c r="BJ40" s="1" t="s">
        <v>35</v>
      </c>
      <c r="BK40">
        <f t="shared" si="13"/>
        <v>2340</v>
      </c>
      <c r="BL40">
        <f t="shared" si="14"/>
        <v>2340</v>
      </c>
    </row>
    <row r="41" spans="1:64" x14ac:dyDescent="0.25">
      <c r="A41" s="1" t="s">
        <v>142</v>
      </c>
      <c r="B41" s="1" t="s">
        <v>141</v>
      </c>
      <c r="C41" s="13" t="s">
        <v>140</v>
      </c>
      <c r="D41" s="15"/>
      <c r="E41" s="17"/>
      <c r="F41" s="5">
        <v>43</v>
      </c>
      <c r="G41" s="14"/>
      <c r="H41" s="16"/>
      <c r="I41" s="11">
        <v>46221</v>
      </c>
      <c r="J41" s="4">
        <v>17</v>
      </c>
      <c r="K41" s="18">
        <f>(F41-(0)+0-(J41*Ventas!AE38*1))</f>
        <v>42.458914285714286</v>
      </c>
      <c r="L41" s="20">
        <f>(K41/(Ventas!AE38*1)/80)</f>
        <v>16.674842908438059</v>
      </c>
      <c r="M41" s="22">
        <f>(G41+0)</f>
        <v>0</v>
      </c>
      <c r="N41" s="14"/>
      <c r="O41" s="25">
        <f t="shared" si="0"/>
        <v>0</v>
      </c>
      <c r="P41" s="16"/>
      <c r="Q41" s="12">
        <f t="shared" si="1"/>
        <v>42.458914285714286</v>
      </c>
      <c r="R41" s="5">
        <v>0</v>
      </c>
      <c r="S41" s="24">
        <v>0</v>
      </c>
      <c r="T41" s="26">
        <v>0</v>
      </c>
      <c r="U41" s="18">
        <f t="shared" si="2"/>
        <v>42.458914285714286</v>
      </c>
      <c r="V41" s="22">
        <f t="shared" si="3"/>
        <v>0</v>
      </c>
      <c r="W41" s="25">
        <f t="shared" si="4"/>
        <v>0</v>
      </c>
      <c r="X41" s="3"/>
      <c r="Y41" s="14"/>
      <c r="Z41" s="14"/>
      <c r="AA41" s="18">
        <v>100</v>
      </c>
      <c r="AB41" s="21">
        <v>5.3600000000000002E-4</v>
      </c>
      <c r="AC41" s="11">
        <v>46313</v>
      </c>
      <c r="AD41" s="4">
        <v>92</v>
      </c>
      <c r="AE41" s="18">
        <f>(IF(K41&gt;0,K41+R41,R41)-(AD41*Ventas!AE38*1.0489))</f>
        <v>39.387495337142859</v>
      </c>
      <c r="AF41" s="20">
        <f>(AE41/(Ventas!AE38*1.0489)/80)</f>
        <v>14.747457248963736</v>
      </c>
      <c r="AG41" s="22">
        <f>(G41+0)</f>
        <v>0</v>
      </c>
      <c r="AH41" s="14"/>
      <c r="AI41" s="25">
        <f t="shared" si="5"/>
        <v>0</v>
      </c>
      <c r="AJ41" s="16"/>
      <c r="AK41" s="12">
        <f t="shared" si="6"/>
        <v>39.387495337142859</v>
      </c>
      <c r="AL41" s="19">
        <f t="shared" si="7"/>
        <v>12.904025092843268</v>
      </c>
      <c r="AM41" s="18">
        <f>(180*(Ventas!AE38*0.9644) - IF(AE41&gt;0,AE41,0))</f>
        <v>-33.862309965714289</v>
      </c>
      <c r="AN41" s="18">
        <f>IF(AM41&gt;3,CEILING(AM41,5),0)</f>
        <v>0</v>
      </c>
      <c r="AO41" s="14"/>
      <c r="AP41" s="14">
        <f t="shared" ref="AP41:AP85" si="20">IF(AO41&gt;3,CEILING(AO41,5),0)</f>
        <v>0</v>
      </c>
      <c r="AQ41" s="16">
        <f t="shared" si="9"/>
        <v>0</v>
      </c>
      <c r="AR41" s="37">
        <f>_xlfn.XLOOKUP(C41,[1]Hoja2!$C$6:$C$24,[1]Hoja2!$D$6:$D$24,0,2,1)</f>
        <v>0</v>
      </c>
      <c r="AS41" s="18">
        <f t="shared" si="10"/>
        <v>39.387495337142859</v>
      </c>
      <c r="AT41" s="14"/>
      <c r="AU41" s="37">
        <f>_xlfn.XLOOKUP(D41,[1]Hoja2!$E$6:$E$24,[1]Hoja2!$F$6:$F$24,0,2,1)</f>
        <v>0</v>
      </c>
      <c r="AV41" s="27">
        <v>0</v>
      </c>
      <c r="AW41" s="5">
        <v>3016</v>
      </c>
      <c r="AX41" s="14">
        <v>0</v>
      </c>
      <c r="AY41" s="14"/>
      <c r="AZ41" s="16">
        <f>_xlfn.XLOOKUP(C41,[2]PI!$B$15:$B$99,[2]PI!$L$15:$L$99,0,2,1)</f>
        <v>0</v>
      </c>
      <c r="BA41" s="16">
        <f>_xlfn.XLOOKUP(D41,[2]PI!$B$15:$B$99,[2]PI!$L$15:$L$99,0,2,1)</f>
        <v>0</v>
      </c>
      <c r="BB41" s="18">
        <f>(AS41-(90*Ventas!AE38*0.9644))</f>
        <v>36.62490265142857</v>
      </c>
      <c r="BC41" s="20">
        <f>(BB41/(Ventas!AE38*0.9644)/80)</f>
        <v>14.914618320653318</v>
      </c>
      <c r="BD41" s="14"/>
      <c r="BE41" s="14"/>
      <c r="BF41" s="16"/>
      <c r="BG41" s="16"/>
      <c r="BH41" s="12">
        <f t="shared" si="11"/>
        <v>36.62490265142857</v>
      </c>
      <c r="BI41" s="19">
        <f t="shared" si="12"/>
        <v>13.050291030571653</v>
      </c>
      <c r="BJ41" s="1" t="s">
        <v>35</v>
      </c>
      <c r="BK41">
        <f t="shared" si="13"/>
        <v>0</v>
      </c>
      <c r="BL41">
        <f t="shared" si="14"/>
        <v>0</v>
      </c>
    </row>
    <row r="42" spans="1:64" x14ac:dyDescent="0.25">
      <c r="A42" s="1" t="s">
        <v>145</v>
      </c>
      <c r="B42" s="1" t="s">
        <v>144</v>
      </c>
      <c r="C42" s="13" t="s">
        <v>143</v>
      </c>
      <c r="D42" s="15" t="s">
        <v>1517</v>
      </c>
      <c r="E42" s="17"/>
      <c r="F42" s="5">
        <v>63</v>
      </c>
      <c r="G42" s="14"/>
      <c r="H42" s="16"/>
      <c r="I42" s="11">
        <v>46221</v>
      </c>
      <c r="J42" s="4">
        <v>17</v>
      </c>
      <c r="K42" s="18">
        <f>(F42-(0)+0-(J42*Ventas!AE39*1))</f>
        <v>56.301514285714283</v>
      </c>
      <c r="L42" s="20">
        <f>(K42/(Ventas!AE39*1)/80)</f>
        <v>1.7860860343702414</v>
      </c>
      <c r="M42" s="22">
        <f>(G42-(0)+0-(J42*Ventas!AE505*1))</f>
        <v>0</v>
      </c>
      <c r="N42" s="14"/>
      <c r="O42" s="25">
        <f t="shared" si="0"/>
        <v>0</v>
      </c>
      <c r="P42" s="16"/>
      <c r="Q42" s="12">
        <f t="shared" si="1"/>
        <v>56.301514285714283</v>
      </c>
      <c r="R42" s="5">
        <v>80</v>
      </c>
      <c r="S42" s="24">
        <v>0</v>
      </c>
      <c r="T42" s="26">
        <v>0</v>
      </c>
      <c r="U42" s="18">
        <f t="shared" si="2"/>
        <v>136.30151428571429</v>
      </c>
      <c r="V42" s="22">
        <f t="shared" si="3"/>
        <v>0</v>
      </c>
      <c r="W42" s="25">
        <f t="shared" si="4"/>
        <v>0</v>
      </c>
      <c r="X42" s="18">
        <v>3.55</v>
      </c>
      <c r="Y42" s="14"/>
      <c r="Z42" s="14"/>
      <c r="AA42" s="18">
        <v>12</v>
      </c>
      <c r="AB42" s="21">
        <v>7.136E-3</v>
      </c>
      <c r="AC42" s="11">
        <v>46313</v>
      </c>
      <c r="AD42" s="4">
        <v>92</v>
      </c>
      <c r="AE42" s="18">
        <f>(IF(K42&gt;0,K42+R42,R42)-(AD42*Ventas!AE39*1.0489))</f>
        <v>98.278229977142871</v>
      </c>
      <c r="AF42" s="20">
        <f>(AE42/(Ventas!AE39*1.0489)/80)</f>
        <v>2.9723882754714248</v>
      </c>
      <c r="AG42" s="22">
        <f>(IF(M42&gt;0,M42+S42,S42)-(AD42*Ventas!AE505*1.0489))</f>
        <v>0</v>
      </c>
      <c r="AH42" s="14"/>
      <c r="AI42" s="25">
        <f t="shared" si="5"/>
        <v>0</v>
      </c>
      <c r="AJ42" s="16"/>
      <c r="AK42" s="12">
        <f t="shared" si="6"/>
        <v>98.278229977142871</v>
      </c>
      <c r="AL42" s="19">
        <f t="shared" si="7"/>
        <v>2.6008397410374968</v>
      </c>
      <c r="AM42" s="18">
        <f>(180*(Ventas!AE39*0.9644) - IF(AE42&gt;0,AE42,0))</f>
        <v>-29.878022205714302</v>
      </c>
      <c r="AN42" s="18">
        <f>IF(AM42&gt;3,CEILING(AM42,5),0)</f>
        <v>0</v>
      </c>
      <c r="AO42" s="22">
        <f>(180*(Ventas!AE505*0.9644) - IF(AG42&gt;0,AG42,0))</f>
        <v>0</v>
      </c>
      <c r="AP42" s="22">
        <f t="shared" si="20"/>
        <v>0</v>
      </c>
      <c r="AQ42" s="16">
        <f t="shared" si="9"/>
        <v>0</v>
      </c>
      <c r="AR42" s="37">
        <f>_xlfn.XLOOKUP(C42,[1]Hoja2!$C$6:$C$24,[1]Hoja2!$D$6:$D$24,0,2,1)</f>
        <v>0</v>
      </c>
      <c r="AS42" s="18">
        <f t="shared" si="10"/>
        <v>98.278229977142871</v>
      </c>
      <c r="AT42" s="22">
        <f>IF(AG42&gt;0,AG42+IF(AP42&gt;0,AP42,0),AP42)</f>
        <v>0</v>
      </c>
      <c r="AU42" s="37">
        <f>_xlfn.XLOOKUP(D42,[1]Hoja2!$E$6:$E$24,[1]Hoja2!$F$6:$F$24,0,2,1)</f>
        <v>0</v>
      </c>
      <c r="AV42" s="27">
        <v>0</v>
      </c>
      <c r="AW42" s="5">
        <v>3016</v>
      </c>
      <c r="AX42" s="28">
        <v>0</v>
      </c>
      <c r="AY42" s="14"/>
      <c r="AZ42" s="16">
        <f>_xlfn.XLOOKUP(C42,[2]PI!$B$15:$B$99,[2]PI!$L$15:$L$99,0,2,1)</f>
        <v>0</v>
      </c>
      <c r="BA42" s="16">
        <f>_xlfn.XLOOKUP(D42,[2]PI!$B$15:$B$99,[2]PI!$L$15:$L$99,0,2,1)</f>
        <v>0</v>
      </c>
      <c r="BB42" s="18">
        <f>(AS42-(90*Ventas!AE39*0.9644))</f>
        <v>64.078126091428587</v>
      </c>
      <c r="BC42" s="20">
        <f>(BB42/(Ventas!AE39*0.9644)/80)</f>
        <v>2.1078266923911002</v>
      </c>
      <c r="BD42" s="14"/>
      <c r="BE42" s="14"/>
      <c r="BF42" s="16"/>
      <c r="BG42" s="16"/>
      <c r="BH42" s="12">
        <f t="shared" si="11"/>
        <v>64.078126091428587</v>
      </c>
      <c r="BI42" s="19">
        <f t="shared" si="12"/>
        <v>1.8443483558422127</v>
      </c>
      <c r="BJ42" s="1" t="s">
        <v>35</v>
      </c>
      <c r="BK42">
        <f t="shared" si="13"/>
        <v>0</v>
      </c>
      <c r="BL42">
        <f t="shared" si="14"/>
        <v>0</v>
      </c>
    </row>
    <row r="43" spans="1:64" x14ac:dyDescent="0.25">
      <c r="A43" s="1" t="s">
        <v>148</v>
      </c>
      <c r="B43" s="1" t="s">
        <v>147</v>
      </c>
      <c r="C43" s="13" t="s">
        <v>146</v>
      </c>
      <c r="D43" s="15" t="s">
        <v>1519</v>
      </c>
      <c r="E43" s="17"/>
      <c r="F43" s="5">
        <v>26</v>
      </c>
      <c r="G43" s="14"/>
      <c r="H43" s="16"/>
      <c r="I43" s="11">
        <v>46221</v>
      </c>
      <c r="J43" s="4">
        <v>17</v>
      </c>
      <c r="K43" s="18">
        <f>(F43-(0)+0-(J43*Ventas!AE40*1))</f>
        <v>24.265271428571427</v>
      </c>
      <c r="L43" s="20">
        <f>(K43/(Ventas!AE40*1)/80)</f>
        <v>2.9724363012739747</v>
      </c>
      <c r="M43" s="22">
        <f>(G43-(0)+0-(J43*Ventas!AE506*1))</f>
        <v>0</v>
      </c>
      <c r="N43" s="14"/>
      <c r="O43" s="25">
        <f t="shared" si="0"/>
        <v>0</v>
      </c>
      <c r="P43" s="16"/>
      <c r="Q43" s="12">
        <f t="shared" si="1"/>
        <v>24.265271428571427</v>
      </c>
      <c r="R43" s="5">
        <v>0</v>
      </c>
      <c r="S43" s="24">
        <v>0</v>
      </c>
      <c r="T43" s="26">
        <v>0</v>
      </c>
      <c r="U43" s="18">
        <f t="shared" si="2"/>
        <v>24.265271428571427</v>
      </c>
      <c r="V43" s="22">
        <f t="shared" si="3"/>
        <v>0</v>
      </c>
      <c r="W43" s="25">
        <f t="shared" si="4"/>
        <v>0</v>
      </c>
      <c r="X43" s="3"/>
      <c r="Y43" s="14"/>
      <c r="Z43" s="14"/>
      <c r="AA43" s="18">
        <v>10</v>
      </c>
      <c r="AB43" s="21">
        <v>1.3318E-2</v>
      </c>
      <c r="AC43" s="11">
        <v>46313</v>
      </c>
      <c r="AD43" s="4">
        <v>92</v>
      </c>
      <c r="AE43" s="18">
        <f>(IF(K43&gt;0,K43+R43,R43)-(AD43*Ventas!AE40*1.0489))</f>
        <v>14.418258165714287</v>
      </c>
      <c r="AF43" s="20">
        <f>(AE43/(Ventas!AE40*1.0489)/80)</f>
        <v>1.6838605217599152</v>
      </c>
      <c r="AG43" s="22">
        <f>(IF(M43&gt;0,M43+S43,S43)-(AD43*Ventas!AE506*1.0489))</f>
        <v>0</v>
      </c>
      <c r="AH43" s="14"/>
      <c r="AI43" s="25">
        <f t="shared" si="5"/>
        <v>0</v>
      </c>
      <c r="AJ43" s="16"/>
      <c r="AK43" s="12">
        <f t="shared" si="6"/>
        <v>14.418258165714287</v>
      </c>
      <c r="AL43" s="19">
        <f t="shared" si="7"/>
        <v>1.4733779565399259</v>
      </c>
      <c r="AM43" s="18">
        <f>(180*(Ventas!AE40*0.9644) - IF(AE43&gt;0,AE43,0))</f>
        <v>3.2955654914285706</v>
      </c>
      <c r="AN43" s="42">
        <v>0</v>
      </c>
      <c r="AO43" s="22">
        <f>(180*(Ventas!AE506*0.9644) - IF(AG43&gt;0,AG43,0))</f>
        <v>0</v>
      </c>
      <c r="AP43" s="22">
        <f t="shared" si="20"/>
        <v>0</v>
      </c>
      <c r="AQ43" s="16">
        <f t="shared" si="9"/>
        <v>0</v>
      </c>
      <c r="AR43" s="37">
        <f>_xlfn.XLOOKUP(C43,[1]Hoja2!$C$6:$C$24,[1]Hoja2!$D$6:$D$24,0,2,1)</f>
        <v>0</v>
      </c>
      <c r="AS43" s="18">
        <f t="shared" si="10"/>
        <v>14.418258165714287</v>
      </c>
      <c r="AT43" s="22">
        <f>IF(AG43&gt;0,AG43+IF(AP43&gt;0,AP43,0),AP43)</f>
        <v>0</v>
      </c>
      <c r="AU43" s="37">
        <f>_xlfn.XLOOKUP(D43,[1]Hoja2!$E$6:$E$24,[1]Hoja2!$F$6:$F$24,0,2,1)</f>
        <v>0</v>
      </c>
      <c r="AV43" s="27">
        <v>0</v>
      </c>
      <c r="AW43" s="5">
        <v>3016</v>
      </c>
      <c r="AX43" s="14">
        <v>0</v>
      </c>
      <c r="AY43" s="14"/>
      <c r="AZ43" s="16">
        <f>_xlfn.XLOOKUP(C43,[2]PI!$B$15:$B$99,[2]PI!$L$15:$L$99,0,2,1)</f>
        <v>0</v>
      </c>
      <c r="BA43" s="16">
        <f>_xlfn.XLOOKUP(D43,[2]PI!$B$15:$B$99,[2]PI!$L$15:$L$99,0,2,1)</f>
        <v>0</v>
      </c>
      <c r="BB43" s="18">
        <f>(AS43-(90*Ventas!AE40*0.9644))</f>
        <v>5.5613463371428598</v>
      </c>
      <c r="BC43" s="20">
        <f>(BB43/(Ventas!AE40*0.9644)/80)</f>
        <v>0.70639910957483909</v>
      </c>
      <c r="BD43" s="14"/>
      <c r="BE43" s="14"/>
      <c r="BF43" s="16"/>
      <c r="BG43" s="16"/>
      <c r="BH43" s="12">
        <f t="shared" si="11"/>
        <v>5.5613463371428598</v>
      </c>
      <c r="BI43" s="19">
        <f t="shared" si="12"/>
        <v>0.61809922087798419</v>
      </c>
      <c r="BJ43" s="1" t="s">
        <v>35</v>
      </c>
      <c r="BK43">
        <f t="shared" si="13"/>
        <v>0</v>
      </c>
      <c r="BL43">
        <f t="shared" si="14"/>
        <v>0</v>
      </c>
    </row>
    <row r="44" spans="1:64" x14ac:dyDescent="0.25">
      <c r="A44" s="1" t="s">
        <v>151</v>
      </c>
      <c r="B44" s="1" t="s">
        <v>150</v>
      </c>
      <c r="C44" s="13" t="s">
        <v>149</v>
      </c>
      <c r="D44" s="15"/>
      <c r="E44" s="17"/>
      <c r="F44" s="5">
        <v>26</v>
      </c>
      <c r="G44" s="14"/>
      <c r="H44" s="16"/>
      <c r="I44" s="11">
        <v>46221</v>
      </c>
      <c r="J44" s="4">
        <v>17</v>
      </c>
      <c r="K44" s="18">
        <f>(F44-(0)+0-(J44*Ventas!AE41*1))</f>
        <v>24.721114285714286</v>
      </c>
      <c r="L44" s="20">
        <f>(K44/(Ventas!AE41*1)/80)</f>
        <v>4.1076671097607296</v>
      </c>
      <c r="M44" s="22">
        <f t="shared" ref="M44:M78" si="21">(G44+0)</f>
        <v>0</v>
      </c>
      <c r="N44" s="14"/>
      <c r="O44" s="25">
        <f t="shared" si="0"/>
        <v>0</v>
      </c>
      <c r="P44" s="16"/>
      <c r="Q44" s="12">
        <f t="shared" si="1"/>
        <v>24.721114285714286</v>
      </c>
      <c r="R44" s="5">
        <v>0</v>
      </c>
      <c r="S44" s="24">
        <v>0</v>
      </c>
      <c r="T44" s="26">
        <v>0</v>
      </c>
      <c r="U44" s="18">
        <f t="shared" si="2"/>
        <v>24.721114285714286</v>
      </c>
      <c r="V44" s="22">
        <f t="shared" si="3"/>
        <v>0</v>
      </c>
      <c r="W44" s="25">
        <f t="shared" si="4"/>
        <v>0</v>
      </c>
      <c r="X44" s="3"/>
      <c r="Y44" s="14"/>
      <c r="Z44" s="14"/>
      <c r="AA44" s="18">
        <v>12</v>
      </c>
      <c r="AB44" s="21">
        <v>7.136E-3</v>
      </c>
      <c r="AC44" s="11">
        <v>46313</v>
      </c>
      <c r="AD44" s="4">
        <v>92</v>
      </c>
      <c r="AE44" s="18">
        <f>(IF(K44&gt;0,K44+R44,R44)-(AD44*Ventas!AE41*1.0489))</f>
        <v>17.461647417142856</v>
      </c>
      <c r="AF44" s="20">
        <f>(AE44/(Ventas!AE41*1.0489)/80)</f>
        <v>2.7661665647447129</v>
      </c>
      <c r="AG44" s="22">
        <f t="shared" ref="AG44:AG78" si="22">(G44+0)</f>
        <v>0</v>
      </c>
      <c r="AH44" s="14"/>
      <c r="AI44" s="25">
        <f t="shared" si="5"/>
        <v>0</v>
      </c>
      <c r="AJ44" s="16"/>
      <c r="AK44" s="12">
        <f t="shared" si="6"/>
        <v>17.461647417142856</v>
      </c>
      <c r="AL44" s="19">
        <f t="shared" si="7"/>
        <v>2.420395744151624</v>
      </c>
      <c r="AM44" s="18">
        <f>(180*(Ventas!AE41*0.9644) - IF(AE44&gt;0,AE44,0))</f>
        <v>-4.402569245714286</v>
      </c>
      <c r="AN44" s="18">
        <f>IF(AM44&gt;3,CEILING(AM44,5),0)</f>
        <v>0</v>
      </c>
      <c r="AO44" s="14"/>
      <c r="AP44" s="14">
        <f t="shared" si="20"/>
        <v>0</v>
      </c>
      <c r="AQ44" s="16">
        <f t="shared" si="9"/>
        <v>0</v>
      </c>
      <c r="AR44" s="37">
        <f>_xlfn.XLOOKUP(C44,[1]Hoja2!$C$6:$C$24,[1]Hoja2!$D$6:$D$24,0,2,1)</f>
        <v>0</v>
      </c>
      <c r="AS44" s="18">
        <f t="shared" si="10"/>
        <v>17.461647417142856</v>
      </c>
      <c r="AT44" s="14"/>
      <c r="AU44" s="37">
        <f>_xlfn.XLOOKUP(D44,[1]Hoja2!$E$6:$E$24,[1]Hoja2!$F$6:$F$24,0,2,1)</f>
        <v>0</v>
      </c>
      <c r="AV44" s="27">
        <v>0</v>
      </c>
      <c r="AW44" s="5">
        <v>3016</v>
      </c>
      <c r="AX44" s="14">
        <v>0</v>
      </c>
      <c r="AY44" s="14"/>
      <c r="AZ44" s="16">
        <f>_xlfn.XLOOKUP(C44,[2]PI!$B$15:$B$99,[2]PI!$L$15:$L$99,0,2,1)</f>
        <v>0</v>
      </c>
      <c r="BA44" s="16">
        <f>_xlfn.XLOOKUP(D44,[2]PI!$B$15:$B$99,[2]PI!$L$15:$L$99,0,2,1)</f>
        <v>0</v>
      </c>
      <c r="BB44" s="18">
        <f>(AS44-(90*Ventas!AE41*0.9644))</f>
        <v>10.932108331428571</v>
      </c>
      <c r="BC44" s="20">
        <f>(BB44/(Ventas!AE41*0.9644)/80)</f>
        <v>1.8835359910418181</v>
      </c>
      <c r="BD44" s="14"/>
      <c r="BE44" s="14"/>
      <c r="BF44" s="16"/>
      <c r="BG44" s="16"/>
      <c r="BH44" s="12">
        <f t="shared" si="11"/>
        <v>10.932108331428571</v>
      </c>
      <c r="BI44" s="19">
        <f t="shared" si="12"/>
        <v>1.6480939921615909</v>
      </c>
      <c r="BJ44" s="1" t="s">
        <v>35</v>
      </c>
      <c r="BK44">
        <f t="shared" si="13"/>
        <v>0</v>
      </c>
      <c r="BL44">
        <f t="shared" si="14"/>
        <v>0</v>
      </c>
    </row>
    <row r="45" spans="1:64" x14ac:dyDescent="0.25">
      <c r="A45" s="1" t="s">
        <v>154</v>
      </c>
      <c r="B45" s="1" t="s">
        <v>153</v>
      </c>
      <c r="C45" s="13" t="s">
        <v>152</v>
      </c>
      <c r="D45" s="15"/>
      <c r="E45" s="17"/>
      <c r="F45" s="5">
        <v>66</v>
      </c>
      <c r="G45" s="14"/>
      <c r="H45" s="16"/>
      <c r="I45" s="11">
        <v>46221</v>
      </c>
      <c r="J45" s="4">
        <v>17</v>
      </c>
      <c r="K45" s="18">
        <f>(F45-(0)+0-(J45*Ventas!AE42*1))</f>
        <v>57.490285714285719</v>
      </c>
      <c r="L45" s="20">
        <f>(K45/(Ventas!AE42*1)/80)</f>
        <v>1.4356164383561647</v>
      </c>
      <c r="M45" s="22">
        <f t="shared" si="21"/>
        <v>0</v>
      </c>
      <c r="N45" s="14"/>
      <c r="O45" s="25">
        <f t="shared" si="0"/>
        <v>0</v>
      </c>
      <c r="P45" s="16"/>
      <c r="Q45" s="12">
        <f t="shared" si="1"/>
        <v>57.490285714285719</v>
      </c>
      <c r="R45" s="5">
        <v>36</v>
      </c>
      <c r="S45" s="24">
        <v>0</v>
      </c>
      <c r="T45" s="26">
        <v>0</v>
      </c>
      <c r="U45" s="18">
        <f t="shared" si="2"/>
        <v>93.490285714285719</v>
      </c>
      <c r="V45" s="22">
        <f t="shared" si="3"/>
        <v>0</v>
      </c>
      <c r="W45" s="25">
        <f t="shared" si="4"/>
        <v>0</v>
      </c>
      <c r="X45" s="18">
        <v>2.75</v>
      </c>
      <c r="Y45" s="14"/>
      <c r="Z45" s="14"/>
      <c r="AA45" s="18">
        <v>12</v>
      </c>
      <c r="AB45" s="21">
        <v>7.136E-3</v>
      </c>
      <c r="AC45" s="11">
        <v>46313</v>
      </c>
      <c r="AD45" s="4">
        <v>92</v>
      </c>
      <c r="AE45" s="18">
        <f>(IF(K45&gt;0,K45+R45,R45)-(AD45*Ventas!AE42*1.0489))</f>
        <v>45.185743542857153</v>
      </c>
      <c r="AF45" s="20">
        <f>(AE45/(Ventas!AE42*1.0489)/80)</f>
        <v>1.0757498723385364</v>
      </c>
      <c r="AG45" s="22">
        <f t="shared" si="22"/>
        <v>0</v>
      </c>
      <c r="AH45" s="14"/>
      <c r="AI45" s="25">
        <f t="shared" si="5"/>
        <v>0</v>
      </c>
      <c r="AJ45" s="16"/>
      <c r="AK45" s="12">
        <f t="shared" si="6"/>
        <v>45.185743542857153</v>
      </c>
      <c r="AL45" s="19">
        <f t="shared" si="7"/>
        <v>0.94128113829621929</v>
      </c>
      <c r="AM45" s="18">
        <f>(180*(Ventas!AE42*0.9644) - IF(AE45&gt;0,AE45,0))</f>
        <v>41.709451885714273</v>
      </c>
      <c r="AN45" s="42">
        <v>36</v>
      </c>
      <c r="AO45" s="14"/>
      <c r="AP45" s="14">
        <f t="shared" si="20"/>
        <v>0</v>
      </c>
      <c r="AQ45" s="16">
        <f t="shared" si="9"/>
        <v>0.25689600000000001</v>
      </c>
      <c r="AR45" s="37">
        <f>_xlfn.XLOOKUP(C45,[1]Hoja2!$C$6:$C$24,[1]Hoja2!$D$6:$D$24,0,2,1)</f>
        <v>0</v>
      </c>
      <c r="AS45" s="18">
        <f t="shared" si="10"/>
        <v>81.185743542857153</v>
      </c>
      <c r="AT45" s="14"/>
      <c r="AU45" s="37">
        <f>_xlfn.XLOOKUP(D45,[1]Hoja2!$E$6:$E$24,[1]Hoja2!$F$6:$F$24,0,2,1)</f>
        <v>0</v>
      </c>
      <c r="AV45" s="27">
        <v>2.75</v>
      </c>
      <c r="AW45" s="5">
        <v>3016</v>
      </c>
      <c r="AX45" s="14">
        <v>0</v>
      </c>
      <c r="AY45" s="14"/>
      <c r="AZ45" s="16">
        <f>_xlfn.XLOOKUP(C45,[2]PI!$B$15:$B$99,[2]PI!$L$15:$L$99,0,2,1)</f>
        <v>2.75</v>
      </c>
      <c r="BA45" s="16">
        <f>_xlfn.XLOOKUP(D45,[2]PI!$B$15:$B$99,[2]PI!$L$15:$L$99,0,2,1)</f>
        <v>0</v>
      </c>
      <c r="BB45" s="18">
        <f>(AS45-(90*Ventas!AE42*0.9644))</f>
        <v>37.738145828571433</v>
      </c>
      <c r="BC45" s="20">
        <f>(BB45/(Ventas!AE42*0.9644)/80)</f>
        <v>0.97716367050561659</v>
      </c>
      <c r="BD45" s="14"/>
      <c r="BE45" s="14"/>
      <c r="BF45" s="16"/>
      <c r="BG45" s="16"/>
      <c r="BH45" s="12">
        <f t="shared" si="11"/>
        <v>37.738145828571433</v>
      </c>
      <c r="BI45" s="19">
        <f t="shared" si="12"/>
        <v>0.85501821169241454</v>
      </c>
      <c r="BJ45" s="1" t="s">
        <v>35</v>
      </c>
      <c r="BK45">
        <f t="shared" si="13"/>
        <v>99</v>
      </c>
      <c r="BL45">
        <f t="shared" si="14"/>
        <v>99</v>
      </c>
    </row>
    <row r="46" spans="1:64" x14ac:dyDescent="0.25">
      <c r="A46" s="1" t="s">
        <v>157</v>
      </c>
      <c r="B46" s="1" t="s">
        <v>156</v>
      </c>
      <c r="C46" s="13" t="s">
        <v>155</v>
      </c>
      <c r="D46" s="15"/>
      <c r="E46" s="17"/>
      <c r="F46" s="5">
        <v>34</v>
      </c>
      <c r="G46" s="14"/>
      <c r="H46" s="16"/>
      <c r="I46" s="11">
        <v>46221</v>
      </c>
      <c r="J46" s="4">
        <v>17</v>
      </c>
      <c r="K46" s="18">
        <f>(F46-(0)+0-(J46*Ventas!AE43*1))</f>
        <v>31.479891666666667</v>
      </c>
      <c r="L46" s="20">
        <f>(K46/(Ventas!AE43*1)/80)</f>
        <v>2.6544402439709933</v>
      </c>
      <c r="M46" s="22">
        <f t="shared" si="21"/>
        <v>0</v>
      </c>
      <c r="N46" s="14"/>
      <c r="O46" s="25">
        <f t="shared" si="0"/>
        <v>0</v>
      </c>
      <c r="P46" s="16"/>
      <c r="Q46" s="12">
        <f t="shared" si="1"/>
        <v>31.479891666666667</v>
      </c>
      <c r="R46" s="5">
        <v>40</v>
      </c>
      <c r="S46" s="24">
        <v>0</v>
      </c>
      <c r="T46" s="26">
        <v>0</v>
      </c>
      <c r="U46" s="18">
        <f t="shared" si="2"/>
        <v>71.479891666666674</v>
      </c>
      <c r="V46" s="22">
        <f t="shared" si="3"/>
        <v>0</v>
      </c>
      <c r="W46" s="25">
        <f t="shared" si="4"/>
        <v>0</v>
      </c>
      <c r="X46" s="18">
        <v>3.3</v>
      </c>
      <c r="Y46" s="14"/>
      <c r="Z46" s="14"/>
      <c r="AA46" s="18">
        <v>12</v>
      </c>
      <c r="AB46" s="21">
        <v>7.136E-3</v>
      </c>
      <c r="AC46" s="11">
        <v>46313</v>
      </c>
      <c r="AD46" s="4">
        <v>92</v>
      </c>
      <c r="AE46" s="18">
        <f>(IF(K46&gt;0,K46+R46,R46)-(AD46*Ventas!AE43*1.0489))</f>
        <v>57.174748723333344</v>
      </c>
      <c r="AF46" s="20">
        <f>(AE46/(Ventas!AE43*1.0489)/80)</f>
        <v>4.5963162543912546</v>
      </c>
      <c r="AG46" s="22">
        <f t="shared" si="22"/>
        <v>0</v>
      </c>
      <c r="AH46" s="14"/>
      <c r="AI46" s="25">
        <f t="shared" si="5"/>
        <v>0</v>
      </c>
      <c r="AJ46" s="16"/>
      <c r="AK46" s="12">
        <f t="shared" si="6"/>
        <v>57.174748723333344</v>
      </c>
      <c r="AL46" s="19">
        <f t="shared" si="7"/>
        <v>4.0217767225923478</v>
      </c>
      <c r="AM46" s="18">
        <f>(180*(Ventas!AE43*0.9644) - IF(AE46&gt;0,AE46,0))</f>
        <v>-31.441181323333343</v>
      </c>
      <c r="AN46" s="18">
        <f>IF(AM46&gt;3,CEILING(AM46,5),0)</f>
        <v>0</v>
      </c>
      <c r="AO46" s="14"/>
      <c r="AP46" s="14">
        <f t="shared" si="20"/>
        <v>0</v>
      </c>
      <c r="AQ46" s="16">
        <f t="shared" si="9"/>
        <v>0</v>
      </c>
      <c r="AR46" s="37">
        <f>_xlfn.XLOOKUP(C46,[1]Hoja2!$C$6:$C$24,[1]Hoja2!$D$6:$D$24,0,2,1)</f>
        <v>0</v>
      </c>
      <c r="AS46" s="18">
        <f t="shared" si="10"/>
        <v>57.174748723333344</v>
      </c>
      <c r="AT46" s="14"/>
      <c r="AU46" s="37">
        <f>_xlfn.XLOOKUP(D46,[1]Hoja2!$E$6:$E$24,[1]Hoja2!$F$6:$F$24,0,2,1)</f>
        <v>0</v>
      </c>
      <c r="AV46" s="27">
        <v>0</v>
      </c>
      <c r="AW46" s="5">
        <v>3016</v>
      </c>
      <c r="AX46" s="14">
        <v>0</v>
      </c>
      <c r="AY46" s="14"/>
      <c r="AZ46" s="16">
        <f>_xlfn.XLOOKUP(C46,[2]PI!$B$15:$B$99,[2]PI!$L$15:$L$99,0,2,1)</f>
        <v>0</v>
      </c>
      <c r="BA46" s="16">
        <f>_xlfn.XLOOKUP(D46,[2]PI!$B$15:$B$99,[2]PI!$L$15:$L$99,0,2,1)</f>
        <v>0</v>
      </c>
      <c r="BB46" s="18">
        <f>(AS46-(90*Ventas!AE43*0.9644))</f>
        <v>44.307965023333345</v>
      </c>
      <c r="BC46" s="20">
        <f>(BB46/(Ventas!AE43*0.9644)/80)</f>
        <v>3.874042014963694</v>
      </c>
      <c r="BD46" s="14"/>
      <c r="BE46" s="14"/>
      <c r="BF46" s="16"/>
      <c r="BG46" s="16"/>
      <c r="BH46" s="12">
        <f t="shared" si="11"/>
        <v>44.307965023333345</v>
      </c>
      <c r="BI46" s="19">
        <f t="shared" si="12"/>
        <v>3.3897867630932321</v>
      </c>
      <c r="BJ46" s="1" t="s">
        <v>35</v>
      </c>
      <c r="BK46">
        <f t="shared" si="13"/>
        <v>0</v>
      </c>
      <c r="BL46">
        <f t="shared" si="14"/>
        <v>0</v>
      </c>
    </row>
    <row r="47" spans="1:64" x14ac:dyDescent="0.25">
      <c r="A47" s="1" t="s">
        <v>160</v>
      </c>
      <c r="B47" s="1" t="s">
        <v>159</v>
      </c>
      <c r="C47" s="13" t="s">
        <v>158</v>
      </c>
      <c r="D47" s="15"/>
      <c r="E47" s="17"/>
      <c r="F47" s="5">
        <v>15</v>
      </c>
      <c r="G47" s="14"/>
      <c r="H47" s="16"/>
      <c r="I47" s="11">
        <v>46221</v>
      </c>
      <c r="J47" s="4">
        <v>17</v>
      </c>
      <c r="K47" s="18">
        <f>(F47-(0)+0-(J47*Ventas!AE44*1))</f>
        <v>14.510400000000001</v>
      </c>
      <c r="L47" s="20">
        <f>(K47/(Ventas!AE44*1)/80)</f>
        <v>6.2979166666666675</v>
      </c>
      <c r="M47" s="22">
        <f t="shared" si="21"/>
        <v>0</v>
      </c>
      <c r="N47" s="14"/>
      <c r="O47" s="25">
        <f t="shared" si="0"/>
        <v>0</v>
      </c>
      <c r="P47" s="16"/>
      <c r="Q47" s="12">
        <f t="shared" si="1"/>
        <v>14.510400000000001</v>
      </c>
      <c r="R47" s="5">
        <v>0</v>
      </c>
      <c r="S47" s="24">
        <v>0</v>
      </c>
      <c r="T47" s="26">
        <v>0</v>
      </c>
      <c r="U47" s="18">
        <f t="shared" si="2"/>
        <v>14.510400000000001</v>
      </c>
      <c r="V47" s="22">
        <f t="shared" si="3"/>
        <v>0</v>
      </c>
      <c r="W47" s="25">
        <f t="shared" si="4"/>
        <v>0</v>
      </c>
      <c r="X47" s="3"/>
      <c r="Y47" s="14"/>
      <c r="Z47" s="14"/>
      <c r="AA47" s="18">
        <v>18</v>
      </c>
      <c r="AB47" s="21">
        <v>5.5659999999999998E-3</v>
      </c>
      <c r="AC47" s="11">
        <v>46313</v>
      </c>
      <c r="AD47" s="4">
        <v>92</v>
      </c>
      <c r="AE47" s="18">
        <f>(IF(K47&gt;0,K47+R47,R47)-(AD47*Ventas!AE44*1.0489))</f>
        <v>11.731234560000001</v>
      </c>
      <c r="AF47" s="20">
        <f>(AE47/(Ventas!AE44*1.0489)/80)</f>
        <v>4.8543060984523478</v>
      </c>
      <c r="AG47" s="22">
        <f t="shared" si="22"/>
        <v>0</v>
      </c>
      <c r="AH47" s="14"/>
      <c r="AI47" s="25">
        <f t="shared" si="5"/>
        <v>0</v>
      </c>
      <c r="AJ47" s="16"/>
      <c r="AK47" s="12">
        <f t="shared" si="6"/>
        <v>11.731234560000001</v>
      </c>
      <c r="AL47" s="19">
        <f t="shared" si="7"/>
        <v>4.2475178361458044</v>
      </c>
      <c r="AM47" s="18">
        <f>(180*(Ventas!AE44*0.9644) - IF(AE47&gt;0,AE47,0))</f>
        <v>-6.7317849600000006</v>
      </c>
      <c r="AN47" s="18">
        <f>IF(AM47&gt;3,CEILING(AM47,5),0)</f>
        <v>0</v>
      </c>
      <c r="AO47" s="14"/>
      <c r="AP47" s="14">
        <f t="shared" si="20"/>
        <v>0</v>
      </c>
      <c r="AQ47" s="16">
        <f t="shared" si="9"/>
        <v>0</v>
      </c>
      <c r="AR47" s="37">
        <f>_xlfn.XLOOKUP(C47,[1]Hoja2!$C$6:$C$24,[1]Hoja2!$D$6:$D$24,0,2,1)</f>
        <v>0</v>
      </c>
      <c r="AS47" s="18">
        <f t="shared" si="10"/>
        <v>11.731234560000001</v>
      </c>
      <c r="AT47" s="14"/>
      <c r="AU47" s="37">
        <f>_xlfn.XLOOKUP(D47,[1]Hoja2!$E$6:$E$24,[1]Hoja2!$F$6:$F$24,0,2,1)</f>
        <v>0</v>
      </c>
      <c r="AV47" s="27">
        <v>0</v>
      </c>
      <c r="AW47" s="5">
        <v>3016</v>
      </c>
      <c r="AX47" s="14">
        <v>0</v>
      </c>
      <c r="AY47" s="14"/>
      <c r="AZ47" s="16">
        <f>_xlfn.XLOOKUP(C47,[2]PI!$B$15:$B$99,[2]PI!$L$15:$L$99,0,2,1)</f>
        <v>0</v>
      </c>
      <c r="BA47" s="16">
        <f>_xlfn.XLOOKUP(D47,[2]PI!$B$15:$B$99,[2]PI!$L$15:$L$99,0,2,1)</f>
        <v>0</v>
      </c>
      <c r="BB47" s="18">
        <f>(AS47-(90*Ventas!AE44*0.9644))</f>
        <v>9.2315097600000016</v>
      </c>
      <c r="BC47" s="20">
        <f>(BB47/(Ventas!AE44*0.9644)/80)</f>
        <v>4.1546367344117252</v>
      </c>
      <c r="BD47" s="14"/>
      <c r="BE47" s="14"/>
      <c r="BF47" s="16"/>
      <c r="BG47" s="16"/>
      <c r="BH47" s="12">
        <f t="shared" si="11"/>
        <v>9.2315097600000016</v>
      </c>
      <c r="BI47" s="19">
        <f t="shared" si="12"/>
        <v>3.6353071426102597</v>
      </c>
      <c r="BJ47" s="1" t="s">
        <v>35</v>
      </c>
      <c r="BK47">
        <f t="shared" si="13"/>
        <v>0</v>
      </c>
      <c r="BL47">
        <f t="shared" si="14"/>
        <v>0</v>
      </c>
    </row>
    <row r="48" spans="1:64" x14ac:dyDescent="0.25">
      <c r="A48" s="1" t="s">
        <v>163</v>
      </c>
      <c r="B48" s="1" t="s">
        <v>162</v>
      </c>
      <c r="C48" s="13" t="s">
        <v>161</v>
      </c>
      <c r="D48" s="15"/>
      <c r="E48" s="17"/>
      <c r="F48" s="3"/>
      <c r="G48" s="14"/>
      <c r="H48" s="16"/>
      <c r="I48" s="11">
        <v>46221</v>
      </c>
      <c r="J48" s="4">
        <v>17</v>
      </c>
      <c r="K48" s="18">
        <f>(F48-(0)+0-(J48*Ventas!AE45*1))</f>
        <v>0</v>
      </c>
      <c r="L48" s="3"/>
      <c r="M48" s="22">
        <f t="shared" si="21"/>
        <v>0</v>
      </c>
      <c r="N48" s="14"/>
      <c r="O48" s="25">
        <f t="shared" si="0"/>
        <v>0</v>
      </c>
      <c r="P48" s="16"/>
      <c r="Q48" s="12">
        <f t="shared" si="1"/>
        <v>0</v>
      </c>
      <c r="R48" s="5">
        <v>0</v>
      </c>
      <c r="S48" s="24">
        <v>0</v>
      </c>
      <c r="T48" s="26">
        <v>0</v>
      </c>
      <c r="U48" s="18">
        <f t="shared" si="2"/>
        <v>0</v>
      </c>
      <c r="V48" s="22">
        <f t="shared" si="3"/>
        <v>0</v>
      </c>
      <c r="W48" s="25">
        <f t="shared" si="4"/>
        <v>0</v>
      </c>
      <c r="X48" s="3"/>
      <c r="Y48" s="14"/>
      <c r="Z48" s="14"/>
      <c r="AA48" s="3"/>
      <c r="AB48" s="3"/>
      <c r="AC48" s="11">
        <v>46313</v>
      </c>
      <c r="AD48" s="4">
        <v>92</v>
      </c>
      <c r="AE48" s="18">
        <f>(IF(K48&gt;0,K48+R48,R48)-(AD48*Ventas!AE45*1.0489))</f>
        <v>0</v>
      </c>
      <c r="AF48" s="3"/>
      <c r="AG48" s="22">
        <f t="shared" si="22"/>
        <v>0</v>
      </c>
      <c r="AH48" s="14"/>
      <c r="AI48" s="25">
        <f t="shared" si="5"/>
        <v>0</v>
      </c>
      <c r="AJ48" s="16"/>
      <c r="AK48" s="12">
        <f t="shared" si="6"/>
        <v>0</v>
      </c>
      <c r="AL48" s="19">
        <f t="shared" si="7"/>
        <v>0</v>
      </c>
      <c r="AM48" s="18">
        <f>(180*(Ventas!AE45*0.9644) - IF(AE48&gt;0,AE48,0))</f>
        <v>0</v>
      </c>
      <c r="AN48" s="18">
        <f>IF(AM48&gt;3,CEILING(AM48,5),0)</f>
        <v>0</v>
      </c>
      <c r="AO48" s="14"/>
      <c r="AP48" s="14">
        <f t="shared" si="20"/>
        <v>0</v>
      </c>
      <c r="AQ48" s="16">
        <f t="shared" si="9"/>
        <v>0</v>
      </c>
      <c r="AR48" s="37">
        <f>_xlfn.XLOOKUP(C48,[1]Hoja2!$C$6:$C$24,[1]Hoja2!$D$6:$D$24,0,2,1)</f>
        <v>0</v>
      </c>
      <c r="AS48" s="18">
        <f t="shared" si="10"/>
        <v>0</v>
      </c>
      <c r="AT48" s="14"/>
      <c r="AU48" s="37">
        <f>_xlfn.XLOOKUP(D48,[1]Hoja2!$E$6:$E$24,[1]Hoja2!$F$6:$F$24,0,2,1)</f>
        <v>0</v>
      </c>
      <c r="AV48" s="27">
        <v>0</v>
      </c>
      <c r="AW48" s="5">
        <v>3002</v>
      </c>
      <c r="AX48" s="14">
        <v>0</v>
      </c>
      <c r="AY48" s="14"/>
      <c r="AZ48" s="16">
        <f>_xlfn.XLOOKUP(C48,[2]PI!$B$15:$B$99,[2]PI!$L$15:$L$99,0,2,1)</f>
        <v>0</v>
      </c>
      <c r="BA48" s="16">
        <f>_xlfn.XLOOKUP(D48,[2]PI!$B$15:$B$99,[2]PI!$L$15:$L$99,0,2,1)</f>
        <v>0</v>
      </c>
      <c r="BB48" s="3"/>
      <c r="BC48" s="3"/>
      <c r="BD48" s="14"/>
      <c r="BE48" s="14"/>
      <c r="BF48" s="16"/>
      <c r="BG48" s="16"/>
      <c r="BH48" s="12">
        <f t="shared" si="11"/>
        <v>0</v>
      </c>
      <c r="BI48" s="19">
        <f t="shared" si="12"/>
        <v>0</v>
      </c>
      <c r="BJ48" s="1" t="s">
        <v>35</v>
      </c>
      <c r="BK48">
        <f t="shared" si="13"/>
        <v>0</v>
      </c>
      <c r="BL48">
        <f t="shared" si="14"/>
        <v>0</v>
      </c>
    </row>
    <row r="49" spans="1:64" x14ac:dyDescent="0.25">
      <c r="A49" s="1" t="s">
        <v>166</v>
      </c>
      <c r="B49" s="1" t="s">
        <v>165</v>
      </c>
      <c r="C49" s="13" t="s">
        <v>164</v>
      </c>
      <c r="D49" s="15"/>
      <c r="E49" s="17"/>
      <c r="F49" s="3"/>
      <c r="G49" s="14"/>
      <c r="H49" s="16"/>
      <c r="I49" s="11">
        <v>46221</v>
      </c>
      <c r="J49" s="4">
        <v>17</v>
      </c>
      <c r="K49" s="18">
        <f>(F49-(0)+0-(J49*Ventas!AE46*1))</f>
        <v>-5.61</v>
      </c>
      <c r="L49" s="20">
        <f>(K49/(Ventas!AE46*1)/80)</f>
        <v>-0.21249999999999999</v>
      </c>
      <c r="M49" s="22">
        <f t="shared" si="21"/>
        <v>0</v>
      </c>
      <c r="N49" s="14"/>
      <c r="O49" s="25">
        <f t="shared" si="0"/>
        <v>0</v>
      </c>
      <c r="P49" s="16"/>
      <c r="Q49" s="12">
        <f t="shared" si="1"/>
        <v>-5.61</v>
      </c>
      <c r="R49" s="5">
        <v>10</v>
      </c>
      <c r="S49" s="24">
        <v>0</v>
      </c>
      <c r="T49" s="26">
        <v>0</v>
      </c>
      <c r="U49" s="18">
        <f t="shared" si="2"/>
        <v>10</v>
      </c>
      <c r="V49" s="22">
        <f t="shared" si="3"/>
        <v>0</v>
      </c>
      <c r="W49" s="25">
        <f t="shared" si="4"/>
        <v>0</v>
      </c>
      <c r="X49" s="18">
        <v>4</v>
      </c>
      <c r="Y49" s="14"/>
      <c r="Z49" s="14"/>
      <c r="AA49" s="18">
        <v>10</v>
      </c>
      <c r="AB49" s="21">
        <v>6.4809999999999998E-3</v>
      </c>
      <c r="AC49" s="11">
        <v>46313</v>
      </c>
      <c r="AD49" s="4">
        <v>92</v>
      </c>
      <c r="AE49" s="18">
        <f>(IF(K49&gt;0,K49+R49,R49)-(AD49*Ventas!AE46*1.0489))</f>
        <v>-21.844604</v>
      </c>
      <c r="AF49" s="20">
        <f>(AE49/(Ventas!AE46*1.0489)/80)</f>
        <v>-0.78887131395950161</v>
      </c>
      <c r="AG49" s="22">
        <f t="shared" si="22"/>
        <v>0</v>
      </c>
      <c r="AH49" s="14"/>
      <c r="AI49" s="25">
        <f t="shared" si="5"/>
        <v>0</v>
      </c>
      <c r="AJ49" s="16"/>
      <c r="AK49" s="12">
        <f t="shared" si="6"/>
        <v>-21.844604</v>
      </c>
      <c r="AL49" s="19">
        <f t="shared" si="7"/>
        <v>-0.69026239971456393</v>
      </c>
      <c r="AM49" s="18">
        <f>(180*(Ventas!AE46*0.9644) - IF(AE49&gt;0,AE49,0))</f>
        <v>57.285360000000004</v>
      </c>
      <c r="AN49" s="42">
        <v>50</v>
      </c>
      <c r="AO49" s="14"/>
      <c r="AP49" s="14">
        <f t="shared" si="20"/>
        <v>0</v>
      </c>
      <c r="AQ49" s="16">
        <f t="shared" si="9"/>
        <v>0.32405</v>
      </c>
      <c r="AR49" s="37">
        <f>_xlfn.XLOOKUP(C49,[1]Hoja2!$C$6:$C$24,[1]Hoja2!$D$6:$D$24,0,2,1)</f>
        <v>0</v>
      </c>
      <c r="AS49" s="18">
        <f t="shared" si="10"/>
        <v>50</v>
      </c>
      <c r="AT49" s="14"/>
      <c r="AU49" s="37">
        <f>_xlfn.XLOOKUP(D49,[1]Hoja2!$E$6:$E$24,[1]Hoja2!$F$6:$F$24,0,2,1)</f>
        <v>0</v>
      </c>
      <c r="AV49" s="27">
        <v>4</v>
      </c>
      <c r="AW49" s="5">
        <v>3016</v>
      </c>
      <c r="AX49" s="14">
        <v>0</v>
      </c>
      <c r="AY49" s="14"/>
      <c r="AZ49" s="16">
        <f>_xlfn.XLOOKUP(C49,[2]PI!$B$15:$B$99,[2]PI!$L$15:$L$99,0,2,1)</f>
        <v>4</v>
      </c>
      <c r="BA49" s="16">
        <f>_xlfn.XLOOKUP(D49,[2]PI!$B$15:$B$99,[2]PI!$L$15:$L$99,0,2,1)</f>
        <v>0</v>
      </c>
      <c r="BB49" s="18">
        <f>(AS49-(90*Ventas!AE46*0.9644))</f>
        <v>21.357319999999998</v>
      </c>
      <c r="BC49" s="20">
        <f>(BB49/(Ventas!AE46*0.9644)/80)</f>
        <v>0.83885254452446478</v>
      </c>
      <c r="BD49" s="14"/>
      <c r="BE49" s="14"/>
      <c r="BF49" s="16"/>
      <c r="BG49" s="16"/>
      <c r="BH49" s="12">
        <f t="shared" si="11"/>
        <v>21.357319999999998</v>
      </c>
      <c r="BI49" s="19">
        <f t="shared" si="12"/>
        <v>0.73399597645890668</v>
      </c>
      <c r="BJ49" s="1" t="s">
        <v>35</v>
      </c>
      <c r="BK49">
        <f t="shared" si="13"/>
        <v>200</v>
      </c>
      <c r="BL49">
        <f t="shared" si="14"/>
        <v>200</v>
      </c>
    </row>
    <row r="50" spans="1:64" x14ac:dyDescent="0.25">
      <c r="A50" s="1" t="s">
        <v>169</v>
      </c>
      <c r="B50" s="1" t="s">
        <v>168</v>
      </c>
      <c r="C50" s="13" t="s">
        <v>167</v>
      </c>
      <c r="D50" s="15"/>
      <c r="E50" s="17"/>
      <c r="F50" s="5">
        <v>3</v>
      </c>
      <c r="G50" s="14"/>
      <c r="H50" s="16"/>
      <c r="I50" s="11">
        <v>46221</v>
      </c>
      <c r="J50" s="4">
        <v>17</v>
      </c>
      <c r="K50" s="18">
        <f>(F50-(0)+0-(J50*Ventas!AE47*1))</f>
        <v>2.9101428571428571</v>
      </c>
      <c r="L50" s="20">
        <f>(K50/(Ventas!AE47*1)/80)</f>
        <v>6.8820945945945953</v>
      </c>
      <c r="M50" s="22">
        <f t="shared" si="21"/>
        <v>0</v>
      </c>
      <c r="N50" s="14"/>
      <c r="O50" s="25">
        <f t="shared" si="0"/>
        <v>0</v>
      </c>
      <c r="P50" s="16"/>
      <c r="Q50" s="12">
        <f t="shared" si="1"/>
        <v>2.9101428571428571</v>
      </c>
      <c r="R50" s="5">
        <v>0</v>
      </c>
      <c r="S50" s="24">
        <v>0</v>
      </c>
      <c r="T50" s="26">
        <v>0</v>
      </c>
      <c r="U50" s="18">
        <f t="shared" si="2"/>
        <v>2.9101428571428571</v>
      </c>
      <c r="V50" s="22">
        <f t="shared" si="3"/>
        <v>0</v>
      </c>
      <c r="W50" s="25">
        <f t="shared" si="4"/>
        <v>0</v>
      </c>
      <c r="X50" s="3"/>
      <c r="Y50" s="14"/>
      <c r="Z50" s="14"/>
      <c r="AA50" s="3"/>
      <c r="AB50" s="3"/>
      <c r="AC50" s="11">
        <v>46313</v>
      </c>
      <c r="AD50" s="4">
        <v>92</v>
      </c>
      <c r="AE50" s="18">
        <f>(IF(K50&gt;0,K50+R50,R50)-(AD50*Ventas!AE47*1.0489))</f>
        <v>2.4000777714285713</v>
      </c>
      <c r="AF50" s="20">
        <f>(AE50/(Ventas!AE47*1.0489)/80)</f>
        <v>5.411249494322238</v>
      </c>
      <c r="AG50" s="22">
        <f t="shared" si="22"/>
        <v>0</v>
      </c>
      <c r="AH50" s="14"/>
      <c r="AI50" s="25">
        <f t="shared" si="5"/>
        <v>0</v>
      </c>
      <c r="AJ50" s="16"/>
      <c r="AK50" s="12">
        <f t="shared" si="6"/>
        <v>2.4000777714285713</v>
      </c>
      <c r="AL50" s="19">
        <f t="shared" si="7"/>
        <v>4.7348433075319587</v>
      </c>
      <c r="AM50" s="18">
        <f>(180*(Ventas!AE47*0.9644) - IF(AE50&gt;0,AE50,0))</f>
        <v>-1.4825200571428572</v>
      </c>
      <c r="AN50" s="18">
        <f t="shared" ref="AN50:AN59" si="23">IF(AM50&gt;3,CEILING(AM50,5),0)</f>
        <v>0</v>
      </c>
      <c r="AO50" s="14"/>
      <c r="AP50" s="14">
        <f t="shared" si="20"/>
        <v>0</v>
      </c>
      <c r="AQ50" s="16">
        <f t="shared" si="9"/>
        <v>0</v>
      </c>
      <c r="AR50" s="37">
        <f>_xlfn.XLOOKUP(C50,[1]Hoja2!$C$6:$C$24,[1]Hoja2!$D$6:$D$24,0,2,1)</f>
        <v>0</v>
      </c>
      <c r="AS50" s="18">
        <f t="shared" si="10"/>
        <v>2.4000777714285713</v>
      </c>
      <c r="AT50" s="14"/>
      <c r="AU50" s="37">
        <f>_xlfn.XLOOKUP(D50,[1]Hoja2!$E$6:$E$24,[1]Hoja2!$F$6:$F$24,0,2,1)</f>
        <v>0</v>
      </c>
      <c r="AV50" s="27">
        <v>0</v>
      </c>
      <c r="AW50" s="5">
        <v>3016</v>
      </c>
      <c r="AX50" s="14">
        <v>0</v>
      </c>
      <c r="AY50" s="14"/>
      <c r="AZ50" s="16">
        <f>_xlfn.XLOOKUP(C50,[2]PI!$B$15:$B$99,[2]PI!$L$15:$L$99,0,2,1)</f>
        <v>0</v>
      </c>
      <c r="BA50" s="16">
        <f>_xlfn.XLOOKUP(D50,[2]PI!$B$15:$B$99,[2]PI!$L$15:$L$99,0,2,1)</f>
        <v>0</v>
      </c>
      <c r="BB50" s="18">
        <f>(AS50-(90*Ventas!AE47*0.9644))</f>
        <v>1.9412989142857142</v>
      </c>
      <c r="BC50" s="20">
        <f>(BB50/(Ventas!AE47*0.9644)/80)</f>
        <v>4.7603790902059258</v>
      </c>
      <c r="BD50" s="14"/>
      <c r="BE50" s="14"/>
      <c r="BF50" s="16"/>
      <c r="BG50" s="16"/>
      <c r="BH50" s="12">
        <f t="shared" si="11"/>
        <v>1.9412989142857142</v>
      </c>
      <c r="BI50" s="19">
        <f t="shared" si="12"/>
        <v>4.1653317039301854</v>
      </c>
      <c r="BJ50" s="1" t="s">
        <v>35</v>
      </c>
      <c r="BK50">
        <f t="shared" si="13"/>
        <v>0</v>
      </c>
      <c r="BL50">
        <f t="shared" si="14"/>
        <v>0</v>
      </c>
    </row>
    <row r="51" spans="1:64" x14ac:dyDescent="0.25">
      <c r="A51" s="1" t="s">
        <v>172</v>
      </c>
      <c r="B51" s="1" t="s">
        <v>171</v>
      </c>
      <c r="C51" s="13" t="s">
        <v>170</v>
      </c>
      <c r="D51" s="15"/>
      <c r="E51" s="17"/>
      <c r="F51" s="5">
        <v>13</v>
      </c>
      <c r="G51" s="14"/>
      <c r="H51" s="16"/>
      <c r="I51" s="11">
        <v>46221</v>
      </c>
      <c r="J51" s="4">
        <v>17</v>
      </c>
      <c r="K51" s="18">
        <f>(F51-(0)+0-(J51*Ventas!AE48*1))</f>
        <v>12.928842857142858</v>
      </c>
      <c r="L51" s="20">
        <f>(K51/(Ventas!AE48*1)/80)</f>
        <v>38.610025597269626</v>
      </c>
      <c r="M51" s="22">
        <f t="shared" si="21"/>
        <v>0</v>
      </c>
      <c r="N51" s="14"/>
      <c r="O51" s="25">
        <f t="shared" si="0"/>
        <v>0</v>
      </c>
      <c r="P51" s="16"/>
      <c r="Q51" s="12">
        <f t="shared" si="1"/>
        <v>12.928842857142858</v>
      </c>
      <c r="R51" s="5">
        <v>0</v>
      </c>
      <c r="S51" s="24">
        <v>0</v>
      </c>
      <c r="T51" s="26">
        <v>0</v>
      </c>
      <c r="U51" s="18">
        <f t="shared" si="2"/>
        <v>12.928842857142858</v>
      </c>
      <c r="V51" s="22">
        <f t="shared" si="3"/>
        <v>0</v>
      </c>
      <c r="W51" s="25">
        <f t="shared" si="4"/>
        <v>0</v>
      </c>
      <c r="X51" s="3"/>
      <c r="Y51" s="14"/>
      <c r="Z51" s="14"/>
      <c r="AA51" s="18">
        <v>10</v>
      </c>
      <c r="AB51" s="21">
        <v>1.3318E-2</v>
      </c>
      <c r="AC51" s="11">
        <v>46313</v>
      </c>
      <c r="AD51" s="4">
        <v>92</v>
      </c>
      <c r="AE51" s="18">
        <f>(IF(K51&gt;0,K51+R51,R51)-(AD51*Ventas!AE48*1.0489))</f>
        <v>12.524926451428572</v>
      </c>
      <c r="AF51" s="20">
        <f>(AE51/(Ventas!AE48*1.0489)/80)</f>
        <v>35.660015823500451</v>
      </c>
      <c r="AG51" s="22">
        <f t="shared" si="22"/>
        <v>0</v>
      </c>
      <c r="AH51" s="14"/>
      <c r="AI51" s="25">
        <f t="shared" si="5"/>
        <v>0</v>
      </c>
      <c r="AJ51" s="16"/>
      <c r="AK51" s="12">
        <f t="shared" si="6"/>
        <v>12.524926451428572</v>
      </c>
      <c r="AL51" s="19">
        <f t="shared" si="7"/>
        <v>31.202513845562894</v>
      </c>
      <c r="AM51" s="18">
        <f>(180*(Ventas!AE48*0.9644) - IF(AE51&gt;0,AE51,0))</f>
        <v>-11.798319937142857</v>
      </c>
      <c r="AN51" s="18">
        <f t="shared" si="23"/>
        <v>0</v>
      </c>
      <c r="AO51" s="14"/>
      <c r="AP51" s="14">
        <f t="shared" si="20"/>
        <v>0</v>
      </c>
      <c r="AQ51" s="16">
        <f t="shared" si="9"/>
        <v>0</v>
      </c>
      <c r="AR51" s="37">
        <f>_xlfn.XLOOKUP(C51,[1]Hoja2!$C$6:$C$24,[1]Hoja2!$D$6:$D$24,0,2,1)</f>
        <v>0</v>
      </c>
      <c r="AS51" s="18">
        <f t="shared" si="10"/>
        <v>12.524926451428572</v>
      </c>
      <c r="AT51" s="14"/>
      <c r="AU51" s="37">
        <f>_xlfn.XLOOKUP(D51,[1]Hoja2!$E$6:$E$24,[1]Hoja2!$F$6:$F$24,0,2,1)</f>
        <v>0</v>
      </c>
      <c r="AV51" s="27">
        <v>0</v>
      </c>
      <c r="AW51" s="5">
        <v>3016</v>
      </c>
      <c r="AX51" s="14">
        <v>0</v>
      </c>
      <c r="AY51" s="14"/>
      <c r="AZ51" s="16">
        <f>_xlfn.XLOOKUP(C51,[2]PI!$B$15:$B$99,[2]PI!$L$15:$L$99,0,2,1)</f>
        <v>0</v>
      </c>
      <c r="BA51" s="16">
        <f>_xlfn.XLOOKUP(D51,[2]PI!$B$15:$B$99,[2]PI!$L$15:$L$99,0,2,1)</f>
        <v>0</v>
      </c>
      <c r="BB51" s="18">
        <f>(AS51-(90*Ventas!AE48*0.9644))</f>
        <v>12.161623194285715</v>
      </c>
      <c r="BC51" s="20">
        <f>(BB51/(Ventas!AE48*0.9644)/80)</f>
        <v>37.65951949115474</v>
      </c>
      <c r="BD51" s="14"/>
      <c r="BE51" s="14"/>
      <c r="BF51" s="16"/>
      <c r="BG51" s="16"/>
      <c r="BH51" s="12">
        <f t="shared" si="11"/>
        <v>12.161623194285715</v>
      </c>
      <c r="BI51" s="19">
        <f t="shared" si="12"/>
        <v>32.952079554760395</v>
      </c>
      <c r="BJ51" s="1" t="s">
        <v>35</v>
      </c>
      <c r="BK51">
        <f t="shared" si="13"/>
        <v>0</v>
      </c>
      <c r="BL51">
        <f t="shared" si="14"/>
        <v>0</v>
      </c>
    </row>
    <row r="52" spans="1:64" x14ac:dyDescent="0.25">
      <c r="A52" s="1" t="s">
        <v>175</v>
      </c>
      <c r="B52" s="1" t="s">
        <v>174</v>
      </c>
      <c r="C52" s="13" t="s">
        <v>173</v>
      </c>
      <c r="D52" s="15"/>
      <c r="E52" s="17"/>
      <c r="F52" s="5">
        <v>12</v>
      </c>
      <c r="G52" s="14"/>
      <c r="H52" s="16"/>
      <c r="I52" s="11">
        <v>46221</v>
      </c>
      <c r="J52" s="4">
        <v>17</v>
      </c>
      <c r="K52" s="18">
        <f>(F52-(0)+0-(J52*Ventas!AE49*1))</f>
        <v>10.374314285714286</v>
      </c>
      <c r="L52" s="20">
        <f>(K52/(Ventas!AE49*1)/80)</f>
        <v>1.3560688676426653</v>
      </c>
      <c r="M52" s="22">
        <f t="shared" si="21"/>
        <v>0</v>
      </c>
      <c r="N52" s="14"/>
      <c r="O52" s="25">
        <f t="shared" si="0"/>
        <v>0</v>
      </c>
      <c r="P52" s="16"/>
      <c r="Q52" s="12">
        <f t="shared" si="1"/>
        <v>10.374314285714286</v>
      </c>
      <c r="R52" s="5">
        <v>24</v>
      </c>
      <c r="S52" s="24">
        <v>0</v>
      </c>
      <c r="T52" s="26">
        <v>0</v>
      </c>
      <c r="U52" s="18">
        <f t="shared" si="2"/>
        <v>34.374314285714284</v>
      </c>
      <c r="V52" s="22">
        <f t="shared" si="3"/>
        <v>0</v>
      </c>
      <c r="W52" s="25">
        <f t="shared" si="4"/>
        <v>0</v>
      </c>
      <c r="X52" s="18">
        <v>10.8</v>
      </c>
      <c r="Y52" s="14"/>
      <c r="Z52" s="14"/>
      <c r="AA52" s="18">
        <v>8</v>
      </c>
      <c r="AB52" s="21">
        <v>1.6275000000000001E-2</v>
      </c>
      <c r="AC52" s="11">
        <v>46313</v>
      </c>
      <c r="AD52" s="4">
        <v>92</v>
      </c>
      <c r="AE52" s="18">
        <f>(IF(K52&gt;0,K52+R52,R52)-(AD52*Ventas!AE49*1.0489))</f>
        <v>25.146271897142856</v>
      </c>
      <c r="AF52" s="20">
        <f>(AE52/(Ventas!AE49*1.0489)/80)</f>
        <v>3.1337321030870391</v>
      </c>
      <c r="AG52" s="22">
        <f t="shared" si="22"/>
        <v>0</v>
      </c>
      <c r="AH52" s="14"/>
      <c r="AI52" s="25">
        <f t="shared" si="5"/>
        <v>0</v>
      </c>
      <c r="AJ52" s="16"/>
      <c r="AK52" s="12">
        <f t="shared" si="6"/>
        <v>25.146271897142856</v>
      </c>
      <c r="AL52" s="19">
        <f t="shared" si="7"/>
        <v>2.7420155902011594</v>
      </c>
      <c r="AM52" s="18">
        <f>(180*(Ventas!AE49*0.9644) - IF(AE52&gt;0,AE52,0))</f>
        <v>-8.5459169257142875</v>
      </c>
      <c r="AN52" s="18">
        <f t="shared" si="23"/>
        <v>0</v>
      </c>
      <c r="AO52" s="14"/>
      <c r="AP52" s="14">
        <f t="shared" si="20"/>
        <v>0</v>
      </c>
      <c r="AQ52" s="16">
        <f t="shared" si="9"/>
        <v>0</v>
      </c>
      <c r="AR52" s="37">
        <f>_xlfn.XLOOKUP(C52,[1]Hoja2!$C$6:$C$24,[1]Hoja2!$D$6:$D$24,0,2,1)</f>
        <v>0</v>
      </c>
      <c r="AS52" s="18">
        <f t="shared" si="10"/>
        <v>25.146271897142856</v>
      </c>
      <c r="AT52" s="14"/>
      <c r="AU52" s="37">
        <f>_xlfn.XLOOKUP(D52,[1]Hoja2!$E$6:$E$24,[1]Hoja2!$F$6:$F$24,0,2,1)</f>
        <v>0</v>
      </c>
      <c r="AV52" s="27">
        <v>0</v>
      </c>
      <c r="AW52" s="5">
        <v>3016</v>
      </c>
      <c r="AX52" s="14">
        <v>0</v>
      </c>
      <c r="AY52" s="14"/>
      <c r="AZ52" s="16">
        <f>_xlfn.XLOOKUP(C52,[2]PI!$B$15:$B$99,[2]PI!$L$15:$L$99,0,2,1)</f>
        <v>0</v>
      </c>
      <c r="BA52" s="16">
        <f>_xlfn.XLOOKUP(D52,[2]PI!$B$15:$B$99,[2]PI!$L$15:$L$99,0,2,1)</f>
        <v>0</v>
      </c>
      <c r="BB52" s="18">
        <f>(AS52-(90*Ventas!AE49*0.9644))</f>
        <v>16.846094411428574</v>
      </c>
      <c r="BC52" s="20">
        <f>(BB52/(Ventas!AE49*0.9644)/80)</f>
        <v>2.2833073443882159</v>
      </c>
      <c r="BD52" s="14"/>
      <c r="BE52" s="14"/>
      <c r="BF52" s="16"/>
      <c r="BG52" s="16"/>
      <c r="BH52" s="12">
        <f t="shared" si="11"/>
        <v>16.846094411428574</v>
      </c>
      <c r="BI52" s="19">
        <f t="shared" si="12"/>
        <v>1.9978939263396889</v>
      </c>
      <c r="BJ52" s="1" t="s">
        <v>35</v>
      </c>
      <c r="BK52">
        <f t="shared" si="13"/>
        <v>0</v>
      </c>
      <c r="BL52">
        <f t="shared" si="14"/>
        <v>0</v>
      </c>
    </row>
    <row r="53" spans="1:64" x14ac:dyDescent="0.25">
      <c r="A53" s="1" t="s">
        <v>178</v>
      </c>
      <c r="B53" s="1" t="s">
        <v>177</v>
      </c>
      <c r="C53" s="13" t="s">
        <v>176</v>
      </c>
      <c r="D53" s="15"/>
      <c r="E53" s="17"/>
      <c r="F53" s="5">
        <v>21</v>
      </c>
      <c r="G53" s="14"/>
      <c r="H53" s="16"/>
      <c r="I53" s="11">
        <v>46221</v>
      </c>
      <c r="J53" s="4">
        <v>17</v>
      </c>
      <c r="K53" s="18">
        <f>(F53-(0)+0-(J53*Ventas!AE50*1))</f>
        <v>20.7807</v>
      </c>
      <c r="L53" s="20">
        <f>(K53/(Ventas!AE50*1)/80)</f>
        <v>20.136337209302326</v>
      </c>
      <c r="M53" s="22">
        <f t="shared" si="21"/>
        <v>0</v>
      </c>
      <c r="N53" s="14"/>
      <c r="O53" s="25">
        <f t="shared" si="0"/>
        <v>0</v>
      </c>
      <c r="P53" s="16"/>
      <c r="Q53" s="12">
        <f t="shared" si="1"/>
        <v>20.7807</v>
      </c>
      <c r="R53" s="5">
        <v>0</v>
      </c>
      <c r="S53" s="24">
        <v>0</v>
      </c>
      <c r="T53" s="26">
        <v>0</v>
      </c>
      <c r="U53" s="18">
        <f t="shared" si="2"/>
        <v>20.7807</v>
      </c>
      <c r="V53" s="22">
        <f t="shared" si="3"/>
        <v>0</v>
      </c>
      <c r="W53" s="25">
        <f t="shared" si="4"/>
        <v>0</v>
      </c>
      <c r="X53" s="3"/>
      <c r="Y53" s="14"/>
      <c r="Z53" s="14"/>
      <c r="AA53" s="18">
        <v>18</v>
      </c>
      <c r="AB53" s="21">
        <v>4.333E-3</v>
      </c>
      <c r="AC53" s="11">
        <v>46313</v>
      </c>
      <c r="AD53" s="4">
        <v>92</v>
      </c>
      <c r="AE53" s="18">
        <f>(IF(K53&gt;0,K53+R53,R53)-(AD53*Ventas!AE50*1.0489))</f>
        <v>19.535865479999998</v>
      </c>
      <c r="AF53" s="20">
        <f>(AE53/(Ventas!AE50*1.0489)/80)</f>
        <v>18.047575754888289</v>
      </c>
      <c r="AG53" s="22">
        <f t="shared" si="22"/>
        <v>0</v>
      </c>
      <c r="AH53" s="14"/>
      <c r="AI53" s="25">
        <f t="shared" si="5"/>
        <v>0</v>
      </c>
      <c r="AJ53" s="16"/>
      <c r="AK53" s="12">
        <f t="shared" si="6"/>
        <v>19.535865479999998</v>
      </c>
      <c r="AL53" s="19">
        <f t="shared" si="7"/>
        <v>15.791628785527253</v>
      </c>
      <c r="AM53" s="18">
        <f>(180*(Ventas!AE50*0.9644) - IF(AE53&gt;0,AE53,0))</f>
        <v>-17.296528679999998</v>
      </c>
      <c r="AN53" s="18">
        <f t="shared" si="23"/>
        <v>0</v>
      </c>
      <c r="AO53" s="14"/>
      <c r="AP53" s="14">
        <f t="shared" si="20"/>
        <v>0</v>
      </c>
      <c r="AQ53" s="16">
        <f t="shared" si="9"/>
        <v>0</v>
      </c>
      <c r="AR53" s="37">
        <f>_xlfn.XLOOKUP(C53,[1]Hoja2!$C$6:$C$24,[1]Hoja2!$D$6:$D$24,0,2,1)</f>
        <v>0</v>
      </c>
      <c r="AS53" s="18">
        <f t="shared" si="10"/>
        <v>19.535865479999998</v>
      </c>
      <c r="AT53" s="14"/>
      <c r="AU53" s="37">
        <f>_xlfn.XLOOKUP(D53,[1]Hoja2!$E$6:$E$24,[1]Hoja2!$F$6:$F$24,0,2,1)</f>
        <v>0</v>
      </c>
      <c r="AV53" s="27">
        <v>0</v>
      </c>
      <c r="AW53" s="5">
        <v>3016</v>
      </c>
      <c r="AX53" s="14">
        <v>0</v>
      </c>
      <c r="AY53" s="14"/>
      <c r="AZ53" s="16">
        <f>_xlfn.XLOOKUP(C53,[2]PI!$B$15:$B$99,[2]PI!$L$15:$L$99,0,2,1)</f>
        <v>0</v>
      </c>
      <c r="BA53" s="16">
        <f>_xlfn.XLOOKUP(D53,[2]PI!$B$15:$B$99,[2]PI!$L$15:$L$99,0,2,1)</f>
        <v>0</v>
      </c>
      <c r="BB53" s="18">
        <f>(AS53-(90*Ventas!AE50*0.9644))</f>
        <v>18.416197079999996</v>
      </c>
      <c r="BC53" s="20">
        <f>(BB53/(Ventas!AE50*0.9644)/80)</f>
        <v>18.503890718894983</v>
      </c>
      <c r="BD53" s="14"/>
      <c r="BE53" s="14"/>
      <c r="BF53" s="16"/>
      <c r="BG53" s="16"/>
      <c r="BH53" s="12">
        <f t="shared" si="11"/>
        <v>18.416197079999996</v>
      </c>
      <c r="BI53" s="19">
        <f t="shared" si="12"/>
        <v>16.19090437903311</v>
      </c>
      <c r="BJ53" s="1" t="s">
        <v>35</v>
      </c>
      <c r="BK53">
        <f t="shared" si="13"/>
        <v>0</v>
      </c>
      <c r="BL53">
        <f t="shared" si="14"/>
        <v>0</v>
      </c>
    </row>
    <row r="54" spans="1:64" x14ac:dyDescent="0.25">
      <c r="A54" s="1" t="s">
        <v>181</v>
      </c>
      <c r="B54" s="1" t="s">
        <v>180</v>
      </c>
      <c r="C54" s="13" t="s">
        <v>179</v>
      </c>
      <c r="D54" s="15"/>
      <c r="E54" s="17"/>
      <c r="F54" s="3"/>
      <c r="G54" s="14"/>
      <c r="H54" s="16"/>
      <c r="I54" s="11">
        <v>46221</v>
      </c>
      <c r="J54" s="4">
        <v>17</v>
      </c>
      <c r="K54" s="18">
        <f>(F54-(0)+0-(J54*Ventas!AE51*1))</f>
        <v>0</v>
      </c>
      <c r="L54" s="3"/>
      <c r="M54" s="22">
        <f t="shared" si="21"/>
        <v>0</v>
      </c>
      <c r="N54" s="14"/>
      <c r="O54" s="25">
        <f t="shared" si="0"/>
        <v>0</v>
      </c>
      <c r="P54" s="16"/>
      <c r="Q54" s="12">
        <f t="shared" si="1"/>
        <v>0</v>
      </c>
      <c r="R54" s="5">
        <v>0</v>
      </c>
      <c r="S54" s="24">
        <v>0</v>
      </c>
      <c r="T54" s="26">
        <v>0</v>
      </c>
      <c r="U54" s="18">
        <f t="shared" si="2"/>
        <v>0</v>
      </c>
      <c r="V54" s="22">
        <f t="shared" si="3"/>
        <v>0</v>
      </c>
      <c r="W54" s="25">
        <f t="shared" si="4"/>
        <v>0</v>
      </c>
      <c r="X54" s="3"/>
      <c r="Y54" s="14"/>
      <c r="Z54" s="14"/>
      <c r="AA54" s="3"/>
      <c r="AB54" s="3"/>
      <c r="AC54" s="11">
        <v>46313</v>
      </c>
      <c r="AD54" s="4">
        <v>92</v>
      </c>
      <c r="AE54" s="18">
        <f>(IF(K54&gt;0,K54+R54,R54)-(AD54*Ventas!AE51*1.0489))</f>
        <v>0</v>
      </c>
      <c r="AF54" s="3"/>
      <c r="AG54" s="22">
        <f t="shared" si="22"/>
        <v>0</v>
      </c>
      <c r="AH54" s="14"/>
      <c r="AI54" s="25">
        <f t="shared" si="5"/>
        <v>0</v>
      </c>
      <c r="AJ54" s="16"/>
      <c r="AK54" s="12">
        <f t="shared" si="6"/>
        <v>0</v>
      </c>
      <c r="AL54" s="19">
        <f t="shared" si="7"/>
        <v>0</v>
      </c>
      <c r="AM54" s="18">
        <f>(180*(Ventas!AE51*0.9644) - IF(AE54&gt;0,AE54,0))</f>
        <v>0</v>
      </c>
      <c r="AN54" s="18">
        <f t="shared" si="23"/>
        <v>0</v>
      </c>
      <c r="AO54" s="14"/>
      <c r="AP54" s="14">
        <f t="shared" si="20"/>
        <v>0</v>
      </c>
      <c r="AQ54" s="16">
        <f t="shared" si="9"/>
        <v>0</v>
      </c>
      <c r="AR54" s="37">
        <f>_xlfn.XLOOKUP(C54,[1]Hoja2!$C$6:$C$24,[1]Hoja2!$D$6:$D$24,0,2,1)</f>
        <v>0</v>
      </c>
      <c r="AS54" s="18">
        <f t="shared" si="10"/>
        <v>0</v>
      </c>
      <c r="AT54" s="14"/>
      <c r="AU54" s="37">
        <f>_xlfn.XLOOKUP(D54,[1]Hoja2!$E$6:$E$24,[1]Hoja2!$F$6:$F$24,0,2,1)</f>
        <v>0</v>
      </c>
      <c r="AV54" s="27">
        <v>0</v>
      </c>
      <c r="AW54" s="5">
        <v>3013</v>
      </c>
      <c r="AX54" s="14">
        <v>0</v>
      </c>
      <c r="AY54" s="14"/>
      <c r="AZ54" s="16">
        <f>_xlfn.XLOOKUP(C54,[2]PI!$B$15:$B$99,[2]PI!$L$15:$L$99,0,2,1)</f>
        <v>0</v>
      </c>
      <c r="BA54" s="16">
        <f>_xlfn.XLOOKUP(D54,[2]PI!$B$15:$B$99,[2]PI!$L$15:$L$99,0,2,1)</f>
        <v>0</v>
      </c>
      <c r="BB54" s="3"/>
      <c r="BC54" s="3"/>
      <c r="BD54" s="14"/>
      <c r="BE54" s="14"/>
      <c r="BF54" s="16"/>
      <c r="BG54" s="16"/>
      <c r="BH54" s="12">
        <f t="shared" si="11"/>
        <v>0</v>
      </c>
      <c r="BI54" s="19">
        <f t="shared" si="12"/>
        <v>0</v>
      </c>
      <c r="BJ54" s="1" t="s">
        <v>35</v>
      </c>
      <c r="BK54">
        <f t="shared" si="13"/>
        <v>0</v>
      </c>
      <c r="BL54">
        <f t="shared" si="14"/>
        <v>0</v>
      </c>
    </row>
    <row r="55" spans="1:64" x14ac:dyDescent="0.25">
      <c r="A55" s="1"/>
      <c r="B55" s="1" t="s">
        <v>183</v>
      </c>
      <c r="C55" s="13" t="s">
        <v>182</v>
      </c>
      <c r="D55" s="15"/>
      <c r="E55" s="17"/>
      <c r="F55" s="3"/>
      <c r="G55" s="14"/>
      <c r="H55" s="16"/>
      <c r="I55" s="11">
        <v>46221</v>
      </c>
      <c r="J55" s="4">
        <v>17</v>
      </c>
      <c r="K55" s="18">
        <f>(F55-(0)+0-(J55*Ventas!AE52*1))</f>
        <v>0</v>
      </c>
      <c r="L55" s="3"/>
      <c r="M55" s="22">
        <f t="shared" si="21"/>
        <v>0</v>
      </c>
      <c r="N55" s="14"/>
      <c r="O55" s="25">
        <f t="shared" si="0"/>
        <v>0</v>
      </c>
      <c r="P55" s="16"/>
      <c r="Q55" s="12">
        <f t="shared" si="1"/>
        <v>0</v>
      </c>
      <c r="R55" s="5">
        <v>0</v>
      </c>
      <c r="S55" s="24">
        <v>0</v>
      </c>
      <c r="T55" s="26">
        <v>0</v>
      </c>
      <c r="U55" s="18">
        <f t="shared" si="2"/>
        <v>0</v>
      </c>
      <c r="V55" s="22">
        <f t="shared" si="3"/>
        <v>0</v>
      </c>
      <c r="W55" s="25">
        <f t="shared" si="4"/>
        <v>0</v>
      </c>
      <c r="X55" s="3"/>
      <c r="Y55" s="14"/>
      <c r="Z55" s="14"/>
      <c r="AA55" s="3"/>
      <c r="AB55" s="3"/>
      <c r="AC55" s="11">
        <v>46313</v>
      </c>
      <c r="AD55" s="4">
        <v>92</v>
      </c>
      <c r="AE55" s="18">
        <f>(IF(K55&gt;0,K55+R55,R55)-(AD55*Ventas!AE52*1.0489))</f>
        <v>0</v>
      </c>
      <c r="AF55" s="3"/>
      <c r="AG55" s="22">
        <f t="shared" si="22"/>
        <v>0</v>
      </c>
      <c r="AH55" s="14"/>
      <c r="AI55" s="25">
        <f t="shared" si="5"/>
        <v>0</v>
      </c>
      <c r="AJ55" s="16"/>
      <c r="AK55" s="12">
        <f t="shared" si="6"/>
        <v>0</v>
      </c>
      <c r="AL55" s="19">
        <f t="shared" si="7"/>
        <v>0</v>
      </c>
      <c r="AM55" s="18">
        <f>(180*(Ventas!AE52*0.9644) - IF(AE55&gt;0,AE55,0))</f>
        <v>0</v>
      </c>
      <c r="AN55" s="18">
        <f t="shared" si="23"/>
        <v>0</v>
      </c>
      <c r="AO55" s="14"/>
      <c r="AP55" s="14">
        <f t="shared" si="20"/>
        <v>0</v>
      </c>
      <c r="AQ55" s="16">
        <f t="shared" si="9"/>
        <v>0</v>
      </c>
      <c r="AR55" s="37">
        <f>_xlfn.XLOOKUP(C55,[1]Hoja2!$C$6:$C$24,[1]Hoja2!$D$6:$D$24,0,2,1)</f>
        <v>0</v>
      </c>
      <c r="AS55" s="18">
        <f t="shared" si="10"/>
        <v>0</v>
      </c>
      <c r="AT55" s="14"/>
      <c r="AU55" s="37">
        <f>_xlfn.XLOOKUP(D55,[1]Hoja2!$E$6:$E$24,[1]Hoja2!$F$6:$F$24,0,2,1)</f>
        <v>0</v>
      </c>
      <c r="AV55" s="27">
        <v>0</v>
      </c>
      <c r="AW55" s="5">
        <v>3011</v>
      </c>
      <c r="AX55" s="14">
        <v>0</v>
      </c>
      <c r="AY55" s="14"/>
      <c r="AZ55" s="16">
        <f>_xlfn.XLOOKUP(C55,[2]PI!$B$15:$B$99,[2]PI!$L$15:$L$99,0,2,1)</f>
        <v>0</v>
      </c>
      <c r="BA55" s="16">
        <f>_xlfn.XLOOKUP(D55,[2]PI!$B$15:$B$99,[2]PI!$L$15:$L$99,0,2,1)</f>
        <v>0</v>
      </c>
      <c r="BB55" s="3"/>
      <c r="BC55" s="3"/>
      <c r="BD55" s="14"/>
      <c r="BE55" s="14"/>
      <c r="BF55" s="16"/>
      <c r="BG55" s="16"/>
      <c r="BH55" s="12">
        <f t="shared" si="11"/>
        <v>0</v>
      </c>
      <c r="BI55" s="19">
        <f t="shared" si="12"/>
        <v>0</v>
      </c>
      <c r="BJ55" s="1" t="s">
        <v>51</v>
      </c>
      <c r="BK55">
        <f t="shared" si="13"/>
        <v>0</v>
      </c>
      <c r="BL55">
        <f t="shared" si="14"/>
        <v>0</v>
      </c>
    </row>
    <row r="56" spans="1:64" x14ac:dyDescent="0.25">
      <c r="A56" s="1"/>
      <c r="B56" s="1" t="s">
        <v>185</v>
      </c>
      <c r="C56" s="13" t="s">
        <v>184</v>
      </c>
      <c r="D56" s="15"/>
      <c r="E56" s="17"/>
      <c r="F56" s="3"/>
      <c r="G56" s="14"/>
      <c r="H56" s="16"/>
      <c r="I56" s="11">
        <v>46221</v>
      </c>
      <c r="J56" s="4">
        <v>17</v>
      </c>
      <c r="K56" s="18">
        <f>(F56-(0)+0-(J56*Ventas!AE53*1))</f>
        <v>0</v>
      </c>
      <c r="L56" s="3"/>
      <c r="M56" s="22">
        <f t="shared" si="21"/>
        <v>0</v>
      </c>
      <c r="N56" s="14"/>
      <c r="O56" s="25">
        <f t="shared" si="0"/>
        <v>0</v>
      </c>
      <c r="P56" s="16"/>
      <c r="Q56" s="12">
        <f t="shared" si="1"/>
        <v>0</v>
      </c>
      <c r="R56" s="5">
        <v>0</v>
      </c>
      <c r="S56" s="24">
        <v>0</v>
      </c>
      <c r="T56" s="26">
        <v>0</v>
      </c>
      <c r="U56" s="18">
        <f t="shared" si="2"/>
        <v>0</v>
      </c>
      <c r="V56" s="22">
        <f t="shared" si="3"/>
        <v>0</v>
      </c>
      <c r="W56" s="25">
        <f t="shared" si="4"/>
        <v>0</v>
      </c>
      <c r="X56" s="3"/>
      <c r="Y56" s="14"/>
      <c r="Z56" s="14"/>
      <c r="AA56" s="3"/>
      <c r="AB56" s="3"/>
      <c r="AC56" s="11">
        <v>46313</v>
      </c>
      <c r="AD56" s="4">
        <v>92</v>
      </c>
      <c r="AE56" s="18">
        <f>(IF(K56&gt;0,K56+R56,R56)-(AD56*Ventas!AE53*1.0489))</f>
        <v>0</v>
      </c>
      <c r="AF56" s="3"/>
      <c r="AG56" s="22">
        <f t="shared" si="22"/>
        <v>0</v>
      </c>
      <c r="AH56" s="14"/>
      <c r="AI56" s="25">
        <f t="shared" si="5"/>
        <v>0</v>
      </c>
      <c r="AJ56" s="16"/>
      <c r="AK56" s="12">
        <f t="shared" si="6"/>
        <v>0</v>
      </c>
      <c r="AL56" s="19">
        <f t="shared" si="7"/>
        <v>0</v>
      </c>
      <c r="AM56" s="18">
        <f>(180*(Ventas!AE53*0.9644) - IF(AE56&gt;0,AE56,0))</f>
        <v>0</v>
      </c>
      <c r="AN56" s="18">
        <f t="shared" si="23"/>
        <v>0</v>
      </c>
      <c r="AO56" s="14"/>
      <c r="AP56" s="14">
        <f t="shared" si="20"/>
        <v>0</v>
      </c>
      <c r="AQ56" s="16">
        <f t="shared" si="9"/>
        <v>0</v>
      </c>
      <c r="AR56" s="37">
        <f>_xlfn.XLOOKUP(C56,[1]Hoja2!$C$6:$C$24,[1]Hoja2!$D$6:$D$24,0,2,1)</f>
        <v>0</v>
      </c>
      <c r="AS56" s="18">
        <f t="shared" si="10"/>
        <v>0</v>
      </c>
      <c r="AT56" s="14"/>
      <c r="AU56" s="37">
        <f>_xlfn.XLOOKUP(D56,[1]Hoja2!$E$6:$E$24,[1]Hoja2!$F$6:$F$24,0,2,1)</f>
        <v>0</v>
      </c>
      <c r="AV56" s="27">
        <v>0</v>
      </c>
      <c r="AW56" s="5">
        <v>3011</v>
      </c>
      <c r="AX56" s="14">
        <v>0</v>
      </c>
      <c r="AY56" s="14"/>
      <c r="AZ56" s="16">
        <f>_xlfn.XLOOKUP(C56,[2]PI!$B$15:$B$99,[2]PI!$L$15:$L$99,0,2,1)</f>
        <v>0</v>
      </c>
      <c r="BA56" s="16">
        <f>_xlfn.XLOOKUP(D56,[2]PI!$B$15:$B$99,[2]PI!$L$15:$L$99,0,2,1)</f>
        <v>0</v>
      </c>
      <c r="BB56" s="3"/>
      <c r="BC56" s="3"/>
      <c r="BD56" s="14"/>
      <c r="BE56" s="14"/>
      <c r="BF56" s="16"/>
      <c r="BG56" s="16"/>
      <c r="BH56" s="12">
        <f t="shared" si="11"/>
        <v>0</v>
      </c>
      <c r="BI56" s="19">
        <f t="shared" si="12"/>
        <v>0</v>
      </c>
      <c r="BJ56" s="1" t="s">
        <v>51</v>
      </c>
      <c r="BK56">
        <f t="shared" si="13"/>
        <v>0</v>
      </c>
      <c r="BL56">
        <f t="shared" si="14"/>
        <v>0</v>
      </c>
    </row>
    <row r="57" spans="1:64" x14ac:dyDescent="0.25">
      <c r="A57" s="1"/>
      <c r="B57" s="1" t="s">
        <v>187</v>
      </c>
      <c r="C57" s="13" t="s">
        <v>186</v>
      </c>
      <c r="D57" s="15"/>
      <c r="E57" s="17"/>
      <c r="F57" s="3"/>
      <c r="G57" s="14"/>
      <c r="H57" s="16"/>
      <c r="I57" s="11">
        <v>46221</v>
      </c>
      <c r="J57" s="4">
        <v>17</v>
      </c>
      <c r="K57" s="18">
        <f>(F57-(0)+0-(J57*Ventas!AE54*1))</f>
        <v>0</v>
      </c>
      <c r="L57" s="3"/>
      <c r="M57" s="22">
        <f t="shared" si="21"/>
        <v>0</v>
      </c>
      <c r="N57" s="14"/>
      <c r="O57" s="25">
        <f t="shared" si="0"/>
        <v>0</v>
      </c>
      <c r="P57" s="16"/>
      <c r="Q57" s="12">
        <f t="shared" si="1"/>
        <v>0</v>
      </c>
      <c r="R57" s="5">
        <v>0</v>
      </c>
      <c r="S57" s="24">
        <v>0</v>
      </c>
      <c r="T57" s="26">
        <v>0</v>
      </c>
      <c r="U57" s="18">
        <f t="shared" si="2"/>
        <v>0</v>
      </c>
      <c r="V57" s="22">
        <f t="shared" si="3"/>
        <v>0</v>
      </c>
      <c r="W57" s="25">
        <f t="shared" si="4"/>
        <v>0</v>
      </c>
      <c r="X57" s="3"/>
      <c r="Y57" s="14"/>
      <c r="Z57" s="14"/>
      <c r="AA57" s="3"/>
      <c r="AB57" s="3"/>
      <c r="AC57" s="11">
        <v>46313</v>
      </c>
      <c r="AD57" s="4">
        <v>92</v>
      </c>
      <c r="AE57" s="18">
        <f>(IF(K57&gt;0,K57+R57,R57)-(AD57*Ventas!AE54*1.0489))</f>
        <v>0</v>
      </c>
      <c r="AF57" s="3"/>
      <c r="AG57" s="22">
        <f t="shared" si="22"/>
        <v>0</v>
      </c>
      <c r="AH57" s="14"/>
      <c r="AI57" s="25">
        <f t="shared" si="5"/>
        <v>0</v>
      </c>
      <c r="AJ57" s="16"/>
      <c r="AK57" s="12">
        <f t="shared" si="6"/>
        <v>0</v>
      </c>
      <c r="AL57" s="19">
        <f t="shared" si="7"/>
        <v>0</v>
      </c>
      <c r="AM57" s="18">
        <f>(180*(Ventas!AE54*0.9644) - IF(AE57&gt;0,AE57,0))</f>
        <v>0</v>
      </c>
      <c r="AN57" s="18">
        <f t="shared" si="23"/>
        <v>0</v>
      </c>
      <c r="AO57" s="14"/>
      <c r="AP57" s="14">
        <f t="shared" si="20"/>
        <v>0</v>
      </c>
      <c r="AQ57" s="16">
        <f t="shared" si="9"/>
        <v>0</v>
      </c>
      <c r="AR57" s="37">
        <f>_xlfn.XLOOKUP(C57,[1]Hoja2!$C$6:$C$24,[1]Hoja2!$D$6:$D$24,0,2,1)</f>
        <v>0</v>
      </c>
      <c r="AS57" s="18">
        <f t="shared" si="10"/>
        <v>0</v>
      </c>
      <c r="AT57" s="14"/>
      <c r="AU57" s="37">
        <f>_xlfn.XLOOKUP(D57,[1]Hoja2!$E$6:$E$24,[1]Hoja2!$F$6:$F$24,0,2,1)</f>
        <v>0</v>
      </c>
      <c r="AV57" s="27">
        <v>0</v>
      </c>
      <c r="AW57" s="5">
        <v>3011</v>
      </c>
      <c r="AX57" s="14">
        <v>0</v>
      </c>
      <c r="AY57" s="14"/>
      <c r="AZ57" s="16">
        <f>_xlfn.XLOOKUP(C57,[2]PI!$B$15:$B$99,[2]PI!$L$15:$L$99,0,2,1)</f>
        <v>0</v>
      </c>
      <c r="BA57" s="16">
        <f>_xlfn.XLOOKUP(D57,[2]PI!$B$15:$B$99,[2]PI!$L$15:$L$99,0,2,1)</f>
        <v>0</v>
      </c>
      <c r="BB57" s="3"/>
      <c r="BC57" s="3"/>
      <c r="BD57" s="14"/>
      <c r="BE57" s="14"/>
      <c r="BF57" s="16"/>
      <c r="BG57" s="16"/>
      <c r="BH57" s="12">
        <f t="shared" si="11"/>
        <v>0</v>
      </c>
      <c r="BI57" s="19">
        <f t="shared" si="12"/>
        <v>0</v>
      </c>
      <c r="BJ57" s="1" t="s">
        <v>51</v>
      </c>
      <c r="BK57">
        <f t="shared" si="13"/>
        <v>0</v>
      </c>
      <c r="BL57">
        <f t="shared" si="14"/>
        <v>0</v>
      </c>
    </row>
    <row r="58" spans="1:64" x14ac:dyDescent="0.25">
      <c r="A58" s="1"/>
      <c r="B58" s="1" t="s">
        <v>189</v>
      </c>
      <c r="C58" s="13" t="s">
        <v>188</v>
      </c>
      <c r="D58" s="15"/>
      <c r="E58" s="17"/>
      <c r="F58" s="3"/>
      <c r="G58" s="14"/>
      <c r="H58" s="16"/>
      <c r="I58" s="11">
        <v>46221</v>
      </c>
      <c r="J58" s="4">
        <v>17</v>
      </c>
      <c r="K58" s="18">
        <f>(F58-(0)+0-(J58*Ventas!AE55*1))</f>
        <v>0</v>
      </c>
      <c r="L58" s="3"/>
      <c r="M58" s="22">
        <f t="shared" si="21"/>
        <v>0</v>
      </c>
      <c r="N58" s="14"/>
      <c r="O58" s="25">
        <f t="shared" si="0"/>
        <v>0</v>
      </c>
      <c r="P58" s="16"/>
      <c r="Q58" s="12">
        <f t="shared" si="1"/>
        <v>0</v>
      </c>
      <c r="R58" s="5">
        <v>0</v>
      </c>
      <c r="S58" s="24">
        <v>0</v>
      </c>
      <c r="T58" s="26">
        <v>0</v>
      </c>
      <c r="U58" s="18">
        <f t="shared" si="2"/>
        <v>0</v>
      </c>
      <c r="V58" s="22">
        <f t="shared" si="3"/>
        <v>0</v>
      </c>
      <c r="W58" s="25">
        <f t="shared" si="4"/>
        <v>0</v>
      </c>
      <c r="X58" s="3"/>
      <c r="Y58" s="14"/>
      <c r="Z58" s="14"/>
      <c r="AA58" s="3"/>
      <c r="AB58" s="3"/>
      <c r="AC58" s="11">
        <v>46313</v>
      </c>
      <c r="AD58" s="4">
        <v>92</v>
      </c>
      <c r="AE58" s="18">
        <f>(IF(K58&gt;0,K58+R58,R58)-(AD58*Ventas!AE55*1.0489))</f>
        <v>0</v>
      </c>
      <c r="AF58" s="3"/>
      <c r="AG58" s="22">
        <f t="shared" si="22"/>
        <v>0</v>
      </c>
      <c r="AH58" s="14"/>
      <c r="AI58" s="25">
        <f t="shared" si="5"/>
        <v>0</v>
      </c>
      <c r="AJ58" s="16"/>
      <c r="AK58" s="12">
        <f t="shared" si="6"/>
        <v>0</v>
      </c>
      <c r="AL58" s="19">
        <f t="shared" si="7"/>
        <v>0</v>
      </c>
      <c r="AM58" s="18">
        <f>(180*(Ventas!AE55*0.9644) - IF(AE58&gt;0,AE58,0))</f>
        <v>0</v>
      </c>
      <c r="AN58" s="18">
        <f t="shared" si="23"/>
        <v>0</v>
      </c>
      <c r="AO58" s="14"/>
      <c r="AP58" s="14">
        <f t="shared" si="20"/>
        <v>0</v>
      </c>
      <c r="AQ58" s="16">
        <f t="shared" si="9"/>
        <v>0</v>
      </c>
      <c r="AR58" s="37">
        <f>_xlfn.XLOOKUP(C58,[1]Hoja2!$C$6:$C$24,[1]Hoja2!$D$6:$D$24,0,2,1)</f>
        <v>0</v>
      </c>
      <c r="AS58" s="18">
        <f t="shared" si="10"/>
        <v>0</v>
      </c>
      <c r="AT58" s="14"/>
      <c r="AU58" s="37">
        <f>_xlfn.XLOOKUP(D58,[1]Hoja2!$E$6:$E$24,[1]Hoja2!$F$6:$F$24,0,2,1)</f>
        <v>0</v>
      </c>
      <c r="AV58" s="27">
        <v>0</v>
      </c>
      <c r="AW58" s="5">
        <v>3011</v>
      </c>
      <c r="AX58" s="14">
        <v>0</v>
      </c>
      <c r="AY58" s="14"/>
      <c r="AZ58" s="16">
        <f>_xlfn.XLOOKUP(C58,[2]PI!$B$15:$B$99,[2]PI!$L$15:$L$99,0,2,1)</f>
        <v>0</v>
      </c>
      <c r="BA58" s="16">
        <f>_xlfn.XLOOKUP(D58,[2]PI!$B$15:$B$99,[2]PI!$L$15:$L$99,0,2,1)</f>
        <v>0</v>
      </c>
      <c r="BB58" s="3"/>
      <c r="BC58" s="3"/>
      <c r="BD58" s="14"/>
      <c r="BE58" s="14"/>
      <c r="BF58" s="16"/>
      <c r="BG58" s="16"/>
      <c r="BH58" s="12">
        <f t="shared" si="11"/>
        <v>0</v>
      </c>
      <c r="BI58" s="19">
        <f t="shared" si="12"/>
        <v>0</v>
      </c>
      <c r="BJ58" s="1" t="s">
        <v>51</v>
      </c>
      <c r="BK58">
        <f t="shared" si="13"/>
        <v>0</v>
      </c>
      <c r="BL58">
        <f t="shared" si="14"/>
        <v>0</v>
      </c>
    </row>
    <row r="59" spans="1:64" x14ac:dyDescent="0.25">
      <c r="A59" s="1" t="s">
        <v>192</v>
      </c>
      <c r="B59" s="1" t="s">
        <v>191</v>
      </c>
      <c r="C59" s="13" t="s">
        <v>190</v>
      </c>
      <c r="D59" s="15"/>
      <c r="E59" s="17"/>
      <c r="F59" s="5">
        <v>19</v>
      </c>
      <c r="G59" s="14"/>
      <c r="H59" s="16"/>
      <c r="I59" s="11">
        <v>46221</v>
      </c>
      <c r="J59" s="4">
        <v>17</v>
      </c>
      <c r="K59" s="18">
        <f>(F59-(0)+0-(J59*Ventas!AE56*1))</f>
        <v>18.190799999999999</v>
      </c>
      <c r="L59" s="20">
        <f>(K59/(Ventas!AE56*1)/80)</f>
        <v>4.7769957983193265</v>
      </c>
      <c r="M59" s="22">
        <f t="shared" si="21"/>
        <v>0</v>
      </c>
      <c r="N59" s="14"/>
      <c r="O59" s="25">
        <f t="shared" si="0"/>
        <v>0</v>
      </c>
      <c r="P59" s="16"/>
      <c r="Q59" s="12">
        <f t="shared" si="1"/>
        <v>18.190799999999999</v>
      </c>
      <c r="R59" s="5">
        <v>0</v>
      </c>
      <c r="S59" s="24">
        <v>0</v>
      </c>
      <c r="T59" s="26">
        <v>0</v>
      </c>
      <c r="U59" s="18">
        <f t="shared" si="2"/>
        <v>18.190799999999999</v>
      </c>
      <c r="V59" s="22">
        <f t="shared" si="3"/>
        <v>0</v>
      </c>
      <c r="W59" s="25">
        <f t="shared" si="4"/>
        <v>0</v>
      </c>
      <c r="X59" s="3"/>
      <c r="Y59" s="14"/>
      <c r="Z59" s="14"/>
      <c r="AA59" s="18">
        <v>18</v>
      </c>
      <c r="AB59" s="21">
        <v>4.333E-3</v>
      </c>
      <c r="AC59" s="11">
        <v>46313</v>
      </c>
      <c r="AD59" s="4">
        <v>92</v>
      </c>
      <c r="AE59" s="18">
        <f>(IF(K59&gt;0,K59+R59,R59)-(AD59*Ventas!AE56*1.0489))</f>
        <v>13.597457119999998</v>
      </c>
      <c r="AF59" s="20">
        <f>(AE59/(Ventas!AE56*1.0489)/80)</f>
        <v>3.4042909698916262</v>
      </c>
      <c r="AG59" s="22">
        <f t="shared" si="22"/>
        <v>0</v>
      </c>
      <c r="AH59" s="14"/>
      <c r="AI59" s="25">
        <f t="shared" si="5"/>
        <v>0</v>
      </c>
      <c r="AJ59" s="16"/>
      <c r="AK59" s="12">
        <f t="shared" si="6"/>
        <v>13.597457119999998</v>
      </c>
      <c r="AL59" s="19">
        <f t="shared" si="7"/>
        <v>2.9787545986551729</v>
      </c>
      <c r="AM59" s="18">
        <f>(180*(Ventas!AE56*0.9644) - IF(AE59&gt;0,AE59,0))</f>
        <v>-5.3344779199999959</v>
      </c>
      <c r="AN59" s="18">
        <f t="shared" si="23"/>
        <v>0</v>
      </c>
      <c r="AO59" s="14"/>
      <c r="AP59" s="14">
        <f t="shared" si="20"/>
        <v>0</v>
      </c>
      <c r="AQ59" s="16">
        <f t="shared" si="9"/>
        <v>0</v>
      </c>
      <c r="AR59" s="37">
        <f>_xlfn.XLOOKUP(C59,[1]Hoja2!$C$6:$C$24,[1]Hoja2!$D$6:$D$24,0,2,1)</f>
        <v>0</v>
      </c>
      <c r="AS59" s="18">
        <f t="shared" si="10"/>
        <v>13.597457119999998</v>
      </c>
      <c r="AT59" s="14"/>
      <c r="AU59" s="37">
        <f>_xlfn.XLOOKUP(D59,[1]Hoja2!$E$6:$E$24,[1]Hoja2!$F$6:$F$24,0,2,1)</f>
        <v>0</v>
      </c>
      <c r="AV59" s="27">
        <v>0</v>
      </c>
      <c r="AW59" s="5">
        <v>3016</v>
      </c>
      <c r="AX59" s="14">
        <v>0</v>
      </c>
      <c r="AY59" s="14"/>
      <c r="AZ59" s="16">
        <f>_xlfn.XLOOKUP(C59,[2]PI!$B$15:$B$99,[2]PI!$L$15:$L$99,0,2,1)</f>
        <v>0</v>
      </c>
      <c r="BA59" s="16">
        <f>_xlfn.XLOOKUP(D59,[2]PI!$B$15:$B$99,[2]PI!$L$15:$L$99,0,2,1)</f>
        <v>0</v>
      </c>
      <c r="BB59" s="18">
        <f>(AS59-(90*Ventas!AE56*0.9644))</f>
        <v>9.465967519999996</v>
      </c>
      <c r="BC59" s="20">
        <f>(BB59/(Ventas!AE56*0.9644)/80)</f>
        <v>2.5775723748645025</v>
      </c>
      <c r="BD59" s="14"/>
      <c r="BE59" s="14"/>
      <c r="BF59" s="16"/>
      <c r="BG59" s="16"/>
      <c r="BH59" s="12">
        <f t="shared" si="11"/>
        <v>9.465967519999996</v>
      </c>
      <c r="BI59" s="19">
        <f t="shared" si="12"/>
        <v>2.2553758280064398</v>
      </c>
      <c r="BJ59" s="1" t="s">
        <v>35</v>
      </c>
      <c r="BK59">
        <f t="shared" si="13"/>
        <v>0</v>
      </c>
      <c r="BL59">
        <f t="shared" si="14"/>
        <v>0</v>
      </c>
    </row>
    <row r="60" spans="1:64" x14ac:dyDescent="0.25">
      <c r="A60" s="1" t="s">
        <v>195</v>
      </c>
      <c r="B60" s="1" t="s">
        <v>194</v>
      </c>
      <c r="C60" s="13" t="s">
        <v>193</v>
      </c>
      <c r="D60" s="15"/>
      <c r="E60" s="17"/>
      <c r="F60" s="5">
        <v>2</v>
      </c>
      <c r="G60" s="14"/>
      <c r="H60" s="16"/>
      <c r="I60" s="11">
        <v>46221</v>
      </c>
      <c r="J60" s="4">
        <v>17</v>
      </c>
      <c r="K60" s="18">
        <f>(F60-(0)+0-(J60*Ventas!AE57*1))</f>
        <v>1.0732571428571429</v>
      </c>
      <c r="L60" s="20">
        <f>(K60/(Ventas!AE57*1)/80)</f>
        <v>0.24609538784067092</v>
      </c>
      <c r="M60" s="22">
        <f t="shared" si="21"/>
        <v>0</v>
      </c>
      <c r="N60" s="14"/>
      <c r="O60" s="25">
        <f t="shared" si="0"/>
        <v>0</v>
      </c>
      <c r="P60" s="16"/>
      <c r="Q60" s="12">
        <f t="shared" si="1"/>
        <v>1.0732571428571429</v>
      </c>
      <c r="R60" s="5">
        <v>10</v>
      </c>
      <c r="S60" s="24">
        <v>0</v>
      </c>
      <c r="T60" s="26">
        <v>0</v>
      </c>
      <c r="U60" s="18">
        <f t="shared" si="2"/>
        <v>11.073257142857143</v>
      </c>
      <c r="V60" s="22">
        <f t="shared" si="3"/>
        <v>0</v>
      </c>
      <c r="W60" s="25">
        <f t="shared" si="4"/>
        <v>0</v>
      </c>
      <c r="X60" s="18">
        <v>2.2000000000000002</v>
      </c>
      <c r="Y60" s="14"/>
      <c r="Z60" s="14"/>
      <c r="AA60" s="18">
        <v>18</v>
      </c>
      <c r="AB60" s="21">
        <v>4.333E-3</v>
      </c>
      <c r="AC60" s="11">
        <v>46313</v>
      </c>
      <c r="AD60" s="4">
        <v>92</v>
      </c>
      <c r="AE60" s="18">
        <f>(IF(K60&gt;0,K60+R60,R60)-(AD60*Ventas!AE57*1.0489))</f>
        <v>5.8126939885714304</v>
      </c>
      <c r="AF60" s="20">
        <f>(AE60/(Ventas!AE57*1.0489)/80)</f>
        <v>1.2707000925198073</v>
      </c>
      <c r="AG60" s="22">
        <f t="shared" si="22"/>
        <v>0</v>
      </c>
      <c r="AH60" s="14"/>
      <c r="AI60" s="25">
        <f t="shared" si="5"/>
        <v>0</v>
      </c>
      <c r="AJ60" s="16"/>
      <c r="AK60" s="12">
        <f t="shared" si="6"/>
        <v>5.8126939885714304</v>
      </c>
      <c r="AL60" s="19">
        <f t="shared" si="7"/>
        <v>1.1118625809548315</v>
      </c>
      <c r="AM60" s="18">
        <f>(180*(Ventas!AE57*0.9644) - IF(AE60&gt;0,AE60,0))</f>
        <v>3.6505498971428541</v>
      </c>
      <c r="AN60" s="42">
        <v>10</v>
      </c>
      <c r="AO60" s="14"/>
      <c r="AP60" s="14">
        <f t="shared" si="20"/>
        <v>0</v>
      </c>
      <c r="AQ60" s="16">
        <f t="shared" si="9"/>
        <v>4.333E-2</v>
      </c>
      <c r="AR60" s="37">
        <f>_xlfn.XLOOKUP(C60,[1]Hoja2!$C$6:$C$24,[1]Hoja2!$D$6:$D$24,0,2,1)</f>
        <v>10</v>
      </c>
      <c r="AS60" s="18">
        <f t="shared" si="10"/>
        <v>15.81269398857143</v>
      </c>
      <c r="AT60" s="14"/>
      <c r="AU60" s="37">
        <f>_xlfn.XLOOKUP(D60,[1]Hoja2!$E$6:$E$24,[1]Hoja2!$F$6:$F$24,0,2,1)</f>
        <v>0</v>
      </c>
      <c r="AV60" s="27">
        <v>2.2999999999999998</v>
      </c>
      <c r="AW60" s="5">
        <v>3016</v>
      </c>
      <c r="AX60" s="14">
        <v>0</v>
      </c>
      <c r="AY60" s="14"/>
      <c r="AZ60" s="16">
        <f>_xlfn.XLOOKUP(C60,[2]PI!$B$15:$B$99,[2]PI!$L$15:$L$99,0,2,1)</f>
        <v>2.2999999999999998</v>
      </c>
      <c r="BA60" s="16">
        <f>_xlfn.XLOOKUP(D60,[2]PI!$B$15:$B$99,[2]PI!$L$15:$L$99,0,2,1)</f>
        <v>0</v>
      </c>
      <c r="BB60" s="18">
        <f>(AS60-(90*Ventas!AE57*0.9644))</f>
        <v>11.08107204571429</v>
      </c>
      <c r="BC60" s="20">
        <f>(BB60/(Ventas!AE57*0.9644)/80)</f>
        <v>2.6346580944083171</v>
      </c>
      <c r="BD60" s="14"/>
      <c r="BE60" s="14"/>
      <c r="BF60" s="16"/>
      <c r="BG60" s="16"/>
      <c r="BH60" s="12">
        <f t="shared" si="11"/>
        <v>11.08107204571429</v>
      </c>
      <c r="BI60" s="19">
        <f t="shared" si="12"/>
        <v>2.3053258326072776</v>
      </c>
      <c r="BJ60" s="1" t="s">
        <v>35</v>
      </c>
      <c r="BK60">
        <f t="shared" si="13"/>
        <v>23</v>
      </c>
      <c r="BL60">
        <f t="shared" si="14"/>
        <v>23</v>
      </c>
    </row>
    <row r="61" spans="1:64" x14ac:dyDescent="0.25">
      <c r="A61" s="1" t="s">
        <v>198</v>
      </c>
      <c r="B61" s="1" t="s">
        <v>197</v>
      </c>
      <c r="C61" s="13" t="s">
        <v>196</v>
      </c>
      <c r="D61" s="15"/>
      <c r="E61" s="17"/>
      <c r="F61" s="5">
        <v>5</v>
      </c>
      <c r="G61" s="14"/>
      <c r="H61" s="16"/>
      <c r="I61" s="11">
        <v>46221</v>
      </c>
      <c r="J61" s="4">
        <v>17</v>
      </c>
      <c r="K61" s="18">
        <f>(F61-(0)+0-(J61*Ventas!AE58*1))</f>
        <v>4.5716000000000001</v>
      </c>
      <c r="L61" s="20">
        <f>(K61/(Ventas!AE58*1)/80)</f>
        <v>2.2676587301587299</v>
      </c>
      <c r="M61" s="22">
        <f t="shared" si="21"/>
        <v>0</v>
      </c>
      <c r="N61" s="14"/>
      <c r="O61" s="25">
        <f t="shared" si="0"/>
        <v>0</v>
      </c>
      <c r="P61" s="16"/>
      <c r="Q61" s="12">
        <f t="shared" si="1"/>
        <v>4.5716000000000001</v>
      </c>
      <c r="R61" s="5">
        <v>0</v>
      </c>
      <c r="S61" s="24">
        <v>0</v>
      </c>
      <c r="T61" s="26">
        <v>0</v>
      </c>
      <c r="U61" s="18">
        <f t="shared" si="2"/>
        <v>4.5716000000000001</v>
      </c>
      <c r="V61" s="22">
        <f t="shared" si="3"/>
        <v>0</v>
      </c>
      <c r="W61" s="25">
        <f t="shared" si="4"/>
        <v>0</v>
      </c>
      <c r="X61" s="3"/>
      <c r="Y61" s="14"/>
      <c r="Z61" s="14"/>
      <c r="AA61" s="18">
        <v>18</v>
      </c>
      <c r="AB61" s="21">
        <v>4.333E-3</v>
      </c>
      <c r="AC61" s="11">
        <v>46313</v>
      </c>
      <c r="AD61" s="4">
        <v>92</v>
      </c>
      <c r="AE61" s="18">
        <f>(IF(K61&gt;0,K61+R61,R61)-(AD61*Ventas!AE58*1.0489))</f>
        <v>2.1398302400000002</v>
      </c>
      <c r="AF61" s="20">
        <f>(AE61/(Ventas!AE58*1.0489)/80)</f>
        <v>1.0119398704916869</v>
      </c>
      <c r="AG61" s="22">
        <f t="shared" si="22"/>
        <v>0</v>
      </c>
      <c r="AH61" s="14"/>
      <c r="AI61" s="25">
        <f t="shared" si="5"/>
        <v>0</v>
      </c>
      <c r="AJ61" s="16"/>
      <c r="AK61" s="12">
        <f t="shared" si="6"/>
        <v>2.1398302400000002</v>
      </c>
      <c r="AL61" s="19">
        <f t="shared" si="7"/>
        <v>0.88544738668022605</v>
      </c>
      <c r="AM61" s="18">
        <f>(180*(Ventas!AE58*0.9644) - IF(AE61&gt;0,AE61,0))</f>
        <v>2.2346881600000001</v>
      </c>
      <c r="AN61" s="42">
        <v>10</v>
      </c>
      <c r="AO61" s="14"/>
      <c r="AP61" s="14">
        <f t="shared" si="20"/>
        <v>0</v>
      </c>
      <c r="AQ61" s="16">
        <f t="shared" si="9"/>
        <v>4.333E-2</v>
      </c>
      <c r="AR61" s="37">
        <f>_xlfn.XLOOKUP(C61,[1]Hoja2!$C$6:$C$24,[1]Hoja2!$D$6:$D$24,0,2,1)</f>
        <v>10</v>
      </c>
      <c r="AS61" s="18">
        <f t="shared" si="10"/>
        <v>12.13983024</v>
      </c>
      <c r="AT61" s="14"/>
      <c r="AU61" s="37">
        <f>_xlfn.XLOOKUP(D61,[1]Hoja2!$E$6:$E$24,[1]Hoja2!$F$6:$F$24,0,2,1)</f>
        <v>0</v>
      </c>
      <c r="AV61" s="27">
        <v>2.2999999999999998</v>
      </c>
      <c r="AW61" s="5">
        <v>3016</v>
      </c>
      <c r="AX61" s="14">
        <v>0</v>
      </c>
      <c r="AY61" s="14"/>
      <c r="AZ61" s="16">
        <f>_xlfn.XLOOKUP(C61,[2]PI!$B$15:$B$99,[2]PI!$L$15:$L$99,0,2,1)</f>
        <v>2.2999999999999998</v>
      </c>
      <c r="BA61" s="16">
        <f>_xlfn.XLOOKUP(D61,[2]PI!$B$15:$B$99,[2]PI!$L$15:$L$99,0,2,1)</f>
        <v>0</v>
      </c>
      <c r="BB61" s="18">
        <f>(AS61-(90*Ventas!AE58*0.9644))</f>
        <v>9.9525710400000005</v>
      </c>
      <c r="BC61" s="20">
        <f>(BB61/(Ventas!AE58*0.9644)/80)</f>
        <v>5.1190286089549879</v>
      </c>
      <c r="BD61" s="14"/>
      <c r="BE61" s="14"/>
      <c r="BF61" s="16"/>
      <c r="BG61" s="16"/>
      <c r="BH61" s="12">
        <f t="shared" si="11"/>
        <v>9.9525710400000005</v>
      </c>
      <c r="BI61" s="19">
        <f t="shared" si="12"/>
        <v>4.479150032835614</v>
      </c>
      <c r="BJ61" s="1" t="s">
        <v>35</v>
      </c>
      <c r="BK61">
        <f t="shared" si="13"/>
        <v>23</v>
      </c>
      <c r="BL61">
        <f t="shared" si="14"/>
        <v>23</v>
      </c>
    </row>
    <row r="62" spans="1:64" x14ac:dyDescent="0.25">
      <c r="A62" s="1" t="s">
        <v>201</v>
      </c>
      <c r="B62" s="1" t="s">
        <v>200</v>
      </c>
      <c r="C62" s="13" t="s">
        <v>199</v>
      </c>
      <c r="D62" s="15"/>
      <c r="E62" s="17"/>
      <c r="F62" s="5">
        <v>18</v>
      </c>
      <c r="G62" s="14"/>
      <c r="H62" s="16"/>
      <c r="I62" s="11">
        <v>46221</v>
      </c>
      <c r="J62" s="4">
        <v>17</v>
      </c>
      <c r="K62" s="18">
        <f>(F62-(0)+0-(J62*Ventas!AE59*1))</f>
        <v>17.132757142857145</v>
      </c>
      <c r="L62" s="20">
        <f>(K62/(Ventas!AE59*1)/80)</f>
        <v>4.1980292635116214</v>
      </c>
      <c r="M62" s="22">
        <f t="shared" si="21"/>
        <v>0</v>
      </c>
      <c r="N62" s="14"/>
      <c r="O62" s="25">
        <f t="shared" si="0"/>
        <v>0</v>
      </c>
      <c r="P62" s="16"/>
      <c r="Q62" s="12">
        <f t="shared" si="1"/>
        <v>17.132757142857145</v>
      </c>
      <c r="R62" s="5">
        <v>0</v>
      </c>
      <c r="S62" s="24">
        <v>0</v>
      </c>
      <c r="T62" s="26">
        <v>0</v>
      </c>
      <c r="U62" s="18">
        <f t="shared" si="2"/>
        <v>17.132757142857145</v>
      </c>
      <c r="V62" s="22">
        <f t="shared" si="3"/>
        <v>0</v>
      </c>
      <c r="W62" s="25">
        <f t="shared" si="4"/>
        <v>0</v>
      </c>
      <c r="X62" s="3"/>
      <c r="Y62" s="14"/>
      <c r="Z62" s="14"/>
      <c r="AA62" s="18">
        <v>18</v>
      </c>
      <c r="AB62" s="21">
        <v>4.333E-3</v>
      </c>
      <c r="AC62" s="11">
        <v>46313</v>
      </c>
      <c r="AD62" s="4">
        <v>92</v>
      </c>
      <c r="AE62" s="18">
        <f>(IF(K62&gt;0,K62+R62,R62)-(AD62*Ventas!AE59*1.0489))</f>
        <v>12.209939788571431</v>
      </c>
      <c r="AF62" s="20">
        <f>(AE62/(Ventas!AE59*1.0489)/80)</f>
        <v>2.8523160105935945</v>
      </c>
      <c r="AG62" s="22">
        <f t="shared" si="22"/>
        <v>0</v>
      </c>
      <c r="AH62" s="14"/>
      <c r="AI62" s="25">
        <f t="shared" si="5"/>
        <v>0</v>
      </c>
      <c r="AJ62" s="16"/>
      <c r="AK62" s="12">
        <f t="shared" si="6"/>
        <v>12.209939788571431</v>
      </c>
      <c r="AL62" s="19">
        <f t="shared" si="7"/>
        <v>2.4957765092693953</v>
      </c>
      <c r="AM62" s="18">
        <f>(180*(Ventas!AE59*0.9644) - IF(AE62&gt;0,AE62,0))</f>
        <v>-3.3542679028571438</v>
      </c>
      <c r="AN62" s="18">
        <f t="shared" ref="AN62:AN78" si="24">IF(AM62&gt;3,CEILING(AM62,5),0)</f>
        <v>0</v>
      </c>
      <c r="AO62" s="14"/>
      <c r="AP62" s="14">
        <f t="shared" si="20"/>
        <v>0</v>
      </c>
      <c r="AQ62" s="16">
        <f t="shared" si="9"/>
        <v>0</v>
      </c>
      <c r="AR62" s="37">
        <f>_xlfn.XLOOKUP(C62,[1]Hoja2!$C$6:$C$24,[1]Hoja2!$D$6:$D$24,0,2,1)</f>
        <v>0</v>
      </c>
      <c r="AS62" s="18">
        <f t="shared" si="10"/>
        <v>12.209939788571431</v>
      </c>
      <c r="AT62" s="14"/>
      <c r="AU62" s="37">
        <f>_xlfn.XLOOKUP(D62,[1]Hoja2!$E$6:$E$24,[1]Hoja2!$F$6:$F$24,0,2,1)</f>
        <v>0</v>
      </c>
      <c r="AV62" s="27">
        <v>0</v>
      </c>
      <c r="AW62" s="5">
        <v>3016</v>
      </c>
      <c r="AX62" s="14">
        <v>0</v>
      </c>
      <c r="AY62" s="14"/>
      <c r="AZ62" s="16">
        <f>_xlfn.XLOOKUP(C62,[2]PI!$B$15:$B$99,[2]PI!$L$15:$L$99,0,2,1)</f>
        <v>0</v>
      </c>
      <c r="BA62" s="16">
        <f>_xlfn.XLOOKUP(D62,[2]PI!$B$15:$B$99,[2]PI!$L$15:$L$99,0,2,1)</f>
        <v>0</v>
      </c>
      <c r="BB62" s="18">
        <f>(AS62-(90*Ventas!AE59*0.9644))</f>
        <v>7.7821038457142873</v>
      </c>
      <c r="BC62" s="20">
        <f>(BB62/(Ventas!AE59*0.9644)/80)</f>
        <v>1.9772337863040454</v>
      </c>
      <c r="BD62" s="14"/>
      <c r="BE62" s="14"/>
      <c r="BF62" s="16"/>
      <c r="BG62" s="16"/>
      <c r="BH62" s="12">
        <f t="shared" si="11"/>
        <v>7.7821038457142873</v>
      </c>
      <c r="BI62" s="19">
        <f t="shared" si="12"/>
        <v>1.7300795630160397</v>
      </c>
      <c r="BJ62" s="1" t="s">
        <v>35</v>
      </c>
      <c r="BK62">
        <f t="shared" si="13"/>
        <v>0</v>
      </c>
      <c r="BL62">
        <f t="shared" si="14"/>
        <v>0</v>
      </c>
    </row>
    <row r="63" spans="1:64" x14ac:dyDescent="0.25">
      <c r="A63" s="1" t="s">
        <v>204</v>
      </c>
      <c r="B63" s="1" t="s">
        <v>203</v>
      </c>
      <c r="C63" s="13" t="s">
        <v>202</v>
      </c>
      <c r="D63" s="15"/>
      <c r="E63" s="17"/>
      <c r="F63" s="5">
        <v>6</v>
      </c>
      <c r="G63" s="14"/>
      <c r="H63" s="16"/>
      <c r="I63" s="11">
        <v>46221</v>
      </c>
      <c r="J63" s="4">
        <v>17</v>
      </c>
      <c r="K63" s="18">
        <f>(F63-(0)+0-(J63*Ventas!AE60*1))</f>
        <v>6</v>
      </c>
      <c r="L63" s="3"/>
      <c r="M63" s="22">
        <f t="shared" si="21"/>
        <v>0</v>
      </c>
      <c r="N63" s="14"/>
      <c r="O63" s="25">
        <f t="shared" si="0"/>
        <v>0</v>
      </c>
      <c r="P63" s="16"/>
      <c r="Q63" s="12">
        <f t="shared" si="1"/>
        <v>6</v>
      </c>
      <c r="R63" s="5">
        <v>0</v>
      </c>
      <c r="S63" s="24">
        <v>0</v>
      </c>
      <c r="T63" s="26">
        <v>0</v>
      </c>
      <c r="U63" s="18">
        <f t="shared" si="2"/>
        <v>6</v>
      </c>
      <c r="V63" s="22">
        <f t="shared" si="3"/>
        <v>0</v>
      </c>
      <c r="W63" s="25">
        <f t="shared" si="4"/>
        <v>0</v>
      </c>
      <c r="X63" s="3"/>
      <c r="Y63" s="14"/>
      <c r="Z63" s="14"/>
      <c r="AA63" s="18">
        <v>12</v>
      </c>
      <c r="AB63" s="21">
        <v>8.1810000000000008E-3</v>
      </c>
      <c r="AC63" s="11">
        <v>46313</v>
      </c>
      <c r="AD63" s="4">
        <v>92</v>
      </c>
      <c r="AE63" s="18">
        <f>(IF(K63&gt;0,K63+R63,R63)-(AD63*Ventas!AE60*1.0489))</f>
        <v>6</v>
      </c>
      <c r="AF63" s="3"/>
      <c r="AG63" s="22">
        <f t="shared" si="22"/>
        <v>0</v>
      </c>
      <c r="AH63" s="14"/>
      <c r="AI63" s="25">
        <f t="shared" si="5"/>
        <v>0</v>
      </c>
      <c r="AJ63" s="16"/>
      <c r="AK63" s="12">
        <f t="shared" si="6"/>
        <v>6</v>
      </c>
      <c r="AL63" s="19">
        <f t="shared" si="7"/>
        <v>0</v>
      </c>
      <c r="AM63" s="18">
        <f>(180*(Ventas!AE60*0.9644) - IF(AE63&gt;0,AE63,0))</f>
        <v>-6</v>
      </c>
      <c r="AN63" s="18">
        <f t="shared" si="24"/>
        <v>0</v>
      </c>
      <c r="AO63" s="14"/>
      <c r="AP63" s="14">
        <f t="shared" si="20"/>
        <v>0</v>
      </c>
      <c r="AQ63" s="16">
        <f t="shared" si="9"/>
        <v>0</v>
      </c>
      <c r="AR63" s="37">
        <f>_xlfn.XLOOKUP(C63,[1]Hoja2!$C$6:$C$24,[1]Hoja2!$D$6:$D$24,0,2,1)</f>
        <v>0</v>
      </c>
      <c r="AS63" s="18">
        <f t="shared" si="10"/>
        <v>6</v>
      </c>
      <c r="AT63" s="14"/>
      <c r="AU63" s="37">
        <f>_xlfn.XLOOKUP(D63,[1]Hoja2!$E$6:$E$24,[1]Hoja2!$F$6:$F$24,0,2,1)</f>
        <v>0</v>
      </c>
      <c r="AV63" s="27">
        <v>0</v>
      </c>
      <c r="AW63" s="5">
        <v>3002</v>
      </c>
      <c r="AX63" s="14">
        <v>0</v>
      </c>
      <c r="AY63" s="14"/>
      <c r="AZ63" s="16">
        <f>_xlfn.XLOOKUP(C63,[2]PI!$B$15:$B$99,[2]PI!$L$15:$L$99,0,2,1)</f>
        <v>0</v>
      </c>
      <c r="BA63" s="16">
        <f>_xlfn.XLOOKUP(D63,[2]PI!$B$15:$B$99,[2]PI!$L$15:$L$99,0,2,1)</f>
        <v>0</v>
      </c>
      <c r="BB63" s="3"/>
      <c r="BC63" s="3"/>
      <c r="BD63" s="14"/>
      <c r="BE63" s="14"/>
      <c r="BF63" s="16"/>
      <c r="BG63" s="16"/>
      <c r="BH63" s="12">
        <f t="shared" si="11"/>
        <v>0</v>
      </c>
      <c r="BI63" s="19">
        <f t="shared" si="12"/>
        <v>0</v>
      </c>
      <c r="BJ63" s="1" t="s">
        <v>35</v>
      </c>
      <c r="BK63">
        <f t="shared" si="13"/>
        <v>0</v>
      </c>
      <c r="BL63">
        <f t="shared" si="14"/>
        <v>0</v>
      </c>
    </row>
    <row r="64" spans="1:64" x14ac:dyDescent="0.25">
      <c r="A64" s="1" t="s">
        <v>207</v>
      </c>
      <c r="B64" s="1" t="s">
        <v>206</v>
      </c>
      <c r="C64" s="13" t="s">
        <v>205</v>
      </c>
      <c r="D64" s="15"/>
      <c r="E64" s="17"/>
      <c r="F64" s="3"/>
      <c r="G64" s="14"/>
      <c r="H64" s="16"/>
      <c r="I64" s="11">
        <v>46221</v>
      </c>
      <c r="J64" s="4">
        <v>17</v>
      </c>
      <c r="K64" s="18">
        <f>(F64-(0)+0-(J64*Ventas!AE61*1))</f>
        <v>0</v>
      </c>
      <c r="L64" s="3"/>
      <c r="M64" s="22">
        <f t="shared" si="21"/>
        <v>0</v>
      </c>
      <c r="N64" s="14"/>
      <c r="O64" s="25">
        <f t="shared" si="0"/>
        <v>0</v>
      </c>
      <c r="P64" s="16"/>
      <c r="Q64" s="12">
        <f t="shared" si="1"/>
        <v>0</v>
      </c>
      <c r="R64" s="5">
        <v>0</v>
      </c>
      <c r="S64" s="24">
        <v>0</v>
      </c>
      <c r="T64" s="26">
        <v>0</v>
      </c>
      <c r="U64" s="18">
        <f t="shared" si="2"/>
        <v>0</v>
      </c>
      <c r="V64" s="22">
        <f t="shared" si="3"/>
        <v>0</v>
      </c>
      <c r="W64" s="25">
        <f t="shared" si="4"/>
        <v>0</v>
      </c>
      <c r="X64" s="3"/>
      <c r="Y64" s="14"/>
      <c r="Z64" s="14"/>
      <c r="AA64" s="18">
        <v>12</v>
      </c>
      <c r="AB64" s="21">
        <v>8.1810000000000008E-3</v>
      </c>
      <c r="AC64" s="11">
        <v>46313</v>
      </c>
      <c r="AD64" s="4">
        <v>92</v>
      </c>
      <c r="AE64" s="18">
        <f>(IF(K64&gt;0,K64+R64,R64)-(AD64*Ventas!AE61*1.0489))</f>
        <v>0</v>
      </c>
      <c r="AF64" s="3"/>
      <c r="AG64" s="22">
        <f t="shared" si="22"/>
        <v>0</v>
      </c>
      <c r="AH64" s="14"/>
      <c r="AI64" s="25">
        <f t="shared" si="5"/>
        <v>0</v>
      </c>
      <c r="AJ64" s="16"/>
      <c r="AK64" s="12">
        <f t="shared" si="6"/>
        <v>0</v>
      </c>
      <c r="AL64" s="19">
        <f t="shared" si="7"/>
        <v>0</v>
      </c>
      <c r="AM64" s="18">
        <f>(180*(Ventas!AE61*0.9644) - IF(AE64&gt;0,AE64,0))</f>
        <v>0</v>
      </c>
      <c r="AN64" s="18">
        <f t="shared" si="24"/>
        <v>0</v>
      </c>
      <c r="AO64" s="14"/>
      <c r="AP64" s="14">
        <f t="shared" si="20"/>
        <v>0</v>
      </c>
      <c r="AQ64" s="16">
        <f t="shared" si="9"/>
        <v>0</v>
      </c>
      <c r="AR64" s="37">
        <f>_xlfn.XLOOKUP(C64,[1]Hoja2!$C$6:$C$24,[1]Hoja2!$D$6:$D$24,0,2,1)</f>
        <v>0</v>
      </c>
      <c r="AS64" s="18">
        <f t="shared" si="10"/>
        <v>0</v>
      </c>
      <c r="AT64" s="14"/>
      <c r="AU64" s="37">
        <f>_xlfn.XLOOKUP(D64,[1]Hoja2!$E$6:$E$24,[1]Hoja2!$F$6:$F$24,0,2,1)</f>
        <v>0</v>
      </c>
      <c r="AV64" s="27">
        <v>0</v>
      </c>
      <c r="AW64" s="5">
        <v>2998</v>
      </c>
      <c r="AX64" s="14">
        <v>0</v>
      </c>
      <c r="AY64" s="14"/>
      <c r="AZ64" s="16">
        <f>_xlfn.XLOOKUP(C64,[2]PI!$B$15:$B$99,[2]PI!$L$15:$L$99,0,2,1)</f>
        <v>0</v>
      </c>
      <c r="BA64" s="16">
        <f>_xlfn.XLOOKUP(D64,[2]PI!$B$15:$B$99,[2]PI!$L$15:$L$99,0,2,1)</f>
        <v>0</v>
      </c>
      <c r="BB64" s="3"/>
      <c r="BC64" s="3"/>
      <c r="BD64" s="14"/>
      <c r="BE64" s="14"/>
      <c r="BF64" s="16"/>
      <c r="BG64" s="16"/>
      <c r="BH64" s="12">
        <f t="shared" si="11"/>
        <v>0</v>
      </c>
      <c r="BI64" s="19">
        <f t="shared" si="12"/>
        <v>0</v>
      </c>
      <c r="BJ64" s="1" t="s">
        <v>35</v>
      </c>
      <c r="BK64">
        <f t="shared" si="13"/>
        <v>0</v>
      </c>
      <c r="BL64">
        <f t="shared" si="14"/>
        <v>0</v>
      </c>
    </row>
    <row r="65" spans="1:64" x14ac:dyDescent="0.25">
      <c r="A65" s="1" t="s">
        <v>210</v>
      </c>
      <c r="B65" s="1" t="s">
        <v>209</v>
      </c>
      <c r="C65" s="13" t="s">
        <v>208</v>
      </c>
      <c r="D65" s="15"/>
      <c r="E65" s="17"/>
      <c r="F65" s="5">
        <v>8</v>
      </c>
      <c r="G65" s="14"/>
      <c r="H65" s="16"/>
      <c r="I65" s="11">
        <v>46221</v>
      </c>
      <c r="J65" s="4">
        <v>17</v>
      </c>
      <c r="K65" s="18">
        <f>(F65-(0)+0-(J65*Ventas!AE62*1))</f>
        <v>8</v>
      </c>
      <c r="L65" s="3"/>
      <c r="M65" s="22">
        <f t="shared" si="21"/>
        <v>0</v>
      </c>
      <c r="N65" s="14"/>
      <c r="O65" s="25">
        <f t="shared" si="0"/>
        <v>0</v>
      </c>
      <c r="P65" s="16"/>
      <c r="Q65" s="12">
        <f t="shared" si="1"/>
        <v>8</v>
      </c>
      <c r="R65" s="5">
        <v>0</v>
      </c>
      <c r="S65" s="24">
        <v>0</v>
      </c>
      <c r="T65" s="26">
        <v>0</v>
      </c>
      <c r="U65" s="18">
        <f t="shared" si="2"/>
        <v>8</v>
      </c>
      <c r="V65" s="22">
        <f t="shared" si="3"/>
        <v>0</v>
      </c>
      <c r="W65" s="25">
        <f t="shared" si="4"/>
        <v>0</v>
      </c>
      <c r="X65" s="3"/>
      <c r="Y65" s="14"/>
      <c r="Z65" s="14"/>
      <c r="AA65" s="18">
        <v>12</v>
      </c>
      <c r="AB65" s="21">
        <v>8.1810000000000008E-3</v>
      </c>
      <c r="AC65" s="11">
        <v>46313</v>
      </c>
      <c r="AD65" s="4">
        <v>92</v>
      </c>
      <c r="AE65" s="18">
        <f>(IF(K65&gt;0,K65+R65,R65)-(AD65*Ventas!AE62*1.0489))</f>
        <v>8</v>
      </c>
      <c r="AF65" s="3"/>
      <c r="AG65" s="22">
        <f t="shared" si="22"/>
        <v>0</v>
      </c>
      <c r="AH65" s="14"/>
      <c r="AI65" s="25">
        <f t="shared" si="5"/>
        <v>0</v>
      </c>
      <c r="AJ65" s="16"/>
      <c r="AK65" s="12">
        <f t="shared" si="6"/>
        <v>8</v>
      </c>
      <c r="AL65" s="19">
        <f t="shared" si="7"/>
        <v>0</v>
      </c>
      <c r="AM65" s="18">
        <f>(180*(Ventas!AE62*0.9644) - IF(AE65&gt;0,AE65,0))</f>
        <v>-8</v>
      </c>
      <c r="AN65" s="18">
        <f t="shared" si="24"/>
        <v>0</v>
      </c>
      <c r="AO65" s="14"/>
      <c r="AP65" s="14">
        <f t="shared" si="20"/>
        <v>0</v>
      </c>
      <c r="AQ65" s="16">
        <f t="shared" si="9"/>
        <v>0</v>
      </c>
      <c r="AR65" s="37">
        <f>_xlfn.XLOOKUP(C65,[1]Hoja2!$C$6:$C$24,[1]Hoja2!$D$6:$D$24,0,2,1)</f>
        <v>0</v>
      </c>
      <c r="AS65" s="18">
        <f t="shared" si="10"/>
        <v>8</v>
      </c>
      <c r="AT65" s="14"/>
      <c r="AU65" s="37">
        <f>_xlfn.XLOOKUP(D65,[1]Hoja2!$E$6:$E$24,[1]Hoja2!$F$6:$F$24,0,2,1)</f>
        <v>0</v>
      </c>
      <c r="AV65" s="27">
        <v>0</v>
      </c>
      <c r="AW65" s="5">
        <v>3016</v>
      </c>
      <c r="AX65" s="14">
        <v>0</v>
      </c>
      <c r="AY65" s="14"/>
      <c r="AZ65" s="16">
        <f>_xlfn.XLOOKUP(C65,[2]PI!$B$15:$B$99,[2]PI!$L$15:$L$99,0,2,1)</f>
        <v>0</v>
      </c>
      <c r="BA65" s="16">
        <f>_xlfn.XLOOKUP(D65,[2]PI!$B$15:$B$99,[2]PI!$L$15:$L$99,0,2,1)</f>
        <v>0</v>
      </c>
      <c r="BB65" s="3"/>
      <c r="BC65" s="3"/>
      <c r="BD65" s="14"/>
      <c r="BE65" s="14"/>
      <c r="BF65" s="16"/>
      <c r="BG65" s="16"/>
      <c r="BH65" s="12">
        <f t="shared" si="11"/>
        <v>0</v>
      </c>
      <c r="BI65" s="19">
        <f t="shared" si="12"/>
        <v>0</v>
      </c>
      <c r="BJ65" s="1" t="s">
        <v>35</v>
      </c>
      <c r="BK65">
        <f t="shared" si="13"/>
        <v>0</v>
      </c>
      <c r="BL65">
        <f t="shared" si="14"/>
        <v>0</v>
      </c>
    </row>
    <row r="66" spans="1:64" x14ac:dyDescent="0.25">
      <c r="A66" s="1" t="s">
        <v>213</v>
      </c>
      <c r="B66" s="1" t="s">
        <v>212</v>
      </c>
      <c r="C66" s="13" t="s">
        <v>211</v>
      </c>
      <c r="D66" s="15"/>
      <c r="E66" s="17"/>
      <c r="F66" s="3"/>
      <c r="G66" s="14"/>
      <c r="H66" s="16"/>
      <c r="I66" s="11">
        <v>46221</v>
      </c>
      <c r="J66" s="4">
        <v>17</v>
      </c>
      <c r="K66" s="18">
        <f>(F66-(0)+0-(J66*Ventas!AE63*1))</f>
        <v>0</v>
      </c>
      <c r="L66" s="3"/>
      <c r="M66" s="22">
        <f t="shared" si="21"/>
        <v>0</v>
      </c>
      <c r="N66" s="14"/>
      <c r="O66" s="25">
        <f t="shared" si="0"/>
        <v>0</v>
      </c>
      <c r="P66" s="16"/>
      <c r="Q66" s="12">
        <f t="shared" si="1"/>
        <v>0</v>
      </c>
      <c r="R66" s="5">
        <v>0</v>
      </c>
      <c r="S66" s="24">
        <v>0</v>
      </c>
      <c r="T66" s="26">
        <v>0</v>
      </c>
      <c r="U66" s="18">
        <f t="shared" si="2"/>
        <v>0</v>
      </c>
      <c r="V66" s="22">
        <f t="shared" si="3"/>
        <v>0</v>
      </c>
      <c r="W66" s="25">
        <f t="shared" si="4"/>
        <v>0</v>
      </c>
      <c r="X66" s="3"/>
      <c r="Y66" s="14"/>
      <c r="Z66" s="14"/>
      <c r="AA66" s="18">
        <v>10</v>
      </c>
      <c r="AB66" s="21">
        <v>1.031E-2</v>
      </c>
      <c r="AC66" s="11">
        <v>46313</v>
      </c>
      <c r="AD66" s="4">
        <v>92</v>
      </c>
      <c r="AE66" s="18">
        <f>(IF(K66&gt;0,K66+R66,R66)-(AD66*Ventas!AE63*1.0489))</f>
        <v>0</v>
      </c>
      <c r="AF66" s="3"/>
      <c r="AG66" s="22">
        <f t="shared" si="22"/>
        <v>0</v>
      </c>
      <c r="AH66" s="14"/>
      <c r="AI66" s="25">
        <f t="shared" si="5"/>
        <v>0</v>
      </c>
      <c r="AJ66" s="16"/>
      <c r="AK66" s="12">
        <f t="shared" si="6"/>
        <v>0</v>
      </c>
      <c r="AL66" s="19">
        <f t="shared" si="7"/>
        <v>0</v>
      </c>
      <c r="AM66" s="18">
        <f>(180*(Ventas!AE63*0.9644) - IF(AE66&gt;0,AE66,0))</f>
        <v>0</v>
      </c>
      <c r="AN66" s="18">
        <f t="shared" si="24"/>
        <v>0</v>
      </c>
      <c r="AO66" s="14"/>
      <c r="AP66" s="14">
        <f t="shared" si="20"/>
        <v>0</v>
      </c>
      <c r="AQ66" s="16">
        <f t="shared" si="9"/>
        <v>0</v>
      </c>
      <c r="AR66" s="37">
        <f>_xlfn.XLOOKUP(C66,[1]Hoja2!$C$6:$C$24,[1]Hoja2!$D$6:$D$24,0,2,1)</f>
        <v>0</v>
      </c>
      <c r="AS66" s="18">
        <f t="shared" si="10"/>
        <v>0</v>
      </c>
      <c r="AT66" s="14"/>
      <c r="AU66" s="37">
        <f>_xlfn.XLOOKUP(D66,[1]Hoja2!$E$6:$E$24,[1]Hoja2!$F$6:$F$24,0,2,1)</f>
        <v>0</v>
      </c>
      <c r="AV66" s="3">
        <v>0</v>
      </c>
      <c r="AW66" s="3"/>
      <c r="AX66" s="14">
        <v>0</v>
      </c>
      <c r="AY66" s="14"/>
      <c r="AZ66" s="16">
        <f>_xlfn.XLOOKUP(C66,[2]PI!$B$15:$B$99,[2]PI!$L$15:$L$99,0,2,1)</f>
        <v>0</v>
      </c>
      <c r="BA66" s="16">
        <f>_xlfn.XLOOKUP(D66,[2]PI!$B$15:$B$99,[2]PI!$L$15:$L$99,0,2,1)</f>
        <v>0</v>
      </c>
      <c r="BB66" s="3"/>
      <c r="BC66" s="3"/>
      <c r="BD66" s="14"/>
      <c r="BE66" s="14"/>
      <c r="BF66" s="16"/>
      <c r="BG66" s="16"/>
      <c r="BH66" s="12">
        <f t="shared" si="11"/>
        <v>0</v>
      </c>
      <c r="BI66" s="19">
        <f t="shared" si="12"/>
        <v>0</v>
      </c>
      <c r="BJ66" s="1" t="s">
        <v>51</v>
      </c>
      <c r="BK66">
        <f t="shared" si="13"/>
        <v>0</v>
      </c>
      <c r="BL66">
        <f t="shared" si="14"/>
        <v>0</v>
      </c>
    </row>
    <row r="67" spans="1:64" x14ac:dyDescent="0.25">
      <c r="A67" s="1" t="s">
        <v>216</v>
      </c>
      <c r="B67" s="1" t="s">
        <v>215</v>
      </c>
      <c r="C67" s="13" t="s">
        <v>214</v>
      </c>
      <c r="D67" s="15"/>
      <c r="E67" s="17"/>
      <c r="F67" s="3"/>
      <c r="G67" s="14"/>
      <c r="H67" s="16"/>
      <c r="I67" s="11">
        <v>46221</v>
      </c>
      <c r="J67" s="4">
        <v>17</v>
      </c>
      <c r="K67" s="18">
        <f>(F67-(0)+0-(J67*Ventas!AE64*1))</f>
        <v>0</v>
      </c>
      <c r="L67" s="3"/>
      <c r="M67" s="22">
        <f t="shared" si="21"/>
        <v>0</v>
      </c>
      <c r="N67" s="14"/>
      <c r="O67" s="25">
        <f t="shared" si="0"/>
        <v>0</v>
      </c>
      <c r="P67" s="16"/>
      <c r="Q67" s="12">
        <f t="shared" si="1"/>
        <v>0</v>
      </c>
      <c r="R67" s="5">
        <v>0</v>
      </c>
      <c r="S67" s="24">
        <v>0</v>
      </c>
      <c r="T67" s="26">
        <v>0</v>
      </c>
      <c r="U67" s="18">
        <f t="shared" si="2"/>
        <v>0</v>
      </c>
      <c r="V67" s="22">
        <f t="shared" si="3"/>
        <v>0</v>
      </c>
      <c r="W67" s="25">
        <f t="shared" si="4"/>
        <v>0</v>
      </c>
      <c r="X67" s="3"/>
      <c r="Y67" s="14"/>
      <c r="Z67" s="14"/>
      <c r="AA67" s="3"/>
      <c r="AB67" s="3"/>
      <c r="AC67" s="11">
        <v>46313</v>
      </c>
      <c r="AD67" s="4">
        <v>92</v>
      </c>
      <c r="AE67" s="18">
        <f>(IF(K67&gt;0,K67+R67,R67)-(AD67*Ventas!AE64*1.0489))</f>
        <v>0</v>
      </c>
      <c r="AF67" s="3"/>
      <c r="AG67" s="22">
        <f t="shared" si="22"/>
        <v>0</v>
      </c>
      <c r="AH67" s="14"/>
      <c r="AI67" s="25">
        <f t="shared" si="5"/>
        <v>0</v>
      </c>
      <c r="AJ67" s="16"/>
      <c r="AK67" s="12">
        <f t="shared" si="6"/>
        <v>0</v>
      </c>
      <c r="AL67" s="19">
        <f t="shared" si="7"/>
        <v>0</v>
      </c>
      <c r="AM67" s="18">
        <f>(180*(Ventas!AE64*0.9644) - IF(AE67&gt;0,AE67,0))</f>
        <v>0</v>
      </c>
      <c r="AN67" s="18">
        <f t="shared" si="24"/>
        <v>0</v>
      </c>
      <c r="AO67" s="14"/>
      <c r="AP67" s="14">
        <f t="shared" si="20"/>
        <v>0</v>
      </c>
      <c r="AQ67" s="16">
        <f t="shared" si="9"/>
        <v>0</v>
      </c>
      <c r="AR67" s="37">
        <f>_xlfn.XLOOKUP(C67,[1]Hoja2!$C$6:$C$24,[1]Hoja2!$D$6:$D$24,0,2,1)</f>
        <v>0</v>
      </c>
      <c r="AS67" s="18">
        <f t="shared" si="10"/>
        <v>0</v>
      </c>
      <c r="AT67" s="14"/>
      <c r="AU67" s="37">
        <f>_xlfn.XLOOKUP(D67,[1]Hoja2!$E$6:$E$24,[1]Hoja2!$F$6:$F$24,0,2,1)</f>
        <v>0</v>
      </c>
      <c r="AV67" s="27">
        <v>0</v>
      </c>
      <c r="AW67" s="5">
        <v>3002</v>
      </c>
      <c r="AX67" s="14">
        <v>0</v>
      </c>
      <c r="AY67" s="14"/>
      <c r="AZ67" s="16">
        <f>_xlfn.XLOOKUP(C67,[2]PI!$B$15:$B$99,[2]PI!$L$15:$L$99,0,2,1)</f>
        <v>0</v>
      </c>
      <c r="BA67" s="16">
        <f>_xlfn.XLOOKUP(D67,[2]PI!$B$15:$B$99,[2]PI!$L$15:$L$99,0,2,1)</f>
        <v>0</v>
      </c>
      <c r="BB67" s="3"/>
      <c r="BC67" s="3"/>
      <c r="BD67" s="14"/>
      <c r="BE67" s="14"/>
      <c r="BF67" s="16"/>
      <c r="BG67" s="16"/>
      <c r="BH67" s="12">
        <f t="shared" si="11"/>
        <v>0</v>
      </c>
      <c r="BI67" s="19">
        <f t="shared" si="12"/>
        <v>0</v>
      </c>
      <c r="BJ67" s="1" t="s">
        <v>35</v>
      </c>
      <c r="BK67">
        <f t="shared" si="13"/>
        <v>0</v>
      </c>
      <c r="BL67">
        <f t="shared" si="14"/>
        <v>0</v>
      </c>
    </row>
    <row r="68" spans="1:64" x14ac:dyDescent="0.25">
      <c r="A68" s="1" t="s">
        <v>219</v>
      </c>
      <c r="B68" s="1" t="s">
        <v>218</v>
      </c>
      <c r="C68" s="13" t="s">
        <v>217</v>
      </c>
      <c r="D68" s="15"/>
      <c r="E68" s="17"/>
      <c r="F68" s="5">
        <v>1</v>
      </c>
      <c r="G68" s="14"/>
      <c r="H68" s="16"/>
      <c r="I68" s="11">
        <v>46221</v>
      </c>
      <c r="J68" s="4">
        <v>17</v>
      </c>
      <c r="K68" s="18">
        <f>(F68-(0)+0-(J68*Ventas!AE65*1))</f>
        <v>1</v>
      </c>
      <c r="L68" s="3"/>
      <c r="M68" s="22">
        <f t="shared" si="21"/>
        <v>0</v>
      </c>
      <c r="N68" s="14"/>
      <c r="O68" s="25">
        <f t="shared" si="0"/>
        <v>0</v>
      </c>
      <c r="P68" s="16"/>
      <c r="Q68" s="12">
        <f t="shared" si="1"/>
        <v>1</v>
      </c>
      <c r="R68" s="5">
        <v>0</v>
      </c>
      <c r="S68" s="24">
        <v>0</v>
      </c>
      <c r="T68" s="26">
        <v>0</v>
      </c>
      <c r="U68" s="18">
        <f t="shared" si="2"/>
        <v>1</v>
      </c>
      <c r="V68" s="22">
        <f t="shared" si="3"/>
        <v>0</v>
      </c>
      <c r="W68" s="25">
        <f t="shared" si="4"/>
        <v>0</v>
      </c>
      <c r="X68" s="3"/>
      <c r="Y68" s="14"/>
      <c r="Z68" s="14"/>
      <c r="AA68" s="3"/>
      <c r="AB68" s="3"/>
      <c r="AC68" s="11">
        <v>46313</v>
      </c>
      <c r="AD68" s="4">
        <v>92</v>
      </c>
      <c r="AE68" s="18">
        <f>(IF(K68&gt;0,K68+R68,R68)-(AD68*Ventas!AE65*1.0489))</f>
        <v>1</v>
      </c>
      <c r="AF68" s="3"/>
      <c r="AG68" s="22">
        <f t="shared" si="22"/>
        <v>0</v>
      </c>
      <c r="AH68" s="14"/>
      <c r="AI68" s="25">
        <f t="shared" si="5"/>
        <v>0</v>
      </c>
      <c r="AJ68" s="16"/>
      <c r="AK68" s="12">
        <f t="shared" si="6"/>
        <v>1</v>
      </c>
      <c r="AL68" s="19">
        <f t="shared" si="7"/>
        <v>0</v>
      </c>
      <c r="AM68" s="18">
        <f>(180*(Ventas!AE65*0.9644) - IF(AE68&gt;0,AE68,0))</f>
        <v>-1</v>
      </c>
      <c r="AN68" s="18">
        <f t="shared" si="24"/>
        <v>0</v>
      </c>
      <c r="AO68" s="14"/>
      <c r="AP68" s="14">
        <f t="shared" si="20"/>
        <v>0</v>
      </c>
      <c r="AQ68" s="16">
        <f t="shared" si="9"/>
        <v>0</v>
      </c>
      <c r="AR68" s="37">
        <f>_xlfn.XLOOKUP(C68,[1]Hoja2!$C$6:$C$24,[1]Hoja2!$D$6:$D$24,0,2,1)</f>
        <v>0</v>
      </c>
      <c r="AS68" s="18">
        <f t="shared" si="10"/>
        <v>1</v>
      </c>
      <c r="AT68" s="14"/>
      <c r="AU68" s="37">
        <f>_xlfn.XLOOKUP(D68,[1]Hoja2!$E$6:$E$24,[1]Hoja2!$F$6:$F$24,0,2,1)</f>
        <v>0</v>
      </c>
      <c r="AV68" s="27">
        <v>0</v>
      </c>
      <c r="AW68" s="5">
        <v>3002</v>
      </c>
      <c r="AX68" s="14">
        <v>0</v>
      </c>
      <c r="AY68" s="14"/>
      <c r="AZ68" s="16">
        <f>_xlfn.XLOOKUP(C68,[2]PI!$B$15:$B$99,[2]PI!$L$15:$L$99,0,2,1)</f>
        <v>0</v>
      </c>
      <c r="BA68" s="16">
        <f>_xlfn.XLOOKUP(D68,[2]PI!$B$15:$B$99,[2]PI!$L$15:$L$99,0,2,1)</f>
        <v>0</v>
      </c>
      <c r="BB68" s="3"/>
      <c r="BC68" s="3"/>
      <c r="BD68" s="14"/>
      <c r="BE68" s="14"/>
      <c r="BF68" s="16"/>
      <c r="BG68" s="16"/>
      <c r="BH68" s="12">
        <f t="shared" si="11"/>
        <v>0</v>
      </c>
      <c r="BI68" s="19">
        <f t="shared" si="12"/>
        <v>0</v>
      </c>
      <c r="BJ68" s="1" t="s">
        <v>35</v>
      </c>
      <c r="BK68">
        <f t="shared" si="13"/>
        <v>0</v>
      </c>
      <c r="BL68">
        <f t="shared" si="14"/>
        <v>0</v>
      </c>
    </row>
    <row r="69" spans="1:64" x14ac:dyDescent="0.25">
      <c r="A69" s="1" t="s">
        <v>222</v>
      </c>
      <c r="B69" s="1" t="s">
        <v>221</v>
      </c>
      <c r="C69" s="13" t="s">
        <v>220</v>
      </c>
      <c r="D69" s="15"/>
      <c r="E69" s="17"/>
      <c r="F69" s="5">
        <v>2</v>
      </c>
      <c r="G69" s="14"/>
      <c r="H69" s="16"/>
      <c r="I69" s="11">
        <v>46221</v>
      </c>
      <c r="J69" s="4">
        <v>17</v>
      </c>
      <c r="K69" s="18">
        <f>(F69-(0)+0-(J69*Ventas!AE66*1))</f>
        <v>2</v>
      </c>
      <c r="L69" s="3"/>
      <c r="M69" s="22">
        <f t="shared" si="21"/>
        <v>0</v>
      </c>
      <c r="N69" s="14"/>
      <c r="O69" s="25">
        <f t="shared" ref="O69:O132" si="25">(H69+0)</f>
        <v>0</v>
      </c>
      <c r="P69" s="16"/>
      <c r="Q69" s="12">
        <f t="shared" ref="Q69:Q132" si="26">(K69+M69+O69)</f>
        <v>2</v>
      </c>
      <c r="R69" s="5">
        <v>0</v>
      </c>
      <c r="S69" s="24">
        <v>0</v>
      </c>
      <c r="T69" s="26">
        <v>0</v>
      </c>
      <c r="U69" s="18">
        <f t="shared" ref="U69:U132" si="27">IF(K69&gt;0,K69+R69,R69)</f>
        <v>2</v>
      </c>
      <c r="V69" s="22">
        <f t="shared" ref="V69:V132" si="28">IF(M69&gt;0,M69+S69,S69)</f>
        <v>0</v>
      </c>
      <c r="W69" s="25">
        <f t="shared" ref="W69:W132" si="29">IF(O69&gt;0,O69+T69,T69)</f>
        <v>0</v>
      </c>
      <c r="X69" s="3"/>
      <c r="Y69" s="14"/>
      <c r="Z69" s="14"/>
      <c r="AA69" s="3"/>
      <c r="AB69" s="3"/>
      <c r="AC69" s="11">
        <v>46313</v>
      </c>
      <c r="AD69" s="4">
        <v>92</v>
      </c>
      <c r="AE69" s="18">
        <f>(IF(K69&gt;0,K69+R69,R69)-(AD69*Ventas!AE66*1.0489))</f>
        <v>2</v>
      </c>
      <c r="AF69" s="3"/>
      <c r="AG69" s="22">
        <f t="shared" si="22"/>
        <v>0</v>
      </c>
      <c r="AH69" s="14"/>
      <c r="AI69" s="25">
        <f t="shared" ref="AI69:AI132" si="30">(H69+0)</f>
        <v>0</v>
      </c>
      <c r="AJ69" s="16"/>
      <c r="AK69" s="12">
        <f t="shared" ref="AK69:AK132" si="31">(AE69+AG69+AI69)</f>
        <v>2</v>
      </c>
      <c r="AL69" s="19">
        <f t="shared" ref="AL69:AL132" si="32">(((AF69*7)+(AH69*1)+(AJ69*0))/8)</f>
        <v>0</v>
      </c>
      <c r="AM69" s="18">
        <f>(180*(Ventas!AE66*0.9644) - IF(AE69&gt;0,AE69,0))</f>
        <v>-2</v>
      </c>
      <c r="AN69" s="18">
        <f t="shared" si="24"/>
        <v>0</v>
      </c>
      <c r="AO69" s="14"/>
      <c r="AP69" s="14">
        <f t="shared" si="20"/>
        <v>0</v>
      </c>
      <c r="AQ69" s="16">
        <f t="shared" ref="AQ69:AQ132" si="33">(AN69+AP69)*AB69</f>
        <v>0</v>
      </c>
      <c r="AR69" s="37">
        <f>_xlfn.XLOOKUP(C69,[1]Hoja2!$C$6:$C$24,[1]Hoja2!$D$6:$D$24,0,2,1)</f>
        <v>0</v>
      </c>
      <c r="AS69" s="18">
        <f t="shared" ref="AS69:AS132" si="34">IF(AE69&gt;0,AE69+IF(AN69&gt;0,AN69,0),AN69)</f>
        <v>2</v>
      </c>
      <c r="AT69" s="14"/>
      <c r="AU69" s="37">
        <f>_xlfn.XLOOKUP(D69,[1]Hoja2!$E$6:$E$24,[1]Hoja2!$F$6:$F$24,0,2,1)</f>
        <v>0</v>
      </c>
      <c r="AV69" s="27">
        <v>0</v>
      </c>
      <c r="AW69" s="5">
        <v>3002</v>
      </c>
      <c r="AX69" s="14">
        <v>0</v>
      </c>
      <c r="AY69" s="14"/>
      <c r="AZ69" s="16">
        <f>_xlfn.XLOOKUP(C69,[2]PI!$B$15:$B$99,[2]PI!$L$15:$L$99,0,2,1)</f>
        <v>0</v>
      </c>
      <c r="BA69" s="16">
        <f>_xlfn.XLOOKUP(D69,[2]PI!$B$15:$B$99,[2]PI!$L$15:$L$99,0,2,1)</f>
        <v>0</v>
      </c>
      <c r="BB69" s="3"/>
      <c r="BC69" s="3"/>
      <c r="BD69" s="14"/>
      <c r="BE69" s="14"/>
      <c r="BF69" s="16"/>
      <c r="BG69" s="16"/>
      <c r="BH69" s="12">
        <f t="shared" ref="BH69:BH132" si="35">(IF(BB69&gt;0,BB69,0)+IF(BD69&gt;0,BD69,0)+IF(BF69&gt;0,BF69,0))</f>
        <v>0</v>
      </c>
      <c r="BI69" s="19">
        <f t="shared" ref="BI69:BI132" si="36">(((BC69*7)+(BE69*1)+(BG69*1))/8)</f>
        <v>0</v>
      </c>
      <c r="BJ69" s="1" t="s">
        <v>51</v>
      </c>
      <c r="BK69">
        <f t="shared" si="13"/>
        <v>0</v>
      </c>
      <c r="BL69">
        <f t="shared" si="14"/>
        <v>0</v>
      </c>
    </row>
    <row r="70" spans="1:64" x14ac:dyDescent="0.25">
      <c r="A70" s="1" t="s">
        <v>225</v>
      </c>
      <c r="B70" s="1" t="s">
        <v>224</v>
      </c>
      <c r="C70" s="13" t="s">
        <v>223</v>
      </c>
      <c r="D70" s="15"/>
      <c r="E70" s="17"/>
      <c r="F70" s="3"/>
      <c r="G70" s="14"/>
      <c r="H70" s="16"/>
      <c r="I70" s="11">
        <v>46221</v>
      </c>
      <c r="J70" s="4">
        <v>17</v>
      </c>
      <c r="K70" s="18">
        <f>(F70-(0)+0-(J70*Ventas!AE67*1))</f>
        <v>0</v>
      </c>
      <c r="L70" s="3"/>
      <c r="M70" s="22">
        <f t="shared" si="21"/>
        <v>0</v>
      </c>
      <c r="N70" s="14"/>
      <c r="O70" s="25">
        <f t="shared" si="25"/>
        <v>0</v>
      </c>
      <c r="P70" s="16"/>
      <c r="Q70" s="12">
        <f t="shared" si="26"/>
        <v>0</v>
      </c>
      <c r="R70" s="5">
        <v>0</v>
      </c>
      <c r="S70" s="24">
        <v>0</v>
      </c>
      <c r="T70" s="26">
        <v>0</v>
      </c>
      <c r="U70" s="18">
        <f t="shared" si="27"/>
        <v>0</v>
      </c>
      <c r="V70" s="22">
        <f t="shared" si="28"/>
        <v>0</v>
      </c>
      <c r="W70" s="25">
        <f t="shared" si="29"/>
        <v>0</v>
      </c>
      <c r="X70" s="3"/>
      <c r="Y70" s="14"/>
      <c r="Z70" s="14"/>
      <c r="AA70" s="3"/>
      <c r="AB70" s="3"/>
      <c r="AC70" s="11">
        <v>46313</v>
      </c>
      <c r="AD70" s="4">
        <v>92</v>
      </c>
      <c r="AE70" s="18">
        <f>(IF(K70&gt;0,K70+R70,R70)-(AD70*Ventas!AE67*1.0489))</f>
        <v>0</v>
      </c>
      <c r="AF70" s="3"/>
      <c r="AG70" s="22">
        <f t="shared" si="22"/>
        <v>0</v>
      </c>
      <c r="AH70" s="14"/>
      <c r="AI70" s="25">
        <f t="shared" si="30"/>
        <v>0</v>
      </c>
      <c r="AJ70" s="16"/>
      <c r="AK70" s="12">
        <f t="shared" si="31"/>
        <v>0</v>
      </c>
      <c r="AL70" s="19">
        <f t="shared" si="32"/>
        <v>0</v>
      </c>
      <c r="AM70" s="18">
        <f>(180*(Ventas!AE67*0.9644) - IF(AE70&gt;0,AE70,0))</f>
        <v>0</v>
      </c>
      <c r="AN70" s="18">
        <f t="shared" si="24"/>
        <v>0</v>
      </c>
      <c r="AO70" s="14"/>
      <c r="AP70" s="14">
        <f t="shared" si="20"/>
        <v>0</v>
      </c>
      <c r="AQ70" s="16">
        <f t="shared" si="33"/>
        <v>0</v>
      </c>
      <c r="AR70" s="37">
        <f>_xlfn.XLOOKUP(C70,[1]Hoja2!$C$6:$C$24,[1]Hoja2!$D$6:$D$24,0,2,1)</f>
        <v>0</v>
      </c>
      <c r="AS70" s="18">
        <f t="shared" si="34"/>
        <v>0</v>
      </c>
      <c r="AT70" s="14"/>
      <c r="AU70" s="37">
        <f>_xlfn.XLOOKUP(D70,[1]Hoja2!$E$6:$E$24,[1]Hoja2!$F$6:$F$24,0,2,1)</f>
        <v>0</v>
      </c>
      <c r="AV70" s="27">
        <v>0</v>
      </c>
      <c r="AW70" s="5">
        <v>3002</v>
      </c>
      <c r="AX70" s="14">
        <v>0</v>
      </c>
      <c r="AY70" s="14"/>
      <c r="AZ70" s="16">
        <f>_xlfn.XLOOKUP(C70,[2]PI!$B$15:$B$99,[2]PI!$L$15:$L$99,0,2,1)</f>
        <v>0</v>
      </c>
      <c r="BA70" s="16">
        <f>_xlfn.XLOOKUP(D70,[2]PI!$B$15:$B$99,[2]PI!$L$15:$L$99,0,2,1)</f>
        <v>0</v>
      </c>
      <c r="BB70" s="3"/>
      <c r="BC70" s="3"/>
      <c r="BD70" s="14"/>
      <c r="BE70" s="14"/>
      <c r="BF70" s="16"/>
      <c r="BG70" s="16"/>
      <c r="BH70" s="12">
        <f t="shared" si="35"/>
        <v>0</v>
      </c>
      <c r="BI70" s="19">
        <f t="shared" si="36"/>
        <v>0</v>
      </c>
      <c r="BJ70" s="1" t="s">
        <v>35</v>
      </c>
      <c r="BK70">
        <f t="shared" ref="BK70:BK133" si="37">AV70*AN70+AP70*AX70</f>
        <v>0</v>
      </c>
      <c r="BL70">
        <f t="shared" ref="BL70:BL133" si="38">(AN70)*AZ70+AP70*BA70</f>
        <v>0</v>
      </c>
    </row>
    <row r="71" spans="1:64" x14ac:dyDescent="0.25">
      <c r="A71" s="1" t="s">
        <v>228</v>
      </c>
      <c r="B71" s="1" t="s">
        <v>227</v>
      </c>
      <c r="C71" s="13" t="s">
        <v>226</v>
      </c>
      <c r="D71" s="15"/>
      <c r="E71" s="17"/>
      <c r="F71" s="5">
        <v>7</v>
      </c>
      <c r="G71" s="14"/>
      <c r="H71" s="16"/>
      <c r="I71" s="11">
        <v>46221</v>
      </c>
      <c r="J71" s="4">
        <v>17</v>
      </c>
      <c r="K71" s="18">
        <f>(F71-(0)+0-(J71*Ventas!AE68*1))</f>
        <v>7</v>
      </c>
      <c r="L71" s="3"/>
      <c r="M71" s="22">
        <f t="shared" si="21"/>
        <v>0</v>
      </c>
      <c r="N71" s="14"/>
      <c r="O71" s="25">
        <f t="shared" si="25"/>
        <v>0</v>
      </c>
      <c r="P71" s="16"/>
      <c r="Q71" s="12">
        <f t="shared" si="26"/>
        <v>7</v>
      </c>
      <c r="R71" s="5">
        <v>0</v>
      </c>
      <c r="S71" s="24">
        <v>0</v>
      </c>
      <c r="T71" s="26">
        <v>0</v>
      </c>
      <c r="U71" s="18">
        <f t="shared" si="27"/>
        <v>7</v>
      </c>
      <c r="V71" s="22">
        <f t="shared" si="28"/>
        <v>0</v>
      </c>
      <c r="W71" s="25">
        <f t="shared" si="29"/>
        <v>0</v>
      </c>
      <c r="X71" s="3"/>
      <c r="Y71" s="14"/>
      <c r="Z71" s="14"/>
      <c r="AA71" s="18">
        <v>66</v>
      </c>
      <c r="AB71" s="21">
        <v>1.0399999999999999E-3</v>
      </c>
      <c r="AC71" s="11">
        <v>46313</v>
      </c>
      <c r="AD71" s="4">
        <v>92</v>
      </c>
      <c r="AE71" s="18">
        <f>(IF(K71&gt;0,K71+R71,R71)-(AD71*Ventas!AE68*1.0489))</f>
        <v>7</v>
      </c>
      <c r="AF71" s="3"/>
      <c r="AG71" s="22">
        <f t="shared" si="22"/>
        <v>0</v>
      </c>
      <c r="AH71" s="14"/>
      <c r="AI71" s="25">
        <f t="shared" si="30"/>
        <v>0</v>
      </c>
      <c r="AJ71" s="16"/>
      <c r="AK71" s="12">
        <f t="shared" si="31"/>
        <v>7</v>
      </c>
      <c r="AL71" s="19">
        <f t="shared" si="32"/>
        <v>0</v>
      </c>
      <c r="AM71" s="18">
        <f>(180*(Ventas!AE68*0.9644) - IF(AE71&gt;0,AE71,0))</f>
        <v>-7</v>
      </c>
      <c r="AN71" s="18">
        <f t="shared" si="24"/>
        <v>0</v>
      </c>
      <c r="AO71" s="14"/>
      <c r="AP71" s="14">
        <f t="shared" si="20"/>
        <v>0</v>
      </c>
      <c r="AQ71" s="16">
        <f t="shared" si="33"/>
        <v>0</v>
      </c>
      <c r="AR71" s="37">
        <f>_xlfn.XLOOKUP(C71,[1]Hoja2!$C$6:$C$24,[1]Hoja2!$D$6:$D$24,0,2,1)</f>
        <v>0</v>
      </c>
      <c r="AS71" s="18">
        <f t="shared" si="34"/>
        <v>7</v>
      </c>
      <c r="AT71" s="14"/>
      <c r="AU71" s="37">
        <f>_xlfn.XLOOKUP(D71,[1]Hoja2!$E$6:$E$24,[1]Hoja2!$F$6:$F$24,0,2,1)</f>
        <v>0</v>
      </c>
      <c r="AV71" s="27">
        <v>0</v>
      </c>
      <c r="AW71" s="5">
        <v>3013</v>
      </c>
      <c r="AX71" s="14">
        <v>0</v>
      </c>
      <c r="AY71" s="14"/>
      <c r="AZ71" s="16">
        <f>_xlfn.XLOOKUP(C71,[2]PI!$B$15:$B$99,[2]PI!$L$15:$L$99,0,2,1)</f>
        <v>0</v>
      </c>
      <c r="BA71" s="16">
        <f>_xlfn.XLOOKUP(D71,[2]PI!$B$15:$B$99,[2]PI!$L$15:$L$99,0,2,1)</f>
        <v>0</v>
      </c>
      <c r="BB71" s="3"/>
      <c r="BC71" s="3"/>
      <c r="BD71" s="14"/>
      <c r="BE71" s="14"/>
      <c r="BF71" s="16"/>
      <c r="BG71" s="16"/>
      <c r="BH71" s="12">
        <f t="shared" si="35"/>
        <v>0</v>
      </c>
      <c r="BI71" s="19">
        <f t="shared" si="36"/>
        <v>0</v>
      </c>
      <c r="BJ71" s="1" t="s">
        <v>51</v>
      </c>
      <c r="BK71">
        <f t="shared" si="37"/>
        <v>0</v>
      </c>
      <c r="BL71">
        <f t="shared" si="38"/>
        <v>0</v>
      </c>
    </row>
    <row r="72" spans="1:64" x14ac:dyDescent="0.25">
      <c r="A72" s="1" t="s">
        <v>231</v>
      </c>
      <c r="B72" s="1" t="s">
        <v>230</v>
      </c>
      <c r="C72" s="13" t="s">
        <v>229</v>
      </c>
      <c r="D72" s="15"/>
      <c r="E72" s="17"/>
      <c r="F72" s="5">
        <v>1</v>
      </c>
      <c r="G72" s="14"/>
      <c r="H72" s="16"/>
      <c r="I72" s="11">
        <v>46221</v>
      </c>
      <c r="J72" s="4">
        <v>17</v>
      </c>
      <c r="K72" s="18">
        <f>(F72-(0)+0-(J72*Ventas!AE69*1))</f>
        <v>1</v>
      </c>
      <c r="L72" s="3"/>
      <c r="M72" s="22">
        <f t="shared" si="21"/>
        <v>0</v>
      </c>
      <c r="N72" s="14"/>
      <c r="O72" s="25">
        <f t="shared" si="25"/>
        <v>0</v>
      </c>
      <c r="P72" s="16"/>
      <c r="Q72" s="12">
        <f t="shared" si="26"/>
        <v>1</v>
      </c>
      <c r="R72" s="5">
        <v>0</v>
      </c>
      <c r="S72" s="24">
        <v>0</v>
      </c>
      <c r="T72" s="26">
        <v>0</v>
      </c>
      <c r="U72" s="18">
        <f t="shared" si="27"/>
        <v>1</v>
      </c>
      <c r="V72" s="22">
        <f t="shared" si="28"/>
        <v>0</v>
      </c>
      <c r="W72" s="25">
        <f t="shared" si="29"/>
        <v>0</v>
      </c>
      <c r="X72" s="3"/>
      <c r="Y72" s="14"/>
      <c r="Z72" s="14"/>
      <c r="AA72" s="18">
        <v>66</v>
      </c>
      <c r="AB72" s="21">
        <v>1.0399999999999999E-3</v>
      </c>
      <c r="AC72" s="11">
        <v>46313</v>
      </c>
      <c r="AD72" s="4">
        <v>92</v>
      </c>
      <c r="AE72" s="18">
        <f>(IF(K72&gt;0,K72+R72,R72)-(AD72*Ventas!AE69*1.0489))</f>
        <v>1</v>
      </c>
      <c r="AF72" s="3"/>
      <c r="AG72" s="22">
        <f t="shared" si="22"/>
        <v>0</v>
      </c>
      <c r="AH72" s="14"/>
      <c r="AI72" s="25">
        <f t="shared" si="30"/>
        <v>0</v>
      </c>
      <c r="AJ72" s="16"/>
      <c r="AK72" s="12">
        <f t="shared" si="31"/>
        <v>1</v>
      </c>
      <c r="AL72" s="19">
        <f t="shared" si="32"/>
        <v>0</v>
      </c>
      <c r="AM72" s="18">
        <f>(180*(Ventas!AE69*0.9644) - IF(AE72&gt;0,AE72,0))</f>
        <v>-1</v>
      </c>
      <c r="AN72" s="18">
        <f t="shared" si="24"/>
        <v>0</v>
      </c>
      <c r="AO72" s="14"/>
      <c r="AP72" s="14">
        <f t="shared" si="20"/>
        <v>0</v>
      </c>
      <c r="AQ72" s="16">
        <f t="shared" si="33"/>
        <v>0</v>
      </c>
      <c r="AR72" s="37">
        <f>_xlfn.XLOOKUP(C72,[1]Hoja2!$C$6:$C$24,[1]Hoja2!$D$6:$D$24,0,2,1)</f>
        <v>0</v>
      </c>
      <c r="AS72" s="18">
        <f t="shared" si="34"/>
        <v>1</v>
      </c>
      <c r="AT72" s="14"/>
      <c r="AU72" s="37">
        <f>_xlfn.XLOOKUP(D72,[1]Hoja2!$E$6:$E$24,[1]Hoja2!$F$6:$F$24,0,2,1)</f>
        <v>0</v>
      </c>
      <c r="AV72" s="27">
        <v>0</v>
      </c>
      <c r="AW72" s="5">
        <v>3002</v>
      </c>
      <c r="AX72" s="14">
        <v>0</v>
      </c>
      <c r="AY72" s="14"/>
      <c r="AZ72" s="16">
        <f>_xlfn.XLOOKUP(C72,[2]PI!$B$15:$B$99,[2]PI!$L$15:$L$99,0,2,1)</f>
        <v>0</v>
      </c>
      <c r="BA72" s="16">
        <f>_xlfn.XLOOKUP(D72,[2]PI!$B$15:$B$99,[2]PI!$L$15:$L$99,0,2,1)</f>
        <v>0</v>
      </c>
      <c r="BB72" s="3"/>
      <c r="BC72" s="3"/>
      <c r="BD72" s="14"/>
      <c r="BE72" s="14"/>
      <c r="BF72" s="16"/>
      <c r="BG72" s="16"/>
      <c r="BH72" s="12">
        <f t="shared" si="35"/>
        <v>0</v>
      </c>
      <c r="BI72" s="19">
        <f t="shared" si="36"/>
        <v>0</v>
      </c>
      <c r="BJ72" s="1" t="s">
        <v>35</v>
      </c>
      <c r="BK72">
        <f t="shared" si="37"/>
        <v>0</v>
      </c>
      <c r="BL72">
        <f t="shared" si="38"/>
        <v>0</v>
      </c>
    </row>
    <row r="73" spans="1:64" x14ac:dyDescent="0.25">
      <c r="A73" s="1" t="s">
        <v>234</v>
      </c>
      <c r="B73" s="1" t="s">
        <v>233</v>
      </c>
      <c r="C73" s="13" t="s">
        <v>232</v>
      </c>
      <c r="D73" s="15"/>
      <c r="E73" s="17"/>
      <c r="F73" s="3"/>
      <c r="G73" s="14"/>
      <c r="H73" s="16"/>
      <c r="I73" s="11">
        <v>46221</v>
      </c>
      <c r="J73" s="4">
        <v>17</v>
      </c>
      <c r="K73" s="18">
        <f>(F73-(0)+0-(J73*Ventas!AE70*1))</f>
        <v>0</v>
      </c>
      <c r="L73" s="3"/>
      <c r="M73" s="22">
        <f t="shared" si="21"/>
        <v>0</v>
      </c>
      <c r="N73" s="14"/>
      <c r="O73" s="25">
        <f t="shared" si="25"/>
        <v>0</v>
      </c>
      <c r="P73" s="16"/>
      <c r="Q73" s="12">
        <f t="shared" si="26"/>
        <v>0</v>
      </c>
      <c r="R73" s="5">
        <v>0</v>
      </c>
      <c r="S73" s="24">
        <v>0</v>
      </c>
      <c r="T73" s="26">
        <v>0</v>
      </c>
      <c r="U73" s="18">
        <f t="shared" si="27"/>
        <v>0</v>
      </c>
      <c r="V73" s="22">
        <f t="shared" si="28"/>
        <v>0</v>
      </c>
      <c r="W73" s="25">
        <f t="shared" si="29"/>
        <v>0</v>
      </c>
      <c r="X73" s="3"/>
      <c r="Y73" s="14"/>
      <c r="Z73" s="14"/>
      <c r="AA73" s="18">
        <v>66</v>
      </c>
      <c r="AB73" s="21">
        <v>1.0399999999999999E-3</v>
      </c>
      <c r="AC73" s="11">
        <v>46313</v>
      </c>
      <c r="AD73" s="4">
        <v>92</v>
      </c>
      <c r="AE73" s="18">
        <f>(IF(K73&gt;0,K73+R73,R73)-(AD73*Ventas!AE70*1.0489))</f>
        <v>0</v>
      </c>
      <c r="AF73" s="3"/>
      <c r="AG73" s="22">
        <f t="shared" si="22"/>
        <v>0</v>
      </c>
      <c r="AH73" s="14"/>
      <c r="AI73" s="25">
        <f t="shared" si="30"/>
        <v>0</v>
      </c>
      <c r="AJ73" s="16"/>
      <c r="AK73" s="12">
        <f t="shared" si="31"/>
        <v>0</v>
      </c>
      <c r="AL73" s="19">
        <f t="shared" si="32"/>
        <v>0</v>
      </c>
      <c r="AM73" s="18">
        <f>(180*(Ventas!AE70*0.9644) - IF(AE73&gt;0,AE73,0))</f>
        <v>0</v>
      </c>
      <c r="AN73" s="18">
        <f t="shared" si="24"/>
        <v>0</v>
      </c>
      <c r="AO73" s="14"/>
      <c r="AP73" s="14">
        <f t="shared" si="20"/>
        <v>0</v>
      </c>
      <c r="AQ73" s="16">
        <f t="shared" si="33"/>
        <v>0</v>
      </c>
      <c r="AR73" s="37">
        <f>_xlfn.XLOOKUP(C73,[1]Hoja2!$C$6:$C$24,[1]Hoja2!$D$6:$D$24,0,2,1)</f>
        <v>0</v>
      </c>
      <c r="AS73" s="18">
        <f t="shared" si="34"/>
        <v>0</v>
      </c>
      <c r="AT73" s="14"/>
      <c r="AU73" s="37">
        <f>_xlfn.XLOOKUP(D73,[1]Hoja2!$E$6:$E$24,[1]Hoja2!$F$6:$F$24,0,2,1)</f>
        <v>0</v>
      </c>
      <c r="AV73" s="27">
        <v>0</v>
      </c>
      <c r="AW73" s="5">
        <v>3002</v>
      </c>
      <c r="AX73" s="14">
        <v>0</v>
      </c>
      <c r="AY73" s="14"/>
      <c r="AZ73" s="16">
        <f>_xlfn.XLOOKUP(C73,[2]PI!$B$15:$B$99,[2]PI!$L$15:$L$99,0,2,1)</f>
        <v>0</v>
      </c>
      <c r="BA73" s="16">
        <f>_xlfn.XLOOKUP(D73,[2]PI!$B$15:$B$99,[2]PI!$L$15:$L$99,0,2,1)</f>
        <v>0</v>
      </c>
      <c r="BB73" s="3"/>
      <c r="BC73" s="3"/>
      <c r="BD73" s="14"/>
      <c r="BE73" s="14"/>
      <c r="BF73" s="16"/>
      <c r="BG73" s="16"/>
      <c r="BH73" s="12">
        <f t="shared" si="35"/>
        <v>0</v>
      </c>
      <c r="BI73" s="19">
        <f t="shared" si="36"/>
        <v>0</v>
      </c>
      <c r="BJ73" s="1" t="s">
        <v>35</v>
      </c>
      <c r="BK73">
        <f t="shared" si="37"/>
        <v>0</v>
      </c>
      <c r="BL73">
        <f t="shared" si="38"/>
        <v>0</v>
      </c>
    </row>
    <row r="74" spans="1:64" x14ac:dyDescent="0.25">
      <c r="A74" s="1" t="s">
        <v>237</v>
      </c>
      <c r="B74" s="1" t="s">
        <v>236</v>
      </c>
      <c r="C74" s="13" t="s">
        <v>235</v>
      </c>
      <c r="D74" s="15"/>
      <c r="E74" s="17"/>
      <c r="F74" s="5">
        <v>3</v>
      </c>
      <c r="G74" s="14"/>
      <c r="H74" s="16"/>
      <c r="I74" s="11">
        <v>46221</v>
      </c>
      <c r="J74" s="4">
        <v>17</v>
      </c>
      <c r="K74" s="18">
        <f>(F74-(0)+0-(J74*Ventas!AE71*1))</f>
        <v>3</v>
      </c>
      <c r="L74" s="3"/>
      <c r="M74" s="22">
        <f t="shared" si="21"/>
        <v>0</v>
      </c>
      <c r="N74" s="14"/>
      <c r="O74" s="25">
        <f t="shared" si="25"/>
        <v>0</v>
      </c>
      <c r="P74" s="16"/>
      <c r="Q74" s="12">
        <f t="shared" si="26"/>
        <v>3</v>
      </c>
      <c r="R74" s="5">
        <v>0</v>
      </c>
      <c r="S74" s="24">
        <v>0</v>
      </c>
      <c r="T74" s="26">
        <v>0</v>
      </c>
      <c r="U74" s="18">
        <f t="shared" si="27"/>
        <v>3</v>
      </c>
      <c r="V74" s="22">
        <f t="shared" si="28"/>
        <v>0</v>
      </c>
      <c r="W74" s="25">
        <f t="shared" si="29"/>
        <v>0</v>
      </c>
      <c r="X74" s="3"/>
      <c r="Y74" s="14"/>
      <c r="Z74" s="14"/>
      <c r="AA74" s="18">
        <v>66</v>
      </c>
      <c r="AB74" s="21">
        <v>1.0399999999999999E-3</v>
      </c>
      <c r="AC74" s="11">
        <v>46313</v>
      </c>
      <c r="AD74" s="4">
        <v>92</v>
      </c>
      <c r="AE74" s="18">
        <f>(IF(K74&gt;0,K74+R74,R74)-(AD74*Ventas!AE71*1.0489))</f>
        <v>3</v>
      </c>
      <c r="AF74" s="3"/>
      <c r="AG74" s="22">
        <f t="shared" si="22"/>
        <v>0</v>
      </c>
      <c r="AH74" s="14"/>
      <c r="AI74" s="25">
        <f t="shared" si="30"/>
        <v>0</v>
      </c>
      <c r="AJ74" s="16"/>
      <c r="AK74" s="12">
        <f t="shared" si="31"/>
        <v>3</v>
      </c>
      <c r="AL74" s="19">
        <f t="shared" si="32"/>
        <v>0</v>
      </c>
      <c r="AM74" s="18">
        <f>(180*(Ventas!AE71*0.9644) - IF(AE74&gt;0,AE74,0))</f>
        <v>-3</v>
      </c>
      <c r="AN74" s="18">
        <f t="shared" si="24"/>
        <v>0</v>
      </c>
      <c r="AO74" s="14"/>
      <c r="AP74" s="14">
        <f t="shared" si="20"/>
        <v>0</v>
      </c>
      <c r="AQ74" s="16">
        <f t="shared" si="33"/>
        <v>0</v>
      </c>
      <c r="AR74" s="37">
        <f>_xlfn.XLOOKUP(C74,[1]Hoja2!$C$6:$C$24,[1]Hoja2!$D$6:$D$24,0,2,1)</f>
        <v>0</v>
      </c>
      <c r="AS74" s="18">
        <f t="shared" si="34"/>
        <v>3</v>
      </c>
      <c r="AT74" s="14"/>
      <c r="AU74" s="37">
        <f>_xlfn.XLOOKUP(D74,[1]Hoja2!$E$6:$E$24,[1]Hoja2!$F$6:$F$24,0,2,1)</f>
        <v>0</v>
      </c>
      <c r="AV74" s="27">
        <v>0</v>
      </c>
      <c r="AW74" s="5">
        <v>3002</v>
      </c>
      <c r="AX74" s="14">
        <v>0</v>
      </c>
      <c r="AY74" s="14"/>
      <c r="AZ74" s="16">
        <f>_xlfn.XLOOKUP(C74,[2]PI!$B$15:$B$99,[2]PI!$L$15:$L$99,0,2,1)</f>
        <v>0</v>
      </c>
      <c r="BA74" s="16">
        <f>_xlfn.XLOOKUP(D74,[2]PI!$B$15:$B$99,[2]PI!$L$15:$L$99,0,2,1)</f>
        <v>0</v>
      </c>
      <c r="BB74" s="3"/>
      <c r="BC74" s="3"/>
      <c r="BD74" s="14"/>
      <c r="BE74" s="14"/>
      <c r="BF74" s="16"/>
      <c r="BG74" s="16"/>
      <c r="BH74" s="12">
        <f t="shared" si="35"/>
        <v>0</v>
      </c>
      <c r="BI74" s="19">
        <f t="shared" si="36"/>
        <v>0</v>
      </c>
      <c r="BJ74" s="1" t="s">
        <v>35</v>
      </c>
      <c r="BK74">
        <f t="shared" si="37"/>
        <v>0</v>
      </c>
      <c r="BL74">
        <f t="shared" si="38"/>
        <v>0</v>
      </c>
    </row>
    <row r="75" spans="1:64" x14ac:dyDescent="0.25">
      <c r="A75" s="1" t="s">
        <v>240</v>
      </c>
      <c r="B75" s="1" t="s">
        <v>239</v>
      </c>
      <c r="C75" s="13" t="s">
        <v>238</v>
      </c>
      <c r="D75" s="15"/>
      <c r="E75" s="17"/>
      <c r="F75" s="5">
        <v>8</v>
      </c>
      <c r="G75" s="14"/>
      <c r="H75" s="16"/>
      <c r="I75" s="11">
        <v>46221</v>
      </c>
      <c r="J75" s="4">
        <v>17</v>
      </c>
      <c r="K75" s="18">
        <f>(F75-(0)+0-(J75*Ventas!AE72*1))</f>
        <v>8</v>
      </c>
      <c r="L75" s="3"/>
      <c r="M75" s="22">
        <f t="shared" si="21"/>
        <v>0</v>
      </c>
      <c r="N75" s="14"/>
      <c r="O75" s="25">
        <f t="shared" si="25"/>
        <v>0</v>
      </c>
      <c r="P75" s="16"/>
      <c r="Q75" s="12">
        <f t="shared" si="26"/>
        <v>8</v>
      </c>
      <c r="R75" s="5">
        <v>0</v>
      </c>
      <c r="S75" s="24">
        <v>0</v>
      </c>
      <c r="T75" s="26">
        <v>0</v>
      </c>
      <c r="U75" s="18">
        <f t="shared" si="27"/>
        <v>8</v>
      </c>
      <c r="V75" s="22">
        <f t="shared" si="28"/>
        <v>0</v>
      </c>
      <c r="W75" s="25">
        <f t="shared" si="29"/>
        <v>0</v>
      </c>
      <c r="X75" s="3"/>
      <c r="Y75" s="14"/>
      <c r="Z75" s="14"/>
      <c r="AA75" s="18">
        <v>66</v>
      </c>
      <c r="AB75" s="21">
        <v>1.0399999999999999E-3</v>
      </c>
      <c r="AC75" s="11">
        <v>46313</v>
      </c>
      <c r="AD75" s="4">
        <v>92</v>
      </c>
      <c r="AE75" s="18">
        <f>(IF(K75&gt;0,K75+R75,R75)-(AD75*Ventas!AE72*1.0489))</f>
        <v>8</v>
      </c>
      <c r="AF75" s="3"/>
      <c r="AG75" s="22">
        <f t="shared" si="22"/>
        <v>0</v>
      </c>
      <c r="AH75" s="14"/>
      <c r="AI75" s="25">
        <f t="shared" si="30"/>
        <v>0</v>
      </c>
      <c r="AJ75" s="16"/>
      <c r="AK75" s="12">
        <f t="shared" si="31"/>
        <v>8</v>
      </c>
      <c r="AL75" s="19">
        <f t="shared" si="32"/>
        <v>0</v>
      </c>
      <c r="AM75" s="18">
        <f>(180*(Ventas!AE72*0.9644) - IF(AE75&gt;0,AE75,0))</f>
        <v>-8</v>
      </c>
      <c r="AN75" s="18">
        <f t="shared" si="24"/>
        <v>0</v>
      </c>
      <c r="AO75" s="14"/>
      <c r="AP75" s="14">
        <f t="shared" si="20"/>
        <v>0</v>
      </c>
      <c r="AQ75" s="16">
        <f t="shared" si="33"/>
        <v>0</v>
      </c>
      <c r="AR75" s="37">
        <f>_xlfn.XLOOKUP(C75,[1]Hoja2!$C$6:$C$24,[1]Hoja2!$D$6:$D$24,0,2,1)</f>
        <v>0</v>
      </c>
      <c r="AS75" s="18">
        <f t="shared" si="34"/>
        <v>8</v>
      </c>
      <c r="AT75" s="14"/>
      <c r="AU75" s="37">
        <f>_xlfn.XLOOKUP(D75,[1]Hoja2!$E$6:$E$24,[1]Hoja2!$F$6:$F$24,0,2,1)</f>
        <v>0</v>
      </c>
      <c r="AV75" s="27">
        <v>0</v>
      </c>
      <c r="AW75" s="5">
        <v>3002</v>
      </c>
      <c r="AX75" s="14">
        <v>0</v>
      </c>
      <c r="AY75" s="14"/>
      <c r="AZ75" s="16">
        <f>_xlfn.XLOOKUP(C75,[2]PI!$B$15:$B$99,[2]PI!$L$15:$L$99,0,2,1)</f>
        <v>0</v>
      </c>
      <c r="BA75" s="16">
        <f>_xlfn.XLOOKUP(D75,[2]PI!$B$15:$B$99,[2]PI!$L$15:$L$99,0,2,1)</f>
        <v>0</v>
      </c>
      <c r="BB75" s="3"/>
      <c r="BC75" s="3"/>
      <c r="BD75" s="14"/>
      <c r="BE75" s="14"/>
      <c r="BF75" s="16"/>
      <c r="BG75" s="16"/>
      <c r="BH75" s="12">
        <f t="shared" si="35"/>
        <v>0</v>
      </c>
      <c r="BI75" s="19">
        <f t="shared" si="36"/>
        <v>0</v>
      </c>
      <c r="BJ75" s="1" t="s">
        <v>35</v>
      </c>
      <c r="BK75">
        <f t="shared" si="37"/>
        <v>0</v>
      </c>
      <c r="BL75">
        <f t="shared" si="38"/>
        <v>0</v>
      </c>
    </row>
    <row r="76" spans="1:64" x14ac:dyDescent="0.25">
      <c r="A76" s="1" t="s">
        <v>243</v>
      </c>
      <c r="B76" s="1" t="s">
        <v>242</v>
      </c>
      <c r="C76" s="13" t="s">
        <v>241</v>
      </c>
      <c r="D76" s="15"/>
      <c r="E76" s="17"/>
      <c r="F76" s="5">
        <v>3</v>
      </c>
      <c r="G76" s="14"/>
      <c r="H76" s="16"/>
      <c r="I76" s="11">
        <v>46221</v>
      </c>
      <c r="J76" s="4">
        <v>17</v>
      </c>
      <c r="K76" s="18">
        <f>(F76-(0)+0-(J76*Ventas!AE73*1))</f>
        <v>3</v>
      </c>
      <c r="L76" s="3"/>
      <c r="M76" s="22">
        <f t="shared" si="21"/>
        <v>0</v>
      </c>
      <c r="N76" s="14"/>
      <c r="O76" s="25">
        <f t="shared" si="25"/>
        <v>0</v>
      </c>
      <c r="P76" s="16"/>
      <c r="Q76" s="12">
        <f t="shared" si="26"/>
        <v>3</v>
      </c>
      <c r="R76" s="5">
        <v>0</v>
      </c>
      <c r="S76" s="24">
        <v>0</v>
      </c>
      <c r="T76" s="26">
        <v>0</v>
      </c>
      <c r="U76" s="18">
        <f t="shared" si="27"/>
        <v>3</v>
      </c>
      <c r="V76" s="22">
        <f t="shared" si="28"/>
        <v>0</v>
      </c>
      <c r="W76" s="25">
        <f t="shared" si="29"/>
        <v>0</v>
      </c>
      <c r="X76" s="3"/>
      <c r="Y76" s="14"/>
      <c r="Z76" s="14"/>
      <c r="AA76" s="18">
        <v>66</v>
      </c>
      <c r="AB76" s="21">
        <v>1.0399999999999999E-3</v>
      </c>
      <c r="AC76" s="11">
        <v>46313</v>
      </c>
      <c r="AD76" s="4">
        <v>92</v>
      </c>
      <c r="AE76" s="18">
        <f>(IF(K76&gt;0,K76+R76,R76)-(AD76*Ventas!AE73*1.0489))</f>
        <v>3</v>
      </c>
      <c r="AF76" s="3"/>
      <c r="AG76" s="22">
        <f t="shared" si="22"/>
        <v>0</v>
      </c>
      <c r="AH76" s="14"/>
      <c r="AI76" s="25">
        <f t="shared" si="30"/>
        <v>0</v>
      </c>
      <c r="AJ76" s="16"/>
      <c r="AK76" s="12">
        <f t="shared" si="31"/>
        <v>3</v>
      </c>
      <c r="AL76" s="19">
        <f t="shared" si="32"/>
        <v>0</v>
      </c>
      <c r="AM76" s="18">
        <f>(180*(Ventas!AE73*0.9644) - IF(AE76&gt;0,AE76,0))</f>
        <v>-3</v>
      </c>
      <c r="AN76" s="18">
        <f t="shared" si="24"/>
        <v>0</v>
      </c>
      <c r="AO76" s="14"/>
      <c r="AP76" s="14">
        <f t="shared" si="20"/>
        <v>0</v>
      </c>
      <c r="AQ76" s="16">
        <f t="shared" si="33"/>
        <v>0</v>
      </c>
      <c r="AR76" s="37">
        <f>_xlfn.XLOOKUP(C76,[1]Hoja2!$C$6:$C$24,[1]Hoja2!$D$6:$D$24,0,2,1)</f>
        <v>0</v>
      </c>
      <c r="AS76" s="18">
        <f t="shared" si="34"/>
        <v>3</v>
      </c>
      <c r="AT76" s="14"/>
      <c r="AU76" s="37">
        <f>_xlfn.XLOOKUP(D76,[1]Hoja2!$E$6:$E$24,[1]Hoja2!$F$6:$F$24,0,2,1)</f>
        <v>0</v>
      </c>
      <c r="AV76" s="27">
        <v>0</v>
      </c>
      <c r="AW76" s="5">
        <v>3002</v>
      </c>
      <c r="AX76" s="14">
        <v>0</v>
      </c>
      <c r="AY76" s="14"/>
      <c r="AZ76" s="16">
        <f>_xlfn.XLOOKUP(C76,[2]PI!$B$15:$B$99,[2]PI!$L$15:$L$99,0,2,1)</f>
        <v>0</v>
      </c>
      <c r="BA76" s="16">
        <f>_xlfn.XLOOKUP(D76,[2]PI!$B$15:$B$99,[2]PI!$L$15:$L$99,0,2,1)</f>
        <v>0</v>
      </c>
      <c r="BB76" s="3"/>
      <c r="BC76" s="3"/>
      <c r="BD76" s="14"/>
      <c r="BE76" s="14"/>
      <c r="BF76" s="16"/>
      <c r="BG76" s="16"/>
      <c r="BH76" s="12">
        <f t="shared" si="35"/>
        <v>0</v>
      </c>
      <c r="BI76" s="19">
        <f t="shared" si="36"/>
        <v>0</v>
      </c>
      <c r="BJ76" s="1" t="s">
        <v>35</v>
      </c>
      <c r="BK76">
        <f t="shared" si="37"/>
        <v>0</v>
      </c>
      <c r="BL76">
        <f t="shared" si="38"/>
        <v>0</v>
      </c>
    </row>
    <row r="77" spans="1:64" x14ac:dyDescent="0.25">
      <c r="A77" s="1" t="s">
        <v>246</v>
      </c>
      <c r="B77" s="1" t="s">
        <v>245</v>
      </c>
      <c r="C77" s="13" t="s">
        <v>244</v>
      </c>
      <c r="D77" s="15"/>
      <c r="E77" s="17"/>
      <c r="F77" s="3"/>
      <c r="G77" s="14"/>
      <c r="H77" s="16"/>
      <c r="I77" s="11">
        <v>46221</v>
      </c>
      <c r="J77" s="4">
        <v>17</v>
      </c>
      <c r="K77" s="18">
        <f>(F77-(0)+0-(J77*Ventas!AE74*1))</f>
        <v>0</v>
      </c>
      <c r="L77" s="3"/>
      <c r="M77" s="22">
        <f t="shared" si="21"/>
        <v>0</v>
      </c>
      <c r="N77" s="14"/>
      <c r="O77" s="25">
        <f t="shared" si="25"/>
        <v>0</v>
      </c>
      <c r="P77" s="16"/>
      <c r="Q77" s="12">
        <f t="shared" si="26"/>
        <v>0</v>
      </c>
      <c r="R77" s="5">
        <v>0</v>
      </c>
      <c r="S77" s="24">
        <v>0</v>
      </c>
      <c r="T77" s="26">
        <v>0</v>
      </c>
      <c r="U77" s="18">
        <f t="shared" si="27"/>
        <v>0</v>
      </c>
      <c r="V77" s="22">
        <f t="shared" si="28"/>
        <v>0</v>
      </c>
      <c r="W77" s="25">
        <f t="shared" si="29"/>
        <v>0</v>
      </c>
      <c r="X77" s="3"/>
      <c r="Y77" s="14"/>
      <c r="Z77" s="14"/>
      <c r="AA77" s="18">
        <v>66</v>
      </c>
      <c r="AB77" s="21">
        <v>1.0399999999999999E-3</v>
      </c>
      <c r="AC77" s="11">
        <v>46313</v>
      </c>
      <c r="AD77" s="4">
        <v>92</v>
      </c>
      <c r="AE77" s="18">
        <f>(IF(K77&gt;0,K77+R77,R77)-(AD77*Ventas!AE74*1.0489))</f>
        <v>0</v>
      </c>
      <c r="AF77" s="3"/>
      <c r="AG77" s="22">
        <f t="shared" si="22"/>
        <v>0</v>
      </c>
      <c r="AH77" s="14"/>
      <c r="AI77" s="25">
        <f t="shared" si="30"/>
        <v>0</v>
      </c>
      <c r="AJ77" s="16"/>
      <c r="AK77" s="12">
        <f t="shared" si="31"/>
        <v>0</v>
      </c>
      <c r="AL77" s="19">
        <f t="shared" si="32"/>
        <v>0</v>
      </c>
      <c r="AM77" s="18">
        <f>(180*(Ventas!AE74*0.9644) - IF(AE77&gt;0,AE77,0))</f>
        <v>0</v>
      </c>
      <c r="AN77" s="18">
        <f t="shared" si="24"/>
        <v>0</v>
      </c>
      <c r="AO77" s="14"/>
      <c r="AP77" s="14">
        <f t="shared" si="20"/>
        <v>0</v>
      </c>
      <c r="AQ77" s="16">
        <f t="shared" si="33"/>
        <v>0</v>
      </c>
      <c r="AR77" s="37">
        <f>_xlfn.XLOOKUP(C77,[1]Hoja2!$C$6:$C$24,[1]Hoja2!$D$6:$D$24,0,2,1)</f>
        <v>0</v>
      </c>
      <c r="AS77" s="18">
        <f t="shared" si="34"/>
        <v>0</v>
      </c>
      <c r="AT77" s="14"/>
      <c r="AU77" s="37">
        <f>_xlfn.XLOOKUP(D77,[1]Hoja2!$E$6:$E$24,[1]Hoja2!$F$6:$F$24,0,2,1)</f>
        <v>0</v>
      </c>
      <c r="AV77" s="27">
        <v>0</v>
      </c>
      <c r="AW77" s="5">
        <v>3002</v>
      </c>
      <c r="AX77" s="14">
        <v>0</v>
      </c>
      <c r="AY77" s="14"/>
      <c r="AZ77" s="16">
        <f>_xlfn.XLOOKUP(C77,[2]PI!$B$15:$B$99,[2]PI!$L$15:$L$99,0,2,1)</f>
        <v>0</v>
      </c>
      <c r="BA77" s="16">
        <f>_xlfn.XLOOKUP(D77,[2]PI!$B$15:$B$99,[2]PI!$L$15:$L$99,0,2,1)</f>
        <v>0</v>
      </c>
      <c r="BB77" s="3"/>
      <c r="BC77" s="3"/>
      <c r="BD77" s="14"/>
      <c r="BE77" s="14"/>
      <c r="BF77" s="16"/>
      <c r="BG77" s="16"/>
      <c r="BH77" s="12">
        <f t="shared" si="35"/>
        <v>0</v>
      </c>
      <c r="BI77" s="19">
        <f t="shared" si="36"/>
        <v>0</v>
      </c>
      <c r="BJ77" s="1" t="s">
        <v>35</v>
      </c>
      <c r="BK77">
        <f t="shared" si="37"/>
        <v>0</v>
      </c>
      <c r="BL77">
        <f t="shared" si="38"/>
        <v>0</v>
      </c>
    </row>
    <row r="78" spans="1:64" x14ac:dyDescent="0.25">
      <c r="A78" s="1" t="s">
        <v>249</v>
      </c>
      <c r="B78" s="1" t="s">
        <v>248</v>
      </c>
      <c r="C78" s="13" t="s">
        <v>247</v>
      </c>
      <c r="D78" s="15"/>
      <c r="E78" s="17"/>
      <c r="F78" s="3"/>
      <c r="G78" s="14"/>
      <c r="H78" s="16"/>
      <c r="I78" s="11">
        <v>46221</v>
      </c>
      <c r="J78" s="4">
        <v>17</v>
      </c>
      <c r="K78" s="18">
        <f>(F78-(0)+0-(J78*Ventas!AE75*1))</f>
        <v>0</v>
      </c>
      <c r="L78" s="3"/>
      <c r="M78" s="22">
        <f t="shared" si="21"/>
        <v>0</v>
      </c>
      <c r="N78" s="14"/>
      <c r="O78" s="25">
        <f t="shared" si="25"/>
        <v>0</v>
      </c>
      <c r="P78" s="16"/>
      <c r="Q78" s="12">
        <f t="shared" si="26"/>
        <v>0</v>
      </c>
      <c r="R78" s="5">
        <v>0</v>
      </c>
      <c r="S78" s="24">
        <v>0</v>
      </c>
      <c r="T78" s="26">
        <v>0</v>
      </c>
      <c r="U78" s="18">
        <f t="shared" si="27"/>
        <v>0</v>
      </c>
      <c r="V78" s="22">
        <f t="shared" si="28"/>
        <v>0</v>
      </c>
      <c r="W78" s="25">
        <f t="shared" si="29"/>
        <v>0</v>
      </c>
      <c r="X78" s="3"/>
      <c r="Y78" s="14"/>
      <c r="Z78" s="14"/>
      <c r="AA78" s="18">
        <v>66</v>
      </c>
      <c r="AB78" s="21">
        <v>1.0399999999999999E-3</v>
      </c>
      <c r="AC78" s="11">
        <v>46313</v>
      </c>
      <c r="AD78" s="4">
        <v>92</v>
      </c>
      <c r="AE78" s="18">
        <f>(IF(K78&gt;0,K78+R78,R78)-(AD78*Ventas!AE75*1.0489))</f>
        <v>0</v>
      </c>
      <c r="AF78" s="3"/>
      <c r="AG78" s="22">
        <f t="shared" si="22"/>
        <v>0</v>
      </c>
      <c r="AH78" s="14"/>
      <c r="AI78" s="25">
        <f t="shared" si="30"/>
        <v>0</v>
      </c>
      <c r="AJ78" s="16"/>
      <c r="AK78" s="12">
        <f t="shared" si="31"/>
        <v>0</v>
      </c>
      <c r="AL78" s="19">
        <f t="shared" si="32"/>
        <v>0</v>
      </c>
      <c r="AM78" s="18">
        <f>(180*(Ventas!AE75*0.9644) - IF(AE78&gt;0,AE78,0))</f>
        <v>0</v>
      </c>
      <c r="AN78" s="18">
        <f t="shared" si="24"/>
        <v>0</v>
      </c>
      <c r="AO78" s="14"/>
      <c r="AP78" s="14">
        <f t="shared" si="20"/>
        <v>0</v>
      </c>
      <c r="AQ78" s="16">
        <f t="shared" si="33"/>
        <v>0</v>
      </c>
      <c r="AR78" s="37">
        <f>_xlfn.XLOOKUP(C78,[1]Hoja2!$C$6:$C$24,[1]Hoja2!$D$6:$D$24,0,2,1)</f>
        <v>0</v>
      </c>
      <c r="AS78" s="18">
        <f t="shared" si="34"/>
        <v>0</v>
      </c>
      <c r="AT78" s="14"/>
      <c r="AU78" s="37">
        <f>_xlfn.XLOOKUP(D78,[1]Hoja2!$E$6:$E$24,[1]Hoja2!$F$6:$F$24,0,2,1)</f>
        <v>0</v>
      </c>
      <c r="AV78" s="27">
        <v>0</v>
      </c>
      <c r="AW78" s="5">
        <v>3002</v>
      </c>
      <c r="AX78" s="14">
        <v>0</v>
      </c>
      <c r="AY78" s="14"/>
      <c r="AZ78" s="16">
        <f>_xlfn.XLOOKUP(C78,[2]PI!$B$15:$B$99,[2]PI!$L$15:$L$99,0,2,1)</f>
        <v>0</v>
      </c>
      <c r="BA78" s="16">
        <f>_xlfn.XLOOKUP(D78,[2]PI!$B$15:$B$99,[2]PI!$L$15:$L$99,0,2,1)</f>
        <v>0</v>
      </c>
      <c r="BB78" s="3"/>
      <c r="BC78" s="3"/>
      <c r="BD78" s="14"/>
      <c r="BE78" s="14"/>
      <c r="BF78" s="16"/>
      <c r="BG78" s="16"/>
      <c r="BH78" s="12">
        <f t="shared" si="35"/>
        <v>0</v>
      </c>
      <c r="BI78" s="19">
        <f t="shared" si="36"/>
        <v>0</v>
      </c>
      <c r="BJ78" s="1" t="s">
        <v>35</v>
      </c>
      <c r="BK78">
        <f t="shared" si="37"/>
        <v>0</v>
      </c>
      <c r="BL78">
        <f t="shared" si="38"/>
        <v>0</v>
      </c>
    </row>
    <row r="79" spans="1:64" x14ac:dyDescent="0.25">
      <c r="A79" s="1" t="s">
        <v>252</v>
      </c>
      <c r="B79" s="1" t="s">
        <v>251</v>
      </c>
      <c r="C79" s="13" t="s">
        <v>250</v>
      </c>
      <c r="D79" s="15" t="s">
        <v>1521</v>
      </c>
      <c r="E79" s="17"/>
      <c r="F79" s="5">
        <v>84</v>
      </c>
      <c r="G79" s="14"/>
      <c r="H79" s="16"/>
      <c r="I79" s="11">
        <v>46221</v>
      </c>
      <c r="J79" s="4">
        <v>17</v>
      </c>
      <c r="K79" s="18">
        <f>(F79-(0)+0-(J79*Ventas!AE76*1))</f>
        <v>77.714371428571425</v>
      </c>
      <c r="L79" s="20">
        <f>(K79/(Ventas!AE76*1)/80)</f>
        <v>2.6273114519743457</v>
      </c>
      <c r="M79" s="22">
        <f>(G79-(0)+0-(J79*Ventas!AE507*1))</f>
        <v>0</v>
      </c>
      <c r="N79" s="14"/>
      <c r="O79" s="25">
        <f t="shared" si="25"/>
        <v>0</v>
      </c>
      <c r="P79" s="16"/>
      <c r="Q79" s="12">
        <f t="shared" si="26"/>
        <v>77.714371428571425</v>
      </c>
      <c r="R79" s="5">
        <v>0</v>
      </c>
      <c r="S79" s="24">
        <v>0</v>
      </c>
      <c r="T79" s="26">
        <v>0</v>
      </c>
      <c r="U79" s="18">
        <f t="shared" si="27"/>
        <v>77.714371428571425</v>
      </c>
      <c r="V79" s="22">
        <f t="shared" si="28"/>
        <v>0</v>
      </c>
      <c r="W79" s="25">
        <f t="shared" si="29"/>
        <v>0</v>
      </c>
      <c r="X79" s="3"/>
      <c r="Y79" s="14"/>
      <c r="Z79" s="14"/>
      <c r="AA79" s="18">
        <v>12</v>
      </c>
      <c r="AB79" s="21">
        <v>6.6569999999999997E-3</v>
      </c>
      <c r="AC79" s="11">
        <v>46313</v>
      </c>
      <c r="AD79" s="4">
        <v>92</v>
      </c>
      <c r="AE79" s="18">
        <f>(IF(K79&gt;0,K79+R79,R79)-(AD79*Ventas!AE76*1.0489))</f>
        <v>42.034629405714291</v>
      </c>
      <c r="AF79" s="20">
        <f>(AE79/(Ventas!AE76*1.0489)/80)</f>
        <v>1.3548254857225146</v>
      </c>
      <c r="AG79" s="22">
        <f>(IF(M79&gt;0,M79+S79,S79)-(AD79*Ventas!AE507*1.0489))</f>
        <v>0</v>
      </c>
      <c r="AH79" s="14"/>
      <c r="AI79" s="25">
        <f t="shared" si="30"/>
        <v>0</v>
      </c>
      <c r="AJ79" s="16"/>
      <c r="AK79" s="12">
        <f t="shared" si="31"/>
        <v>42.034629405714291</v>
      </c>
      <c r="AL79" s="19">
        <f t="shared" si="32"/>
        <v>1.1854723000072003</v>
      </c>
      <c r="AM79" s="18">
        <f>(180*(Ventas!AE76*0.9644) - IF(AE79&gt;0,AE79,0))</f>
        <v>22.149772651428556</v>
      </c>
      <c r="AN79" s="42">
        <v>20</v>
      </c>
      <c r="AO79" s="22">
        <f>(180*(Ventas!AE507*0.9644) - IF(AG79&gt;0,AG79,0))</f>
        <v>0</v>
      </c>
      <c r="AP79" s="22">
        <f t="shared" si="20"/>
        <v>0</v>
      </c>
      <c r="AQ79" s="16">
        <f t="shared" si="33"/>
        <v>0.13313999999999998</v>
      </c>
      <c r="AR79" s="37">
        <f>_xlfn.XLOOKUP(C79,[1]Hoja2!$C$6:$C$24,[1]Hoja2!$D$6:$D$24,0,2,1)</f>
        <v>25</v>
      </c>
      <c r="AS79" s="18">
        <f t="shared" si="34"/>
        <v>62.034629405714291</v>
      </c>
      <c r="AT79" s="22">
        <f>IF(AG79&gt;0,AG79+IF(AP79&gt;0,AP79,0),AP79)</f>
        <v>0</v>
      </c>
      <c r="AU79" s="37">
        <f>_xlfn.XLOOKUP(D79,[1]Hoja2!$E$6:$E$24,[1]Hoja2!$F$6:$F$24,0,2,1)</f>
        <v>0</v>
      </c>
      <c r="AV79" s="27">
        <v>4.45</v>
      </c>
      <c r="AW79" s="5">
        <v>3016</v>
      </c>
      <c r="AX79" s="28">
        <v>0</v>
      </c>
      <c r="AY79" s="14"/>
      <c r="AZ79" s="16">
        <f>_xlfn.XLOOKUP(C79,[2]PI!$B$15:$B$99,[2]PI!$L$15:$L$99,0,2,1)</f>
        <v>4.45</v>
      </c>
      <c r="BA79" s="16">
        <f>_xlfn.XLOOKUP(D79,[2]PI!$B$15:$B$99,[2]PI!$L$15:$L$99,0,2,1)</f>
        <v>0</v>
      </c>
      <c r="BB79" s="18">
        <f>(AS79-(90*Ventas!AE76*0.9644))</f>
        <v>29.942428377142868</v>
      </c>
      <c r="BC79" s="20">
        <f>(BB79/(Ventas!AE76*0.9644)/80)</f>
        <v>1.0496391909765255</v>
      </c>
      <c r="BD79" s="14"/>
      <c r="BE79" s="14"/>
      <c r="BF79" s="16"/>
      <c r="BG79" s="16"/>
      <c r="BH79" s="12">
        <f t="shared" si="35"/>
        <v>29.942428377142868</v>
      </c>
      <c r="BI79" s="19">
        <f t="shared" si="36"/>
        <v>0.91843429210445982</v>
      </c>
      <c r="BJ79" s="1" t="s">
        <v>35</v>
      </c>
      <c r="BK79">
        <f t="shared" si="37"/>
        <v>89</v>
      </c>
      <c r="BL79">
        <f t="shared" si="38"/>
        <v>89</v>
      </c>
    </row>
    <row r="80" spans="1:64" x14ac:dyDescent="0.25">
      <c r="A80" s="1" t="s">
        <v>255</v>
      </c>
      <c r="B80" s="1" t="s">
        <v>254</v>
      </c>
      <c r="C80" s="13" t="s">
        <v>253</v>
      </c>
      <c r="D80" s="15"/>
      <c r="E80" s="17"/>
      <c r="F80" s="5">
        <v>7</v>
      </c>
      <c r="G80" s="14"/>
      <c r="H80" s="16"/>
      <c r="I80" s="11">
        <v>46221</v>
      </c>
      <c r="J80" s="4">
        <v>17</v>
      </c>
      <c r="K80" s="18">
        <f>(F80-(0)+0-(J80*Ventas!AE77*1))</f>
        <v>6.7870142857142861</v>
      </c>
      <c r="L80" s="20">
        <f>(K80/(Ventas!AE77*1)/80)</f>
        <v>6.7715364880273672</v>
      </c>
      <c r="M80" s="22">
        <f>(G80+0)</f>
        <v>0</v>
      </c>
      <c r="N80" s="14"/>
      <c r="O80" s="25">
        <f t="shared" si="25"/>
        <v>0</v>
      </c>
      <c r="P80" s="16"/>
      <c r="Q80" s="12">
        <f t="shared" si="26"/>
        <v>6.7870142857142861</v>
      </c>
      <c r="R80" s="5">
        <v>0</v>
      </c>
      <c r="S80" s="24">
        <v>0</v>
      </c>
      <c r="T80" s="26">
        <v>0</v>
      </c>
      <c r="U80" s="18">
        <f t="shared" si="27"/>
        <v>6.7870142857142861</v>
      </c>
      <c r="V80" s="22">
        <f t="shared" si="28"/>
        <v>0</v>
      </c>
      <c r="W80" s="25">
        <f t="shared" si="29"/>
        <v>0</v>
      </c>
      <c r="X80" s="3"/>
      <c r="Y80" s="14"/>
      <c r="Z80" s="14"/>
      <c r="AA80" s="18">
        <v>12</v>
      </c>
      <c r="AB80" s="21">
        <v>6.6569999999999997E-3</v>
      </c>
      <c r="AC80" s="11">
        <v>46313</v>
      </c>
      <c r="AD80" s="4">
        <v>92</v>
      </c>
      <c r="AE80" s="18">
        <f>(IF(K80&gt;0,K80+R80,R80)-(AD80*Ventas!AE77*1.0489))</f>
        <v>5.5780221771428575</v>
      </c>
      <c r="AF80" s="20">
        <f>(AE80/(Ventas!AE77*1.0489)/80)</f>
        <v>5.3058456364070619</v>
      </c>
      <c r="AG80" s="22">
        <f>(G80+0)</f>
        <v>0</v>
      </c>
      <c r="AH80" s="14"/>
      <c r="AI80" s="25">
        <f t="shared" si="30"/>
        <v>0</v>
      </c>
      <c r="AJ80" s="16"/>
      <c r="AK80" s="12">
        <f t="shared" si="31"/>
        <v>5.5780221771428575</v>
      </c>
      <c r="AL80" s="19">
        <f t="shared" si="32"/>
        <v>4.6426149318561789</v>
      </c>
      <c r="AM80" s="18">
        <f>(180*(Ventas!AE77*0.9644) - IF(AE80&gt;0,AE80,0))</f>
        <v>-3.4031624057142862</v>
      </c>
      <c r="AN80" s="18">
        <f t="shared" ref="AN80:AN85" si="39">IF(AM80&gt;3,CEILING(AM80,5),0)</f>
        <v>0</v>
      </c>
      <c r="AO80" s="14"/>
      <c r="AP80" s="14">
        <f t="shared" si="20"/>
        <v>0</v>
      </c>
      <c r="AQ80" s="16">
        <f t="shared" si="33"/>
        <v>0</v>
      </c>
      <c r="AR80" s="37">
        <f>_xlfn.XLOOKUP(C80,[1]Hoja2!$C$6:$C$24,[1]Hoja2!$D$6:$D$24,0,2,1)</f>
        <v>0</v>
      </c>
      <c r="AS80" s="18">
        <f t="shared" si="34"/>
        <v>5.5780221771428575</v>
      </c>
      <c r="AT80" s="14"/>
      <c r="AU80" s="37">
        <f>_xlfn.XLOOKUP(D80,[1]Hoja2!$E$6:$E$24,[1]Hoja2!$F$6:$F$24,0,2,1)</f>
        <v>0</v>
      </c>
      <c r="AV80" s="27">
        <v>0</v>
      </c>
      <c r="AW80" s="5">
        <v>3022</v>
      </c>
      <c r="AX80" s="14">
        <v>0</v>
      </c>
      <c r="AY80" s="14"/>
      <c r="AZ80" s="16">
        <f>_xlfn.XLOOKUP(C80,[2]PI!$B$15:$B$99,[2]PI!$L$15:$L$99,0,2,1)</f>
        <v>0</v>
      </c>
      <c r="BA80" s="16">
        <f>_xlfn.XLOOKUP(D80,[2]PI!$B$15:$B$99,[2]PI!$L$15:$L$99,0,2,1)</f>
        <v>0</v>
      </c>
      <c r="BB80" s="18">
        <f>(AS80-(90*Ventas!AE77*0.9644))</f>
        <v>4.4905922914285714</v>
      </c>
      <c r="BC80" s="20">
        <f>(BB80/(Ventas!AE77*0.9644)/80)</f>
        <v>4.6457398258267997</v>
      </c>
      <c r="BD80" s="14"/>
      <c r="BE80" s="14"/>
      <c r="BF80" s="16"/>
      <c r="BG80" s="16"/>
      <c r="BH80" s="12">
        <f t="shared" si="35"/>
        <v>4.4905922914285714</v>
      </c>
      <c r="BI80" s="19">
        <f t="shared" si="36"/>
        <v>4.0650223475984495</v>
      </c>
      <c r="BJ80" s="1" t="s">
        <v>51</v>
      </c>
      <c r="BK80">
        <f t="shared" si="37"/>
        <v>0</v>
      </c>
      <c r="BL80">
        <f t="shared" si="38"/>
        <v>0</v>
      </c>
    </row>
    <row r="81" spans="1:64" x14ac:dyDescent="0.25">
      <c r="A81" s="1"/>
      <c r="B81" s="1" t="s">
        <v>257</v>
      </c>
      <c r="C81" s="13" t="s">
        <v>256</v>
      </c>
      <c r="D81" s="15"/>
      <c r="E81" s="17"/>
      <c r="F81" s="3"/>
      <c r="G81" s="14"/>
      <c r="H81" s="16"/>
      <c r="I81" s="11">
        <v>46221</v>
      </c>
      <c r="J81" s="4">
        <v>17</v>
      </c>
      <c r="K81" s="18">
        <f>(F81-(0)+0-(J81*Ventas!AE78*1))</f>
        <v>0</v>
      </c>
      <c r="L81" s="3"/>
      <c r="M81" s="22">
        <f>(G81+0)</f>
        <v>0</v>
      </c>
      <c r="N81" s="14"/>
      <c r="O81" s="25">
        <f t="shared" si="25"/>
        <v>0</v>
      </c>
      <c r="P81" s="16"/>
      <c r="Q81" s="12">
        <f t="shared" si="26"/>
        <v>0</v>
      </c>
      <c r="R81" s="5">
        <v>0</v>
      </c>
      <c r="S81" s="24">
        <v>0</v>
      </c>
      <c r="T81" s="26">
        <v>0</v>
      </c>
      <c r="U81" s="18">
        <f t="shared" si="27"/>
        <v>0</v>
      </c>
      <c r="V81" s="22">
        <f t="shared" si="28"/>
        <v>0</v>
      </c>
      <c r="W81" s="25">
        <f t="shared" si="29"/>
        <v>0</v>
      </c>
      <c r="X81" s="3"/>
      <c r="Y81" s="14"/>
      <c r="Z81" s="14"/>
      <c r="AA81" s="3"/>
      <c r="AB81" s="3"/>
      <c r="AC81" s="11">
        <v>46313</v>
      </c>
      <c r="AD81" s="4">
        <v>92</v>
      </c>
      <c r="AE81" s="18">
        <f>(IF(K81&gt;0,K81+R81,R81)-(AD81*Ventas!AE78*1.0489))</f>
        <v>0</v>
      </c>
      <c r="AF81" s="3"/>
      <c r="AG81" s="22">
        <f>(G81+0)</f>
        <v>0</v>
      </c>
      <c r="AH81" s="14"/>
      <c r="AI81" s="25">
        <f t="shared" si="30"/>
        <v>0</v>
      </c>
      <c r="AJ81" s="16"/>
      <c r="AK81" s="12">
        <f t="shared" si="31"/>
        <v>0</v>
      </c>
      <c r="AL81" s="19">
        <f t="shared" si="32"/>
        <v>0</v>
      </c>
      <c r="AM81" s="18">
        <f>(180*(Ventas!AE78*0.9644) - IF(AE81&gt;0,AE81,0))</f>
        <v>0</v>
      </c>
      <c r="AN81" s="18">
        <f t="shared" si="39"/>
        <v>0</v>
      </c>
      <c r="AO81" s="14"/>
      <c r="AP81" s="14">
        <f t="shared" si="20"/>
        <v>0</v>
      </c>
      <c r="AQ81" s="16">
        <f t="shared" si="33"/>
        <v>0</v>
      </c>
      <c r="AR81" s="37">
        <f>_xlfn.XLOOKUP(C81,[1]Hoja2!$C$6:$C$24,[1]Hoja2!$D$6:$D$24,0,2,1)</f>
        <v>0</v>
      </c>
      <c r="AS81" s="18">
        <f t="shared" si="34"/>
        <v>0</v>
      </c>
      <c r="AT81" s="14"/>
      <c r="AU81" s="37">
        <f>_xlfn.XLOOKUP(D81,[1]Hoja2!$E$6:$E$24,[1]Hoja2!$F$6:$F$24,0,2,1)</f>
        <v>0</v>
      </c>
      <c r="AV81" s="3">
        <v>0</v>
      </c>
      <c r="AW81" s="3"/>
      <c r="AX81" s="14">
        <v>0</v>
      </c>
      <c r="AY81" s="14"/>
      <c r="AZ81" s="16">
        <f>_xlfn.XLOOKUP(C81,[2]PI!$B$15:$B$99,[2]PI!$L$15:$L$99,0,2,1)</f>
        <v>0</v>
      </c>
      <c r="BA81" s="16">
        <f>_xlfn.XLOOKUP(D81,[2]PI!$B$15:$B$99,[2]PI!$L$15:$L$99,0,2,1)</f>
        <v>0</v>
      </c>
      <c r="BB81" s="3"/>
      <c r="BC81" s="3"/>
      <c r="BD81" s="14"/>
      <c r="BE81" s="14"/>
      <c r="BF81" s="16"/>
      <c r="BG81" s="16"/>
      <c r="BH81" s="12">
        <f t="shared" si="35"/>
        <v>0</v>
      </c>
      <c r="BI81" s="19">
        <f t="shared" si="36"/>
        <v>0</v>
      </c>
      <c r="BJ81" s="1" t="s">
        <v>51</v>
      </c>
      <c r="BK81">
        <f t="shared" si="37"/>
        <v>0</v>
      </c>
      <c r="BL81">
        <f t="shared" si="38"/>
        <v>0</v>
      </c>
    </row>
    <row r="82" spans="1:64" x14ac:dyDescent="0.25">
      <c r="A82" s="1" t="s">
        <v>260</v>
      </c>
      <c r="B82" s="1" t="s">
        <v>259</v>
      </c>
      <c r="C82" s="13" t="s">
        <v>258</v>
      </c>
      <c r="D82" s="15"/>
      <c r="E82" s="17"/>
      <c r="F82" s="5">
        <v>12</v>
      </c>
      <c r="G82" s="14"/>
      <c r="H82" s="16"/>
      <c r="I82" s="11">
        <v>46221</v>
      </c>
      <c r="J82" s="4">
        <v>17</v>
      </c>
      <c r="K82" s="18">
        <f>(F82-(0)+0-(J82*Ventas!AE79*1))</f>
        <v>11.929571428571428</v>
      </c>
      <c r="L82" s="20">
        <f>(K82/(Ventas!AE79*1)/80)</f>
        <v>35.994396551724137</v>
      </c>
      <c r="M82" s="22">
        <f>(G82+0)</f>
        <v>0</v>
      </c>
      <c r="N82" s="14"/>
      <c r="O82" s="25">
        <f t="shared" si="25"/>
        <v>0</v>
      </c>
      <c r="P82" s="16"/>
      <c r="Q82" s="12">
        <f t="shared" si="26"/>
        <v>11.929571428571428</v>
      </c>
      <c r="R82" s="5">
        <v>0</v>
      </c>
      <c r="S82" s="24">
        <v>0</v>
      </c>
      <c r="T82" s="26">
        <v>0</v>
      </c>
      <c r="U82" s="18">
        <f t="shared" si="27"/>
        <v>11.929571428571428</v>
      </c>
      <c r="V82" s="22">
        <f t="shared" si="28"/>
        <v>0</v>
      </c>
      <c r="W82" s="25">
        <f t="shared" si="29"/>
        <v>0</v>
      </c>
      <c r="X82" s="3"/>
      <c r="Y82" s="14"/>
      <c r="Z82" s="14"/>
      <c r="AA82" s="3"/>
      <c r="AB82" s="3"/>
      <c r="AC82" s="11">
        <v>46313</v>
      </c>
      <c r="AD82" s="4">
        <v>92</v>
      </c>
      <c r="AE82" s="18">
        <f>(IF(K82&gt;0,K82+R82,R82)-(AD82*Ventas!AE79*1.0489))</f>
        <v>11.529790685714286</v>
      </c>
      <c r="AF82" s="20">
        <f>(AE82/(Ventas!AE79*1.0489)/80)</f>
        <v>33.166328107278233</v>
      </c>
      <c r="AG82" s="22">
        <f>(G82+0)</f>
        <v>0</v>
      </c>
      <c r="AH82" s="14"/>
      <c r="AI82" s="25">
        <f t="shared" si="30"/>
        <v>0</v>
      </c>
      <c r="AJ82" s="16"/>
      <c r="AK82" s="12">
        <f t="shared" si="31"/>
        <v>11.529790685714286</v>
      </c>
      <c r="AL82" s="19">
        <f t="shared" si="32"/>
        <v>29.020537093868455</v>
      </c>
      <c r="AM82" s="18">
        <f>(180*(Ventas!AE79*0.9644) - IF(AE82&gt;0,AE82,0))</f>
        <v>-10.810623828571428</v>
      </c>
      <c r="AN82" s="18">
        <f t="shared" si="39"/>
        <v>0</v>
      </c>
      <c r="AO82" s="14"/>
      <c r="AP82" s="14">
        <f t="shared" si="20"/>
        <v>0</v>
      </c>
      <c r="AQ82" s="16">
        <f t="shared" si="33"/>
        <v>0</v>
      </c>
      <c r="AR82" s="37">
        <f>_xlfn.XLOOKUP(C82,[1]Hoja2!$C$6:$C$24,[1]Hoja2!$D$6:$D$24,0,2,1)</f>
        <v>0</v>
      </c>
      <c r="AS82" s="18">
        <f t="shared" si="34"/>
        <v>11.529790685714286</v>
      </c>
      <c r="AT82" s="14"/>
      <c r="AU82" s="37">
        <f>_xlfn.XLOOKUP(D82,[1]Hoja2!$E$6:$E$24,[1]Hoja2!$F$6:$F$24,0,2,1)</f>
        <v>0</v>
      </c>
      <c r="AV82" s="27">
        <v>0</v>
      </c>
      <c r="AW82" s="5">
        <v>2998</v>
      </c>
      <c r="AX82" s="14">
        <v>0</v>
      </c>
      <c r="AY82" s="14"/>
      <c r="AZ82" s="16">
        <f>_xlfn.XLOOKUP(C82,[2]PI!$B$15:$B$99,[2]PI!$L$15:$L$99,0,2,1)</f>
        <v>0</v>
      </c>
      <c r="BA82" s="16">
        <f>_xlfn.XLOOKUP(D82,[2]PI!$B$15:$B$99,[2]PI!$L$15:$L$99,0,2,1)</f>
        <v>0</v>
      </c>
      <c r="BB82" s="18">
        <f>(AS82-(90*Ventas!AE79*0.9644))</f>
        <v>11.170207257142858</v>
      </c>
      <c r="BC82" s="20">
        <f>(BB82/(Ventas!AE79*0.9644)/80)</f>
        <v>34.947336739655881</v>
      </c>
      <c r="BD82" s="14"/>
      <c r="BE82" s="14"/>
      <c r="BF82" s="16"/>
      <c r="BG82" s="16"/>
      <c r="BH82" s="12">
        <f t="shared" si="35"/>
        <v>11.170207257142858</v>
      </c>
      <c r="BI82" s="19">
        <f t="shared" si="36"/>
        <v>30.578919647198894</v>
      </c>
      <c r="BJ82" s="1" t="s">
        <v>51</v>
      </c>
      <c r="BK82">
        <f t="shared" si="37"/>
        <v>0</v>
      </c>
      <c r="BL82">
        <f t="shared" si="38"/>
        <v>0</v>
      </c>
    </row>
    <row r="83" spans="1:64" x14ac:dyDescent="0.25">
      <c r="A83" s="1" t="s">
        <v>263</v>
      </c>
      <c r="B83" s="1" t="s">
        <v>262</v>
      </c>
      <c r="C83" s="13" t="s">
        <v>261</v>
      </c>
      <c r="D83" s="15"/>
      <c r="E83" s="17"/>
      <c r="F83" s="3"/>
      <c r="G83" s="14"/>
      <c r="H83" s="16"/>
      <c r="I83" s="11">
        <v>46221</v>
      </c>
      <c r="J83" s="4">
        <v>17</v>
      </c>
      <c r="K83" s="18">
        <f>(F83-(0)+0-(J83*Ventas!AE80*1))</f>
        <v>0</v>
      </c>
      <c r="L83" s="3"/>
      <c r="M83" s="22">
        <f>(G83+0)</f>
        <v>0</v>
      </c>
      <c r="N83" s="14"/>
      <c r="O83" s="25">
        <f t="shared" si="25"/>
        <v>0</v>
      </c>
      <c r="P83" s="16"/>
      <c r="Q83" s="12">
        <f t="shared" si="26"/>
        <v>0</v>
      </c>
      <c r="R83" s="5">
        <v>0</v>
      </c>
      <c r="S83" s="24">
        <v>0</v>
      </c>
      <c r="T83" s="26">
        <v>0</v>
      </c>
      <c r="U83" s="18">
        <f t="shared" si="27"/>
        <v>0</v>
      </c>
      <c r="V83" s="22">
        <f t="shared" si="28"/>
        <v>0</v>
      </c>
      <c r="W83" s="25">
        <f t="shared" si="29"/>
        <v>0</v>
      </c>
      <c r="X83" s="3"/>
      <c r="Y83" s="14"/>
      <c r="Z83" s="14"/>
      <c r="AA83" s="18">
        <v>12</v>
      </c>
      <c r="AB83" s="21">
        <v>5.9649999999999998E-3</v>
      </c>
      <c r="AC83" s="11">
        <v>46313</v>
      </c>
      <c r="AD83" s="4">
        <v>92</v>
      </c>
      <c r="AE83" s="18">
        <f>(IF(K83&gt;0,K83+R83,R83)-(AD83*Ventas!AE80*1.0489))</f>
        <v>0</v>
      </c>
      <c r="AF83" s="3"/>
      <c r="AG83" s="22">
        <f>(G83+0)</f>
        <v>0</v>
      </c>
      <c r="AH83" s="14"/>
      <c r="AI83" s="25">
        <f t="shared" si="30"/>
        <v>0</v>
      </c>
      <c r="AJ83" s="16"/>
      <c r="AK83" s="12">
        <f t="shared" si="31"/>
        <v>0</v>
      </c>
      <c r="AL83" s="19">
        <f t="shared" si="32"/>
        <v>0</v>
      </c>
      <c r="AM83" s="18">
        <f>(180*(Ventas!AE80*0.9644) - IF(AE83&gt;0,AE83,0))</f>
        <v>0</v>
      </c>
      <c r="AN83" s="18">
        <f t="shared" si="39"/>
        <v>0</v>
      </c>
      <c r="AO83" s="14"/>
      <c r="AP83" s="14">
        <f t="shared" si="20"/>
        <v>0</v>
      </c>
      <c r="AQ83" s="16">
        <f t="shared" si="33"/>
        <v>0</v>
      </c>
      <c r="AR83" s="37">
        <f>_xlfn.XLOOKUP(C83,[1]Hoja2!$C$6:$C$24,[1]Hoja2!$D$6:$D$24,0,2,1)</f>
        <v>0</v>
      </c>
      <c r="AS83" s="18">
        <f t="shared" si="34"/>
        <v>0</v>
      </c>
      <c r="AT83" s="14"/>
      <c r="AU83" s="37">
        <f>_xlfn.XLOOKUP(D83,[1]Hoja2!$E$6:$E$24,[1]Hoja2!$F$6:$F$24,0,2,1)</f>
        <v>0</v>
      </c>
      <c r="AV83" s="27">
        <v>0</v>
      </c>
      <c r="AW83" s="5">
        <v>2998</v>
      </c>
      <c r="AX83" s="14">
        <v>0</v>
      </c>
      <c r="AY83" s="14"/>
      <c r="AZ83" s="16">
        <f>_xlfn.XLOOKUP(C83,[2]PI!$B$15:$B$99,[2]PI!$L$15:$L$99,0,2,1)</f>
        <v>0</v>
      </c>
      <c r="BA83" s="16">
        <f>_xlfn.XLOOKUP(D83,[2]PI!$B$15:$B$99,[2]PI!$L$15:$L$99,0,2,1)</f>
        <v>0</v>
      </c>
      <c r="BB83" s="3"/>
      <c r="BC83" s="3"/>
      <c r="BD83" s="14"/>
      <c r="BE83" s="14"/>
      <c r="BF83" s="16"/>
      <c r="BG83" s="16"/>
      <c r="BH83" s="12">
        <f t="shared" si="35"/>
        <v>0</v>
      </c>
      <c r="BI83" s="19">
        <f t="shared" si="36"/>
        <v>0</v>
      </c>
      <c r="BJ83" s="1" t="s">
        <v>51</v>
      </c>
      <c r="BK83">
        <f t="shared" si="37"/>
        <v>0</v>
      </c>
      <c r="BL83">
        <f t="shared" si="38"/>
        <v>0</v>
      </c>
    </row>
    <row r="84" spans="1:64" x14ac:dyDescent="0.25">
      <c r="A84" s="1" t="s">
        <v>266</v>
      </c>
      <c r="B84" s="1" t="s">
        <v>265</v>
      </c>
      <c r="C84" s="13" t="s">
        <v>264</v>
      </c>
      <c r="D84" s="15" t="s">
        <v>1524</v>
      </c>
      <c r="E84" s="17"/>
      <c r="F84" s="5">
        <v>40</v>
      </c>
      <c r="G84" s="24">
        <v>6</v>
      </c>
      <c r="H84" s="16"/>
      <c r="I84" s="11">
        <v>46221</v>
      </c>
      <c r="J84" s="4">
        <v>17</v>
      </c>
      <c r="K84" s="18">
        <f>(F84-(0)+0-(J84*Ventas!AE81*1))</f>
        <v>37.98574285714286</v>
      </c>
      <c r="L84" s="20">
        <f>(K84/(Ventas!AE81*1)/80)</f>
        <v>4.0074180130214625</v>
      </c>
      <c r="M84" s="22">
        <f>(G84-(0)+0-(J84*Ventas!AE508*1))</f>
        <v>5.5142857142857142</v>
      </c>
      <c r="N84" s="23">
        <f>(M84/(Ventas!AE508*1)/85)</f>
        <v>2.2705882352941171</v>
      </c>
      <c r="O84" s="25">
        <f t="shared" si="25"/>
        <v>0</v>
      </c>
      <c r="P84" s="16"/>
      <c r="Q84" s="12">
        <f t="shared" si="26"/>
        <v>43.500028571428572</v>
      </c>
      <c r="R84" s="5">
        <v>0</v>
      </c>
      <c r="S84" s="24">
        <v>0</v>
      </c>
      <c r="T84" s="26">
        <v>0</v>
      </c>
      <c r="U84" s="18">
        <f t="shared" si="27"/>
        <v>37.98574285714286</v>
      </c>
      <c r="V84" s="22">
        <f t="shared" si="28"/>
        <v>5.5142857142857142</v>
      </c>
      <c r="W84" s="25">
        <f t="shared" si="29"/>
        <v>0</v>
      </c>
      <c r="X84" s="3"/>
      <c r="Y84" s="14"/>
      <c r="Z84" s="14"/>
      <c r="AA84" s="18">
        <v>18</v>
      </c>
      <c r="AB84" s="21">
        <v>5.5659999999999998E-3</v>
      </c>
      <c r="AC84" s="11">
        <v>46313</v>
      </c>
      <c r="AD84" s="4">
        <v>92</v>
      </c>
      <c r="AE84" s="18">
        <f>(IF(K84&gt;0,K84+R84,R84)-(AD84*Ventas!AE81*1.0489))</f>
        <v>26.552013611428574</v>
      </c>
      <c r="AF84" s="20">
        <f>(AE84/(Ventas!AE81*1.0489)/80)</f>
        <v>2.6705911078477089</v>
      </c>
      <c r="AG84" s="22">
        <f>(IF(M84&gt;0,M84+S84,S84)-(AD84*Ventas!AE508*1.0489))</f>
        <v>2.7571771428571425</v>
      </c>
      <c r="AH84" s="23">
        <f>(AG84/(Ventas!AE508*1.0489)/85)</f>
        <v>1.082379860133585</v>
      </c>
      <c r="AI84" s="25">
        <f t="shared" si="30"/>
        <v>0</v>
      </c>
      <c r="AJ84" s="16"/>
      <c r="AK84" s="12">
        <f t="shared" si="31"/>
        <v>29.309190754285716</v>
      </c>
      <c r="AL84" s="19">
        <f t="shared" si="32"/>
        <v>2.4720647018834434</v>
      </c>
      <c r="AM84" s="18">
        <f>(180*(Ventas!AE81*0.9644) - IF(AE84&gt;0,AE84,0))</f>
        <v>-5.9838414971428584</v>
      </c>
      <c r="AN84" s="18">
        <f t="shared" si="39"/>
        <v>0</v>
      </c>
      <c r="AO84" s="22">
        <f>(180*(Ventas!AE508*0.9644) - IF(AG84&gt;0,AG84,0))</f>
        <v>2.2025942857142864</v>
      </c>
      <c r="AP84" s="22">
        <f t="shared" si="20"/>
        <v>0</v>
      </c>
      <c r="AQ84" s="16">
        <f t="shared" si="33"/>
        <v>0</v>
      </c>
      <c r="AR84" s="37">
        <f>_xlfn.XLOOKUP(C84,[1]Hoja2!$C$6:$C$24,[1]Hoja2!$D$6:$D$24,0,2,1)</f>
        <v>0</v>
      </c>
      <c r="AS84" s="18">
        <f t="shared" si="34"/>
        <v>26.552013611428574</v>
      </c>
      <c r="AT84" s="22">
        <f>IF(AG84&gt;0,AG84+IF(AP84&gt;0,AP84,0),AP84)</f>
        <v>2.7571771428571425</v>
      </c>
      <c r="AU84" s="37">
        <f>_xlfn.XLOOKUP(D84,[1]Hoja2!$E$6:$E$24,[1]Hoja2!$F$6:$F$24,0,2,1)</f>
        <v>0</v>
      </c>
      <c r="AV84" s="27">
        <v>0</v>
      </c>
      <c r="AW84" s="5">
        <v>3016</v>
      </c>
      <c r="AX84" s="28">
        <v>0</v>
      </c>
      <c r="AY84" s="14"/>
      <c r="AZ84" s="16">
        <f>_xlfn.XLOOKUP(C84,[2]PI!$B$15:$B$99,[2]PI!$L$15:$L$99,0,2,1)</f>
        <v>0</v>
      </c>
      <c r="BA84" s="16">
        <f>_xlfn.XLOOKUP(D84,[2]PI!$B$15:$B$99,[2]PI!$L$15:$L$99,0,2,1)</f>
        <v>0</v>
      </c>
      <c r="BB84" s="18">
        <f>(AS84-(90*Ventas!AE81*0.9644))</f>
        <v>16.26792755428572</v>
      </c>
      <c r="BC84" s="20">
        <f>(BB84/(Ventas!AE81*0.9644)/80)</f>
        <v>1.7795862847588779</v>
      </c>
      <c r="BD84" s="22">
        <f>(AT84-(90*Ventas!AE508*0.9644))</f>
        <v>0.27729142857142808</v>
      </c>
      <c r="BE84" s="23">
        <f>(BD84/(Ventas!AE508*0.9644)/85)</f>
        <v>0.11839363700685561</v>
      </c>
      <c r="BF84" s="16"/>
      <c r="BG84" s="16"/>
      <c r="BH84" s="12">
        <f t="shared" si="35"/>
        <v>16.545218982857147</v>
      </c>
      <c r="BI84" s="19">
        <f t="shared" si="36"/>
        <v>1.5719372037898751</v>
      </c>
      <c r="BJ84" s="1" t="s">
        <v>35</v>
      </c>
      <c r="BK84">
        <f t="shared" si="37"/>
        <v>0</v>
      </c>
      <c r="BL84">
        <f t="shared" si="38"/>
        <v>0</v>
      </c>
    </row>
    <row r="85" spans="1:64" x14ac:dyDescent="0.25">
      <c r="A85" s="1" t="s">
        <v>269</v>
      </c>
      <c r="B85" s="1" t="s">
        <v>268</v>
      </c>
      <c r="C85" s="13" t="s">
        <v>267</v>
      </c>
      <c r="D85" s="15"/>
      <c r="E85" s="17"/>
      <c r="F85" s="3"/>
      <c r="G85" s="14"/>
      <c r="H85" s="16"/>
      <c r="I85" s="11">
        <v>46221</v>
      </c>
      <c r="J85" s="4">
        <v>17</v>
      </c>
      <c r="K85" s="18">
        <f>(F85-(0)+0-(J85*Ventas!AE82*1))</f>
        <v>0</v>
      </c>
      <c r="L85" s="3"/>
      <c r="M85" s="22">
        <f t="shared" ref="M85:M90" si="40">(G85+0)</f>
        <v>0</v>
      </c>
      <c r="N85" s="14"/>
      <c r="O85" s="25">
        <f t="shared" si="25"/>
        <v>0</v>
      </c>
      <c r="P85" s="16"/>
      <c r="Q85" s="12">
        <f t="shared" si="26"/>
        <v>0</v>
      </c>
      <c r="R85" s="5">
        <v>0</v>
      </c>
      <c r="S85" s="24">
        <v>0</v>
      </c>
      <c r="T85" s="26">
        <v>0</v>
      </c>
      <c r="U85" s="18">
        <f t="shared" si="27"/>
        <v>0</v>
      </c>
      <c r="V85" s="22">
        <f t="shared" si="28"/>
        <v>0</v>
      </c>
      <c r="W85" s="25">
        <f t="shared" si="29"/>
        <v>0</v>
      </c>
      <c r="X85" s="3"/>
      <c r="Y85" s="14"/>
      <c r="Z85" s="14"/>
      <c r="AA85" s="3"/>
      <c r="AB85" s="3"/>
      <c r="AC85" s="11">
        <v>46313</v>
      </c>
      <c r="AD85" s="4">
        <v>92</v>
      </c>
      <c r="AE85" s="18">
        <f>(IF(K85&gt;0,K85+R85,R85)-(AD85*Ventas!AE82*1.0489))</f>
        <v>0</v>
      </c>
      <c r="AF85" s="3"/>
      <c r="AG85" s="22">
        <f t="shared" ref="AG85:AG90" si="41">(G85+0)</f>
        <v>0</v>
      </c>
      <c r="AH85" s="14"/>
      <c r="AI85" s="25">
        <f t="shared" si="30"/>
        <v>0</v>
      </c>
      <c r="AJ85" s="16"/>
      <c r="AK85" s="12">
        <f t="shared" si="31"/>
        <v>0</v>
      </c>
      <c r="AL85" s="19">
        <f t="shared" si="32"/>
        <v>0</v>
      </c>
      <c r="AM85" s="18">
        <f>(180*(Ventas!AE82*0.9644) - IF(AE85&gt;0,AE85,0))</f>
        <v>0</v>
      </c>
      <c r="AN85" s="18">
        <f t="shared" si="39"/>
        <v>0</v>
      </c>
      <c r="AO85" s="14"/>
      <c r="AP85" s="14">
        <f t="shared" si="20"/>
        <v>0</v>
      </c>
      <c r="AQ85" s="16">
        <f t="shared" si="33"/>
        <v>0</v>
      </c>
      <c r="AR85" s="37">
        <f>_xlfn.XLOOKUP(C85,[1]Hoja2!$C$6:$C$24,[1]Hoja2!$D$6:$D$24,0,2,1)</f>
        <v>0</v>
      </c>
      <c r="AS85" s="18">
        <f t="shared" si="34"/>
        <v>0</v>
      </c>
      <c r="AT85" s="14"/>
      <c r="AU85" s="37">
        <f>_xlfn.XLOOKUP(D85,[1]Hoja2!$E$6:$E$24,[1]Hoja2!$F$6:$F$24,0,2,1)</f>
        <v>0</v>
      </c>
      <c r="AV85" s="27">
        <v>0</v>
      </c>
      <c r="AW85" s="5">
        <v>3002</v>
      </c>
      <c r="AX85" s="14">
        <v>0</v>
      </c>
      <c r="AY85" s="14"/>
      <c r="AZ85" s="16">
        <f>_xlfn.XLOOKUP(C85,[2]PI!$B$15:$B$99,[2]PI!$L$15:$L$99,0,2,1)</f>
        <v>0</v>
      </c>
      <c r="BA85" s="16">
        <f>_xlfn.XLOOKUP(D85,[2]PI!$B$15:$B$99,[2]PI!$L$15:$L$99,0,2,1)</f>
        <v>0</v>
      </c>
      <c r="BB85" s="3"/>
      <c r="BC85" s="3"/>
      <c r="BD85" s="14"/>
      <c r="BE85" s="14"/>
      <c r="BF85" s="16"/>
      <c r="BG85" s="16"/>
      <c r="BH85" s="12">
        <f t="shared" si="35"/>
        <v>0</v>
      </c>
      <c r="BI85" s="19">
        <f t="shared" si="36"/>
        <v>0</v>
      </c>
      <c r="BJ85" s="1" t="s">
        <v>35</v>
      </c>
      <c r="BK85">
        <f t="shared" si="37"/>
        <v>0</v>
      </c>
      <c r="BL85">
        <f t="shared" si="38"/>
        <v>0</v>
      </c>
    </row>
    <row r="86" spans="1:64" x14ac:dyDescent="0.25">
      <c r="A86" s="1" t="s">
        <v>272</v>
      </c>
      <c r="B86" s="1" t="s">
        <v>271</v>
      </c>
      <c r="C86" s="13" t="s">
        <v>270</v>
      </c>
      <c r="D86" s="15"/>
      <c r="E86" s="17"/>
      <c r="F86" s="5">
        <v>2</v>
      </c>
      <c r="G86" s="14"/>
      <c r="H86" s="16"/>
      <c r="I86" s="11">
        <v>46221</v>
      </c>
      <c r="J86" s="4">
        <v>17</v>
      </c>
      <c r="K86" s="18">
        <f>(F86-(0)+0-(J86*Ventas!AE83*1))</f>
        <v>1.1473285714285715</v>
      </c>
      <c r="L86" s="20">
        <f>(K86/(Ventas!AE83*1)/80)</f>
        <v>0.28593349473084595</v>
      </c>
      <c r="M86" s="22">
        <f t="shared" si="40"/>
        <v>0</v>
      </c>
      <c r="N86" s="14"/>
      <c r="O86" s="25">
        <f t="shared" si="25"/>
        <v>0</v>
      </c>
      <c r="P86" s="16"/>
      <c r="Q86" s="12">
        <f t="shared" si="26"/>
        <v>1.1473285714285715</v>
      </c>
      <c r="R86" s="5">
        <v>0</v>
      </c>
      <c r="S86" s="24">
        <v>0</v>
      </c>
      <c r="T86" s="26">
        <v>0</v>
      </c>
      <c r="U86" s="18">
        <f t="shared" si="27"/>
        <v>1.1473285714285715</v>
      </c>
      <c r="V86" s="22">
        <f t="shared" si="28"/>
        <v>0</v>
      </c>
      <c r="W86" s="25">
        <f t="shared" si="29"/>
        <v>0</v>
      </c>
      <c r="X86" s="3"/>
      <c r="Y86" s="14"/>
      <c r="Z86" s="14"/>
      <c r="AA86" s="18">
        <v>10</v>
      </c>
      <c r="AB86" s="21">
        <v>1.3318E-2</v>
      </c>
      <c r="AC86" s="11">
        <v>46313</v>
      </c>
      <c r="AD86" s="4">
        <v>92</v>
      </c>
      <c r="AE86" s="18">
        <f>(IF(K86&gt;0,K86+R86,R86)-(AD86*Ventas!AE83*1.0489))</f>
        <v>-3.6927755257142842</v>
      </c>
      <c r="AF86" s="20">
        <f>(AE86/(Ventas!AE83*1.0489)/80)</f>
        <v>-0.87739680166760792</v>
      </c>
      <c r="AG86" s="22">
        <f t="shared" si="41"/>
        <v>0</v>
      </c>
      <c r="AH86" s="14"/>
      <c r="AI86" s="25">
        <f t="shared" si="30"/>
        <v>0</v>
      </c>
      <c r="AJ86" s="16"/>
      <c r="AK86" s="12">
        <f t="shared" si="31"/>
        <v>-3.6927755257142842</v>
      </c>
      <c r="AL86" s="19">
        <f t="shared" si="32"/>
        <v>-0.76772220145915693</v>
      </c>
      <c r="AM86" s="18">
        <f>(180*(Ventas!AE83*0.9644) - IF(AE86&gt;0,AE86,0))</f>
        <v>8.7068787428571408</v>
      </c>
      <c r="AN86" s="42">
        <v>12</v>
      </c>
      <c r="AO86" s="14"/>
      <c r="AP86" s="14"/>
      <c r="AQ86" s="16">
        <f t="shared" si="33"/>
        <v>0.15981600000000001</v>
      </c>
      <c r="AR86" s="37">
        <f>_xlfn.XLOOKUP(C86,[1]Hoja2!$C$6:$C$24,[1]Hoja2!$D$6:$D$24,0,2,1)</f>
        <v>10</v>
      </c>
      <c r="AS86" s="18">
        <f t="shared" si="34"/>
        <v>12</v>
      </c>
      <c r="AT86" s="14"/>
      <c r="AU86" s="37">
        <f>_xlfn.XLOOKUP(D86,[1]Hoja2!$E$6:$E$24,[1]Hoja2!$F$6:$F$24,0,2,1)</f>
        <v>0</v>
      </c>
      <c r="AV86" s="27">
        <v>5.9</v>
      </c>
      <c r="AW86" s="5">
        <v>3016</v>
      </c>
      <c r="AX86" s="14">
        <v>0</v>
      </c>
      <c r="AY86" s="14"/>
      <c r="AZ86" s="16">
        <f>_xlfn.XLOOKUP(C86,[2]PI!$B$15:$B$99,[2]PI!$L$15:$L$99,0,2,1)</f>
        <v>5.9</v>
      </c>
      <c r="BA86" s="16">
        <f>_xlfn.XLOOKUP(D86,[2]PI!$B$15:$B$99,[2]PI!$L$15:$L$99,0,2,1)</f>
        <v>0</v>
      </c>
      <c r="BB86" s="18">
        <f>(AS86-(90*Ventas!AE83*0.9644))</f>
        <v>7.6465606285714287</v>
      </c>
      <c r="BC86" s="20">
        <f>(BB86/(Ventas!AE83*0.9644)/80)</f>
        <v>1.97599644170995</v>
      </c>
      <c r="BD86" s="14"/>
      <c r="BE86" s="14"/>
      <c r="BF86" s="16"/>
      <c r="BG86" s="16"/>
      <c r="BH86" s="12">
        <f t="shared" si="35"/>
        <v>7.6465606285714287</v>
      </c>
      <c r="BI86" s="19">
        <f t="shared" si="36"/>
        <v>1.7289968864962062</v>
      </c>
      <c r="BJ86" s="1" t="s">
        <v>35</v>
      </c>
      <c r="BK86">
        <f t="shared" si="37"/>
        <v>70.800000000000011</v>
      </c>
      <c r="BL86">
        <f t="shared" si="38"/>
        <v>70.800000000000011</v>
      </c>
    </row>
    <row r="87" spans="1:64" x14ac:dyDescent="0.25">
      <c r="A87" s="1" t="s">
        <v>275</v>
      </c>
      <c r="B87" s="1" t="s">
        <v>274</v>
      </c>
      <c r="C87" s="13" t="s">
        <v>273</v>
      </c>
      <c r="D87" s="15"/>
      <c r="E87" s="17"/>
      <c r="F87" s="5">
        <v>7</v>
      </c>
      <c r="G87" s="14"/>
      <c r="H87" s="16"/>
      <c r="I87" s="11">
        <v>46221</v>
      </c>
      <c r="J87" s="4">
        <v>17</v>
      </c>
      <c r="K87" s="18">
        <f>(F87-(0)+0-(J87*Ventas!AE84*1))</f>
        <v>7</v>
      </c>
      <c r="L87" s="3"/>
      <c r="M87" s="22">
        <f t="shared" si="40"/>
        <v>0</v>
      </c>
      <c r="N87" s="14"/>
      <c r="O87" s="25">
        <f t="shared" si="25"/>
        <v>0</v>
      </c>
      <c r="P87" s="16"/>
      <c r="Q87" s="12">
        <f t="shared" si="26"/>
        <v>7</v>
      </c>
      <c r="R87" s="5">
        <v>0</v>
      </c>
      <c r="S87" s="24">
        <v>0</v>
      </c>
      <c r="T87" s="26">
        <v>0</v>
      </c>
      <c r="U87" s="18">
        <f t="shared" si="27"/>
        <v>7</v>
      </c>
      <c r="V87" s="22">
        <f t="shared" si="28"/>
        <v>0</v>
      </c>
      <c r="W87" s="25">
        <f t="shared" si="29"/>
        <v>0</v>
      </c>
      <c r="X87" s="3"/>
      <c r="Y87" s="14"/>
      <c r="Z87" s="14"/>
      <c r="AA87" s="18">
        <v>18</v>
      </c>
      <c r="AB87" s="21">
        <v>4.333E-3</v>
      </c>
      <c r="AC87" s="11">
        <v>46313</v>
      </c>
      <c r="AD87" s="4">
        <v>92</v>
      </c>
      <c r="AE87" s="18">
        <f>(IF(K87&gt;0,K87+R87,R87)-(AD87*Ventas!AE84*1.0489))</f>
        <v>7</v>
      </c>
      <c r="AF87" s="3"/>
      <c r="AG87" s="22">
        <f t="shared" si="41"/>
        <v>0</v>
      </c>
      <c r="AH87" s="14"/>
      <c r="AI87" s="25">
        <f t="shared" si="30"/>
        <v>0</v>
      </c>
      <c r="AJ87" s="16"/>
      <c r="AK87" s="12">
        <f t="shared" si="31"/>
        <v>7</v>
      </c>
      <c r="AL87" s="19">
        <f t="shared" si="32"/>
        <v>0</v>
      </c>
      <c r="AM87" s="18">
        <f>(180*(Ventas!AE84*0.9644) - IF(AE87&gt;0,AE87,0))</f>
        <v>-7</v>
      </c>
      <c r="AN87" s="18">
        <f>IF(AM87&gt;3,CEILING(AM87,5),0)</f>
        <v>0</v>
      </c>
      <c r="AO87" s="14"/>
      <c r="AP87" s="14">
        <f t="shared" ref="AP87:AP95" si="42">IF(AO87&gt;3,CEILING(AO87,5),0)</f>
        <v>0</v>
      </c>
      <c r="AQ87" s="16">
        <f t="shared" si="33"/>
        <v>0</v>
      </c>
      <c r="AR87" s="37">
        <f>_xlfn.XLOOKUP(C87,[1]Hoja2!$C$6:$C$24,[1]Hoja2!$D$6:$D$24,0,2,1)</f>
        <v>0</v>
      </c>
      <c r="AS87" s="18">
        <f t="shared" si="34"/>
        <v>7</v>
      </c>
      <c r="AT87" s="14"/>
      <c r="AU87" s="37">
        <f>_xlfn.XLOOKUP(D87,[1]Hoja2!$E$6:$E$24,[1]Hoja2!$F$6:$F$24,0,2,1)</f>
        <v>0</v>
      </c>
      <c r="AV87" s="27">
        <v>0</v>
      </c>
      <c r="AW87" s="5">
        <v>3016</v>
      </c>
      <c r="AX87" s="14">
        <v>0</v>
      </c>
      <c r="AY87" s="14"/>
      <c r="AZ87" s="16">
        <f>_xlfn.XLOOKUP(C87,[2]PI!$B$15:$B$99,[2]PI!$L$15:$L$99,0,2,1)</f>
        <v>0</v>
      </c>
      <c r="BA87" s="16">
        <f>_xlfn.XLOOKUP(D87,[2]PI!$B$15:$B$99,[2]PI!$L$15:$L$99,0,2,1)</f>
        <v>0</v>
      </c>
      <c r="BB87" s="3"/>
      <c r="BC87" s="3"/>
      <c r="BD87" s="14"/>
      <c r="BE87" s="14"/>
      <c r="BF87" s="16"/>
      <c r="BG87" s="16"/>
      <c r="BH87" s="12">
        <f t="shared" si="35"/>
        <v>0</v>
      </c>
      <c r="BI87" s="19">
        <f t="shared" si="36"/>
        <v>0</v>
      </c>
      <c r="BJ87" s="1" t="s">
        <v>35</v>
      </c>
      <c r="BK87">
        <f t="shared" si="37"/>
        <v>0</v>
      </c>
      <c r="BL87">
        <f t="shared" si="38"/>
        <v>0</v>
      </c>
    </row>
    <row r="88" spans="1:64" x14ac:dyDescent="0.25">
      <c r="A88" s="1" t="s">
        <v>278</v>
      </c>
      <c r="B88" s="1" t="s">
        <v>277</v>
      </c>
      <c r="C88" s="13" t="s">
        <v>276</v>
      </c>
      <c r="D88" s="15"/>
      <c r="E88" s="17"/>
      <c r="F88" s="3"/>
      <c r="G88" s="14"/>
      <c r="H88" s="16"/>
      <c r="I88" s="11">
        <v>46221</v>
      </c>
      <c r="J88" s="4">
        <v>17</v>
      </c>
      <c r="K88" s="18">
        <f>(F88-(0)+0-(J88*Ventas!AE85*1))</f>
        <v>0</v>
      </c>
      <c r="L88" s="3"/>
      <c r="M88" s="22">
        <f t="shared" si="40"/>
        <v>0</v>
      </c>
      <c r="N88" s="14"/>
      <c r="O88" s="25">
        <f t="shared" si="25"/>
        <v>0</v>
      </c>
      <c r="P88" s="16"/>
      <c r="Q88" s="12">
        <f t="shared" si="26"/>
        <v>0</v>
      </c>
      <c r="R88" s="5">
        <v>0</v>
      </c>
      <c r="S88" s="24">
        <v>0</v>
      </c>
      <c r="T88" s="26">
        <v>0</v>
      </c>
      <c r="U88" s="18">
        <f t="shared" si="27"/>
        <v>0</v>
      </c>
      <c r="V88" s="22">
        <f t="shared" si="28"/>
        <v>0</v>
      </c>
      <c r="W88" s="25">
        <f t="shared" si="29"/>
        <v>0</v>
      </c>
      <c r="X88" s="3"/>
      <c r="Y88" s="14"/>
      <c r="Z88" s="14"/>
      <c r="AA88" s="18">
        <v>15</v>
      </c>
      <c r="AB88" s="21">
        <v>4.6049999999999997E-3</v>
      </c>
      <c r="AC88" s="11">
        <v>46313</v>
      </c>
      <c r="AD88" s="4">
        <v>92</v>
      </c>
      <c r="AE88" s="18">
        <f>(IF(K88&gt;0,K88+R88,R88)-(AD88*Ventas!AE85*1.0489))</f>
        <v>0</v>
      </c>
      <c r="AF88" s="3"/>
      <c r="AG88" s="22">
        <f t="shared" si="41"/>
        <v>0</v>
      </c>
      <c r="AH88" s="14"/>
      <c r="AI88" s="25">
        <f t="shared" si="30"/>
        <v>0</v>
      </c>
      <c r="AJ88" s="16"/>
      <c r="AK88" s="12">
        <f t="shared" si="31"/>
        <v>0</v>
      </c>
      <c r="AL88" s="19">
        <f t="shared" si="32"/>
        <v>0</v>
      </c>
      <c r="AM88" s="18">
        <f>(180*(Ventas!AE85*0.9644) - IF(AE88&gt;0,AE88,0))</f>
        <v>0</v>
      </c>
      <c r="AN88" s="18">
        <f>IF(AM88&gt;3,CEILING(AM88,5),0)</f>
        <v>0</v>
      </c>
      <c r="AO88" s="14"/>
      <c r="AP88" s="14">
        <f t="shared" si="42"/>
        <v>0</v>
      </c>
      <c r="AQ88" s="16">
        <f t="shared" si="33"/>
        <v>0</v>
      </c>
      <c r="AR88" s="37">
        <f>_xlfn.XLOOKUP(C88,[1]Hoja2!$C$6:$C$24,[1]Hoja2!$D$6:$D$24,0,2,1)</f>
        <v>0</v>
      </c>
      <c r="AS88" s="18">
        <f t="shared" si="34"/>
        <v>0</v>
      </c>
      <c r="AT88" s="14"/>
      <c r="AU88" s="37">
        <f>_xlfn.XLOOKUP(D88,[1]Hoja2!$E$6:$E$24,[1]Hoja2!$F$6:$F$24,0,2,1)</f>
        <v>0</v>
      </c>
      <c r="AV88" s="27">
        <v>0</v>
      </c>
      <c r="AW88" s="5">
        <v>3006</v>
      </c>
      <c r="AX88" s="14">
        <v>0</v>
      </c>
      <c r="AY88" s="14"/>
      <c r="AZ88" s="16">
        <f>_xlfn.XLOOKUP(C88,[2]PI!$B$15:$B$99,[2]PI!$L$15:$L$99,0,2,1)</f>
        <v>0</v>
      </c>
      <c r="BA88" s="16">
        <f>_xlfn.XLOOKUP(D88,[2]PI!$B$15:$B$99,[2]PI!$L$15:$L$99,0,2,1)</f>
        <v>0</v>
      </c>
      <c r="BB88" s="3"/>
      <c r="BC88" s="3"/>
      <c r="BD88" s="14"/>
      <c r="BE88" s="14"/>
      <c r="BF88" s="16"/>
      <c r="BG88" s="16"/>
      <c r="BH88" s="12">
        <f t="shared" si="35"/>
        <v>0</v>
      </c>
      <c r="BI88" s="19">
        <f t="shared" si="36"/>
        <v>0</v>
      </c>
      <c r="BJ88" s="1" t="s">
        <v>35</v>
      </c>
      <c r="BK88">
        <f t="shared" si="37"/>
        <v>0</v>
      </c>
      <c r="BL88">
        <f t="shared" si="38"/>
        <v>0</v>
      </c>
    </row>
    <row r="89" spans="1:64" x14ac:dyDescent="0.25">
      <c r="A89" s="1" t="s">
        <v>281</v>
      </c>
      <c r="B89" s="1" t="s">
        <v>280</v>
      </c>
      <c r="C89" s="13" t="s">
        <v>279</v>
      </c>
      <c r="D89" s="15"/>
      <c r="E89" s="17"/>
      <c r="F89" s="5">
        <v>15</v>
      </c>
      <c r="G89" s="14"/>
      <c r="H89" s="16"/>
      <c r="I89" s="11">
        <v>46221</v>
      </c>
      <c r="J89" s="4">
        <v>17</v>
      </c>
      <c r="K89" s="18">
        <f>(F89-(0)+0-(J89*Ventas!AE86*1))</f>
        <v>15</v>
      </c>
      <c r="L89" s="3"/>
      <c r="M89" s="22">
        <f t="shared" si="40"/>
        <v>0</v>
      </c>
      <c r="N89" s="14"/>
      <c r="O89" s="25">
        <f t="shared" si="25"/>
        <v>0</v>
      </c>
      <c r="P89" s="16"/>
      <c r="Q89" s="12">
        <f t="shared" si="26"/>
        <v>15</v>
      </c>
      <c r="R89" s="5">
        <v>0</v>
      </c>
      <c r="S89" s="24">
        <v>0</v>
      </c>
      <c r="T89" s="26">
        <v>0</v>
      </c>
      <c r="U89" s="18">
        <f t="shared" si="27"/>
        <v>15</v>
      </c>
      <c r="V89" s="22">
        <f t="shared" si="28"/>
        <v>0</v>
      </c>
      <c r="W89" s="25">
        <f t="shared" si="29"/>
        <v>0</v>
      </c>
      <c r="X89" s="3"/>
      <c r="Y89" s="14"/>
      <c r="Z89" s="14"/>
      <c r="AA89" s="18">
        <v>15</v>
      </c>
      <c r="AB89" s="21">
        <v>4.6049999999999997E-3</v>
      </c>
      <c r="AC89" s="11">
        <v>46313</v>
      </c>
      <c r="AD89" s="4">
        <v>92</v>
      </c>
      <c r="AE89" s="18">
        <f>(IF(K89&gt;0,K89+R89,R89)-(AD89*Ventas!AE86*1.0489))</f>
        <v>15</v>
      </c>
      <c r="AF89" s="3"/>
      <c r="AG89" s="22">
        <f t="shared" si="41"/>
        <v>0</v>
      </c>
      <c r="AH89" s="14"/>
      <c r="AI89" s="25">
        <f t="shared" si="30"/>
        <v>0</v>
      </c>
      <c r="AJ89" s="16"/>
      <c r="AK89" s="12">
        <f t="shared" si="31"/>
        <v>15</v>
      </c>
      <c r="AL89" s="19">
        <f t="shared" si="32"/>
        <v>0</v>
      </c>
      <c r="AM89" s="18">
        <f>(180*(Ventas!AE86*0.9644) - IF(AE89&gt;0,AE89,0))</f>
        <v>-15</v>
      </c>
      <c r="AN89" s="18">
        <f>IF(AM89&gt;3,CEILING(AM89,5),0)</f>
        <v>0</v>
      </c>
      <c r="AO89" s="14"/>
      <c r="AP89" s="14">
        <f t="shared" si="42"/>
        <v>0</v>
      </c>
      <c r="AQ89" s="16">
        <f t="shared" si="33"/>
        <v>0</v>
      </c>
      <c r="AR89" s="37">
        <f>_xlfn.XLOOKUP(C89,[1]Hoja2!$C$6:$C$24,[1]Hoja2!$D$6:$D$24,0,2,1)</f>
        <v>0</v>
      </c>
      <c r="AS89" s="18">
        <f t="shared" si="34"/>
        <v>15</v>
      </c>
      <c r="AT89" s="14"/>
      <c r="AU89" s="37">
        <f>_xlfn.XLOOKUP(D89,[1]Hoja2!$E$6:$E$24,[1]Hoja2!$F$6:$F$24,0,2,1)</f>
        <v>0</v>
      </c>
      <c r="AV89" s="27">
        <v>0</v>
      </c>
      <c r="AW89" s="5">
        <v>3016</v>
      </c>
      <c r="AX89" s="14">
        <v>0</v>
      </c>
      <c r="AY89" s="14"/>
      <c r="AZ89" s="16">
        <f>_xlfn.XLOOKUP(C89,[2]PI!$B$15:$B$99,[2]PI!$L$15:$L$99,0,2,1)</f>
        <v>0</v>
      </c>
      <c r="BA89" s="16">
        <f>_xlfn.XLOOKUP(D89,[2]PI!$B$15:$B$99,[2]PI!$L$15:$L$99,0,2,1)</f>
        <v>0</v>
      </c>
      <c r="BB89" s="3"/>
      <c r="BC89" s="3"/>
      <c r="BD89" s="14"/>
      <c r="BE89" s="14"/>
      <c r="BF89" s="16"/>
      <c r="BG89" s="16"/>
      <c r="BH89" s="12">
        <f t="shared" si="35"/>
        <v>0</v>
      </c>
      <c r="BI89" s="19">
        <f t="shared" si="36"/>
        <v>0</v>
      </c>
      <c r="BJ89" s="1" t="s">
        <v>35</v>
      </c>
      <c r="BK89">
        <f t="shared" si="37"/>
        <v>0</v>
      </c>
      <c r="BL89">
        <f t="shared" si="38"/>
        <v>0</v>
      </c>
    </row>
    <row r="90" spans="1:64" x14ac:dyDescent="0.25">
      <c r="A90" s="1" t="s">
        <v>284</v>
      </c>
      <c r="B90" s="1" t="s">
        <v>283</v>
      </c>
      <c r="C90" s="13" t="s">
        <v>282</v>
      </c>
      <c r="D90" s="15"/>
      <c r="E90" s="17"/>
      <c r="F90" s="5">
        <v>9</v>
      </c>
      <c r="G90" s="14"/>
      <c r="H90" s="16"/>
      <c r="I90" s="11">
        <v>46221</v>
      </c>
      <c r="J90" s="4">
        <v>17</v>
      </c>
      <c r="K90" s="18">
        <f>(F90-(0)+0-(J90*Ventas!AE87*1))</f>
        <v>9</v>
      </c>
      <c r="L90" s="20" t="e">
        <f>(K90/(Ventas!AE87*1)/80)</f>
        <v>#DIV/0!</v>
      </c>
      <c r="M90" s="22">
        <f t="shared" si="40"/>
        <v>0</v>
      </c>
      <c r="N90" s="14"/>
      <c r="O90" s="25">
        <f t="shared" si="25"/>
        <v>0</v>
      </c>
      <c r="P90" s="16"/>
      <c r="Q90" s="12">
        <f t="shared" si="26"/>
        <v>9</v>
      </c>
      <c r="R90" s="5">
        <v>0</v>
      </c>
      <c r="S90" s="24">
        <v>0</v>
      </c>
      <c r="T90" s="26">
        <v>0</v>
      </c>
      <c r="U90" s="18">
        <f t="shared" si="27"/>
        <v>9</v>
      </c>
      <c r="V90" s="22">
        <f t="shared" si="28"/>
        <v>0</v>
      </c>
      <c r="W90" s="25">
        <f t="shared" si="29"/>
        <v>0</v>
      </c>
      <c r="X90" s="3"/>
      <c r="Y90" s="14"/>
      <c r="Z90" s="14"/>
      <c r="AA90" s="18">
        <v>18</v>
      </c>
      <c r="AB90" s="21">
        <v>4.333E-3</v>
      </c>
      <c r="AC90" s="11">
        <v>46313</v>
      </c>
      <c r="AD90" s="4">
        <v>92</v>
      </c>
      <c r="AE90" s="18">
        <f>(IF(K90&gt;0,K90+R90,R90)-(AD90*Ventas!AE87*1.0489))</f>
        <v>9</v>
      </c>
      <c r="AF90" s="20" t="e">
        <f>(AE90/(Ventas!AE87*1.0489)/80)</f>
        <v>#DIV/0!</v>
      </c>
      <c r="AG90" s="22">
        <f t="shared" si="41"/>
        <v>0</v>
      </c>
      <c r="AH90" s="14"/>
      <c r="AI90" s="25">
        <f t="shared" si="30"/>
        <v>0</v>
      </c>
      <c r="AJ90" s="16"/>
      <c r="AK90" s="12">
        <f t="shared" si="31"/>
        <v>9</v>
      </c>
      <c r="AL90" s="19" t="e">
        <f t="shared" si="32"/>
        <v>#DIV/0!</v>
      </c>
      <c r="AM90" s="18">
        <f>(180*(Ventas!AE87*0.9644) - IF(AE90&gt;0,AE90,0))</f>
        <v>-9</v>
      </c>
      <c r="AN90" s="18">
        <f>IF(AM90&gt;3,CEILING(AM90,5),0)</f>
        <v>0</v>
      </c>
      <c r="AO90" s="14"/>
      <c r="AP90" s="14">
        <f t="shared" si="42"/>
        <v>0</v>
      </c>
      <c r="AQ90" s="16">
        <f t="shared" si="33"/>
        <v>0</v>
      </c>
      <c r="AR90" s="37">
        <f>_xlfn.XLOOKUP(C90,[1]Hoja2!$C$6:$C$24,[1]Hoja2!$D$6:$D$24,0,2,1)</f>
        <v>0</v>
      </c>
      <c r="AS90" s="18">
        <f t="shared" si="34"/>
        <v>9</v>
      </c>
      <c r="AT90" s="14"/>
      <c r="AU90" s="37">
        <f>_xlfn.XLOOKUP(D90,[1]Hoja2!$E$6:$E$24,[1]Hoja2!$F$6:$F$24,0,2,1)</f>
        <v>0</v>
      </c>
      <c r="AV90" s="27">
        <v>0</v>
      </c>
      <c r="AW90" s="5">
        <v>3016</v>
      </c>
      <c r="AX90" s="14">
        <v>0</v>
      </c>
      <c r="AY90" s="14"/>
      <c r="AZ90" s="16">
        <f>_xlfn.XLOOKUP(C90,[2]PI!$B$15:$B$99,[2]PI!$L$15:$L$99,0,2,1)</f>
        <v>0</v>
      </c>
      <c r="BA90" s="16">
        <f>_xlfn.XLOOKUP(D90,[2]PI!$B$15:$B$99,[2]PI!$L$15:$L$99,0,2,1)</f>
        <v>0</v>
      </c>
      <c r="BB90" s="18">
        <f>(AS90-(90*Ventas!AE87*0.9644))</f>
        <v>9</v>
      </c>
      <c r="BC90" s="20" t="e">
        <f>(BB90/(Ventas!AE87*0.9644)/80)</f>
        <v>#DIV/0!</v>
      </c>
      <c r="BD90" s="14"/>
      <c r="BE90" s="14"/>
      <c r="BF90" s="16"/>
      <c r="BG90" s="16"/>
      <c r="BH90" s="12">
        <f t="shared" si="35"/>
        <v>9</v>
      </c>
      <c r="BI90" s="19" t="e">
        <f t="shared" si="36"/>
        <v>#DIV/0!</v>
      </c>
      <c r="BJ90" s="1" t="s">
        <v>35</v>
      </c>
      <c r="BK90">
        <f t="shared" si="37"/>
        <v>0</v>
      </c>
      <c r="BL90">
        <f t="shared" si="38"/>
        <v>0</v>
      </c>
    </row>
    <row r="91" spans="1:64" x14ac:dyDescent="0.25">
      <c r="A91" s="1" t="s">
        <v>287</v>
      </c>
      <c r="B91" s="1" t="s">
        <v>286</v>
      </c>
      <c r="C91" s="13" t="s">
        <v>285</v>
      </c>
      <c r="D91" s="15" t="s">
        <v>1527</v>
      </c>
      <c r="E91" s="17"/>
      <c r="F91" s="5">
        <v>24</v>
      </c>
      <c r="G91" s="14"/>
      <c r="H91" s="16"/>
      <c r="I91" s="11">
        <v>46221</v>
      </c>
      <c r="J91" s="4">
        <v>17</v>
      </c>
      <c r="K91" s="18">
        <f>(F91-(0)+0-(J91*Ventas!AE88*1))</f>
        <v>17.635200000000001</v>
      </c>
      <c r="L91" s="20">
        <f>(K91/(Ventas!AE88*1)/80)</f>
        <v>0.5887820512820513</v>
      </c>
      <c r="M91" s="22">
        <f>(G91-(0)+0-(J91*Ventas!AE509*1))</f>
        <v>0</v>
      </c>
      <c r="N91" s="14"/>
      <c r="O91" s="25">
        <f t="shared" si="25"/>
        <v>0</v>
      </c>
      <c r="P91" s="16"/>
      <c r="Q91" s="12">
        <f t="shared" si="26"/>
        <v>17.635200000000001</v>
      </c>
      <c r="R91" s="5">
        <v>50</v>
      </c>
      <c r="S91" s="24">
        <v>0</v>
      </c>
      <c r="T91" s="26">
        <v>0</v>
      </c>
      <c r="U91" s="18">
        <f t="shared" si="27"/>
        <v>67.635199999999998</v>
      </c>
      <c r="V91" s="22">
        <f t="shared" si="28"/>
        <v>0</v>
      </c>
      <c r="W91" s="25">
        <f t="shared" si="29"/>
        <v>0</v>
      </c>
      <c r="X91" s="18">
        <v>3.1</v>
      </c>
      <c r="Y91" s="14"/>
      <c r="Z91" s="14"/>
      <c r="AA91" s="18">
        <v>18</v>
      </c>
      <c r="AB91" s="21">
        <v>5.5659999999999998E-3</v>
      </c>
      <c r="AC91" s="11">
        <v>46313</v>
      </c>
      <c r="AD91" s="4">
        <v>92</v>
      </c>
      <c r="AE91" s="18">
        <f>(IF(K91&gt;0,K91+R91,R91)-(AD91*Ventas!AE88*1.0489))</f>
        <v>31.506049279999999</v>
      </c>
      <c r="AF91" s="20">
        <f>(AE91/(Ventas!AE88*1.0489)/80)</f>
        <v>1.0028455125556852</v>
      </c>
      <c r="AG91" s="22">
        <f>(IF(M91&gt;0,M91+S91,S91)-(AD91*Ventas!AE509*1.0489))</f>
        <v>0</v>
      </c>
      <c r="AH91" s="14"/>
      <c r="AI91" s="25">
        <f t="shared" si="30"/>
        <v>0</v>
      </c>
      <c r="AJ91" s="16"/>
      <c r="AK91" s="12">
        <f t="shared" si="31"/>
        <v>31.506049279999999</v>
      </c>
      <c r="AL91" s="19">
        <f t="shared" si="32"/>
        <v>0.87748982348622451</v>
      </c>
      <c r="AM91" s="18">
        <f>(180*(Ventas!AE88*0.9644) - IF(AE91&gt;0,AE91,0))</f>
        <v>33.486795520000001</v>
      </c>
      <c r="AN91" s="38">
        <v>30</v>
      </c>
      <c r="AO91" s="22">
        <f>(180*(Ventas!AE509*0.9644) - IF(AG91&gt;0,AG91,0))</f>
        <v>0</v>
      </c>
      <c r="AP91" s="22">
        <f t="shared" si="42"/>
        <v>0</v>
      </c>
      <c r="AQ91" s="16">
        <f t="shared" si="33"/>
        <v>0.16697999999999999</v>
      </c>
      <c r="AR91" s="37">
        <f>_xlfn.XLOOKUP(C91,[1]Hoja2!$C$6:$C$24,[1]Hoja2!$D$6:$D$24,0,2,1)</f>
        <v>45</v>
      </c>
      <c r="AS91" s="18">
        <f t="shared" si="34"/>
        <v>61.506049279999999</v>
      </c>
      <c r="AT91" s="22">
        <f>IF(AG91&gt;0,AG91+IF(AP91&gt;0,AP91,0),AP91)</f>
        <v>0</v>
      </c>
      <c r="AU91" s="37">
        <f>_xlfn.XLOOKUP(D91,[1]Hoja2!$E$6:$E$24,[1]Hoja2!$F$6:$F$24,0,2,1)</f>
        <v>0</v>
      </c>
      <c r="AV91" s="27">
        <v>3.2</v>
      </c>
      <c r="AW91" s="5">
        <v>3016</v>
      </c>
      <c r="AX91" s="28">
        <v>0</v>
      </c>
      <c r="AY91" s="14"/>
      <c r="AZ91" s="16">
        <f>_xlfn.XLOOKUP(C91,[2]PI!$B$15:$B$99,[2]PI!$L$15:$L$99,0,2,1)</f>
        <v>3.2</v>
      </c>
      <c r="BA91" s="16">
        <f>_xlfn.XLOOKUP(D91,[2]PI!$B$15:$B$99,[2]PI!$L$15:$L$99,0,2,1)</f>
        <v>0</v>
      </c>
      <c r="BB91" s="18">
        <f>(AS91-(90*Ventas!AE88*0.9644))</f>
        <v>29.009626879999999</v>
      </c>
      <c r="BC91" s="20">
        <f>(BB91/(Ventas!AE88*0.9644)/80)</f>
        <v>1.0042899442370614</v>
      </c>
      <c r="BD91" s="14"/>
      <c r="BE91" s="14"/>
      <c r="BF91" s="16"/>
      <c r="BG91" s="16"/>
      <c r="BH91" s="12">
        <f t="shared" si="35"/>
        <v>29.009626879999999</v>
      </c>
      <c r="BI91" s="19">
        <f t="shared" si="36"/>
        <v>0.87875370120742868</v>
      </c>
      <c r="BJ91" s="1" t="s">
        <v>35</v>
      </c>
      <c r="BK91">
        <f t="shared" si="37"/>
        <v>96</v>
      </c>
      <c r="BL91">
        <f t="shared" si="38"/>
        <v>96</v>
      </c>
    </row>
    <row r="92" spans="1:64" x14ac:dyDescent="0.25">
      <c r="A92" s="1" t="s">
        <v>290</v>
      </c>
      <c r="B92" s="1" t="s">
        <v>289</v>
      </c>
      <c r="C92" s="13" t="s">
        <v>288</v>
      </c>
      <c r="D92" s="15"/>
      <c r="E92" s="17"/>
      <c r="F92" s="5">
        <v>1</v>
      </c>
      <c r="G92" s="14"/>
      <c r="H92" s="16"/>
      <c r="I92" s="11">
        <v>46221</v>
      </c>
      <c r="J92" s="4">
        <v>17</v>
      </c>
      <c r="K92" s="18">
        <f>(F92-(0)+0-(J92*Ventas!AE89*1))</f>
        <v>1</v>
      </c>
      <c r="L92" s="3"/>
      <c r="M92" s="22">
        <f>(G92+0)</f>
        <v>0</v>
      </c>
      <c r="N92" s="14"/>
      <c r="O92" s="25">
        <f t="shared" si="25"/>
        <v>0</v>
      </c>
      <c r="P92" s="16"/>
      <c r="Q92" s="12">
        <f t="shared" si="26"/>
        <v>1</v>
      </c>
      <c r="R92" s="5">
        <v>0</v>
      </c>
      <c r="S92" s="24">
        <v>0</v>
      </c>
      <c r="T92" s="26">
        <v>0</v>
      </c>
      <c r="U92" s="18">
        <f t="shared" si="27"/>
        <v>1</v>
      </c>
      <c r="V92" s="22">
        <f t="shared" si="28"/>
        <v>0</v>
      </c>
      <c r="W92" s="25">
        <f t="shared" si="29"/>
        <v>0</v>
      </c>
      <c r="X92" s="3"/>
      <c r="Y92" s="14"/>
      <c r="Z92" s="14"/>
      <c r="AA92" s="18">
        <v>20</v>
      </c>
      <c r="AB92" s="21">
        <v>2.9139999999999999E-3</v>
      </c>
      <c r="AC92" s="11">
        <v>46313</v>
      </c>
      <c r="AD92" s="4">
        <v>92</v>
      </c>
      <c r="AE92" s="18">
        <f>(IF(K92&gt;0,K92+R92,R92)-(AD92*Ventas!AE89*1.0489))</f>
        <v>1</v>
      </c>
      <c r="AF92" s="3"/>
      <c r="AG92" s="22">
        <f>(G92+0)</f>
        <v>0</v>
      </c>
      <c r="AH92" s="14"/>
      <c r="AI92" s="25">
        <f t="shared" si="30"/>
        <v>0</v>
      </c>
      <c r="AJ92" s="16"/>
      <c r="AK92" s="12">
        <f t="shared" si="31"/>
        <v>1</v>
      </c>
      <c r="AL92" s="19">
        <f t="shared" si="32"/>
        <v>0</v>
      </c>
      <c r="AM92" s="18">
        <f>(180*(Ventas!AE89*0.9644) - IF(AE92&gt;0,AE92,0))</f>
        <v>-1</v>
      </c>
      <c r="AN92" s="18">
        <f>IF(AM92&gt;3,CEILING(AM92,5),0)</f>
        <v>0</v>
      </c>
      <c r="AO92" s="14"/>
      <c r="AP92" s="14">
        <f t="shared" si="42"/>
        <v>0</v>
      </c>
      <c r="AQ92" s="16">
        <f t="shared" si="33"/>
        <v>0</v>
      </c>
      <c r="AR92" s="37">
        <f>_xlfn.XLOOKUP(C92,[1]Hoja2!$C$6:$C$24,[1]Hoja2!$D$6:$D$24,0,2,1)</f>
        <v>0</v>
      </c>
      <c r="AS92" s="18">
        <f t="shared" si="34"/>
        <v>1</v>
      </c>
      <c r="AT92" s="14"/>
      <c r="AU92" s="37">
        <f>_xlfn.XLOOKUP(D92,[1]Hoja2!$E$6:$E$24,[1]Hoja2!$F$6:$F$24,0,2,1)</f>
        <v>0</v>
      </c>
      <c r="AV92" s="27">
        <v>0</v>
      </c>
      <c r="AW92" s="5">
        <v>3022</v>
      </c>
      <c r="AX92" s="14">
        <v>0</v>
      </c>
      <c r="AY92" s="14"/>
      <c r="AZ92" s="16">
        <f>_xlfn.XLOOKUP(C92,[2]PI!$B$15:$B$99,[2]PI!$L$15:$L$99,0,2,1)</f>
        <v>0</v>
      </c>
      <c r="BA92" s="16">
        <f>_xlfn.XLOOKUP(D92,[2]PI!$B$15:$B$99,[2]PI!$L$15:$L$99,0,2,1)</f>
        <v>0</v>
      </c>
      <c r="BB92" s="3"/>
      <c r="BC92" s="3"/>
      <c r="BD92" s="14"/>
      <c r="BE92" s="14"/>
      <c r="BF92" s="16"/>
      <c r="BG92" s="16"/>
      <c r="BH92" s="12">
        <f t="shared" si="35"/>
        <v>0</v>
      </c>
      <c r="BI92" s="19">
        <f t="shared" si="36"/>
        <v>0</v>
      </c>
      <c r="BJ92" s="1" t="s">
        <v>35</v>
      </c>
      <c r="BK92">
        <f t="shared" si="37"/>
        <v>0</v>
      </c>
      <c r="BL92">
        <f t="shared" si="38"/>
        <v>0</v>
      </c>
    </row>
    <row r="93" spans="1:64" x14ac:dyDescent="0.25">
      <c r="A93" s="1" t="s">
        <v>293</v>
      </c>
      <c r="B93" s="1" t="s">
        <v>292</v>
      </c>
      <c r="C93" s="13" t="s">
        <v>291</v>
      </c>
      <c r="D93" s="15"/>
      <c r="E93" s="17"/>
      <c r="F93" s="3"/>
      <c r="G93" s="14"/>
      <c r="H93" s="16"/>
      <c r="I93" s="11">
        <v>46221</v>
      </c>
      <c r="J93" s="4">
        <v>17</v>
      </c>
      <c r="K93" s="18">
        <f>(F93-(0)+0-(J93*Ventas!AE90*1))</f>
        <v>0</v>
      </c>
      <c r="L93" s="3"/>
      <c r="M93" s="22">
        <f>(G93+0)</f>
        <v>0</v>
      </c>
      <c r="N93" s="14"/>
      <c r="O93" s="25">
        <f t="shared" si="25"/>
        <v>0</v>
      </c>
      <c r="P93" s="16"/>
      <c r="Q93" s="12">
        <f t="shared" si="26"/>
        <v>0</v>
      </c>
      <c r="R93" s="5">
        <v>0</v>
      </c>
      <c r="S93" s="24">
        <v>0</v>
      </c>
      <c r="T93" s="26">
        <v>0</v>
      </c>
      <c r="U93" s="18">
        <f t="shared" si="27"/>
        <v>0</v>
      </c>
      <c r="V93" s="22">
        <f t="shared" si="28"/>
        <v>0</v>
      </c>
      <c r="W93" s="25">
        <f t="shared" si="29"/>
        <v>0</v>
      </c>
      <c r="X93" s="3"/>
      <c r="Y93" s="14"/>
      <c r="Z93" s="14"/>
      <c r="AA93" s="18">
        <v>8</v>
      </c>
      <c r="AB93" s="21">
        <v>8.2950000000000003E-3</v>
      </c>
      <c r="AC93" s="11">
        <v>46313</v>
      </c>
      <c r="AD93" s="4">
        <v>92</v>
      </c>
      <c r="AE93" s="18">
        <f>(IF(K93&gt;0,K93+R93,R93)-(AD93*Ventas!AE90*1.0489))</f>
        <v>0</v>
      </c>
      <c r="AF93" s="3"/>
      <c r="AG93" s="22">
        <f>(G93+0)</f>
        <v>0</v>
      </c>
      <c r="AH93" s="14"/>
      <c r="AI93" s="25">
        <f t="shared" si="30"/>
        <v>0</v>
      </c>
      <c r="AJ93" s="16"/>
      <c r="AK93" s="12">
        <f t="shared" si="31"/>
        <v>0</v>
      </c>
      <c r="AL93" s="19">
        <f t="shared" si="32"/>
        <v>0</v>
      </c>
      <c r="AM93" s="18">
        <f>(180*(Ventas!AE90*0.9644) - IF(AE93&gt;0,AE93,0))</f>
        <v>0</v>
      </c>
      <c r="AN93" s="18">
        <f>IF(AM93&gt;3,CEILING(AM93,5),0)</f>
        <v>0</v>
      </c>
      <c r="AO93" s="14"/>
      <c r="AP93" s="14">
        <f t="shared" si="42"/>
        <v>0</v>
      </c>
      <c r="AQ93" s="16">
        <f t="shared" si="33"/>
        <v>0</v>
      </c>
      <c r="AR93" s="37">
        <f>_xlfn.XLOOKUP(C93,[1]Hoja2!$C$6:$C$24,[1]Hoja2!$D$6:$D$24,0,2,1)</f>
        <v>0</v>
      </c>
      <c r="AS93" s="18">
        <f t="shared" si="34"/>
        <v>0</v>
      </c>
      <c r="AT93" s="14"/>
      <c r="AU93" s="37">
        <f>_xlfn.XLOOKUP(D93,[1]Hoja2!$E$6:$E$24,[1]Hoja2!$F$6:$F$24,0,2,1)</f>
        <v>0</v>
      </c>
      <c r="AV93" s="27">
        <v>0</v>
      </c>
      <c r="AW93" s="5">
        <v>3006</v>
      </c>
      <c r="AX93" s="14">
        <v>0</v>
      </c>
      <c r="AY93" s="14"/>
      <c r="AZ93" s="16">
        <f>_xlfn.XLOOKUP(C93,[2]PI!$B$15:$B$99,[2]PI!$L$15:$L$99,0,2,1)</f>
        <v>0</v>
      </c>
      <c r="BA93" s="16">
        <f>_xlfn.XLOOKUP(D93,[2]PI!$B$15:$B$99,[2]PI!$L$15:$L$99,0,2,1)</f>
        <v>0</v>
      </c>
      <c r="BB93" s="3"/>
      <c r="BC93" s="3"/>
      <c r="BD93" s="14"/>
      <c r="BE93" s="14"/>
      <c r="BF93" s="16"/>
      <c r="BG93" s="16"/>
      <c r="BH93" s="12">
        <f t="shared" si="35"/>
        <v>0</v>
      </c>
      <c r="BI93" s="19">
        <f t="shared" si="36"/>
        <v>0</v>
      </c>
      <c r="BJ93" s="1" t="s">
        <v>51</v>
      </c>
      <c r="BK93">
        <f t="shared" si="37"/>
        <v>0</v>
      </c>
      <c r="BL93">
        <f t="shared" si="38"/>
        <v>0</v>
      </c>
    </row>
    <row r="94" spans="1:64" x14ac:dyDescent="0.25">
      <c r="A94" s="1" t="s">
        <v>296</v>
      </c>
      <c r="B94" s="1" t="s">
        <v>295</v>
      </c>
      <c r="C94" s="13" t="s">
        <v>294</v>
      </c>
      <c r="D94" s="15"/>
      <c r="E94" s="17"/>
      <c r="F94" s="5">
        <v>9</v>
      </c>
      <c r="G94" s="14"/>
      <c r="H94" s="16"/>
      <c r="I94" s="11">
        <v>46221</v>
      </c>
      <c r="J94" s="4">
        <v>17</v>
      </c>
      <c r="K94" s="18">
        <f>(F94-(0)+0-(J94*Ventas!AE91*1))</f>
        <v>9</v>
      </c>
      <c r="L94" s="3"/>
      <c r="M94" s="22">
        <f>(G94+0)</f>
        <v>0</v>
      </c>
      <c r="N94" s="14"/>
      <c r="O94" s="25">
        <f t="shared" si="25"/>
        <v>0</v>
      </c>
      <c r="P94" s="16"/>
      <c r="Q94" s="12">
        <f t="shared" si="26"/>
        <v>9</v>
      </c>
      <c r="R94" s="5">
        <v>0</v>
      </c>
      <c r="S94" s="24">
        <v>0</v>
      </c>
      <c r="T94" s="26">
        <v>0</v>
      </c>
      <c r="U94" s="18">
        <f t="shared" si="27"/>
        <v>9</v>
      </c>
      <c r="V94" s="22">
        <f t="shared" si="28"/>
        <v>0</v>
      </c>
      <c r="W94" s="25">
        <f t="shared" si="29"/>
        <v>0</v>
      </c>
      <c r="X94" s="3"/>
      <c r="Y94" s="14"/>
      <c r="Z94" s="14"/>
      <c r="AA94" s="18">
        <v>10</v>
      </c>
      <c r="AB94" s="21">
        <v>1.031E-2</v>
      </c>
      <c r="AC94" s="11">
        <v>46313</v>
      </c>
      <c r="AD94" s="4">
        <v>92</v>
      </c>
      <c r="AE94" s="18">
        <f>(IF(K94&gt;0,K94+R94,R94)-(AD94*Ventas!AE91*1.0489))</f>
        <v>9</v>
      </c>
      <c r="AF94" s="3"/>
      <c r="AG94" s="22">
        <f>(G94+0)</f>
        <v>0</v>
      </c>
      <c r="AH94" s="14"/>
      <c r="AI94" s="25">
        <f t="shared" si="30"/>
        <v>0</v>
      </c>
      <c r="AJ94" s="16"/>
      <c r="AK94" s="12">
        <f t="shared" si="31"/>
        <v>9</v>
      </c>
      <c r="AL94" s="19">
        <f t="shared" si="32"/>
        <v>0</v>
      </c>
      <c r="AM94" s="18">
        <f>(180*(Ventas!AE91*0.9644) - IF(AE94&gt;0,AE94,0))</f>
        <v>-9</v>
      </c>
      <c r="AN94" s="18">
        <f>IF(AM94&gt;3,CEILING(AM94,5),0)</f>
        <v>0</v>
      </c>
      <c r="AO94" s="14"/>
      <c r="AP94" s="14">
        <f t="shared" si="42"/>
        <v>0</v>
      </c>
      <c r="AQ94" s="16">
        <f t="shared" si="33"/>
        <v>0</v>
      </c>
      <c r="AR94" s="37">
        <f>_xlfn.XLOOKUP(C94,[1]Hoja2!$C$6:$C$24,[1]Hoja2!$D$6:$D$24,0,2,1)</f>
        <v>0</v>
      </c>
      <c r="AS94" s="18">
        <f t="shared" si="34"/>
        <v>9</v>
      </c>
      <c r="AT94" s="14"/>
      <c r="AU94" s="37">
        <f>_xlfn.XLOOKUP(D94,[1]Hoja2!$E$6:$E$24,[1]Hoja2!$F$6:$F$24,0,2,1)</f>
        <v>0</v>
      </c>
      <c r="AV94" s="27">
        <v>0</v>
      </c>
      <c r="AW94" s="5">
        <v>2998</v>
      </c>
      <c r="AX94" s="14">
        <v>0</v>
      </c>
      <c r="AY94" s="14"/>
      <c r="AZ94" s="16">
        <f>_xlfn.XLOOKUP(C94,[2]PI!$B$15:$B$99,[2]PI!$L$15:$L$99,0,2,1)</f>
        <v>0</v>
      </c>
      <c r="BA94" s="16">
        <f>_xlfn.XLOOKUP(D94,[2]PI!$B$15:$B$99,[2]PI!$L$15:$L$99,0,2,1)</f>
        <v>0</v>
      </c>
      <c r="BB94" s="3"/>
      <c r="BC94" s="3"/>
      <c r="BD94" s="14"/>
      <c r="BE94" s="14"/>
      <c r="BF94" s="16"/>
      <c r="BG94" s="16"/>
      <c r="BH94" s="12">
        <f t="shared" si="35"/>
        <v>0</v>
      </c>
      <c r="BI94" s="19">
        <f t="shared" si="36"/>
        <v>0</v>
      </c>
      <c r="BJ94" s="1" t="s">
        <v>51</v>
      </c>
      <c r="BK94">
        <f t="shared" si="37"/>
        <v>0</v>
      </c>
      <c r="BL94">
        <f t="shared" si="38"/>
        <v>0</v>
      </c>
    </row>
    <row r="95" spans="1:64" x14ac:dyDescent="0.25">
      <c r="A95" s="1" t="s">
        <v>299</v>
      </c>
      <c r="B95" s="1" t="s">
        <v>298</v>
      </c>
      <c r="C95" s="13" t="s">
        <v>297</v>
      </c>
      <c r="D95" s="15"/>
      <c r="E95" s="17"/>
      <c r="F95" s="3"/>
      <c r="G95" s="14"/>
      <c r="H95" s="16"/>
      <c r="I95" s="11">
        <v>46221</v>
      </c>
      <c r="J95" s="4">
        <v>17</v>
      </c>
      <c r="K95" s="18">
        <f>(F95-(0)+0-(J95*Ventas!AE92*1))</f>
        <v>0</v>
      </c>
      <c r="L95" s="3"/>
      <c r="M95" s="22">
        <f>(G95+0)</f>
        <v>0</v>
      </c>
      <c r="N95" s="14"/>
      <c r="O95" s="25">
        <f t="shared" si="25"/>
        <v>0</v>
      </c>
      <c r="P95" s="16"/>
      <c r="Q95" s="12">
        <f t="shared" si="26"/>
        <v>0</v>
      </c>
      <c r="R95" s="5">
        <v>0</v>
      </c>
      <c r="S95" s="24">
        <v>0</v>
      </c>
      <c r="T95" s="26">
        <v>0</v>
      </c>
      <c r="U95" s="18">
        <f t="shared" si="27"/>
        <v>0</v>
      </c>
      <c r="V95" s="22">
        <f t="shared" si="28"/>
        <v>0</v>
      </c>
      <c r="W95" s="25">
        <f t="shared" si="29"/>
        <v>0</v>
      </c>
      <c r="X95" s="3"/>
      <c r="Y95" s="14"/>
      <c r="Z95" s="14"/>
      <c r="AA95" s="18">
        <v>12</v>
      </c>
      <c r="AB95" s="21">
        <v>8.1810000000000008E-3</v>
      </c>
      <c r="AC95" s="11">
        <v>46313</v>
      </c>
      <c r="AD95" s="4">
        <v>92</v>
      </c>
      <c r="AE95" s="18">
        <f>(IF(K95&gt;0,K95+R95,R95)-(AD95*Ventas!AE92*1.0489))</f>
        <v>0</v>
      </c>
      <c r="AF95" s="3"/>
      <c r="AG95" s="22">
        <f>(G95+0)</f>
        <v>0</v>
      </c>
      <c r="AH95" s="14"/>
      <c r="AI95" s="25">
        <f t="shared" si="30"/>
        <v>0</v>
      </c>
      <c r="AJ95" s="16"/>
      <c r="AK95" s="12">
        <f t="shared" si="31"/>
        <v>0</v>
      </c>
      <c r="AL95" s="19">
        <f t="shared" si="32"/>
        <v>0</v>
      </c>
      <c r="AM95" s="18">
        <f>(180*(Ventas!AE92*0.9644) - IF(AE95&gt;0,AE95,0))</f>
        <v>0</v>
      </c>
      <c r="AN95" s="18">
        <f>IF(AM95&gt;3,CEILING(AM95,5),0)</f>
        <v>0</v>
      </c>
      <c r="AO95" s="14"/>
      <c r="AP95" s="14">
        <f t="shared" si="42"/>
        <v>0</v>
      </c>
      <c r="AQ95" s="16">
        <f t="shared" si="33"/>
        <v>0</v>
      </c>
      <c r="AR95" s="37">
        <f>_xlfn.XLOOKUP(C95,[1]Hoja2!$C$6:$C$24,[1]Hoja2!$D$6:$D$24,0,2,1)</f>
        <v>0</v>
      </c>
      <c r="AS95" s="18">
        <f t="shared" si="34"/>
        <v>0</v>
      </c>
      <c r="AT95" s="14"/>
      <c r="AU95" s="37">
        <f>_xlfn.XLOOKUP(D95,[1]Hoja2!$E$6:$E$24,[1]Hoja2!$F$6:$F$24,0,2,1)</f>
        <v>0</v>
      </c>
      <c r="AV95" s="3">
        <v>0</v>
      </c>
      <c r="AW95" s="3"/>
      <c r="AX95" s="14">
        <v>0</v>
      </c>
      <c r="AY95" s="14"/>
      <c r="AZ95" s="16">
        <f>_xlfn.XLOOKUP(C95,[2]PI!$B$15:$B$99,[2]PI!$L$15:$L$99,0,2,1)</f>
        <v>0</v>
      </c>
      <c r="BA95" s="16">
        <f>_xlfn.XLOOKUP(D95,[2]PI!$B$15:$B$99,[2]PI!$L$15:$L$99,0,2,1)</f>
        <v>0</v>
      </c>
      <c r="BB95" s="3"/>
      <c r="BC95" s="3"/>
      <c r="BD95" s="14"/>
      <c r="BE95" s="14"/>
      <c r="BF95" s="16"/>
      <c r="BG95" s="16"/>
      <c r="BH95" s="12">
        <f t="shared" si="35"/>
        <v>0</v>
      </c>
      <c r="BI95" s="19">
        <f t="shared" si="36"/>
        <v>0</v>
      </c>
      <c r="BJ95" s="1" t="s">
        <v>51</v>
      </c>
      <c r="BK95">
        <f t="shared" si="37"/>
        <v>0</v>
      </c>
      <c r="BL95">
        <f t="shared" si="38"/>
        <v>0</v>
      </c>
    </row>
    <row r="96" spans="1:64" x14ac:dyDescent="0.25">
      <c r="A96" s="1" t="s">
        <v>302</v>
      </c>
      <c r="B96" s="1" t="s">
        <v>301</v>
      </c>
      <c r="C96" s="13" t="s">
        <v>300</v>
      </c>
      <c r="D96" s="15" t="s">
        <v>1530</v>
      </c>
      <c r="E96" s="17"/>
      <c r="F96" s="5">
        <v>7231</v>
      </c>
      <c r="G96" s="24">
        <v>-1</v>
      </c>
      <c r="H96" s="16"/>
      <c r="I96" s="11">
        <v>46221</v>
      </c>
      <c r="J96" s="4">
        <v>17</v>
      </c>
      <c r="K96" s="18">
        <f>(F96-(0)+0-(J96*Ventas!AE93*1))</f>
        <v>6139.3974571428571</v>
      </c>
      <c r="L96" s="20">
        <f>(K96/(Ventas!AE93*1)/80)</f>
        <v>1.1951437528059992</v>
      </c>
      <c r="M96" s="22">
        <f>(G96-(0)+0-(J96*Ventas!AE510*1))</f>
        <v>-142.10000000000002</v>
      </c>
      <c r="N96" s="23">
        <f>(M96/(Ventas!AE510*1)/80)</f>
        <v>-0.21400602409638556</v>
      </c>
      <c r="O96" s="25">
        <f t="shared" si="25"/>
        <v>0</v>
      </c>
      <c r="P96" s="16"/>
      <c r="Q96" s="12">
        <f t="shared" si="26"/>
        <v>5997.2974571428567</v>
      </c>
      <c r="R96" s="5">
        <v>4320</v>
      </c>
      <c r="S96" s="24">
        <v>1000</v>
      </c>
      <c r="T96" s="26">
        <v>0</v>
      </c>
      <c r="U96" s="18">
        <f t="shared" si="27"/>
        <v>10459.397457142857</v>
      </c>
      <c r="V96" s="22">
        <f t="shared" si="28"/>
        <v>1000</v>
      </c>
      <c r="W96" s="25">
        <f t="shared" si="29"/>
        <v>0</v>
      </c>
      <c r="X96" s="18">
        <v>1.4</v>
      </c>
      <c r="Y96" s="22">
        <v>1.4</v>
      </c>
      <c r="Z96" s="14"/>
      <c r="AA96" s="18">
        <v>40</v>
      </c>
      <c r="AB96" s="21">
        <v>1.8190000000000001E-3</v>
      </c>
      <c r="AC96" s="11">
        <v>46313</v>
      </c>
      <c r="AD96" s="4">
        <v>92</v>
      </c>
      <c r="AE96" s="18">
        <f>(IF(K96&gt;0,K96+R96,R96)-(AD96*Ventas!AE93*1.0489))</f>
        <v>4263.0247828685715</v>
      </c>
      <c r="AF96" s="20">
        <f>(AE96/(Ventas!AE93*1.0489)/80)</f>
        <v>0.79118522367976074</v>
      </c>
      <c r="AG96" s="22">
        <f>(IF(M96&gt;0,M96+S96,S96)-(AD96*Ventas!AE510*1.0489))</f>
        <v>199.05996000000005</v>
      </c>
      <c r="AH96" s="23">
        <f>(AG96/(Ventas!AE510*1.0489)/80)</f>
        <v>0.28581284811282509</v>
      </c>
      <c r="AI96" s="25">
        <f t="shared" si="30"/>
        <v>0</v>
      </c>
      <c r="AJ96" s="16"/>
      <c r="AK96" s="12">
        <f t="shared" si="31"/>
        <v>4462.084742868572</v>
      </c>
      <c r="AL96" s="19">
        <f t="shared" si="32"/>
        <v>0.72801367673389383</v>
      </c>
      <c r="AM96" s="18">
        <f>(180*(Ventas!AE93*0.9644) - IF(AE96&gt;0,AE96,0))</f>
        <v>6883.6498418171432</v>
      </c>
      <c r="AN96" s="42">
        <v>5480</v>
      </c>
      <c r="AO96" s="22">
        <f>(180*(Ventas!AE510*0.9644) - IF(AG96&gt;0,AG96,0))</f>
        <v>1241.7536400000001</v>
      </c>
      <c r="AP96" s="42">
        <v>1000</v>
      </c>
      <c r="AQ96" s="16">
        <f t="shared" si="33"/>
        <v>11.78712</v>
      </c>
      <c r="AR96" s="37">
        <f>_xlfn.XLOOKUP(C96,[1]Hoja2!$C$6:$C$24,[1]Hoja2!$D$6:$D$24,0,2,1)</f>
        <v>0</v>
      </c>
      <c r="AS96" s="18">
        <f t="shared" si="34"/>
        <v>9743.0247828685715</v>
      </c>
      <c r="AT96" s="22">
        <f>IF(AG96&gt;0,AG96+IF(AP96&gt;0,AP96,0),AP96)</f>
        <v>1199.05996</v>
      </c>
      <c r="AU96" s="37">
        <f>_xlfn.XLOOKUP(D96,[1]Hoja2!$E$6:$E$24,[1]Hoja2!$F$6:$F$24,0,2,1)</f>
        <v>0</v>
      </c>
      <c r="AV96" s="27">
        <v>1.4</v>
      </c>
      <c r="AW96" s="5">
        <v>3016</v>
      </c>
      <c r="AX96" s="28">
        <v>1.4</v>
      </c>
      <c r="AY96" s="14"/>
      <c r="AZ96" s="16">
        <f>_xlfn.XLOOKUP(C96,[2]PI!$B$15:$B$99,[2]PI!$L$15:$L$99,0,2,1)</f>
        <v>1.4</v>
      </c>
      <c r="BA96" s="16">
        <f>_xlfn.XLOOKUP(D96,[2]PI!$B$15:$B$99,[2]PI!$L$15:$L$99,0,2,1)</f>
        <v>1.4</v>
      </c>
      <c r="BB96" s="18">
        <f>(AS96-(90*Ventas!AE93*0.9644))</f>
        <v>4169.6874705257142</v>
      </c>
      <c r="BC96" s="20">
        <f>(BB96/(Ventas!AE93*0.9644)/80)</f>
        <v>0.84166777308684382</v>
      </c>
      <c r="BD96" s="22">
        <f>(AT96-(90*Ventas!AE510*0.9644))</f>
        <v>478.65315999999996</v>
      </c>
      <c r="BE96" s="23">
        <f>(BD96/(Ventas!AE510*0.9644)/80)</f>
        <v>0.74747324011933247</v>
      </c>
      <c r="BF96" s="16"/>
      <c r="BG96" s="16"/>
      <c r="BH96" s="12">
        <f t="shared" si="35"/>
        <v>4648.340630525714</v>
      </c>
      <c r="BI96" s="19">
        <f t="shared" si="36"/>
        <v>0.82989345646590496</v>
      </c>
      <c r="BJ96" s="1" t="s">
        <v>35</v>
      </c>
      <c r="BK96">
        <f t="shared" si="37"/>
        <v>9072</v>
      </c>
      <c r="BL96">
        <f t="shared" si="38"/>
        <v>9072</v>
      </c>
    </row>
    <row r="97" spans="1:64" x14ac:dyDescent="0.25">
      <c r="A97" s="1" t="s">
        <v>305</v>
      </c>
      <c r="B97" s="1" t="s">
        <v>304</v>
      </c>
      <c r="C97" s="13" t="s">
        <v>303</v>
      </c>
      <c r="D97" s="15"/>
      <c r="E97" s="17"/>
      <c r="F97" s="5">
        <v>52</v>
      </c>
      <c r="G97" s="14"/>
      <c r="H97" s="16"/>
      <c r="I97" s="11">
        <v>46221</v>
      </c>
      <c r="J97" s="4">
        <v>17</v>
      </c>
      <c r="K97" s="18">
        <f>(F97-(0)+0-(J97*Ventas!AE94*1))</f>
        <v>51.580100000000002</v>
      </c>
      <c r="L97" s="20">
        <f>(K97/(Ventas!AE94*1)/80)</f>
        <v>26.103289473684214</v>
      </c>
      <c r="M97" s="22">
        <f t="shared" ref="M97:M109" si="43">(G97+0)</f>
        <v>0</v>
      </c>
      <c r="N97" s="14"/>
      <c r="O97" s="25">
        <f t="shared" si="25"/>
        <v>0</v>
      </c>
      <c r="P97" s="16"/>
      <c r="Q97" s="12">
        <f t="shared" si="26"/>
        <v>51.580100000000002</v>
      </c>
      <c r="R97" s="5">
        <v>0</v>
      </c>
      <c r="S97" s="24">
        <v>0</v>
      </c>
      <c r="T97" s="26">
        <v>0</v>
      </c>
      <c r="U97" s="18">
        <f t="shared" si="27"/>
        <v>51.580100000000002</v>
      </c>
      <c r="V97" s="22">
        <f t="shared" si="28"/>
        <v>0</v>
      </c>
      <c r="W97" s="25">
        <f t="shared" si="29"/>
        <v>0</v>
      </c>
      <c r="X97" s="3"/>
      <c r="Y97" s="14"/>
      <c r="Z97" s="14"/>
      <c r="AA97" s="18">
        <v>12</v>
      </c>
      <c r="AB97" s="21">
        <v>7.9539999999999993E-3</v>
      </c>
      <c r="AC97" s="11">
        <v>46313</v>
      </c>
      <c r="AD97" s="4">
        <v>92</v>
      </c>
      <c r="AE97" s="18">
        <f>(IF(K97&gt;0,K97+R97,R97)-(AD97*Ventas!AE94*1.0489))</f>
        <v>49.196579640000003</v>
      </c>
      <c r="AF97" s="20">
        <f>(AE97/(Ventas!AE94*1.0489)/80)</f>
        <v>23.736347100471171</v>
      </c>
      <c r="AG97" s="22">
        <f t="shared" ref="AG97:AG109" si="44">(G97+0)</f>
        <v>0</v>
      </c>
      <c r="AH97" s="14"/>
      <c r="AI97" s="25">
        <f t="shared" si="30"/>
        <v>0</v>
      </c>
      <c r="AJ97" s="16"/>
      <c r="AK97" s="12">
        <f t="shared" si="31"/>
        <v>49.196579640000003</v>
      </c>
      <c r="AL97" s="19">
        <f t="shared" si="32"/>
        <v>20.769303712912276</v>
      </c>
      <c r="AM97" s="18">
        <f>(180*(Ventas!AE94*0.9644) - IF(AE97&gt;0,AE97,0))</f>
        <v>-44.908857240000003</v>
      </c>
      <c r="AN97" s="18">
        <f t="shared" ref="AN97:AN105" si="45">IF(AM97&gt;3,CEILING(AM97,5),0)</f>
        <v>0</v>
      </c>
      <c r="AO97" s="14"/>
      <c r="AP97" s="14">
        <f t="shared" ref="AP97:AP111" si="46">IF(AO97&gt;3,CEILING(AO97,5),0)</f>
        <v>0</v>
      </c>
      <c r="AQ97" s="16">
        <f t="shared" si="33"/>
        <v>0</v>
      </c>
      <c r="AR97" s="37">
        <f>_xlfn.XLOOKUP(C97,[1]Hoja2!$C$6:$C$24,[1]Hoja2!$D$6:$D$24,0,2,1)</f>
        <v>0</v>
      </c>
      <c r="AS97" s="18">
        <f t="shared" si="34"/>
        <v>49.196579640000003</v>
      </c>
      <c r="AT97" s="14"/>
      <c r="AU97" s="37">
        <f>_xlfn.XLOOKUP(D97,[1]Hoja2!$E$6:$E$24,[1]Hoja2!$F$6:$F$24,0,2,1)</f>
        <v>0</v>
      </c>
      <c r="AV97" s="27">
        <v>0</v>
      </c>
      <c r="AW97" s="5">
        <v>3016</v>
      </c>
      <c r="AX97" s="14">
        <v>0</v>
      </c>
      <c r="AY97" s="14"/>
      <c r="AZ97" s="16">
        <f>_xlfn.XLOOKUP(C97,[2]PI!$B$15:$B$99,[2]PI!$L$15:$L$99,0,2,1)</f>
        <v>0</v>
      </c>
      <c r="BA97" s="16">
        <f>_xlfn.XLOOKUP(D97,[2]PI!$B$15:$B$99,[2]PI!$L$15:$L$99,0,2,1)</f>
        <v>0</v>
      </c>
      <c r="BB97" s="18">
        <f>(AS97-(90*Ventas!AE94*0.9644))</f>
        <v>47.052718440000007</v>
      </c>
      <c r="BC97" s="20">
        <f>(BB97/(Ventas!AE94*0.9644)/80)</f>
        <v>24.691107915475129</v>
      </c>
      <c r="BD97" s="14"/>
      <c r="BE97" s="14"/>
      <c r="BF97" s="16"/>
      <c r="BG97" s="16"/>
      <c r="BH97" s="12">
        <f t="shared" si="35"/>
        <v>47.052718440000007</v>
      </c>
      <c r="BI97" s="19">
        <f t="shared" si="36"/>
        <v>21.604719426040738</v>
      </c>
      <c r="BJ97" s="1" t="s">
        <v>35</v>
      </c>
      <c r="BK97">
        <f t="shared" si="37"/>
        <v>0</v>
      </c>
      <c r="BL97">
        <f t="shared" si="38"/>
        <v>0</v>
      </c>
    </row>
    <row r="98" spans="1:64" x14ac:dyDescent="0.25">
      <c r="A98" s="1" t="s">
        <v>308</v>
      </c>
      <c r="B98" s="1" t="s">
        <v>307</v>
      </c>
      <c r="C98" s="13" t="s">
        <v>306</v>
      </c>
      <c r="D98" s="15"/>
      <c r="E98" s="17"/>
      <c r="F98" s="3"/>
      <c r="G98" s="14"/>
      <c r="H98" s="16"/>
      <c r="I98" s="11">
        <v>46221</v>
      </c>
      <c r="J98" s="4">
        <v>17</v>
      </c>
      <c r="K98" s="18">
        <f>(F98-(0)+0-(J98*Ventas!AE95*1))</f>
        <v>0</v>
      </c>
      <c r="L98" s="3"/>
      <c r="M98" s="22">
        <f t="shared" si="43"/>
        <v>0</v>
      </c>
      <c r="N98" s="14"/>
      <c r="O98" s="25">
        <f t="shared" si="25"/>
        <v>0</v>
      </c>
      <c r="P98" s="16"/>
      <c r="Q98" s="12">
        <f t="shared" si="26"/>
        <v>0</v>
      </c>
      <c r="R98" s="5">
        <v>0</v>
      </c>
      <c r="S98" s="24">
        <v>0</v>
      </c>
      <c r="T98" s="26">
        <v>0</v>
      </c>
      <c r="U98" s="18">
        <f t="shared" si="27"/>
        <v>0</v>
      </c>
      <c r="V98" s="22">
        <f t="shared" si="28"/>
        <v>0</v>
      </c>
      <c r="W98" s="25">
        <f t="shared" si="29"/>
        <v>0</v>
      </c>
      <c r="X98" s="3"/>
      <c r="Y98" s="14"/>
      <c r="Z98" s="14"/>
      <c r="AA98" s="18">
        <v>8</v>
      </c>
      <c r="AB98" s="21">
        <v>6.9309999999999997E-3</v>
      </c>
      <c r="AC98" s="11">
        <v>46313</v>
      </c>
      <c r="AD98" s="4">
        <v>92</v>
      </c>
      <c r="AE98" s="18">
        <f>(IF(K98&gt;0,K98+R98,R98)-(AD98*Ventas!AE95*1.0489))</f>
        <v>0</v>
      </c>
      <c r="AF98" s="3"/>
      <c r="AG98" s="22">
        <f t="shared" si="44"/>
        <v>0</v>
      </c>
      <c r="AH98" s="14"/>
      <c r="AI98" s="25">
        <f t="shared" si="30"/>
        <v>0</v>
      </c>
      <c r="AJ98" s="16"/>
      <c r="AK98" s="12">
        <f t="shared" si="31"/>
        <v>0</v>
      </c>
      <c r="AL98" s="19">
        <f t="shared" si="32"/>
        <v>0</v>
      </c>
      <c r="AM98" s="18">
        <f>(180*(Ventas!AE95*0.9644) - IF(AE98&gt;0,AE98,0))</f>
        <v>0</v>
      </c>
      <c r="AN98" s="18">
        <f t="shared" si="45"/>
        <v>0</v>
      </c>
      <c r="AO98" s="14"/>
      <c r="AP98" s="14">
        <f t="shared" si="46"/>
        <v>0</v>
      </c>
      <c r="AQ98" s="16">
        <f t="shared" si="33"/>
        <v>0</v>
      </c>
      <c r="AR98" s="37">
        <f>_xlfn.XLOOKUP(C98,[1]Hoja2!$C$6:$C$24,[1]Hoja2!$D$6:$D$24,0,2,1)</f>
        <v>0</v>
      </c>
      <c r="AS98" s="18">
        <f t="shared" si="34"/>
        <v>0</v>
      </c>
      <c r="AT98" s="14"/>
      <c r="AU98" s="37">
        <f>_xlfn.XLOOKUP(D98,[1]Hoja2!$E$6:$E$24,[1]Hoja2!$F$6:$F$24,0,2,1)</f>
        <v>0</v>
      </c>
      <c r="AV98" s="27">
        <v>0</v>
      </c>
      <c r="AW98" s="5">
        <v>3011</v>
      </c>
      <c r="AX98" s="14">
        <v>0</v>
      </c>
      <c r="AY98" s="14"/>
      <c r="AZ98" s="16">
        <f>_xlfn.XLOOKUP(C98,[2]PI!$B$15:$B$99,[2]PI!$L$15:$L$99,0,2,1)</f>
        <v>0</v>
      </c>
      <c r="BA98" s="16">
        <f>_xlfn.XLOOKUP(D98,[2]PI!$B$15:$B$99,[2]PI!$L$15:$L$99,0,2,1)</f>
        <v>0</v>
      </c>
      <c r="BB98" s="3"/>
      <c r="BC98" s="3"/>
      <c r="BD98" s="14"/>
      <c r="BE98" s="14"/>
      <c r="BF98" s="16"/>
      <c r="BG98" s="16"/>
      <c r="BH98" s="12">
        <f t="shared" si="35"/>
        <v>0</v>
      </c>
      <c r="BI98" s="19">
        <f t="shared" si="36"/>
        <v>0</v>
      </c>
      <c r="BJ98" s="1" t="s">
        <v>51</v>
      </c>
      <c r="BK98">
        <f t="shared" si="37"/>
        <v>0</v>
      </c>
      <c r="BL98">
        <f t="shared" si="38"/>
        <v>0</v>
      </c>
    </row>
    <row r="99" spans="1:64" x14ac:dyDescent="0.25">
      <c r="A99" s="1" t="s">
        <v>311</v>
      </c>
      <c r="B99" s="1" t="s">
        <v>310</v>
      </c>
      <c r="C99" s="13" t="s">
        <v>309</v>
      </c>
      <c r="D99" s="15"/>
      <c r="E99" s="17"/>
      <c r="F99" s="3"/>
      <c r="G99" s="14"/>
      <c r="H99" s="16"/>
      <c r="I99" s="11">
        <v>46221</v>
      </c>
      <c r="J99" s="4">
        <v>17</v>
      </c>
      <c r="K99" s="18">
        <f>(F99-(0)+0-(J99*Ventas!AE96*1))</f>
        <v>0</v>
      </c>
      <c r="L99" s="3"/>
      <c r="M99" s="22">
        <f t="shared" si="43"/>
        <v>0</v>
      </c>
      <c r="N99" s="14"/>
      <c r="O99" s="25">
        <f t="shared" si="25"/>
        <v>0</v>
      </c>
      <c r="P99" s="16"/>
      <c r="Q99" s="12">
        <f t="shared" si="26"/>
        <v>0</v>
      </c>
      <c r="R99" s="5">
        <v>0</v>
      </c>
      <c r="S99" s="24">
        <v>0</v>
      </c>
      <c r="T99" s="26">
        <v>0</v>
      </c>
      <c r="U99" s="18">
        <f t="shared" si="27"/>
        <v>0</v>
      </c>
      <c r="V99" s="22">
        <f t="shared" si="28"/>
        <v>0</v>
      </c>
      <c r="W99" s="25">
        <f t="shared" si="29"/>
        <v>0</v>
      </c>
      <c r="X99" s="3"/>
      <c r="Y99" s="14"/>
      <c r="Z99" s="14"/>
      <c r="AA99" s="18">
        <v>8</v>
      </c>
      <c r="AB99" s="21">
        <v>6.9309999999999997E-3</v>
      </c>
      <c r="AC99" s="11">
        <v>46313</v>
      </c>
      <c r="AD99" s="4">
        <v>92</v>
      </c>
      <c r="AE99" s="18">
        <f>(IF(K99&gt;0,K99+R99,R99)-(AD99*Ventas!AE96*1.0489))</f>
        <v>0</v>
      </c>
      <c r="AF99" s="3"/>
      <c r="AG99" s="22">
        <f t="shared" si="44"/>
        <v>0</v>
      </c>
      <c r="AH99" s="14"/>
      <c r="AI99" s="25">
        <f t="shared" si="30"/>
        <v>0</v>
      </c>
      <c r="AJ99" s="16"/>
      <c r="AK99" s="12">
        <f t="shared" si="31"/>
        <v>0</v>
      </c>
      <c r="AL99" s="19">
        <f t="shared" si="32"/>
        <v>0</v>
      </c>
      <c r="AM99" s="18">
        <f>(180*(Ventas!AE96*0.9644) - IF(AE99&gt;0,AE99,0))</f>
        <v>0</v>
      </c>
      <c r="AN99" s="18">
        <f t="shared" si="45"/>
        <v>0</v>
      </c>
      <c r="AO99" s="14"/>
      <c r="AP99" s="14">
        <f t="shared" si="46"/>
        <v>0</v>
      </c>
      <c r="AQ99" s="16">
        <f t="shared" si="33"/>
        <v>0</v>
      </c>
      <c r="AR99" s="37">
        <f>_xlfn.XLOOKUP(C99,[1]Hoja2!$C$6:$C$24,[1]Hoja2!$D$6:$D$24,0,2,1)</f>
        <v>0</v>
      </c>
      <c r="AS99" s="18">
        <f t="shared" si="34"/>
        <v>0</v>
      </c>
      <c r="AT99" s="14"/>
      <c r="AU99" s="37">
        <f>_xlfn.XLOOKUP(D99,[1]Hoja2!$E$6:$E$24,[1]Hoja2!$F$6:$F$24,0,2,1)</f>
        <v>0</v>
      </c>
      <c r="AV99" s="27">
        <v>0</v>
      </c>
      <c r="AW99" s="5">
        <v>3011</v>
      </c>
      <c r="AX99" s="14">
        <v>0</v>
      </c>
      <c r="AY99" s="14"/>
      <c r="AZ99" s="16">
        <f>_xlfn.XLOOKUP(C99,[2]PI!$B$15:$B$99,[2]PI!$L$15:$L$99,0,2,1)</f>
        <v>0</v>
      </c>
      <c r="BA99" s="16">
        <f>_xlfn.XLOOKUP(D99,[2]PI!$B$15:$B$99,[2]PI!$L$15:$L$99,0,2,1)</f>
        <v>0</v>
      </c>
      <c r="BB99" s="3"/>
      <c r="BC99" s="3"/>
      <c r="BD99" s="14"/>
      <c r="BE99" s="14"/>
      <c r="BF99" s="16"/>
      <c r="BG99" s="16"/>
      <c r="BH99" s="12">
        <f t="shared" si="35"/>
        <v>0</v>
      </c>
      <c r="BI99" s="19">
        <f t="shared" si="36"/>
        <v>0</v>
      </c>
      <c r="BJ99" s="1" t="s">
        <v>35</v>
      </c>
      <c r="BK99">
        <f t="shared" si="37"/>
        <v>0</v>
      </c>
      <c r="BL99">
        <f t="shared" si="38"/>
        <v>0</v>
      </c>
    </row>
    <row r="100" spans="1:64" x14ac:dyDescent="0.25">
      <c r="A100" s="1" t="s">
        <v>314</v>
      </c>
      <c r="B100" s="1" t="s">
        <v>313</v>
      </c>
      <c r="C100" s="13" t="s">
        <v>312</v>
      </c>
      <c r="D100" s="15"/>
      <c r="E100" s="17"/>
      <c r="F100" s="5">
        <v>2</v>
      </c>
      <c r="G100" s="14"/>
      <c r="H100" s="16"/>
      <c r="I100" s="11">
        <v>46221</v>
      </c>
      <c r="J100" s="4">
        <v>17</v>
      </c>
      <c r="K100" s="18">
        <f>(F100-(0)+0-(J100*Ventas!AE97*1))</f>
        <v>2</v>
      </c>
      <c r="L100" s="3"/>
      <c r="M100" s="22">
        <f t="shared" si="43"/>
        <v>0</v>
      </c>
      <c r="N100" s="14"/>
      <c r="O100" s="25">
        <f t="shared" si="25"/>
        <v>0</v>
      </c>
      <c r="P100" s="16"/>
      <c r="Q100" s="12">
        <f t="shared" si="26"/>
        <v>2</v>
      </c>
      <c r="R100" s="5">
        <v>0</v>
      </c>
      <c r="S100" s="24">
        <v>0</v>
      </c>
      <c r="T100" s="26">
        <v>0</v>
      </c>
      <c r="U100" s="18">
        <f t="shared" si="27"/>
        <v>2</v>
      </c>
      <c r="V100" s="22">
        <f t="shared" si="28"/>
        <v>0</v>
      </c>
      <c r="W100" s="25">
        <f t="shared" si="29"/>
        <v>0</v>
      </c>
      <c r="X100" s="3"/>
      <c r="Y100" s="14"/>
      <c r="Z100" s="14"/>
      <c r="AA100" s="18">
        <v>8</v>
      </c>
      <c r="AB100" s="21">
        <v>6.9309999999999997E-3</v>
      </c>
      <c r="AC100" s="11">
        <v>46313</v>
      </c>
      <c r="AD100" s="4">
        <v>92</v>
      </c>
      <c r="AE100" s="18">
        <f>(IF(K100&gt;0,K100+R100,R100)-(AD100*Ventas!AE97*1.0489))</f>
        <v>2</v>
      </c>
      <c r="AF100" s="3"/>
      <c r="AG100" s="22">
        <f t="shared" si="44"/>
        <v>0</v>
      </c>
      <c r="AH100" s="14"/>
      <c r="AI100" s="25">
        <f t="shared" si="30"/>
        <v>0</v>
      </c>
      <c r="AJ100" s="16"/>
      <c r="AK100" s="12">
        <f t="shared" si="31"/>
        <v>2</v>
      </c>
      <c r="AL100" s="19">
        <f t="shared" si="32"/>
        <v>0</v>
      </c>
      <c r="AM100" s="18">
        <f>(180*(Ventas!AE97*0.9644) - IF(AE100&gt;0,AE100,0))</f>
        <v>-2</v>
      </c>
      <c r="AN100" s="18">
        <f t="shared" si="45"/>
        <v>0</v>
      </c>
      <c r="AO100" s="14"/>
      <c r="AP100" s="14">
        <f t="shared" si="46"/>
        <v>0</v>
      </c>
      <c r="AQ100" s="16">
        <f t="shared" si="33"/>
        <v>0</v>
      </c>
      <c r="AR100" s="37">
        <f>_xlfn.XLOOKUP(C100,[1]Hoja2!$C$6:$C$24,[1]Hoja2!$D$6:$D$24,0,2,1)</f>
        <v>0</v>
      </c>
      <c r="AS100" s="18">
        <f t="shared" si="34"/>
        <v>2</v>
      </c>
      <c r="AT100" s="14"/>
      <c r="AU100" s="37">
        <f>_xlfn.XLOOKUP(D100,[1]Hoja2!$E$6:$E$24,[1]Hoja2!$F$6:$F$24,0,2,1)</f>
        <v>0</v>
      </c>
      <c r="AV100" s="27">
        <v>0</v>
      </c>
      <c r="AW100" s="5">
        <v>3011</v>
      </c>
      <c r="AX100" s="14">
        <v>0</v>
      </c>
      <c r="AY100" s="14"/>
      <c r="AZ100" s="16">
        <f>_xlfn.XLOOKUP(C100,[2]PI!$B$15:$B$99,[2]PI!$L$15:$L$99,0,2,1)</f>
        <v>0</v>
      </c>
      <c r="BA100" s="16">
        <f>_xlfn.XLOOKUP(D100,[2]PI!$B$15:$B$99,[2]PI!$L$15:$L$99,0,2,1)</f>
        <v>0</v>
      </c>
      <c r="BB100" s="3"/>
      <c r="BC100" s="3"/>
      <c r="BD100" s="14"/>
      <c r="BE100" s="14"/>
      <c r="BF100" s="16"/>
      <c r="BG100" s="16"/>
      <c r="BH100" s="12">
        <f t="shared" si="35"/>
        <v>0</v>
      </c>
      <c r="BI100" s="19">
        <f t="shared" si="36"/>
        <v>0</v>
      </c>
      <c r="BJ100" s="1" t="s">
        <v>35</v>
      </c>
      <c r="BK100">
        <f t="shared" si="37"/>
        <v>0</v>
      </c>
      <c r="BL100">
        <f t="shared" si="38"/>
        <v>0</v>
      </c>
    </row>
    <row r="101" spans="1:64" x14ac:dyDescent="0.25">
      <c r="A101" s="1" t="s">
        <v>317</v>
      </c>
      <c r="B101" s="1" t="s">
        <v>316</v>
      </c>
      <c r="C101" s="13" t="s">
        <v>315</v>
      </c>
      <c r="D101" s="15"/>
      <c r="E101" s="17"/>
      <c r="F101" s="3"/>
      <c r="G101" s="14"/>
      <c r="H101" s="16"/>
      <c r="I101" s="11">
        <v>46221</v>
      </c>
      <c r="J101" s="4">
        <v>17</v>
      </c>
      <c r="K101" s="18">
        <f>(F101-(0)+0-(J101*Ventas!AE98*1))</f>
        <v>0</v>
      </c>
      <c r="L101" s="3"/>
      <c r="M101" s="22">
        <f t="shared" si="43"/>
        <v>0</v>
      </c>
      <c r="N101" s="14"/>
      <c r="O101" s="25">
        <f t="shared" si="25"/>
        <v>0</v>
      </c>
      <c r="P101" s="16"/>
      <c r="Q101" s="12">
        <f t="shared" si="26"/>
        <v>0</v>
      </c>
      <c r="R101" s="5">
        <v>0</v>
      </c>
      <c r="S101" s="24">
        <v>0</v>
      </c>
      <c r="T101" s="26">
        <v>0</v>
      </c>
      <c r="U101" s="18">
        <f t="shared" si="27"/>
        <v>0</v>
      </c>
      <c r="V101" s="22">
        <f t="shared" si="28"/>
        <v>0</v>
      </c>
      <c r="W101" s="25">
        <f t="shared" si="29"/>
        <v>0</v>
      </c>
      <c r="X101" s="3"/>
      <c r="Y101" s="14"/>
      <c r="Z101" s="14"/>
      <c r="AA101" s="18">
        <v>8</v>
      </c>
      <c r="AB101" s="21">
        <v>6.9309999999999997E-3</v>
      </c>
      <c r="AC101" s="11">
        <v>46313</v>
      </c>
      <c r="AD101" s="4">
        <v>92</v>
      </c>
      <c r="AE101" s="18">
        <f>(IF(K101&gt;0,K101+R101,R101)-(AD101*Ventas!AE98*1.0489))</f>
        <v>0</v>
      </c>
      <c r="AF101" s="3"/>
      <c r="AG101" s="22">
        <f t="shared" si="44"/>
        <v>0</v>
      </c>
      <c r="AH101" s="14"/>
      <c r="AI101" s="25">
        <f t="shared" si="30"/>
        <v>0</v>
      </c>
      <c r="AJ101" s="16"/>
      <c r="AK101" s="12">
        <f t="shared" si="31"/>
        <v>0</v>
      </c>
      <c r="AL101" s="19">
        <f t="shared" si="32"/>
        <v>0</v>
      </c>
      <c r="AM101" s="18">
        <f>(180*(Ventas!AE98*0.9644) - IF(AE101&gt;0,AE101,0))</f>
        <v>0</v>
      </c>
      <c r="AN101" s="18">
        <f t="shared" si="45"/>
        <v>0</v>
      </c>
      <c r="AO101" s="14"/>
      <c r="AP101" s="14">
        <f t="shared" si="46"/>
        <v>0</v>
      </c>
      <c r="AQ101" s="16">
        <f t="shared" si="33"/>
        <v>0</v>
      </c>
      <c r="AR101" s="37">
        <f>_xlfn.XLOOKUP(C101,[1]Hoja2!$C$6:$C$24,[1]Hoja2!$D$6:$D$24,0,2,1)</f>
        <v>0</v>
      </c>
      <c r="AS101" s="18">
        <f t="shared" si="34"/>
        <v>0</v>
      </c>
      <c r="AT101" s="14"/>
      <c r="AU101" s="37">
        <f>_xlfn.XLOOKUP(D101,[1]Hoja2!$E$6:$E$24,[1]Hoja2!$F$6:$F$24,0,2,1)</f>
        <v>0</v>
      </c>
      <c r="AV101" s="27">
        <v>0</v>
      </c>
      <c r="AW101" s="5">
        <v>3011</v>
      </c>
      <c r="AX101" s="14">
        <v>0</v>
      </c>
      <c r="AY101" s="14"/>
      <c r="AZ101" s="16">
        <f>_xlfn.XLOOKUP(C101,[2]PI!$B$15:$B$99,[2]PI!$L$15:$L$99,0,2,1)</f>
        <v>0</v>
      </c>
      <c r="BA101" s="16">
        <f>_xlfn.XLOOKUP(D101,[2]PI!$B$15:$B$99,[2]PI!$L$15:$L$99,0,2,1)</f>
        <v>0</v>
      </c>
      <c r="BB101" s="3"/>
      <c r="BC101" s="3"/>
      <c r="BD101" s="14"/>
      <c r="BE101" s="14"/>
      <c r="BF101" s="16"/>
      <c r="BG101" s="16"/>
      <c r="BH101" s="12">
        <f t="shared" si="35"/>
        <v>0</v>
      </c>
      <c r="BI101" s="19">
        <f t="shared" si="36"/>
        <v>0</v>
      </c>
      <c r="BJ101" s="1" t="s">
        <v>51</v>
      </c>
      <c r="BK101">
        <f t="shared" si="37"/>
        <v>0</v>
      </c>
      <c r="BL101">
        <f t="shared" si="38"/>
        <v>0</v>
      </c>
    </row>
    <row r="102" spans="1:64" x14ac:dyDescent="0.25">
      <c r="A102" s="1" t="s">
        <v>320</v>
      </c>
      <c r="B102" s="1" t="s">
        <v>319</v>
      </c>
      <c r="C102" s="13" t="s">
        <v>318</v>
      </c>
      <c r="D102" s="15"/>
      <c r="E102" s="17"/>
      <c r="F102" s="3"/>
      <c r="G102" s="14"/>
      <c r="H102" s="16"/>
      <c r="I102" s="11">
        <v>46221</v>
      </c>
      <c r="J102" s="4">
        <v>17</v>
      </c>
      <c r="K102" s="18">
        <f>(F102-(0)+0-(J102*Ventas!AE99*1))</f>
        <v>0</v>
      </c>
      <c r="L102" s="20" t="e">
        <f>(K102/(Ventas!AE99*1)/80)</f>
        <v>#DIV/0!</v>
      </c>
      <c r="M102" s="22">
        <f t="shared" si="43"/>
        <v>0</v>
      </c>
      <c r="N102" s="14"/>
      <c r="O102" s="25">
        <f t="shared" si="25"/>
        <v>0</v>
      </c>
      <c r="P102" s="16"/>
      <c r="Q102" s="12">
        <f t="shared" si="26"/>
        <v>0</v>
      </c>
      <c r="R102" s="5">
        <v>5</v>
      </c>
      <c r="S102" s="24">
        <v>0</v>
      </c>
      <c r="T102" s="26">
        <v>0</v>
      </c>
      <c r="U102" s="18">
        <f t="shared" si="27"/>
        <v>5</v>
      </c>
      <c r="V102" s="22">
        <f t="shared" si="28"/>
        <v>0</v>
      </c>
      <c r="W102" s="25">
        <f t="shared" si="29"/>
        <v>0</v>
      </c>
      <c r="X102" s="18">
        <v>3.4</v>
      </c>
      <c r="Y102" s="14"/>
      <c r="Z102" s="14"/>
      <c r="AA102" s="18">
        <v>18</v>
      </c>
      <c r="AB102" s="21">
        <v>4.333E-3</v>
      </c>
      <c r="AC102" s="11">
        <v>46313</v>
      </c>
      <c r="AD102" s="4">
        <v>92</v>
      </c>
      <c r="AE102" s="18">
        <f>(IF(K102&gt;0,K102+R102,R102)-(AD102*Ventas!AE99*1.0489))</f>
        <v>5</v>
      </c>
      <c r="AF102" s="20" t="e">
        <f>(AE102/(Ventas!AE99*1.0489)/80)</f>
        <v>#DIV/0!</v>
      </c>
      <c r="AG102" s="22">
        <f t="shared" si="44"/>
        <v>0</v>
      </c>
      <c r="AH102" s="14"/>
      <c r="AI102" s="25">
        <f t="shared" si="30"/>
        <v>0</v>
      </c>
      <c r="AJ102" s="16"/>
      <c r="AK102" s="12">
        <f t="shared" si="31"/>
        <v>5</v>
      </c>
      <c r="AL102" s="19" t="e">
        <f t="shared" si="32"/>
        <v>#DIV/0!</v>
      </c>
      <c r="AM102" s="18">
        <f>(180*(Ventas!AE99*0.9644) - IF(AE102&gt;0,AE102,0))</f>
        <v>-5</v>
      </c>
      <c r="AN102" s="18">
        <f t="shared" si="45"/>
        <v>0</v>
      </c>
      <c r="AO102" s="14"/>
      <c r="AP102" s="14">
        <f t="shared" si="46"/>
        <v>0</v>
      </c>
      <c r="AQ102" s="16">
        <f t="shared" si="33"/>
        <v>0</v>
      </c>
      <c r="AR102" s="37">
        <f>_xlfn.XLOOKUP(C102,[1]Hoja2!$C$6:$C$24,[1]Hoja2!$D$6:$D$24,0,2,1)</f>
        <v>0</v>
      </c>
      <c r="AS102" s="18">
        <f t="shared" si="34"/>
        <v>5</v>
      </c>
      <c r="AT102" s="14"/>
      <c r="AU102" s="37">
        <f>_xlfn.XLOOKUP(D102,[1]Hoja2!$E$6:$E$24,[1]Hoja2!$F$6:$F$24,0,2,1)</f>
        <v>0</v>
      </c>
      <c r="AV102" s="27">
        <v>0</v>
      </c>
      <c r="AW102" s="5">
        <v>3016</v>
      </c>
      <c r="AX102" s="14">
        <v>0</v>
      </c>
      <c r="AY102" s="14"/>
      <c r="AZ102" s="16">
        <f>_xlfn.XLOOKUP(C102,[2]PI!$B$15:$B$99,[2]PI!$L$15:$L$99,0,2,1)</f>
        <v>0</v>
      </c>
      <c r="BA102" s="16">
        <f>_xlfn.XLOOKUP(D102,[2]PI!$B$15:$B$99,[2]PI!$L$15:$L$99,0,2,1)</f>
        <v>0</v>
      </c>
      <c r="BB102" s="18">
        <f>(AS102-(90*Ventas!AE99*0.9644))</f>
        <v>5</v>
      </c>
      <c r="BC102" s="20" t="e">
        <f>(BB102/(Ventas!AE99*0.9644)/80)</f>
        <v>#DIV/0!</v>
      </c>
      <c r="BD102" s="14"/>
      <c r="BE102" s="14"/>
      <c r="BF102" s="16"/>
      <c r="BG102" s="16"/>
      <c r="BH102" s="12">
        <f t="shared" si="35"/>
        <v>5</v>
      </c>
      <c r="BI102" s="19" t="e">
        <f t="shared" si="36"/>
        <v>#DIV/0!</v>
      </c>
      <c r="BJ102" s="1" t="s">
        <v>35</v>
      </c>
      <c r="BK102">
        <f t="shared" si="37"/>
        <v>0</v>
      </c>
      <c r="BL102">
        <f t="shared" si="38"/>
        <v>0</v>
      </c>
    </row>
    <row r="103" spans="1:64" x14ac:dyDescent="0.25">
      <c r="A103" s="1" t="s">
        <v>323</v>
      </c>
      <c r="B103" s="1" t="s">
        <v>322</v>
      </c>
      <c r="C103" s="13" t="s">
        <v>321</v>
      </c>
      <c r="D103" s="15"/>
      <c r="E103" s="17"/>
      <c r="F103" s="3"/>
      <c r="G103" s="14"/>
      <c r="H103" s="16"/>
      <c r="I103" s="11">
        <v>46221</v>
      </c>
      <c r="J103" s="4">
        <v>17</v>
      </c>
      <c r="K103" s="18">
        <f>(F103-(0)+0-(J103*Ventas!AE100*1))</f>
        <v>0</v>
      </c>
      <c r="L103" s="3"/>
      <c r="M103" s="22">
        <f t="shared" si="43"/>
        <v>0</v>
      </c>
      <c r="N103" s="14"/>
      <c r="O103" s="25">
        <f t="shared" si="25"/>
        <v>0</v>
      </c>
      <c r="P103" s="16"/>
      <c r="Q103" s="12">
        <f t="shared" si="26"/>
        <v>0</v>
      </c>
      <c r="R103" s="5">
        <v>0</v>
      </c>
      <c r="S103" s="24">
        <v>0</v>
      </c>
      <c r="T103" s="26">
        <v>0</v>
      </c>
      <c r="U103" s="18">
        <f t="shared" si="27"/>
        <v>0</v>
      </c>
      <c r="V103" s="22">
        <f t="shared" si="28"/>
        <v>0</v>
      </c>
      <c r="W103" s="25">
        <f t="shared" si="29"/>
        <v>0</v>
      </c>
      <c r="X103" s="3"/>
      <c r="Y103" s="14"/>
      <c r="Z103" s="14"/>
      <c r="AA103" s="3"/>
      <c r="AB103" s="3"/>
      <c r="AC103" s="11">
        <v>46313</v>
      </c>
      <c r="AD103" s="4">
        <v>92</v>
      </c>
      <c r="AE103" s="18">
        <f>(IF(K103&gt;0,K103+R103,R103)-(AD103*Ventas!AE100*1.0489))</f>
        <v>0</v>
      </c>
      <c r="AF103" s="3"/>
      <c r="AG103" s="22">
        <f t="shared" si="44"/>
        <v>0</v>
      </c>
      <c r="AH103" s="14"/>
      <c r="AI103" s="25">
        <f t="shared" si="30"/>
        <v>0</v>
      </c>
      <c r="AJ103" s="16"/>
      <c r="AK103" s="12">
        <f t="shared" si="31"/>
        <v>0</v>
      </c>
      <c r="AL103" s="19">
        <f t="shared" si="32"/>
        <v>0</v>
      </c>
      <c r="AM103" s="18">
        <f>(180*(Ventas!AE100*0.9644) - IF(AE103&gt;0,AE103,0))</f>
        <v>0</v>
      </c>
      <c r="AN103" s="18">
        <f t="shared" si="45"/>
        <v>0</v>
      </c>
      <c r="AO103" s="14"/>
      <c r="AP103" s="14">
        <f t="shared" si="46"/>
        <v>0</v>
      </c>
      <c r="AQ103" s="16">
        <f t="shared" si="33"/>
        <v>0</v>
      </c>
      <c r="AR103" s="37">
        <f>_xlfn.XLOOKUP(C103,[1]Hoja2!$C$6:$C$24,[1]Hoja2!$D$6:$D$24,0,2,1)</f>
        <v>0</v>
      </c>
      <c r="AS103" s="18">
        <f t="shared" si="34"/>
        <v>0</v>
      </c>
      <c r="AT103" s="14"/>
      <c r="AU103" s="37">
        <f>_xlfn.XLOOKUP(D103,[1]Hoja2!$E$6:$E$24,[1]Hoja2!$F$6:$F$24,0,2,1)</f>
        <v>0</v>
      </c>
      <c r="AV103" s="27">
        <v>0</v>
      </c>
      <c r="AW103" s="5">
        <v>3016</v>
      </c>
      <c r="AX103" s="14">
        <v>0</v>
      </c>
      <c r="AY103" s="14"/>
      <c r="AZ103" s="16">
        <f>_xlfn.XLOOKUP(C103,[2]PI!$B$15:$B$99,[2]PI!$L$15:$L$99,0,2,1)</f>
        <v>0</v>
      </c>
      <c r="BA103" s="16">
        <f>_xlfn.XLOOKUP(D103,[2]PI!$B$15:$B$99,[2]PI!$L$15:$L$99,0,2,1)</f>
        <v>0</v>
      </c>
      <c r="BB103" s="3"/>
      <c r="BC103" s="3"/>
      <c r="BD103" s="14"/>
      <c r="BE103" s="14"/>
      <c r="BF103" s="16"/>
      <c r="BG103" s="16"/>
      <c r="BH103" s="12">
        <f t="shared" si="35"/>
        <v>0</v>
      </c>
      <c r="BI103" s="19">
        <f t="shared" si="36"/>
        <v>0</v>
      </c>
      <c r="BJ103" s="1" t="s">
        <v>35</v>
      </c>
      <c r="BK103">
        <f t="shared" si="37"/>
        <v>0</v>
      </c>
      <c r="BL103">
        <f t="shared" si="38"/>
        <v>0</v>
      </c>
    </row>
    <row r="104" spans="1:64" x14ac:dyDescent="0.25">
      <c r="A104" s="1" t="s">
        <v>326</v>
      </c>
      <c r="B104" s="1" t="s">
        <v>325</v>
      </c>
      <c r="C104" s="13" t="s">
        <v>324</v>
      </c>
      <c r="D104" s="15"/>
      <c r="E104" s="17"/>
      <c r="F104" s="5">
        <v>2</v>
      </c>
      <c r="G104" s="14"/>
      <c r="H104" s="16"/>
      <c r="I104" s="11">
        <v>46221</v>
      </c>
      <c r="J104" s="4">
        <v>17</v>
      </c>
      <c r="K104" s="18">
        <f>(F104-(0)+0-(J104*Ventas!AE101*1))</f>
        <v>1.9190476190476191</v>
      </c>
      <c r="L104" s="20">
        <f>(K104/(Ventas!AE101*1)/80)</f>
        <v>5.0375000000000005</v>
      </c>
      <c r="M104" s="22">
        <f t="shared" si="43"/>
        <v>0</v>
      </c>
      <c r="N104" s="14"/>
      <c r="O104" s="25">
        <f t="shared" si="25"/>
        <v>0</v>
      </c>
      <c r="P104" s="16"/>
      <c r="Q104" s="12">
        <f t="shared" si="26"/>
        <v>1.9190476190476191</v>
      </c>
      <c r="R104" s="5">
        <v>0</v>
      </c>
      <c r="S104" s="24">
        <v>0</v>
      </c>
      <c r="T104" s="26">
        <v>0</v>
      </c>
      <c r="U104" s="18">
        <f t="shared" si="27"/>
        <v>1.9190476190476191</v>
      </c>
      <c r="V104" s="22">
        <f t="shared" si="28"/>
        <v>0</v>
      </c>
      <c r="W104" s="25">
        <f t="shared" si="29"/>
        <v>0</v>
      </c>
      <c r="X104" s="3"/>
      <c r="Y104" s="14"/>
      <c r="Z104" s="14"/>
      <c r="AA104" s="18">
        <v>15</v>
      </c>
      <c r="AB104" s="21">
        <v>6.783E-3</v>
      </c>
      <c r="AC104" s="11">
        <v>46313</v>
      </c>
      <c r="AD104" s="4">
        <v>92</v>
      </c>
      <c r="AE104" s="18">
        <f>(IF(K104&gt;0,K104+R104,R104)-(AD104*Ventas!AE101*1.0489))</f>
        <v>1.4595295238095241</v>
      </c>
      <c r="AF104" s="20">
        <f>(AE104/(Ventas!AE101*1.0489)/80)</f>
        <v>3.6526503956525902</v>
      </c>
      <c r="AG104" s="22">
        <f t="shared" si="44"/>
        <v>0</v>
      </c>
      <c r="AH104" s="14"/>
      <c r="AI104" s="25">
        <f t="shared" si="30"/>
        <v>0</v>
      </c>
      <c r="AJ104" s="16"/>
      <c r="AK104" s="12">
        <f t="shared" si="31"/>
        <v>1.4595295238095241</v>
      </c>
      <c r="AL104" s="19">
        <f t="shared" si="32"/>
        <v>3.1960690961960165</v>
      </c>
      <c r="AM104" s="18">
        <f>(180*(Ventas!AE101*0.9644) - IF(AE104&gt;0,AE104,0))</f>
        <v>-0.63290095238095267</v>
      </c>
      <c r="AN104" s="18">
        <f t="shared" si="45"/>
        <v>0</v>
      </c>
      <c r="AO104" s="14"/>
      <c r="AP104" s="14">
        <f t="shared" si="46"/>
        <v>0</v>
      </c>
      <c r="AQ104" s="16">
        <f t="shared" si="33"/>
        <v>0</v>
      </c>
      <c r="AR104" s="37">
        <f>_xlfn.XLOOKUP(C104,[1]Hoja2!$C$6:$C$24,[1]Hoja2!$D$6:$D$24,0,2,1)</f>
        <v>0</v>
      </c>
      <c r="AS104" s="18">
        <f t="shared" si="34"/>
        <v>1.4595295238095241</v>
      </c>
      <c r="AT104" s="14"/>
      <c r="AU104" s="37">
        <f>_xlfn.XLOOKUP(D104,[1]Hoja2!$E$6:$E$24,[1]Hoja2!$F$6:$F$24,0,2,1)</f>
        <v>0</v>
      </c>
      <c r="AV104" s="27">
        <v>0</v>
      </c>
      <c r="AW104" s="5">
        <v>3022</v>
      </c>
      <c r="AX104" s="14">
        <v>0</v>
      </c>
      <c r="AY104" s="14"/>
      <c r="AZ104" s="16">
        <f>_xlfn.XLOOKUP(C104,[2]PI!$B$15:$B$99,[2]PI!$L$15:$L$99,0,2,1)</f>
        <v>0</v>
      </c>
      <c r="BA104" s="16">
        <f>_xlfn.XLOOKUP(D104,[2]PI!$B$15:$B$99,[2]PI!$L$15:$L$99,0,2,1)</f>
        <v>0</v>
      </c>
      <c r="BB104" s="18">
        <f>(AS104-(90*Ventas!AE101*0.9644))</f>
        <v>1.0462152380952383</v>
      </c>
      <c r="BC104" s="20">
        <f>(BB104/(Ventas!AE101*0.9644)/80)</f>
        <v>2.8476928660306937</v>
      </c>
      <c r="BD104" s="14"/>
      <c r="BE104" s="14"/>
      <c r="BF104" s="16"/>
      <c r="BG104" s="16"/>
      <c r="BH104" s="12">
        <f t="shared" si="35"/>
        <v>1.0462152380952383</v>
      </c>
      <c r="BI104" s="19">
        <f t="shared" si="36"/>
        <v>2.4917312577768569</v>
      </c>
      <c r="BJ104" s="1" t="s">
        <v>35</v>
      </c>
      <c r="BK104">
        <f t="shared" si="37"/>
        <v>0</v>
      </c>
      <c r="BL104">
        <f t="shared" si="38"/>
        <v>0</v>
      </c>
    </row>
    <row r="105" spans="1:64" x14ac:dyDescent="0.25">
      <c r="A105" s="1" t="s">
        <v>329</v>
      </c>
      <c r="B105" s="1" t="s">
        <v>328</v>
      </c>
      <c r="C105" s="13" t="s">
        <v>327</v>
      </c>
      <c r="D105" s="15"/>
      <c r="E105" s="17"/>
      <c r="F105" s="5">
        <v>1</v>
      </c>
      <c r="G105" s="14"/>
      <c r="H105" s="16"/>
      <c r="I105" s="11">
        <v>46221</v>
      </c>
      <c r="J105" s="4">
        <v>17</v>
      </c>
      <c r="K105" s="18">
        <f>(F105-(0)+0-(J105*Ventas!AE102*1))</f>
        <v>1</v>
      </c>
      <c r="L105" s="3"/>
      <c r="M105" s="22">
        <f t="shared" si="43"/>
        <v>0</v>
      </c>
      <c r="N105" s="14"/>
      <c r="O105" s="25">
        <f t="shared" si="25"/>
        <v>0</v>
      </c>
      <c r="P105" s="16"/>
      <c r="Q105" s="12">
        <f t="shared" si="26"/>
        <v>1</v>
      </c>
      <c r="R105" s="5">
        <v>0</v>
      </c>
      <c r="S105" s="24">
        <v>0</v>
      </c>
      <c r="T105" s="26">
        <v>0</v>
      </c>
      <c r="U105" s="18">
        <f t="shared" si="27"/>
        <v>1</v>
      </c>
      <c r="V105" s="22">
        <f t="shared" si="28"/>
        <v>0</v>
      </c>
      <c r="W105" s="25">
        <f t="shared" si="29"/>
        <v>0</v>
      </c>
      <c r="X105" s="3"/>
      <c r="Y105" s="14"/>
      <c r="Z105" s="14"/>
      <c r="AA105" s="18">
        <v>15</v>
      </c>
      <c r="AB105" s="21">
        <v>6.783E-3</v>
      </c>
      <c r="AC105" s="11">
        <v>46313</v>
      </c>
      <c r="AD105" s="4">
        <v>92</v>
      </c>
      <c r="AE105" s="18">
        <f>(IF(K105&gt;0,K105+R105,R105)-(AD105*Ventas!AE102*1.0489))</f>
        <v>1</v>
      </c>
      <c r="AF105" s="3"/>
      <c r="AG105" s="22">
        <f t="shared" si="44"/>
        <v>0</v>
      </c>
      <c r="AH105" s="14"/>
      <c r="AI105" s="25">
        <f t="shared" si="30"/>
        <v>0</v>
      </c>
      <c r="AJ105" s="16"/>
      <c r="AK105" s="12">
        <f t="shared" si="31"/>
        <v>1</v>
      </c>
      <c r="AL105" s="19">
        <f t="shared" si="32"/>
        <v>0</v>
      </c>
      <c r="AM105" s="18">
        <f>(180*(Ventas!AE102*0.9644) - IF(AE105&gt;0,AE105,0))</f>
        <v>-1</v>
      </c>
      <c r="AN105" s="18">
        <f t="shared" si="45"/>
        <v>0</v>
      </c>
      <c r="AO105" s="14"/>
      <c r="AP105" s="14">
        <f t="shared" si="46"/>
        <v>0</v>
      </c>
      <c r="AQ105" s="16">
        <f t="shared" si="33"/>
        <v>0</v>
      </c>
      <c r="AR105" s="37">
        <f>_xlfn.XLOOKUP(C105,[1]Hoja2!$C$6:$C$24,[1]Hoja2!$D$6:$D$24,0,2,1)</f>
        <v>0</v>
      </c>
      <c r="AS105" s="18">
        <f t="shared" si="34"/>
        <v>1</v>
      </c>
      <c r="AT105" s="14"/>
      <c r="AU105" s="37">
        <f>_xlfn.XLOOKUP(D105,[1]Hoja2!$E$6:$E$24,[1]Hoja2!$F$6:$F$24,0,2,1)</f>
        <v>0</v>
      </c>
      <c r="AV105" s="27">
        <v>0</v>
      </c>
      <c r="AW105" s="5">
        <v>3022</v>
      </c>
      <c r="AX105" s="14">
        <v>0</v>
      </c>
      <c r="AY105" s="14"/>
      <c r="AZ105" s="16">
        <f>_xlfn.XLOOKUP(C105,[2]PI!$B$15:$B$99,[2]PI!$L$15:$L$99,0,2,1)</f>
        <v>0</v>
      </c>
      <c r="BA105" s="16">
        <f>_xlfn.XLOOKUP(D105,[2]PI!$B$15:$B$99,[2]PI!$L$15:$L$99,0,2,1)</f>
        <v>0</v>
      </c>
      <c r="BB105" s="3"/>
      <c r="BC105" s="3"/>
      <c r="BD105" s="14"/>
      <c r="BE105" s="14"/>
      <c r="BF105" s="16"/>
      <c r="BG105" s="16"/>
      <c r="BH105" s="12">
        <f t="shared" si="35"/>
        <v>0</v>
      </c>
      <c r="BI105" s="19">
        <f t="shared" si="36"/>
        <v>0</v>
      </c>
      <c r="BJ105" s="1" t="s">
        <v>35</v>
      </c>
      <c r="BK105">
        <f t="shared" si="37"/>
        <v>0</v>
      </c>
      <c r="BL105">
        <f t="shared" si="38"/>
        <v>0</v>
      </c>
    </row>
    <row r="106" spans="1:64" x14ac:dyDescent="0.25">
      <c r="A106" s="1" t="s">
        <v>332</v>
      </c>
      <c r="B106" s="1" t="s">
        <v>331</v>
      </c>
      <c r="C106" s="13" t="s">
        <v>330</v>
      </c>
      <c r="D106" s="15"/>
      <c r="E106" s="17"/>
      <c r="F106" s="5">
        <v>25</v>
      </c>
      <c r="G106" s="14"/>
      <c r="H106" s="16"/>
      <c r="I106" s="11">
        <v>46221</v>
      </c>
      <c r="J106" s="4">
        <v>17</v>
      </c>
      <c r="K106" s="18">
        <f>(F106-(0)+0-(J106*Ventas!AE103*1))</f>
        <v>22.531842857142856</v>
      </c>
      <c r="L106" s="20">
        <f>(K106/(Ventas!AE103*1)/80)</f>
        <v>1.9399156253074878</v>
      </c>
      <c r="M106" s="22">
        <f t="shared" si="43"/>
        <v>0</v>
      </c>
      <c r="N106" s="14"/>
      <c r="O106" s="25">
        <f t="shared" si="25"/>
        <v>0</v>
      </c>
      <c r="P106" s="16"/>
      <c r="Q106" s="12">
        <f t="shared" si="26"/>
        <v>22.531842857142856</v>
      </c>
      <c r="R106" s="5">
        <v>0</v>
      </c>
      <c r="S106" s="24">
        <v>0</v>
      </c>
      <c r="T106" s="26">
        <v>0</v>
      </c>
      <c r="U106" s="18">
        <f t="shared" si="27"/>
        <v>22.531842857142856</v>
      </c>
      <c r="V106" s="22">
        <f t="shared" si="28"/>
        <v>0</v>
      </c>
      <c r="W106" s="25">
        <f t="shared" si="29"/>
        <v>0</v>
      </c>
      <c r="X106" s="3"/>
      <c r="Y106" s="14"/>
      <c r="Z106" s="14"/>
      <c r="AA106" s="18">
        <v>12</v>
      </c>
      <c r="AB106" s="21">
        <v>6.6569999999999997E-3</v>
      </c>
      <c r="AC106" s="11">
        <v>46313</v>
      </c>
      <c r="AD106" s="4">
        <v>92</v>
      </c>
      <c r="AE106" s="18">
        <f>(IF(K106&gt;0,K106+R106,R106)-(AD106*Ventas!AE103*1.0489))</f>
        <v>8.5215956514285729</v>
      </c>
      <c r="AF106" s="20">
        <f>(AE106/(Ventas!AE103*1.0489)/80)</f>
        <v>0.69947623730335418</v>
      </c>
      <c r="AG106" s="22">
        <f t="shared" si="44"/>
        <v>0</v>
      </c>
      <c r="AH106" s="14"/>
      <c r="AI106" s="25">
        <f t="shared" si="30"/>
        <v>0</v>
      </c>
      <c r="AJ106" s="16"/>
      <c r="AK106" s="12">
        <f t="shared" si="31"/>
        <v>8.5215956514285729</v>
      </c>
      <c r="AL106" s="19">
        <f t="shared" si="32"/>
        <v>0.61204170764043486</v>
      </c>
      <c r="AM106" s="18">
        <f>(180*(Ventas!AE103*0.9644) - IF(AE106&gt;0,AE106,0))</f>
        <v>16.681482862857141</v>
      </c>
      <c r="AN106" s="42">
        <v>20</v>
      </c>
      <c r="AO106" s="14"/>
      <c r="AP106" s="14">
        <f t="shared" si="46"/>
        <v>0</v>
      </c>
      <c r="AQ106" s="16">
        <f t="shared" si="33"/>
        <v>0.13313999999999998</v>
      </c>
      <c r="AR106" s="37">
        <f>_xlfn.XLOOKUP(C106,[1]Hoja2!$C$6:$C$24,[1]Hoja2!$D$6:$D$24,0,2,1)</f>
        <v>0</v>
      </c>
      <c r="AS106" s="18">
        <f t="shared" si="34"/>
        <v>28.521595651428573</v>
      </c>
      <c r="AT106" s="14"/>
      <c r="AU106" s="37">
        <f>_xlfn.XLOOKUP(D106,[1]Hoja2!$E$6:$E$24,[1]Hoja2!$F$6:$F$24,0,2,1)</f>
        <v>0</v>
      </c>
      <c r="AV106" s="27">
        <v>3.5</v>
      </c>
      <c r="AW106" s="5">
        <v>3016</v>
      </c>
      <c r="AX106" s="14">
        <v>0</v>
      </c>
      <c r="AY106" s="14"/>
      <c r="AZ106" s="16">
        <f>_xlfn.XLOOKUP(C106,[2]PI!$B$15:$B$99,[2]PI!$L$15:$L$99,0,2,1)</f>
        <v>3.5</v>
      </c>
      <c r="BA106" s="16">
        <f>_xlfn.XLOOKUP(D106,[2]PI!$B$15:$B$99,[2]PI!$L$15:$L$99,0,2,1)</f>
        <v>0</v>
      </c>
      <c r="BB106" s="18">
        <f>(AS106-(90*Ventas!AE103*0.9644))</f>
        <v>15.920056394285716</v>
      </c>
      <c r="BC106" s="20">
        <f>(BB106/(Ventas!AE103*0.9644)/80)</f>
        <v>1.421259980872541</v>
      </c>
      <c r="BD106" s="14"/>
      <c r="BE106" s="14"/>
      <c r="BF106" s="16"/>
      <c r="BG106" s="16"/>
      <c r="BH106" s="12">
        <f t="shared" si="35"/>
        <v>15.920056394285716</v>
      </c>
      <c r="BI106" s="19">
        <f t="shared" si="36"/>
        <v>1.2436024832634733</v>
      </c>
      <c r="BJ106" s="1" t="s">
        <v>35</v>
      </c>
      <c r="BK106">
        <f t="shared" si="37"/>
        <v>70</v>
      </c>
      <c r="BL106">
        <f t="shared" si="38"/>
        <v>70</v>
      </c>
    </row>
    <row r="107" spans="1:64" x14ac:dyDescent="0.25">
      <c r="A107" s="1" t="s">
        <v>335</v>
      </c>
      <c r="B107" s="1" t="s">
        <v>334</v>
      </c>
      <c r="C107" s="13" t="s">
        <v>333</v>
      </c>
      <c r="D107" s="15"/>
      <c r="E107" s="17"/>
      <c r="F107" s="5">
        <v>27</v>
      </c>
      <c r="G107" s="14"/>
      <c r="H107" s="16"/>
      <c r="I107" s="11">
        <v>46221</v>
      </c>
      <c r="J107" s="4">
        <v>17</v>
      </c>
      <c r="K107" s="18">
        <f>(F107-(0)+0-(J107*Ventas!AE104*1))</f>
        <v>24.865042857142857</v>
      </c>
      <c r="L107" s="20">
        <f>(K107/(Ventas!AE104*1)/80)</f>
        <v>2.4749075759299286</v>
      </c>
      <c r="M107" s="22">
        <f t="shared" si="43"/>
        <v>0</v>
      </c>
      <c r="N107" s="14"/>
      <c r="O107" s="25">
        <f t="shared" si="25"/>
        <v>0</v>
      </c>
      <c r="P107" s="16"/>
      <c r="Q107" s="12">
        <f t="shared" si="26"/>
        <v>24.865042857142857</v>
      </c>
      <c r="R107" s="5">
        <v>10</v>
      </c>
      <c r="S107" s="24">
        <v>0</v>
      </c>
      <c r="T107" s="26">
        <v>0</v>
      </c>
      <c r="U107" s="18">
        <f t="shared" si="27"/>
        <v>34.865042857142853</v>
      </c>
      <c r="V107" s="22">
        <f t="shared" si="28"/>
        <v>0</v>
      </c>
      <c r="W107" s="25">
        <f t="shared" si="29"/>
        <v>0</v>
      </c>
      <c r="X107" s="18">
        <v>3.8</v>
      </c>
      <c r="Y107" s="14"/>
      <c r="Z107" s="14"/>
      <c r="AA107" s="18">
        <v>12</v>
      </c>
      <c r="AB107" s="21">
        <v>6.6569999999999997E-3</v>
      </c>
      <c r="AC107" s="11">
        <v>46313</v>
      </c>
      <c r="AD107" s="4">
        <v>92</v>
      </c>
      <c r="AE107" s="18">
        <f>(IF(K107&gt;0,K107+R107,R107)-(AD107*Ventas!AE104*1.0489))</f>
        <v>22.746172131428573</v>
      </c>
      <c r="AF107" s="20">
        <f>(AE107/(Ventas!AE104*1.0489)/80)</f>
        <v>2.1584600201765998</v>
      </c>
      <c r="AG107" s="22">
        <f t="shared" si="44"/>
        <v>0</v>
      </c>
      <c r="AH107" s="14"/>
      <c r="AI107" s="25">
        <f t="shared" si="30"/>
        <v>0</v>
      </c>
      <c r="AJ107" s="16"/>
      <c r="AK107" s="12">
        <f t="shared" si="31"/>
        <v>22.746172131428573</v>
      </c>
      <c r="AL107" s="19">
        <f t="shared" si="32"/>
        <v>1.8886525176545248</v>
      </c>
      <c r="AM107" s="18">
        <f>(180*(Ventas!AE104*0.9644) - IF(AE107&gt;0,AE107,0))</f>
        <v>-0.94549681714286038</v>
      </c>
      <c r="AN107" s="18">
        <f>IF(AM107&gt;3,CEILING(AM107,5),0)</f>
        <v>0</v>
      </c>
      <c r="AO107" s="14"/>
      <c r="AP107" s="14">
        <f t="shared" si="46"/>
        <v>0</v>
      </c>
      <c r="AQ107" s="16">
        <f t="shared" si="33"/>
        <v>0</v>
      </c>
      <c r="AR107" s="37">
        <f>_xlfn.XLOOKUP(C107,[1]Hoja2!$C$6:$C$24,[1]Hoja2!$D$6:$D$24,0,2,1)</f>
        <v>0</v>
      </c>
      <c r="AS107" s="18">
        <f t="shared" si="34"/>
        <v>22.746172131428573</v>
      </c>
      <c r="AT107" s="14"/>
      <c r="AU107" s="37">
        <f>_xlfn.XLOOKUP(D107,[1]Hoja2!$E$6:$E$24,[1]Hoja2!$F$6:$F$24,0,2,1)</f>
        <v>0</v>
      </c>
      <c r="AV107" s="27">
        <v>0</v>
      </c>
      <c r="AW107" s="5">
        <v>3016</v>
      </c>
      <c r="AX107" s="14">
        <v>0</v>
      </c>
      <c r="AY107" s="14"/>
      <c r="AZ107" s="16">
        <f>_xlfn.XLOOKUP(C107,[2]PI!$B$15:$B$99,[2]PI!$L$15:$L$99,0,2,1)</f>
        <v>0</v>
      </c>
      <c r="BA107" s="16">
        <f>_xlfn.XLOOKUP(D107,[2]PI!$B$15:$B$99,[2]PI!$L$15:$L$99,0,2,1)</f>
        <v>0</v>
      </c>
      <c r="BB107" s="18">
        <f>(AS107-(90*Ventas!AE104*0.9644))</f>
        <v>11.845834474285716</v>
      </c>
      <c r="BC107" s="20">
        <f>(BB107/(Ventas!AE104*0.9644)/80)</f>
        <v>1.222582657780211</v>
      </c>
      <c r="BD107" s="14"/>
      <c r="BE107" s="14"/>
      <c r="BF107" s="16"/>
      <c r="BG107" s="16"/>
      <c r="BH107" s="12">
        <f t="shared" si="35"/>
        <v>11.845834474285716</v>
      </c>
      <c r="BI107" s="19">
        <f t="shared" si="36"/>
        <v>1.0697598255576846</v>
      </c>
      <c r="BJ107" s="1" t="s">
        <v>35</v>
      </c>
      <c r="BK107">
        <f t="shared" si="37"/>
        <v>0</v>
      </c>
      <c r="BL107">
        <f t="shared" si="38"/>
        <v>0</v>
      </c>
    </row>
    <row r="108" spans="1:64" x14ac:dyDescent="0.25">
      <c r="A108" s="1" t="s">
        <v>338</v>
      </c>
      <c r="B108" s="1" t="s">
        <v>337</v>
      </c>
      <c r="C108" s="13" t="s">
        <v>336</v>
      </c>
      <c r="D108" s="15"/>
      <c r="E108" s="17"/>
      <c r="F108" s="5">
        <v>24</v>
      </c>
      <c r="G108" s="14"/>
      <c r="H108" s="16"/>
      <c r="I108" s="11">
        <v>46221</v>
      </c>
      <c r="J108" s="4">
        <v>17</v>
      </c>
      <c r="K108" s="18">
        <f>(F108-(0)+0-(J108*Ventas!AE105*1))</f>
        <v>21.833957142857141</v>
      </c>
      <c r="L108" s="20">
        <f>(K108/(Ventas!AE105*1)/80)</f>
        <v>2.142024049781365</v>
      </c>
      <c r="M108" s="22">
        <f t="shared" si="43"/>
        <v>0</v>
      </c>
      <c r="N108" s="14"/>
      <c r="O108" s="25">
        <f t="shared" si="25"/>
        <v>0</v>
      </c>
      <c r="P108" s="16"/>
      <c r="Q108" s="12">
        <f t="shared" si="26"/>
        <v>21.833957142857141</v>
      </c>
      <c r="R108" s="5">
        <v>0</v>
      </c>
      <c r="S108" s="24">
        <v>0</v>
      </c>
      <c r="T108" s="26">
        <v>0</v>
      </c>
      <c r="U108" s="18">
        <f t="shared" si="27"/>
        <v>21.833957142857141</v>
      </c>
      <c r="V108" s="22">
        <f t="shared" si="28"/>
        <v>0</v>
      </c>
      <c r="W108" s="25">
        <f t="shared" si="29"/>
        <v>0</v>
      </c>
      <c r="X108" s="3"/>
      <c r="Y108" s="14"/>
      <c r="Z108" s="14"/>
      <c r="AA108" s="18">
        <v>12</v>
      </c>
      <c r="AB108" s="21">
        <v>6.6569999999999997E-3</v>
      </c>
      <c r="AC108" s="11">
        <v>46313</v>
      </c>
      <c r="AD108" s="4">
        <v>92</v>
      </c>
      <c r="AE108" s="18">
        <f>(IF(K108&gt;0,K108+R108,R108)-(AD108*Ventas!AE105*1.0489))</f>
        <v>9.5386314685714257</v>
      </c>
      <c r="AF108" s="20">
        <f>(AE108/(Ventas!AE105*1.0489)/80)</f>
        <v>0.89216231269078583</v>
      </c>
      <c r="AG108" s="22">
        <f t="shared" si="44"/>
        <v>0</v>
      </c>
      <c r="AH108" s="14"/>
      <c r="AI108" s="25">
        <f t="shared" si="30"/>
        <v>0</v>
      </c>
      <c r="AJ108" s="16"/>
      <c r="AK108" s="12">
        <f t="shared" si="31"/>
        <v>9.5386314685714257</v>
      </c>
      <c r="AL108" s="19">
        <f t="shared" si="32"/>
        <v>0.78064202360443757</v>
      </c>
      <c r="AM108" s="18">
        <f>(180*(Ventas!AE105*0.9644) - IF(AE108&gt;0,AE108,0))</f>
        <v>12.579469217142863</v>
      </c>
      <c r="AN108" s="18">
        <v>10</v>
      </c>
      <c r="AO108" s="14"/>
      <c r="AP108" s="14">
        <f t="shared" si="46"/>
        <v>0</v>
      </c>
      <c r="AQ108" s="16">
        <f t="shared" si="33"/>
        <v>6.656999999999999E-2</v>
      </c>
      <c r="AR108" s="37">
        <f>_xlfn.XLOOKUP(C108,[1]Hoja2!$C$6:$C$24,[1]Hoja2!$D$6:$D$24,0,2,1)</f>
        <v>0</v>
      </c>
      <c r="AS108" s="18">
        <f t="shared" si="34"/>
        <v>19.538631468571424</v>
      </c>
      <c r="AT108" s="14"/>
      <c r="AU108" s="37">
        <f>_xlfn.XLOOKUP(D108,[1]Hoja2!$E$6:$E$24,[1]Hoja2!$F$6:$F$24,0,2,1)</f>
        <v>0</v>
      </c>
      <c r="AV108" s="27">
        <v>3.8</v>
      </c>
      <c r="AW108" s="5">
        <v>3016</v>
      </c>
      <c r="AX108" s="14">
        <v>0</v>
      </c>
      <c r="AY108" s="14"/>
      <c r="AZ108" s="16">
        <f>_xlfn.XLOOKUP(C108,[2]PI!$B$15:$B$99,[2]PI!$L$15:$L$99,0,2,1)</f>
        <v>3.8</v>
      </c>
      <c r="BA108" s="16">
        <f>_xlfn.XLOOKUP(D108,[2]PI!$B$15:$B$99,[2]PI!$L$15:$L$99,0,2,1)</f>
        <v>0</v>
      </c>
      <c r="BB108" s="18">
        <f>(AS108-(90*Ventas!AE105*0.9644))</f>
        <v>8.4795811257142795</v>
      </c>
      <c r="BC108" s="20">
        <f>(BB108/(Ventas!AE105*0.9644)/80)</f>
        <v>0.86259927124664793</v>
      </c>
      <c r="BD108" s="14"/>
      <c r="BE108" s="14"/>
      <c r="BF108" s="16"/>
      <c r="BG108" s="16"/>
      <c r="BH108" s="12">
        <f t="shared" si="35"/>
        <v>8.4795811257142795</v>
      </c>
      <c r="BI108" s="19">
        <f t="shared" si="36"/>
        <v>0.75477436234081696</v>
      </c>
      <c r="BJ108" s="1" t="s">
        <v>35</v>
      </c>
      <c r="BK108">
        <f t="shared" si="37"/>
        <v>38</v>
      </c>
      <c r="BL108">
        <f t="shared" si="38"/>
        <v>38</v>
      </c>
    </row>
    <row r="109" spans="1:64" x14ac:dyDescent="0.25">
      <c r="A109" s="1" t="s">
        <v>341</v>
      </c>
      <c r="B109" s="1" t="s">
        <v>340</v>
      </c>
      <c r="C109" s="13" t="s">
        <v>339</v>
      </c>
      <c r="D109" s="15"/>
      <c r="E109" s="17"/>
      <c r="F109" s="5">
        <v>21</v>
      </c>
      <c r="G109" s="14"/>
      <c r="H109" s="16"/>
      <c r="I109" s="11">
        <v>46221</v>
      </c>
      <c r="J109" s="4">
        <v>17</v>
      </c>
      <c r="K109" s="18">
        <f>(F109-(0)+0-(J109*Ventas!AE106*1))</f>
        <v>18.3157</v>
      </c>
      <c r="L109" s="20">
        <f>(K109/(Ventas!AE106*1)/80)</f>
        <v>1.4499445851804942</v>
      </c>
      <c r="M109" s="22">
        <f t="shared" si="43"/>
        <v>0</v>
      </c>
      <c r="N109" s="14"/>
      <c r="O109" s="25">
        <f t="shared" si="25"/>
        <v>0</v>
      </c>
      <c r="P109" s="16"/>
      <c r="Q109" s="12">
        <f t="shared" si="26"/>
        <v>18.3157</v>
      </c>
      <c r="R109" s="5">
        <v>10</v>
      </c>
      <c r="S109" s="24">
        <v>0</v>
      </c>
      <c r="T109" s="26">
        <v>0</v>
      </c>
      <c r="U109" s="18">
        <f t="shared" si="27"/>
        <v>28.3157</v>
      </c>
      <c r="V109" s="22">
        <f t="shared" si="28"/>
        <v>0</v>
      </c>
      <c r="W109" s="25">
        <f t="shared" si="29"/>
        <v>0</v>
      </c>
      <c r="X109" s="18">
        <v>3.8</v>
      </c>
      <c r="Y109" s="14"/>
      <c r="Z109" s="14"/>
      <c r="AA109" s="18">
        <v>12</v>
      </c>
      <c r="AB109" s="21">
        <v>6.6569999999999997E-3</v>
      </c>
      <c r="AC109" s="11">
        <v>46313</v>
      </c>
      <c r="AD109" s="4">
        <v>92</v>
      </c>
      <c r="AE109" s="18">
        <f>(IF(K109&gt;0,K109+R109,R109)-(AD109*Ventas!AE106*1.0489))</f>
        <v>13.078539480000003</v>
      </c>
      <c r="AF109" s="20">
        <f>(AE109/(Ventas!AE106*1.0489)/80)</f>
        <v>0.98708157482874681</v>
      </c>
      <c r="AG109" s="22">
        <f t="shared" si="44"/>
        <v>0</v>
      </c>
      <c r="AH109" s="14"/>
      <c r="AI109" s="25">
        <f t="shared" si="30"/>
        <v>0</v>
      </c>
      <c r="AJ109" s="16"/>
      <c r="AK109" s="12">
        <f t="shared" si="31"/>
        <v>13.078539480000003</v>
      </c>
      <c r="AL109" s="19">
        <f t="shared" si="32"/>
        <v>0.86369637797515342</v>
      </c>
      <c r="AM109" s="18">
        <f>(180*(Ventas!AE106*0.9644) - IF(AE109&gt;0,AE109,0))</f>
        <v>14.331637319999995</v>
      </c>
      <c r="AN109" s="18">
        <v>10</v>
      </c>
      <c r="AO109" s="14"/>
      <c r="AP109" s="14">
        <f t="shared" si="46"/>
        <v>0</v>
      </c>
      <c r="AQ109" s="16">
        <f t="shared" si="33"/>
        <v>6.656999999999999E-2</v>
      </c>
      <c r="AR109" s="37">
        <f>_xlfn.XLOOKUP(C109,[1]Hoja2!$C$6:$C$24,[1]Hoja2!$D$6:$D$24,0,2,1)</f>
        <v>0</v>
      </c>
      <c r="AS109" s="18">
        <f t="shared" si="34"/>
        <v>23.078539480000003</v>
      </c>
      <c r="AT109" s="14"/>
      <c r="AU109" s="37">
        <f>_xlfn.XLOOKUP(D109,[1]Hoja2!$E$6:$E$24,[1]Hoja2!$F$6:$F$24,0,2,1)</f>
        <v>0</v>
      </c>
      <c r="AV109" s="27">
        <v>3.8</v>
      </c>
      <c r="AW109" s="5">
        <v>3016</v>
      </c>
      <c r="AX109" s="14">
        <v>0</v>
      </c>
      <c r="AY109" s="14"/>
      <c r="AZ109" s="16">
        <f>_xlfn.XLOOKUP(C109,[2]PI!$B$15:$B$99,[2]PI!$L$15:$L$99,0,2,1)</f>
        <v>3.8</v>
      </c>
      <c r="BA109" s="16">
        <f>_xlfn.XLOOKUP(D109,[2]PI!$B$15:$B$99,[2]PI!$L$15:$L$99,0,2,1)</f>
        <v>0</v>
      </c>
      <c r="BB109" s="18">
        <f>(AS109-(90*Ventas!AE106*0.9644))</f>
        <v>9.3734510800000042</v>
      </c>
      <c r="BC109" s="20">
        <f>(BB109/(Ventas!AE106*0.9644)/80)</f>
        <v>0.76943191880469786</v>
      </c>
      <c r="BD109" s="14"/>
      <c r="BE109" s="14"/>
      <c r="BF109" s="16"/>
      <c r="BG109" s="16"/>
      <c r="BH109" s="12">
        <f t="shared" si="35"/>
        <v>9.3734510800000042</v>
      </c>
      <c r="BI109" s="19">
        <f t="shared" si="36"/>
        <v>0.6732529289541106</v>
      </c>
      <c r="BJ109" s="1" t="s">
        <v>35</v>
      </c>
      <c r="BK109">
        <f t="shared" si="37"/>
        <v>38</v>
      </c>
      <c r="BL109">
        <f t="shared" si="38"/>
        <v>38</v>
      </c>
    </row>
    <row r="110" spans="1:64" x14ac:dyDescent="0.25">
      <c r="A110" s="1" t="s">
        <v>344</v>
      </c>
      <c r="B110" s="1" t="s">
        <v>343</v>
      </c>
      <c r="C110" s="13" t="s">
        <v>342</v>
      </c>
      <c r="D110" s="15" t="s">
        <v>1533</v>
      </c>
      <c r="E110" s="17"/>
      <c r="F110" s="3"/>
      <c r="G110" s="14"/>
      <c r="H110" s="16"/>
      <c r="I110" s="11">
        <v>46221</v>
      </c>
      <c r="J110" s="4">
        <v>17</v>
      </c>
      <c r="K110" s="18">
        <f>(F110-(0)+0-(J110*Ventas!AE107*1))</f>
        <v>0</v>
      </c>
      <c r="L110" s="3"/>
      <c r="M110" s="22">
        <f>(G110-(0)+0-(J110*Ventas!AE511*1))</f>
        <v>0</v>
      </c>
      <c r="N110" s="14"/>
      <c r="O110" s="25">
        <f t="shared" si="25"/>
        <v>0</v>
      </c>
      <c r="P110" s="16"/>
      <c r="Q110" s="12">
        <f t="shared" si="26"/>
        <v>0</v>
      </c>
      <c r="R110" s="5">
        <v>0</v>
      </c>
      <c r="S110" s="24">
        <v>0</v>
      </c>
      <c r="T110" s="26">
        <v>0</v>
      </c>
      <c r="U110" s="18">
        <f t="shared" si="27"/>
        <v>0</v>
      </c>
      <c r="V110" s="22">
        <f t="shared" si="28"/>
        <v>0</v>
      </c>
      <c r="W110" s="25">
        <f t="shared" si="29"/>
        <v>0</v>
      </c>
      <c r="X110" s="3"/>
      <c r="Y110" s="14"/>
      <c r="Z110" s="14"/>
      <c r="AA110" s="18">
        <v>15</v>
      </c>
      <c r="AB110" s="21">
        <v>6.783E-3</v>
      </c>
      <c r="AC110" s="11">
        <v>46313</v>
      </c>
      <c r="AD110" s="4">
        <v>92</v>
      </c>
      <c r="AE110" s="18">
        <f>(IF(K110&gt;0,K110+R110,R110)-(AD110*Ventas!AE107*1.0489))</f>
        <v>0</v>
      </c>
      <c r="AF110" s="3"/>
      <c r="AG110" s="22">
        <f>(IF(M110&gt;0,M110+S110,S110)-(AD110*Ventas!AE511*1.0489))</f>
        <v>0</v>
      </c>
      <c r="AH110" s="14"/>
      <c r="AI110" s="25">
        <f t="shared" si="30"/>
        <v>0</v>
      </c>
      <c r="AJ110" s="16"/>
      <c r="AK110" s="12">
        <f t="shared" si="31"/>
        <v>0</v>
      </c>
      <c r="AL110" s="19">
        <f t="shared" si="32"/>
        <v>0</v>
      </c>
      <c r="AM110" s="18">
        <f>(180*(Ventas!AE107*0.9644) - IF(AE110&gt;0,AE110,0))</f>
        <v>0</v>
      </c>
      <c r="AN110" s="18">
        <f>IF(AM110&gt;3,CEILING(AM110,5),0)</f>
        <v>0</v>
      </c>
      <c r="AO110" s="22">
        <f>(180*(Ventas!AE511*0.9644) - IF(AG110&gt;0,AG110,0))</f>
        <v>0</v>
      </c>
      <c r="AP110" s="22">
        <f t="shared" si="46"/>
        <v>0</v>
      </c>
      <c r="AQ110" s="16">
        <f t="shared" si="33"/>
        <v>0</v>
      </c>
      <c r="AR110" s="37">
        <f>_xlfn.XLOOKUP(C110,[1]Hoja2!$C$6:$C$24,[1]Hoja2!$D$6:$D$24,0,2,1)</f>
        <v>0</v>
      </c>
      <c r="AS110" s="18">
        <f t="shared" si="34"/>
        <v>0</v>
      </c>
      <c r="AT110" s="22">
        <f>IF(AG110&gt;0,AG110+IF(AP110&gt;0,AP110,0),AP110)</f>
        <v>0</v>
      </c>
      <c r="AU110" s="37">
        <f>_xlfn.XLOOKUP(D110,[1]Hoja2!$E$6:$E$24,[1]Hoja2!$F$6:$F$24,0,2,1)</f>
        <v>0</v>
      </c>
      <c r="AV110" s="27">
        <v>0</v>
      </c>
      <c r="AW110" s="5">
        <v>3013</v>
      </c>
      <c r="AX110" s="28">
        <v>0</v>
      </c>
      <c r="AY110" s="14"/>
      <c r="AZ110" s="16">
        <f>_xlfn.XLOOKUP(C110,[2]PI!$B$15:$B$99,[2]PI!$L$15:$L$99,0,2,1)</f>
        <v>0</v>
      </c>
      <c r="BA110" s="16">
        <f>_xlfn.XLOOKUP(D110,[2]PI!$B$15:$B$99,[2]PI!$L$15:$L$99,0,2,1)</f>
        <v>0</v>
      </c>
      <c r="BB110" s="3"/>
      <c r="BC110" s="3"/>
      <c r="BD110" s="14"/>
      <c r="BE110" s="14"/>
      <c r="BF110" s="16"/>
      <c r="BG110" s="16"/>
      <c r="BH110" s="12">
        <f t="shared" si="35"/>
        <v>0</v>
      </c>
      <c r="BI110" s="19">
        <f t="shared" si="36"/>
        <v>0</v>
      </c>
      <c r="BJ110" s="1" t="s">
        <v>51</v>
      </c>
      <c r="BK110">
        <f t="shared" si="37"/>
        <v>0</v>
      </c>
      <c r="BL110">
        <f t="shared" si="38"/>
        <v>0</v>
      </c>
    </row>
    <row r="111" spans="1:64" x14ac:dyDescent="0.25">
      <c r="A111" s="1" t="s">
        <v>347</v>
      </c>
      <c r="B111" s="1" t="s">
        <v>346</v>
      </c>
      <c r="C111" s="13" t="s">
        <v>345</v>
      </c>
      <c r="D111" s="15" t="s">
        <v>1536</v>
      </c>
      <c r="E111" s="17"/>
      <c r="F111" s="3"/>
      <c r="G111" s="14"/>
      <c r="H111" s="16"/>
      <c r="I111" s="11">
        <v>46221</v>
      </c>
      <c r="J111" s="4">
        <v>17</v>
      </c>
      <c r="K111" s="18">
        <f>(F111-(0)+0-(J111*Ventas!AE108*1))</f>
        <v>0</v>
      </c>
      <c r="L111" s="3"/>
      <c r="M111" s="22">
        <f>(G111-(0)+0-(J111*Ventas!AE512*1))</f>
        <v>0</v>
      </c>
      <c r="N111" s="14"/>
      <c r="O111" s="25">
        <f t="shared" si="25"/>
        <v>0</v>
      </c>
      <c r="P111" s="16"/>
      <c r="Q111" s="12">
        <f t="shared" si="26"/>
        <v>0</v>
      </c>
      <c r="R111" s="5">
        <v>0</v>
      </c>
      <c r="S111" s="24">
        <v>0</v>
      </c>
      <c r="T111" s="26">
        <v>0</v>
      </c>
      <c r="U111" s="18">
        <f t="shared" si="27"/>
        <v>0</v>
      </c>
      <c r="V111" s="22">
        <f t="shared" si="28"/>
        <v>0</v>
      </c>
      <c r="W111" s="25">
        <f t="shared" si="29"/>
        <v>0</v>
      </c>
      <c r="X111" s="3"/>
      <c r="Y111" s="14"/>
      <c r="Z111" s="14"/>
      <c r="AA111" s="18">
        <v>10</v>
      </c>
      <c r="AB111" s="21">
        <v>6.6360000000000004E-3</v>
      </c>
      <c r="AC111" s="11">
        <v>46313</v>
      </c>
      <c r="AD111" s="4">
        <v>92</v>
      </c>
      <c r="AE111" s="18">
        <f>(IF(K111&gt;0,K111+R111,R111)-(AD111*Ventas!AE108*1.0489))</f>
        <v>0</v>
      </c>
      <c r="AF111" s="3"/>
      <c r="AG111" s="22">
        <f>(IF(M111&gt;0,M111+S111,S111)-(AD111*Ventas!AE512*1.0489))</f>
        <v>0</v>
      </c>
      <c r="AH111" s="14"/>
      <c r="AI111" s="25">
        <f t="shared" si="30"/>
        <v>0</v>
      </c>
      <c r="AJ111" s="16"/>
      <c r="AK111" s="12">
        <f t="shared" si="31"/>
        <v>0</v>
      </c>
      <c r="AL111" s="19">
        <f t="shared" si="32"/>
        <v>0</v>
      </c>
      <c r="AM111" s="18">
        <f>(180*(Ventas!AE108*0.9644) - IF(AE111&gt;0,AE111,0))</f>
        <v>0</v>
      </c>
      <c r="AN111" s="18">
        <f>IF(AM111&gt;3,CEILING(AM111,5),0)</f>
        <v>0</v>
      </c>
      <c r="AO111" s="22">
        <f>(180*(Ventas!AE512*0.9644) - IF(AG111&gt;0,AG111,0))</f>
        <v>0</v>
      </c>
      <c r="AP111" s="22">
        <f t="shared" si="46"/>
        <v>0</v>
      </c>
      <c r="AQ111" s="16">
        <f t="shared" si="33"/>
        <v>0</v>
      </c>
      <c r="AR111" s="37">
        <f>_xlfn.XLOOKUP(C111,[1]Hoja2!$C$6:$C$24,[1]Hoja2!$D$6:$D$24,0,2,1)</f>
        <v>0</v>
      </c>
      <c r="AS111" s="18">
        <f t="shared" si="34"/>
        <v>0</v>
      </c>
      <c r="AT111" s="22">
        <f>IF(AG111&gt;0,AG111+IF(AP111&gt;0,AP111,0),AP111)</f>
        <v>0</v>
      </c>
      <c r="AU111" s="37">
        <f>_xlfn.XLOOKUP(D111,[1]Hoja2!$E$6:$E$24,[1]Hoja2!$F$6:$F$24,0,2,1)</f>
        <v>0</v>
      </c>
      <c r="AV111" s="27">
        <v>0</v>
      </c>
      <c r="AW111" s="5">
        <v>3013</v>
      </c>
      <c r="AX111" s="28">
        <v>0</v>
      </c>
      <c r="AY111" s="14"/>
      <c r="AZ111" s="16">
        <f>_xlfn.XLOOKUP(C111,[2]PI!$B$15:$B$99,[2]PI!$L$15:$L$99,0,2,1)</f>
        <v>0</v>
      </c>
      <c r="BA111" s="16">
        <f>_xlfn.XLOOKUP(D111,[2]PI!$B$15:$B$99,[2]PI!$L$15:$L$99,0,2,1)</f>
        <v>0</v>
      </c>
      <c r="BB111" s="3"/>
      <c r="BC111" s="3"/>
      <c r="BD111" s="14"/>
      <c r="BE111" s="14"/>
      <c r="BF111" s="16"/>
      <c r="BG111" s="16"/>
      <c r="BH111" s="12">
        <f t="shared" si="35"/>
        <v>0</v>
      </c>
      <c r="BI111" s="19">
        <f t="shared" si="36"/>
        <v>0</v>
      </c>
      <c r="BJ111" s="1" t="s">
        <v>51</v>
      </c>
      <c r="BK111">
        <f t="shared" si="37"/>
        <v>0</v>
      </c>
      <c r="BL111">
        <f t="shared" si="38"/>
        <v>0</v>
      </c>
    </row>
    <row r="112" spans="1:64" x14ac:dyDescent="0.25">
      <c r="A112" s="1" t="s">
        <v>350</v>
      </c>
      <c r="B112" s="1" t="s">
        <v>349</v>
      </c>
      <c r="C112" s="13" t="s">
        <v>348</v>
      </c>
      <c r="D112" s="15" t="s">
        <v>1538</v>
      </c>
      <c r="E112" s="17"/>
      <c r="F112" s="5">
        <v>612</v>
      </c>
      <c r="G112" s="24">
        <v>53</v>
      </c>
      <c r="H112" s="16"/>
      <c r="I112" s="11">
        <v>46221</v>
      </c>
      <c r="J112" s="4">
        <v>17</v>
      </c>
      <c r="K112" s="18">
        <f>(F112-(0)+0-(J112*Ventas!AE109*1))</f>
        <v>560.72872857142852</v>
      </c>
      <c r="L112" s="20">
        <f>(K112/(Ventas!AE109*1)/80)</f>
        <v>2.3240081921399032</v>
      </c>
      <c r="M112" s="22">
        <f>(G112-(0)+0-(J112*Ventas!AE513*1))</f>
        <v>40.42</v>
      </c>
      <c r="N112" s="23">
        <f>(M112/(Ventas!AE513*1)/85)</f>
        <v>0.64260731319554854</v>
      </c>
      <c r="O112" s="25">
        <f t="shared" si="25"/>
        <v>0</v>
      </c>
      <c r="P112" s="16"/>
      <c r="Q112" s="12">
        <f t="shared" si="26"/>
        <v>601.14872857142848</v>
      </c>
      <c r="R112" s="5">
        <v>200</v>
      </c>
      <c r="S112" s="24">
        <v>60</v>
      </c>
      <c r="T112" s="26">
        <v>0</v>
      </c>
      <c r="U112" s="18">
        <f t="shared" si="27"/>
        <v>760.72872857142852</v>
      </c>
      <c r="V112" s="22">
        <f t="shared" si="28"/>
        <v>100.42</v>
      </c>
      <c r="W112" s="25">
        <f t="shared" si="29"/>
        <v>0</v>
      </c>
      <c r="X112" s="18">
        <v>2.25</v>
      </c>
      <c r="Y112" s="22">
        <v>2.25</v>
      </c>
      <c r="Z112" s="14"/>
      <c r="AA112" s="18">
        <v>20</v>
      </c>
      <c r="AB112" s="21">
        <v>2.9139999999999999E-3</v>
      </c>
      <c r="AC112" s="11">
        <v>46313</v>
      </c>
      <c r="AD112" s="4">
        <v>92</v>
      </c>
      <c r="AE112" s="18">
        <f>(IF(K112&gt;0,K112+R112,R112)-(AD112*Ventas!AE109*1.0489))</f>
        <v>469.69248343428563</v>
      </c>
      <c r="AF112" s="20">
        <f>(AE112/(Ventas!AE109*1.0489)/80)</f>
        <v>1.855941880005012</v>
      </c>
      <c r="AG112" s="22">
        <f>(IF(M112&gt;0,M112+S112,S112)-(AD112*Ventas!AE513*1.0489))</f>
        <v>29.010888000000008</v>
      </c>
      <c r="AH112" s="23">
        <f>(AG112/(Ventas!AE513*1.0489)/85)</f>
        <v>0.43972007316014783</v>
      </c>
      <c r="AI112" s="25">
        <f t="shared" si="30"/>
        <v>0</v>
      </c>
      <c r="AJ112" s="16"/>
      <c r="AK112" s="12">
        <f t="shared" si="31"/>
        <v>498.70337143428566</v>
      </c>
      <c r="AL112" s="19">
        <f t="shared" si="32"/>
        <v>1.6789141541494039</v>
      </c>
      <c r="AM112" s="18">
        <f>(180*(Ventas!AE109*0.9644) - IF(AE112&gt;0,AE112,0))</f>
        <v>53.853548908571554</v>
      </c>
      <c r="AN112" s="38">
        <v>100</v>
      </c>
      <c r="AO112" s="22">
        <f>(180*(Ventas!AE513*0.9644) - IF(AG112&gt;0,AG112,0))</f>
        <v>99.447192000000015</v>
      </c>
      <c r="AP112" s="22">
        <v>90</v>
      </c>
      <c r="AQ112" s="16">
        <f t="shared" si="33"/>
        <v>0.55366000000000004</v>
      </c>
      <c r="AR112" s="37">
        <f>_xlfn.XLOOKUP(C112,[1]Hoja2!$C$6:$C$24,[1]Hoja2!$D$6:$D$24,0,2,1)</f>
        <v>200</v>
      </c>
      <c r="AS112" s="18">
        <f t="shared" si="34"/>
        <v>569.69248343428558</v>
      </c>
      <c r="AT112" s="22">
        <f>IF(AG112&gt;0,AG112+IF(AP112&gt;0,AP112,0),AP112)</f>
        <v>119.01088800000001</v>
      </c>
      <c r="AU112" s="37">
        <f>_xlfn.XLOOKUP(D112,[1]Hoja2!$E$6:$E$24,[1]Hoja2!$F$6:$F$24,0,2,1)</f>
        <v>40</v>
      </c>
      <c r="AV112" s="27">
        <v>2.2999999999999998</v>
      </c>
      <c r="AW112" s="5">
        <v>3016</v>
      </c>
      <c r="AX112" s="28">
        <v>2.2999999999999998</v>
      </c>
      <c r="AY112" s="14"/>
      <c r="AZ112" s="16">
        <f>_xlfn.XLOOKUP(C112,[2]PI!$B$15:$B$99,[2]PI!$L$15:$L$99,0,2,1)</f>
        <v>2.2999999999999998</v>
      </c>
      <c r="BA112" s="16">
        <f>_xlfn.XLOOKUP(D112,[2]PI!$B$15:$B$99,[2]PI!$L$15:$L$99,0,2,1)</f>
        <v>2.2999999999999998</v>
      </c>
      <c r="BB112" s="18">
        <f>(AS112-(90*Ventas!AE109*0.9644))</f>
        <v>307.91946726285704</v>
      </c>
      <c r="BC112" s="20">
        <f>(BB112/(Ventas!AE109*0.9644)/80)</f>
        <v>1.3233197437120843</v>
      </c>
      <c r="BD112" s="22">
        <f>(AT112-(90*Ventas!AE513*0.9644))</f>
        <v>54.781848000000011</v>
      </c>
      <c r="BE112" s="23">
        <f>(BD112/(Ventas!AE513*0.9644)/85)</f>
        <v>0.90308542128387448</v>
      </c>
      <c r="BF112" s="16"/>
      <c r="BG112" s="16"/>
      <c r="BH112" s="12">
        <f t="shared" si="35"/>
        <v>362.70131526285707</v>
      </c>
      <c r="BI112" s="19">
        <f t="shared" si="36"/>
        <v>1.2707904534085581</v>
      </c>
      <c r="BJ112" s="1" t="s">
        <v>35</v>
      </c>
      <c r="BK112">
        <f t="shared" si="37"/>
        <v>436.99999999999994</v>
      </c>
      <c r="BL112">
        <f t="shared" si="38"/>
        <v>436.99999999999994</v>
      </c>
    </row>
    <row r="113" spans="1:64" x14ac:dyDescent="0.25">
      <c r="A113" s="1" t="s">
        <v>353</v>
      </c>
      <c r="B113" s="1" t="s">
        <v>352</v>
      </c>
      <c r="C113" s="13" t="s">
        <v>351</v>
      </c>
      <c r="D113" s="15"/>
      <c r="E113" s="17"/>
      <c r="F113" s="5">
        <v>48</v>
      </c>
      <c r="G113" s="14"/>
      <c r="H113" s="16"/>
      <c r="I113" s="11">
        <v>46221</v>
      </c>
      <c r="J113" s="4">
        <v>17</v>
      </c>
      <c r="K113" s="18">
        <f>(F113-(0)+0-(J113*Ventas!AE110*1))</f>
        <v>43.944285714285712</v>
      </c>
      <c r="L113" s="20">
        <f>(K113/(Ventas!AE110*1)/80)</f>
        <v>2.3024700598802395</v>
      </c>
      <c r="M113" s="22">
        <f>(G113+0)</f>
        <v>0</v>
      </c>
      <c r="N113" s="14"/>
      <c r="O113" s="25">
        <f t="shared" si="25"/>
        <v>0</v>
      </c>
      <c r="P113" s="16"/>
      <c r="Q113" s="12">
        <f t="shared" si="26"/>
        <v>43.944285714285712</v>
      </c>
      <c r="R113" s="5">
        <v>10</v>
      </c>
      <c r="S113" s="24">
        <v>0</v>
      </c>
      <c r="T113" s="26">
        <v>0</v>
      </c>
      <c r="U113" s="18">
        <f t="shared" si="27"/>
        <v>53.944285714285712</v>
      </c>
      <c r="V113" s="22">
        <f t="shared" si="28"/>
        <v>0</v>
      </c>
      <c r="W113" s="25">
        <f t="shared" si="29"/>
        <v>0</v>
      </c>
      <c r="X113" s="18">
        <v>3.75</v>
      </c>
      <c r="Y113" s="14"/>
      <c r="Z113" s="14"/>
      <c r="AA113" s="18">
        <v>12</v>
      </c>
      <c r="AB113" s="21">
        <v>7.136E-3</v>
      </c>
      <c r="AC113" s="11">
        <v>46313</v>
      </c>
      <c r="AD113" s="4">
        <v>92</v>
      </c>
      <c r="AE113" s="18">
        <f>(IF(K113&gt;0,K113+R113,R113)-(AD113*Ventas!AE110*1.0489))</f>
        <v>30.922429142857141</v>
      </c>
      <c r="AF113" s="20">
        <f>(AE113/(Ventas!AE110*1.0489)/80)</f>
        <v>1.5446535948981055</v>
      </c>
      <c r="AG113" s="22">
        <f>(G113+0)</f>
        <v>0</v>
      </c>
      <c r="AH113" s="14"/>
      <c r="AI113" s="25">
        <f t="shared" si="30"/>
        <v>0</v>
      </c>
      <c r="AJ113" s="16"/>
      <c r="AK113" s="12">
        <f t="shared" si="31"/>
        <v>30.922429142857141</v>
      </c>
      <c r="AL113" s="19">
        <f t="shared" si="32"/>
        <v>1.3515718955358422</v>
      </c>
      <c r="AM113" s="18">
        <f>(180*(Ventas!AE110*0.9644) - IF(AE113&gt;0,AE113,0))</f>
        <v>10.491662285714291</v>
      </c>
      <c r="AN113" s="38">
        <v>10</v>
      </c>
      <c r="AO113" s="14"/>
      <c r="AP113" s="14">
        <f>IF(AO113&gt;3,CEILING(AO113,5),0)</f>
        <v>0</v>
      </c>
      <c r="AQ113" s="16">
        <f t="shared" si="33"/>
        <v>7.1360000000000007E-2</v>
      </c>
      <c r="AR113" s="37">
        <f>_xlfn.XLOOKUP(C113,[1]Hoja2!$C$6:$C$24,[1]Hoja2!$D$6:$D$24,0,2,1)</f>
        <v>35</v>
      </c>
      <c r="AS113" s="18">
        <f t="shared" si="34"/>
        <v>40.922429142857141</v>
      </c>
      <c r="AT113" s="14"/>
      <c r="AU113" s="37">
        <f>_xlfn.XLOOKUP(D113,[1]Hoja2!$E$6:$E$24,[1]Hoja2!$F$6:$F$24,0,2,1)</f>
        <v>0</v>
      </c>
      <c r="AV113" s="27">
        <v>3.85</v>
      </c>
      <c r="AW113" s="5">
        <v>3016</v>
      </c>
      <c r="AX113" s="14">
        <v>0</v>
      </c>
      <c r="AY113" s="14"/>
      <c r="AZ113" s="16">
        <f>_xlfn.XLOOKUP(C113,[2]PI!$B$15:$B$99,[2]PI!$L$15:$L$99,0,2,1)</f>
        <v>3.85</v>
      </c>
      <c r="BA113" s="16">
        <f>_xlfn.XLOOKUP(D113,[2]PI!$B$15:$B$99,[2]PI!$L$15:$L$99,0,2,1)</f>
        <v>0</v>
      </c>
      <c r="BB113" s="18">
        <f>(AS113-(90*Ventas!AE110*0.9644))</f>
        <v>20.215383428571425</v>
      </c>
      <c r="BC113" s="20">
        <f>(BB113/(Ventas!AE110*0.9644)/80)</f>
        <v>1.0982883155298691</v>
      </c>
      <c r="BD113" s="14"/>
      <c r="BE113" s="14"/>
      <c r="BF113" s="16"/>
      <c r="BG113" s="16"/>
      <c r="BH113" s="12">
        <f t="shared" si="35"/>
        <v>20.215383428571425</v>
      </c>
      <c r="BI113" s="19">
        <f t="shared" si="36"/>
        <v>0.96100227608863542</v>
      </c>
      <c r="BJ113" s="1" t="s">
        <v>35</v>
      </c>
      <c r="BK113">
        <f t="shared" si="37"/>
        <v>38.5</v>
      </c>
      <c r="BL113">
        <f t="shared" si="38"/>
        <v>38.5</v>
      </c>
    </row>
    <row r="114" spans="1:64" x14ac:dyDescent="0.25">
      <c r="A114" s="1" t="s">
        <v>356</v>
      </c>
      <c r="B114" s="1" t="s">
        <v>355</v>
      </c>
      <c r="C114" s="13" t="s">
        <v>354</v>
      </c>
      <c r="D114" s="15" t="s">
        <v>1541</v>
      </c>
      <c r="E114" s="17"/>
      <c r="F114" s="5">
        <v>653</v>
      </c>
      <c r="G114" s="24">
        <v>11</v>
      </c>
      <c r="H114" s="16"/>
      <c r="I114" s="11">
        <v>46221</v>
      </c>
      <c r="J114" s="4">
        <v>17</v>
      </c>
      <c r="K114" s="18">
        <f>(F114-(0)+0-(J114*Ventas!AE111*1))</f>
        <v>520.59307142857142</v>
      </c>
      <c r="L114" s="20">
        <f>(K114/(Ventas!AE111*1)/80)</f>
        <v>0.8355002934675948</v>
      </c>
      <c r="M114" s="22">
        <f>(G114-(0)+0-(J114*Ventas!AE514*1))</f>
        <v>5.56</v>
      </c>
      <c r="N114" s="23">
        <f>(M114/(Ventas!AE514*1)/85)</f>
        <v>0.20441176470588235</v>
      </c>
      <c r="O114" s="25">
        <f t="shared" si="25"/>
        <v>0</v>
      </c>
      <c r="P114" s="16"/>
      <c r="Q114" s="12">
        <f t="shared" si="26"/>
        <v>526.15307142857137</v>
      </c>
      <c r="R114" s="5">
        <v>900</v>
      </c>
      <c r="S114" s="24">
        <v>60</v>
      </c>
      <c r="T114" s="26">
        <v>0</v>
      </c>
      <c r="U114" s="18">
        <f t="shared" si="27"/>
        <v>1420.5930714285714</v>
      </c>
      <c r="V114" s="22">
        <f t="shared" si="28"/>
        <v>65.56</v>
      </c>
      <c r="W114" s="25">
        <f t="shared" si="29"/>
        <v>0</v>
      </c>
      <c r="X114" s="18">
        <v>2.4</v>
      </c>
      <c r="Y114" s="22">
        <v>2.4</v>
      </c>
      <c r="Z114" s="14"/>
      <c r="AA114" s="18">
        <v>18</v>
      </c>
      <c r="AB114" s="21">
        <v>5.5659999999999998E-3</v>
      </c>
      <c r="AC114" s="11">
        <v>46313</v>
      </c>
      <c r="AD114" s="4">
        <v>92</v>
      </c>
      <c r="AE114" s="18">
        <f>(IF(K114&gt;0,K114+R114,R114)-(AD114*Ventas!AE111*1.0489))</f>
        <v>668.99838208571441</v>
      </c>
      <c r="AF114" s="20">
        <f>(AE114/(Ventas!AE111*1.0489)/80)</f>
        <v>1.0236210424414214</v>
      </c>
      <c r="AG114" s="22">
        <f>(IF(M114&gt;0,M114+S114,S114)-(AD114*Ventas!AE514*1.0489))</f>
        <v>34.680384000000004</v>
      </c>
      <c r="AH114" s="23">
        <f>(AG114/(Ventas!AE514*1.0489)/85)</f>
        <v>1.2155726166908751</v>
      </c>
      <c r="AI114" s="25">
        <f t="shared" si="30"/>
        <v>0</v>
      </c>
      <c r="AJ114" s="16"/>
      <c r="AK114" s="12">
        <f t="shared" si="31"/>
        <v>703.67876608571441</v>
      </c>
      <c r="AL114" s="19">
        <f t="shared" si="32"/>
        <v>1.0476149892226032</v>
      </c>
      <c r="AM114" s="18">
        <f>(180*(Ventas!AE111*0.9644) - IF(AE114&gt;0,AE114,0))</f>
        <v>683.04770877142823</v>
      </c>
      <c r="AN114" s="18">
        <f>IF(AM114&gt;3,CEILING(AM114*0.85,5),0)</f>
        <v>585</v>
      </c>
      <c r="AO114" s="22">
        <f>(180*(Ventas!AE514*0.9644) - IF(AG114&gt;0,AG114,0))</f>
        <v>20.869055999999993</v>
      </c>
      <c r="AP114" s="42">
        <v>30</v>
      </c>
      <c r="AQ114" s="16">
        <f t="shared" si="33"/>
        <v>3.4230899999999997</v>
      </c>
      <c r="AR114" s="37">
        <f>_xlfn.XLOOKUP(C114,[1]Hoja2!$C$6:$C$24,[1]Hoja2!$D$6:$D$24,0,2,1)</f>
        <v>0</v>
      </c>
      <c r="AS114" s="18">
        <f t="shared" si="34"/>
        <v>1253.9983820857144</v>
      </c>
      <c r="AT114" s="22">
        <f>IF(AG114&gt;0,AG114+IF(AP114&gt;0,AP114,0),AP114)</f>
        <v>64.680384000000004</v>
      </c>
      <c r="AU114" s="37">
        <f>_xlfn.XLOOKUP(D114,[1]Hoja2!$E$6:$E$24,[1]Hoja2!$F$6:$F$24,0,2,1)</f>
        <v>0</v>
      </c>
      <c r="AV114" s="27">
        <v>2.4</v>
      </c>
      <c r="AW114" s="5">
        <v>3016</v>
      </c>
      <c r="AX114" s="28">
        <v>2.4</v>
      </c>
      <c r="AY114" s="14"/>
      <c r="AZ114" s="16">
        <f>_xlfn.XLOOKUP(C114,[2]PI!$B$15:$B$99,[2]PI!$L$15:$L$99,0,2,1)</f>
        <v>2.4</v>
      </c>
      <c r="BA114" s="16">
        <f>_xlfn.XLOOKUP(D114,[2]PI!$B$15:$B$99,[2]PI!$L$15:$L$99,0,2,1)</f>
        <v>2.4</v>
      </c>
      <c r="BB114" s="18">
        <f>(AS114-(90*Ventas!AE111*0.9644))</f>
        <v>577.97533665714309</v>
      </c>
      <c r="BC114" s="20">
        <f>(BB114/(Ventas!AE111*0.9644)/80)</f>
        <v>0.96183444948547758</v>
      </c>
      <c r="BD114" s="22">
        <f>(AT114-(90*Ventas!AE514*0.9644))</f>
        <v>36.905664000000002</v>
      </c>
      <c r="BE114" s="23">
        <f>(BD114/(Ventas!AE514*0.9644)/85)</f>
        <v>1.4069119476907315</v>
      </c>
      <c r="BF114" s="16"/>
      <c r="BG114" s="16"/>
      <c r="BH114" s="12">
        <f t="shared" si="35"/>
        <v>614.88100065714309</v>
      </c>
      <c r="BI114" s="19">
        <f t="shared" si="36"/>
        <v>1.0174691367611344</v>
      </c>
      <c r="BJ114" s="1" t="s">
        <v>35</v>
      </c>
      <c r="BK114">
        <f t="shared" si="37"/>
        <v>1476</v>
      </c>
      <c r="BL114">
        <f t="shared" si="38"/>
        <v>1476</v>
      </c>
    </row>
    <row r="115" spans="1:64" x14ac:dyDescent="0.25">
      <c r="A115" s="1" t="s">
        <v>359</v>
      </c>
      <c r="B115" s="1" t="s">
        <v>358</v>
      </c>
      <c r="C115" s="13" t="s">
        <v>357</v>
      </c>
      <c r="D115" s="15" t="s">
        <v>1544</v>
      </c>
      <c r="E115" s="17"/>
      <c r="F115" s="5">
        <v>2</v>
      </c>
      <c r="G115" s="14"/>
      <c r="H115" s="16"/>
      <c r="I115" s="11">
        <v>46221</v>
      </c>
      <c r="J115" s="4">
        <v>17</v>
      </c>
      <c r="K115" s="18">
        <f>(F115-(0)+0-(J115*Ventas!AE112*1))</f>
        <v>0.49185714285714277</v>
      </c>
      <c r="L115" s="20">
        <f>(K115/(Ventas!AE112*1)/80)</f>
        <v>6.9303542673107871E-2</v>
      </c>
      <c r="M115" s="22">
        <f>(G115-(0)+0-(J115*Ventas!AE515*1))</f>
        <v>0</v>
      </c>
      <c r="N115" s="14"/>
      <c r="O115" s="25">
        <f t="shared" si="25"/>
        <v>0</v>
      </c>
      <c r="P115" s="16"/>
      <c r="Q115" s="12">
        <f t="shared" si="26"/>
        <v>0.49185714285714277</v>
      </c>
      <c r="R115" s="5">
        <v>12</v>
      </c>
      <c r="S115" s="24">
        <v>0</v>
      </c>
      <c r="T115" s="26">
        <v>0</v>
      </c>
      <c r="U115" s="18">
        <f t="shared" si="27"/>
        <v>12.491857142857143</v>
      </c>
      <c r="V115" s="22">
        <f t="shared" si="28"/>
        <v>0</v>
      </c>
      <c r="W115" s="25">
        <f t="shared" si="29"/>
        <v>0</v>
      </c>
      <c r="X115" s="18">
        <v>5.5</v>
      </c>
      <c r="Y115" s="14"/>
      <c r="Z115" s="14"/>
      <c r="AA115" s="18">
        <v>10</v>
      </c>
      <c r="AB115" s="21">
        <v>1.3318E-2</v>
      </c>
      <c r="AC115" s="11">
        <v>46313</v>
      </c>
      <c r="AD115" s="4">
        <v>92</v>
      </c>
      <c r="AE115" s="18">
        <f>(IF(K115&gt;0,K115+R115,R115)-(AD115*Ventas!AE112*1.0489))</f>
        <v>3.9310350285714293</v>
      </c>
      <c r="AF115" s="20">
        <f>(AE115/(Ventas!AE112*1.0489)/80)</f>
        <v>0.52806730738083263</v>
      </c>
      <c r="AG115" s="22">
        <f>(IF(M115&gt;0,M115+S115,S115)-(AD115*Ventas!AE515*1.0489))</f>
        <v>0</v>
      </c>
      <c r="AH115" s="14"/>
      <c r="AI115" s="25">
        <f t="shared" si="30"/>
        <v>0</v>
      </c>
      <c r="AJ115" s="16"/>
      <c r="AK115" s="12">
        <f t="shared" si="31"/>
        <v>3.9310350285714293</v>
      </c>
      <c r="AL115" s="19">
        <f t="shared" si="32"/>
        <v>0.46205889395822852</v>
      </c>
      <c r="AM115" s="18">
        <f>(180*(Ventas!AE112*0.9644) - IF(AE115&gt;0,AE115,0))</f>
        <v>11.469055257142857</v>
      </c>
      <c r="AN115" s="18">
        <v>12</v>
      </c>
      <c r="AO115" s="22">
        <f>(180*(Ventas!AE515*0.9644) - IF(AG115&gt;0,AG115,0))</f>
        <v>0</v>
      </c>
      <c r="AP115" s="22">
        <f t="shared" ref="AP115:AP127" si="47">IF(AO115&gt;3,CEILING(AO115,5),0)</f>
        <v>0</v>
      </c>
      <c r="AQ115" s="16">
        <f t="shared" si="33"/>
        <v>0.15981600000000001</v>
      </c>
      <c r="AR115" s="37">
        <f>_xlfn.XLOOKUP(C115,[1]Hoja2!$C$6:$C$24,[1]Hoja2!$D$6:$D$24,0,2,1)</f>
        <v>0</v>
      </c>
      <c r="AS115" s="18">
        <f t="shared" si="34"/>
        <v>15.931035028571429</v>
      </c>
      <c r="AT115" s="22">
        <f>IF(AG115&gt;0,AG115+IF(AP115&gt;0,AP115,0),AP115)</f>
        <v>0</v>
      </c>
      <c r="AU115" s="37">
        <f>_xlfn.XLOOKUP(D115,[1]Hoja2!$E$6:$E$24,[1]Hoja2!$F$6:$F$24,0,2,1)</f>
        <v>0</v>
      </c>
      <c r="AV115" s="27">
        <v>5.85</v>
      </c>
      <c r="AW115" s="5">
        <v>3016</v>
      </c>
      <c r="AX115" s="28">
        <v>0</v>
      </c>
      <c r="AY115" s="14"/>
      <c r="AZ115" s="16">
        <f>_xlfn.XLOOKUP(C115,[2]PI!$B$15:$B$99,[2]PI!$L$15:$L$99,0,2,1)</f>
        <v>5.85</v>
      </c>
      <c r="BA115" s="16">
        <f>_xlfn.XLOOKUP(D115,[2]PI!$B$15:$B$99,[2]PI!$L$15:$L$99,0,2,1)</f>
        <v>0</v>
      </c>
      <c r="BB115" s="18">
        <f>(AS115-(90*Ventas!AE112*0.9644))</f>
        <v>8.2309898857142851</v>
      </c>
      <c r="BC115" s="20">
        <f>(BB115/(Ventas!AE112*0.9644)/80)</f>
        <v>1.2025726407615123</v>
      </c>
      <c r="BD115" s="14"/>
      <c r="BE115" s="14"/>
      <c r="BF115" s="16"/>
      <c r="BG115" s="16"/>
      <c r="BH115" s="12">
        <f t="shared" si="35"/>
        <v>8.2309898857142851</v>
      </c>
      <c r="BI115" s="19">
        <f t="shared" si="36"/>
        <v>1.0522510606663231</v>
      </c>
      <c r="BJ115" s="1" t="s">
        <v>35</v>
      </c>
      <c r="BK115">
        <f t="shared" si="37"/>
        <v>70.199999999999989</v>
      </c>
      <c r="BL115">
        <f t="shared" si="38"/>
        <v>70.199999999999989</v>
      </c>
    </row>
    <row r="116" spans="1:64" x14ac:dyDescent="0.25">
      <c r="A116" s="1" t="s">
        <v>362</v>
      </c>
      <c r="B116" s="1" t="s">
        <v>361</v>
      </c>
      <c r="C116" s="13" t="s">
        <v>360</v>
      </c>
      <c r="D116" s="15"/>
      <c r="E116" s="17"/>
      <c r="F116" s="5">
        <v>6</v>
      </c>
      <c r="G116" s="14"/>
      <c r="H116" s="16"/>
      <c r="I116" s="11">
        <v>46221</v>
      </c>
      <c r="J116" s="4">
        <v>17</v>
      </c>
      <c r="K116" s="18">
        <f>(F116-(0)+0-(J116*Ventas!AE113*1))</f>
        <v>5.3756142857142857</v>
      </c>
      <c r="L116" s="20">
        <f>(K116/(Ventas!AE113*1)/80)</f>
        <v>1.829507001166861</v>
      </c>
      <c r="M116" s="22">
        <f t="shared" ref="M116:M122" si="48">(G116+0)</f>
        <v>0</v>
      </c>
      <c r="N116" s="14"/>
      <c r="O116" s="25">
        <f t="shared" si="25"/>
        <v>0</v>
      </c>
      <c r="P116" s="16"/>
      <c r="Q116" s="12">
        <f t="shared" si="26"/>
        <v>5.3756142857142857</v>
      </c>
      <c r="R116" s="5">
        <v>0</v>
      </c>
      <c r="S116" s="24">
        <v>0</v>
      </c>
      <c r="T116" s="26">
        <v>0</v>
      </c>
      <c r="U116" s="18">
        <f t="shared" si="27"/>
        <v>5.3756142857142857</v>
      </c>
      <c r="V116" s="22">
        <f t="shared" si="28"/>
        <v>0</v>
      </c>
      <c r="W116" s="25">
        <f t="shared" si="29"/>
        <v>0</v>
      </c>
      <c r="X116" s="3"/>
      <c r="Y116" s="14"/>
      <c r="Z116" s="14"/>
      <c r="AA116" s="18">
        <v>18</v>
      </c>
      <c r="AB116" s="21">
        <v>5.5659999999999998E-3</v>
      </c>
      <c r="AC116" s="11">
        <v>46313</v>
      </c>
      <c r="AD116" s="4">
        <v>92</v>
      </c>
      <c r="AE116" s="18">
        <f>(IF(K116&gt;0,K116+R116,R116)-(AD116*Ventas!AE113*1.0489))</f>
        <v>1.8313512171428572</v>
      </c>
      <c r="AF116" s="20">
        <f>(AE116/(Ventas!AE113*1.0489)/80)</f>
        <v>0.59421489290386231</v>
      </c>
      <c r="AG116" s="22">
        <f t="shared" ref="AG116:AG122" si="49">(G116+0)</f>
        <v>0</v>
      </c>
      <c r="AH116" s="14"/>
      <c r="AI116" s="25">
        <f t="shared" si="30"/>
        <v>0</v>
      </c>
      <c r="AJ116" s="16"/>
      <c r="AK116" s="12">
        <f t="shared" si="31"/>
        <v>1.8313512171428572</v>
      </c>
      <c r="AL116" s="19">
        <f t="shared" si="32"/>
        <v>0.51993803129087957</v>
      </c>
      <c r="AM116" s="18">
        <f>(180*(Ventas!AE113*0.9644) - IF(AE116&gt;0,AE116,0))</f>
        <v>4.5444349542857152</v>
      </c>
      <c r="AN116" s="18">
        <v>0</v>
      </c>
      <c r="AO116" s="14"/>
      <c r="AP116" s="14">
        <f t="shared" si="47"/>
        <v>0</v>
      </c>
      <c r="AQ116" s="16">
        <f t="shared" si="33"/>
        <v>0</v>
      </c>
      <c r="AR116" s="37">
        <f>_xlfn.XLOOKUP(C116,[1]Hoja2!$C$6:$C$24,[1]Hoja2!$D$6:$D$24,0,2,1)</f>
        <v>0</v>
      </c>
      <c r="AS116" s="18">
        <f t="shared" si="34"/>
        <v>1.8313512171428572</v>
      </c>
      <c r="AT116" s="14"/>
      <c r="AU116" s="37">
        <f>_xlfn.XLOOKUP(D116,[1]Hoja2!$E$6:$E$24,[1]Hoja2!$F$6:$F$24,0,2,1)</f>
        <v>0</v>
      </c>
      <c r="AV116" s="27">
        <v>4.4000000000000004</v>
      </c>
      <c r="AW116" s="5">
        <v>3016</v>
      </c>
      <c r="AX116" s="14">
        <v>0</v>
      </c>
      <c r="AY116" s="14"/>
      <c r="AZ116" s="16">
        <f>_xlfn.XLOOKUP(C116,[2]PI!$B$15:$B$99,[2]PI!$L$15:$L$99,0,2,1)</f>
        <v>4.4000000000000004</v>
      </c>
      <c r="BA116" s="16">
        <f>_xlfn.XLOOKUP(D116,[2]PI!$B$15:$B$99,[2]PI!$L$15:$L$99,0,2,1)</f>
        <v>0</v>
      </c>
      <c r="BB116" s="18">
        <f>(AS116-(90*Ventas!AE113*0.9644))</f>
        <v>-1.3565418685714286</v>
      </c>
      <c r="BC116" s="20">
        <f>(BB116/(Ventas!AE113*0.9644)/80)</f>
        <v>-0.47872044673697511</v>
      </c>
      <c r="BD116" s="14"/>
      <c r="BE116" s="14"/>
      <c r="BF116" s="16"/>
      <c r="BG116" s="16"/>
      <c r="BH116" s="12">
        <f t="shared" si="35"/>
        <v>0</v>
      </c>
      <c r="BI116" s="19">
        <f t="shared" si="36"/>
        <v>-0.41888039089485324</v>
      </c>
      <c r="BJ116" s="1" t="s">
        <v>35</v>
      </c>
      <c r="BK116">
        <f t="shared" si="37"/>
        <v>0</v>
      </c>
      <c r="BL116">
        <f t="shared" si="38"/>
        <v>0</v>
      </c>
    </row>
    <row r="117" spans="1:64" x14ac:dyDescent="0.25">
      <c r="A117" s="1"/>
      <c r="B117" s="1" t="s">
        <v>364</v>
      </c>
      <c r="C117" s="13" t="s">
        <v>363</v>
      </c>
      <c r="D117" s="15"/>
      <c r="E117" s="17"/>
      <c r="F117" s="3"/>
      <c r="G117" s="14"/>
      <c r="H117" s="16"/>
      <c r="I117" s="11">
        <v>46221</v>
      </c>
      <c r="J117" s="4">
        <v>17</v>
      </c>
      <c r="K117" s="18">
        <f>(F117-(0)+0-(J117*Ventas!AE114*1))</f>
        <v>0</v>
      </c>
      <c r="L117" s="3"/>
      <c r="M117" s="22">
        <f t="shared" si="48"/>
        <v>0</v>
      </c>
      <c r="N117" s="14"/>
      <c r="O117" s="25">
        <f t="shared" si="25"/>
        <v>0</v>
      </c>
      <c r="P117" s="16"/>
      <c r="Q117" s="12">
        <f t="shared" si="26"/>
        <v>0</v>
      </c>
      <c r="R117" s="5">
        <v>0</v>
      </c>
      <c r="S117" s="24">
        <v>0</v>
      </c>
      <c r="T117" s="26">
        <v>0</v>
      </c>
      <c r="U117" s="18">
        <f t="shared" si="27"/>
        <v>0</v>
      </c>
      <c r="V117" s="22">
        <f t="shared" si="28"/>
        <v>0</v>
      </c>
      <c r="W117" s="25">
        <f t="shared" si="29"/>
        <v>0</v>
      </c>
      <c r="X117" s="3"/>
      <c r="Y117" s="14"/>
      <c r="Z117" s="14"/>
      <c r="AA117" s="18">
        <v>10</v>
      </c>
      <c r="AB117" s="21">
        <v>6.6360000000000004E-3</v>
      </c>
      <c r="AC117" s="11">
        <v>46313</v>
      </c>
      <c r="AD117" s="4">
        <v>92</v>
      </c>
      <c r="AE117" s="18">
        <f>(IF(K117&gt;0,K117+R117,R117)-(AD117*Ventas!AE114*1.0489))</f>
        <v>0</v>
      </c>
      <c r="AF117" s="3"/>
      <c r="AG117" s="22">
        <f t="shared" si="49"/>
        <v>0</v>
      </c>
      <c r="AH117" s="14"/>
      <c r="AI117" s="25">
        <f t="shared" si="30"/>
        <v>0</v>
      </c>
      <c r="AJ117" s="16"/>
      <c r="AK117" s="12">
        <f t="shared" si="31"/>
        <v>0</v>
      </c>
      <c r="AL117" s="19">
        <f t="shared" si="32"/>
        <v>0</v>
      </c>
      <c r="AM117" s="18">
        <f>(180*(Ventas!AE114*0.9644) - IF(AE117&gt;0,AE117,0))</f>
        <v>0</v>
      </c>
      <c r="AN117" s="18">
        <f t="shared" ref="AN117:AN127" si="50">IF(AM117&gt;3,CEILING(AM117,5),0)</f>
        <v>0</v>
      </c>
      <c r="AO117" s="14"/>
      <c r="AP117" s="14">
        <f t="shared" si="47"/>
        <v>0</v>
      </c>
      <c r="AQ117" s="16">
        <f t="shared" si="33"/>
        <v>0</v>
      </c>
      <c r="AR117" s="37">
        <f>_xlfn.XLOOKUP(C117,[1]Hoja2!$C$6:$C$24,[1]Hoja2!$D$6:$D$24,0,2,1)</f>
        <v>0</v>
      </c>
      <c r="AS117" s="18">
        <f t="shared" si="34"/>
        <v>0</v>
      </c>
      <c r="AT117" s="14"/>
      <c r="AU117" s="37">
        <f>_xlfn.XLOOKUP(D117,[1]Hoja2!$E$6:$E$24,[1]Hoja2!$F$6:$F$24,0,2,1)</f>
        <v>0</v>
      </c>
      <c r="AV117" s="27">
        <v>0</v>
      </c>
      <c r="AW117" s="5">
        <v>2998</v>
      </c>
      <c r="AX117" s="14">
        <v>0</v>
      </c>
      <c r="AY117" s="14"/>
      <c r="AZ117" s="16">
        <f>_xlfn.XLOOKUP(C117,[2]PI!$B$15:$B$99,[2]PI!$L$15:$L$99,0,2,1)</f>
        <v>0</v>
      </c>
      <c r="BA117" s="16">
        <f>_xlfn.XLOOKUP(D117,[2]PI!$B$15:$B$99,[2]PI!$L$15:$L$99,0,2,1)</f>
        <v>0</v>
      </c>
      <c r="BB117" s="3"/>
      <c r="BC117" s="3"/>
      <c r="BD117" s="14"/>
      <c r="BE117" s="14"/>
      <c r="BF117" s="16"/>
      <c r="BG117" s="16"/>
      <c r="BH117" s="12">
        <f t="shared" si="35"/>
        <v>0</v>
      </c>
      <c r="BI117" s="19">
        <f t="shared" si="36"/>
        <v>0</v>
      </c>
      <c r="BJ117" s="1" t="s">
        <v>51</v>
      </c>
      <c r="BK117">
        <f t="shared" si="37"/>
        <v>0</v>
      </c>
      <c r="BL117">
        <f t="shared" si="38"/>
        <v>0</v>
      </c>
    </row>
    <row r="118" spans="1:64" x14ac:dyDescent="0.25">
      <c r="A118" s="1" t="s">
        <v>367</v>
      </c>
      <c r="B118" s="1" t="s">
        <v>366</v>
      </c>
      <c r="C118" s="13" t="s">
        <v>365</v>
      </c>
      <c r="D118" s="15"/>
      <c r="E118" s="17"/>
      <c r="F118" s="3"/>
      <c r="G118" s="14"/>
      <c r="H118" s="16"/>
      <c r="I118" s="11">
        <v>46221</v>
      </c>
      <c r="J118" s="4">
        <v>17</v>
      </c>
      <c r="K118" s="18">
        <f>(F118-(0)+0-(J118*Ventas!AE115*1))</f>
        <v>0</v>
      </c>
      <c r="L118" s="3"/>
      <c r="M118" s="22">
        <f t="shared" si="48"/>
        <v>0</v>
      </c>
      <c r="N118" s="14"/>
      <c r="O118" s="25">
        <f t="shared" si="25"/>
        <v>0</v>
      </c>
      <c r="P118" s="16"/>
      <c r="Q118" s="12">
        <f t="shared" si="26"/>
        <v>0</v>
      </c>
      <c r="R118" s="5">
        <v>0</v>
      </c>
      <c r="S118" s="24">
        <v>0</v>
      </c>
      <c r="T118" s="26">
        <v>0</v>
      </c>
      <c r="U118" s="18">
        <f t="shared" si="27"/>
        <v>0</v>
      </c>
      <c r="V118" s="22">
        <f t="shared" si="28"/>
        <v>0</v>
      </c>
      <c r="W118" s="25">
        <f t="shared" si="29"/>
        <v>0</v>
      </c>
      <c r="X118" s="3"/>
      <c r="Y118" s="14"/>
      <c r="Z118" s="14"/>
      <c r="AA118" s="18">
        <v>30</v>
      </c>
      <c r="AB118" s="21">
        <v>2.7290000000000001E-3</v>
      </c>
      <c r="AC118" s="11">
        <v>46313</v>
      </c>
      <c r="AD118" s="4">
        <v>92</v>
      </c>
      <c r="AE118" s="18">
        <f>(IF(K118&gt;0,K118+R118,R118)-(AD118*Ventas!AE115*1.0489))</f>
        <v>0</v>
      </c>
      <c r="AF118" s="3"/>
      <c r="AG118" s="22">
        <f t="shared" si="49"/>
        <v>0</v>
      </c>
      <c r="AH118" s="14"/>
      <c r="AI118" s="25">
        <f t="shared" si="30"/>
        <v>0</v>
      </c>
      <c r="AJ118" s="16"/>
      <c r="AK118" s="12">
        <f t="shared" si="31"/>
        <v>0</v>
      </c>
      <c r="AL118" s="19">
        <f t="shared" si="32"/>
        <v>0</v>
      </c>
      <c r="AM118" s="18">
        <f>(180*(Ventas!AE115*0.9644) - IF(AE118&gt;0,AE118,0))</f>
        <v>0</v>
      </c>
      <c r="AN118" s="18">
        <f t="shared" si="50"/>
        <v>0</v>
      </c>
      <c r="AO118" s="14"/>
      <c r="AP118" s="14">
        <f t="shared" si="47"/>
        <v>0</v>
      </c>
      <c r="AQ118" s="16">
        <f t="shared" si="33"/>
        <v>0</v>
      </c>
      <c r="AR118" s="37">
        <f>_xlfn.XLOOKUP(C118,[1]Hoja2!$C$6:$C$24,[1]Hoja2!$D$6:$D$24,0,2,1)</f>
        <v>0</v>
      </c>
      <c r="AS118" s="18">
        <f t="shared" si="34"/>
        <v>0</v>
      </c>
      <c r="AT118" s="14"/>
      <c r="AU118" s="37">
        <f>_xlfn.XLOOKUP(D118,[1]Hoja2!$E$6:$E$24,[1]Hoja2!$F$6:$F$24,0,2,1)</f>
        <v>0</v>
      </c>
      <c r="AV118" s="27">
        <v>0</v>
      </c>
      <c r="AW118" s="5">
        <v>3006</v>
      </c>
      <c r="AX118" s="14">
        <v>0</v>
      </c>
      <c r="AY118" s="14"/>
      <c r="AZ118" s="16">
        <f>_xlfn.XLOOKUP(C118,[2]PI!$B$15:$B$99,[2]PI!$L$15:$L$99,0,2,1)</f>
        <v>0</v>
      </c>
      <c r="BA118" s="16">
        <f>_xlfn.XLOOKUP(D118,[2]PI!$B$15:$B$99,[2]PI!$L$15:$L$99,0,2,1)</f>
        <v>0</v>
      </c>
      <c r="BB118" s="3"/>
      <c r="BC118" s="3"/>
      <c r="BD118" s="14"/>
      <c r="BE118" s="14"/>
      <c r="BF118" s="16"/>
      <c r="BG118" s="16"/>
      <c r="BH118" s="12">
        <f t="shared" si="35"/>
        <v>0</v>
      </c>
      <c r="BI118" s="19">
        <f t="shared" si="36"/>
        <v>0</v>
      </c>
      <c r="BJ118" s="1" t="s">
        <v>35</v>
      </c>
      <c r="BK118">
        <f t="shared" si="37"/>
        <v>0</v>
      </c>
      <c r="BL118">
        <f t="shared" si="38"/>
        <v>0</v>
      </c>
    </row>
    <row r="119" spans="1:64" x14ac:dyDescent="0.25">
      <c r="A119" s="1" t="s">
        <v>370</v>
      </c>
      <c r="B119" s="1" t="s">
        <v>369</v>
      </c>
      <c r="C119" s="13" t="s">
        <v>368</v>
      </c>
      <c r="D119" s="15"/>
      <c r="E119" s="17"/>
      <c r="F119" s="5">
        <v>31</v>
      </c>
      <c r="G119" s="14"/>
      <c r="H119" s="16"/>
      <c r="I119" s="11">
        <v>46221</v>
      </c>
      <c r="J119" s="4">
        <v>17</v>
      </c>
      <c r="K119" s="18">
        <f>(F119-(0)+0-(J119*Ventas!AE116*1))</f>
        <v>31</v>
      </c>
      <c r="L119" s="20" t="e">
        <f>(K119/(Ventas!AE116*1)/80)</f>
        <v>#DIV/0!</v>
      </c>
      <c r="M119" s="22">
        <f t="shared" si="48"/>
        <v>0</v>
      </c>
      <c r="N119" s="14"/>
      <c r="O119" s="25">
        <f t="shared" si="25"/>
        <v>0</v>
      </c>
      <c r="P119" s="16"/>
      <c r="Q119" s="12">
        <f t="shared" si="26"/>
        <v>31</v>
      </c>
      <c r="R119" s="5">
        <v>0</v>
      </c>
      <c r="S119" s="24">
        <v>0</v>
      </c>
      <c r="T119" s="26">
        <v>0</v>
      </c>
      <c r="U119" s="18">
        <f t="shared" si="27"/>
        <v>31</v>
      </c>
      <c r="V119" s="22">
        <f t="shared" si="28"/>
        <v>0</v>
      </c>
      <c r="W119" s="25">
        <f t="shared" si="29"/>
        <v>0</v>
      </c>
      <c r="X119" s="3"/>
      <c r="Y119" s="14"/>
      <c r="Z119" s="14"/>
      <c r="AA119" s="18">
        <v>33</v>
      </c>
      <c r="AB119" s="21">
        <v>1.7340000000000001E-3</v>
      </c>
      <c r="AC119" s="11">
        <v>46313</v>
      </c>
      <c r="AD119" s="4">
        <v>92</v>
      </c>
      <c r="AE119" s="18">
        <f>(IF(K119&gt;0,K119+R119,R119)-(AD119*Ventas!AE116*1.0489))</f>
        <v>31</v>
      </c>
      <c r="AF119" s="20" t="e">
        <f>(AE119/(Ventas!AE116*1.0489)/80)</f>
        <v>#DIV/0!</v>
      </c>
      <c r="AG119" s="22">
        <f t="shared" si="49"/>
        <v>0</v>
      </c>
      <c r="AH119" s="14"/>
      <c r="AI119" s="25">
        <f t="shared" si="30"/>
        <v>0</v>
      </c>
      <c r="AJ119" s="16"/>
      <c r="AK119" s="12">
        <f t="shared" si="31"/>
        <v>31</v>
      </c>
      <c r="AL119" s="19" t="e">
        <f t="shared" si="32"/>
        <v>#DIV/0!</v>
      </c>
      <c r="AM119" s="18">
        <f>(180*(Ventas!AE116*0.9644) - IF(AE119&gt;0,AE119,0))</f>
        <v>-31</v>
      </c>
      <c r="AN119" s="18">
        <f t="shared" si="50"/>
        <v>0</v>
      </c>
      <c r="AO119" s="14"/>
      <c r="AP119" s="14">
        <f t="shared" si="47"/>
        <v>0</v>
      </c>
      <c r="AQ119" s="16">
        <f t="shared" si="33"/>
        <v>0</v>
      </c>
      <c r="AR119" s="37">
        <f>_xlfn.XLOOKUP(C119,[1]Hoja2!$C$6:$C$24,[1]Hoja2!$D$6:$D$24,0,2,1)</f>
        <v>0</v>
      </c>
      <c r="AS119" s="18">
        <f t="shared" si="34"/>
        <v>31</v>
      </c>
      <c r="AT119" s="14"/>
      <c r="AU119" s="37">
        <f>_xlfn.XLOOKUP(D119,[1]Hoja2!$E$6:$E$24,[1]Hoja2!$F$6:$F$24,0,2,1)</f>
        <v>0</v>
      </c>
      <c r="AV119" s="27">
        <v>0</v>
      </c>
      <c r="AW119" s="5">
        <v>3016</v>
      </c>
      <c r="AX119" s="14">
        <v>0</v>
      </c>
      <c r="AY119" s="14"/>
      <c r="AZ119" s="16">
        <f>_xlfn.XLOOKUP(C119,[2]PI!$B$15:$B$99,[2]PI!$L$15:$L$99,0,2,1)</f>
        <v>0</v>
      </c>
      <c r="BA119" s="16">
        <f>_xlfn.XLOOKUP(D119,[2]PI!$B$15:$B$99,[2]PI!$L$15:$L$99,0,2,1)</f>
        <v>0</v>
      </c>
      <c r="BB119" s="18">
        <f>(AS119-(90*Ventas!AE116*0.9644))</f>
        <v>31</v>
      </c>
      <c r="BC119" s="20" t="e">
        <f>(BB119/(Ventas!AE116*0.9644)/80)</f>
        <v>#DIV/0!</v>
      </c>
      <c r="BD119" s="14"/>
      <c r="BE119" s="14"/>
      <c r="BF119" s="16"/>
      <c r="BG119" s="16"/>
      <c r="BH119" s="12">
        <f t="shared" si="35"/>
        <v>31</v>
      </c>
      <c r="BI119" s="19" t="e">
        <f t="shared" si="36"/>
        <v>#DIV/0!</v>
      </c>
      <c r="BJ119" s="1" t="s">
        <v>35</v>
      </c>
      <c r="BK119">
        <f t="shared" si="37"/>
        <v>0</v>
      </c>
      <c r="BL119">
        <f t="shared" si="38"/>
        <v>0</v>
      </c>
    </row>
    <row r="120" spans="1:64" x14ac:dyDescent="0.25">
      <c r="A120" s="1" t="s">
        <v>373</v>
      </c>
      <c r="B120" s="1" t="s">
        <v>372</v>
      </c>
      <c r="C120" s="13" t="s">
        <v>371</v>
      </c>
      <c r="D120" s="15"/>
      <c r="E120" s="17"/>
      <c r="F120" s="3"/>
      <c r="G120" s="14"/>
      <c r="H120" s="16"/>
      <c r="I120" s="11">
        <v>46221</v>
      </c>
      <c r="J120" s="4">
        <v>17</v>
      </c>
      <c r="K120" s="18">
        <f>(F120-(0)+0-(J120*Ventas!AE117*1))</f>
        <v>0</v>
      </c>
      <c r="L120" s="3"/>
      <c r="M120" s="22">
        <f t="shared" si="48"/>
        <v>0</v>
      </c>
      <c r="N120" s="14"/>
      <c r="O120" s="25">
        <f t="shared" si="25"/>
        <v>0</v>
      </c>
      <c r="P120" s="16"/>
      <c r="Q120" s="12">
        <f t="shared" si="26"/>
        <v>0</v>
      </c>
      <c r="R120" s="5">
        <v>0</v>
      </c>
      <c r="S120" s="24">
        <v>0</v>
      </c>
      <c r="T120" s="26">
        <v>0</v>
      </c>
      <c r="U120" s="18">
        <f t="shared" si="27"/>
        <v>0</v>
      </c>
      <c r="V120" s="22">
        <f t="shared" si="28"/>
        <v>0</v>
      </c>
      <c r="W120" s="25">
        <f t="shared" si="29"/>
        <v>0</v>
      </c>
      <c r="X120" s="3"/>
      <c r="Y120" s="14"/>
      <c r="Z120" s="14"/>
      <c r="AA120" s="18">
        <v>57</v>
      </c>
      <c r="AB120" s="21">
        <v>7.3399999999999995E-4</v>
      </c>
      <c r="AC120" s="11">
        <v>46313</v>
      </c>
      <c r="AD120" s="4">
        <v>92</v>
      </c>
      <c r="AE120" s="18">
        <f>(IF(K120&gt;0,K120+R120,R120)-(AD120*Ventas!AE117*1.0489))</f>
        <v>0</v>
      </c>
      <c r="AF120" s="3"/>
      <c r="AG120" s="22">
        <f t="shared" si="49"/>
        <v>0</v>
      </c>
      <c r="AH120" s="14"/>
      <c r="AI120" s="25">
        <f t="shared" si="30"/>
        <v>0</v>
      </c>
      <c r="AJ120" s="16"/>
      <c r="AK120" s="12">
        <f t="shared" si="31"/>
        <v>0</v>
      </c>
      <c r="AL120" s="19">
        <f t="shared" si="32"/>
        <v>0</v>
      </c>
      <c r="AM120" s="18">
        <f>(180*(Ventas!AE117*0.9644) - IF(AE120&gt;0,AE120,0))</f>
        <v>0</v>
      </c>
      <c r="AN120" s="18">
        <f t="shared" si="50"/>
        <v>0</v>
      </c>
      <c r="AO120" s="14"/>
      <c r="AP120" s="14">
        <f t="shared" si="47"/>
        <v>0</v>
      </c>
      <c r="AQ120" s="16">
        <f t="shared" si="33"/>
        <v>0</v>
      </c>
      <c r="AR120" s="37">
        <f>_xlfn.XLOOKUP(C120,[1]Hoja2!$C$6:$C$24,[1]Hoja2!$D$6:$D$24,0,2,1)</f>
        <v>0</v>
      </c>
      <c r="AS120" s="18">
        <f t="shared" si="34"/>
        <v>0</v>
      </c>
      <c r="AT120" s="14"/>
      <c r="AU120" s="37">
        <f>_xlfn.XLOOKUP(D120,[1]Hoja2!$E$6:$E$24,[1]Hoja2!$F$6:$F$24,0,2,1)</f>
        <v>0</v>
      </c>
      <c r="AV120" s="27">
        <v>0</v>
      </c>
      <c r="AW120" s="5">
        <v>3022</v>
      </c>
      <c r="AX120" s="14">
        <v>0</v>
      </c>
      <c r="AY120" s="14"/>
      <c r="AZ120" s="16">
        <f>_xlfn.XLOOKUP(C120,[2]PI!$B$15:$B$99,[2]PI!$L$15:$L$99,0,2,1)</f>
        <v>0</v>
      </c>
      <c r="BA120" s="16">
        <f>_xlfn.XLOOKUP(D120,[2]PI!$B$15:$B$99,[2]PI!$L$15:$L$99,0,2,1)</f>
        <v>0</v>
      </c>
      <c r="BB120" s="3"/>
      <c r="BC120" s="3"/>
      <c r="BD120" s="14"/>
      <c r="BE120" s="14"/>
      <c r="BF120" s="16"/>
      <c r="BG120" s="16"/>
      <c r="BH120" s="12">
        <f t="shared" si="35"/>
        <v>0</v>
      </c>
      <c r="BI120" s="19">
        <f t="shared" si="36"/>
        <v>0</v>
      </c>
      <c r="BJ120" s="1" t="s">
        <v>35</v>
      </c>
      <c r="BK120">
        <f t="shared" si="37"/>
        <v>0</v>
      </c>
      <c r="BL120">
        <f t="shared" si="38"/>
        <v>0</v>
      </c>
    </row>
    <row r="121" spans="1:64" x14ac:dyDescent="0.25">
      <c r="A121" s="1" t="s">
        <v>376</v>
      </c>
      <c r="B121" s="1" t="s">
        <v>375</v>
      </c>
      <c r="C121" s="13" t="s">
        <v>374</v>
      </c>
      <c r="D121" s="15"/>
      <c r="E121" s="17"/>
      <c r="F121" s="3"/>
      <c r="G121" s="14"/>
      <c r="H121" s="16"/>
      <c r="I121" s="11">
        <v>46221</v>
      </c>
      <c r="J121" s="4">
        <v>17</v>
      </c>
      <c r="K121" s="18">
        <f>(F121-(0)+0-(J121*Ventas!AE118*1))</f>
        <v>0</v>
      </c>
      <c r="L121" s="3"/>
      <c r="M121" s="22">
        <f t="shared" si="48"/>
        <v>0</v>
      </c>
      <c r="N121" s="14"/>
      <c r="O121" s="25">
        <f t="shared" si="25"/>
        <v>0</v>
      </c>
      <c r="P121" s="16"/>
      <c r="Q121" s="12">
        <f t="shared" si="26"/>
        <v>0</v>
      </c>
      <c r="R121" s="5">
        <v>0</v>
      </c>
      <c r="S121" s="24">
        <v>0</v>
      </c>
      <c r="T121" s="26">
        <v>0</v>
      </c>
      <c r="U121" s="18">
        <f t="shared" si="27"/>
        <v>0</v>
      </c>
      <c r="V121" s="22">
        <f t="shared" si="28"/>
        <v>0</v>
      </c>
      <c r="W121" s="25">
        <f t="shared" si="29"/>
        <v>0</v>
      </c>
      <c r="X121" s="3"/>
      <c r="Y121" s="14"/>
      <c r="Z121" s="14"/>
      <c r="AA121" s="18">
        <v>57</v>
      </c>
      <c r="AB121" s="21">
        <v>7.3399999999999995E-4</v>
      </c>
      <c r="AC121" s="11">
        <v>46313</v>
      </c>
      <c r="AD121" s="4">
        <v>92</v>
      </c>
      <c r="AE121" s="18">
        <f>(IF(K121&gt;0,K121+R121,R121)-(AD121*Ventas!AE118*1.0489))</f>
        <v>0</v>
      </c>
      <c r="AF121" s="3"/>
      <c r="AG121" s="22">
        <f t="shared" si="49"/>
        <v>0</v>
      </c>
      <c r="AH121" s="14"/>
      <c r="AI121" s="25">
        <f t="shared" si="30"/>
        <v>0</v>
      </c>
      <c r="AJ121" s="16"/>
      <c r="AK121" s="12">
        <f t="shared" si="31"/>
        <v>0</v>
      </c>
      <c r="AL121" s="19">
        <f t="shared" si="32"/>
        <v>0</v>
      </c>
      <c r="AM121" s="18">
        <f>(180*(Ventas!AE118*0.9644) - IF(AE121&gt;0,AE121,0))</f>
        <v>0</v>
      </c>
      <c r="AN121" s="18">
        <f t="shared" si="50"/>
        <v>0</v>
      </c>
      <c r="AO121" s="14"/>
      <c r="AP121" s="14">
        <f t="shared" si="47"/>
        <v>0</v>
      </c>
      <c r="AQ121" s="16">
        <f t="shared" si="33"/>
        <v>0</v>
      </c>
      <c r="AR121" s="37">
        <f>_xlfn.XLOOKUP(C121,[1]Hoja2!$C$6:$C$24,[1]Hoja2!$D$6:$D$24,0,2,1)</f>
        <v>0</v>
      </c>
      <c r="AS121" s="18">
        <f t="shared" si="34"/>
        <v>0</v>
      </c>
      <c r="AT121" s="14"/>
      <c r="AU121" s="37">
        <f>_xlfn.XLOOKUP(D121,[1]Hoja2!$E$6:$E$24,[1]Hoja2!$F$6:$F$24,0,2,1)</f>
        <v>0</v>
      </c>
      <c r="AV121" s="27">
        <v>0</v>
      </c>
      <c r="AW121" s="5">
        <v>3016</v>
      </c>
      <c r="AX121" s="14">
        <v>0</v>
      </c>
      <c r="AY121" s="14"/>
      <c r="AZ121" s="16">
        <f>_xlfn.XLOOKUP(C121,[2]PI!$B$15:$B$99,[2]PI!$L$15:$L$99,0,2,1)</f>
        <v>0</v>
      </c>
      <c r="BA121" s="16">
        <f>_xlfn.XLOOKUP(D121,[2]PI!$B$15:$B$99,[2]PI!$L$15:$L$99,0,2,1)</f>
        <v>0</v>
      </c>
      <c r="BB121" s="3"/>
      <c r="BC121" s="3"/>
      <c r="BD121" s="14"/>
      <c r="BE121" s="14"/>
      <c r="BF121" s="16"/>
      <c r="BG121" s="16"/>
      <c r="BH121" s="12">
        <f t="shared" si="35"/>
        <v>0</v>
      </c>
      <c r="BI121" s="19">
        <f t="shared" si="36"/>
        <v>0</v>
      </c>
      <c r="BJ121" s="1" t="s">
        <v>35</v>
      </c>
      <c r="BK121">
        <f t="shared" si="37"/>
        <v>0</v>
      </c>
      <c r="BL121">
        <f t="shared" si="38"/>
        <v>0</v>
      </c>
    </row>
    <row r="122" spans="1:64" x14ac:dyDescent="0.25">
      <c r="A122" s="1" t="s">
        <v>379</v>
      </c>
      <c r="B122" s="1" t="s">
        <v>378</v>
      </c>
      <c r="C122" s="13" t="s">
        <v>377</v>
      </c>
      <c r="D122" s="15"/>
      <c r="E122" s="17"/>
      <c r="F122" s="3"/>
      <c r="G122" s="14"/>
      <c r="H122" s="16"/>
      <c r="I122" s="11">
        <v>46221</v>
      </c>
      <c r="J122" s="4">
        <v>17</v>
      </c>
      <c r="K122" s="18">
        <f>(F122-(0)+0-(J122*Ventas!AE119*1))</f>
        <v>0</v>
      </c>
      <c r="L122" s="3"/>
      <c r="M122" s="22">
        <f t="shared" si="48"/>
        <v>0</v>
      </c>
      <c r="N122" s="14"/>
      <c r="O122" s="25">
        <f t="shared" si="25"/>
        <v>0</v>
      </c>
      <c r="P122" s="16"/>
      <c r="Q122" s="12">
        <f t="shared" si="26"/>
        <v>0</v>
      </c>
      <c r="R122" s="5">
        <v>0</v>
      </c>
      <c r="S122" s="24">
        <v>0</v>
      </c>
      <c r="T122" s="26">
        <v>0</v>
      </c>
      <c r="U122" s="18">
        <f t="shared" si="27"/>
        <v>0</v>
      </c>
      <c r="V122" s="22">
        <f t="shared" si="28"/>
        <v>0</v>
      </c>
      <c r="W122" s="25">
        <f t="shared" si="29"/>
        <v>0</v>
      </c>
      <c r="X122" s="3"/>
      <c r="Y122" s="14"/>
      <c r="Z122" s="14"/>
      <c r="AA122" s="18">
        <v>57</v>
      </c>
      <c r="AB122" s="21">
        <v>7.3399999999999995E-4</v>
      </c>
      <c r="AC122" s="11">
        <v>46313</v>
      </c>
      <c r="AD122" s="4">
        <v>92</v>
      </c>
      <c r="AE122" s="18">
        <f>(IF(K122&gt;0,K122+R122,R122)-(AD122*Ventas!AE119*1.0489))</f>
        <v>0</v>
      </c>
      <c r="AF122" s="3"/>
      <c r="AG122" s="22">
        <f t="shared" si="49"/>
        <v>0</v>
      </c>
      <c r="AH122" s="14"/>
      <c r="AI122" s="25">
        <f t="shared" si="30"/>
        <v>0</v>
      </c>
      <c r="AJ122" s="16"/>
      <c r="AK122" s="12">
        <f t="shared" si="31"/>
        <v>0</v>
      </c>
      <c r="AL122" s="19">
        <f t="shared" si="32"/>
        <v>0</v>
      </c>
      <c r="AM122" s="18">
        <f>(180*(Ventas!AE119*0.9644) - IF(AE122&gt;0,AE122,0))</f>
        <v>0</v>
      </c>
      <c r="AN122" s="18">
        <f t="shared" si="50"/>
        <v>0</v>
      </c>
      <c r="AO122" s="14"/>
      <c r="AP122" s="14">
        <f t="shared" si="47"/>
        <v>0</v>
      </c>
      <c r="AQ122" s="16">
        <f t="shared" si="33"/>
        <v>0</v>
      </c>
      <c r="AR122" s="37">
        <f>_xlfn.XLOOKUP(C122,[1]Hoja2!$C$6:$C$24,[1]Hoja2!$D$6:$D$24,0,2,1)</f>
        <v>0</v>
      </c>
      <c r="AS122" s="18">
        <f t="shared" si="34"/>
        <v>0</v>
      </c>
      <c r="AT122" s="14"/>
      <c r="AU122" s="37">
        <f>_xlfn.XLOOKUP(D122,[1]Hoja2!$E$6:$E$24,[1]Hoja2!$F$6:$F$24,0,2,1)</f>
        <v>0</v>
      </c>
      <c r="AV122" s="27">
        <v>0</v>
      </c>
      <c r="AW122" s="5">
        <v>3022</v>
      </c>
      <c r="AX122" s="14">
        <v>0</v>
      </c>
      <c r="AY122" s="14"/>
      <c r="AZ122" s="16">
        <f>_xlfn.XLOOKUP(C122,[2]PI!$B$15:$B$99,[2]PI!$L$15:$L$99,0,2,1)</f>
        <v>0</v>
      </c>
      <c r="BA122" s="16">
        <f>_xlfn.XLOOKUP(D122,[2]PI!$B$15:$B$99,[2]PI!$L$15:$L$99,0,2,1)</f>
        <v>0</v>
      </c>
      <c r="BB122" s="3"/>
      <c r="BC122" s="3"/>
      <c r="BD122" s="14"/>
      <c r="BE122" s="14"/>
      <c r="BF122" s="16"/>
      <c r="BG122" s="16"/>
      <c r="BH122" s="12">
        <f t="shared" si="35"/>
        <v>0</v>
      </c>
      <c r="BI122" s="19">
        <f t="shared" si="36"/>
        <v>0</v>
      </c>
      <c r="BJ122" s="1" t="s">
        <v>35</v>
      </c>
      <c r="BK122">
        <f t="shared" si="37"/>
        <v>0</v>
      </c>
      <c r="BL122">
        <f t="shared" si="38"/>
        <v>0</v>
      </c>
    </row>
    <row r="123" spans="1:64" x14ac:dyDescent="0.25">
      <c r="A123" s="1" t="s">
        <v>382</v>
      </c>
      <c r="B123" s="1" t="s">
        <v>381</v>
      </c>
      <c r="C123" s="13" t="s">
        <v>380</v>
      </c>
      <c r="D123" s="15" t="s">
        <v>1547</v>
      </c>
      <c r="E123" s="17"/>
      <c r="F123" s="3"/>
      <c r="G123" s="14"/>
      <c r="H123" s="16"/>
      <c r="I123" s="11">
        <v>46221</v>
      </c>
      <c r="J123" s="4">
        <v>17</v>
      </c>
      <c r="K123" s="18">
        <f>(F123-(0)+0-(J123*Ventas!AE120*1))</f>
        <v>0</v>
      </c>
      <c r="L123" s="3"/>
      <c r="M123" s="22">
        <f>(G123-(0)+0-(J123*Ventas!AE516*1))</f>
        <v>0</v>
      </c>
      <c r="N123" s="14"/>
      <c r="O123" s="25">
        <f t="shared" si="25"/>
        <v>0</v>
      </c>
      <c r="P123" s="16"/>
      <c r="Q123" s="12">
        <f t="shared" si="26"/>
        <v>0</v>
      </c>
      <c r="R123" s="5">
        <v>0</v>
      </c>
      <c r="S123" s="24">
        <v>0</v>
      </c>
      <c r="T123" s="26">
        <v>0</v>
      </c>
      <c r="U123" s="18">
        <f t="shared" si="27"/>
        <v>0</v>
      </c>
      <c r="V123" s="22">
        <f t="shared" si="28"/>
        <v>0</v>
      </c>
      <c r="W123" s="25">
        <f t="shared" si="29"/>
        <v>0</v>
      </c>
      <c r="X123" s="3"/>
      <c r="Y123" s="14"/>
      <c r="Z123" s="14"/>
      <c r="AA123" s="18">
        <v>8</v>
      </c>
      <c r="AB123" s="21">
        <v>1.176E-2</v>
      </c>
      <c r="AC123" s="11">
        <v>46313</v>
      </c>
      <c r="AD123" s="4">
        <v>92</v>
      </c>
      <c r="AE123" s="18">
        <f>(IF(K123&gt;0,K123+R123,R123)-(AD123*Ventas!AE120*1.0489))</f>
        <v>0</v>
      </c>
      <c r="AF123" s="3"/>
      <c r="AG123" s="22">
        <f>(IF(M123&gt;0,M123+S123,S123)-(AD123*Ventas!AE516*1.0489))</f>
        <v>0</v>
      </c>
      <c r="AH123" s="14"/>
      <c r="AI123" s="25">
        <f t="shared" si="30"/>
        <v>0</v>
      </c>
      <c r="AJ123" s="16"/>
      <c r="AK123" s="12">
        <f t="shared" si="31"/>
        <v>0</v>
      </c>
      <c r="AL123" s="19">
        <f t="shared" si="32"/>
        <v>0</v>
      </c>
      <c r="AM123" s="18">
        <f>(180*(Ventas!AE120*0.9644) - IF(AE123&gt;0,AE123,0))</f>
        <v>0</v>
      </c>
      <c r="AN123" s="18">
        <f t="shared" si="50"/>
        <v>0</v>
      </c>
      <c r="AO123" s="22">
        <f>(180*(Ventas!AE516*0.9644) - IF(AG123&gt;0,AG123,0))</f>
        <v>0</v>
      </c>
      <c r="AP123" s="22">
        <f t="shared" si="47"/>
        <v>0</v>
      </c>
      <c r="AQ123" s="16">
        <f t="shared" si="33"/>
        <v>0</v>
      </c>
      <c r="AR123" s="37">
        <f>_xlfn.XLOOKUP(C123,[1]Hoja2!$C$6:$C$24,[1]Hoja2!$D$6:$D$24,0,2,1)</f>
        <v>0</v>
      </c>
      <c r="AS123" s="18">
        <f t="shared" si="34"/>
        <v>0</v>
      </c>
      <c r="AT123" s="22">
        <f>IF(AG123&gt;0,AG123+IF(AP123&gt;0,AP123,0),AP123)</f>
        <v>0</v>
      </c>
      <c r="AU123" s="37">
        <f>_xlfn.XLOOKUP(D123,[1]Hoja2!$E$6:$E$24,[1]Hoja2!$F$6:$F$24,0,2,1)</f>
        <v>0</v>
      </c>
      <c r="AV123" s="27">
        <v>0</v>
      </c>
      <c r="AW123" s="5">
        <v>3022</v>
      </c>
      <c r="AX123" s="14">
        <v>0</v>
      </c>
      <c r="AY123" s="14"/>
      <c r="AZ123" s="16">
        <f>_xlfn.XLOOKUP(C123,[2]PI!$B$15:$B$99,[2]PI!$L$15:$L$99,0,2,1)</f>
        <v>0</v>
      </c>
      <c r="BA123" s="16">
        <f>_xlfn.XLOOKUP(D123,[2]PI!$B$15:$B$99,[2]PI!$L$15:$L$99,0,2,1)</f>
        <v>0</v>
      </c>
      <c r="BB123" s="3"/>
      <c r="BC123" s="3"/>
      <c r="BD123" s="14"/>
      <c r="BE123" s="14"/>
      <c r="BF123" s="16"/>
      <c r="BG123" s="16"/>
      <c r="BH123" s="12">
        <f t="shared" si="35"/>
        <v>0</v>
      </c>
      <c r="BI123" s="19">
        <f t="shared" si="36"/>
        <v>0</v>
      </c>
      <c r="BJ123" s="1" t="s">
        <v>51</v>
      </c>
      <c r="BK123">
        <f t="shared" si="37"/>
        <v>0</v>
      </c>
      <c r="BL123">
        <f t="shared" si="38"/>
        <v>0</v>
      </c>
    </row>
    <row r="124" spans="1:64" x14ac:dyDescent="0.25">
      <c r="A124" s="1" t="s">
        <v>385</v>
      </c>
      <c r="B124" s="1" t="s">
        <v>384</v>
      </c>
      <c r="C124" s="13" t="s">
        <v>383</v>
      </c>
      <c r="D124" s="15"/>
      <c r="E124" s="17"/>
      <c r="F124" s="5">
        <v>6</v>
      </c>
      <c r="G124" s="14"/>
      <c r="H124" s="16"/>
      <c r="I124" s="11">
        <v>46221</v>
      </c>
      <c r="J124" s="4">
        <v>17</v>
      </c>
      <c r="K124" s="18">
        <f>(F124-(0)+0-(J124*Ventas!AE121*1))</f>
        <v>6</v>
      </c>
      <c r="L124" s="3"/>
      <c r="M124" s="22">
        <f>(G124+0)</f>
        <v>0</v>
      </c>
      <c r="N124" s="14"/>
      <c r="O124" s="25">
        <f t="shared" si="25"/>
        <v>0</v>
      </c>
      <c r="P124" s="16"/>
      <c r="Q124" s="12">
        <f t="shared" si="26"/>
        <v>6</v>
      </c>
      <c r="R124" s="5">
        <v>0</v>
      </c>
      <c r="S124" s="24">
        <v>0</v>
      </c>
      <c r="T124" s="26">
        <v>0</v>
      </c>
      <c r="U124" s="18">
        <f t="shared" si="27"/>
        <v>6</v>
      </c>
      <c r="V124" s="22">
        <f t="shared" si="28"/>
        <v>0</v>
      </c>
      <c r="W124" s="25">
        <f t="shared" si="29"/>
        <v>0</v>
      </c>
      <c r="X124" s="3"/>
      <c r="Y124" s="14"/>
      <c r="Z124" s="14"/>
      <c r="AA124" s="18">
        <v>10</v>
      </c>
      <c r="AB124" s="21">
        <v>7.901E-3</v>
      </c>
      <c r="AC124" s="11">
        <v>46313</v>
      </c>
      <c r="AD124" s="4">
        <v>92</v>
      </c>
      <c r="AE124" s="18">
        <f>(IF(K124&gt;0,K124+R124,R124)-(AD124*Ventas!AE121*1.0489))</f>
        <v>6</v>
      </c>
      <c r="AF124" s="3"/>
      <c r="AG124" s="22">
        <f>(G124+0)</f>
        <v>0</v>
      </c>
      <c r="AH124" s="14"/>
      <c r="AI124" s="25">
        <f t="shared" si="30"/>
        <v>0</v>
      </c>
      <c r="AJ124" s="16"/>
      <c r="AK124" s="12">
        <f t="shared" si="31"/>
        <v>6</v>
      </c>
      <c r="AL124" s="19">
        <f t="shared" si="32"/>
        <v>0</v>
      </c>
      <c r="AM124" s="18">
        <f>(180*(Ventas!AE121*0.9644) - IF(AE124&gt;0,AE124,0))</f>
        <v>-6</v>
      </c>
      <c r="AN124" s="18">
        <f t="shared" si="50"/>
        <v>0</v>
      </c>
      <c r="AO124" s="14"/>
      <c r="AP124" s="14">
        <f t="shared" si="47"/>
        <v>0</v>
      </c>
      <c r="AQ124" s="16">
        <f t="shared" si="33"/>
        <v>0</v>
      </c>
      <c r="AR124" s="37">
        <f>_xlfn.XLOOKUP(C124,[1]Hoja2!$C$6:$C$24,[1]Hoja2!$D$6:$D$24,0,2,1)</f>
        <v>0</v>
      </c>
      <c r="AS124" s="18">
        <f t="shared" si="34"/>
        <v>6</v>
      </c>
      <c r="AT124" s="14"/>
      <c r="AU124" s="37">
        <f>_xlfn.XLOOKUP(D124,[1]Hoja2!$E$6:$E$24,[1]Hoja2!$F$6:$F$24,0,2,1)</f>
        <v>0</v>
      </c>
      <c r="AV124" s="27">
        <v>0</v>
      </c>
      <c r="AW124" s="5">
        <v>3016</v>
      </c>
      <c r="AX124" s="14">
        <v>0</v>
      </c>
      <c r="AY124" s="14"/>
      <c r="AZ124" s="16">
        <f>_xlfn.XLOOKUP(C124,[2]PI!$B$15:$B$99,[2]PI!$L$15:$L$99,0,2,1)</f>
        <v>0</v>
      </c>
      <c r="BA124" s="16">
        <f>_xlfn.XLOOKUP(D124,[2]PI!$B$15:$B$99,[2]PI!$L$15:$L$99,0,2,1)</f>
        <v>0</v>
      </c>
      <c r="BB124" s="3"/>
      <c r="BC124" s="3"/>
      <c r="BD124" s="14"/>
      <c r="BE124" s="14"/>
      <c r="BF124" s="16"/>
      <c r="BG124" s="16"/>
      <c r="BH124" s="12">
        <f t="shared" si="35"/>
        <v>0</v>
      </c>
      <c r="BI124" s="19">
        <f t="shared" si="36"/>
        <v>0</v>
      </c>
      <c r="BJ124" s="1" t="s">
        <v>35</v>
      </c>
      <c r="BK124">
        <f t="shared" si="37"/>
        <v>0</v>
      </c>
      <c r="BL124">
        <f t="shared" si="38"/>
        <v>0</v>
      </c>
    </row>
    <row r="125" spans="1:64" x14ac:dyDescent="0.25">
      <c r="A125" s="1" t="s">
        <v>388</v>
      </c>
      <c r="B125" s="1" t="s">
        <v>387</v>
      </c>
      <c r="C125" s="13" t="s">
        <v>386</v>
      </c>
      <c r="D125" s="15"/>
      <c r="E125" s="17"/>
      <c r="F125" s="3"/>
      <c r="G125" s="14"/>
      <c r="H125" s="16"/>
      <c r="I125" s="11">
        <v>46221</v>
      </c>
      <c r="J125" s="4">
        <v>17</v>
      </c>
      <c r="K125" s="18">
        <f>(F125-(0)+0-(J125*Ventas!AE122*1))</f>
        <v>0</v>
      </c>
      <c r="L125" s="3"/>
      <c r="M125" s="22">
        <f>(G125+0)</f>
        <v>0</v>
      </c>
      <c r="N125" s="14"/>
      <c r="O125" s="25">
        <f t="shared" si="25"/>
        <v>0</v>
      </c>
      <c r="P125" s="16"/>
      <c r="Q125" s="12">
        <f t="shared" si="26"/>
        <v>0</v>
      </c>
      <c r="R125" s="5">
        <v>0</v>
      </c>
      <c r="S125" s="24">
        <v>0</v>
      </c>
      <c r="T125" s="26">
        <v>0</v>
      </c>
      <c r="U125" s="18">
        <f t="shared" si="27"/>
        <v>0</v>
      </c>
      <c r="V125" s="22">
        <f t="shared" si="28"/>
        <v>0</v>
      </c>
      <c r="W125" s="25">
        <f t="shared" si="29"/>
        <v>0</v>
      </c>
      <c r="X125" s="3"/>
      <c r="Y125" s="14"/>
      <c r="Z125" s="14"/>
      <c r="AA125" s="3"/>
      <c r="AB125" s="3"/>
      <c r="AC125" s="11">
        <v>46313</v>
      </c>
      <c r="AD125" s="4">
        <v>92</v>
      </c>
      <c r="AE125" s="18">
        <f>(IF(K125&gt;0,K125+R125,R125)-(AD125*Ventas!AE122*1.0489))</f>
        <v>0</v>
      </c>
      <c r="AF125" s="3"/>
      <c r="AG125" s="22">
        <f>(G125+0)</f>
        <v>0</v>
      </c>
      <c r="AH125" s="14"/>
      <c r="AI125" s="25">
        <f t="shared" si="30"/>
        <v>0</v>
      </c>
      <c r="AJ125" s="16"/>
      <c r="AK125" s="12">
        <f t="shared" si="31"/>
        <v>0</v>
      </c>
      <c r="AL125" s="19">
        <f t="shared" si="32"/>
        <v>0</v>
      </c>
      <c r="AM125" s="18">
        <f>(180*(Ventas!AE122*0.9644) - IF(AE125&gt;0,AE125,0))</f>
        <v>0</v>
      </c>
      <c r="AN125" s="18">
        <f t="shared" si="50"/>
        <v>0</v>
      </c>
      <c r="AO125" s="14"/>
      <c r="AP125" s="14">
        <f t="shared" si="47"/>
        <v>0</v>
      </c>
      <c r="AQ125" s="16">
        <f t="shared" si="33"/>
        <v>0</v>
      </c>
      <c r="AR125" s="37">
        <f>_xlfn.XLOOKUP(C125,[1]Hoja2!$C$6:$C$24,[1]Hoja2!$D$6:$D$24,0,2,1)</f>
        <v>0</v>
      </c>
      <c r="AS125" s="18">
        <f t="shared" si="34"/>
        <v>0</v>
      </c>
      <c r="AT125" s="14"/>
      <c r="AU125" s="37">
        <f>_xlfn.XLOOKUP(D125,[1]Hoja2!$E$6:$E$24,[1]Hoja2!$F$6:$F$24,0,2,1)</f>
        <v>0</v>
      </c>
      <c r="AV125" s="3">
        <v>0</v>
      </c>
      <c r="AW125" s="3"/>
      <c r="AX125" s="14">
        <v>0</v>
      </c>
      <c r="AY125" s="14"/>
      <c r="AZ125" s="16">
        <f>_xlfn.XLOOKUP(C125,[2]PI!$B$15:$B$99,[2]PI!$L$15:$L$99,0,2,1)</f>
        <v>0</v>
      </c>
      <c r="BA125" s="16">
        <f>_xlfn.XLOOKUP(D125,[2]PI!$B$15:$B$99,[2]PI!$L$15:$L$99,0,2,1)</f>
        <v>0</v>
      </c>
      <c r="BB125" s="3"/>
      <c r="BC125" s="3"/>
      <c r="BD125" s="14"/>
      <c r="BE125" s="14"/>
      <c r="BF125" s="16"/>
      <c r="BG125" s="16"/>
      <c r="BH125" s="12">
        <f t="shared" si="35"/>
        <v>0</v>
      </c>
      <c r="BI125" s="19">
        <f t="shared" si="36"/>
        <v>0</v>
      </c>
      <c r="BJ125" s="1" t="s">
        <v>51</v>
      </c>
      <c r="BK125">
        <f t="shared" si="37"/>
        <v>0</v>
      </c>
      <c r="BL125">
        <f t="shared" si="38"/>
        <v>0</v>
      </c>
    </row>
    <row r="126" spans="1:64" x14ac:dyDescent="0.25">
      <c r="A126" s="1" t="s">
        <v>391</v>
      </c>
      <c r="B126" s="1" t="s">
        <v>390</v>
      </c>
      <c r="C126" s="13" t="s">
        <v>389</v>
      </c>
      <c r="D126" s="15"/>
      <c r="E126" s="17"/>
      <c r="F126" s="3"/>
      <c r="G126" s="14"/>
      <c r="H126" s="16"/>
      <c r="I126" s="11">
        <v>46221</v>
      </c>
      <c r="J126" s="4">
        <v>17</v>
      </c>
      <c r="K126" s="18">
        <f>(F126-(0)+0-(J126*Ventas!AE123*1))</f>
        <v>0</v>
      </c>
      <c r="L126" s="3"/>
      <c r="M126" s="22">
        <f>(G126+0)</f>
        <v>0</v>
      </c>
      <c r="N126" s="14"/>
      <c r="O126" s="25">
        <f t="shared" si="25"/>
        <v>0</v>
      </c>
      <c r="P126" s="16"/>
      <c r="Q126" s="12">
        <f t="shared" si="26"/>
        <v>0</v>
      </c>
      <c r="R126" s="5">
        <v>0</v>
      </c>
      <c r="S126" s="24">
        <v>0</v>
      </c>
      <c r="T126" s="26">
        <v>0</v>
      </c>
      <c r="U126" s="18">
        <f t="shared" si="27"/>
        <v>0</v>
      </c>
      <c r="V126" s="22">
        <f t="shared" si="28"/>
        <v>0</v>
      </c>
      <c r="W126" s="25">
        <f t="shared" si="29"/>
        <v>0</v>
      </c>
      <c r="X126" s="3"/>
      <c r="Y126" s="14"/>
      <c r="Z126" s="14"/>
      <c r="AA126" s="18">
        <v>10</v>
      </c>
      <c r="AB126" s="21">
        <v>6.6360000000000004E-3</v>
      </c>
      <c r="AC126" s="11">
        <v>46313</v>
      </c>
      <c r="AD126" s="4">
        <v>92</v>
      </c>
      <c r="AE126" s="18">
        <f>(IF(K126&gt;0,K126+R126,R126)-(AD126*Ventas!AE123*1.0489))</f>
        <v>0</v>
      </c>
      <c r="AF126" s="3"/>
      <c r="AG126" s="22">
        <f>(G126+0)</f>
        <v>0</v>
      </c>
      <c r="AH126" s="14"/>
      <c r="AI126" s="25">
        <f t="shared" si="30"/>
        <v>0</v>
      </c>
      <c r="AJ126" s="16"/>
      <c r="AK126" s="12">
        <f t="shared" si="31"/>
        <v>0</v>
      </c>
      <c r="AL126" s="19">
        <f t="shared" si="32"/>
        <v>0</v>
      </c>
      <c r="AM126" s="18">
        <f>(180*(Ventas!AE123*0.9644) - IF(AE126&gt;0,AE126,0))</f>
        <v>0</v>
      </c>
      <c r="AN126" s="18">
        <f t="shared" si="50"/>
        <v>0</v>
      </c>
      <c r="AO126" s="14"/>
      <c r="AP126" s="14">
        <f t="shared" si="47"/>
        <v>0</v>
      </c>
      <c r="AQ126" s="16">
        <f t="shared" si="33"/>
        <v>0</v>
      </c>
      <c r="AR126" s="37">
        <f>_xlfn.XLOOKUP(C126,[1]Hoja2!$C$6:$C$24,[1]Hoja2!$D$6:$D$24,0,2,1)</f>
        <v>0</v>
      </c>
      <c r="AS126" s="18">
        <f t="shared" si="34"/>
        <v>0</v>
      </c>
      <c r="AT126" s="14"/>
      <c r="AU126" s="37">
        <f>_xlfn.XLOOKUP(D126,[1]Hoja2!$E$6:$E$24,[1]Hoja2!$F$6:$F$24,0,2,1)</f>
        <v>0</v>
      </c>
      <c r="AV126" s="3">
        <v>0</v>
      </c>
      <c r="AW126" s="3"/>
      <c r="AX126" s="14">
        <v>0</v>
      </c>
      <c r="AY126" s="14"/>
      <c r="AZ126" s="16">
        <f>_xlfn.XLOOKUP(C126,[2]PI!$B$15:$B$99,[2]PI!$L$15:$L$99,0,2,1)</f>
        <v>0</v>
      </c>
      <c r="BA126" s="16">
        <f>_xlfn.XLOOKUP(D126,[2]PI!$B$15:$B$99,[2]PI!$L$15:$L$99,0,2,1)</f>
        <v>0</v>
      </c>
      <c r="BB126" s="3"/>
      <c r="BC126" s="3"/>
      <c r="BD126" s="14"/>
      <c r="BE126" s="14"/>
      <c r="BF126" s="16"/>
      <c r="BG126" s="16"/>
      <c r="BH126" s="12">
        <f t="shared" si="35"/>
        <v>0</v>
      </c>
      <c r="BI126" s="19">
        <f t="shared" si="36"/>
        <v>0</v>
      </c>
      <c r="BJ126" s="1" t="s">
        <v>51</v>
      </c>
      <c r="BK126">
        <f t="shared" si="37"/>
        <v>0</v>
      </c>
      <c r="BL126">
        <f t="shared" si="38"/>
        <v>0</v>
      </c>
    </row>
    <row r="127" spans="1:64" x14ac:dyDescent="0.25">
      <c r="A127" s="1" t="s">
        <v>394</v>
      </c>
      <c r="B127" s="1" t="s">
        <v>393</v>
      </c>
      <c r="C127" s="13" t="s">
        <v>392</v>
      </c>
      <c r="D127" s="15" t="s">
        <v>1549</v>
      </c>
      <c r="E127" s="17"/>
      <c r="F127" s="3"/>
      <c r="G127" s="14"/>
      <c r="H127" s="16"/>
      <c r="I127" s="11">
        <v>46221</v>
      </c>
      <c r="J127" s="4">
        <v>17</v>
      </c>
      <c r="K127" s="18">
        <f>(F127-(0)+0-(J127*Ventas!AE124*1))</f>
        <v>0</v>
      </c>
      <c r="L127" s="3"/>
      <c r="M127" s="22">
        <f>(G127-(0)+0-(J127*Ventas!AE517*1))</f>
        <v>0</v>
      </c>
      <c r="N127" s="14"/>
      <c r="O127" s="25">
        <f t="shared" si="25"/>
        <v>0</v>
      </c>
      <c r="P127" s="16"/>
      <c r="Q127" s="12">
        <f t="shared" si="26"/>
        <v>0</v>
      </c>
      <c r="R127" s="5">
        <v>0</v>
      </c>
      <c r="S127" s="24">
        <v>0</v>
      </c>
      <c r="T127" s="26">
        <v>0</v>
      </c>
      <c r="U127" s="18">
        <f t="shared" si="27"/>
        <v>0</v>
      </c>
      <c r="V127" s="22">
        <f t="shared" si="28"/>
        <v>0</v>
      </c>
      <c r="W127" s="25">
        <f t="shared" si="29"/>
        <v>0</v>
      </c>
      <c r="X127" s="3"/>
      <c r="Y127" s="14"/>
      <c r="Z127" s="14"/>
      <c r="AA127" s="18">
        <v>4</v>
      </c>
      <c r="AB127" s="21">
        <v>2.2742999999999999E-2</v>
      </c>
      <c r="AC127" s="11">
        <v>46313</v>
      </c>
      <c r="AD127" s="4">
        <v>92</v>
      </c>
      <c r="AE127" s="18">
        <f>(IF(K127&gt;0,K127+R127,R127)-(AD127*Ventas!AE124*1.0489))</f>
        <v>0</v>
      </c>
      <c r="AF127" s="3"/>
      <c r="AG127" s="22">
        <f>(IF(M127&gt;0,M127+S127,S127)-(AD127*Ventas!AE517*1.0489))</f>
        <v>0</v>
      </c>
      <c r="AH127" s="14"/>
      <c r="AI127" s="25">
        <f t="shared" si="30"/>
        <v>0</v>
      </c>
      <c r="AJ127" s="16"/>
      <c r="AK127" s="12">
        <f t="shared" si="31"/>
        <v>0</v>
      </c>
      <c r="AL127" s="19">
        <f t="shared" si="32"/>
        <v>0</v>
      </c>
      <c r="AM127" s="18">
        <f>(180*(Ventas!AE124*0.9644) - IF(AE127&gt;0,AE127,0))</f>
        <v>0</v>
      </c>
      <c r="AN127" s="18">
        <f t="shared" si="50"/>
        <v>0</v>
      </c>
      <c r="AO127" s="22">
        <f>(180*(Ventas!AE517*0.9644) - IF(AG127&gt;0,AG127,0))</f>
        <v>0</v>
      </c>
      <c r="AP127" s="22">
        <f t="shared" si="47"/>
        <v>0</v>
      </c>
      <c r="AQ127" s="16">
        <f t="shared" si="33"/>
        <v>0</v>
      </c>
      <c r="AR127" s="37">
        <f>_xlfn.XLOOKUP(C127,[1]Hoja2!$C$6:$C$24,[1]Hoja2!$D$6:$D$24,0,2,1)</f>
        <v>0</v>
      </c>
      <c r="AS127" s="18">
        <f t="shared" si="34"/>
        <v>0</v>
      </c>
      <c r="AT127" s="22">
        <f>IF(AG127&gt;0,AG127+IF(AP127&gt;0,AP127,0),AP127)</f>
        <v>0</v>
      </c>
      <c r="AU127" s="37">
        <f>_xlfn.XLOOKUP(D127,[1]Hoja2!$E$6:$E$24,[1]Hoja2!$F$6:$F$24,0,2,1)</f>
        <v>0</v>
      </c>
      <c r="AV127" s="27">
        <v>0</v>
      </c>
      <c r="AW127" s="5">
        <v>3013</v>
      </c>
      <c r="AX127" s="14">
        <v>0</v>
      </c>
      <c r="AY127" s="14"/>
      <c r="AZ127" s="16">
        <f>_xlfn.XLOOKUP(C127,[2]PI!$B$15:$B$99,[2]PI!$L$15:$L$99,0,2,1)</f>
        <v>0</v>
      </c>
      <c r="BA127" s="16">
        <f>_xlfn.XLOOKUP(D127,[2]PI!$B$15:$B$99,[2]PI!$L$15:$L$99,0,2,1)</f>
        <v>0</v>
      </c>
      <c r="BB127" s="3"/>
      <c r="BC127" s="3"/>
      <c r="BD127" s="14"/>
      <c r="BE127" s="14"/>
      <c r="BF127" s="16"/>
      <c r="BG127" s="16"/>
      <c r="BH127" s="12">
        <f t="shared" si="35"/>
        <v>0</v>
      </c>
      <c r="BI127" s="19">
        <f t="shared" si="36"/>
        <v>0</v>
      </c>
      <c r="BJ127" s="1" t="s">
        <v>51</v>
      </c>
      <c r="BK127">
        <f t="shared" si="37"/>
        <v>0</v>
      </c>
      <c r="BL127">
        <f t="shared" si="38"/>
        <v>0</v>
      </c>
    </row>
    <row r="128" spans="1:64" x14ac:dyDescent="0.25">
      <c r="A128" s="1" t="s">
        <v>397</v>
      </c>
      <c r="B128" s="1" t="s">
        <v>396</v>
      </c>
      <c r="C128" s="13" t="s">
        <v>395</v>
      </c>
      <c r="D128" s="15" t="s">
        <v>1551</v>
      </c>
      <c r="E128" s="17"/>
      <c r="F128" s="5">
        <v>2137</v>
      </c>
      <c r="G128" s="24">
        <v>357</v>
      </c>
      <c r="H128" s="16"/>
      <c r="I128" s="11">
        <v>46221</v>
      </c>
      <c r="J128" s="4">
        <v>17</v>
      </c>
      <c r="K128" s="18">
        <f>(F128-(0)+0-(J128*Ventas!AE125*1))</f>
        <v>1830.9380714285714</v>
      </c>
      <c r="L128" s="20">
        <f>(K128/(Ventas!AE125*1)/80)</f>
        <v>1.2712274995933364</v>
      </c>
      <c r="M128" s="22">
        <f>(G128-(0)+0-(J128*Ventas!AE518*1))</f>
        <v>305.5206</v>
      </c>
      <c r="N128" s="23">
        <f>(M128/(Ventas!AE518*1)/80)</f>
        <v>1.2611477115117888</v>
      </c>
      <c r="O128" s="25">
        <f t="shared" si="25"/>
        <v>0</v>
      </c>
      <c r="P128" s="16"/>
      <c r="Q128" s="12">
        <f t="shared" si="26"/>
        <v>2136.4586714285715</v>
      </c>
      <c r="R128" s="5">
        <v>1590</v>
      </c>
      <c r="S128" s="24">
        <v>0</v>
      </c>
      <c r="T128" s="26">
        <v>0</v>
      </c>
      <c r="U128" s="18">
        <f t="shared" si="27"/>
        <v>3420.9380714285717</v>
      </c>
      <c r="V128" s="22">
        <f t="shared" si="28"/>
        <v>305.5206</v>
      </c>
      <c r="W128" s="25">
        <f t="shared" si="29"/>
        <v>0</v>
      </c>
      <c r="X128" s="18">
        <v>1.75</v>
      </c>
      <c r="Y128" s="14"/>
      <c r="Z128" s="14"/>
      <c r="AA128" s="18">
        <v>20</v>
      </c>
      <c r="AB128" s="21">
        <v>2.8779999999999999E-3</v>
      </c>
      <c r="AC128" s="11">
        <v>46313</v>
      </c>
      <c r="AD128" s="4">
        <v>92</v>
      </c>
      <c r="AE128" s="18">
        <f>(IF(K128&gt;0,K128+R128,R128)-(AD128*Ventas!AE125*1.0489))</f>
        <v>1683.6081400857145</v>
      </c>
      <c r="AF128" s="20">
        <f>(AE128/(Ventas!AE125*1.0489)/80)</f>
        <v>1.1144396502753156</v>
      </c>
      <c r="AG128" s="22">
        <f>(IF(M128&gt;0,M128+S128,S128)-(AD128*Ventas!AE518*1.0489))</f>
        <v>13.302933839999923</v>
      </c>
      <c r="AH128" s="23">
        <f>(AG128/(Ventas!AE518*1.0489)/80)</f>
        <v>5.2352666137657412E-2</v>
      </c>
      <c r="AI128" s="25">
        <f t="shared" si="30"/>
        <v>0</v>
      </c>
      <c r="AJ128" s="16"/>
      <c r="AK128" s="12">
        <f t="shared" si="31"/>
        <v>1696.9110739257144</v>
      </c>
      <c r="AL128" s="19">
        <f t="shared" si="32"/>
        <v>0.98167877725810826</v>
      </c>
      <c r="AM128" s="18">
        <f>(180*(Ventas!AE125*0.9644) - IF(AE128&gt;0,AE128,0))</f>
        <v>1441.680230771429</v>
      </c>
      <c r="AN128" s="18">
        <f>IF(AM128&gt;3,CEILING(AM128*0.8,5),0)</f>
        <v>1155</v>
      </c>
      <c r="AO128" s="22">
        <f>(180*(Ventas!AE518*0.9644) - IF(AG128&gt;0,AG128,0))</f>
        <v>512.36836056000016</v>
      </c>
      <c r="AP128" s="42">
        <v>420</v>
      </c>
      <c r="AQ128" s="16">
        <f t="shared" si="33"/>
        <v>4.5328499999999998</v>
      </c>
      <c r="AR128" s="37">
        <f>_xlfn.XLOOKUP(C128,[1]Hoja2!$C$6:$C$24,[1]Hoja2!$D$6:$D$24,0,2,1)</f>
        <v>0</v>
      </c>
      <c r="AS128" s="18">
        <f t="shared" si="34"/>
        <v>2838.6081400857147</v>
      </c>
      <c r="AT128" s="22">
        <f>IF(AG128&gt;0,AG128+IF(AP128&gt;0,AP128,0),AP128)</f>
        <v>433.30293383999992</v>
      </c>
      <c r="AU128" s="37">
        <f>_xlfn.XLOOKUP(D128,[1]Hoja2!$E$6:$E$24,[1]Hoja2!$F$6:$F$24,0,2,1)</f>
        <v>0</v>
      </c>
      <c r="AV128" s="27">
        <v>1.75</v>
      </c>
      <c r="AW128" s="5">
        <v>3016</v>
      </c>
      <c r="AX128" s="28">
        <v>1.75</v>
      </c>
      <c r="AY128" s="14"/>
      <c r="AZ128" s="16">
        <f>_xlfn.XLOOKUP(C128,[2]PI!$B$15:$B$99,[2]PI!$L$15:$L$99,0,2,1)</f>
        <v>1.75</v>
      </c>
      <c r="BA128" s="16">
        <f>_xlfn.XLOOKUP(D128,[2]PI!$B$15:$B$99,[2]PI!$L$15:$L$99,0,2,1)</f>
        <v>1.75</v>
      </c>
      <c r="BB128" s="18">
        <f>(AS128-(90*Ventas!AE125*0.9644))</f>
        <v>1275.9639546571434</v>
      </c>
      <c r="BC128" s="20">
        <f>(BB128/(Ventas!AE125*0.9644)/80)</f>
        <v>0.91860927930666203</v>
      </c>
      <c r="BD128" s="22">
        <f>(AT128-(90*Ventas!AE518*0.9644))</f>
        <v>170.46728663999983</v>
      </c>
      <c r="BE128" s="23">
        <f>(BD128/(Ventas!AE518*0.9644)/80)</f>
        <v>0.72964112559690786</v>
      </c>
      <c r="BF128" s="16"/>
      <c r="BG128" s="16"/>
      <c r="BH128" s="12">
        <f t="shared" si="35"/>
        <v>1446.4312412971433</v>
      </c>
      <c r="BI128" s="19">
        <f t="shared" si="36"/>
        <v>0.89498826009294274</v>
      </c>
      <c r="BJ128" s="1" t="s">
        <v>35</v>
      </c>
      <c r="BK128">
        <f t="shared" si="37"/>
        <v>2756.25</v>
      </c>
      <c r="BL128">
        <f t="shared" si="38"/>
        <v>2756.25</v>
      </c>
    </row>
    <row r="129" spans="1:64" x14ac:dyDescent="0.25">
      <c r="A129" s="1" t="s">
        <v>400</v>
      </c>
      <c r="B129" s="1" t="s">
        <v>399</v>
      </c>
      <c r="C129" s="13" t="s">
        <v>398</v>
      </c>
      <c r="D129" s="15" t="s">
        <v>1554</v>
      </c>
      <c r="E129" s="17"/>
      <c r="F129" s="5">
        <v>110</v>
      </c>
      <c r="G129" s="24">
        <v>6</v>
      </c>
      <c r="H129" s="16"/>
      <c r="I129" s="11">
        <v>46221</v>
      </c>
      <c r="J129" s="4">
        <v>17</v>
      </c>
      <c r="K129" s="18">
        <f>(F129-(0)+0-(J129*Ventas!AE126*1))</f>
        <v>100.13271428571429</v>
      </c>
      <c r="L129" s="20">
        <f>(K129/(Ventas!AE126*1)/80)</f>
        <v>2.1564392074821557</v>
      </c>
      <c r="M129" s="22">
        <f>(G129-(0)+0-(J129*Ventas!AE519*1))</f>
        <v>5.9295714285714283</v>
      </c>
      <c r="N129" s="23">
        <f>(M129/(Ventas!AE519*1)/85)</f>
        <v>16.838539553752533</v>
      </c>
      <c r="O129" s="25">
        <f t="shared" si="25"/>
        <v>0</v>
      </c>
      <c r="P129" s="16"/>
      <c r="Q129" s="12">
        <f t="shared" si="26"/>
        <v>106.06228571428571</v>
      </c>
      <c r="R129" s="5">
        <v>0</v>
      </c>
      <c r="S129" s="24">
        <v>0</v>
      </c>
      <c r="T129" s="26">
        <v>0</v>
      </c>
      <c r="U129" s="18">
        <f t="shared" si="27"/>
        <v>100.13271428571429</v>
      </c>
      <c r="V129" s="22">
        <f t="shared" si="28"/>
        <v>5.9295714285714283</v>
      </c>
      <c r="W129" s="25">
        <f t="shared" si="29"/>
        <v>0</v>
      </c>
      <c r="X129" s="3"/>
      <c r="Y129" s="14"/>
      <c r="Z129" s="14"/>
      <c r="AA129" s="18">
        <v>20</v>
      </c>
      <c r="AB129" s="21">
        <v>2.9139999999999999E-3</v>
      </c>
      <c r="AC129" s="11">
        <v>46313</v>
      </c>
      <c r="AD129" s="4">
        <v>92</v>
      </c>
      <c r="AE129" s="18">
        <f>(IF(K129&gt;0,K129+R129,R129)-(AD129*Ventas!AE126*1.0489))</f>
        <v>44.12205365714285</v>
      </c>
      <c r="AF129" s="20">
        <f>(AE129/(Ventas!AE126*1.0489)/80)</f>
        <v>0.90590543186400596</v>
      </c>
      <c r="AG129" s="22">
        <f>(IF(M129&gt;0,M129+S129,S129)-(AD129*Ventas!AE519*1.0489))</f>
        <v>5.5297906857142856</v>
      </c>
      <c r="AH129" s="23">
        <f>(AG129/(Ventas!AE519*1.0489)/85)</f>
        <v>14.971169371486827</v>
      </c>
      <c r="AI129" s="25">
        <f t="shared" si="30"/>
        <v>0</v>
      </c>
      <c r="AJ129" s="16"/>
      <c r="AK129" s="12">
        <f t="shared" si="31"/>
        <v>49.651844342857132</v>
      </c>
      <c r="AL129" s="19">
        <f t="shared" si="32"/>
        <v>2.6640634243168586</v>
      </c>
      <c r="AM129" s="18">
        <f>(180*(Ventas!AE126*0.9644) - IF(AE129&gt;0,AE129,0))</f>
        <v>56.635702914285737</v>
      </c>
      <c r="AN129" s="18">
        <v>60</v>
      </c>
      <c r="AO129" s="22">
        <f>(180*(Ventas!AE519*0.9644) - IF(AG129&gt;0,AG129,0))</f>
        <v>-4.810623828571428</v>
      </c>
      <c r="AP129" s="22">
        <f t="shared" ref="AP129:AP150" si="51">IF(AO129&gt;3,CEILING(AO129,5),0)</f>
        <v>0</v>
      </c>
      <c r="AQ129" s="16">
        <f t="shared" si="33"/>
        <v>0.17484</v>
      </c>
      <c r="AR129" s="37">
        <f>_xlfn.XLOOKUP(C129,[1]Hoja2!$C$6:$C$24,[1]Hoja2!$D$6:$D$24,0,2,1)</f>
        <v>90</v>
      </c>
      <c r="AS129" s="18">
        <f t="shared" si="34"/>
        <v>104.12205365714286</v>
      </c>
      <c r="AT129" s="22">
        <f>IF(AG129&gt;0,AG129+IF(AP129&gt;0,AP129,0),AP129)</f>
        <v>5.5297906857142856</v>
      </c>
      <c r="AU129" s="37">
        <f>_xlfn.XLOOKUP(D129,[1]Hoja2!$E$6:$E$24,[1]Hoja2!$F$6:$F$24,0,2,1)</f>
        <v>0</v>
      </c>
      <c r="AV129" s="27">
        <v>2.35</v>
      </c>
      <c r="AW129" s="5">
        <v>3016</v>
      </c>
      <c r="AX129" s="28">
        <v>0</v>
      </c>
      <c r="AY129" s="14"/>
      <c r="AZ129" s="16">
        <f>_xlfn.XLOOKUP(C129,[2]PI!$B$15:$B$99,[2]PI!$L$15:$L$99,0,2,1)</f>
        <v>2.35</v>
      </c>
      <c r="BA129" s="16">
        <f>_xlfn.XLOOKUP(D129,[2]PI!$B$15:$B$99,[2]PI!$L$15:$L$99,0,2,1)</f>
        <v>0</v>
      </c>
      <c r="BB129" s="18">
        <f>(AS129-(90*Ventas!AE126*0.9644))</f>
        <v>53.743175371428563</v>
      </c>
      <c r="BC129" s="20">
        <f>(BB129/(Ventas!AE126*0.9644)/80)</f>
        <v>1.2001274016059582</v>
      </c>
      <c r="BD129" s="22">
        <f>(AT129-(90*Ventas!AE519*0.9644))</f>
        <v>5.1702072571428568</v>
      </c>
      <c r="BE129" s="23">
        <f>(BD129/(Ventas!AE519*0.9644)/85)</f>
        <v>15.224108401065767</v>
      </c>
      <c r="BF129" s="16"/>
      <c r="BG129" s="16"/>
      <c r="BH129" s="12">
        <f t="shared" si="35"/>
        <v>58.913382628571419</v>
      </c>
      <c r="BI129" s="19">
        <f t="shared" si="36"/>
        <v>2.9531250265384346</v>
      </c>
      <c r="BJ129" s="1" t="s">
        <v>35</v>
      </c>
      <c r="BK129">
        <f t="shared" si="37"/>
        <v>141</v>
      </c>
      <c r="BL129">
        <f t="shared" si="38"/>
        <v>141</v>
      </c>
    </row>
    <row r="130" spans="1:64" x14ac:dyDescent="0.25">
      <c r="A130" s="1"/>
      <c r="B130" s="1" t="s">
        <v>402</v>
      </c>
      <c r="C130" s="13" t="s">
        <v>401</v>
      </c>
      <c r="D130" s="15"/>
      <c r="E130" s="17"/>
      <c r="F130" s="3"/>
      <c r="G130" s="14"/>
      <c r="H130" s="16"/>
      <c r="I130" s="11">
        <v>46221</v>
      </c>
      <c r="J130" s="4">
        <v>17</v>
      </c>
      <c r="K130" s="18">
        <f>(F130-(0)+0-(J130*Ventas!AE127*1))</f>
        <v>0</v>
      </c>
      <c r="L130" s="3"/>
      <c r="M130" s="22">
        <f>(G130+0)</f>
        <v>0</v>
      </c>
      <c r="N130" s="14"/>
      <c r="O130" s="25">
        <f t="shared" si="25"/>
        <v>0</v>
      </c>
      <c r="P130" s="16"/>
      <c r="Q130" s="12">
        <f t="shared" si="26"/>
        <v>0</v>
      </c>
      <c r="R130" s="5">
        <v>0</v>
      </c>
      <c r="S130" s="24">
        <v>0</v>
      </c>
      <c r="T130" s="26">
        <v>0</v>
      </c>
      <c r="U130" s="18">
        <f t="shared" si="27"/>
        <v>0</v>
      </c>
      <c r="V130" s="22">
        <f t="shared" si="28"/>
        <v>0</v>
      </c>
      <c r="W130" s="25">
        <f t="shared" si="29"/>
        <v>0</v>
      </c>
      <c r="X130" s="3"/>
      <c r="Y130" s="14"/>
      <c r="Z130" s="14"/>
      <c r="AA130" s="3"/>
      <c r="AB130" s="3"/>
      <c r="AC130" s="11">
        <v>46313</v>
      </c>
      <c r="AD130" s="4">
        <v>92</v>
      </c>
      <c r="AE130" s="18">
        <f>(IF(K130&gt;0,K130+R130,R130)-(AD130*Ventas!AE127*1.0489))</f>
        <v>0</v>
      </c>
      <c r="AF130" s="3"/>
      <c r="AG130" s="22">
        <f>(G130+0)</f>
        <v>0</v>
      </c>
      <c r="AH130" s="14"/>
      <c r="AI130" s="25">
        <f t="shared" si="30"/>
        <v>0</v>
      </c>
      <c r="AJ130" s="16"/>
      <c r="AK130" s="12">
        <f t="shared" si="31"/>
        <v>0</v>
      </c>
      <c r="AL130" s="19">
        <f t="shared" si="32"/>
        <v>0</v>
      </c>
      <c r="AM130" s="18">
        <f>(180*(Ventas!AE127*0.9644) - IF(AE130&gt;0,AE130,0))</f>
        <v>0</v>
      </c>
      <c r="AN130" s="18">
        <f>IF(AM130&gt;3,CEILING(AM130,5),0)</f>
        <v>0</v>
      </c>
      <c r="AO130" s="14"/>
      <c r="AP130" s="14">
        <f t="shared" si="51"/>
        <v>0</v>
      </c>
      <c r="AQ130" s="16">
        <f t="shared" si="33"/>
        <v>0</v>
      </c>
      <c r="AR130" s="37">
        <f>_xlfn.XLOOKUP(C130,[1]Hoja2!$C$6:$C$24,[1]Hoja2!$D$6:$D$24,0,2,1)</f>
        <v>0</v>
      </c>
      <c r="AS130" s="18">
        <f t="shared" si="34"/>
        <v>0</v>
      </c>
      <c r="AT130" s="14"/>
      <c r="AU130" s="37">
        <f>_xlfn.XLOOKUP(D130,[1]Hoja2!$E$6:$E$24,[1]Hoja2!$F$6:$F$24,0,2,1)</f>
        <v>0</v>
      </c>
      <c r="AV130" s="3">
        <v>0</v>
      </c>
      <c r="AW130" s="3"/>
      <c r="AX130" s="14">
        <v>0</v>
      </c>
      <c r="AY130" s="14"/>
      <c r="AZ130" s="16">
        <f>_xlfn.XLOOKUP(C130,[2]PI!$B$15:$B$99,[2]PI!$L$15:$L$99,0,2,1)</f>
        <v>0</v>
      </c>
      <c r="BA130" s="16">
        <f>_xlfn.XLOOKUP(D130,[2]PI!$B$15:$B$99,[2]PI!$L$15:$L$99,0,2,1)</f>
        <v>0</v>
      </c>
      <c r="BB130" s="3"/>
      <c r="BC130" s="3"/>
      <c r="BD130" s="14"/>
      <c r="BE130" s="14"/>
      <c r="BF130" s="16"/>
      <c r="BG130" s="16"/>
      <c r="BH130" s="12">
        <f t="shared" si="35"/>
        <v>0</v>
      </c>
      <c r="BI130" s="19">
        <f t="shared" si="36"/>
        <v>0</v>
      </c>
      <c r="BJ130" s="1" t="s">
        <v>51</v>
      </c>
      <c r="BK130">
        <f t="shared" si="37"/>
        <v>0</v>
      </c>
      <c r="BL130">
        <f t="shared" si="38"/>
        <v>0</v>
      </c>
    </row>
    <row r="131" spans="1:64" x14ac:dyDescent="0.25">
      <c r="A131" s="1" t="s">
        <v>405</v>
      </c>
      <c r="B131" s="1" t="s">
        <v>404</v>
      </c>
      <c r="C131" s="13" t="s">
        <v>403</v>
      </c>
      <c r="D131" s="15"/>
      <c r="E131" s="17"/>
      <c r="F131" s="3"/>
      <c r="G131" s="14"/>
      <c r="H131" s="16"/>
      <c r="I131" s="11">
        <v>46221</v>
      </c>
      <c r="J131" s="4">
        <v>17</v>
      </c>
      <c r="K131" s="18">
        <f>(F131-(0)+0-(J131*Ventas!AE128*1))</f>
        <v>0</v>
      </c>
      <c r="L131" s="3"/>
      <c r="M131" s="22">
        <f>(G131+0)</f>
        <v>0</v>
      </c>
      <c r="N131" s="14"/>
      <c r="O131" s="25">
        <f t="shared" si="25"/>
        <v>0</v>
      </c>
      <c r="P131" s="16"/>
      <c r="Q131" s="12">
        <f t="shared" si="26"/>
        <v>0</v>
      </c>
      <c r="R131" s="5">
        <v>0</v>
      </c>
      <c r="S131" s="24">
        <v>0</v>
      </c>
      <c r="T131" s="26">
        <v>0</v>
      </c>
      <c r="U131" s="18">
        <f t="shared" si="27"/>
        <v>0</v>
      </c>
      <c r="V131" s="22">
        <f t="shared" si="28"/>
        <v>0</v>
      </c>
      <c r="W131" s="25">
        <f t="shared" si="29"/>
        <v>0</v>
      </c>
      <c r="X131" s="3"/>
      <c r="Y131" s="14"/>
      <c r="Z131" s="14"/>
      <c r="AA131" s="18">
        <v>8</v>
      </c>
      <c r="AB131" s="21">
        <v>1.176E-2</v>
      </c>
      <c r="AC131" s="11">
        <v>46313</v>
      </c>
      <c r="AD131" s="4">
        <v>92</v>
      </c>
      <c r="AE131" s="18">
        <f>(IF(K131&gt;0,K131+R131,R131)-(AD131*Ventas!AE128*1.0489))</f>
        <v>0</v>
      </c>
      <c r="AF131" s="3"/>
      <c r="AG131" s="22">
        <f>(G131+0)</f>
        <v>0</v>
      </c>
      <c r="AH131" s="14"/>
      <c r="AI131" s="25">
        <f t="shared" si="30"/>
        <v>0</v>
      </c>
      <c r="AJ131" s="16"/>
      <c r="AK131" s="12">
        <f t="shared" si="31"/>
        <v>0</v>
      </c>
      <c r="AL131" s="19">
        <f t="shared" si="32"/>
        <v>0</v>
      </c>
      <c r="AM131" s="18">
        <f>(180*(Ventas!AE128*0.9644) - IF(AE131&gt;0,AE131,0))</f>
        <v>0</v>
      </c>
      <c r="AN131" s="18">
        <f>IF(AM131&gt;3,CEILING(AM131,5),0)</f>
        <v>0</v>
      </c>
      <c r="AO131" s="14"/>
      <c r="AP131" s="14">
        <f t="shared" si="51"/>
        <v>0</v>
      </c>
      <c r="AQ131" s="16">
        <f t="shared" si="33"/>
        <v>0</v>
      </c>
      <c r="AR131" s="37">
        <f>_xlfn.XLOOKUP(C131,[1]Hoja2!$C$6:$C$24,[1]Hoja2!$D$6:$D$24,0,2,1)</f>
        <v>0</v>
      </c>
      <c r="AS131" s="18">
        <f t="shared" si="34"/>
        <v>0</v>
      </c>
      <c r="AT131" s="14"/>
      <c r="AU131" s="37">
        <f>_xlfn.XLOOKUP(D131,[1]Hoja2!$E$6:$E$24,[1]Hoja2!$F$6:$F$24,0,2,1)</f>
        <v>0</v>
      </c>
      <c r="AV131" s="27">
        <v>0</v>
      </c>
      <c r="AW131" s="5">
        <v>3006</v>
      </c>
      <c r="AX131" s="14">
        <v>0</v>
      </c>
      <c r="AY131" s="14"/>
      <c r="AZ131" s="16">
        <f>_xlfn.XLOOKUP(C131,[2]PI!$B$15:$B$99,[2]PI!$L$15:$L$99,0,2,1)</f>
        <v>0</v>
      </c>
      <c r="BA131" s="16">
        <f>_xlfn.XLOOKUP(D131,[2]PI!$B$15:$B$99,[2]PI!$L$15:$L$99,0,2,1)</f>
        <v>0</v>
      </c>
      <c r="BB131" s="3"/>
      <c r="BC131" s="3"/>
      <c r="BD131" s="14"/>
      <c r="BE131" s="14"/>
      <c r="BF131" s="16"/>
      <c r="BG131" s="16"/>
      <c r="BH131" s="12">
        <f t="shared" si="35"/>
        <v>0</v>
      </c>
      <c r="BI131" s="19">
        <f t="shared" si="36"/>
        <v>0</v>
      </c>
      <c r="BJ131" s="1" t="s">
        <v>51</v>
      </c>
      <c r="BK131">
        <f t="shared" si="37"/>
        <v>0</v>
      </c>
      <c r="BL131">
        <f t="shared" si="38"/>
        <v>0</v>
      </c>
    </row>
    <row r="132" spans="1:64" x14ac:dyDescent="0.25">
      <c r="A132" s="1" t="s">
        <v>408</v>
      </c>
      <c r="B132" s="1" t="s">
        <v>407</v>
      </c>
      <c r="C132" s="13" t="s">
        <v>406</v>
      </c>
      <c r="D132" s="15"/>
      <c r="E132" s="17"/>
      <c r="F132" s="5">
        <v>1</v>
      </c>
      <c r="G132" s="14"/>
      <c r="H132" s="16"/>
      <c r="I132" s="11">
        <v>46221</v>
      </c>
      <c r="J132" s="4">
        <v>17</v>
      </c>
      <c r="K132" s="18">
        <f>(F132-(0)+0-(J132*Ventas!AE129*1))</f>
        <v>-0.21541904761904762</v>
      </c>
      <c r="L132" s="20">
        <f>(K132/(Ventas!AE129*1)/80)</f>
        <v>-3.7663181031037697E-2</v>
      </c>
      <c r="M132" s="22">
        <f>(G132+0)</f>
        <v>0</v>
      </c>
      <c r="N132" s="14"/>
      <c r="O132" s="25">
        <f t="shared" si="25"/>
        <v>0</v>
      </c>
      <c r="P132" s="16"/>
      <c r="Q132" s="12">
        <f t="shared" si="26"/>
        <v>-0.21541904761904762</v>
      </c>
      <c r="R132" s="5">
        <v>12</v>
      </c>
      <c r="S132" s="24">
        <v>0</v>
      </c>
      <c r="T132" s="26">
        <v>0</v>
      </c>
      <c r="U132" s="18">
        <f t="shared" si="27"/>
        <v>12</v>
      </c>
      <c r="V132" s="22">
        <f t="shared" si="28"/>
        <v>0</v>
      </c>
      <c r="W132" s="25">
        <f t="shared" si="29"/>
        <v>0</v>
      </c>
      <c r="X132" s="18">
        <v>6</v>
      </c>
      <c r="Y132" s="14"/>
      <c r="Z132" s="14"/>
      <c r="AA132" s="18">
        <v>10</v>
      </c>
      <c r="AB132" s="21">
        <v>1.3318E-2</v>
      </c>
      <c r="AC132" s="11">
        <v>46313</v>
      </c>
      <c r="AD132" s="4">
        <v>92</v>
      </c>
      <c r="AE132" s="18">
        <f>(IF(K132&gt;0,K132+R132,R132)-(AD132*Ventas!AE129*1.0489))</f>
        <v>5.1007953180952388</v>
      </c>
      <c r="AF132" s="20">
        <f>(AE132/(Ventas!AE129*1.0489)/80)</f>
        <v>0.85023055355853538</v>
      </c>
      <c r="AG132" s="22">
        <f>(G132+0)</f>
        <v>0</v>
      </c>
      <c r="AH132" s="14"/>
      <c r="AI132" s="25">
        <f t="shared" si="30"/>
        <v>0</v>
      </c>
      <c r="AJ132" s="16"/>
      <c r="AK132" s="12">
        <f t="shared" si="31"/>
        <v>5.1007953180952388</v>
      </c>
      <c r="AL132" s="19">
        <f t="shared" si="32"/>
        <v>0.74395173436371842</v>
      </c>
      <c r="AM132" s="18">
        <f>(180*(Ventas!AE129*0.9644) - IF(AE132&gt;0,AE132,0))</f>
        <v>7.3102060533333333</v>
      </c>
      <c r="AN132" s="18">
        <v>6</v>
      </c>
      <c r="AO132" s="14"/>
      <c r="AP132" s="14">
        <f t="shared" si="51"/>
        <v>0</v>
      </c>
      <c r="AQ132" s="16">
        <f t="shared" si="33"/>
        <v>7.9908000000000007E-2</v>
      </c>
      <c r="AR132" s="37">
        <f>_xlfn.XLOOKUP(C132,[1]Hoja2!$C$6:$C$24,[1]Hoja2!$D$6:$D$24,0,2,1)</f>
        <v>5</v>
      </c>
      <c r="AS132" s="18">
        <f t="shared" si="34"/>
        <v>11.100795318095239</v>
      </c>
      <c r="AT132" s="14"/>
      <c r="AU132" s="37">
        <f>_xlfn.XLOOKUP(D132,[1]Hoja2!$E$6:$E$24,[1]Hoja2!$F$6:$F$24,0,2,1)</f>
        <v>0</v>
      </c>
      <c r="AV132" s="27">
        <v>6</v>
      </c>
      <c r="AW132" s="5">
        <v>3016</v>
      </c>
      <c r="AX132" s="14">
        <v>0</v>
      </c>
      <c r="AY132" s="14"/>
      <c r="AZ132" s="16">
        <f>_xlfn.XLOOKUP(C132,[2]PI!$B$15:$B$99,[2]PI!$L$15:$L$99,0,2,1)</f>
        <v>6</v>
      </c>
      <c r="BA132" s="16">
        <f>_xlfn.XLOOKUP(D132,[2]PI!$B$15:$B$99,[2]PI!$L$15:$L$99,0,2,1)</f>
        <v>0</v>
      </c>
      <c r="BB132" s="18">
        <f>(AS132-(90*Ventas!AE129*0.9644))</f>
        <v>4.8952946323809527</v>
      </c>
      <c r="BC132" s="20">
        <f>(BB132/(Ventas!AE129*0.9644)/80)</f>
        <v>0.88747173521497447</v>
      </c>
      <c r="BD132" s="14"/>
      <c r="BE132" s="14"/>
      <c r="BF132" s="16"/>
      <c r="BG132" s="16"/>
      <c r="BH132" s="12">
        <f t="shared" si="35"/>
        <v>4.8952946323809527</v>
      </c>
      <c r="BI132" s="19">
        <f t="shared" si="36"/>
        <v>0.77653776831310262</v>
      </c>
      <c r="BJ132" s="1" t="s">
        <v>35</v>
      </c>
      <c r="BK132">
        <f t="shared" si="37"/>
        <v>36</v>
      </c>
      <c r="BL132">
        <f t="shared" si="38"/>
        <v>36</v>
      </c>
    </row>
    <row r="133" spans="1:64" x14ac:dyDescent="0.25">
      <c r="A133" s="1" t="s">
        <v>411</v>
      </c>
      <c r="B133" s="1" t="s">
        <v>410</v>
      </c>
      <c r="C133" s="13" t="s">
        <v>409</v>
      </c>
      <c r="D133" s="15"/>
      <c r="E133" s="17"/>
      <c r="F133" s="3"/>
      <c r="G133" s="14"/>
      <c r="H133" s="16"/>
      <c r="I133" s="11">
        <v>46221</v>
      </c>
      <c r="J133" s="4">
        <v>17</v>
      </c>
      <c r="K133" s="18">
        <f>(F133-(0)+0-(J133*Ventas!AE130*1))</f>
        <v>0</v>
      </c>
      <c r="L133" s="3"/>
      <c r="M133" s="22">
        <f>(G133+0)</f>
        <v>0</v>
      </c>
      <c r="N133" s="14"/>
      <c r="O133" s="25">
        <f t="shared" ref="O133:O196" si="52">(H133+0)</f>
        <v>0</v>
      </c>
      <c r="P133" s="16"/>
      <c r="Q133" s="12">
        <f t="shared" ref="Q133:Q196" si="53">(K133+M133+O133)</f>
        <v>0</v>
      </c>
      <c r="R133" s="5">
        <v>0</v>
      </c>
      <c r="S133" s="24">
        <v>0</v>
      </c>
      <c r="T133" s="26">
        <v>0</v>
      </c>
      <c r="U133" s="18">
        <f t="shared" ref="U133:U196" si="54">IF(K133&gt;0,K133+R133,R133)</f>
        <v>0</v>
      </c>
      <c r="V133" s="22">
        <f t="shared" ref="V133:V196" si="55">IF(M133&gt;0,M133+S133,S133)</f>
        <v>0</v>
      </c>
      <c r="W133" s="25">
        <f t="shared" ref="W133:W196" si="56">IF(O133&gt;0,O133+T133,T133)</f>
        <v>0</v>
      </c>
      <c r="X133" s="3"/>
      <c r="Y133" s="14"/>
      <c r="Z133" s="14"/>
      <c r="AA133" s="18">
        <v>12</v>
      </c>
      <c r="AB133" s="21">
        <v>8.1810000000000008E-3</v>
      </c>
      <c r="AC133" s="11">
        <v>46313</v>
      </c>
      <c r="AD133" s="4">
        <v>92</v>
      </c>
      <c r="AE133" s="18">
        <f>(IF(K133&gt;0,K133+R133,R133)-(AD133*Ventas!AE130*1.0489))</f>
        <v>0</v>
      </c>
      <c r="AF133" s="3"/>
      <c r="AG133" s="22">
        <f>(G133+0)</f>
        <v>0</v>
      </c>
      <c r="AH133" s="14"/>
      <c r="AI133" s="25">
        <f t="shared" ref="AI133:AI196" si="57">(H133+0)</f>
        <v>0</v>
      </c>
      <c r="AJ133" s="16"/>
      <c r="AK133" s="12">
        <f t="shared" ref="AK133:AK196" si="58">(AE133+AG133+AI133)</f>
        <v>0</v>
      </c>
      <c r="AL133" s="19">
        <f t="shared" ref="AL133:AL196" si="59">(((AF133*7)+(AH133*1)+(AJ133*0))/8)</f>
        <v>0</v>
      </c>
      <c r="AM133" s="18">
        <f>(180*(Ventas!AE130*0.9644) - IF(AE133&gt;0,AE133,0))</f>
        <v>0</v>
      </c>
      <c r="AN133" s="18">
        <f>IF(AM133&gt;3,CEILING(AM133,5),0)</f>
        <v>0</v>
      </c>
      <c r="AO133" s="14"/>
      <c r="AP133" s="14">
        <f t="shared" si="51"/>
        <v>0</v>
      </c>
      <c r="AQ133" s="16">
        <f t="shared" ref="AQ133:AQ196" si="60">(AN133+AP133)*AB133</f>
        <v>0</v>
      </c>
      <c r="AR133" s="37">
        <f>_xlfn.XLOOKUP(C133,[1]Hoja2!$C$6:$C$24,[1]Hoja2!$D$6:$D$24,0,2,1)</f>
        <v>0</v>
      </c>
      <c r="AS133" s="18">
        <f t="shared" ref="AS133:AS196" si="61">IF(AE133&gt;0,AE133+IF(AN133&gt;0,AN133,0),AN133)</f>
        <v>0</v>
      </c>
      <c r="AT133" s="14"/>
      <c r="AU133" s="37">
        <f>_xlfn.XLOOKUP(D133,[1]Hoja2!$E$6:$E$24,[1]Hoja2!$F$6:$F$24,0,2,1)</f>
        <v>0</v>
      </c>
      <c r="AV133" s="27">
        <v>0</v>
      </c>
      <c r="AW133" s="5">
        <v>3013</v>
      </c>
      <c r="AX133" s="14">
        <v>0</v>
      </c>
      <c r="AY133" s="14"/>
      <c r="AZ133" s="16">
        <f>_xlfn.XLOOKUP(C133,[2]PI!$B$15:$B$99,[2]PI!$L$15:$L$99,0,2,1)</f>
        <v>0</v>
      </c>
      <c r="BA133" s="16">
        <f>_xlfn.XLOOKUP(D133,[2]PI!$B$15:$B$99,[2]PI!$L$15:$L$99,0,2,1)</f>
        <v>0</v>
      </c>
      <c r="BB133" s="3"/>
      <c r="BC133" s="3"/>
      <c r="BD133" s="14"/>
      <c r="BE133" s="14"/>
      <c r="BF133" s="16"/>
      <c r="BG133" s="16"/>
      <c r="BH133" s="12">
        <f t="shared" ref="BH133:BH196" si="62">(IF(BB133&gt;0,BB133,0)+IF(BD133&gt;0,BD133,0)+IF(BF133&gt;0,BF133,0))</f>
        <v>0</v>
      </c>
      <c r="BI133" s="19">
        <f t="shared" ref="BI133:BI196" si="63">(((BC133*7)+(BE133*1)+(BG133*1))/8)</f>
        <v>0</v>
      </c>
      <c r="BJ133" s="1" t="s">
        <v>51</v>
      </c>
      <c r="BK133">
        <f t="shared" si="37"/>
        <v>0</v>
      </c>
      <c r="BL133">
        <f t="shared" si="38"/>
        <v>0</v>
      </c>
    </row>
    <row r="134" spans="1:64" x14ac:dyDescent="0.25">
      <c r="A134" s="1" t="s">
        <v>414</v>
      </c>
      <c r="B134" s="1" t="s">
        <v>413</v>
      </c>
      <c r="C134" s="13" t="s">
        <v>412</v>
      </c>
      <c r="D134" s="15" t="s">
        <v>1556</v>
      </c>
      <c r="E134" s="17"/>
      <c r="F134" s="5">
        <v>37</v>
      </c>
      <c r="G134" s="14"/>
      <c r="H134" s="16"/>
      <c r="I134" s="11">
        <v>46221</v>
      </c>
      <c r="J134" s="4">
        <v>17</v>
      </c>
      <c r="K134" s="18">
        <f>(F134-(0)+0-(J134*Ventas!AE131*1))</f>
        <v>29.411928571428572</v>
      </c>
      <c r="L134" s="20">
        <f>(K134/(Ventas!AE131*1)/80)</f>
        <v>0.82366578652584421</v>
      </c>
      <c r="M134" s="22">
        <f>(G134-(0)+0-(J134*Ventas!AE520*1))</f>
        <v>0</v>
      </c>
      <c r="N134" s="14"/>
      <c r="O134" s="25">
        <f t="shared" si="52"/>
        <v>0</v>
      </c>
      <c r="P134" s="16"/>
      <c r="Q134" s="12">
        <f t="shared" si="53"/>
        <v>29.411928571428572</v>
      </c>
      <c r="R134" s="5">
        <v>60</v>
      </c>
      <c r="S134" s="24">
        <v>0</v>
      </c>
      <c r="T134" s="26">
        <v>0</v>
      </c>
      <c r="U134" s="18">
        <f t="shared" si="54"/>
        <v>89.411928571428575</v>
      </c>
      <c r="V134" s="22">
        <f t="shared" si="55"/>
        <v>0</v>
      </c>
      <c r="W134" s="25">
        <f t="shared" si="56"/>
        <v>0</v>
      </c>
      <c r="X134" s="18">
        <v>4.25</v>
      </c>
      <c r="Y134" s="14"/>
      <c r="Z134" s="14"/>
      <c r="AA134" s="18">
        <v>6</v>
      </c>
      <c r="AB134" s="21">
        <v>1.5327E-2</v>
      </c>
      <c r="AC134" s="11">
        <v>46313</v>
      </c>
      <c r="AD134" s="4">
        <v>92</v>
      </c>
      <c r="AE134" s="18">
        <f>(IF(K134&gt;0,K134+R134,R134)-(AD134*Ventas!AE131*1.0489))</f>
        <v>46.338999914285722</v>
      </c>
      <c r="AF134" s="20">
        <f>(AE134/(Ventas!AE131*1.0489)/80)</f>
        <v>1.2372005239209902</v>
      </c>
      <c r="AG134" s="22">
        <f>(IF(M134&gt;0,M134+S134,S134)-(AD134*Ventas!AE520*1.0489))</f>
        <v>0</v>
      </c>
      <c r="AH134" s="14"/>
      <c r="AI134" s="25">
        <f t="shared" si="57"/>
        <v>0</v>
      </c>
      <c r="AJ134" s="16"/>
      <c r="AK134" s="12">
        <f t="shared" si="58"/>
        <v>46.338999914285722</v>
      </c>
      <c r="AL134" s="19">
        <f t="shared" si="59"/>
        <v>1.0825504584308665</v>
      </c>
      <c r="AM134" s="18">
        <f>(180*(Ventas!AE131*0.9644) - IF(AE134&gt;0,AE134,0))</f>
        <v>31.145029228571431</v>
      </c>
      <c r="AN134" s="18">
        <v>24</v>
      </c>
      <c r="AO134" s="22">
        <f>(180*(Ventas!AE520*0.9644) - IF(AG134&gt;0,AG134,0))</f>
        <v>0</v>
      </c>
      <c r="AP134" s="22">
        <f t="shared" si="51"/>
        <v>0</v>
      </c>
      <c r="AQ134" s="16">
        <f t="shared" si="60"/>
        <v>0.36784800000000001</v>
      </c>
      <c r="AR134" s="37">
        <f>_xlfn.XLOOKUP(C134,[1]Hoja2!$C$6:$C$24,[1]Hoja2!$D$6:$D$24,0,2,1)</f>
        <v>0</v>
      </c>
      <c r="AS134" s="18">
        <f t="shared" si="61"/>
        <v>70.338999914285722</v>
      </c>
      <c r="AT134" s="22">
        <f>IF(AG134&gt;0,AG134+IF(AP134&gt;0,AP134,0),AP134)</f>
        <v>0</v>
      </c>
      <c r="AU134" s="37">
        <f>_xlfn.XLOOKUP(D134,[1]Hoja2!$E$6:$E$24,[1]Hoja2!$F$6:$F$24,0,2,1)</f>
        <v>0</v>
      </c>
      <c r="AV134" s="27">
        <v>4.3499999999999996</v>
      </c>
      <c r="AW134" s="5">
        <v>3016</v>
      </c>
      <c r="AX134" s="14">
        <v>0</v>
      </c>
      <c r="AY134" s="14"/>
      <c r="AZ134" s="16">
        <f>_xlfn.XLOOKUP(C134,[2]PI!$B$15:$B$99,[2]PI!$L$15:$L$99,0,2,1)</f>
        <v>4.3499999999999996</v>
      </c>
      <c r="BA134" s="16">
        <f>_xlfn.XLOOKUP(D134,[2]PI!$B$15:$B$99,[2]PI!$L$15:$L$99,0,2,1)</f>
        <v>0</v>
      </c>
      <c r="BB134" s="18">
        <f>(AS134-(90*Ventas!AE131*0.9644))</f>
        <v>31.596985342857145</v>
      </c>
      <c r="BC134" s="20">
        <f>(BB134/(Ventas!AE131*0.9644)/80)</f>
        <v>0.91752091118486057</v>
      </c>
      <c r="BD134" s="14"/>
      <c r="BE134" s="14"/>
      <c r="BF134" s="16"/>
      <c r="BG134" s="16"/>
      <c r="BH134" s="12">
        <f t="shared" si="62"/>
        <v>31.596985342857145</v>
      </c>
      <c r="BI134" s="19">
        <f t="shared" si="63"/>
        <v>0.802830797286753</v>
      </c>
      <c r="BJ134" s="1" t="s">
        <v>35</v>
      </c>
      <c r="BK134">
        <f t="shared" ref="BK134:BK197" si="64">AV134*AN134+AP134*AX134</f>
        <v>104.39999999999999</v>
      </c>
      <c r="BL134">
        <f t="shared" ref="BL134:BL197" si="65">(AN134)*AZ134+AP134*BA134</f>
        <v>104.39999999999999</v>
      </c>
    </row>
    <row r="135" spans="1:64" x14ac:dyDescent="0.25">
      <c r="A135" s="1" t="s">
        <v>417</v>
      </c>
      <c r="B135" s="1" t="s">
        <v>416</v>
      </c>
      <c r="C135" s="13" t="s">
        <v>415</v>
      </c>
      <c r="D135" s="15"/>
      <c r="E135" s="17"/>
      <c r="F135" s="3"/>
      <c r="G135" s="14"/>
      <c r="H135" s="16"/>
      <c r="I135" s="11">
        <v>46221</v>
      </c>
      <c r="J135" s="4">
        <v>17</v>
      </c>
      <c r="K135" s="18">
        <f>(F135-(0)+0-(J135*Ventas!AE132*1))</f>
        <v>0</v>
      </c>
      <c r="L135" s="3"/>
      <c r="M135" s="22">
        <f>(G135+0)</f>
        <v>0</v>
      </c>
      <c r="N135" s="14"/>
      <c r="O135" s="25">
        <f t="shared" si="52"/>
        <v>0</v>
      </c>
      <c r="P135" s="16"/>
      <c r="Q135" s="12">
        <f t="shared" si="53"/>
        <v>0</v>
      </c>
      <c r="R135" s="5">
        <v>0</v>
      </c>
      <c r="S135" s="24">
        <v>0</v>
      </c>
      <c r="T135" s="26">
        <v>0</v>
      </c>
      <c r="U135" s="18">
        <f t="shared" si="54"/>
        <v>0</v>
      </c>
      <c r="V135" s="22">
        <f t="shared" si="55"/>
        <v>0</v>
      </c>
      <c r="W135" s="25">
        <f t="shared" si="56"/>
        <v>0</v>
      </c>
      <c r="X135" s="3"/>
      <c r="Y135" s="14"/>
      <c r="Z135" s="14"/>
      <c r="AA135" s="18">
        <v>8</v>
      </c>
      <c r="AB135" s="21">
        <v>1.5343000000000001E-2</v>
      </c>
      <c r="AC135" s="11">
        <v>46313</v>
      </c>
      <c r="AD135" s="4">
        <v>92</v>
      </c>
      <c r="AE135" s="18">
        <f>(IF(K135&gt;0,K135+R135,R135)-(AD135*Ventas!AE132*1.0489))</f>
        <v>0</v>
      </c>
      <c r="AF135" s="3"/>
      <c r="AG135" s="22">
        <f>(G135+0)</f>
        <v>0</v>
      </c>
      <c r="AH135" s="14"/>
      <c r="AI135" s="25">
        <f t="shared" si="57"/>
        <v>0</v>
      </c>
      <c r="AJ135" s="16"/>
      <c r="AK135" s="12">
        <f t="shared" si="58"/>
        <v>0</v>
      </c>
      <c r="AL135" s="19">
        <f t="shared" si="59"/>
        <v>0</v>
      </c>
      <c r="AM135" s="18">
        <f>(180*(Ventas!AE132*0.9644) - IF(AE135&gt;0,AE135,0))</f>
        <v>0</v>
      </c>
      <c r="AN135" s="18">
        <f>IF(AM135&gt;3,CEILING(AM135,5),0)</f>
        <v>0</v>
      </c>
      <c r="AO135" s="14"/>
      <c r="AP135" s="14">
        <f t="shared" si="51"/>
        <v>0</v>
      </c>
      <c r="AQ135" s="16">
        <f t="shared" si="60"/>
        <v>0</v>
      </c>
      <c r="AR135" s="37">
        <f>_xlfn.XLOOKUP(C135,[1]Hoja2!$C$6:$C$24,[1]Hoja2!$D$6:$D$24,0,2,1)</f>
        <v>0</v>
      </c>
      <c r="AS135" s="18">
        <f t="shared" si="61"/>
        <v>0</v>
      </c>
      <c r="AT135" s="14"/>
      <c r="AU135" s="37">
        <f>_xlfn.XLOOKUP(D135,[1]Hoja2!$E$6:$E$24,[1]Hoja2!$F$6:$F$24,0,2,1)</f>
        <v>0</v>
      </c>
      <c r="AV135" s="27">
        <v>0</v>
      </c>
      <c r="AW135" s="5">
        <v>3022</v>
      </c>
      <c r="AX135" s="14">
        <v>0</v>
      </c>
      <c r="AY135" s="14"/>
      <c r="AZ135" s="16">
        <f>_xlfn.XLOOKUP(C135,[2]PI!$B$15:$B$99,[2]PI!$L$15:$L$99,0,2,1)</f>
        <v>0</v>
      </c>
      <c r="BA135" s="16">
        <f>_xlfn.XLOOKUP(D135,[2]PI!$B$15:$B$99,[2]PI!$L$15:$L$99,0,2,1)</f>
        <v>0</v>
      </c>
      <c r="BB135" s="3"/>
      <c r="BC135" s="3"/>
      <c r="BD135" s="14"/>
      <c r="BE135" s="14"/>
      <c r="BF135" s="16"/>
      <c r="BG135" s="16"/>
      <c r="BH135" s="12">
        <f t="shared" si="62"/>
        <v>0</v>
      </c>
      <c r="BI135" s="19">
        <f t="shared" si="63"/>
        <v>0</v>
      </c>
      <c r="BJ135" s="1" t="s">
        <v>35</v>
      </c>
      <c r="BK135">
        <f t="shared" si="64"/>
        <v>0</v>
      </c>
      <c r="BL135">
        <f t="shared" si="65"/>
        <v>0</v>
      </c>
    </row>
    <row r="136" spans="1:64" x14ac:dyDescent="0.25">
      <c r="A136" s="1" t="s">
        <v>420</v>
      </c>
      <c r="B136" s="1" t="s">
        <v>419</v>
      </c>
      <c r="C136" s="13" t="s">
        <v>418</v>
      </c>
      <c r="D136" s="15" t="s">
        <v>1559</v>
      </c>
      <c r="E136" s="17"/>
      <c r="F136" s="5">
        <v>225</v>
      </c>
      <c r="G136" s="14"/>
      <c r="H136" s="16"/>
      <c r="I136" s="11">
        <v>46221</v>
      </c>
      <c r="J136" s="4">
        <v>17</v>
      </c>
      <c r="K136" s="18">
        <f>(F136-(0)+0-(J136*Ventas!AE133*1))</f>
        <v>185.16875714285715</v>
      </c>
      <c r="L136" s="20">
        <f>(K136/(Ventas!AE133*1)/80)</f>
        <v>0.987876803994854</v>
      </c>
      <c r="M136" s="22">
        <f>(G136-(0)+0-(J136*Ventas!AE521*1))</f>
        <v>0</v>
      </c>
      <c r="N136" s="14"/>
      <c r="O136" s="25">
        <f t="shared" si="52"/>
        <v>0</v>
      </c>
      <c r="P136" s="16"/>
      <c r="Q136" s="12">
        <f t="shared" si="53"/>
        <v>185.16875714285715</v>
      </c>
      <c r="R136" s="5">
        <v>360</v>
      </c>
      <c r="S136" s="24">
        <v>0</v>
      </c>
      <c r="T136" s="26">
        <v>0</v>
      </c>
      <c r="U136" s="18">
        <f t="shared" si="54"/>
        <v>545.1687571428572</v>
      </c>
      <c r="V136" s="22">
        <f t="shared" si="55"/>
        <v>0</v>
      </c>
      <c r="W136" s="25">
        <f t="shared" si="56"/>
        <v>0</v>
      </c>
      <c r="X136" s="18">
        <v>2.7</v>
      </c>
      <c r="Y136" s="14"/>
      <c r="Z136" s="14"/>
      <c r="AA136" s="18">
        <v>12</v>
      </c>
      <c r="AB136" s="21">
        <v>7.136E-3</v>
      </c>
      <c r="AC136" s="11">
        <v>46313</v>
      </c>
      <c r="AD136" s="4">
        <v>92</v>
      </c>
      <c r="AE136" s="18">
        <f>(IF(K136&gt;0,K136+R136,R136)-(AD136*Ventas!AE133*1.0489))</f>
        <v>319.07069018857146</v>
      </c>
      <c r="AF136" s="20">
        <f>(AE136/(Ventas!AE133*1.0489)/80)</f>
        <v>1.6228855852670616</v>
      </c>
      <c r="AG136" s="22">
        <f>(IF(M136&gt;0,M136+S136,S136)-(AD136*Ventas!AE521*1.0489))</f>
        <v>0</v>
      </c>
      <c r="AH136" s="14"/>
      <c r="AI136" s="25">
        <f t="shared" si="57"/>
        <v>0</v>
      </c>
      <c r="AJ136" s="16"/>
      <c r="AK136" s="12">
        <f t="shared" si="58"/>
        <v>319.07069018857146</v>
      </c>
      <c r="AL136" s="19">
        <f t="shared" si="59"/>
        <v>1.4200248871086789</v>
      </c>
      <c r="AM136" s="18">
        <f>(180*(Ventas!AE133*0.9644) - IF(AE136&gt;0,AE136,0))</f>
        <v>87.657845697142875</v>
      </c>
      <c r="AN136" s="18">
        <v>84</v>
      </c>
      <c r="AO136" s="22">
        <f>(180*(Ventas!AE521*0.9644) - IF(AG136&gt;0,AG136,0))</f>
        <v>0</v>
      </c>
      <c r="AP136" s="22">
        <f t="shared" si="51"/>
        <v>0</v>
      </c>
      <c r="AQ136" s="16">
        <f t="shared" si="60"/>
        <v>0.59942399999999996</v>
      </c>
      <c r="AR136" s="37">
        <f>_xlfn.XLOOKUP(C136,[1]Hoja2!$C$6:$C$24,[1]Hoja2!$D$6:$D$24,0,2,1)</f>
        <v>0</v>
      </c>
      <c r="AS136" s="18">
        <f t="shared" si="61"/>
        <v>403.07069018857146</v>
      </c>
      <c r="AT136" s="22">
        <f>IF(AG136&gt;0,AG136+IF(AP136&gt;0,AP136,0),AP136)</f>
        <v>0</v>
      </c>
      <c r="AU136" s="37">
        <f>_xlfn.XLOOKUP(D136,[1]Hoja2!$E$6:$E$24,[1]Hoja2!$F$6:$F$24,0,2,1)</f>
        <v>0</v>
      </c>
      <c r="AV136" s="27">
        <v>2.7</v>
      </c>
      <c r="AW136" s="5">
        <v>3016</v>
      </c>
      <c r="AX136" s="28">
        <v>0</v>
      </c>
      <c r="AY136" s="14"/>
      <c r="AZ136" s="16">
        <f>_xlfn.XLOOKUP(C136,[2]PI!$B$15:$B$99,[2]PI!$L$15:$L$99,0,2,1)</f>
        <v>2.7</v>
      </c>
      <c r="BA136" s="16">
        <f>_xlfn.XLOOKUP(D136,[2]PI!$B$15:$B$99,[2]PI!$L$15:$L$99,0,2,1)</f>
        <v>0</v>
      </c>
      <c r="BB136" s="18">
        <f>(AS136-(90*Ventas!AE133*0.9644))</f>
        <v>199.70642224571432</v>
      </c>
      <c r="BC136" s="20">
        <f>(BB136/(Ventas!AE133*0.9644)/80)</f>
        <v>1.1047649977997021</v>
      </c>
      <c r="BD136" s="14"/>
      <c r="BE136" s="14"/>
      <c r="BF136" s="16"/>
      <c r="BG136" s="16"/>
      <c r="BH136" s="12">
        <f t="shared" si="62"/>
        <v>199.70642224571432</v>
      </c>
      <c r="BI136" s="19">
        <f t="shared" si="63"/>
        <v>0.96666937307473932</v>
      </c>
      <c r="BJ136" s="1" t="s">
        <v>35</v>
      </c>
      <c r="BK136">
        <f t="shared" si="64"/>
        <v>226.8</v>
      </c>
      <c r="BL136">
        <f t="shared" si="65"/>
        <v>226.8</v>
      </c>
    </row>
    <row r="137" spans="1:64" x14ac:dyDescent="0.25">
      <c r="A137" s="1" t="s">
        <v>423</v>
      </c>
      <c r="B137" s="1" t="s">
        <v>422</v>
      </c>
      <c r="C137" s="13" t="s">
        <v>421</v>
      </c>
      <c r="D137" s="15"/>
      <c r="E137" s="17"/>
      <c r="F137" s="3"/>
      <c r="G137" s="14"/>
      <c r="H137" s="16"/>
      <c r="I137" s="11">
        <v>46221</v>
      </c>
      <c r="J137" s="4">
        <v>17</v>
      </c>
      <c r="K137" s="18">
        <f>(F137-(0)+0-(J137*Ventas!AE134*1))</f>
        <v>0</v>
      </c>
      <c r="L137" s="3"/>
      <c r="M137" s="22">
        <f t="shared" ref="M137:M168" si="66">(G137+0)</f>
        <v>0</v>
      </c>
      <c r="N137" s="14"/>
      <c r="O137" s="25">
        <f t="shared" si="52"/>
        <v>0</v>
      </c>
      <c r="P137" s="16"/>
      <c r="Q137" s="12">
        <f t="shared" si="53"/>
        <v>0</v>
      </c>
      <c r="R137" s="5">
        <v>0</v>
      </c>
      <c r="S137" s="24">
        <v>0</v>
      </c>
      <c r="T137" s="26">
        <v>0</v>
      </c>
      <c r="U137" s="18">
        <f t="shared" si="54"/>
        <v>0</v>
      </c>
      <c r="V137" s="22">
        <f t="shared" si="55"/>
        <v>0</v>
      </c>
      <c r="W137" s="25">
        <f t="shared" si="56"/>
        <v>0</v>
      </c>
      <c r="X137" s="3"/>
      <c r="Y137" s="14"/>
      <c r="Z137" s="14"/>
      <c r="AA137" s="18">
        <v>10</v>
      </c>
      <c r="AB137" s="21">
        <v>8.8149999999999999E-3</v>
      </c>
      <c r="AC137" s="11">
        <v>46313</v>
      </c>
      <c r="AD137" s="4">
        <v>92</v>
      </c>
      <c r="AE137" s="18">
        <f>(IF(K137&gt;0,K137+R137,R137)-(AD137*Ventas!AE134*1.0489))</f>
        <v>0</v>
      </c>
      <c r="AF137" s="3"/>
      <c r="AG137" s="22">
        <f t="shared" ref="AG137:AG168" si="67">(G137+0)</f>
        <v>0</v>
      </c>
      <c r="AH137" s="14"/>
      <c r="AI137" s="25">
        <f t="shared" si="57"/>
        <v>0</v>
      </c>
      <c r="AJ137" s="16"/>
      <c r="AK137" s="12">
        <f t="shared" si="58"/>
        <v>0</v>
      </c>
      <c r="AL137" s="19">
        <f t="shared" si="59"/>
        <v>0</v>
      </c>
      <c r="AM137" s="18">
        <f>(180*(Ventas!AE134*0.9644) - IF(AE137&gt;0,AE137,0))</f>
        <v>0</v>
      </c>
      <c r="AN137" s="18">
        <f>IF(AM137&gt;3,CEILING(AM137,5),0)</f>
        <v>0</v>
      </c>
      <c r="AO137" s="14"/>
      <c r="AP137" s="14">
        <f t="shared" si="51"/>
        <v>0</v>
      </c>
      <c r="AQ137" s="16">
        <f t="shared" si="60"/>
        <v>0</v>
      </c>
      <c r="AR137" s="37">
        <f>_xlfn.XLOOKUP(C137,[1]Hoja2!$C$6:$C$24,[1]Hoja2!$D$6:$D$24,0,2,1)</f>
        <v>0</v>
      </c>
      <c r="AS137" s="18">
        <f t="shared" si="61"/>
        <v>0</v>
      </c>
      <c r="AT137" s="14"/>
      <c r="AU137" s="37">
        <f>_xlfn.XLOOKUP(D137,[1]Hoja2!$E$6:$E$24,[1]Hoja2!$F$6:$F$24,0,2,1)</f>
        <v>0</v>
      </c>
      <c r="AV137" s="27">
        <v>0</v>
      </c>
      <c r="AW137" s="5">
        <v>3006</v>
      </c>
      <c r="AX137" s="14">
        <v>0</v>
      </c>
      <c r="AY137" s="14"/>
      <c r="AZ137" s="16">
        <f>_xlfn.XLOOKUP(C137,[2]PI!$B$15:$B$99,[2]PI!$L$15:$L$99,0,2,1)</f>
        <v>0</v>
      </c>
      <c r="BA137" s="16">
        <f>_xlfn.XLOOKUP(D137,[2]PI!$B$15:$B$99,[2]PI!$L$15:$L$99,0,2,1)</f>
        <v>0</v>
      </c>
      <c r="BB137" s="3"/>
      <c r="BC137" s="3"/>
      <c r="BD137" s="14"/>
      <c r="BE137" s="14"/>
      <c r="BF137" s="16"/>
      <c r="BG137" s="16"/>
      <c r="BH137" s="12">
        <f t="shared" si="62"/>
        <v>0</v>
      </c>
      <c r="BI137" s="19">
        <f t="shared" si="63"/>
        <v>0</v>
      </c>
      <c r="BJ137" s="1" t="s">
        <v>51</v>
      </c>
      <c r="BK137">
        <f t="shared" si="64"/>
        <v>0</v>
      </c>
      <c r="BL137">
        <f t="shared" si="65"/>
        <v>0</v>
      </c>
    </row>
    <row r="138" spans="1:64" x14ac:dyDescent="0.25">
      <c r="A138" s="1" t="s">
        <v>426</v>
      </c>
      <c r="B138" s="1" t="s">
        <v>425</v>
      </c>
      <c r="C138" s="13" t="s">
        <v>424</v>
      </c>
      <c r="D138" s="15"/>
      <c r="E138" s="17"/>
      <c r="F138" s="3"/>
      <c r="G138" s="14"/>
      <c r="H138" s="16"/>
      <c r="I138" s="11">
        <v>46221</v>
      </c>
      <c r="J138" s="4">
        <v>17</v>
      </c>
      <c r="K138" s="18">
        <f>(F138-(0)+0-(J138*Ventas!AE135*1))</f>
        <v>0</v>
      </c>
      <c r="L138" s="3"/>
      <c r="M138" s="22">
        <f t="shared" si="66"/>
        <v>0</v>
      </c>
      <c r="N138" s="14"/>
      <c r="O138" s="25">
        <f t="shared" si="52"/>
        <v>0</v>
      </c>
      <c r="P138" s="16"/>
      <c r="Q138" s="12">
        <f t="shared" si="53"/>
        <v>0</v>
      </c>
      <c r="R138" s="5">
        <v>0</v>
      </c>
      <c r="S138" s="24">
        <v>0</v>
      </c>
      <c r="T138" s="26">
        <v>0</v>
      </c>
      <c r="U138" s="18">
        <f t="shared" si="54"/>
        <v>0</v>
      </c>
      <c r="V138" s="22">
        <f t="shared" si="55"/>
        <v>0</v>
      </c>
      <c r="W138" s="25">
        <f t="shared" si="56"/>
        <v>0</v>
      </c>
      <c r="X138" s="3"/>
      <c r="Y138" s="14"/>
      <c r="Z138" s="14"/>
      <c r="AA138" s="18">
        <v>15</v>
      </c>
      <c r="AB138" s="21">
        <v>6.783E-3</v>
      </c>
      <c r="AC138" s="11">
        <v>46313</v>
      </c>
      <c r="AD138" s="4">
        <v>92</v>
      </c>
      <c r="AE138" s="18">
        <f>(IF(K138&gt;0,K138+R138,R138)-(AD138*Ventas!AE135*1.0489))</f>
        <v>0</v>
      </c>
      <c r="AF138" s="3"/>
      <c r="AG138" s="22">
        <f t="shared" si="67"/>
        <v>0</v>
      </c>
      <c r="AH138" s="14"/>
      <c r="AI138" s="25">
        <f t="shared" si="57"/>
        <v>0</v>
      </c>
      <c r="AJ138" s="16"/>
      <c r="AK138" s="12">
        <f t="shared" si="58"/>
        <v>0</v>
      </c>
      <c r="AL138" s="19">
        <f t="shared" si="59"/>
        <v>0</v>
      </c>
      <c r="AM138" s="18">
        <f>(180*(Ventas!AE135*0.9644) - IF(AE138&gt;0,AE138,0))</f>
        <v>0</v>
      </c>
      <c r="AN138" s="18">
        <f>IF(AM138&gt;3,CEILING(AM138,5),0)</f>
        <v>0</v>
      </c>
      <c r="AO138" s="14"/>
      <c r="AP138" s="14">
        <f t="shared" si="51"/>
        <v>0</v>
      </c>
      <c r="AQ138" s="16">
        <f t="shared" si="60"/>
        <v>0</v>
      </c>
      <c r="AR138" s="37">
        <f>_xlfn.XLOOKUP(C138,[1]Hoja2!$C$6:$C$24,[1]Hoja2!$D$6:$D$24,0,2,1)</f>
        <v>0</v>
      </c>
      <c r="AS138" s="18">
        <f t="shared" si="61"/>
        <v>0</v>
      </c>
      <c r="AT138" s="14"/>
      <c r="AU138" s="37">
        <f>_xlfn.XLOOKUP(D138,[1]Hoja2!$E$6:$E$24,[1]Hoja2!$F$6:$F$24,0,2,1)</f>
        <v>0</v>
      </c>
      <c r="AV138" s="27">
        <v>0</v>
      </c>
      <c r="AW138" s="5">
        <v>2998</v>
      </c>
      <c r="AX138" s="14">
        <v>0</v>
      </c>
      <c r="AY138" s="14"/>
      <c r="AZ138" s="16">
        <f>_xlfn.XLOOKUP(C138,[2]PI!$B$15:$B$99,[2]PI!$L$15:$L$99,0,2,1)</f>
        <v>0</v>
      </c>
      <c r="BA138" s="16">
        <f>_xlfn.XLOOKUP(D138,[2]PI!$B$15:$B$99,[2]PI!$L$15:$L$99,0,2,1)</f>
        <v>0</v>
      </c>
      <c r="BB138" s="3"/>
      <c r="BC138" s="3"/>
      <c r="BD138" s="14"/>
      <c r="BE138" s="14"/>
      <c r="BF138" s="16"/>
      <c r="BG138" s="16"/>
      <c r="BH138" s="12">
        <f t="shared" si="62"/>
        <v>0</v>
      </c>
      <c r="BI138" s="19">
        <f t="shared" si="63"/>
        <v>0</v>
      </c>
      <c r="BJ138" s="1" t="s">
        <v>51</v>
      </c>
      <c r="BK138">
        <f t="shared" si="64"/>
        <v>0</v>
      </c>
      <c r="BL138">
        <f t="shared" si="65"/>
        <v>0</v>
      </c>
    </row>
    <row r="139" spans="1:64" x14ac:dyDescent="0.25">
      <c r="A139" s="1" t="s">
        <v>429</v>
      </c>
      <c r="B139" s="1" t="s">
        <v>428</v>
      </c>
      <c r="C139" s="13" t="s">
        <v>427</v>
      </c>
      <c r="D139" s="15"/>
      <c r="E139" s="17"/>
      <c r="F139" s="5">
        <v>29</v>
      </c>
      <c r="G139" s="14"/>
      <c r="H139" s="16"/>
      <c r="I139" s="11">
        <v>46221</v>
      </c>
      <c r="J139" s="4">
        <v>17</v>
      </c>
      <c r="K139" s="18">
        <f>(F139-(0)+0-(J139*Ventas!AE136*1))</f>
        <v>28.925442857142858</v>
      </c>
      <c r="L139" s="20">
        <f>(K139/(Ventas!AE136*1)/80)</f>
        <v>82.442223127035817</v>
      </c>
      <c r="M139" s="22">
        <f t="shared" si="66"/>
        <v>0</v>
      </c>
      <c r="N139" s="14"/>
      <c r="O139" s="25">
        <f t="shared" si="52"/>
        <v>0</v>
      </c>
      <c r="P139" s="16"/>
      <c r="Q139" s="12">
        <f t="shared" si="53"/>
        <v>28.925442857142858</v>
      </c>
      <c r="R139" s="5">
        <v>0</v>
      </c>
      <c r="S139" s="24">
        <v>0</v>
      </c>
      <c r="T139" s="26">
        <v>0</v>
      </c>
      <c r="U139" s="18">
        <f t="shared" si="54"/>
        <v>28.925442857142858</v>
      </c>
      <c r="V139" s="22">
        <f t="shared" si="55"/>
        <v>0</v>
      </c>
      <c r="W139" s="25">
        <f t="shared" si="56"/>
        <v>0</v>
      </c>
      <c r="X139" s="3"/>
      <c r="Y139" s="14"/>
      <c r="Z139" s="14"/>
      <c r="AA139" s="18">
        <v>20</v>
      </c>
      <c r="AB139" s="21">
        <v>4.0699999999999998E-3</v>
      </c>
      <c r="AC139" s="11">
        <v>46313</v>
      </c>
      <c r="AD139" s="4">
        <v>92</v>
      </c>
      <c r="AE139" s="18">
        <f>(IF(K139&gt;0,K139+R139,R139)-(AD139*Ventas!AE136*1.0489))</f>
        <v>28.502226691428572</v>
      </c>
      <c r="AF139" s="20">
        <f>(AE139/(Ventas!AE136*1.0489)/80)</f>
        <v>77.448744520007466</v>
      </c>
      <c r="AG139" s="22">
        <f t="shared" si="67"/>
        <v>0</v>
      </c>
      <c r="AH139" s="14"/>
      <c r="AI139" s="25">
        <f t="shared" si="57"/>
        <v>0</v>
      </c>
      <c r="AJ139" s="16"/>
      <c r="AK139" s="12">
        <f t="shared" si="58"/>
        <v>28.502226691428572</v>
      </c>
      <c r="AL139" s="19">
        <f t="shared" si="59"/>
        <v>67.767651455006529</v>
      </c>
      <c r="AM139" s="18">
        <f>(180*(Ventas!AE136*0.9644) - IF(AE139&gt;0,AE139,0))</f>
        <v>-27.740901777142856</v>
      </c>
      <c r="AN139" s="18">
        <f>IF(AM139&gt;3,CEILING(AM139,5),0)</f>
        <v>0</v>
      </c>
      <c r="AO139" s="14"/>
      <c r="AP139" s="14">
        <f t="shared" si="51"/>
        <v>0</v>
      </c>
      <c r="AQ139" s="16">
        <f t="shared" si="60"/>
        <v>0</v>
      </c>
      <c r="AR139" s="37">
        <f>_xlfn.XLOOKUP(C139,[1]Hoja2!$C$6:$C$24,[1]Hoja2!$D$6:$D$24,0,2,1)</f>
        <v>0</v>
      </c>
      <c r="AS139" s="18">
        <f t="shared" si="61"/>
        <v>28.502226691428572</v>
      </c>
      <c r="AT139" s="14"/>
      <c r="AU139" s="37">
        <f>_xlfn.XLOOKUP(D139,[1]Hoja2!$E$6:$E$24,[1]Hoja2!$F$6:$F$24,0,2,1)</f>
        <v>0</v>
      </c>
      <c r="AV139" s="27">
        <v>0</v>
      </c>
      <c r="AW139" s="5">
        <v>3016</v>
      </c>
      <c r="AX139" s="14">
        <v>0</v>
      </c>
      <c r="AY139" s="14"/>
      <c r="AZ139" s="16">
        <f>_xlfn.XLOOKUP(C139,[2]PI!$B$15:$B$99,[2]PI!$L$15:$L$99,0,2,1)</f>
        <v>0</v>
      </c>
      <c r="BA139" s="16">
        <f>_xlfn.XLOOKUP(D139,[2]PI!$B$15:$B$99,[2]PI!$L$15:$L$99,0,2,1)</f>
        <v>0</v>
      </c>
      <c r="BB139" s="18">
        <f>(AS139-(90*Ventas!AE136*0.9644))</f>
        <v>28.121564234285714</v>
      </c>
      <c r="BC139" s="20">
        <f>(BB139/(Ventas!AE136*0.9644)/80)</f>
        <v>83.10974505084593</v>
      </c>
      <c r="BD139" s="14"/>
      <c r="BE139" s="14"/>
      <c r="BF139" s="16"/>
      <c r="BG139" s="16"/>
      <c r="BH139" s="12">
        <f t="shared" si="62"/>
        <v>28.121564234285714</v>
      </c>
      <c r="BI139" s="19">
        <f t="shared" si="63"/>
        <v>72.721026919490185</v>
      </c>
      <c r="BJ139" s="1" t="s">
        <v>35</v>
      </c>
      <c r="BK139">
        <f t="shared" si="64"/>
        <v>0</v>
      </c>
      <c r="BL139">
        <f t="shared" si="65"/>
        <v>0</v>
      </c>
    </row>
    <row r="140" spans="1:64" x14ac:dyDescent="0.25">
      <c r="A140" s="1" t="s">
        <v>432</v>
      </c>
      <c r="B140" s="1" t="s">
        <v>431</v>
      </c>
      <c r="C140" s="13" t="s">
        <v>430</v>
      </c>
      <c r="D140" s="15"/>
      <c r="E140" s="17"/>
      <c r="F140" s="3"/>
      <c r="G140" s="14"/>
      <c r="H140" s="16"/>
      <c r="I140" s="11">
        <v>46221</v>
      </c>
      <c r="J140" s="4">
        <v>17</v>
      </c>
      <c r="K140" s="18">
        <f>(F140-(0)+0-(J140*Ventas!AE137*1))</f>
        <v>0</v>
      </c>
      <c r="L140" s="3"/>
      <c r="M140" s="22">
        <f t="shared" si="66"/>
        <v>0</v>
      </c>
      <c r="N140" s="14"/>
      <c r="O140" s="25">
        <f t="shared" si="52"/>
        <v>0</v>
      </c>
      <c r="P140" s="16"/>
      <c r="Q140" s="12">
        <f t="shared" si="53"/>
        <v>0</v>
      </c>
      <c r="R140" s="5">
        <v>0</v>
      </c>
      <c r="S140" s="24">
        <v>0</v>
      </c>
      <c r="T140" s="26">
        <v>0</v>
      </c>
      <c r="U140" s="18">
        <f t="shared" si="54"/>
        <v>0</v>
      </c>
      <c r="V140" s="22">
        <f t="shared" si="55"/>
        <v>0</v>
      </c>
      <c r="W140" s="25">
        <f t="shared" si="56"/>
        <v>0</v>
      </c>
      <c r="X140" s="3"/>
      <c r="Y140" s="14"/>
      <c r="Z140" s="14"/>
      <c r="AA140" s="18">
        <v>20</v>
      </c>
      <c r="AB140" s="21">
        <v>3.5639999999999999E-3</v>
      </c>
      <c r="AC140" s="11">
        <v>46313</v>
      </c>
      <c r="AD140" s="4">
        <v>92</v>
      </c>
      <c r="AE140" s="18">
        <f>(IF(K140&gt;0,K140+R140,R140)-(AD140*Ventas!AE137*1.0489))</f>
        <v>0</v>
      </c>
      <c r="AF140" s="3"/>
      <c r="AG140" s="22">
        <f t="shared" si="67"/>
        <v>0</v>
      </c>
      <c r="AH140" s="14"/>
      <c r="AI140" s="25">
        <f t="shared" si="57"/>
        <v>0</v>
      </c>
      <c r="AJ140" s="16"/>
      <c r="AK140" s="12">
        <f t="shared" si="58"/>
        <v>0</v>
      </c>
      <c r="AL140" s="19">
        <f t="shared" si="59"/>
        <v>0</v>
      </c>
      <c r="AM140" s="18">
        <f>(180*(Ventas!AE137*0.9644) - IF(AE140&gt;0,AE140,0))</f>
        <v>0</v>
      </c>
      <c r="AN140" s="18">
        <f>IF(AM140&gt;3,CEILING(AM140,5),0)</f>
        <v>0</v>
      </c>
      <c r="AO140" s="14"/>
      <c r="AP140" s="14">
        <f t="shared" si="51"/>
        <v>0</v>
      </c>
      <c r="AQ140" s="16">
        <f t="shared" si="60"/>
        <v>0</v>
      </c>
      <c r="AR140" s="37">
        <f>_xlfn.XLOOKUP(C140,[1]Hoja2!$C$6:$C$24,[1]Hoja2!$D$6:$D$24,0,2,1)</f>
        <v>0</v>
      </c>
      <c r="AS140" s="18">
        <f t="shared" si="61"/>
        <v>0</v>
      </c>
      <c r="AT140" s="14"/>
      <c r="AU140" s="37">
        <f>_xlfn.XLOOKUP(D140,[1]Hoja2!$E$6:$E$24,[1]Hoja2!$F$6:$F$24,0,2,1)</f>
        <v>0</v>
      </c>
      <c r="AV140" s="27">
        <v>0</v>
      </c>
      <c r="AW140" s="5">
        <v>3022</v>
      </c>
      <c r="AX140" s="14">
        <v>0</v>
      </c>
      <c r="AY140" s="14"/>
      <c r="AZ140" s="16">
        <f>_xlfn.XLOOKUP(C140,[2]PI!$B$15:$B$99,[2]PI!$L$15:$L$99,0,2,1)</f>
        <v>0</v>
      </c>
      <c r="BA140" s="16">
        <f>_xlfn.XLOOKUP(D140,[2]PI!$B$15:$B$99,[2]PI!$L$15:$L$99,0,2,1)</f>
        <v>0</v>
      </c>
      <c r="BB140" s="3"/>
      <c r="BC140" s="3"/>
      <c r="BD140" s="14"/>
      <c r="BE140" s="14"/>
      <c r="BF140" s="16"/>
      <c r="BG140" s="16"/>
      <c r="BH140" s="12">
        <f t="shared" si="62"/>
        <v>0</v>
      </c>
      <c r="BI140" s="19">
        <f t="shared" si="63"/>
        <v>0</v>
      </c>
      <c r="BJ140" s="1" t="s">
        <v>35</v>
      </c>
      <c r="BK140">
        <f t="shared" si="64"/>
        <v>0</v>
      </c>
      <c r="BL140">
        <f t="shared" si="65"/>
        <v>0</v>
      </c>
    </row>
    <row r="141" spans="1:64" x14ac:dyDescent="0.25">
      <c r="A141" s="1" t="s">
        <v>435</v>
      </c>
      <c r="B141" s="1" t="s">
        <v>434</v>
      </c>
      <c r="C141" s="13" t="s">
        <v>433</v>
      </c>
      <c r="D141" s="15"/>
      <c r="E141" s="17"/>
      <c r="F141" s="5">
        <v>18</v>
      </c>
      <c r="G141" s="14"/>
      <c r="H141" s="16"/>
      <c r="I141" s="11">
        <v>46221</v>
      </c>
      <c r="J141" s="4">
        <v>17</v>
      </c>
      <c r="K141" s="18">
        <f>(F141-(0)+0-(J141*Ventas!AE138*1))</f>
        <v>17.925442857142858</v>
      </c>
      <c r="L141" s="20">
        <f>(K141/(Ventas!AE138*1)/80)</f>
        <v>51.0904315960912</v>
      </c>
      <c r="M141" s="22">
        <f t="shared" si="66"/>
        <v>0</v>
      </c>
      <c r="N141" s="14"/>
      <c r="O141" s="25">
        <f t="shared" si="52"/>
        <v>0</v>
      </c>
      <c r="P141" s="16"/>
      <c r="Q141" s="12">
        <f t="shared" si="53"/>
        <v>17.925442857142858</v>
      </c>
      <c r="R141" s="5">
        <v>0</v>
      </c>
      <c r="S141" s="24">
        <v>0</v>
      </c>
      <c r="T141" s="26">
        <v>0</v>
      </c>
      <c r="U141" s="18">
        <f t="shared" si="54"/>
        <v>17.925442857142858</v>
      </c>
      <c r="V141" s="22">
        <f t="shared" si="55"/>
        <v>0</v>
      </c>
      <c r="W141" s="25">
        <f t="shared" si="56"/>
        <v>0</v>
      </c>
      <c r="X141" s="3"/>
      <c r="Y141" s="14"/>
      <c r="Z141" s="14"/>
      <c r="AA141" s="18">
        <v>20</v>
      </c>
      <c r="AB141" s="21">
        <v>4.0699999999999998E-3</v>
      </c>
      <c r="AC141" s="11">
        <v>46313</v>
      </c>
      <c r="AD141" s="4">
        <v>92</v>
      </c>
      <c r="AE141" s="18">
        <f>(IF(K141&gt;0,K141+R141,R141)-(AD141*Ventas!AE138*1.0489))</f>
        <v>17.502226691428572</v>
      </c>
      <c r="AF141" s="20">
        <f>(AE141/(Ventas!AE138*1.0489)/80)</f>
        <v>47.558581939261323</v>
      </c>
      <c r="AG141" s="22">
        <f t="shared" si="67"/>
        <v>0</v>
      </c>
      <c r="AH141" s="14"/>
      <c r="AI141" s="25">
        <f t="shared" si="57"/>
        <v>0</v>
      </c>
      <c r="AJ141" s="16"/>
      <c r="AK141" s="12">
        <f t="shared" si="58"/>
        <v>17.502226691428572</v>
      </c>
      <c r="AL141" s="19">
        <f t="shared" si="59"/>
        <v>41.613759196853657</v>
      </c>
      <c r="AM141" s="18">
        <f>(180*(Ventas!AE138*0.9644) - IF(AE141&gt;0,AE141,0))</f>
        <v>-16.740901777142856</v>
      </c>
      <c r="AN141" s="18">
        <f>IF(AM141&gt;3,CEILING(AM141,5),0)</f>
        <v>0</v>
      </c>
      <c r="AO141" s="14"/>
      <c r="AP141" s="14">
        <f t="shared" si="51"/>
        <v>0</v>
      </c>
      <c r="AQ141" s="16">
        <f t="shared" si="60"/>
        <v>0</v>
      </c>
      <c r="AR141" s="37">
        <f>_xlfn.XLOOKUP(C141,[1]Hoja2!$C$6:$C$24,[1]Hoja2!$D$6:$D$24,0,2,1)</f>
        <v>0</v>
      </c>
      <c r="AS141" s="18">
        <f t="shared" si="61"/>
        <v>17.502226691428572</v>
      </c>
      <c r="AT141" s="14"/>
      <c r="AU141" s="37">
        <f>_xlfn.XLOOKUP(D141,[1]Hoja2!$E$6:$E$24,[1]Hoja2!$F$6:$F$24,0,2,1)</f>
        <v>0</v>
      </c>
      <c r="AV141" s="27">
        <v>0</v>
      </c>
      <c r="AW141" s="5">
        <v>3016</v>
      </c>
      <c r="AX141" s="14">
        <v>0</v>
      </c>
      <c r="AY141" s="14"/>
      <c r="AZ141" s="16">
        <f>_xlfn.XLOOKUP(C141,[2]PI!$B$15:$B$99,[2]PI!$L$15:$L$99,0,2,1)</f>
        <v>0</v>
      </c>
      <c r="BA141" s="16">
        <f>_xlfn.XLOOKUP(D141,[2]PI!$B$15:$B$99,[2]PI!$L$15:$L$99,0,2,1)</f>
        <v>0</v>
      </c>
      <c r="BB141" s="18">
        <f>(AS141-(90*Ventas!AE138*0.9644))</f>
        <v>17.121564234285714</v>
      </c>
      <c r="BC141" s="20">
        <f>(BB141/(Ventas!AE138*0.9644)/80)</f>
        <v>50.600628988066362</v>
      </c>
      <c r="BD141" s="14"/>
      <c r="BE141" s="14"/>
      <c r="BF141" s="16"/>
      <c r="BG141" s="16"/>
      <c r="BH141" s="12">
        <f t="shared" si="62"/>
        <v>17.121564234285714</v>
      </c>
      <c r="BI141" s="19">
        <f t="shared" si="63"/>
        <v>44.275550364558065</v>
      </c>
      <c r="BJ141" s="1" t="s">
        <v>35</v>
      </c>
      <c r="BK141">
        <f t="shared" si="64"/>
        <v>0</v>
      </c>
      <c r="BL141">
        <f t="shared" si="65"/>
        <v>0</v>
      </c>
    </row>
    <row r="142" spans="1:64" x14ac:dyDescent="0.25">
      <c r="A142" s="1" t="s">
        <v>438</v>
      </c>
      <c r="B142" s="1" t="s">
        <v>437</v>
      </c>
      <c r="C142" s="13" t="s">
        <v>436</v>
      </c>
      <c r="D142" s="15"/>
      <c r="E142" s="17"/>
      <c r="F142" s="5">
        <v>12</v>
      </c>
      <c r="G142" s="14"/>
      <c r="H142" s="16"/>
      <c r="I142" s="11">
        <v>46221</v>
      </c>
      <c r="J142" s="4">
        <v>17</v>
      </c>
      <c r="K142" s="18">
        <f>(F142-(0)+0-(J142*Ventas!AE139*1))</f>
        <v>8.3921142857142854</v>
      </c>
      <c r="L142" s="20">
        <f>(K142/(Ventas!AE139*1)/80)</f>
        <v>0.49428513731825524</v>
      </c>
      <c r="M142" s="22">
        <f t="shared" si="66"/>
        <v>0</v>
      </c>
      <c r="N142" s="14"/>
      <c r="O142" s="25">
        <f t="shared" si="52"/>
        <v>0</v>
      </c>
      <c r="P142" s="16"/>
      <c r="Q142" s="12">
        <f t="shared" si="53"/>
        <v>8.3921142857142854</v>
      </c>
      <c r="R142" s="5">
        <v>20</v>
      </c>
      <c r="S142" s="24">
        <v>0</v>
      </c>
      <c r="T142" s="26">
        <v>0</v>
      </c>
      <c r="U142" s="18">
        <f t="shared" si="54"/>
        <v>28.392114285714285</v>
      </c>
      <c r="V142" s="22">
        <f t="shared" si="55"/>
        <v>0</v>
      </c>
      <c r="W142" s="25">
        <f t="shared" si="56"/>
        <v>0</v>
      </c>
      <c r="X142" s="18">
        <v>2.6</v>
      </c>
      <c r="Y142" s="14"/>
      <c r="Z142" s="14"/>
      <c r="AA142" s="18">
        <v>20</v>
      </c>
      <c r="AB142" s="21">
        <v>2.9139999999999999E-3</v>
      </c>
      <c r="AC142" s="11">
        <v>46313</v>
      </c>
      <c r="AD142" s="4">
        <v>92</v>
      </c>
      <c r="AE142" s="18">
        <f>(IF(K142&gt;0,K142+R142,R142)-(AD142*Ventas!AE139*1.0489))</f>
        <v>7.9123118171428573</v>
      </c>
      <c r="AF142" s="20">
        <f>(AE142/(Ventas!AE139*1.0489)/80)</f>
        <v>0.44429913831825163</v>
      </c>
      <c r="AG142" s="22">
        <f t="shared" si="67"/>
        <v>0</v>
      </c>
      <c r="AH142" s="14"/>
      <c r="AI142" s="25">
        <f t="shared" si="57"/>
        <v>0</v>
      </c>
      <c r="AJ142" s="16"/>
      <c r="AK142" s="12">
        <f t="shared" si="58"/>
        <v>7.9123118171428573</v>
      </c>
      <c r="AL142" s="19">
        <f t="shared" si="59"/>
        <v>0.38876174602847019</v>
      </c>
      <c r="AM142" s="18">
        <f>(180*(Ventas!AE139*0.9644) - IF(AE142&gt;0,AE142,0))</f>
        <v>28.928870354285714</v>
      </c>
      <c r="AN142" s="42">
        <v>20</v>
      </c>
      <c r="AO142" s="14"/>
      <c r="AP142" s="14">
        <f t="shared" si="51"/>
        <v>0</v>
      </c>
      <c r="AQ142" s="16">
        <f t="shared" si="60"/>
        <v>5.8279999999999998E-2</v>
      </c>
      <c r="AR142" s="37">
        <f>_xlfn.XLOOKUP(C142,[1]Hoja2!$C$6:$C$24,[1]Hoja2!$D$6:$D$24,0,2,1)</f>
        <v>10</v>
      </c>
      <c r="AS142" s="18">
        <f t="shared" si="61"/>
        <v>27.912311817142857</v>
      </c>
      <c r="AT142" s="14"/>
      <c r="AU142" s="37">
        <f>_xlfn.XLOOKUP(D142,[1]Hoja2!$E$6:$E$24,[1]Hoja2!$F$6:$F$24,0,2,1)</f>
        <v>0</v>
      </c>
      <c r="AV142" s="27">
        <v>2.6</v>
      </c>
      <c r="AW142" s="5">
        <v>3016</v>
      </c>
      <c r="AX142" s="14">
        <v>0</v>
      </c>
      <c r="AY142" s="14"/>
      <c r="AZ142" s="16">
        <f>_xlfn.XLOOKUP(C142,[2]PI!$B$15:$B$99,[2]PI!$L$15:$L$99,0,2,1)</f>
        <v>2.6</v>
      </c>
      <c r="BA142" s="16">
        <f>_xlfn.XLOOKUP(D142,[2]PI!$B$15:$B$99,[2]PI!$L$15:$L$99,0,2,1)</f>
        <v>0</v>
      </c>
      <c r="BB142" s="18">
        <f>(AS142-(90*Ventas!AE139*0.9644))</f>
        <v>9.4917207314285719</v>
      </c>
      <c r="BC142" s="20">
        <f>(BB142/(Ventas!AE139*0.9644)/80)</f>
        <v>0.5796874689400382</v>
      </c>
      <c r="BD142" s="14"/>
      <c r="BE142" s="14"/>
      <c r="BF142" s="16"/>
      <c r="BG142" s="16"/>
      <c r="BH142" s="12">
        <f t="shared" si="62"/>
        <v>9.4917207314285719</v>
      </c>
      <c r="BI142" s="19">
        <f t="shared" si="63"/>
        <v>0.50722653532253337</v>
      </c>
      <c r="BJ142" s="1" t="s">
        <v>35</v>
      </c>
      <c r="BK142">
        <f t="shared" si="64"/>
        <v>52</v>
      </c>
      <c r="BL142">
        <f t="shared" si="65"/>
        <v>52</v>
      </c>
    </row>
    <row r="143" spans="1:64" x14ac:dyDescent="0.25">
      <c r="A143" s="1" t="s">
        <v>441</v>
      </c>
      <c r="B143" s="1" t="s">
        <v>440</v>
      </c>
      <c r="C143" s="13" t="s">
        <v>439</v>
      </c>
      <c r="D143" s="15"/>
      <c r="E143" s="17"/>
      <c r="F143" s="3"/>
      <c r="G143" s="14"/>
      <c r="H143" s="16"/>
      <c r="I143" s="11">
        <v>46221</v>
      </c>
      <c r="J143" s="4">
        <v>17</v>
      </c>
      <c r="K143" s="18">
        <f>(F143-(0)+0-(J143*Ventas!AE140*1))</f>
        <v>0</v>
      </c>
      <c r="L143" s="3"/>
      <c r="M143" s="22">
        <f t="shared" si="66"/>
        <v>0</v>
      </c>
      <c r="N143" s="14"/>
      <c r="O143" s="25">
        <f t="shared" si="52"/>
        <v>0</v>
      </c>
      <c r="P143" s="16"/>
      <c r="Q143" s="12">
        <f t="shared" si="53"/>
        <v>0</v>
      </c>
      <c r="R143" s="5">
        <v>0</v>
      </c>
      <c r="S143" s="24">
        <v>0</v>
      </c>
      <c r="T143" s="26">
        <v>0</v>
      </c>
      <c r="U143" s="18">
        <f t="shared" si="54"/>
        <v>0</v>
      </c>
      <c r="V143" s="22">
        <f t="shared" si="55"/>
        <v>0</v>
      </c>
      <c r="W143" s="25">
        <f t="shared" si="56"/>
        <v>0</v>
      </c>
      <c r="X143" s="3"/>
      <c r="Y143" s="14"/>
      <c r="Z143" s="14"/>
      <c r="AA143" s="18">
        <v>4</v>
      </c>
      <c r="AB143" s="21">
        <v>2.2742999999999999E-2</v>
      </c>
      <c r="AC143" s="11">
        <v>46313</v>
      </c>
      <c r="AD143" s="4">
        <v>92</v>
      </c>
      <c r="AE143" s="18">
        <f>(IF(K143&gt;0,K143+R143,R143)-(AD143*Ventas!AE140*1.0489))</f>
        <v>0</v>
      </c>
      <c r="AF143" s="3"/>
      <c r="AG143" s="22">
        <f t="shared" si="67"/>
        <v>0</v>
      </c>
      <c r="AH143" s="14"/>
      <c r="AI143" s="25">
        <f t="shared" si="57"/>
        <v>0</v>
      </c>
      <c r="AJ143" s="16"/>
      <c r="AK143" s="12">
        <f t="shared" si="58"/>
        <v>0</v>
      </c>
      <c r="AL143" s="19">
        <f t="shared" si="59"/>
        <v>0</v>
      </c>
      <c r="AM143" s="18">
        <f>(180*(Ventas!AE140*0.9644) - IF(AE143&gt;0,AE143,0))</f>
        <v>0</v>
      </c>
      <c r="AN143" s="18">
        <f t="shared" ref="AN143:AN162" si="68">IF(AM143&gt;3,CEILING(AM143,5),0)</f>
        <v>0</v>
      </c>
      <c r="AO143" s="14"/>
      <c r="AP143" s="14">
        <f t="shared" si="51"/>
        <v>0</v>
      </c>
      <c r="AQ143" s="16">
        <f t="shared" si="60"/>
        <v>0</v>
      </c>
      <c r="AR143" s="37">
        <f>_xlfn.XLOOKUP(C143,[1]Hoja2!$C$6:$C$24,[1]Hoja2!$D$6:$D$24,0,2,1)</f>
        <v>0</v>
      </c>
      <c r="AS143" s="18">
        <f t="shared" si="61"/>
        <v>0</v>
      </c>
      <c r="AT143" s="14"/>
      <c r="AU143" s="37">
        <f>_xlfn.XLOOKUP(D143,[1]Hoja2!$E$6:$E$24,[1]Hoja2!$F$6:$F$24,0,2,1)</f>
        <v>0</v>
      </c>
      <c r="AV143" s="27">
        <v>0</v>
      </c>
      <c r="AW143" s="5">
        <v>3022</v>
      </c>
      <c r="AX143" s="14">
        <v>0</v>
      </c>
      <c r="AY143" s="14"/>
      <c r="AZ143" s="16">
        <f>_xlfn.XLOOKUP(C143,[2]PI!$B$15:$B$99,[2]PI!$L$15:$L$99,0,2,1)</f>
        <v>0</v>
      </c>
      <c r="BA143" s="16">
        <f>_xlfn.XLOOKUP(D143,[2]PI!$B$15:$B$99,[2]PI!$L$15:$L$99,0,2,1)</f>
        <v>0</v>
      </c>
      <c r="BB143" s="3"/>
      <c r="BC143" s="3"/>
      <c r="BD143" s="14"/>
      <c r="BE143" s="14"/>
      <c r="BF143" s="16"/>
      <c r="BG143" s="16"/>
      <c r="BH143" s="12">
        <f t="shared" si="62"/>
        <v>0</v>
      </c>
      <c r="BI143" s="19">
        <f t="shared" si="63"/>
        <v>0</v>
      </c>
      <c r="BJ143" s="1" t="s">
        <v>35</v>
      </c>
      <c r="BK143">
        <f t="shared" si="64"/>
        <v>0</v>
      </c>
      <c r="BL143">
        <f t="shared" si="65"/>
        <v>0</v>
      </c>
    </row>
    <row r="144" spans="1:64" x14ac:dyDescent="0.25">
      <c r="A144" s="1" t="s">
        <v>444</v>
      </c>
      <c r="B144" s="1" t="s">
        <v>443</v>
      </c>
      <c r="C144" s="13" t="s">
        <v>442</v>
      </c>
      <c r="D144" s="15"/>
      <c r="E144" s="17"/>
      <c r="F144" s="5">
        <v>16</v>
      </c>
      <c r="G144" s="14"/>
      <c r="H144" s="16"/>
      <c r="I144" s="11">
        <v>46221</v>
      </c>
      <c r="J144" s="4">
        <v>17</v>
      </c>
      <c r="K144" s="18">
        <f>(F144-(0)+0-(J144*Ventas!AE141*1))</f>
        <v>15.328257142857144</v>
      </c>
      <c r="L144" s="20">
        <f>(K144/(Ventas!AE141*1)/80)</f>
        <v>4.8489605929139552</v>
      </c>
      <c r="M144" s="22">
        <f t="shared" si="66"/>
        <v>0</v>
      </c>
      <c r="N144" s="14"/>
      <c r="O144" s="25">
        <f t="shared" si="52"/>
        <v>0</v>
      </c>
      <c r="P144" s="16"/>
      <c r="Q144" s="12">
        <f t="shared" si="53"/>
        <v>15.328257142857144</v>
      </c>
      <c r="R144" s="5">
        <v>0</v>
      </c>
      <c r="S144" s="24">
        <v>0</v>
      </c>
      <c r="T144" s="26">
        <v>0</v>
      </c>
      <c r="U144" s="18">
        <f t="shared" si="54"/>
        <v>15.328257142857144</v>
      </c>
      <c r="V144" s="22">
        <f t="shared" si="55"/>
        <v>0</v>
      </c>
      <c r="W144" s="25">
        <f t="shared" si="56"/>
        <v>0</v>
      </c>
      <c r="X144" s="3"/>
      <c r="Y144" s="14"/>
      <c r="Z144" s="14"/>
      <c r="AA144" s="18">
        <v>8</v>
      </c>
      <c r="AB144" s="21">
        <v>1.6275000000000001E-2</v>
      </c>
      <c r="AC144" s="11">
        <v>46313</v>
      </c>
      <c r="AD144" s="4">
        <v>92</v>
      </c>
      <c r="AE144" s="18">
        <f>(IF(K144&gt;0,K144+R144,R144)-(AD144*Ventas!AE141*1.0489))</f>
        <v>11.515175988571428</v>
      </c>
      <c r="AF144" s="20">
        <f>(AE144/(Ventas!AE141*1.0489)/80)</f>
        <v>3.4729007464142958</v>
      </c>
      <c r="AG144" s="22">
        <f t="shared" si="67"/>
        <v>0</v>
      </c>
      <c r="AH144" s="14"/>
      <c r="AI144" s="25">
        <f t="shared" si="57"/>
        <v>0</v>
      </c>
      <c r="AJ144" s="16"/>
      <c r="AK144" s="12">
        <f t="shared" si="58"/>
        <v>11.515175988571428</v>
      </c>
      <c r="AL144" s="19">
        <f t="shared" si="59"/>
        <v>3.0387881531125087</v>
      </c>
      <c r="AM144" s="18">
        <f>(180*(Ventas!AE141*0.9644) - IF(AE144&gt;0,AE144,0))</f>
        <v>-4.6558121028571424</v>
      </c>
      <c r="AN144" s="18">
        <f t="shared" si="68"/>
        <v>0</v>
      </c>
      <c r="AO144" s="14"/>
      <c r="AP144" s="14">
        <f t="shared" si="51"/>
        <v>0</v>
      </c>
      <c r="AQ144" s="16">
        <f t="shared" si="60"/>
        <v>0</v>
      </c>
      <c r="AR144" s="37">
        <f>_xlfn.XLOOKUP(C144,[1]Hoja2!$C$6:$C$24,[1]Hoja2!$D$6:$D$24,0,2,1)</f>
        <v>0</v>
      </c>
      <c r="AS144" s="18">
        <f t="shared" si="61"/>
        <v>11.515175988571428</v>
      </c>
      <c r="AT144" s="14"/>
      <c r="AU144" s="37">
        <f>_xlfn.XLOOKUP(D144,[1]Hoja2!$E$6:$E$24,[1]Hoja2!$F$6:$F$24,0,2,1)</f>
        <v>0</v>
      </c>
      <c r="AV144" s="27">
        <v>0</v>
      </c>
      <c r="AW144" s="5">
        <v>3016</v>
      </c>
      <c r="AX144" s="14">
        <v>0</v>
      </c>
      <c r="AY144" s="14"/>
      <c r="AZ144" s="16">
        <f>_xlfn.XLOOKUP(C144,[2]PI!$B$15:$B$99,[2]PI!$L$15:$L$99,0,2,1)</f>
        <v>0</v>
      </c>
      <c r="BA144" s="16">
        <f>_xlfn.XLOOKUP(D144,[2]PI!$B$15:$B$99,[2]PI!$L$15:$L$99,0,2,1)</f>
        <v>0</v>
      </c>
      <c r="BB144" s="18">
        <f>(AS144-(90*Ventas!AE141*0.9644))</f>
        <v>8.0854940457142845</v>
      </c>
      <c r="BC144" s="20">
        <f>(BB144/(Ventas!AE141*0.9644)/80)</f>
        <v>2.6521936882143864</v>
      </c>
      <c r="BD144" s="14"/>
      <c r="BE144" s="14"/>
      <c r="BF144" s="16"/>
      <c r="BG144" s="16"/>
      <c r="BH144" s="12">
        <f t="shared" si="62"/>
        <v>8.0854940457142845</v>
      </c>
      <c r="BI144" s="19">
        <f t="shared" si="63"/>
        <v>2.3206694771875882</v>
      </c>
      <c r="BJ144" s="1" t="s">
        <v>35</v>
      </c>
      <c r="BK144">
        <f t="shared" si="64"/>
        <v>0</v>
      </c>
      <c r="BL144">
        <f t="shared" si="65"/>
        <v>0</v>
      </c>
    </row>
    <row r="145" spans="1:64" x14ac:dyDescent="0.25">
      <c r="A145" s="1" t="s">
        <v>447</v>
      </c>
      <c r="B145" s="1" t="s">
        <v>446</v>
      </c>
      <c r="C145" s="13" t="s">
        <v>445</v>
      </c>
      <c r="D145" s="15"/>
      <c r="E145" s="17"/>
      <c r="F145" s="5">
        <v>105</v>
      </c>
      <c r="G145" s="14"/>
      <c r="H145" s="16"/>
      <c r="I145" s="11">
        <v>46221</v>
      </c>
      <c r="J145" s="4">
        <v>17</v>
      </c>
      <c r="K145" s="18">
        <f>(F145-(0)+0-(J145*Ventas!AE142*1))</f>
        <v>101.97497142857142</v>
      </c>
      <c r="L145" s="20">
        <f>(K145/(Ventas!AE142*1)/80)</f>
        <v>7.1634633911368013</v>
      </c>
      <c r="M145" s="22">
        <f t="shared" si="66"/>
        <v>0</v>
      </c>
      <c r="N145" s="14"/>
      <c r="O145" s="25">
        <f t="shared" si="52"/>
        <v>0</v>
      </c>
      <c r="P145" s="16"/>
      <c r="Q145" s="12">
        <f t="shared" si="53"/>
        <v>101.97497142857142</v>
      </c>
      <c r="R145" s="5">
        <v>0</v>
      </c>
      <c r="S145" s="24">
        <v>0</v>
      </c>
      <c r="T145" s="26">
        <v>0</v>
      </c>
      <c r="U145" s="18">
        <f t="shared" si="54"/>
        <v>101.97497142857142</v>
      </c>
      <c r="V145" s="22">
        <f t="shared" si="55"/>
        <v>0</v>
      </c>
      <c r="W145" s="25">
        <f t="shared" si="56"/>
        <v>0</v>
      </c>
      <c r="X145" s="3"/>
      <c r="Y145" s="14"/>
      <c r="Z145" s="14"/>
      <c r="AA145" s="18">
        <v>12</v>
      </c>
      <c r="AB145" s="21">
        <v>7.9539999999999993E-3</v>
      </c>
      <c r="AC145" s="11">
        <v>46313</v>
      </c>
      <c r="AD145" s="4">
        <v>92</v>
      </c>
      <c r="AE145" s="18">
        <f>(IF(K145&gt;0,K145+R145,R145)-(AD145*Ventas!AE142*1.0489))</f>
        <v>84.803699245714284</v>
      </c>
      <c r="AF145" s="20">
        <f>(AE145/(Ventas!AE142*1.0489)/80)</f>
        <v>5.6795008019227788</v>
      </c>
      <c r="AG145" s="22">
        <f t="shared" si="67"/>
        <v>0</v>
      </c>
      <c r="AH145" s="14"/>
      <c r="AI145" s="25">
        <f t="shared" si="57"/>
        <v>0</v>
      </c>
      <c r="AJ145" s="16"/>
      <c r="AK145" s="12">
        <f t="shared" si="58"/>
        <v>84.803699245714284</v>
      </c>
      <c r="AL145" s="19">
        <f t="shared" si="59"/>
        <v>4.9695632016824316</v>
      </c>
      <c r="AM145" s="18">
        <f>(180*(Ventas!AE142*0.9644) - IF(AE145&gt;0,AE145,0))</f>
        <v>-53.914242788571428</v>
      </c>
      <c r="AN145" s="18">
        <f t="shared" si="68"/>
        <v>0</v>
      </c>
      <c r="AO145" s="14"/>
      <c r="AP145" s="14">
        <f t="shared" si="51"/>
        <v>0</v>
      </c>
      <c r="AQ145" s="16">
        <f t="shared" si="60"/>
        <v>0</v>
      </c>
      <c r="AR145" s="37">
        <f>_xlfn.XLOOKUP(C145,[1]Hoja2!$C$6:$C$24,[1]Hoja2!$D$6:$D$24,0,2,1)</f>
        <v>0</v>
      </c>
      <c r="AS145" s="18">
        <f t="shared" si="61"/>
        <v>84.803699245714284</v>
      </c>
      <c r="AT145" s="14"/>
      <c r="AU145" s="37">
        <f>_xlfn.XLOOKUP(D145,[1]Hoja2!$E$6:$E$24,[1]Hoja2!$F$6:$F$24,0,2,1)</f>
        <v>0</v>
      </c>
      <c r="AV145" s="27">
        <v>0</v>
      </c>
      <c r="AW145" s="5">
        <v>3016</v>
      </c>
      <c r="AX145" s="14">
        <v>0</v>
      </c>
      <c r="AY145" s="14"/>
      <c r="AZ145" s="16">
        <f>_xlfn.XLOOKUP(C145,[2]PI!$B$15:$B$99,[2]PI!$L$15:$L$99,0,2,1)</f>
        <v>0</v>
      </c>
      <c r="BA145" s="16">
        <f>_xlfn.XLOOKUP(D145,[2]PI!$B$15:$B$99,[2]PI!$L$15:$L$99,0,2,1)</f>
        <v>0</v>
      </c>
      <c r="BB145" s="18">
        <f>(AS145-(90*Ventas!AE142*0.9644))</f>
        <v>69.358971017142864</v>
      </c>
      <c r="BC145" s="20">
        <f>(BB145/(Ventas!AE142*0.9644)/80)</f>
        <v>5.0521343748826242</v>
      </c>
      <c r="BD145" s="14"/>
      <c r="BE145" s="14"/>
      <c r="BF145" s="16"/>
      <c r="BG145" s="16"/>
      <c r="BH145" s="12">
        <f t="shared" si="62"/>
        <v>69.358971017142864</v>
      </c>
      <c r="BI145" s="19">
        <f t="shared" si="63"/>
        <v>4.4206175780222958</v>
      </c>
      <c r="BJ145" s="1" t="s">
        <v>35</v>
      </c>
      <c r="BK145">
        <f t="shared" si="64"/>
        <v>0</v>
      </c>
      <c r="BL145">
        <f t="shared" si="65"/>
        <v>0</v>
      </c>
    </row>
    <row r="146" spans="1:64" x14ac:dyDescent="0.25">
      <c r="A146" s="1" t="s">
        <v>450</v>
      </c>
      <c r="B146" s="1" t="s">
        <v>449</v>
      </c>
      <c r="C146" s="13" t="s">
        <v>448</v>
      </c>
      <c r="D146" s="15"/>
      <c r="E146" s="17"/>
      <c r="F146" s="3"/>
      <c r="G146" s="14"/>
      <c r="H146" s="16"/>
      <c r="I146" s="11">
        <v>46221</v>
      </c>
      <c r="J146" s="4">
        <v>17</v>
      </c>
      <c r="K146" s="18">
        <f>(F146-(0)+0-(J146*Ventas!AE143*1))</f>
        <v>0</v>
      </c>
      <c r="L146" s="3"/>
      <c r="M146" s="22">
        <f t="shared" si="66"/>
        <v>0</v>
      </c>
      <c r="N146" s="14"/>
      <c r="O146" s="25">
        <f t="shared" si="52"/>
        <v>0</v>
      </c>
      <c r="P146" s="16"/>
      <c r="Q146" s="12">
        <f t="shared" si="53"/>
        <v>0</v>
      </c>
      <c r="R146" s="5">
        <v>0</v>
      </c>
      <c r="S146" s="24">
        <v>0</v>
      </c>
      <c r="T146" s="26">
        <v>0</v>
      </c>
      <c r="U146" s="18">
        <f t="shared" si="54"/>
        <v>0</v>
      </c>
      <c r="V146" s="22">
        <f t="shared" si="55"/>
        <v>0</v>
      </c>
      <c r="W146" s="25">
        <f t="shared" si="56"/>
        <v>0</v>
      </c>
      <c r="X146" s="3"/>
      <c r="Y146" s="14"/>
      <c r="Z146" s="14"/>
      <c r="AA146" s="3"/>
      <c r="AB146" s="3"/>
      <c r="AC146" s="11">
        <v>46313</v>
      </c>
      <c r="AD146" s="4">
        <v>92</v>
      </c>
      <c r="AE146" s="18">
        <f>(IF(K146&gt;0,K146+R146,R146)-(AD146*Ventas!AE143*1.0489))</f>
        <v>0</v>
      </c>
      <c r="AF146" s="3"/>
      <c r="AG146" s="22">
        <f t="shared" si="67"/>
        <v>0</v>
      </c>
      <c r="AH146" s="14"/>
      <c r="AI146" s="25">
        <f t="shared" si="57"/>
        <v>0</v>
      </c>
      <c r="AJ146" s="16"/>
      <c r="AK146" s="12">
        <f t="shared" si="58"/>
        <v>0</v>
      </c>
      <c r="AL146" s="19">
        <f t="shared" si="59"/>
        <v>0</v>
      </c>
      <c r="AM146" s="18">
        <f>(180*(Ventas!AE143*0.9644) - IF(AE146&gt;0,AE146,0))</f>
        <v>0</v>
      </c>
      <c r="AN146" s="18">
        <f t="shared" si="68"/>
        <v>0</v>
      </c>
      <c r="AO146" s="14"/>
      <c r="AP146" s="14">
        <f t="shared" si="51"/>
        <v>0</v>
      </c>
      <c r="AQ146" s="16">
        <f t="shared" si="60"/>
        <v>0</v>
      </c>
      <c r="AR146" s="37">
        <f>_xlfn.XLOOKUP(C146,[1]Hoja2!$C$6:$C$24,[1]Hoja2!$D$6:$D$24,0,2,1)</f>
        <v>0</v>
      </c>
      <c r="AS146" s="18">
        <f t="shared" si="61"/>
        <v>0</v>
      </c>
      <c r="AT146" s="14"/>
      <c r="AU146" s="37">
        <f>_xlfn.XLOOKUP(D146,[1]Hoja2!$E$6:$E$24,[1]Hoja2!$F$6:$F$24,0,2,1)</f>
        <v>0</v>
      </c>
      <c r="AV146" s="3">
        <v>0</v>
      </c>
      <c r="AW146" s="3"/>
      <c r="AX146" s="14">
        <v>0</v>
      </c>
      <c r="AY146" s="14"/>
      <c r="AZ146" s="16">
        <f>_xlfn.XLOOKUP(C146,[2]PI!$B$15:$B$99,[2]PI!$L$15:$L$99,0,2,1)</f>
        <v>0</v>
      </c>
      <c r="BA146" s="16">
        <f>_xlfn.XLOOKUP(D146,[2]PI!$B$15:$B$99,[2]PI!$L$15:$L$99,0,2,1)</f>
        <v>0</v>
      </c>
      <c r="BB146" s="3"/>
      <c r="BC146" s="3"/>
      <c r="BD146" s="14"/>
      <c r="BE146" s="14"/>
      <c r="BF146" s="16"/>
      <c r="BG146" s="16"/>
      <c r="BH146" s="12">
        <f t="shared" si="62"/>
        <v>0</v>
      </c>
      <c r="BI146" s="19">
        <f t="shared" si="63"/>
        <v>0</v>
      </c>
      <c r="BJ146" s="1" t="s">
        <v>35</v>
      </c>
      <c r="BK146">
        <f t="shared" si="64"/>
        <v>0</v>
      </c>
      <c r="BL146">
        <f t="shared" si="65"/>
        <v>0</v>
      </c>
    </row>
    <row r="147" spans="1:64" x14ac:dyDescent="0.25">
      <c r="A147" s="1" t="s">
        <v>453</v>
      </c>
      <c r="B147" s="1" t="s">
        <v>452</v>
      </c>
      <c r="C147" s="13" t="s">
        <v>451</v>
      </c>
      <c r="D147" s="15"/>
      <c r="E147" s="17"/>
      <c r="F147" s="3"/>
      <c r="G147" s="14"/>
      <c r="H147" s="16"/>
      <c r="I147" s="11">
        <v>46221</v>
      </c>
      <c r="J147" s="4">
        <v>17</v>
      </c>
      <c r="K147" s="18">
        <f>(F147-(0)+0-(J147*Ventas!AE144*1))</f>
        <v>0</v>
      </c>
      <c r="L147" s="3"/>
      <c r="M147" s="22">
        <f t="shared" si="66"/>
        <v>0</v>
      </c>
      <c r="N147" s="14"/>
      <c r="O147" s="25">
        <f t="shared" si="52"/>
        <v>0</v>
      </c>
      <c r="P147" s="16"/>
      <c r="Q147" s="12">
        <f t="shared" si="53"/>
        <v>0</v>
      </c>
      <c r="R147" s="5">
        <v>0</v>
      </c>
      <c r="S147" s="24">
        <v>0</v>
      </c>
      <c r="T147" s="26">
        <v>0</v>
      </c>
      <c r="U147" s="18">
        <f t="shared" si="54"/>
        <v>0</v>
      </c>
      <c r="V147" s="22">
        <f t="shared" si="55"/>
        <v>0</v>
      </c>
      <c r="W147" s="25">
        <f t="shared" si="56"/>
        <v>0</v>
      </c>
      <c r="X147" s="3"/>
      <c r="Y147" s="14"/>
      <c r="Z147" s="14"/>
      <c r="AA147" s="3"/>
      <c r="AB147" s="3"/>
      <c r="AC147" s="11">
        <v>46313</v>
      </c>
      <c r="AD147" s="4">
        <v>92</v>
      </c>
      <c r="AE147" s="18">
        <f>(IF(K147&gt;0,K147+R147,R147)-(AD147*Ventas!AE144*1.0489))</f>
        <v>0</v>
      </c>
      <c r="AF147" s="3"/>
      <c r="AG147" s="22">
        <f t="shared" si="67"/>
        <v>0</v>
      </c>
      <c r="AH147" s="14"/>
      <c r="AI147" s="25">
        <f t="shared" si="57"/>
        <v>0</v>
      </c>
      <c r="AJ147" s="16"/>
      <c r="AK147" s="12">
        <f t="shared" si="58"/>
        <v>0</v>
      </c>
      <c r="AL147" s="19">
        <f t="shared" si="59"/>
        <v>0</v>
      </c>
      <c r="AM147" s="18">
        <f>(180*(Ventas!AE144*0.9644) - IF(AE147&gt;0,AE147,0))</f>
        <v>0</v>
      </c>
      <c r="AN147" s="18">
        <f t="shared" si="68"/>
        <v>0</v>
      </c>
      <c r="AO147" s="14"/>
      <c r="AP147" s="14">
        <f t="shared" si="51"/>
        <v>0</v>
      </c>
      <c r="AQ147" s="16">
        <f t="shared" si="60"/>
        <v>0</v>
      </c>
      <c r="AR147" s="37">
        <f>_xlfn.XLOOKUP(C147,[1]Hoja2!$C$6:$C$24,[1]Hoja2!$D$6:$D$24,0,2,1)</f>
        <v>0</v>
      </c>
      <c r="AS147" s="18">
        <f t="shared" si="61"/>
        <v>0</v>
      </c>
      <c r="AT147" s="14"/>
      <c r="AU147" s="37">
        <f>_xlfn.XLOOKUP(D147,[1]Hoja2!$E$6:$E$24,[1]Hoja2!$F$6:$F$24,0,2,1)</f>
        <v>0</v>
      </c>
      <c r="AV147" s="3">
        <v>0</v>
      </c>
      <c r="AW147" s="3"/>
      <c r="AX147" s="14">
        <v>0</v>
      </c>
      <c r="AY147" s="14"/>
      <c r="AZ147" s="16">
        <f>_xlfn.XLOOKUP(C147,[2]PI!$B$15:$B$99,[2]PI!$L$15:$L$99,0,2,1)</f>
        <v>0</v>
      </c>
      <c r="BA147" s="16">
        <f>_xlfn.XLOOKUP(D147,[2]PI!$B$15:$B$99,[2]PI!$L$15:$L$99,0,2,1)</f>
        <v>0</v>
      </c>
      <c r="BB147" s="3"/>
      <c r="BC147" s="3"/>
      <c r="BD147" s="14"/>
      <c r="BE147" s="14"/>
      <c r="BF147" s="16"/>
      <c r="BG147" s="16"/>
      <c r="BH147" s="12">
        <f t="shared" si="62"/>
        <v>0</v>
      </c>
      <c r="BI147" s="19">
        <f t="shared" si="63"/>
        <v>0</v>
      </c>
      <c r="BJ147" s="1" t="s">
        <v>51</v>
      </c>
      <c r="BK147">
        <f t="shared" si="64"/>
        <v>0</v>
      </c>
      <c r="BL147">
        <f t="shared" si="65"/>
        <v>0</v>
      </c>
    </row>
    <row r="148" spans="1:64" x14ac:dyDescent="0.25">
      <c r="A148" s="1" t="s">
        <v>456</v>
      </c>
      <c r="B148" s="1" t="s">
        <v>455</v>
      </c>
      <c r="C148" s="13" t="s">
        <v>454</v>
      </c>
      <c r="D148" s="15"/>
      <c r="E148" s="17"/>
      <c r="F148" s="3"/>
      <c r="G148" s="14"/>
      <c r="H148" s="16"/>
      <c r="I148" s="11">
        <v>46221</v>
      </c>
      <c r="J148" s="4">
        <v>17</v>
      </c>
      <c r="K148" s="18">
        <f>(F148-(0)+0-(J148*Ventas!AE145*1))</f>
        <v>0</v>
      </c>
      <c r="L148" s="3"/>
      <c r="M148" s="22">
        <f t="shared" si="66"/>
        <v>0</v>
      </c>
      <c r="N148" s="14"/>
      <c r="O148" s="25">
        <f t="shared" si="52"/>
        <v>0</v>
      </c>
      <c r="P148" s="16"/>
      <c r="Q148" s="12">
        <f t="shared" si="53"/>
        <v>0</v>
      </c>
      <c r="R148" s="5">
        <v>0</v>
      </c>
      <c r="S148" s="24">
        <v>0</v>
      </c>
      <c r="T148" s="26">
        <v>0</v>
      </c>
      <c r="U148" s="18">
        <f t="shared" si="54"/>
        <v>0</v>
      </c>
      <c r="V148" s="22">
        <f t="shared" si="55"/>
        <v>0</v>
      </c>
      <c r="W148" s="25">
        <f t="shared" si="56"/>
        <v>0</v>
      </c>
      <c r="X148" s="3"/>
      <c r="Y148" s="14"/>
      <c r="Z148" s="14"/>
      <c r="AA148" s="3"/>
      <c r="AB148" s="3"/>
      <c r="AC148" s="11">
        <v>46313</v>
      </c>
      <c r="AD148" s="4">
        <v>92</v>
      </c>
      <c r="AE148" s="18">
        <f>(IF(K148&gt;0,K148+R148,R148)-(AD148*Ventas!AE145*1.0489))</f>
        <v>0</v>
      </c>
      <c r="AF148" s="3"/>
      <c r="AG148" s="22">
        <f t="shared" si="67"/>
        <v>0</v>
      </c>
      <c r="AH148" s="14"/>
      <c r="AI148" s="25">
        <f t="shared" si="57"/>
        <v>0</v>
      </c>
      <c r="AJ148" s="16"/>
      <c r="AK148" s="12">
        <f t="shared" si="58"/>
        <v>0</v>
      </c>
      <c r="AL148" s="19">
        <f t="shared" si="59"/>
        <v>0</v>
      </c>
      <c r="AM148" s="18">
        <f>(180*(Ventas!AE145*0.9644) - IF(AE148&gt;0,AE148,0))</f>
        <v>0</v>
      </c>
      <c r="AN148" s="18">
        <f t="shared" si="68"/>
        <v>0</v>
      </c>
      <c r="AO148" s="14"/>
      <c r="AP148" s="14">
        <f t="shared" si="51"/>
        <v>0</v>
      </c>
      <c r="AQ148" s="16">
        <f t="shared" si="60"/>
        <v>0</v>
      </c>
      <c r="AR148" s="37">
        <f>_xlfn.XLOOKUP(C148,[1]Hoja2!$C$6:$C$24,[1]Hoja2!$D$6:$D$24,0,2,1)</f>
        <v>0</v>
      </c>
      <c r="AS148" s="18">
        <f t="shared" si="61"/>
        <v>0</v>
      </c>
      <c r="AT148" s="14"/>
      <c r="AU148" s="37">
        <f>_xlfn.XLOOKUP(D148,[1]Hoja2!$E$6:$E$24,[1]Hoja2!$F$6:$F$24,0,2,1)</f>
        <v>0</v>
      </c>
      <c r="AV148" s="3">
        <v>0</v>
      </c>
      <c r="AW148" s="3"/>
      <c r="AX148" s="14">
        <v>0</v>
      </c>
      <c r="AY148" s="14"/>
      <c r="AZ148" s="16">
        <f>_xlfn.XLOOKUP(C148,[2]PI!$B$15:$B$99,[2]PI!$L$15:$L$99,0,2,1)</f>
        <v>0</v>
      </c>
      <c r="BA148" s="16">
        <f>_xlfn.XLOOKUP(D148,[2]PI!$B$15:$B$99,[2]PI!$L$15:$L$99,0,2,1)</f>
        <v>0</v>
      </c>
      <c r="BB148" s="3"/>
      <c r="BC148" s="3"/>
      <c r="BD148" s="14"/>
      <c r="BE148" s="14"/>
      <c r="BF148" s="16"/>
      <c r="BG148" s="16"/>
      <c r="BH148" s="12">
        <f t="shared" si="62"/>
        <v>0</v>
      </c>
      <c r="BI148" s="19">
        <f t="shared" si="63"/>
        <v>0</v>
      </c>
      <c r="BJ148" s="1" t="s">
        <v>51</v>
      </c>
      <c r="BK148">
        <f t="shared" si="64"/>
        <v>0</v>
      </c>
      <c r="BL148">
        <f t="shared" si="65"/>
        <v>0</v>
      </c>
    </row>
    <row r="149" spans="1:64" x14ac:dyDescent="0.25">
      <c r="A149" s="1" t="s">
        <v>459</v>
      </c>
      <c r="B149" s="1" t="s">
        <v>458</v>
      </c>
      <c r="C149" s="13" t="s">
        <v>457</v>
      </c>
      <c r="D149" s="15"/>
      <c r="E149" s="17"/>
      <c r="F149" s="3"/>
      <c r="G149" s="14"/>
      <c r="H149" s="16"/>
      <c r="I149" s="11">
        <v>46221</v>
      </c>
      <c r="J149" s="4">
        <v>17</v>
      </c>
      <c r="K149" s="18">
        <f>(F149-(0)+0-(J149*Ventas!AE146*1))</f>
        <v>0</v>
      </c>
      <c r="L149" s="3"/>
      <c r="M149" s="22">
        <f t="shared" si="66"/>
        <v>0</v>
      </c>
      <c r="N149" s="14"/>
      <c r="O149" s="25">
        <f t="shared" si="52"/>
        <v>0</v>
      </c>
      <c r="P149" s="16"/>
      <c r="Q149" s="12">
        <f t="shared" si="53"/>
        <v>0</v>
      </c>
      <c r="R149" s="5">
        <v>0</v>
      </c>
      <c r="S149" s="24">
        <v>0</v>
      </c>
      <c r="T149" s="26">
        <v>0</v>
      </c>
      <c r="U149" s="18">
        <f t="shared" si="54"/>
        <v>0</v>
      </c>
      <c r="V149" s="22">
        <f t="shared" si="55"/>
        <v>0</v>
      </c>
      <c r="W149" s="25">
        <f t="shared" si="56"/>
        <v>0</v>
      </c>
      <c r="X149" s="3"/>
      <c r="Y149" s="14"/>
      <c r="Z149" s="14"/>
      <c r="AA149" s="3"/>
      <c r="AB149" s="3"/>
      <c r="AC149" s="11">
        <v>46313</v>
      </c>
      <c r="AD149" s="4">
        <v>92</v>
      </c>
      <c r="AE149" s="18">
        <f>(IF(K149&gt;0,K149+R149,R149)-(AD149*Ventas!AE146*1.0489))</f>
        <v>0</v>
      </c>
      <c r="AF149" s="3"/>
      <c r="AG149" s="22">
        <f t="shared" si="67"/>
        <v>0</v>
      </c>
      <c r="AH149" s="14"/>
      <c r="AI149" s="25">
        <f t="shared" si="57"/>
        <v>0</v>
      </c>
      <c r="AJ149" s="16"/>
      <c r="AK149" s="12">
        <f t="shared" si="58"/>
        <v>0</v>
      </c>
      <c r="AL149" s="19">
        <f t="shared" si="59"/>
        <v>0</v>
      </c>
      <c r="AM149" s="18">
        <f>(180*(Ventas!AE146*0.9644) - IF(AE149&gt;0,AE149,0))</f>
        <v>0</v>
      </c>
      <c r="AN149" s="18">
        <f t="shared" si="68"/>
        <v>0</v>
      </c>
      <c r="AO149" s="14"/>
      <c r="AP149" s="14">
        <f t="shared" si="51"/>
        <v>0</v>
      </c>
      <c r="AQ149" s="16">
        <f t="shared" si="60"/>
        <v>0</v>
      </c>
      <c r="AR149" s="37">
        <f>_xlfn.XLOOKUP(C149,[1]Hoja2!$C$6:$C$24,[1]Hoja2!$D$6:$D$24,0,2,1)</f>
        <v>0</v>
      </c>
      <c r="AS149" s="18">
        <f t="shared" si="61"/>
        <v>0</v>
      </c>
      <c r="AT149" s="14"/>
      <c r="AU149" s="37">
        <f>_xlfn.XLOOKUP(D149,[1]Hoja2!$E$6:$E$24,[1]Hoja2!$F$6:$F$24,0,2,1)</f>
        <v>0</v>
      </c>
      <c r="AV149" s="3">
        <v>0</v>
      </c>
      <c r="AW149" s="3"/>
      <c r="AX149" s="14">
        <v>0</v>
      </c>
      <c r="AY149" s="14"/>
      <c r="AZ149" s="16">
        <f>_xlfn.XLOOKUP(C149,[2]PI!$B$15:$B$99,[2]PI!$L$15:$L$99,0,2,1)</f>
        <v>0</v>
      </c>
      <c r="BA149" s="16">
        <f>_xlfn.XLOOKUP(D149,[2]PI!$B$15:$B$99,[2]PI!$L$15:$L$99,0,2,1)</f>
        <v>0</v>
      </c>
      <c r="BB149" s="3"/>
      <c r="BC149" s="3"/>
      <c r="BD149" s="14"/>
      <c r="BE149" s="14"/>
      <c r="BF149" s="16"/>
      <c r="BG149" s="16"/>
      <c r="BH149" s="12">
        <f t="shared" si="62"/>
        <v>0</v>
      </c>
      <c r="BI149" s="19">
        <f t="shared" si="63"/>
        <v>0</v>
      </c>
      <c r="BJ149" s="1" t="s">
        <v>51</v>
      </c>
      <c r="BK149">
        <f t="shared" si="64"/>
        <v>0</v>
      </c>
      <c r="BL149">
        <f t="shared" si="65"/>
        <v>0</v>
      </c>
    </row>
    <row r="150" spans="1:64" x14ac:dyDescent="0.25">
      <c r="A150" s="1" t="s">
        <v>462</v>
      </c>
      <c r="B150" s="1" t="s">
        <v>461</v>
      </c>
      <c r="C150" s="13" t="s">
        <v>460</v>
      </c>
      <c r="D150" s="15"/>
      <c r="E150" s="17"/>
      <c r="F150" s="5">
        <v>9</v>
      </c>
      <c r="G150" s="14"/>
      <c r="H150" s="16"/>
      <c r="I150" s="11">
        <v>46221</v>
      </c>
      <c r="J150" s="4">
        <v>17</v>
      </c>
      <c r="K150" s="18">
        <f>(F150-(0)+0-(J150*Ventas!AE147*1))</f>
        <v>8.9288428571428575</v>
      </c>
      <c r="L150" s="20">
        <f>(K150/(Ventas!AE147*1)/80)</f>
        <v>26.66463310580205</v>
      </c>
      <c r="M150" s="22">
        <f t="shared" si="66"/>
        <v>0</v>
      </c>
      <c r="N150" s="14"/>
      <c r="O150" s="25">
        <f t="shared" si="52"/>
        <v>0</v>
      </c>
      <c r="P150" s="16"/>
      <c r="Q150" s="12">
        <f t="shared" si="53"/>
        <v>8.9288428571428575</v>
      </c>
      <c r="R150" s="5">
        <v>0</v>
      </c>
      <c r="S150" s="24">
        <v>0</v>
      </c>
      <c r="T150" s="26">
        <v>0</v>
      </c>
      <c r="U150" s="18">
        <f t="shared" si="54"/>
        <v>8.9288428571428575</v>
      </c>
      <c r="V150" s="22">
        <f t="shared" si="55"/>
        <v>0</v>
      </c>
      <c r="W150" s="25">
        <f t="shared" si="56"/>
        <v>0</v>
      </c>
      <c r="X150" s="3"/>
      <c r="Y150" s="14"/>
      <c r="Z150" s="14"/>
      <c r="AA150" s="3"/>
      <c r="AB150" s="3"/>
      <c r="AC150" s="11">
        <v>46313</v>
      </c>
      <c r="AD150" s="4">
        <v>92</v>
      </c>
      <c r="AE150" s="18">
        <f>(IF(K150&gt;0,K150+R150,R150)-(AD150*Ventas!AE147*1.0489))</f>
        <v>8.5249264514285716</v>
      </c>
      <c r="AF150" s="20">
        <f>(AE150/(Ventas!AE147*1.0489)/80)</f>
        <v>24.271520741540709</v>
      </c>
      <c r="AG150" s="22">
        <f t="shared" si="67"/>
        <v>0</v>
      </c>
      <c r="AH150" s="14"/>
      <c r="AI150" s="25">
        <f t="shared" si="57"/>
        <v>0</v>
      </c>
      <c r="AJ150" s="16"/>
      <c r="AK150" s="12">
        <f t="shared" si="58"/>
        <v>8.5249264514285716</v>
      </c>
      <c r="AL150" s="19">
        <f t="shared" si="59"/>
        <v>21.23758064884812</v>
      </c>
      <c r="AM150" s="18">
        <f>(180*(Ventas!AE147*0.9644) - IF(AE150&gt;0,AE150,0))</f>
        <v>-7.7983199371428569</v>
      </c>
      <c r="AN150" s="18">
        <f t="shared" si="68"/>
        <v>0</v>
      </c>
      <c r="AO150" s="14"/>
      <c r="AP150" s="14">
        <f t="shared" si="51"/>
        <v>0</v>
      </c>
      <c r="AQ150" s="16">
        <f t="shared" si="60"/>
        <v>0</v>
      </c>
      <c r="AR150" s="37">
        <f>_xlfn.XLOOKUP(C150,[1]Hoja2!$C$6:$C$24,[1]Hoja2!$D$6:$D$24,0,2,1)</f>
        <v>0</v>
      </c>
      <c r="AS150" s="18">
        <f t="shared" si="61"/>
        <v>8.5249264514285716</v>
      </c>
      <c r="AT150" s="14"/>
      <c r="AU150" s="37">
        <f>_xlfn.XLOOKUP(D150,[1]Hoja2!$E$6:$E$24,[1]Hoja2!$F$6:$F$24,0,2,1)</f>
        <v>0</v>
      </c>
      <c r="AV150" s="27">
        <v>0</v>
      </c>
      <c r="AW150" s="5">
        <v>3016</v>
      </c>
      <c r="AX150" s="14">
        <v>0</v>
      </c>
      <c r="AY150" s="14"/>
      <c r="AZ150" s="16">
        <f>_xlfn.XLOOKUP(C150,[2]PI!$B$15:$B$99,[2]PI!$L$15:$L$99,0,2,1)</f>
        <v>0</v>
      </c>
      <c r="BA150" s="16">
        <f>_xlfn.XLOOKUP(D150,[2]PI!$B$15:$B$99,[2]PI!$L$15:$L$99,0,2,1)</f>
        <v>0</v>
      </c>
      <c r="BB150" s="18">
        <f>(AS150-(90*Ventas!AE147*0.9644))</f>
        <v>8.1616231942857151</v>
      </c>
      <c r="BC150" s="20">
        <f>(BB150/(Ventas!AE147*0.9644)/80)</f>
        <v>25.273173066986779</v>
      </c>
      <c r="BD150" s="14"/>
      <c r="BE150" s="14"/>
      <c r="BF150" s="16"/>
      <c r="BG150" s="16"/>
      <c r="BH150" s="12">
        <f t="shared" si="62"/>
        <v>8.1616231942857151</v>
      </c>
      <c r="BI150" s="19">
        <f t="shared" si="63"/>
        <v>22.114026433613432</v>
      </c>
      <c r="BJ150" s="1" t="s">
        <v>35</v>
      </c>
      <c r="BK150">
        <f t="shared" si="64"/>
        <v>0</v>
      </c>
      <c r="BL150">
        <f t="shared" si="65"/>
        <v>0</v>
      </c>
    </row>
    <row r="151" spans="1:64" x14ac:dyDescent="0.25">
      <c r="A151" s="1" t="s">
        <v>465</v>
      </c>
      <c r="B151" s="1" t="s">
        <v>464</v>
      </c>
      <c r="C151" s="13" t="s">
        <v>463</v>
      </c>
      <c r="D151" s="15"/>
      <c r="E151" s="17"/>
      <c r="F151" s="5">
        <v>1</v>
      </c>
      <c r="G151" s="14"/>
      <c r="H151" s="16"/>
      <c r="I151" s="11">
        <v>46221</v>
      </c>
      <c r="J151" s="4">
        <v>17</v>
      </c>
      <c r="K151" s="18">
        <f>(F151-(0)+0-(J151*Ventas!AE148*1))</f>
        <v>0.68145238095238092</v>
      </c>
      <c r="L151" s="20">
        <f>(K151/(Ventas!AE148*1)/80)</f>
        <v>0.45459021601016519</v>
      </c>
      <c r="M151" s="22">
        <f t="shared" si="66"/>
        <v>0</v>
      </c>
      <c r="N151" s="14"/>
      <c r="O151" s="25">
        <f t="shared" si="52"/>
        <v>0</v>
      </c>
      <c r="P151" s="16"/>
      <c r="Q151" s="12">
        <f t="shared" si="53"/>
        <v>0.68145238095238092</v>
      </c>
      <c r="R151" s="5">
        <v>0</v>
      </c>
      <c r="S151" s="24">
        <v>0</v>
      </c>
      <c r="T151" s="26">
        <v>0</v>
      </c>
      <c r="U151" s="18">
        <f t="shared" si="54"/>
        <v>0.68145238095238092</v>
      </c>
      <c r="V151" s="22">
        <f t="shared" si="55"/>
        <v>0</v>
      </c>
      <c r="W151" s="25">
        <f t="shared" si="56"/>
        <v>0</v>
      </c>
      <c r="X151" s="3"/>
      <c r="Y151" s="14"/>
      <c r="Z151" s="14"/>
      <c r="AA151" s="18">
        <v>12</v>
      </c>
      <c r="AB151" s="21">
        <v>7.9539999999999993E-3</v>
      </c>
      <c r="AC151" s="11">
        <v>46313</v>
      </c>
      <c r="AD151" s="4">
        <v>92</v>
      </c>
      <c r="AE151" s="18">
        <f>(IF(K151&gt;0,K151+R151,R151)-(AD151*Ventas!AE148*1.0489))</f>
        <v>-1.1267513238095237</v>
      </c>
      <c r="AF151" s="20">
        <f>(AE151/(Ventas!AE148*1.0489)/80)</f>
        <v>-0.71660290207821031</v>
      </c>
      <c r="AG151" s="22">
        <f t="shared" si="67"/>
        <v>0</v>
      </c>
      <c r="AH151" s="14"/>
      <c r="AI151" s="25">
        <f t="shared" si="57"/>
        <v>0</v>
      </c>
      <c r="AJ151" s="16"/>
      <c r="AK151" s="12">
        <f t="shared" si="58"/>
        <v>-1.1267513238095237</v>
      </c>
      <c r="AL151" s="19">
        <f t="shared" si="59"/>
        <v>-0.62702753931843402</v>
      </c>
      <c r="AM151" s="18">
        <f>(180*(Ventas!AE148*0.9644) - IF(AE151&gt;0,AE151,0))</f>
        <v>3.2527834285714285</v>
      </c>
      <c r="AN151" s="42">
        <v>10</v>
      </c>
      <c r="AO151" s="14"/>
      <c r="AP151" s="14"/>
      <c r="AQ151" s="16">
        <f t="shared" si="60"/>
        <v>7.954E-2</v>
      </c>
      <c r="AR151" s="37">
        <f>_xlfn.XLOOKUP(C151,[1]Hoja2!$C$6:$C$24,[1]Hoja2!$D$6:$D$24,0,2,1)</f>
        <v>0</v>
      </c>
      <c r="AS151" s="18">
        <f t="shared" si="61"/>
        <v>10</v>
      </c>
      <c r="AT151" s="14"/>
      <c r="AU151" s="37">
        <f>_xlfn.XLOOKUP(D151,[1]Hoja2!$E$6:$E$24,[1]Hoja2!$F$6:$F$24,0,2,1)</f>
        <v>0</v>
      </c>
      <c r="AV151" s="27">
        <v>8.5</v>
      </c>
      <c r="AW151" s="5">
        <v>3016</v>
      </c>
      <c r="AX151" s="14">
        <v>0</v>
      </c>
      <c r="AY151" s="14"/>
      <c r="AZ151" s="16">
        <f>_xlfn.XLOOKUP(C151,[2]PI!$B$15:$B$99,[2]PI!$L$15:$L$99,0,2,1)</f>
        <v>8.5</v>
      </c>
      <c r="BA151" s="16">
        <f>_xlfn.XLOOKUP(D151,[2]PI!$B$15:$B$99,[2]PI!$L$15:$L$99,0,2,1)</f>
        <v>0</v>
      </c>
      <c r="BB151" s="18">
        <f>(AS151-(90*Ventas!AE148*0.9644))</f>
        <v>8.3736082857142851</v>
      </c>
      <c r="BC151" s="20">
        <f>(BB151/(Ventas!AE148*0.9644)/80)</f>
        <v>5.7921527997735911</v>
      </c>
      <c r="BD151" s="14"/>
      <c r="BE151" s="14"/>
      <c r="BF151" s="16"/>
      <c r="BG151" s="16"/>
      <c r="BH151" s="12">
        <f t="shared" si="62"/>
        <v>8.3736082857142851</v>
      </c>
      <c r="BI151" s="19">
        <f t="shared" si="63"/>
        <v>5.0681336998018924</v>
      </c>
      <c r="BJ151" s="1" t="s">
        <v>35</v>
      </c>
      <c r="BK151">
        <f t="shared" si="64"/>
        <v>85</v>
      </c>
      <c r="BL151">
        <f t="shared" si="65"/>
        <v>85</v>
      </c>
    </row>
    <row r="152" spans="1:64" x14ac:dyDescent="0.25">
      <c r="A152" s="1" t="s">
        <v>468</v>
      </c>
      <c r="B152" s="1" t="s">
        <v>467</v>
      </c>
      <c r="C152" s="13" t="s">
        <v>466</v>
      </c>
      <c r="D152" s="15"/>
      <c r="E152" s="17"/>
      <c r="F152" s="3"/>
      <c r="G152" s="14"/>
      <c r="H152" s="16"/>
      <c r="I152" s="11">
        <v>46221</v>
      </c>
      <c r="J152" s="4">
        <v>17</v>
      </c>
      <c r="K152" s="18">
        <f>(F152-(0)+0-(J152*Ventas!AE149*1))</f>
        <v>0</v>
      </c>
      <c r="L152" s="3"/>
      <c r="M152" s="22">
        <f t="shared" si="66"/>
        <v>0</v>
      </c>
      <c r="N152" s="14"/>
      <c r="O152" s="25">
        <f t="shared" si="52"/>
        <v>0</v>
      </c>
      <c r="P152" s="16"/>
      <c r="Q152" s="12">
        <f t="shared" si="53"/>
        <v>0</v>
      </c>
      <c r="R152" s="5">
        <v>0</v>
      </c>
      <c r="S152" s="24">
        <v>0</v>
      </c>
      <c r="T152" s="26">
        <v>0</v>
      </c>
      <c r="U152" s="18">
        <f t="shared" si="54"/>
        <v>0</v>
      </c>
      <c r="V152" s="22">
        <f t="shared" si="55"/>
        <v>0</v>
      </c>
      <c r="W152" s="25">
        <f t="shared" si="56"/>
        <v>0</v>
      </c>
      <c r="X152" s="3"/>
      <c r="Y152" s="14"/>
      <c r="Z152" s="14"/>
      <c r="AA152" s="18">
        <v>12</v>
      </c>
      <c r="AB152" s="21">
        <v>7.9539999999999993E-3</v>
      </c>
      <c r="AC152" s="11">
        <v>46313</v>
      </c>
      <c r="AD152" s="4">
        <v>92</v>
      </c>
      <c r="AE152" s="18">
        <f>(IF(K152&gt;0,K152+R152,R152)-(AD152*Ventas!AE149*1.0489))</f>
        <v>0</v>
      </c>
      <c r="AF152" s="3"/>
      <c r="AG152" s="22">
        <f t="shared" si="67"/>
        <v>0</v>
      </c>
      <c r="AH152" s="14"/>
      <c r="AI152" s="25">
        <f t="shared" si="57"/>
        <v>0</v>
      </c>
      <c r="AJ152" s="16"/>
      <c r="AK152" s="12">
        <f t="shared" si="58"/>
        <v>0</v>
      </c>
      <c r="AL152" s="19">
        <f t="shared" si="59"/>
        <v>0</v>
      </c>
      <c r="AM152" s="18">
        <f>(180*(Ventas!AE149*0.9644) - IF(AE152&gt;0,AE152,0))</f>
        <v>0</v>
      </c>
      <c r="AN152" s="18">
        <f t="shared" si="68"/>
        <v>0</v>
      </c>
      <c r="AO152" s="14"/>
      <c r="AP152" s="14">
        <f t="shared" ref="AP152:AP162" si="69">IF(AO152&gt;3,CEILING(AO152,5),0)</f>
        <v>0</v>
      </c>
      <c r="AQ152" s="16">
        <f t="shared" si="60"/>
        <v>0</v>
      </c>
      <c r="AR152" s="37">
        <f>_xlfn.XLOOKUP(C152,[1]Hoja2!$C$6:$C$24,[1]Hoja2!$D$6:$D$24,0,2,1)</f>
        <v>0</v>
      </c>
      <c r="AS152" s="18">
        <f t="shared" si="61"/>
        <v>0</v>
      </c>
      <c r="AT152" s="14"/>
      <c r="AU152" s="37">
        <f>_xlfn.XLOOKUP(D152,[1]Hoja2!$E$6:$E$24,[1]Hoja2!$F$6:$F$24,0,2,1)</f>
        <v>0</v>
      </c>
      <c r="AV152" s="27">
        <v>0</v>
      </c>
      <c r="AW152" s="5">
        <v>3016</v>
      </c>
      <c r="AX152" s="14">
        <v>0</v>
      </c>
      <c r="AY152" s="14"/>
      <c r="AZ152" s="16">
        <f>_xlfn.XLOOKUP(C152,[2]PI!$B$15:$B$99,[2]PI!$L$15:$L$99,0,2,1)</f>
        <v>0</v>
      </c>
      <c r="BA152" s="16">
        <f>_xlfn.XLOOKUP(D152,[2]PI!$B$15:$B$99,[2]PI!$L$15:$L$99,0,2,1)</f>
        <v>0</v>
      </c>
      <c r="BB152" s="3"/>
      <c r="BC152" s="3"/>
      <c r="BD152" s="14"/>
      <c r="BE152" s="14"/>
      <c r="BF152" s="16"/>
      <c r="BG152" s="16"/>
      <c r="BH152" s="12">
        <f t="shared" si="62"/>
        <v>0</v>
      </c>
      <c r="BI152" s="19">
        <f t="shared" si="63"/>
        <v>0</v>
      </c>
      <c r="BJ152" s="1" t="s">
        <v>35</v>
      </c>
      <c r="BK152">
        <f t="shared" si="64"/>
        <v>0</v>
      </c>
      <c r="BL152">
        <f t="shared" si="65"/>
        <v>0</v>
      </c>
    </row>
    <row r="153" spans="1:64" x14ac:dyDescent="0.25">
      <c r="A153" s="1" t="s">
        <v>471</v>
      </c>
      <c r="B153" s="1" t="s">
        <v>470</v>
      </c>
      <c r="C153" s="13" t="s">
        <v>469</v>
      </c>
      <c r="D153" s="15"/>
      <c r="E153" s="17"/>
      <c r="F153" s="3"/>
      <c r="G153" s="14"/>
      <c r="H153" s="16"/>
      <c r="I153" s="11">
        <v>46221</v>
      </c>
      <c r="J153" s="4">
        <v>17</v>
      </c>
      <c r="K153" s="18">
        <f>(F153-(0)+0-(J153*Ventas!AE150*1))</f>
        <v>0</v>
      </c>
      <c r="L153" s="3"/>
      <c r="M153" s="22">
        <f t="shared" si="66"/>
        <v>0</v>
      </c>
      <c r="N153" s="14"/>
      <c r="O153" s="25">
        <f t="shared" si="52"/>
        <v>0</v>
      </c>
      <c r="P153" s="16"/>
      <c r="Q153" s="12">
        <f t="shared" si="53"/>
        <v>0</v>
      </c>
      <c r="R153" s="5">
        <v>10</v>
      </c>
      <c r="S153" s="24">
        <v>0</v>
      </c>
      <c r="T153" s="26">
        <v>0</v>
      </c>
      <c r="U153" s="18">
        <f t="shared" si="54"/>
        <v>10</v>
      </c>
      <c r="V153" s="22">
        <f t="shared" si="55"/>
        <v>0</v>
      </c>
      <c r="W153" s="25">
        <f t="shared" si="56"/>
        <v>0</v>
      </c>
      <c r="X153" s="18">
        <v>8.5</v>
      </c>
      <c r="Y153" s="14"/>
      <c r="Z153" s="14"/>
      <c r="AA153" s="3"/>
      <c r="AB153" s="3"/>
      <c r="AC153" s="11">
        <v>46313</v>
      </c>
      <c r="AD153" s="4">
        <v>92</v>
      </c>
      <c r="AE153" s="18">
        <f>(IF(K153&gt;0,K153+R153,R153)-(AD153*Ventas!AE150*1.0489))</f>
        <v>10</v>
      </c>
      <c r="AF153" s="3"/>
      <c r="AG153" s="22">
        <f t="shared" si="67"/>
        <v>0</v>
      </c>
      <c r="AH153" s="14"/>
      <c r="AI153" s="25">
        <f t="shared" si="57"/>
        <v>0</v>
      </c>
      <c r="AJ153" s="16"/>
      <c r="AK153" s="12">
        <f t="shared" si="58"/>
        <v>10</v>
      </c>
      <c r="AL153" s="19">
        <f t="shared" si="59"/>
        <v>0</v>
      </c>
      <c r="AM153" s="18">
        <f>(180*(Ventas!AE150*0.9644) - IF(AE153&gt;0,AE153,0))</f>
        <v>-10</v>
      </c>
      <c r="AN153" s="18">
        <f t="shared" si="68"/>
        <v>0</v>
      </c>
      <c r="AO153" s="14"/>
      <c r="AP153" s="14">
        <f t="shared" si="69"/>
        <v>0</v>
      </c>
      <c r="AQ153" s="16">
        <f t="shared" si="60"/>
        <v>0</v>
      </c>
      <c r="AR153" s="37">
        <f>_xlfn.XLOOKUP(C153,[1]Hoja2!$C$6:$C$24,[1]Hoja2!$D$6:$D$24,0,2,1)</f>
        <v>0</v>
      </c>
      <c r="AS153" s="18">
        <f t="shared" si="61"/>
        <v>10</v>
      </c>
      <c r="AT153" s="14"/>
      <c r="AU153" s="37">
        <f>_xlfn.XLOOKUP(D153,[1]Hoja2!$E$6:$E$24,[1]Hoja2!$F$6:$F$24,0,2,1)</f>
        <v>0</v>
      </c>
      <c r="AV153" s="27">
        <v>0</v>
      </c>
      <c r="AW153" s="5">
        <v>3016</v>
      </c>
      <c r="AX153" s="14">
        <v>0</v>
      </c>
      <c r="AY153" s="14"/>
      <c r="AZ153" s="16">
        <f>_xlfn.XLOOKUP(C153,[2]PI!$B$15:$B$99,[2]PI!$L$15:$L$99,0,2,1)</f>
        <v>0</v>
      </c>
      <c r="BA153" s="16">
        <f>_xlfn.XLOOKUP(D153,[2]PI!$B$15:$B$99,[2]PI!$L$15:$L$99,0,2,1)</f>
        <v>0</v>
      </c>
      <c r="BB153" s="3"/>
      <c r="BC153" s="3"/>
      <c r="BD153" s="14"/>
      <c r="BE153" s="14"/>
      <c r="BF153" s="16"/>
      <c r="BG153" s="16"/>
      <c r="BH153" s="12">
        <f t="shared" si="62"/>
        <v>0</v>
      </c>
      <c r="BI153" s="19">
        <f t="shared" si="63"/>
        <v>0</v>
      </c>
      <c r="BJ153" s="1" t="s">
        <v>35</v>
      </c>
      <c r="BK153">
        <f t="shared" si="64"/>
        <v>0</v>
      </c>
      <c r="BL153">
        <f t="shared" si="65"/>
        <v>0</v>
      </c>
    </row>
    <row r="154" spans="1:64" x14ac:dyDescent="0.25">
      <c r="A154" s="1" t="s">
        <v>474</v>
      </c>
      <c r="B154" s="1" t="s">
        <v>473</v>
      </c>
      <c r="C154" s="13" t="s">
        <v>472</v>
      </c>
      <c r="D154" s="15"/>
      <c r="E154" s="17"/>
      <c r="F154" s="5">
        <v>1</v>
      </c>
      <c r="G154" s="14"/>
      <c r="H154" s="16"/>
      <c r="I154" s="11">
        <v>46221</v>
      </c>
      <c r="J154" s="4">
        <v>17</v>
      </c>
      <c r="K154" s="18">
        <f>(F154-(0)+0-(J154*Ventas!AE151*1))</f>
        <v>1</v>
      </c>
      <c r="L154" s="3"/>
      <c r="M154" s="22">
        <f t="shared" si="66"/>
        <v>0</v>
      </c>
      <c r="N154" s="14"/>
      <c r="O154" s="25">
        <f t="shared" si="52"/>
        <v>0</v>
      </c>
      <c r="P154" s="16"/>
      <c r="Q154" s="12">
        <f t="shared" si="53"/>
        <v>1</v>
      </c>
      <c r="R154" s="5">
        <v>0</v>
      </c>
      <c r="S154" s="24">
        <v>0</v>
      </c>
      <c r="T154" s="26">
        <v>0</v>
      </c>
      <c r="U154" s="18">
        <f t="shared" si="54"/>
        <v>1</v>
      </c>
      <c r="V154" s="22">
        <f t="shared" si="55"/>
        <v>0</v>
      </c>
      <c r="W154" s="25">
        <f t="shared" si="56"/>
        <v>0</v>
      </c>
      <c r="X154" s="3"/>
      <c r="Y154" s="14"/>
      <c r="Z154" s="14"/>
      <c r="AA154" s="18">
        <v>12</v>
      </c>
      <c r="AB154" s="21">
        <v>8.1810000000000008E-3</v>
      </c>
      <c r="AC154" s="11">
        <v>46313</v>
      </c>
      <c r="AD154" s="4">
        <v>92</v>
      </c>
      <c r="AE154" s="18">
        <f>(IF(K154&gt;0,K154+R154,R154)-(AD154*Ventas!AE151*1.0489))</f>
        <v>1</v>
      </c>
      <c r="AF154" s="3"/>
      <c r="AG154" s="22">
        <f t="shared" si="67"/>
        <v>0</v>
      </c>
      <c r="AH154" s="14"/>
      <c r="AI154" s="25">
        <f t="shared" si="57"/>
        <v>0</v>
      </c>
      <c r="AJ154" s="16"/>
      <c r="AK154" s="12">
        <f t="shared" si="58"/>
        <v>1</v>
      </c>
      <c r="AL154" s="19">
        <f t="shared" si="59"/>
        <v>0</v>
      </c>
      <c r="AM154" s="18">
        <f>(180*(Ventas!AE151*0.9644) - IF(AE154&gt;0,AE154,0))</f>
        <v>-1</v>
      </c>
      <c r="AN154" s="18">
        <f t="shared" si="68"/>
        <v>0</v>
      </c>
      <c r="AO154" s="14"/>
      <c r="AP154" s="14">
        <f t="shared" si="69"/>
        <v>0</v>
      </c>
      <c r="AQ154" s="16">
        <f t="shared" si="60"/>
        <v>0</v>
      </c>
      <c r="AR154" s="37">
        <f>_xlfn.XLOOKUP(C154,[1]Hoja2!$C$6:$C$24,[1]Hoja2!$D$6:$D$24,0,2,1)</f>
        <v>0</v>
      </c>
      <c r="AS154" s="18">
        <f t="shared" si="61"/>
        <v>1</v>
      </c>
      <c r="AT154" s="14"/>
      <c r="AU154" s="37">
        <f>_xlfn.XLOOKUP(D154,[1]Hoja2!$E$6:$E$24,[1]Hoja2!$F$6:$F$24,0,2,1)</f>
        <v>0</v>
      </c>
      <c r="AV154" s="27">
        <v>0</v>
      </c>
      <c r="AW154" s="5">
        <v>3016</v>
      </c>
      <c r="AX154" s="14">
        <v>0</v>
      </c>
      <c r="AY154" s="14"/>
      <c r="AZ154" s="16">
        <f>_xlfn.XLOOKUP(C154,[2]PI!$B$15:$B$99,[2]PI!$L$15:$L$99,0,2,1)</f>
        <v>0</v>
      </c>
      <c r="BA154" s="16">
        <f>_xlfn.XLOOKUP(D154,[2]PI!$B$15:$B$99,[2]PI!$L$15:$L$99,0,2,1)</f>
        <v>0</v>
      </c>
      <c r="BB154" s="3"/>
      <c r="BC154" s="3"/>
      <c r="BD154" s="14"/>
      <c r="BE154" s="14"/>
      <c r="BF154" s="16"/>
      <c r="BG154" s="16"/>
      <c r="BH154" s="12">
        <f t="shared" si="62"/>
        <v>0</v>
      </c>
      <c r="BI154" s="19">
        <f t="shared" si="63"/>
        <v>0</v>
      </c>
      <c r="BJ154" s="1" t="s">
        <v>35</v>
      </c>
      <c r="BK154">
        <f t="shared" si="64"/>
        <v>0</v>
      </c>
      <c r="BL154">
        <f t="shared" si="65"/>
        <v>0</v>
      </c>
    </row>
    <row r="155" spans="1:64" x14ac:dyDescent="0.25">
      <c r="A155" s="1" t="s">
        <v>477</v>
      </c>
      <c r="B155" s="1" t="s">
        <v>476</v>
      </c>
      <c r="C155" s="13" t="s">
        <v>475</v>
      </c>
      <c r="D155" s="15"/>
      <c r="E155" s="17"/>
      <c r="F155" s="5">
        <v>18</v>
      </c>
      <c r="G155" s="14"/>
      <c r="H155" s="16"/>
      <c r="I155" s="11">
        <v>46221</v>
      </c>
      <c r="J155" s="4">
        <v>17</v>
      </c>
      <c r="K155" s="18">
        <f>(F155-(0)+0-(J155*Ventas!AE152*1))</f>
        <v>17.835585714285713</v>
      </c>
      <c r="L155" s="20">
        <f>(K155/(Ventas!AE152*1)/80)</f>
        <v>23.051901772525849</v>
      </c>
      <c r="M155" s="22">
        <f t="shared" si="66"/>
        <v>0</v>
      </c>
      <c r="N155" s="14"/>
      <c r="O155" s="25">
        <f t="shared" si="52"/>
        <v>0</v>
      </c>
      <c r="P155" s="16"/>
      <c r="Q155" s="12">
        <f t="shared" si="53"/>
        <v>17.835585714285713</v>
      </c>
      <c r="R155" s="5">
        <v>0</v>
      </c>
      <c r="S155" s="24">
        <v>0</v>
      </c>
      <c r="T155" s="26">
        <v>0</v>
      </c>
      <c r="U155" s="18">
        <f t="shared" si="54"/>
        <v>17.835585714285713</v>
      </c>
      <c r="V155" s="22">
        <f t="shared" si="55"/>
        <v>0</v>
      </c>
      <c r="W155" s="25">
        <f t="shared" si="56"/>
        <v>0</v>
      </c>
      <c r="X155" s="3"/>
      <c r="Y155" s="14"/>
      <c r="Z155" s="14"/>
      <c r="AA155" s="18">
        <v>20</v>
      </c>
      <c r="AB155" s="21">
        <v>3.2759999999999998E-3</v>
      </c>
      <c r="AC155" s="11">
        <v>46313</v>
      </c>
      <c r="AD155" s="4">
        <v>92</v>
      </c>
      <c r="AE155" s="18">
        <f>(IF(K155&gt;0,K155+R155,R155)-(AD155*Ventas!AE152*1.0489))</f>
        <v>16.902304462857142</v>
      </c>
      <c r="AF155" s="20">
        <f>(AE155/(Ventas!AE152*1.0489)/80)</f>
        <v>20.827215914315808</v>
      </c>
      <c r="AG155" s="22">
        <f t="shared" si="67"/>
        <v>0</v>
      </c>
      <c r="AH155" s="14"/>
      <c r="AI155" s="25">
        <f t="shared" si="57"/>
        <v>0</v>
      </c>
      <c r="AJ155" s="16"/>
      <c r="AK155" s="12">
        <f t="shared" si="58"/>
        <v>16.902304462857142</v>
      </c>
      <c r="AL155" s="19">
        <f t="shared" si="59"/>
        <v>18.223813925026331</v>
      </c>
      <c r="AM155" s="18">
        <f>(180*(Ventas!AE152*0.9644) - IF(AE155&gt;0,AE155,0))</f>
        <v>-15.223421834285713</v>
      </c>
      <c r="AN155" s="18">
        <f t="shared" si="68"/>
        <v>0</v>
      </c>
      <c r="AO155" s="14"/>
      <c r="AP155" s="14">
        <f t="shared" si="69"/>
        <v>0</v>
      </c>
      <c r="AQ155" s="16">
        <f t="shared" si="60"/>
        <v>0</v>
      </c>
      <c r="AR155" s="37">
        <f>_xlfn.XLOOKUP(C155,[1]Hoja2!$C$6:$C$24,[1]Hoja2!$D$6:$D$24,0,2,1)</f>
        <v>0</v>
      </c>
      <c r="AS155" s="18">
        <f t="shared" si="61"/>
        <v>16.902304462857142</v>
      </c>
      <c r="AT155" s="14"/>
      <c r="AU155" s="37">
        <f>_xlfn.XLOOKUP(D155,[1]Hoja2!$E$6:$E$24,[1]Hoja2!$F$6:$F$24,0,2,1)</f>
        <v>0</v>
      </c>
      <c r="AV155" s="27">
        <v>0</v>
      </c>
      <c r="AW155" s="5">
        <v>3016</v>
      </c>
      <c r="AX155" s="14">
        <v>0</v>
      </c>
      <c r="AY155" s="14"/>
      <c r="AZ155" s="16">
        <f>_xlfn.XLOOKUP(C155,[2]PI!$B$15:$B$99,[2]PI!$L$15:$L$99,0,2,1)</f>
        <v>0</v>
      </c>
      <c r="BA155" s="16">
        <f>_xlfn.XLOOKUP(D155,[2]PI!$B$15:$B$99,[2]PI!$L$15:$L$99,0,2,1)</f>
        <v>0</v>
      </c>
      <c r="BB155" s="18">
        <f>(AS155-(90*Ventas!AE152*0.9644))</f>
        <v>16.062863148571427</v>
      </c>
      <c r="BC155" s="20">
        <f>(BB155/(Ventas!AE152*0.9644)/80)</f>
        <v>21.527080850814858</v>
      </c>
      <c r="BD155" s="14"/>
      <c r="BE155" s="14"/>
      <c r="BF155" s="16"/>
      <c r="BG155" s="16"/>
      <c r="BH155" s="12">
        <f t="shared" si="62"/>
        <v>16.062863148571427</v>
      </c>
      <c r="BI155" s="19">
        <f t="shared" si="63"/>
        <v>18.836195744463001</v>
      </c>
      <c r="BJ155" s="1" t="s">
        <v>35</v>
      </c>
      <c r="BK155">
        <f t="shared" si="64"/>
        <v>0</v>
      </c>
      <c r="BL155">
        <f t="shared" si="65"/>
        <v>0</v>
      </c>
    </row>
    <row r="156" spans="1:64" x14ac:dyDescent="0.25">
      <c r="A156" s="1" t="s">
        <v>480</v>
      </c>
      <c r="B156" s="1" t="s">
        <v>479</v>
      </c>
      <c r="C156" s="13" t="s">
        <v>478</v>
      </c>
      <c r="D156" s="15"/>
      <c r="E156" s="17"/>
      <c r="F156" s="5">
        <v>102</v>
      </c>
      <c r="G156" s="14"/>
      <c r="H156" s="16"/>
      <c r="I156" s="11">
        <v>46221</v>
      </c>
      <c r="J156" s="4">
        <v>17</v>
      </c>
      <c r="K156" s="18">
        <f>(F156-(0)+0-(J156*Ventas!AE153*1))</f>
        <v>95.759299999999996</v>
      </c>
      <c r="L156" s="20">
        <f>(K156/(Ventas!AE153*1)/80)</f>
        <v>3.2606680740942515</v>
      </c>
      <c r="M156" s="22">
        <f t="shared" si="66"/>
        <v>0</v>
      </c>
      <c r="N156" s="14"/>
      <c r="O156" s="25">
        <f t="shared" si="52"/>
        <v>0</v>
      </c>
      <c r="P156" s="16"/>
      <c r="Q156" s="12">
        <f t="shared" si="53"/>
        <v>95.759299999999996</v>
      </c>
      <c r="R156" s="5">
        <v>42</v>
      </c>
      <c r="S156" s="24">
        <v>0</v>
      </c>
      <c r="T156" s="26">
        <v>0</v>
      </c>
      <c r="U156" s="18">
        <f t="shared" si="54"/>
        <v>137.7593</v>
      </c>
      <c r="V156" s="22">
        <f t="shared" si="55"/>
        <v>0</v>
      </c>
      <c r="W156" s="25">
        <f t="shared" si="56"/>
        <v>0</v>
      </c>
      <c r="X156" s="18">
        <v>6.3</v>
      </c>
      <c r="Y156" s="14"/>
      <c r="Z156" s="14"/>
      <c r="AA156" s="18">
        <v>10</v>
      </c>
      <c r="AB156" s="21">
        <v>1.3318E-2</v>
      </c>
      <c r="AC156" s="11">
        <v>46313</v>
      </c>
      <c r="AD156" s="4">
        <v>92</v>
      </c>
      <c r="AE156" s="18">
        <f>(IF(K156&gt;0,K156+R156,R156)-(AD156*Ventas!AE153*1.0489))</f>
        <v>102.33459051999999</v>
      </c>
      <c r="AF156" s="20">
        <f>(AE156/(Ventas!AE153*1.0489)/80)</f>
        <v>3.3221099290720275</v>
      </c>
      <c r="AG156" s="22">
        <f t="shared" si="67"/>
        <v>0</v>
      </c>
      <c r="AH156" s="14"/>
      <c r="AI156" s="25">
        <f t="shared" si="57"/>
        <v>0</v>
      </c>
      <c r="AJ156" s="16"/>
      <c r="AK156" s="12">
        <f t="shared" si="58"/>
        <v>102.33459051999999</v>
      </c>
      <c r="AL156" s="19">
        <f t="shared" si="59"/>
        <v>2.9068461879380241</v>
      </c>
      <c r="AM156" s="18">
        <f>(180*(Ventas!AE153*0.9644) - IF(AE156&gt;0,AE156,0))</f>
        <v>-38.608967319999991</v>
      </c>
      <c r="AN156" s="38">
        <f t="shared" si="68"/>
        <v>0</v>
      </c>
      <c r="AO156" s="14"/>
      <c r="AP156" s="14">
        <f t="shared" si="69"/>
        <v>0</v>
      </c>
      <c r="AQ156" s="16">
        <f t="shared" si="60"/>
        <v>0</v>
      </c>
      <c r="AR156" s="39">
        <f>_xlfn.XLOOKUP(C156,[1]Hoja2!$C$6:$C$24,[1]Hoja2!$D$6:$D$24,0,2,1)</f>
        <v>15</v>
      </c>
      <c r="AS156" s="18">
        <f t="shared" si="61"/>
        <v>102.33459051999999</v>
      </c>
      <c r="AT156" s="14"/>
      <c r="AU156" s="37">
        <f>_xlfn.XLOOKUP(D156,[1]Hoja2!$E$6:$E$24,[1]Hoja2!$F$6:$F$24,0,2,1)</f>
        <v>0</v>
      </c>
      <c r="AV156" s="27">
        <v>6.3</v>
      </c>
      <c r="AW156" s="5">
        <v>3016</v>
      </c>
      <c r="AX156" s="14">
        <v>0</v>
      </c>
      <c r="AY156" s="14"/>
      <c r="AZ156" s="16">
        <f>_xlfn.XLOOKUP(C156,[2]PI!$B$15:$B$99,[2]PI!$L$15:$L$99,0,2,1)</f>
        <v>6.3</v>
      </c>
      <c r="BA156" s="16">
        <f>_xlfn.XLOOKUP(D156,[2]PI!$B$15:$B$99,[2]PI!$L$15:$L$99,0,2,1)</f>
        <v>0</v>
      </c>
      <c r="BB156" s="18">
        <f>(AS156-(90*Ventas!AE153*0.9644))</f>
        <v>70.471778919999991</v>
      </c>
      <c r="BC156" s="20">
        <f>(BB156/(Ventas!AE153*0.9644)/80)</f>
        <v>2.4881906932845808</v>
      </c>
      <c r="BD156" s="14"/>
      <c r="BE156" s="14"/>
      <c r="BF156" s="16"/>
      <c r="BG156" s="16"/>
      <c r="BH156" s="12">
        <f t="shared" si="62"/>
        <v>70.471778919999991</v>
      </c>
      <c r="BI156" s="19">
        <f t="shared" si="63"/>
        <v>2.1771668566240083</v>
      </c>
      <c r="BJ156" s="1" t="s">
        <v>35</v>
      </c>
      <c r="BK156">
        <f t="shared" si="64"/>
        <v>0</v>
      </c>
      <c r="BL156">
        <f t="shared" si="65"/>
        <v>0</v>
      </c>
    </row>
    <row r="157" spans="1:64" x14ac:dyDescent="0.25">
      <c r="A157" s="1" t="s">
        <v>483</v>
      </c>
      <c r="B157" s="1" t="s">
        <v>482</v>
      </c>
      <c r="C157" s="13" t="s">
        <v>481</v>
      </c>
      <c r="D157" s="15"/>
      <c r="E157" s="17"/>
      <c r="F157" s="3"/>
      <c r="G157" s="14"/>
      <c r="H157" s="16"/>
      <c r="I157" s="11">
        <v>46221</v>
      </c>
      <c r="J157" s="4">
        <v>17</v>
      </c>
      <c r="K157" s="18">
        <f>(F157-(0)+0-(J157*Ventas!AE154*1))</f>
        <v>0</v>
      </c>
      <c r="L157" s="3"/>
      <c r="M157" s="22">
        <f t="shared" si="66"/>
        <v>0</v>
      </c>
      <c r="N157" s="14"/>
      <c r="O157" s="25">
        <f t="shared" si="52"/>
        <v>0</v>
      </c>
      <c r="P157" s="16"/>
      <c r="Q157" s="12">
        <f t="shared" si="53"/>
        <v>0</v>
      </c>
      <c r="R157" s="5">
        <v>0</v>
      </c>
      <c r="S157" s="24">
        <v>0</v>
      </c>
      <c r="T157" s="26">
        <v>0</v>
      </c>
      <c r="U157" s="18">
        <f t="shared" si="54"/>
        <v>0</v>
      </c>
      <c r="V157" s="22">
        <f t="shared" si="55"/>
        <v>0</v>
      </c>
      <c r="W157" s="25">
        <f t="shared" si="56"/>
        <v>0</v>
      </c>
      <c r="X157" s="3"/>
      <c r="Y157" s="14"/>
      <c r="Z157" s="14"/>
      <c r="AA157" s="3"/>
      <c r="AB157" s="3"/>
      <c r="AC157" s="11">
        <v>46313</v>
      </c>
      <c r="AD157" s="4">
        <v>92</v>
      </c>
      <c r="AE157" s="18">
        <f>(IF(K157&gt;0,K157+R157,R157)-(AD157*Ventas!AE154*1.0489))</f>
        <v>0</v>
      </c>
      <c r="AF157" s="3"/>
      <c r="AG157" s="22">
        <f t="shared" si="67"/>
        <v>0</v>
      </c>
      <c r="AH157" s="14"/>
      <c r="AI157" s="25">
        <f t="shared" si="57"/>
        <v>0</v>
      </c>
      <c r="AJ157" s="16"/>
      <c r="AK157" s="12">
        <f t="shared" si="58"/>
        <v>0</v>
      </c>
      <c r="AL157" s="19">
        <f t="shared" si="59"/>
        <v>0</v>
      </c>
      <c r="AM157" s="18">
        <f>(180*(Ventas!AE154*0.9644) - IF(AE157&gt;0,AE157,0))</f>
        <v>0</v>
      </c>
      <c r="AN157" s="18">
        <f t="shared" si="68"/>
        <v>0</v>
      </c>
      <c r="AO157" s="14"/>
      <c r="AP157" s="14">
        <f t="shared" si="69"/>
        <v>0</v>
      </c>
      <c r="AQ157" s="16">
        <f t="shared" si="60"/>
        <v>0</v>
      </c>
      <c r="AR157" s="37">
        <f>_xlfn.XLOOKUP(C157,[1]Hoja2!$C$6:$C$24,[1]Hoja2!$D$6:$D$24,0,2,1)</f>
        <v>0</v>
      </c>
      <c r="AS157" s="18">
        <f t="shared" si="61"/>
        <v>0</v>
      </c>
      <c r="AT157" s="14"/>
      <c r="AU157" s="37">
        <f>_xlfn.XLOOKUP(D157,[1]Hoja2!$E$6:$E$24,[1]Hoja2!$F$6:$F$24,0,2,1)</f>
        <v>0</v>
      </c>
      <c r="AV157" s="3">
        <v>0</v>
      </c>
      <c r="AW157" s="3"/>
      <c r="AX157" s="14">
        <v>0</v>
      </c>
      <c r="AY157" s="14"/>
      <c r="AZ157" s="16">
        <f>_xlfn.XLOOKUP(C157,[2]PI!$B$15:$B$99,[2]PI!$L$15:$L$99,0,2,1)</f>
        <v>0</v>
      </c>
      <c r="BA157" s="16">
        <f>_xlfn.XLOOKUP(D157,[2]PI!$B$15:$B$99,[2]PI!$L$15:$L$99,0,2,1)</f>
        <v>0</v>
      </c>
      <c r="BB157" s="3"/>
      <c r="BC157" s="3"/>
      <c r="BD157" s="14"/>
      <c r="BE157" s="14"/>
      <c r="BF157" s="16"/>
      <c r="BG157" s="16"/>
      <c r="BH157" s="12">
        <f t="shared" si="62"/>
        <v>0</v>
      </c>
      <c r="BI157" s="19">
        <f t="shared" si="63"/>
        <v>0</v>
      </c>
      <c r="BJ157" s="1" t="s">
        <v>51</v>
      </c>
      <c r="BK157">
        <f t="shared" si="64"/>
        <v>0</v>
      </c>
      <c r="BL157">
        <f t="shared" si="65"/>
        <v>0</v>
      </c>
    </row>
    <row r="158" spans="1:64" x14ac:dyDescent="0.25">
      <c r="A158" s="1" t="s">
        <v>486</v>
      </c>
      <c r="B158" s="1" t="s">
        <v>485</v>
      </c>
      <c r="C158" s="13" t="s">
        <v>484</v>
      </c>
      <c r="D158" s="15"/>
      <c r="E158" s="17"/>
      <c r="F158" s="3"/>
      <c r="G158" s="14"/>
      <c r="H158" s="16"/>
      <c r="I158" s="11">
        <v>46221</v>
      </c>
      <c r="J158" s="4">
        <v>17</v>
      </c>
      <c r="K158" s="18">
        <f>(F158-(0)+0-(J158*Ventas!AE155*1))</f>
        <v>0</v>
      </c>
      <c r="L158" s="3"/>
      <c r="M158" s="22">
        <f t="shared" si="66"/>
        <v>0</v>
      </c>
      <c r="N158" s="14"/>
      <c r="O158" s="25">
        <f t="shared" si="52"/>
        <v>0</v>
      </c>
      <c r="P158" s="16"/>
      <c r="Q158" s="12">
        <f t="shared" si="53"/>
        <v>0</v>
      </c>
      <c r="R158" s="5">
        <v>0</v>
      </c>
      <c r="S158" s="24">
        <v>0</v>
      </c>
      <c r="T158" s="26">
        <v>0</v>
      </c>
      <c r="U158" s="18">
        <f t="shared" si="54"/>
        <v>0</v>
      </c>
      <c r="V158" s="22">
        <f t="shared" si="55"/>
        <v>0</v>
      </c>
      <c r="W158" s="25">
        <f t="shared" si="56"/>
        <v>0</v>
      </c>
      <c r="X158" s="3"/>
      <c r="Y158" s="14"/>
      <c r="Z158" s="14"/>
      <c r="AA158" s="18">
        <v>32</v>
      </c>
      <c r="AB158" s="21">
        <v>2.2369999999999998E-3</v>
      </c>
      <c r="AC158" s="11">
        <v>46313</v>
      </c>
      <c r="AD158" s="4">
        <v>92</v>
      </c>
      <c r="AE158" s="18">
        <f>(IF(K158&gt;0,K158+R158,R158)-(AD158*Ventas!AE155*1.0489))</f>
        <v>0</v>
      </c>
      <c r="AF158" s="3"/>
      <c r="AG158" s="22">
        <f t="shared" si="67"/>
        <v>0</v>
      </c>
      <c r="AH158" s="14"/>
      <c r="AI158" s="25">
        <f t="shared" si="57"/>
        <v>0</v>
      </c>
      <c r="AJ158" s="16"/>
      <c r="AK158" s="12">
        <f t="shared" si="58"/>
        <v>0</v>
      </c>
      <c r="AL158" s="19">
        <f t="shared" si="59"/>
        <v>0</v>
      </c>
      <c r="AM158" s="18">
        <f>(180*(Ventas!AE155*0.9644) - IF(AE158&gt;0,AE158,0))</f>
        <v>0</v>
      </c>
      <c r="AN158" s="18">
        <f t="shared" si="68"/>
        <v>0</v>
      </c>
      <c r="AO158" s="14"/>
      <c r="AP158" s="14">
        <f t="shared" si="69"/>
        <v>0</v>
      </c>
      <c r="AQ158" s="16">
        <f t="shared" si="60"/>
        <v>0</v>
      </c>
      <c r="AR158" s="37">
        <f>_xlfn.XLOOKUP(C158,[1]Hoja2!$C$6:$C$24,[1]Hoja2!$D$6:$D$24,0,2,1)</f>
        <v>0</v>
      </c>
      <c r="AS158" s="18">
        <f t="shared" si="61"/>
        <v>0</v>
      </c>
      <c r="AT158" s="14"/>
      <c r="AU158" s="37">
        <f>_xlfn.XLOOKUP(D158,[1]Hoja2!$E$6:$E$24,[1]Hoja2!$F$6:$F$24,0,2,1)</f>
        <v>0</v>
      </c>
      <c r="AV158" s="3">
        <v>0</v>
      </c>
      <c r="AW158" s="3"/>
      <c r="AX158" s="14">
        <v>0</v>
      </c>
      <c r="AY158" s="14"/>
      <c r="AZ158" s="16">
        <f>_xlfn.XLOOKUP(C158,[2]PI!$B$15:$B$99,[2]PI!$L$15:$L$99,0,2,1)</f>
        <v>0</v>
      </c>
      <c r="BA158" s="16">
        <f>_xlfn.XLOOKUP(D158,[2]PI!$B$15:$B$99,[2]PI!$L$15:$L$99,0,2,1)</f>
        <v>0</v>
      </c>
      <c r="BB158" s="3"/>
      <c r="BC158" s="3"/>
      <c r="BD158" s="14"/>
      <c r="BE158" s="14"/>
      <c r="BF158" s="16"/>
      <c r="BG158" s="16"/>
      <c r="BH158" s="12">
        <f t="shared" si="62"/>
        <v>0</v>
      </c>
      <c r="BI158" s="19">
        <f t="shared" si="63"/>
        <v>0</v>
      </c>
      <c r="BJ158" s="1" t="s">
        <v>51</v>
      </c>
      <c r="BK158">
        <f t="shared" si="64"/>
        <v>0</v>
      </c>
      <c r="BL158">
        <f t="shared" si="65"/>
        <v>0</v>
      </c>
    </row>
    <row r="159" spans="1:64" x14ac:dyDescent="0.25">
      <c r="A159" s="1" t="s">
        <v>489</v>
      </c>
      <c r="B159" s="1" t="s">
        <v>488</v>
      </c>
      <c r="C159" s="13" t="s">
        <v>487</v>
      </c>
      <c r="D159" s="15"/>
      <c r="E159" s="17"/>
      <c r="F159" s="3"/>
      <c r="G159" s="14"/>
      <c r="H159" s="16"/>
      <c r="I159" s="11">
        <v>46221</v>
      </c>
      <c r="J159" s="4">
        <v>17</v>
      </c>
      <c r="K159" s="18">
        <f>(F159-(0)+0-(J159*Ventas!AE156*1))</f>
        <v>0</v>
      </c>
      <c r="L159" s="3"/>
      <c r="M159" s="22">
        <f t="shared" si="66"/>
        <v>0</v>
      </c>
      <c r="N159" s="14"/>
      <c r="O159" s="25">
        <f t="shared" si="52"/>
        <v>0</v>
      </c>
      <c r="P159" s="16"/>
      <c r="Q159" s="12">
        <f t="shared" si="53"/>
        <v>0</v>
      </c>
      <c r="R159" s="5">
        <v>0</v>
      </c>
      <c r="S159" s="24">
        <v>0</v>
      </c>
      <c r="T159" s="26">
        <v>0</v>
      </c>
      <c r="U159" s="18">
        <f t="shared" si="54"/>
        <v>0</v>
      </c>
      <c r="V159" s="22">
        <f t="shared" si="55"/>
        <v>0</v>
      </c>
      <c r="W159" s="25">
        <f t="shared" si="56"/>
        <v>0</v>
      </c>
      <c r="X159" s="3"/>
      <c r="Y159" s="14"/>
      <c r="Z159" s="14"/>
      <c r="AA159" s="18">
        <v>50</v>
      </c>
      <c r="AB159" s="21">
        <v>1.3730000000000001E-3</v>
      </c>
      <c r="AC159" s="11">
        <v>46313</v>
      </c>
      <c r="AD159" s="4">
        <v>92</v>
      </c>
      <c r="AE159" s="18">
        <f>(IF(K159&gt;0,K159+R159,R159)-(AD159*Ventas!AE156*1.0489))</f>
        <v>0</v>
      </c>
      <c r="AF159" s="3"/>
      <c r="AG159" s="22">
        <f t="shared" si="67"/>
        <v>0</v>
      </c>
      <c r="AH159" s="14"/>
      <c r="AI159" s="25">
        <f t="shared" si="57"/>
        <v>0</v>
      </c>
      <c r="AJ159" s="16"/>
      <c r="AK159" s="12">
        <f t="shared" si="58"/>
        <v>0</v>
      </c>
      <c r="AL159" s="19">
        <f t="shared" si="59"/>
        <v>0</v>
      </c>
      <c r="AM159" s="18">
        <f>(180*(Ventas!AE156*0.9644) - IF(AE159&gt;0,AE159,0))</f>
        <v>0</v>
      </c>
      <c r="AN159" s="18">
        <f t="shared" si="68"/>
        <v>0</v>
      </c>
      <c r="AO159" s="14"/>
      <c r="AP159" s="14">
        <f t="shared" si="69"/>
        <v>0</v>
      </c>
      <c r="AQ159" s="16">
        <f t="shared" si="60"/>
        <v>0</v>
      </c>
      <c r="AR159" s="37">
        <f>_xlfn.XLOOKUP(C159,[1]Hoja2!$C$6:$C$24,[1]Hoja2!$D$6:$D$24,0,2,1)</f>
        <v>0</v>
      </c>
      <c r="AS159" s="18">
        <f t="shared" si="61"/>
        <v>0</v>
      </c>
      <c r="AT159" s="14"/>
      <c r="AU159" s="37">
        <f>_xlfn.XLOOKUP(D159,[1]Hoja2!$E$6:$E$24,[1]Hoja2!$F$6:$F$24,0,2,1)</f>
        <v>0</v>
      </c>
      <c r="AV159" s="3">
        <v>0</v>
      </c>
      <c r="AW159" s="3"/>
      <c r="AX159" s="14">
        <v>0</v>
      </c>
      <c r="AY159" s="14"/>
      <c r="AZ159" s="16">
        <f>_xlfn.XLOOKUP(C159,[2]PI!$B$15:$B$99,[2]PI!$L$15:$L$99,0,2,1)</f>
        <v>0</v>
      </c>
      <c r="BA159" s="16">
        <f>_xlfn.XLOOKUP(D159,[2]PI!$B$15:$B$99,[2]PI!$L$15:$L$99,0,2,1)</f>
        <v>0</v>
      </c>
      <c r="BB159" s="3"/>
      <c r="BC159" s="3"/>
      <c r="BD159" s="14"/>
      <c r="BE159" s="14"/>
      <c r="BF159" s="16"/>
      <c r="BG159" s="16"/>
      <c r="BH159" s="12">
        <f t="shared" si="62"/>
        <v>0</v>
      </c>
      <c r="BI159" s="19">
        <f t="shared" si="63"/>
        <v>0</v>
      </c>
      <c r="BJ159" s="1" t="s">
        <v>35</v>
      </c>
      <c r="BK159">
        <f t="shared" si="64"/>
        <v>0</v>
      </c>
      <c r="BL159">
        <f t="shared" si="65"/>
        <v>0</v>
      </c>
    </row>
    <row r="160" spans="1:64" x14ac:dyDescent="0.25">
      <c r="A160" s="1" t="s">
        <v>492</v>
      </c>
      <c r="B160" s="1" t="s">
        <v>491</v>
      </c>
      <c r="C160" s="13" t="s">
        <v>490</v>
      </c>
      <c r="D160" s="15"/>
      <c r="E160" s="17"/>
      <c r="F160" s="3"/>
      <c r="G160" s="14"/>
      <c r="H160" s="16"/>
      <c r="I160" s="11">
        <v>46221</v>
      </c>
      <c r="J160" s="4">
        <v>17</v>
      </c>
      <c r="K160" s="18">
        <f>(F160-(0)+0-(J160*Ventas!AE157*1))</f>
        <v>0</v>
      </c>
      <c r="L160" s="3"/>
      <c r="M160" s="22">
        <f t="shared" si="66"/>
        <v>0</v>
      </c>
      <c r="N160" s="14"/>
      <c r="O160" s="25">
        <f t="shared" si="52"/>
        <v>0</v>
      </c>
      <c r="P160" s="16"/>
      <c r="Q160" s="12">
        <f t="shared" si="53"/>
        <v>0</v>
      </c>
      <c r="R160" s="5">
        <v>0</v>
      </c>
      <c r="S160" s="24">
        <v>0</v>
      </c>
      <c r="T160" s="26">
        <v>0</v>
      </c>
      <c r="U160" s="18">
        <f t="shared" si="54"/>
        <v>0</v>
      </c>
      <c r="V160" s="22">
        <f t="shared" si="55"/>
        <v>0</v>
      </c>
      <c r="W160" s="25">
        <f t="shared" si="56"/>
        <v>0</v>
      </c>
      <c r="X160" s="3"/>
      <c r="Y160" s="14"/>
      <c r="Z160" s="14"/>
      <c r="AA160" s="18">
        <v>10</v>
      </c>
      <c r="AB160" s="21">
        <v>6.6360000000000004E-3</v>
      </c>
      <c r="AC160" s="11">
        <v>46313</v>
      </c>
      <c r="AD160" s="4">
        <v>92</v>
      </c>
      <c r="AE160" s="18">
        <f>(IF(K160&gt;0,K160+R160,R160)-(AD160*Ventas!AE157*1.0489))</f>
        <v>0</v>
      </c>
      <c r="AF160" s="3"/>
      <c r="AG160" s="22">
        <f t="shared" si="67"/>
        <v>0</v>
      </c>
      <c r="AH160" s="14"/>
      <c r="AI160" s="25">
        <f t="shared" si="57"/>
        <v>0</v>
      </c>
      <c r="AJ160" s="16"/>
      <c r="AK160" s="12">
        <f t="shared" si="58"/>
        <v>0</v>
      </c>
      <c r="AL160" s="19">
        <f t="shared" si="59"/>
        <v>0</v>
      </c>
      <c r="AM160" s="18">
        <f>(180*(Ventas!AE157*0.9644) - IF(AE160&gt;0,AE160,0))</f>
        <v>0</v>
      </c>
      <c r="AN160" s="18">
        <f t="shared" si="68"/>
        <v>0</v>
      </c>
      <c r="AO160" s="14"/>
      <c r="AP160" s="14">
        <f t="shared" si="69"/>
        <v>0</v>
      </c>
      <c r="AQ160" s="16">
        <f t="shared" si="60"/>
        <v>0</v>
      </c>
      <c r="AR160" s="37">
        <f>_xlfn.XLOOKUP(C160,[1]Hoja2!$C$6:$C$24,[1]Hoja2!$D$6:$D$24,0,2,1)</f>
        <v>0</v>
      </c>
      <c r="AS160" s="18">
        <f t="shared" si="61"/>
        <v>0</v>
      </c>
      <c r="AT160" s="14"/>
      <c r="AU160" s="37">
        <f>_xlfn.XLOOKUP(D160,[1]Hoja2!$E$6:$E$24,[1]Hoja2!$F$6:$F$24,0,2,1)</f>
        <v>0</v>
      </c>
      <c r="AV160" s="27">
        <v>0</v>
      </c>
      <c r="AW160" s="5">
        <v>3022</v>
      </c>
      <c r="AX160" s="14">
        <v>0</v>
      </c>
      <c r="AY160" s="14"/>
      <c r="AZ160" s="16">
        <f>_xlfn.XLOOKUP(C160,[2]PI!$B$15:$B$99,[2]PI!$L$15:$L$99,0,2,1)</f>
        <v>0</v>
      </c>
      <c r="BA160" s="16">
        <f>_xlfn.XLOOKUP(D160,[2]PI!$B$15:$B$99,[2]PI!$L$15:$L$99,0,2,1)</f>
        <v>0</v>
      </c>
      <c r="BB160" s="3"/>
      <c r="BC160" s="3"/>
      <c r="BD160" s="14"/>
      <c r="BE160" s="14"/>
      <c r="BF160" s="16"/>
      <c r="BG160" s="16"/>
      <c r="BH160" s="12">
        <f t="shared" si="62"/>
        <v>0</v>
      </c>
      <c r="BI160" s="19">
        <f t="shared" si="63"/>
        <v>0</v>
      </c>
      <c r="BJ160" s="1" t="s">
        <v>35</v>
      </c>
      <c r="BK160">
        <f t="shared" si="64"/>
        <v>0</v>
      </c>
      <c r="BL160">
        <f t="shared" si="65"/>
        <v>0</v>
      </c>
    </row>
    <row r="161" spans="1:64" x14ac:dyDescent="0.25">
      <c r="A161" s="1"/>
      <c r="B161" s="1" t="s">
        <v>494</v>
      </c>
      <c r="C161" s="13" t="s">
        <v>493</v>
      </c>
      <c r="D161" s="15"/>
      <c r="E161" s="17"/>
      <c r="F161" s="3"/>
      <c r="G161" s="14"/>
      <c r="H161" s="16"/>
      <c r="I161" s="11">
        <v>46221</v>
      </c>
      <c r="J161" s="4">
        <v>17</v>
      </c>
      <c r="K161" s="18">
        <f>(F161-(0)+0-(J161*Ventas!AE158*1))</f>
        <v>0</v>
      </c>
      <c r="L161" s="3"/>
      <c r="M161" s="22">
        <f t="shared" si="66"/>
        <v>0</v>
      </c>
      <c r="N161" s="14"/>
      <c r="O161" s="25">
        <f t="shared" si="52"/>
        <v>0</v>
      </c>
      <c r="P161" s="16"/>
      <c r="Q161" s="12">
        <f t="shared" si="53"/>
        <v>0</v>
      </c>
      <c r="R161" s="5">
        <v>0</v>
      </c>
      <c r="S161" s="24">
        <v>0</v>
      </c>
      <c r="T161" s="26">
        <v>0</v>
      </c>
      <c r="U161" s="18">
        <f t="shared" si="54"/>
        <v>0</v>
      </c>
      <c r="V161" s="22">
        <f t="shared" si="55"/>
        <v>0</v>
      </c>
      <c r="W161" s="25">
        <f t="shared" si="56"/>
        <v>0</v>
      </c>
      <c r="X161" s="3"/>
      <c r="Y161" s="14"/>
      <c r="Z161" s="14"/>
      <c r="AA161" s="3"/>
      <c r="AB161" s="3"/>
      <c r="AC161" s="11">
        <v>46313</v>
      </c>
      <c r="AD161" s="4">
        <v>92</v>
      </c>
      <c r="AE161" s="18">
        <f>(IF(K161&gt;0,K161+R161,R161)-(AD161*Ventas!AE158*1.0489))</f>
        <v>0</v>
      </c>
      <c r="AF161" s="3"/>
      <c r="AG161" s="22">
        <f t="shared" si="67"/>
        <v>0</v>
      </c>
      <c r="AH161" s="14"/>
      <c r="AI161" s="25">
        <f t="shared" si="57"/>
        <v>0</v>
      </c>
      <c r="AJ161" s="16"/>
      <c r="AK161" s="12">
        <f t="shared" si="58"/>
        <v>0</v>
      </c>
      <c r="AL161" s="19">
        <f t="shared" si="59"/>
        <v>0</v>
      </c>
      <c r="AM161" s="18">
        <f>(180*(Ventas!AE158*0.9644) - IF(AE161&gt;0,AE161,0))</f>
        <v>0</v>
      </c>
      <c r="AN161" s="18">
        <f t="shared" si="68"/>
        <v>0</v>
      </c>
      <c r="AO161" s="14"/>
      <c r="AP161" s="14">
        <f t="shared" si="69"/>
        <v>0</v>
      </c>
      <c r="AQ161" s="16">
        <f t="shared" si="60"/>
        <v>0</v>
      </c>
      <c r="AR161" s="37">
        <f>_xlfn.XLOOKUP(C161,[1]Hoja2!$C$6:$C$24,[1]Hoja2!$D$6:$D$24,0,2,1)</f>
        <v>0</v>
      </c>
      <c r="AS161" s="18">
        <f t="shared" si="61"/>
        <v>0</v>
      </c>
      <c r="AT161" s="14"/>
      <c r="AU161" s="37">
        <f>_xlfn.XLOOKUP(D161,[1]Hoja2!$E$6:$E$24,[1]Hoja2!$F$6:$F$24,0,2,1)</f>
        <v>0</v>
      </c>
      <c r="AV161" s="3">
        <v>0</v>
      </c>
      <c r="AW161" s="3"/>
      <c r="AX161" s="14">
        <v>0</v>
      </c>
      <c r="AY161" s="14"/>
      <c r="AZ161" s="16">
        <f>_xlfn.XLOOKUP(C161,[2]PI!$B$15:$B$99,[2]PI!$L$15:$L$99,0,2,1)</f>
        <v>0</v>
      </c>
      <c r="BA161" s="16">
        <f>_xlfn.XLOOKUP(D161,[2]PI!$B$15:$B$99,[2]PI!$L$15:$L$99,0,2,1)</f>
        <v>0</v>
      </c>
      <c r="BB161" s="3"/>
      <c r="BC161" s="3"/>
      <c r="BD161" s="14"/>
      <c r="BE161" s="14"/>
      <c r="BF161" s="16"/>
      <c r="BG161" s="16"/>
      <c r="BH161" s="12">
        <f t="shared" si="62"/>
        <v>0</v>
      </c>
      <c r="BI161" s="19">
        <f t="shared" si="63"/>
        <v>0</v>
      </c>
      <c r="BJ161" s="1" t="s">
        <v>51</v>
      </c>
      <c r="BK161">
        <f t="shared" si="64"/>
        <v>0</v>
      </c>
      <c r="BL161">
        <f t="shared" si="65"/>
        <v>0</v>
      </c>
    </row>
    <row r="162" spans="1:64" x14ac:dyDescent="0.25">
      <c r="A162" s="1" t="s">
        <v>497</v>
      </c>
      <c r="B162" s="1" t="s">
        <v>496</v>
      </c>
      <c r="C162" s="13" t="s">
        <v>495</v>
      </c>
      <c r="D162" s="15"/>
      <c r="E162" s="17"/>
      <c r="F162" s="5">
        <v>53</v>
      </c>
      <c r="G162" s="14"/>
      <c r="H162" s="16"/>
      <c r="I162" s="11">
        <v>46221</v>
      </c>
      <c r="J162" s="4">
        <v>17</v>
      </c>
      <c r="K162" s="18">
        <f>(F162-(0)+0-(J162*Ventas!AE159*1))</f>
        <v>52.69764285714286</v>
      </c>
      <c r="L162" s="20">
        <f>(K162/(Ventas!AE159*1)/80)</f>
        <v>37.036495983935744</v>
      </c>
      <c r="M162" s="22">
        <f t="shared" si="66"/>
        <v>0</v>
      </c>
      <c r="N162" s="14"/>
      <c r="O162" s="25">
        <f t="shared" si="52"/>
        <v>0</v>
      </c>
      <c r="P162" s="16"/>
      <c r="Q162" s="12">
        <f t="shared" si="53"/>
        <v>52.69764285714286</v>
      </c>
      <c r="R162" s="5">
        <v>0</v>
      </c>
      <c r="S162" s="24">
        <v>0</v>
      </c>
      <c r="T162" s="26">
        <v>0</v>
      </c>
      <c r="U162" s="18">
        <f t="shared" si="54"/>
        <v>52.69764285714286</v>
      </c>
      <c r="V162" s="22">
        <f t="shared" si="55"/>
        <v>0</v>
      </c>
      <c r="W162" s="25">
        <f t="shared" si="56"/>
        <v>0</v>
      </c>
      <c r="X162" s="3"/>
      <c r="Y162" s="14"/>
      <c r="Z162" s="14"/>
      <c r="AA162" s="18">
        <v>40</v>
      </c>
      <c r="AB162" s="21">
        <v>1.1659999999999999E-3</v>
      </c>
      <c r="AC162" s="11">
        <v>46313</v>
      </c>
      <c r="AD162" s="4">
        <v>92</v>
      </c>
      <c r="AE162" s="18">
        <f>(IF(K162&gt;0,K162+R162,R162)-(AD162*Ventas!AE159*1.0489))</f>
        <v>50.981342771428572</v>
      </c>
      <c r="AF162" s="20">
        <f>(AE162/(Ventas!AE159*1.0489)/80)</f>
        <v>34.159844583788484</v>
      </c>
      <c r="AG162" s="22">
        <f t="shared" si="67"/>
        <v>0</v>
      </c>
      <c r="AH162" s="14"/>
      <c r="AI162" s="25">
        <f t="shared" si="57"/>
        <v>0</v>
      </c>
      <c r="AJ162" s="16"/>
      <c r="AK162" s="12">
        <f t="shared" si="58"/>
        <v>50.981342771428572</v>
      </c>
      <c r="AL162" s="19">
        <f t="shared" si="59"/>
        <v>29.889864010814925</v>
      </c>
      <c r="AM162" s="18">
        <f>(180*(Ventas!AE159*0.9644) - IF(AE162&gt;0,AE162,0))</f>
        <v>-47.89388505714286</v>
      </c>
      <c r="AN162" s="18">
        <f t="shared" si="68"/>
        <v>0</v>
      </c>
      <c r="AO162" s="14"/>
      <c r="AP162" s="14">
        <f t="shared" si="69"/>
        <v>0</v>
      </c>
      <c r="AQ162" s="16">
        <f t="shared" si="60"/>
        <v>0</v>
      </c>
      <c r="AR162" s="37">
        <f>_xlfn.XLOOKUP(C162,[1]Hoja2!$C$6:$C$24,[1]Hoja2!$D$6:$D$24,0,2,1)</f>
        <v>0</v>
      </c>
      <c r="AS162" s="18">
        <f t="shared" si="61"/>
        <v>50.981342771428572</v>
      </c>
      <c r="AT162" s="14"/>
      <c r="AU162" s="37">
        <f>_xlfn.XLOOKUP(D162,[1]Hoja2!$E$6:$E$24,[1]Hoja2!$F$6:$F$24,0,2,1)</f>
        <v>0</v>
      </c>
      <c r="AV162" s="27">
        <v>0</v>
      </c>
      <c r="AW162" s="5">
        <v>3016</v>
      </c>
      <c r="AX162" s="14">
        <v>0</v>
      </c>
      <c r="AY162" s="14"/>
      <c r="AZ162" s="16">
        <f>_xlfn.XLOOKUP(C162,[2]PI!$B$15:$B$99,[2]PI!$L$15:$L$99,0,2,1)</f>
        <v>0</v>
      </c>
      <c r="BA162" s="16">
        <f>_xlfn.XLOOKUP(D162,[2]PI!$B$15:$B$99,[2]PI!$L$15:$L$99,0,2,1)</f>
        <v>0</v>
      </c>
      <c r="BB162" s="18">
        <f>(AS162-(90*Ventas!AE159*0.9644))</f>
        <v>49.437613914285713</v>
      </c>
      <c r="BC162" s="20">
        <f>(BB162/(Ventas!AE159*0.9644)/80)</f>
        <v>36.027904379858704</v>
      </c>
      <c r="BD162" s="14"/>
      <c r="BE162" s="14"/>
      <c r="BF162" s="16"/>
      <c r="BG162" s="16"/>
      <c r="BH162" s="12">
        <f t="shared" si="62"/>
        <v>49.437613914285713</v>
      </c>
      <c r="BI162" s="19">
        <f t="shared" si="63"/>
        <v>31.524416332376365</v>
      </c>
      <c r="BJ162" s="1" t="s">
        <v>35</v>
      </c>
      <c r="BK162">
        <f t="shared" si="64"/>
        <v>0</v>
      </c>
      <c r="BL162">
        <f t="shared" si="65"/>
        <v>0</v>
      </c>
    </row>
    <row r="163" spans="1:64" x14ac:dyDescent="0.25">
      <c r="A163" s="1" t="s">
        <v>500</v>
      </c>
      <c r="B163" s="1" t="s">
        <v>499</v>
      </c>
      <c r="C163" s="13" t="s">
        <v>498</v>
      </c>
      <c r="D163" s="15"/>
      <c r="E163" s="17"/>
      <c r="F163" s="5">
        <v>3</v>
      </c>
      <c r="G163" s="14"/>
      <c r="H163" s="16"/>
      <c r="I163" s="11">
        <v>46221</v>
      </c>
      <c r="J163" s="4">
        <v>17</v>
      </c>
      <c r="K163" s="18">
        <f>(F163-(0)+0-(J163*Ventas!AE160*1))</f>
        <v>1.8471571428571427</v>
      </c>
      <c r="L163" s="20">
        <f>(K163/(Ventas!AE160*1)/80)</f>
        <v>0.34048082999789336</v>
      </c>
      <c r="M163" s="22">
        <f t="shared" si="66"/>
        <v>0</v>
      </c>
      <c r="N163" s="14"/>
      <c r="O163" s="25">
        <f t="shared" si="52"/>
        <v>0</v>
      </c>
      <c r="P163" s="16"/>
      <c r="Q163" s="12">
        <f t="shared" si="53"/>
        <v>1.8471571428571427</v>
      </c>
      <c r="R163" s="5">
        <v>0</v>
      </c>
      <c r="S163" s="24">
        <v>0</v>
      </c>
      <c r="T163" s="26">
        <v>0</v>
      </c>
      <c r="U163" s="18">
        <f t="shared" si="54"/>
        <v>1.8471571428571427</v>
      </c>
      <c r="V163" s="22">
        <f t="shared" si="55"/>
        <v>0</v>
      </c>
      <c r="W163" s="25">
        <f t="shared" si="56"/>
        <v>0</v>
      </c>
      <c r="X163" s="3"/>
      <c r="Y163" s="14"/>
      <c r="Z163" s="14"/>
      <c r="AA163" s="18">
        <v>18</v>
      </c>
      <c r="AB163" s="21">
        <v>4.333E-3</v>
      </c>
      <c r="AC163" s="11">
        <v>46313</v>
      </c>
      <c r="AD163" s="4">
        <v>92</v>
      </c>
      <c r="AE163" s="18">
        <f>(IF(K163&gt;0,K163+R163,R163)-(AD163*Ventas!AE160*1.0489))</f>
        <v>-4.6968400514285715</v>
      </c>
      <c r="AF163" s="20">
        <f>(AE163/(Ventas!AE160*1.0489)/80)</f>
        <v>-0.82539247783592962</v>
      </c>
      <c r="AG163" s="22">
        <f t="shared" si="67"/>
        <v>0</v>
      </c>
      <c r="AH163" s="14"/>
      <c r="AI163" s="25">
        <f t="shared" si="57"/>
        <v>0</v>
      </c>
      <c r="AJ163" s="16"/>
      <c r="AK163" s="12">
        <f t="shared" si="58"/>
        <v>-4.6968400514285715</v>
      </c>
      <c r="AL163" s="19">
        <f t="shared" si="59"/>
        <v>-0.72221841810643839</v>
      </c>
      <c r="AM163" s="18">
        <f>(180*(Ventas!AE160*0.9644) - IF(AE163&gt;0,AE163,0))</f>
        <v>11.772017485714287</v>
      </c>
      <c r="AN163" s="42">
        <v>0</v>
      </c>
      <c r="AO163" s="14"/>
      <c r="AP163" s="14"/>
      <c r="AQ163" s="16">
        <f t="shared" si="60"/>
        <v>0</v>
      </c>
      <c r="AR163" s="37">
        <f>_xlfn.XLOOKUP(C163,[1]Hoja2!$C$6:$C$24,[1]Hoja2!$D$6:$D$24,0,2,1)</f>
        <v>0</v>
      </c>
      <c r="AS163" s="18">
        <f t="shared" si="61"/>
        <v>0</v>
      </c>
      <c r="AT163" s="14"/>
      <c r="AU163" s="37">
        <f>_xlfn.XLOOKUP(D163,[1]Hoja2!$E$6:$E$24,[1]Hoja2!$F$6:$F$24,0,2,1)</f>
        <v>0</v>
      </c>
      <c r="AV163" s="27">
        <v>2.4</v>
      </c>
      <c r="AW163" s="5">
        <v>3016</v>
      </c>
      <c r="AX163" s="14">
        <v>0</v>
      </c>
      <c r="AY163" s="14"/>
      <c r="AZ163" s="16">
        <f>_xlfn.XLOOKUP(C163,[2]PI!$B$15:$B$99,[2]PI!$L$15:$L$99,0,2,1)</f>
        <v>2.4</v>
      </c>
      <c r="BA163" s="16">
        <f>_xlfn.XLOOKUP(D163,[2]PI!$B$15:$B$99,[2]PI!$L$15:$L$99,0,2,1)</f>
        <v>0</v>
      </c>
      <c r="BB163" s="18">
        <f>(AS163-(90*Ventas!AE160*0.9644))</f>
        <v>-5.8860087428571433</v>
      </c>
      <c r="BC163" s="20">
        <f>(BB163/(Ventas!AE160*0.9644)/80)</f>
        <v>-1.125</v>
      </c>
      <c r="BD163" s="14"/>
      <c r="BE163" s="14"/>
      <c r="BF163" s="16"/>
      <c r="BG163" s="16"/>
      <c r="BH163" s="12">
        <f t="shared" si="62"/>
        <v>0</v>
      </c>
      <c r="BI163" s="19">
        <f t="shared" si="63"/>
        <v>-0.984375</v>
      </c>
      <c r="BJ163" s="1" t="s">
        <v>35</v>
      </c>
      <c r="BK163">
        <f t="shared" si="64"/>
        <v>0</v>
      </c>
      <c r="BL163">
        <f t="shared" si="65"/>
        <v>0</v>
      </c>
    </row>
    <row r="164" spans="1:64" x14ac:dyDescent="0.25">
      <c r="A164" s="1" t="s">
        <v>503</v>
      </c>
      <c r="B164" s="1" t="s">
        <v>502</v>
      </c>
      <c r="C164" s="13" t="s">
        <v>501</v>
      </c>
      <c r="D164" s="15"/>
      <c r="E164" s="17"/>
      <c r="F164" s="5">
        <v>18</v>
      </c>
      <c r="G164" s="14"/>
      <c r="H164" s="16"/>
      <c r="I164" s="11">
        <v>46221</v>
      </c>
      <c r="J164" s="4">
        <v>17</v>
      </c>
      <c r="K164" s="18">
        <f>(F164-(0)+0-(J164*Ventas!AE161*1))</f>
        <v>17.05892857142857</v>
      </c>
      <c r="L164" s="20">
        <f>(K164/(Ventas!AE161*1)/80)</f>
        <v>3.8520161290322585</v>
      </c>
      <c r="M164" s="22">
        <f t="shared" si="66"/>
        <v>0</v>
      </c>
      <c r="N164" s="14"/>
      <c r="O164" s="25">
        <f t="shared" si="52"/>
        <v>0</v>
      </c>
      <c r="P164" s="16"/>
      <c r="Q164" s="12">
        <f t="shared" si="53"/>
        <v>17.05892857142857</v>
      </c>
      <c r="R164" s="5">
        <v>0</v>
      </c>
      <c r="S164" s="24">
        <v>0</v>
      </c>
      <c r="T164" s="26">
        <v>0</v>
      </c>
      <c r="U164" s="18">
        <f t="shared" si="54"/>
        <v>17.05892857142857</v>
      </c>
      <c r="V164" s="22">
        <f t="shared" si="55"/>
        <v>0</v>
      </c>
      <c r="W164" s="25">
        <f t="shared" si="56"/>
        <v>0</v>
      </c>
      <c r="X164" s="3"/>
      <c r="Y164" s="14"/>
      <c r="Z164" s="14"/>
      <c r="AA164" s="18">
        <v>57</v>
      </c>
      <c r="AB164" s="21">
        <v>7.3399999999999995E-4</v>
      </c>
      <c r="AC164" s="11">
        <v>46313</v>
      </c>
      <c r="AD164" s="4">
        <v>92</v>
      </c>
      <c r="AE164" s="18">
        <f>(IF(K164&gt;0,K164+R164,R164)-(AD164*Ventas!AE161*1.0489))</f>
        <v>11.717030714285714</v>
      </c>
      <c r="AF164" s="20">
        <f>(AE164/(Ventas!AE161*1.0489)/80)</f>
        <v>2.522434101470358</v>
      </c>
      <c r="AG164" s="22">
        <f t="shared" si="67"/>
        <v>0</v>
      </c>
      <c r="AH164" s="14"/>
      <c r="AI164" s="25">
        <f t="shared" si="57"/>
        <v>0</v>
      </c>
      <c r="AJ164" s="16"/>
      <c r="AK164" s="12">
        <f t="shared" si="58"/>
        <v>11.717030714285714</v>
      </c>
      <c r="AL164" s="19">
        <f t="shared" si="59"/>
        <v>2.207129838786563</v>
      </c>
      <c r="AM164" s="18">
        <f>(180*(Ventas!AE161*0.9644) - IF(AE164&gt;0,AE164,0))</f>
        <v>-2.1074735714285726</v>
      </c>
      <c r="AN164" s="18">
        <f>IF(AM164&gt;3,CEILING(AM164,5),0)</f>
        <v>0</v>
      </c>
      <c r="AO164" s="14"/>
      <c r="AP164" s="14">
        <f>IF(AO164&gt;3,CEILING(AO164,5),0)</f>
        <v>0</v>
      </c>
      <c r="AQ164" s="16">
        <f t="shared" si="60"/>
        <v>0</v>
      </c>
      <c r="AR164" s="37">
        <f>_xlfn.XLOOKUP(C164,[1]Hoja2!$C$6:$C$24,[1]Hoja2!$D$6:$D$24,0,2,1)</f>
        <v>0</v>
      </c>
      <c r="AS164" s="18">
        <f t="shared" si="61"/>
        <v>11.717030714285714</v>
      </c>
      <c r="AT164" s="14"/>
      <c r="AU164" s="37">
        <f>_xlfn.XLOOKUP(D164,[1]Hoja2!$E$6:$E$24,[1]Hoja2!$F$6:$F$24,0,2,1)</f>
        <v>0</v>
      </c>
      <c r="AV164" s="27">
        <v>0</v>
      </c>
      <c r="AW164" s="5">
        <v>3016</v>
      </c>
      <c r="AX164" s="14">
        <v>0</v>
      </c>
      <c r="AY164" s="14"/>
      <c r="AZ164" s="16">
        <f>_xlfn.XLOOKUP(C164,[2]PI!$B$15:$B$99,[2]PI!$L$15:$L$99,0,2,1)</f>
        <v>0</v>
      </c>
      <c r="BA164" s="16">
        <f>_xlfn.XLOOKUP(D164,[2]PI!$B$15:$B$99,[2]PI!$L$15:$L$99,0,2,1)</f>
        <v>0</v>
      </c>
      <c r="BB164" s="18">
        <f>(AS164-(90*Ventas!AE161*0.9644))</f>
        <v>6.9122521428571444</v>
      </c>
      <c r="BC164" s="20">
        <f>(BB164/(Ventas!AE161*0.9644)/80)</f>
        <v>1.6184478733225411</v>
      </c>
      <c r="BD164" s="14"/>
      <c r="BE164" s="14"/>
      <c r="BF164" s="16"/>
      <c r="BG164" s="16"/>
      <c r="BH164" s="12">
        <f t="shared" si="62"/>
        <v>6.9122521428571444</v>
      </c>
      <c r="BI164" s="19">
        <f t="shared" si="63"/>
        <v>1.4161418891572235</v>
      </c>
      <c r="BJ164" s="1" t="s">
        <v>35</v>
      </c>
      <c r="BK164">
        <f t="shared" si="64"/>
        <v>0</v>
      </c>
      <c r="BL164">
        <f t="shared" si="65"/>
        <v>0</v>
      </c>
    </row>
    <row r="165" spans="1:64" x14ac:dyDescent="0.25">
      <c r="A165" s="1" t="s">
        <v>506</v>
      </c>
      <c r="B165" s="1" t="s">
        <v>505</v>
      </c>
      <c r="C165" s="13" t="s">
        <v>504</v>
      </c>
      <c r="D165" s="15"/>
      <c r="E165" s="17"/>
      <c r="F165" s="5">
        <v>11</v>
      </c>
      <c r="G165" s="14"/>
      <c r="H165" s="16"/>
      <c r="I165" s="11">
        <v>46221</v>
      </c>
      <c r="J165" s="4">
        <v>17</v>
      </c>
      <c r="K165" s="18">
        <f>(F165-(0)+0-(J165*Ventas!AE162*1))</f>
        <v>10.278228571428571</v>
      </c>
      <c r="L165" s="20">
        <f>(K165/(Ventas!AE162*1)/80)</f>
        <v>3.0260598923283979</v>
      </c>
      <c r="M165" s="22">
        <f t="shared" si="66"/>
        <v>0</v>
      </c>
      <c r="N165" s="14"/>
      <c r="O165" s="25">
        <f t="shared" si="52"/>
        <v>0</v>
      </c>
      <c r="P165" s="16"/>
      <c r="Q165" s="12">
        <f t="shared" si="53"/>
        <v>10.278228571428571</v>
      </c>
      <c r="R165" s="5">
        <v>0</v>
      </c>
      <c r="S165" s="24">
        <v>0</v>
      </c>
      <c r="T165" s="26">
        <v>0</v>
      </c>
      <c r="U165" s="18">
        <f t="shared" si="54"/>
        <v>10.278228571428571</v>
      </c>
      <c r="V165" s="22">
        <f t="shared" si="55"/>
        <v>0</v>
      </c>
      <c r="W165" s="25">
        <f t="shared" si="56"/>
        <v>0</v>
      </c>
      <c r="X165" s="3"/>
      <c r="Y165" s="14"/>
      <c r="Z165" s="14"/>
      <c r="AA165" s="18">
        <v>18</v>
      </c>
      <c r="AB165" s="21">
        <v>4.333E-3</v>
      </c>
      <c r="AC165" s="11">
        <v>46313</v>
      </c>
      <c r="AD165" s="4">
        <v>92</v>
      </c>
      <c r="AE165" s="18">
        <f>(IF(K165&gt;0,K165+R165,R165)-(AD165*Ventas!AE162*1.0489))</f>
        <v>6.1811652342857135</v>
      </c>
      <c r="AF165" s="20">
        <f>(AE165/(Ventas!AE162*1.0489)/80)</f>
        <v>1.7349841665825132</v>
      </c>
      <c r="AG165" s="22">
        <f t="shared" si="67"/>
        <v>0</v>
      </c>
      <c r="AH165" s="14"/>
      <c r="AI165" s="25">
        <f t="shared" si="57"/>
        <v>0</v>
      </c>
      <c r="AJ165" s="16"/>
      <c r="AK165" s="12">
        <f t="shared" si="58"/>
        <v>6.1811652342857135</v>
      </c>
      <c r="AL165" s="19">
        <f t="shared" si="59"/>
        <v>1.518111145759699</v>
      </c>
      <c r="AM165" s="18">
        <f>(180*(Ventas!AE162*0.9644) - IF(AE165&gt;0,AE165,0))</f>
        <v>1.1890551085714298</v>
      </c>
      <c r="AN165" s="18">
        <f>IF(AM165&gt;3,CEILING(AM165,5),0)</f>
        <v>0</v>
      </c>
      <c r="AO165" s="14"/>
      <c r="AP165" s="14">
        <f>IF(AO165&gt;3,CEILING(AO165,5),0)</f>
        <v>0</v>
      </c>
      <c r="AQ165" s="16">
        <f t="shared" si="60"/>
        <v>0</v>
      </c>
      <c r="AR165" s="37">
        <f>_xlfn.XLOOKUP(C165,[1]Hoja2!$C$6:$C$24,[1]Hoja2!$D$6:$D$24,0,2,1)</f>
        <v>0</v>
      </c>
      <c r="AS165" s="18">
        <f t="shared" si="61"/>
        <v>6.1811652342857135</v>
      </c>
      <c r="AT165" s="14"/>
      <c r="AU165" s="37">
        <f>_xlfn.XLOOKUP(D165,[1]Hoja2!$E$6:$E$24,[1]Hoja2!$F$6:$F$24,0,2,1)</f>
        <v>0</v>
      </c>
      <c r="AV165" s="27">
        <v>0</v>
      </c>
      <c r="AW165" s="5">
        <v>3016</v>
      </c>
      <c r="AX165" s="14">
        <v>0</v>
      </c>
      <c r="AY165" s="14"/>
      <c r="AZ165" s="16">
        <f>_xlfn.XLOOKUP(C165,[2]PI!$B$15:$B$99,[2]PI!$L$15:$L$99,0,2,1)</f>
        <v>0</v>
      </c>
      <c r="BA165" s="16">
        <f>_xlfn.XLOOKUP(D165,[2]PI!$B$15:$B$99,[2]PI!$L$15:$L$99,0,2,1)</f>
        <v>0</v>
      </c>
      <c r="BB165" s="18">
        <f>(AS165-(90*Ventas!AE162*0.9644))</f>
        <v>2.4960550628571418</v>
      </c>
      <c r="BC165" s="20">
        <f>(BB165/(Ventas!AE162*0.9644)/80)</f>
        <v>0.76200216956490885</v>
      </c>
      <c r="BD165" s="14"/>
      <c r="BE165" s="14"/>
      <c r="BF165" s="16"/>
      <c r="BG165" s="16"/>
      <c r="BH165" s="12">
        <f t="shared" si="62"/>
        <v>2.4960550628571418</v>
      </c>
      <c r="BI165" s="19">
        <f t="shared" si="63"/>
        <v>0.66675189836929527</v>
      </c>
      <c r="BJ165" s="1" t="s">
        <v>35</v>
      </c>
      <c r="BK165">
        <f t="shared" si="64"/>
        <v>0</v>
      </c>
      <c r="BL165">
        <f t="shared" si="65"/>
        <v>0</v>
      </c>
    </row>
    <row r="166" spans="1:64" x14ac:dyDescent="0.25">
      <c r="A166" s="1" t="s">
        <v>509</v>
      </c>
      <c r="B166" s="1" t="s">
        <v>508</v>
      </c>
      <c r="C166" s="13" t="s">
        <v>507</v>
      </c>
      <c r="D166" s="15"/>
      <c r="E166" s="17"/>
      <c r="F166" s="3"/>
      <c r="G166" s="14"/>
      <c r="H166" s="16"/>
      <c r="I166" s="11">
        <v>46221</v>
      </c>
      <c r="J166" s="4">
        <v>17</v>
      </c>
      <c r="K166" s="18">
        <f>(F166-(0)+0-(J166*Ventas!AE163*1))</f>
        <v>0</v>
      </c>
      <c r="L166" s="3"/>
      <c r="M166" s="22">
        <f t="shared" si="66"/>
        <v>0</v>
      </c>
      <c r="N166" s="14"/>
      <c r="O166" s="25">
        <f t="shared" si="52"/>
        <v>0</v>
      </c>
      <c r="P166" s="16"/>
      <c r="Q166" s="12">
        <f t="shared" si="53"/>
        <v>0</v>
      </c>
      <c r="R166" s="5">
        <v>0</v>
      </c>
      <c r="S166" s="24">
        <v>0</v>
      </c>
      <c r="T166" s="26">
        <v>0</v>
      </c>
      <c r="U166" s="18">
        <f t="shared" si="54"/>
        <v>0</v>
      </c>
      <c r="V166" s="22">
        <f t="shared" si="55"/>
        <v>0</v>
      </c>
      <c r="W166" s="25">
        <f t="shared" si="56"/>
        <v>0</v>
      </c>
      <c r="X166" s="3"/>
      <c r="Y166" s="14"/>
      <c r="Z166" s="14"/>
      <c r="AA166" s="18">
        <v>12</v>
      </c>
      <c r="AB166" s="21">
        <v>7.136E-3</v>
      </c>
      <c r="AC166" s="11">
        <v>46313</v>
      </c>
      <c r="AD166" s="4">
        <v>92</v>
      </c>
      <c r="AE166" s="18">
        <f>(IF(K166&gt;0,K166+R166,R166)-(AD166*Ventas!AE163*1.0489))</f>
        <v>0</v>
      </c>
      <c r="AF166" s="3"/>
      <c r="AG166" s="22">
        <f t="shared" si="67"/>
        <v>0</v>
      </c>
      <c r="AH166" s="14"/>
      <c r="AI166" s="25">
        <f t="shared" si="57"/>
        <v>0</v>
      </c>
      <c r="AJ166" s="16"/>
      <c r="AK166" s="12">
        <f t="shared" si="58"/>
        <v>0</v>
      </c>
      <c r="AL166" s="19">
        <f t="shared" si="59"/>
        <v>0</v>
      </c>
      <c r="AM166" s="18">
        <f>(180*(Ventas!AE163*0.9644) - IF(AE166&gt;0,AE166,0))</f>
        <v>0</v>
      </c>
      <c r="AN166" s="18">
        <f>IF(AM166&gt;3,CEILING(AM166,5),0)</f>
        <v>0</v>
      </c>
      <c r="AO166" s="14"/>
      <c r="AP166" s="14">
        <f>IF(AO166&gt;3,CEILING(AO166,5),0)</f>
        <v>0</v>
      </c>
      <c r="AQ166" s="16">
        <f t="shared" si="60"/>
        <v>0</v>
      </c>
      <c r="AR166" s="37">
        <f>_xlfn.XLOOKUP(C166,[1]Hoja2!$C$6:$C$24,[1]Hoja2!$D$6:$D$24,0,2,1)</f>
        <v>0</v>
      </c>
      <c r="AS166" s="18">
        <f t="shared" si="61"/>
        <v>0</v>
      </c>
      <c r="AT166" s="14"/>
      <c r="AU166" s="37">
        <f>_xlfn.XLOOKUP(D166,[1]Hoja2!$E$6:$E$24,[1]Hoja2!$F$6:$F$24,0,2,1)</f>
        <v>0</v>
      </c>
      <c r="AV166" s="27">
        <v>0</v>
      </c>
      <c r="AW166" s="5">
        <v>3022</v>
      </c>
      <c r="AX166" s="14">
        <v>0</v>
      </c>
      <c r="AY166" s="14"/>
      <c r="AZ166" s="16">
        <f>_xlfn.XLOOKUP(C166,[2]PI!$B$15:$B$99,[2]PI!$L$15:$L$99,0,2,1)</f>
        <v>0</v>
      </c>
      <c r="BA166" s="16">
        <f>_xlfn.XLOOKUP(D166,[2]PI!$B$15:$B$99,[2]PI!$L$15:$L$99,0,2,1)</f>
        <v>0</v>
      </c>
      <c r="BB166" s="3"/>
      <c r="BC166" s="3"/>
      <c r="BD166" s="14"/>
      <c r="BE166" s="14"/>
      <c r="BF166" s="16"/>
      <c r="BG166" s="16"/>
      <c r="BH166" s="12">
        <f t="shared" si="62"/>
        <v>0</v>
      </c>
      <c r="BI166" s="19">
        <f t="shared" si="63"/>
        <v>0</v>
      </c>
      <c r="BJ166" s="1" t="s">
        <v>35</v>
      </c>
      <c r="BK166">
        <f t="shared" si="64"/>
        <v>0</v>
      </c>
      <c r="BL166">
        <f t="shared" si="65"/>
        <v>0</v>
      </c>
    </row>
    <row r="167" spans="1:64" x14ac:dyDescent="0.25">
      <c r="A167" s="1"/>
      <c r="B167" s="1" t="s">
        <v>511</v>
      </c>
      <c r="C167" s="13" t="s">
        <v>510</v>
      </c>
      <c r="D167" s="15"/>
      <c r="E167" s="17"/>
      <c r="F167" s="3"/>
      <c r="G167" s="14"/>
      <c r="H167" s="16"/>
      <c r="I167" s="11">
        <v>46221</v>
      </c>
      <c r="J167" s="4">
        <v>17</v>
      </c>
      <c r="K167" s="18">
        <f>(F167-(0)+0-(J167*Ventas!AE164*1))</f>
        <v>0</v>
      </c>
      <c r="L167" s="3"/>
      <c r="M167" s="22">
        <f t="shared" si="66"/>
        <v>0</v>
      </c>
      <c r="N167" s="14"/>
      <c r="O167" s="25">
        <f t="shared" si="52"/>
        <v>0</v>
      </c>
      <c r="P167" s="16"/>
      <c r="Q167" s="12">
        <f t="shared" si="53"/>
        <v>0</v>
      </c>
      <c r="R167" s="5">
        <v>0</v>
      </c>
      <c r="S167" s="24">
        <v>0</v>
      </c>
      <c r="T167" s="26">
        <v>0</v>
      </c>
      <c r="U167" s="18">
        <f t="shared" si="54"/>
        <v>0</v>
      </c>
      <c r="V167" s="22">
        <f t="shared" si="55"/>
        <v>0</v>
      </c>
      <c r="W167" s="25">
        <f t="shared" si="56"/>
        <v>0</v>
      </c>
      <c r="X167" s="3"/>
      <c r="Y167" s="14"/>
      <c r="Z167" s="14"/>
      <c r="AA167" s="18">
        <v>10</v>
      </c>
      <c r="AB167" s="21">
        <v>6.6360000000000004E-3</v>
      </c>
      <c r="AC167" s="11">
        <v>46313</v>
      </c>
      <c r="AD167" s="4">
        <v>92</v>
      </c>
      <c r="AE167" s="18">
        <f>(IF(K167&gt;0,K167+R167,R167)-(AD167*Ventas!AE164*1.0489))</f>
        <v>0</v>
      </c>
      <c r="AF167" s="3"/>
      <c r="AG167" s="22">
        <f t="shared" si="67"/>
        <v>0</v>
      </c>
      <c r="AH167" s="14"/>
      <c r="AI167" s="25">
        <f t="shared" si="57"/>
        <v>0</v>
      </c>
      <c r="AJ167" s="16"/>
      <c r="AK167" s="12">
        <f t="shared" si="58"/>
        <v>0</v>
      </c>
      <c r="AL167" s="19">
        <f t="shared" si="59"/>
        <v>0</v>
      </c>
      <c r="AM167" s="18">
        <f>(180*(Ventas!AE164*0.9644) - IF(AE167&gt;0,AE167,0))</f>
        <v>0</v>
      </c>
      <c r="AN167" s="18">
        <f>IF(AM167&gt;3,CEILING(AM167,5),0)</f>
        <v>0</v>
      </c>
      <c r="AO167" s="14"/>
      <c r="AP167" s="14">
        <f>IF(AO167&gt;3,CEILING(AO167,5),0)</f>
        <v>0</v>
      </c>
      <c r="AQ167" s="16">
        <f t="shared" si="60"/>
        <v>0</v>
      </c>
      <c r="AR167" s="37">
        <f>_xlfn.XLOOKUP(C167,[1]Hoja2!$C$6:$C$24,[1]Hoja2!$D$6:$D$24,0,2,1)</f>
        <v>0</v>
      </c>
      <c r="AS167" s="18">
        <f t="shared" si="61"/>
        <v>0</v>
      </c>
      <c r="AT167" s="14"/>
      <c r="AU167" s="37">
        <f>_xlfn.XLOOKUP(D167,[1]Hoja2!$E$6:$E$24,[1]Hoja2!$F$6:$F$24,0,2,1)</f>
        <v>0</v>
      </c>
      <c r="AV167" s="3">
        <v>0</v>
      </c>
      <c r="AW167" s="3"/>
      <c r="AX167" s="14">
        <v>0</v>
      </c>
      <c r="AY167" s="14"/>
      <c r="AZ167" s="16">
        <f>_xlfn.XLOOKUP(C167,[2]PI!$B$15:$B$99,[2]PI!$L$15:$L$99,0,2,1)</f>
        <v>0</v>
      </c>
      <c r="BA167" s="16">
        <f>_xlfn.XLOOKUP(D167,[2]PI!$B$15:$B$99,[2]PI!$L$15:$L$99,0,2,1)</f>
        <v>0</v>
      </c>
      <c r="BB167" s="3"/>
      <c r="BC167" s="3"/>
      <c r="BD167" s="14"/>
      <c r="BE167" s="14"/>
      <c r="BF167" s="16"/>
      <c r="BG167" s="16"/>
      <c r="BH167" s="12">
        <f t="shared" si="62"/>
        <v>0</v>
      </c>
      <c r="BI167" s="19">
        <f t="shared" si="63"/>
        <v>0</v>
      </c>
      <c r="BJ167" s="1" t="s">
        <v>51</v>
      </c>
      <c r="BK167">
        <f t="shared" si="64"/>
        <v>0</v>
      </c>
      <c r="BL167">
        <f t="shared" si="65"/>
        <v>0</v>
      </c>
    </row>
    <row r="168" spans="1:64" x14ac:dyDescent="0.25">
      <c r="A168" s="1" t="s">
        <v>514</v>
      </c>
      <c r="B168" s="1" t="s">
        <v>513</v>
      </c>
      <c r="C168" s="13" t="s">
        <v>512</v>
      </c>
      <c r="D168" s="15"/>
      <c r="E168" s="17"/>
      <c r="F168" s="5">
        <v>19</v>
      </c>
      <c r="G168" s="14"/>
      <c r="H168" s="16"/>
      <c r="I168" s="11">
        <v>46221</v>
      </c>
      <c r="J168" s="4">
        <v>17</v>
      </c>
      <c r="K168" s="18">
        <f>(F168-(0)+0-(J168*Ventas!AE165*1))</f>
        <v>16.569242857142857</v>
      </c>
      <c r="L168" s="20">
        <f>(K168/(Ventas!AE165*1)/80)</f>
        <v>1.4485050954141272</v>
      </c>
      <c r="M168" s="22">
        <f t="shared" si="66"/>
        <v>0</v>
      </c>
      <c r="N168" s="14"/>
      <c r="O168" s="25">
        <f t="shared" si="52"/>
        <v>0</v>
      </c>
      <c r="P168" s="16"/>
      <c r="Q168" s="12">
        <f t="shared" si="53"/>
        <v>16.569242857142857</v>
      </c>
      <c r="R168" s="5">
        <v>21</v>
      </c>
      <c r="S168" s="24">
        <v>0</v>
      </c>
      <c r="T168" s="26">
        <v>0</v>
      </c>
      <c r="U168" s="18">
        <f t="shared" si="54"/>
        <v>37.569242857142854</v>
      </c>
      <c r="V168" s="22">
        <f t="shared" si="55"/>
        <v>0</v>
      </c>
      <c r="W168" s="25">
        <f t="shared" si="56"/>
        <v>0</v>
      </c>
      <c r="X168" s="18">
        <v>2.4</v>
      </c>
      <c r="Y168" s="14"/>
      <c r="Z168" s="14"/>
      <c r="AA168" s="18">
        <v>18</v>
      </c>
      <c r="AB168" s="21">
        <v>4.333E-3</v>
      </c>
      <c r="AC168" s="11">
        <v>46313</v>
      </c>
      <c r="AD168" s="4">
        <v>92</v>
      </c>
      <c r="AE168" s="18">
        <f>(IF(K168&gt;0,K168+R168,R168)-(AD168*Ventas!AE165*1.0489))</f>
        <v>23.771293011428568</v>
      </c>
      <c r="AF168" s="20">
        <f>(AE168/(Ventas!AE165*1.0489)/80)</f>
        <v>1.9812354203935492</v>
      </c>
      <c r="AG168" s="22">
        <f t="shared" si="67"/>
        <v>0</v>
      </c>
      <c r="AH168" s="14"/>
      <c r="AI168" s="25">
        <f t="shared" si="57"/>
        <v>0</v>
      </c>
      <c r="AJ168" s="16"/>
      <c r="AK168" s="12">
        <f t="shared" si="58"/>
        <v>23.771293011428568</v>
      </c>
      <c r="AL168" s="19">
        <f t="shared" si="59"/>
        <v>1.7335809928443555</v>
      </c>
      <c r="AM168" s="18">
        <f>(180*(Ventas!AE165*0.9644) - IF(AE168&gt;0,AE168,0))</f>
        <v>1.049883102857148</v>
      </c>
      <c r="AN168" s="18">
        <f>IF(AM168&gt;3,CEILING(AM168,5),0)</f>
        <v>0</v>
      </c>
      <c r="AO168" s="14"/>
      <c r="AP168" s="14">
        <f>IF(AO168&gt;3,CEILING(AO168,5),0)</f>
        <v>0</v>
      </c>
      <c r="AQ168" s="16">
        <f t="shared" si="60"/>
        <v>0</v>
      </c>
      <c r="AR168" s="37">
        <f>_xlfn.XLOOKUP(C168,[1]Hoja2!$C$6:$C$24,[1]Hoja2!$D$6:$D$24,0,2,1)</f>
        <v>0</v>
      </c>
      <c r="AS168" s="18">
        <f t="shared" si="61"/>
        <v>23.771293011428568</v>
      </c>
      <c r="AT168" s="14"/>
      <c r="AU168" s="37">
        <f>_xlfn.XLOOKUP(D168,[1]Hoja2!$E$6:$E$24,[1]Hoja2!$F$6:$F$24,0,2,1)</f>
        <v>0</v>
      </c>
      <c r="AV168" s="27">
        <v>0</v>
      </c>
      <c r="AW168" s="5">
        <v>3016</v>
      </c>
      <c r="AX168" s="14">
        <v>0</v>
      </c>
      <c r="AY168" s="14"/>
      <c r="AZ168" s="16">
        <f>_xlfn.XLOOKUP(C168,[2]PI!$B$15:$B$99,[2]PI!$L$15:$L$99,0,2,1)</f>
        <v>0</v>
      </c>
      <c r="BA168" s="16">
        <f>_xlfn.XLOOKUP(D168,[2]PI!$B$15:$B$99,[2]PI!$L$15:$L$99,0,2,1)</f>
        <v>0</v>
      </c>
      <c r="BB168" s="18">
        <f>(AS168-(90*Ventas!AE165*0.9644))</f>
        <v>11.36070495428571</v>
      </c>
      <c r="BC168" s="20">
        <f>(BB168/(Ventas!AE165*0.9644)/80)</f>
        <v>1.0298297723463228</v>
      </c>
      <c r="BD168" s="14"/>
      <c r="BE168" s="14"/>
      <c r="BF168" s="16"/>
      <c r="BG168" s="16"/>
      <c r="BH168" s="12">
        <f t="shared" si="62"/>
        <v>11.36070495428571</v>
      </c>
      <c r="BI168" s="19">
        <f t="shared" si="63"/>
        <v>0.90110105080303238</v>
      </c>
      <c r="BJ168" s="1" t="s">
        <v>35</v>
      </c>
      <c r="BK168">
        <f t="shared" si="64"/>
        <v>0</v>
      </c>
      <c r="BL168">
        <f t="shared" si="65"/>
        <v>0</v>
      </c>
    </row>
    <row r="169" spans="1:64" x14ac:dyDescent="0.25">
      <c r="A169" s="1" t="s">
        <v>517</v>
      </c>
      <c r="B169" s="1" t="s">
        <v>516</v>
      </c>
      <c r="C169" s="13" t="s">
        <v>515</v>
      </c>
      <c r="D169" s="15"/>
      <c r="E169" s="17"/>
      <c r="F169" s="5">
        <v>11</v>
      </c>
      <c r="G169" s="14"/>
      <c r="H169" s="16"/>
      <c r="I169" s="11">
        <v>46221</v>
      </c>
      <c r="J169" s="4">
        <v>17</v>
      </c>
      <c r="K169" s="18">
        <f>(F169-(0)+0-(J169*Ventas!AE166*1))</f>
        <v>8.4499999999999993</v>
      </c>
      <c r="L169" s="20">
        <f>(K169/(Ventas!AE166*1)/80)</f>
        <v>0.70416666666666661</v>
      </c>
      <c r="M169" s="22">
        <f t="shared" ref="M169:M200" si="70">(G169+0)</f>
        <v>0</v>
      </c>
      <c r="N169" s="14"/>
      <c r="O169" s="25">
        <f t="shared" si="52"/>
        <v>0</v>
      </c>
      <c r="P169" s="16"/>
      <c r="Q169" s="12">
        <f t="shared" si="53"/>
        <v>8.4499999999999993</v>
      </c>
      <c r="R169" s="5">
        <v>0</v>
      </c>
      <c r="S169" s="24">
        <v>0</v>
      </c>
      <c r="T169" s="26">
        <v>0</v>
      </c>
      <c r="U169" s="18">
        <f t="shared" si="54"/>
        <v>8.4499999999999993</v>
      </c>
      <c r="V169" s="22">
        <f t="shared" si="55"/>
        <v>0</v>
      </c>
      <c r="W169" s="25">
        <f t="shared" si="56"/>
        <v>0</v>
      </c>
      <c r="X169" s="3"/>
      <c r="Y169" s="14"/>
      <c r="Z169" s="14"/>
      <c r="AA169" s="18">
        <v>18</v>
      </c>
      <c r="AB169" s="21">
        <v>4.333E-3</v>
      </c>
      <c r="AC169" s="11">
        <v>46313</v>
      </c>
      <c r="AD169" s="4">
        <v>92</v>
      </c>
      <c r="AE169" s="18">
        <f>(IF(K169&gt;0,K169+R169,R169)-(AD169*Ventas!AE166*1.0489))</f>
        <v>-6.0248199999999983</v>
      </c>
      <c r="AF169" s="20">
        <f>(AE169/(Ventas!AE166*1.0489)/80)</f>
        <v>-0.47866177265071341</v>
      </c>
      <c r="AG169" s="22">
        <f t="shared" ref="AG169:AG200" si="71">(G169+0)</f>
        <v>0</v>
      </c>
      <c r="AH169" s="14"/>
      <c r="AI169" s="25">
        <f t="shared" si="57"/>
        <v>0</v>
      </c>
      <c r="AJ169" s="16"/>
      <c r="AK169" s="12">
        <f t="shared" si="58"/>
        <v>-6.0248199999999983</v>
      </c>
      <c r="AL169" s="19">
        <f t="shared" si="59"/>
        <v>-0.41882905106937424</v>
      </c>
      <c r="AM169" s="18">
        <f>(180*(Ventas!AE166*0.9644) - IF(AE169&gt;0,AE169,0))</f>
        <v>26.038800000000002</v>
      </c>
      <c r="AN169" s="42">
        <v>21</v>
      </c>
      <c r="AO169" s="14"/>
      <c r="AP169" s="14"/>
      <c r="AQ169" s="16">
        <f t="shared" si="60"/>
        <v>9.0993000000000004E-2</v>
      </c>
      <c r="AR169" s="37">
        <f>_xlfn.XLOOKUP(C169,[1]Hoja2!$C$6:$C$24,[1]Hoja2!$D$6:$D$24,0,2,1)</f>
        <v>0</v>
      </c>
      <c r="AS169" s="18">
        <f t="shared" si="61"/>
        <v>21</v>
      </c>
      <c r="AT169" s="14"/>
      <c r="AU169" s="37">
        <f>_xlfn.XLOOKUP(D169,[1]Hoja2!$E$6:$E$24,[1]Hoja2!$F$6:$F$24,0,2,1)</f>
        <v>0</v>
      </c>
      <c r="AV169" s="27">
        <v>2.7</v>
      </c>
      <c r="AW169" s="5">
        <v>3016</v>
      </c>
      <c r="AX169" s="14">
        <v>0</v>
      </c>
      <c r="AY169" s="14"/>
      <c r="AZ169" s="16">
        <f>_xlfn.XLOOKUP(C169,[2]PI!$B$15:$B$99,[2]PI!$L$15:$L$99,0,2,1)</f>
        <v>2.7</v>
      </c>
      <c r="BA169" s="16">
        <f>_xlfn.XLOOKUP(D169,[2]PI!$B$15:$B$99,[2]PI!$L$15:$L$99,0,2,1)</f>
        <v>0</v>
      </c>
      <c r="BB169" s="18">
        <f>(AS169-(90*Ventas!AE166*0.9644))</f>
        <v>7.980599999999999</v>
      </c>
      <c r="BC169" s="20">
        <f>(BB169/(Ventas!AE166*0.9644)/80)</f>
        <v>0.68959975114060534</v>
      </c>
      <c r="BD169" s="14"/>
      <c r="BE169" s="14"/>
      <c r="BF169" s="16"/>
      <c r="BG169" s="16"/>
      <c r="BH169" s="12">
        <f t="shared" si="62"/>
        <v>7.980599999999999</v>
      </c>
      <c r="BI169" s="19">
        <f t="shared" si="63"/>
        <v>0.6033997822480297</v>
      </c>
      <c r="BJ169" s="1" t="s">
        <v>35</v>
      </c>
      <c r="BK169">
        <f t="shared" si="64"/>
        <v>56.7</v>
      </c>
      <c r="BL169">
        <f t="shared" si="65"/>
        <v>56.7</v>
      </c>
    </row>
    <row r="170" spans="1:64" x14ac:dyDescent="0.25">
      <c r="A170" s="1" t="s">
        <v>520</v>
      </c>
      <c r="B170" s="1" t="s">
        <v>519</v>
      </c>
      <c r="C170" s="13" t="s">
        <v>518</v>
      </c>
      <c r="D170" s="15"/>
      <c r="E170" s="17"/>
      <c r="F170" s="5">
        <v>22</v>
      </c>
      <c r="G170" s="14"/>
      <c r="H170" s="16"/>
      <c r="I170" s="11">
        <v>46221</v>
      </c>
      <c r="J170" s="4">
        <v>17</v>
      </c>
      <c r="K170" s="18">
        <f>(F170-(0)+0-(J170*Ventas!AE167*1))</f>
        <v>20.769685714285714</v>
      </c>
      <c r="L170" s="20">
        <f>(K170/(Ventas!AE167*1)/80)</f>
        <v>3.5873420844848014</v>
      </c>
      <c r="M170" s="22">
        <f t="shared" si="70"/>
        <v>0</v>
      </c>
      <c r="N170" s="14"/>
      <c r="O170" s="25">
        <f t="shared" si="52"/>
        <v>0</v>
      </c>
      <c r="P170" s="16"/>
      <c r="Q170" s="12">
        <f t="shared" si="53"/>
        <v>20.769685714285714</v>
      </c>
      <c r="R170" s="5">
        <v>0</v>
      </c>
      <c r="S170" s="24">
        <v>0</v>
      </c>
      <c r="T170" s="26">
        <v>0</v>
      </c>
      <c r="U170" s="18">
        <f t="shared" si="54"/>
        <v>20.769685714285714</v>
      </c>
      <c r="V170" s="22">
        <f t="shared" si="55"/>
        <v>0</v>
      </c>
      <c r="W170" s="25">
        <f t="shared" si="56"/>
        <v>0</v>
      </c>
      <c r="X170" s="3"/>
      <c r="Y170" s="14"/>
      <c r="Z170" s="14"/>
      <c r="AA170" s="18">
        <v>18</v>
      </c>
      <c r="AB170" s="21">
        <v>4.333E-3</v>
      </c>
      <c r="AC170" s="11">
        <v>46313</v>
      </c>
      <c r="AD170" s="4">
        <v>92</v>
      </c>
      <c r="AE170" s="18">
        <f>(IF(K170&gt;0,K170+R170,R170)-(AD170*Ventas!AE167*1.0489))</f>
        <v>13.785929702857144</v>
      </c>
      <c r="AF170" s="20">
        <f>(AE170/(Ventas!AE167*1.0489)/80)</f>
        <v>2.2700992320381368</v>
      </c>
      <c r="AG170" s="22">
        <f t="shared" si="71"/>
        <v>0</v>
      </c>
      <c r="AH170" s="14"/>
      <c r="AI170" s="25">
        <f t="shared" si="57"/>
        <v>0</v>
      </c>
      <c r="AJ170" s="16"/>
      <c r="AK170" s="12">
        <f t="shared" si="58"/>
        <v>13.785929702857144</v>
      </c>
      <c r="AL170" s="19">
        <f t="shared" si="59"/>
        <v>1.9863368280333698</v>
      </c>
      <c r="AM170" s="18">
        <f>(180*(Ventas!AE167*0.9644) - IF(AE170&gt;0,AE170,0))</f>
        <v>-1.2228286742857168</v>
      </c>
      <c r="AN170" s="18">
        <f t="shared" ref="AN170:AN175" si="72">IF(AM170&gt;3,CEILING(AM170,5),0)</f>
        <v>0</v>
      </c>
      <c r="AO170" s="14"/>
      <c r="AP170" s="14">
        <f>IF(AO170&gt;3,CEILING(AO170,5),0)</f>
        <v>0</v>
      </c>
      <c r="AQ170" s="16">
        <f t="shared" si="60"/>
        <v>0</v>
      </c>
      <c r="AR170" s="37">
        <f>_xlfn.XLOOKUP(C170,[1]Hoja2!$C$6:$C$24,[1]Hoja2!$D$6:$D$24,0,2,1)</f>
        <v>0</v>
      </c>
      <c r="AS170" s="18">
        <f t="shared" si="61"/>
        <v>13.785929702857144</v>
      </c>
      <c r="AT170" s="14"/>
      <c r="AU170" s="37">
        <f>_xlfn.XLOOKUP(D170,[1]Hoja2!$E$6:$E$24,[1]Hoja2!$F$6:$F$24,0,2,1)</f>
        <v>0</v>
      </c>
      <c r="AV170" s="27">
        <v>0</v>
      </c>
      <c r="AW170" s="5">
        <v>3016</v>
      </c>
      <c r="AX170" s="14">
        <v>0</v>
      </c>
      <c r="AY170" s="14"/>
      <c r="AZ170" s="16">
        <f>_xlfn.XLOOKUP(C170,[2]PI!$B$15:$B$99,[2]PI!$L$15:$L$99,0,2,1)</f>
        <v>0</v>
      </c>
      <c r="BA170" s="16">
        <f>_xlfn.XLOOKUP(D170,[2]PI!$B$15:$B$99,[2]PI!$L$15:$L$99,0,2,1)</f>
        <v>0</v>
      </c>
      <c r="BB170" s="18">
        <f>(AS170-(90*Ventas!AE167*0.9644))</f>
        <v>7.5043791885714306</v>
      </c>
      <c r="BC170" s="20">
        <f>(BB170/(Ventas!AE167*0.9644)/80)</f>
        <v>1.3440036131115731</v>
      </c>
      <c r="BD170" s="14"/>
      <c r="BE170" s="14"/>
      <c r="BF170" s="16"/>
      <c r="BG170" s="16"/>
      <c r="BH170" s="12">
        <f t="shared" si="62"/>
        <v>7.5043791885714306</v>
      </c>
      <c r="BI170" s="19">
        <f t="shared" si="63"/>
        <v>1.1760031614726265</v>
      </c>
      <c r="BJ170" s="1" t="s">
        <v>35</v>
      </c>
      <c r="BK170">
        <f t="shared" si="64"/>
        <v>0</v>
      </c>
      <c r="BL170">
        <f t="shared" si="65"/>
        <v>0</v>
      </c>
    </row>
    <row r="171" spans="1:64" x14ac:dyDescent="0.25">
      <c r="A171" s="1" t="s">
        <v>523</v>
      </c>
      <c r="B171" s="1" t="s">
        <v>522</v>
      </c>
      <c r="C171" s="13" t="s">
        <v>521</v>
      </c>
      <c r="D171" s="15"/>
      <c r="E171" s="17"/>
      <c r="F171" s="5">
        <v>10</v>
      </c>
      <c r="G171" s="14"/>
      <c r="H171" s="16"/>
      <c r="I171" s="11">
        <v>46221</v>
      </c>
      <c r="J171" s="4">
        <v>17</v>
      </c>
      <c r="K171" s="18">
        <f>(F171-(0)+0-(J171*Ventas!AE168*1))</f>
        <v>7.6199999999999992</v>
      </c>
      <c r="L171" s="20">
        <f>(K171/(Ventas!AE168*1)/80)</f>
        <v>0.68035714285714266</v>
      </c>
      <c r="M171" s="22">
        <f t="shared" si="70"/>
        <v>0</v>
      </c>
      <c r="N171" s="14"/>
      <c r="O171" s="25">
        <f t="shared" si="52"/>
        <v>0</v>
      </c>
      <c r="P171" s="16"/>
      <c r="Q171" s="12">
        <f t="shared" si="53"/>
        <v>7.6199999999999992</v>
      </c>
      <c r="R171" s="5">
        <v>0</v>
      </c>
      <c r="S171" s="24">
        <v>0</v>
      </c>
      <c r="T171" s="26">
        <v>0</v>
      </c>
      <c r="U171" s="18">
        <f t="shared" si="54"/>
        <v>7.6199999999999992</v>
      </c>
      <c r="V171" s="22">
        <f t="shared" si="55"/>
        <v>0</v>
      </c>
      <c r="W171" s="25">
        <f t="shared" si="56"/>
        <v>0</v>
      </c>
      <c r="X171" s="3"/>
      <c r="Y171" s="14"/>
      <c r="Z171" s="14"/>
      <c r="AA171" s="18">
        <v>18</v>
      </c>
      <c r="AB171" s="21">
        <v>4.333E-3</v>
      </c>
      <c r="AC171" s="11">
        <v>46313</v>
      </c>
      <c r="AD171" s="4">
        <v>92</v>
      </c>
      <c r="AE171" s="18">
        <f>(IF(K171&gt;0,K171+R171,R171)-(AD171*Ventas!AE168*1.0489))</f>
        <v>-5.8898320000000002</v>
      </c>
      <c r="AF171" s="20">
        <f>(AE171/(Ventas!AE168*1.0489)/80)</f>
        <v>-0.50136129005897334</v>
      </c>
      <c r="AG171" s="22">
        <f t="shared" si="71"/>
        <v>0</v>
      </c>
      <c r="AH171" s="14"/>
      <c r="AI171" s="25">
        <f t="shared" si="57"/>
        <v>0</v>
      </c>
      <c r="AJ171" s="16"/>
      <c r="AK171" s="12">
        <f t="shared" si="58"/>
        <v>-5.8898320000000002</v>
      </c>
      <c r="AL171" s="19">
        <f t="shared" si="59"/>
        <v>-0.43869112880160166</v>
      </c>
      <c r="AM171" s="18">
        <f>(180*(Ventas!AE168*0.9644) - IF(AE171&gt;0,AE171,0))</f>
        <v>24.302880000000005</v>
      </c>
      <c r="AN171" s="42">
        <v>21</v>
      </c>
      <c r="AO171" s="14"/>
      <c r="AP171" s="14"/>
      <c r="AQ171" s="16">
        <f t="shared" si="60"/>
        <v>9.0993000000000004E-2</v>
      </c>
      <c r="AR171" s="37">
        <f>_xlfn.XLOOKUP(C171,[1]Hoja2!$C$6:$C$24,[1]Hoja2!$D$6:$D$24,0,2,1)</f>
        <v>0</v>
      </c>
      <c r="AS171" s="18">
        <f t="shared" si="61"/>
        <v>21</v>
      </c>
      <c r="AT171" s="14"/>
      <c r="AU171" s="37">
        <f>_xlfn.XLOOKUP(D171,[1]Hoja2!$E$6:$E$24,[1]Hoja2!$F$6:$F$24,0,2,1)</f>
        <v>0</v>
      </c>
      <c r="AV171" s="27">
        <v>2.7</v>
      </c>
      <c r="AW171" s="5">
        <v>3016</v>
      </c>
      <c r="AX171" s="14">
        <v>0</v>
      </c>
      <c r="AY171" s="14"/>
      <c r="AZ171" s="16">
        <f>_xlfn.XLOOKUP(C171,[2]PI!$B$15:$B$99,[2]PI!$L$15:$L$99,0,2,1)</f>
        <v>2.7</v>
      </c>
      <c r="BA171" s="16">
        <f>_xlfn.XLOOKUP(D171,[2]PI!$B$15:$B$99,[2]PI!$L$15:$L$99,0,2,1)</f>
        <v>0</v>
      </c>
      <c r="BB171" s="18">
        <f>(AS171-(90*Ventas!AE168*0.9644))</f>
        <v>8.8485599999999973</v>
      </c>
      <c r="BC171" s="20">
        <f>(BB171/(Ventas!AE168*0.9644)/80)</f>
        <v>0.81921401907921987</v>
      </c>
      <c r="BD171" s="14"/>
      <c r="BE171" s="14"/>
      <c r="BF171" s="16"/>
      <c r="BG171" s="16"/>
      <c r="BH171" s="12">
        <f t="shared" si="62"/>
        <v>8.8485599999999973</v>
      </c>
      <c r="BI171" s="19">
        <f t="shared" si="63"/>
        <v>0.71681226669431741</v>
      </c>
      <c r="BJ171" s="1" t="s">
        <v>35</v>
      </c>
      <c r="BK171">
        <f t="shared" si="64"/>
        <v>56.7</v>
      </c>
      <c r="BL171">
        <f t="shared" si="65"/>
        <v>56.7</v>
      </c>
    </row>
    <row r="172" spans="1:64" x14ac:dyDescent="0.25">
      <c r="A172" s="1" t="s">
        <v>526</v>
      </c>
      <c r="B172" s="1" t="s">
        <v>525</v>
      </c>
      <c r="C172" s="13" t="s">
        <v>524</v>
      </c>
      <c r="D172" s="15"/>
      <c r="E172" s="17"/>
      <c r="F172" s="5">
        <v>8</v>
      </c>
      <c r="G172" s="14"/>
      <c r="H172" s="16"/>
      <c r="I172" s="11">
        <v>46221</v>
      </c>
      <c r="J172" s="4">
        <v>17</v>
      </c>
      <c r="K172" s="18">
        <f>(F172-(0)+0-(J172*Ventas!AE169*1))</f>
        <v>6.9919000000000002</v>
      </c>
      <c r="L172" s="20">
        <f>(K172/(Ventas!AE169*1)/80)</f>
        <v>1.4738406408094435</v>
      </c>
      <c r="M172" s="22">
        <f t="shared" si="70"/>
        <v>0</v>
      </c>
      <c r="N172" s="14"/>
      <c r="O172" s="25">
        <f t="shared" si="52"/>
        <v>0</v>
      </c>
      <c r="P172" s="16"/>
      <c r="Q172" s="12">
        <f t="shared" si="53"/>
        <v>6.9919000000000002</v>
      </c>
      <c r="R172" s="5">
        <v>0</v>
      </c>
      <c r="S172" s="24">
        <v>0</v>
      </c>
      <c r="T172" s="26">
        <v>0</v>
      </c>
      <c r="U172" s="18">
        <f t="shared" si="54"/>
        <v>6.9919000000000002</v>
      </c>
      <c r="V172" s="22">
        <f t="shared" si="55"/>
        <v>0</v>
      </c>
      <c r="W172" s="25">
        <f t="shared" si="56"/>
        <v>0</v>
      </c>
      <c r="X172" s="3"/>
      <c r="Y172" s="14"/>
      <c r="Z172" s="14"/>
      <c r="AA172" s="18">
        <v>15</v>
      </c>
      <c r="AB172" s="21">
        <v>5.2420000000000001E-3</v>
      </c>
      <c r="AC172" s="11">
        <v>46313</v>
      </c>
      <c r="AD172" s="4">
        <v>92</v>
      </c>
      <c r="AE172" s="18">
        <f>(IF(K172&gt;0,K172+R172,R172)-(AD172*Ventas!AE169*1.0489))</f>
        <v>1.2695211600000009</v>
      </c>
      <c r="AF172" s="20">
        <f>(AE172/(Ventas!AE169*1.0489)/80)</f>
        <v>0.25512979388830559</v>
      </c>
      <c r="AG172" s="22">
        <f t="shared" si="71"/>
        <v>0</v>
      </c>
      <c r="AH172" s="14"/>
      <c r="AI172" s="25">
        <f t="shared" si="57"/>
        <v>0</v>
      </c>
      <c r="AJ172" s="16"/>
      <c r="AK172" s="12">
        <f t="shared" si="58"/>
        <v>1.2695211600000009</v>
      </c>
      <c r="AL172" s="19">
        <f t="shared" si="59"/>
        <v>0.2232385696522674</v>
      </c>
      <c r="AM172" s="18">
        <f>(180*(Ventas!AE169*0.9644) - IF(AE172&gt;0,AE172,0))</f>
        <v>9.0244844399999984</v>
      </c>
      <c r="AN172" s="42">
        <v>15</v>
      </c>
      <c r="AO172" s="14"/>
      <c r="AP172" s="14">
        <f t="shared" ref="AP172:AP193" si="73">IF(AO172&gt;3,CEILING(AO172,5),0)</f>
        <v>0</v>
      </c>
      <c r="AQ172" s="16">
        <f t="shared" si="60"/>
        <v>7.8630000000000005E-2</v>
      </c>
      <c r="AR172" s="37">
        <f>_xlfn.XLOOKUP(C172,[1]Hoja2!$C$6:$C$24,[1]Hoja2!$D$6:$D$24,0,2,1)</f>
        <v>0</v>
      </c>
      <c r="AS172" s="18">
        <f t="shared" si="61"/>
        <v>16.26952116</v>
      </c>
      <c r="AT172" s="14"/>
      <c r="AU172" s="37">
        <f>_xlfn.XLOOKUP(D172,[1]Hoja2!$E$6:$E$24,[1]Hoja2!$F$6:$F$24,0,2,1)</f>
        <v>0</v>
      </c>
      <c r="AV172" s="27">
        <v>2.8</v>
      </c>
      <c r="AW172" s="5">
        <v>3016</v>
      </c>
      <c r="AX172" s="14">
        <v>0</v>
      </c>
      <c r="AY172" s="14"/>
      <c r="AZ172" s="16">
        <f>_xlfn.XLOOKUP(C172,[2]PI!$B$15:$B$99,[2]PI!$L$15:$L$99,0,2,1)</f>
        <v>2.8</v>
      </c>
      <c r="BA172" s="16">
        <f>_xlfn.XLOOKUP(D172,[2]PI!$B$15:$B$99,[2]PI!$L$15:$L$99,0,2,1)</f>
        <v>0</v>
      </c>
      <c r="BB172" s="18">
        <f>(AS172-(90*Ventas!AE169*0.9644))</f>
        <v>11.122518360000001</v>
      </c>
      <c r="BC172" s="20">
        <f>(BB172/(Ventas!AE169*0.9644)/80)</f>
        <v>2.4310911886428355</v>
      </c>
      <c r="BD172" s="14"/>
      <c r="BE172" s="14"/>
      <c r="BF172" s="16"/>
      <c r="BG172" s="16"/>
      <c r="BH172" s="12">
        <f t="shared" si="62"/>
        <v>11.122518360000001</v>
      </c>
      <c r="BI172" s="19">
        <f t="shared" si="63"/>
        <v>2.1272047900624811</v>
      </c>
      <c r="BJ172" s="1" t="s">
        <v>35</v>
      </c>
      <c r="BK172">
        <f t="shared" si="64"/>
        <v>42</v>
      </c>
      <c r="BL172">
        <f t="shared" si="65"/>
        <v>42</v>
      </c>
    </row>
    <row r="173" spans="1:64" x14ac:dyDescent="0.25">
      <c r="A173" s="1" t="s">
        <v>529</v>
      </c>
      <c r="B173" s="1" t="s">
        <v>528</v>
      </c>
      <c r="C173" s="13" t="s">
        <v>527</v>
      </c>
      <c r="D173" s="15"/>
      <c r="E173" s="17"/>
      <c r="F173" s="3"/>
      <c r="G173" s="14"/>
      <c r="H173" s="16"/>
      <c r="I173" s="11">
        <v>46221</v>
      </c>
      <c r="J173" s="4">
        <v>17</v>
      </c>
      <c r="K173" s="18">
        <f>(F173-(0)+0-(J173*Ventas!AE170*1))</f>
        <v>0</v>
      </c>
      <c r="L173" s="3"/>
      <c r="M173" s="22">
        <f t="shared" si="70"/>
        <v>0</v>
      </c>
      <c r="N173" s="14"/>
      <c r="O173" s="25">
        <f t="shared" si="52"/>
        <v>0</v>
      </c>
      <c r="P173" s="16"/>
      <c r="Q173" s="12">
        <f t="shared" si="53"/>
        <v>0</v>
      </c>
      <c r="R173" s="5">
        <v>0</v>
      </c>
      <c r="S173" s="24">
        <v>0</v>
      </c>
      <c r="T173" s="26">
        <v>0</v>
      </c>
      <c r="U173" s="18">
        <f t="shared" si="54"/>
        <v>0</v>
      </c>
      <c r="V173" s="22">
        <f t="shared" si="55"/>
        <v>0</v>
      </c>
      <c r="W173" s="25">
        <f t="shared" si="56"/>
        <v>0</v>
      </c>
      <c r="X173" s="3"/>
      <c r="Y173" s="14"/>
      <c r="Z173" s="14"/>
      <c r="AA173" s="3"/>
      <c r="AB173" s="3"/>
      <c r="AC173" s="11">
        <v>46313</v>
      </c>
      <c r="AD173" s="4">
        <v>92</v>
      </c>
      <c r="AE173" s="18">
        <f>(IF(K173&gt;0,K173+R173,R173)-(AD173*Ventas!AE170*1.0489))</f>
        <v>0</v>
      </c>
      <c r="AF173" s="3"/>
      <c r="AG173" s="22">
        <f t="shared" si="71"/>
        <v>0</v>
      </c>
      <c r="AH173" s="14"/>
      <c r="AI173" s="25">
        <f t="shared" si="57"/>
        <v>0</v>
      </c>
      <c r="AJ173" s="16"/>
      <c r="AK173" s="12">
        <f t="shared" si="58"/>
        <v>0</v>
      </c>
      <c r="AL173" s="19">
        <f t="shared" si="59"/>
        <v>0</v>
      </c>
      <c r="AM173" s="18">
        <f>(180*(Ventas!AE170*0.9644) - IF(AE173&gt;0,AE173,0))</f>
        <v>0</v>
      </c>
      <c r="AN173" s="18">
        <f t="shared" si="72"/>
        <v>0</v>
      </c>
      <c r="AO173" s="14"/>
      <c r="AP173" s="14">
        <f t="shared" si="73"/>
        <v>0</v>
      </c>
      <c r="AQ173" s="16">
        <f t="shared" si="60"/>
        <v>0</v>
      </c>
      <c r="AR173" s="37">
        <f>_xlfn.XLOOKUP(C173,[1]Hoja2!$C$6:$C$24,[1]Hoja2!$D$6:$D$24,0,2,1)</f>
        <v>0</v>
      </c>
      <c r="AS173" s="18">
        <f t="shared" si="61"/>
        <v>0</v>
      </c>
      <c r="AT173" s="14"/>
      <c r="AU173" s="37">
        <f>_xlfn.XLOOKUP(D173,[1]Hoja2!$E$6:$E$24,[1]Hoja2!$F$6:$F$24,0,2,1)</f>
        <v>0</v>
      </c>
      <c r="AV173" s="3">
        <v>0</v>
      </c>
      <c r="AW173" s="3"/>
      <c r="AX173" s="14">
        <v>0</v>
      </c>
      <c r="AY173" s="14"/>
      <c r="AZ173" s="16">
        <f>_xlfn.XLOOKUP(C173,[2]PI!$B$15:$B$99,[2]PI!$L$15:$L$99,0,2,1)</f>
        <v>0</v>
      </c>
      <c r="BA173" s="16">
        <f>_xlfn.XLOOKUP(D173,[2]PI!$B$15:$B$99,[2]PI!$L$15:$L$99,0,2,1)</f>
        <v>0</v>
      </c>
      <c r="BB173" s="3"/>
      <c r="BC173" s="3"/>
      <c r="BD173" s="14"/>
      <c r="BE173" s="14"/>
      <c r="BF173" s="16"/>
      <c r="BG173" s="16"/>
      <c r="BH173" s="12">
        <f t="shared" si="62"/>
        <v>0</v>
      </c>
      <c r="BI173" s="19">
        <f t="shared" si="63"/>
        <v>0</v>
      </c>
      <c r="BJ173" s="1" t="s">
        <v>51</v>
      </c>
      <c r="BK173">
        <f t="shared" si="64"/>
        <v>0</v>
      </c>
      <c r="BL173">
        <f t="shared" si="65"/>
        <v>0</v>
      </c>
    </row>
    <row r="174" spans="1:64" x14ac:dyDescent="0.25">
      <c r="A174" s="1" t="s">
        <v>532</v>
      </c>
      <c r="B174" s="1" t="s">
        <v>531</v>
      </c>
      <c r="C174" s="13" t="s">
        <v>530</v>
      </c>
      <c r="D174" s="15"/>
      <c r="E174" s="17"/>
      <c r="F174" s="3"/>
      <c r="G174" s="14"/>
      <c r="H174" s="16"/>
      <c r="I174" s="11">
        <v>46221</v>
      </c>
      <c r="J174" s="4">
        <v>17</v>
      </c>
      <c r="K174" s="18">
        <f>(F174-(0)+0-(J174*Ventas!AE171*1))</f>
        <v>0</v>
      </c>
      <c r="L174" s="3"/>
      <c r="M174" s="22">
        <f t="shared" si="70"/>
        <v>0</v>
      </c>
      <c r="N174" s="14"/>
      <c r="O174" s="25">
        <f t="shared" si="52"/>
        <v>0</v>
      </c>
      <c r="P174" s="16"/>
      <c r="Q174" s="12">
        <f t="shared" si="53"/>
        <v>0</v>
      </c>
      <c r="R174" s="5">
        <v>0</v>
      </c>
      <c r="S174" s="24">
        <v>0</v>
      </c>
      <c r="T174" s="26">
        <v>0</v>
      </c>
      <c r="U174" s="18">
        <f t="shared" si="54"/>
        <v>0</v>
      </c>
      <c r="V174" s="22">
        <f t="shared" si="55"/>
        <v>0</v>
      </c>
      <c r="W174" s="25">
        <f t="shared" si="56"/>
        <v>0</v>
      </c>
      <c r="X174" s="3"/>
      <c r="Y174" s="14"/>
      <c r="Z174" s="14"/>
      <c r="AA174" s="18">
        <v>6</v>
      </c>
      <c r="AB174" s="21">
        <v>1.5716999999999998E-2</v>
      </c>
      <c r="AC174" s="11">
        <v>46313</v>
      </c>
      <c r="AD174" s="4">
        <v>92</v>
      </c>
      <c r="AE174" s="18">
        <f>(IF(K174&gt;0,K174+R174,R174)-(AD174*Ventas!AE171*1.0489))</f>
        <v>0</v>
      </c>
      <c r="AF174" s="3"/>
      <c r="AG174" s="22">
        <f t="shared" si="71"/>
        <v>0</v>
      </c>
      <c r="AH174" s="14"/>
      <c r="AI174" s="25">
        <f t="shared" si="57"/>
        <v>0</v>
      </c>
      <c r="AJ174" s="16"/>
      <c r="AK174" s="12">
        <f t="shared" si="58"/>
        <v>0</v>
      </c>
      <c r="AL174" s="19">
        <f t="shared" si="59"/>
        <v>0</v>
      </c>
      <c r="AM174" s="18">
        <f>(180*(Ventas!AE171*0.9644) - IF(AE174&gt;0,AE174,0))</f>
        <v>0</v>
      </c>
      <c r="AN174" s="18">
        <f t="shared" si="72"/>
        <v>0</v>
      </c>
      <c r="AO174" s="14"/>
      <c r="AP174" s="14">
        <f t="shared" si="73"/>
        <v>0</v>
      </c>
      <c r="AQ174" s="16">
        <f t="shared" si="60"/>
        <v>0</v>
      </c>
      <c r="AR174" s="37">
        <f>_xlfn.XLOOKUP(C174,[1]Hoja2!$C$6:$C$24,[1]Hoja2!$D$6:$D$24,0,2,1)</f>
        <v>0</v>
      </c>
      <c r="AS174" s="18">
        <f t="shared" si="61"/>
        <v>0</v>
      </c>
      <c r="AT174" s="14"/>
      <c r="AU174" s="37">
        <f>_xlfn.XLOOKUP(D174,[1]Hoja2!$E$6:$E$24,[1]Hoja2!$F$6:$F$24,0,2,1)</f>
        <v>0</v>
      </c>
      <c r="AV174" s="3">
        <v>0</v>
      </c>
      <c r="AW174" s="3"/>
      <c r="AX174" s="14">
        <v>0</v>
      </c>
      <c r="AY174" s="14"/>
      <c r="AZ174" s="16">
        <f>_xlfn.XLOOKUP(C174,[2]PI!$B$15:$B$99,[2]PI!$L$15:$L$99,0,2,1)</f>
        <v>0</v>
      </c>
      <c r="BA174" s="16">
        <f>_xlfn.XLOOKUP(D174,[2]PI!$B$15:$B$99,[2]PI!$L$15:$L$99,0,2,1)</f>
        <v>0</v>
      </c>
      <c r="BB174" s="3"/>
      <c r="BC174" s="3"/>
      <c r="BD174" s="14"/>
      <c r="BE174" s="14"/>
      <c r="BF174" s="16"/>
      <c r="BG174" s="16"/>
      <c r="BH174" s="12">
        <f t="shared" si="62"/>
        <v>0</v>
      </c>
      <c r="BI174" s="19">
        <f t="shared" si="63"/>
        <v>0</v>
      </c>
      <c r="BJ174" s="1" t="s">
        <v>35</v>
      </c>
      <c r="BK174">
        <f t="shared" si="64"/>
        <v>0</v>
      </c>
      <c r="BL174">
        <f t="shared" si="65"/>
        <v>0</v>
      </c>
    </row>
    <row r="175" spans="1:64" x14ac:dyDescent="0.25">
      <c r="A175" s="1" t="s">
        <v>535</v>
      </c>
      <c r="B175" s="1" t="s">
        <v>534</v>
      </c>
      <c r="C175" s="13" t="s">
        <v>533</v>
      </c>
      <c r="D175" s="15"/>
      <c r="E175" s="17"/>
      <c r="F175" s="3"/>
      <c r="G175" s="14"/>
      <c r="H175" s="16"/>
      <c r="I175" s="11">
        <v>46221</v>
      </c>
      <c r="J175" s="4">
        <v>17</v>
      </c>
      <c r="K175" s="18">
        <f>(F175-(0)+0-(J175*Ventas!AE172*1))</f>
        <v>0</v>
      </c>
      <c r="L175" s="3"/>
      <c r="M175" s="22">
        <f t="shared" si="70"/>
        <v>0</v>
      </c>
      <c r="N175" s="14"/>
      <c r="O175" s="25">
        <f t="shared" si="52"/>
        <v>0</v>
      </c>
      <c r="P175" s="16"/>
      <c r="Q175" s="12">
        <f t="shared" si="53"/>
        <v>0</v>
      </c>
      <c r="R175" s="5">
        <v>0</v>
      </c>
      <c r="S175" s="24">
        <v>0</v>
      </c>
      <c r="T175" s="26">
        <v>0</v>
      </c>
      <c r="U175" s="18">
        <f t="shared" si="54"/>
        <v>0</v>
      </c>
      <c r="V175" s="22">
        <f t="shared" si="55"/>
        <v>0</v>
      </c>
      <c r="W175" s="25">
        <f t="shared" si="56"/>
        <v>0</v>
      </c>
      <c r="X175" s="3"/>
      <c r="Y175" s="14"/>
      <c r="Z175" s="14"/>
      <c r="AA175" s="18">
        <v>8</v>
      </c>
      <c r="AB175" s="21">
        <v>1.0052999999999999E-2</v>
      </c>
      <c r="AC175" s="11">
        <v>46313</v>
      </c>
      <c r="AD175" s="4">
        <v>92</v>
      </c>
      <c r="AE175" s="18">
        <f>(IF(K175&gt;0,K175+R175,R175)-(AD175*Ventas!AE172*1.0489))</f>
        <v>0</v>
      </c>
      <c r="AF175" s="3"/>
      <c r="AG175" s="22">
        <f t="shared" si="71"/>
        <v>0</v>
      </c>
      <c r="AH175" s="14"/>
      <c r="AI175" s="25">
        <f t="shared" si="57"/>
        <v>0</v>
      </c>
      <c r="AJ175" s="16"/>
      <c r="AK175" s="12">
        <f t="shared" si="58"/>
        <v>0</v>
      </c>
      <c r="AL175" s="19">
        <f t="shared" si="59"/>
        <v>0</v>
      </c>
      <c r="AM175" s="18">
        <f>(180*(Ventas!AE172*0.9644) - IF(AE175&gt;0,AE175,0))</f>
        <v>0</v>
      </c>
      <c r="AN175" s="18">
        <f t="shared" si="72"/>
        <v>0</v>
      </c>
      <c r="AO175" s="14"/>
      <c r="AP175" s="14">
        <f t="shared" si="73"/>
        <v>0</v>
      </c>
      <c r="AQ175" s="16">
        <f t="shared" si="60"/>
        <v>0</v>
      </c>
      <c r="AR175" s="37">
        <f>_xlfn.XLOOKUP(C175,[1]Hoja2!$C$6:$C$24,[1]Hoja2!$D$6:$D$24,0,2,1)</f>
        <v>0</v>
      </c>
      <c r="AS175" s="18">
        <f t="shared" si="61"/>
        <v>0</v>
      </c>
      <c r="AT175" s="14"/>
      <c r="AU175" s="37">
        <f>_xlfn.XLOOKUP(D175,[1]Hoja2!$E$6:$E$24,[1]Hoja2!$F$6:$F$24,0,2,1)</f>
        <v>0</v>
      </c>
      <c r="AV175" s="3">
        <v>0</v>
      </c>
      <c r="AW175" s="3"/>
      <c r="AX175" s="14">
        <v>0</v>
      </c>
      <c r="AY175" s="14"/>
      <c r="AZ175" s="16">
        <f>_xlfn.XLOOKUP(C175,[2]PI!$B$15:$B$99,[2]PI!$L$15:$L$99,0,2,1)</f>
        <v>0</v>
      </c>
      <c r="BA175" s="16">
        <f>_xlfn.XLOOKUP(D175,[2]PI!$B$15:$B$99,[2]PI!$L$15:$L$99,0,2,1)</f>
        <v>0</v>
      </c>
      <c r="BB175" s="3"/>
      <c r="BC175" s="3"/>
      <c r="BD175" s="14"/>
      <c r="BE175" s="14"/>
      <c r="BF175" s="16"/>
      <c r="BG175" s="16"/>
      <c r="BH175" s="12">
        <f t="shared" si="62"/>
        <v>0</v>
      </c>
      <c r="BI175" s="19">
        <f t="shared" si="63"/>
        <v>0</v>
      </c>
      <c r="BJ175" s="1" t="s">
        <v>51</v>
      </c>
      <c r="BK175">
        <f t="shared" si="64"/>
        <v>0</v>
      </c>
      <c r="BL175">
        <f t="shared" si="65"/>
        <v>0</v>
      </c>
    </row>
    <row r="176" spans="1:64" x14ac:dyDescent="0.25">
      <c r="A176" s="1" t="s">
        <v>538</v>
      </c>
      <c r="B176" s="1" t="s">
        <v>537</v>
      </c>
      <c r="C176" s="13" t="s">
        <v>536</v>
      </c>
      <c r="D176" s="15"/>
      <c r="E176" s="17"/>
      <c r="F176" s="5">
        <v>10</v>
      </c>
      <c r="G176" s="14"/>
      <c r="H176" s="16"/>
      <c r="I176" s="11">
        <v>46221</v>
      </c>
      <c r="J176" s="4">
        <v>17</v>
      </c>
      <c r="K176" s="18">
        <f>(F176-(0)+0-(J176*Ventas!AE173*1))</f>
        <v>8.285914285714286</v>
      </c>
      <c r="L176" s="20">
        <f>(K176/(Ventas!AE173*1)/80)</f>
        <v>1.0272279682629639</v>
      </c>
      <c r="M176" s="22">
        <f t="shared" si="70"/>
        <v>0</v>
      </c>
      <c r="N176" s="14"/>
      <c r="O176" s="25">
        <f t="shared" si="52"/>
        <v>0</v>
      </c>
      <c r="P176" s="16"/>
      <c r="Q176" s="12">
        <f t="shared" si="53"/>
        <v>8.285914285714286</v>
      </c>
      <c r="R176" s="5">
        <v>0</v>
      </c>
      <c r="S176" s="24">
        <v>0</v>
      </c>
      <c r="T176" s="26">
        <v>0</v>
      </c>
      <c r="U176" s="18">
        <f t="shared" si="54"/>
        <v>8.285914285714286</v>
      </c>
      <c r="V176" s="22">
        <f t="shared" si="55"/>
        <v>0</v>
      </c>
      <c r="W176" s="25">
        <f t="shared" si="56"/>
        <v>0</v>
      </c>
      <c r="X176" s="3"/>
      <c r="Y176" s="14"/>
      <c r="Z176" s="14"/>
      <c r="AA176" s="18">
        <v>10</v>
      </c>
      <c r="AB176" s="21">
        <v>1.3318E-2</v>
      </c>
      <c r="AC176" s="11">
        <v>46313</v>
      </c>
      <c r="AD176" s="4">
        <v>92</v>
      </c>
      <c r="AE176" s="18">
        <f>(IF(K176&gt;0,K176+R176,R176)-(AD176*Ventas!AE173*1.0489))</f>
        <v>-1.4439218628571435</v>
      </c>
      <c r="AF176" s="20">
        <f>(AE176/(Ventas!AE173*1.0489)/80)</f>
        <v>-0.17066167579086283</v>
      </c>
      <c r="AG176" s="22">
        <f t="shared" si="71"/>
        <v>0</v>
      </c>
      <c r="AH176" s="14"/>
      <c r="AI176" s="25">
        <f t="shared" si="57"/>
        <v>0</v>
      </c>
      <c r="AJ176" s="16"/>
      <c r="AK176" s="12">
        <f t="shared" si="58"/>
        <v>-1.4439218628571435</v>
      </c>
      <c r="AL176" s="19">
        <f t="shared" si="59"/>
        <v>-0.14932896631700499</v>
      </c>
      <c r="AM176" s="18">
        <f>(180*(Ventas!AE173*0.9644) - IF(AE176&gt;0,AE176,0))</f>
        <v>17.503033371428575</v>
      </c>
      <c r="AN176" s="42">
        <v>18</v>
      </c>
      <c r="AO176" s="14"/>
      <c r="AP176" s="14">
        <f t="shared" si="73"/>
        <v>0</v>
      </c>
      <c r="AQ176" s="16">
        <f t="shared" si="60"/>
        <v>0.23972399999999999</v>
      </c>
      <c r="AR176" s="37">
        <f>_xlfn.XLOOKUP(C176,[1]Hoja2!$C$6:$C$24,[1]Hoja2!$D$6:$D$24,0,2,1)</f>
        <v>0</v>
      </c>
      <c r="AS176" s="18">
        <f t="shared" si="61"/>
        <v>18</v>
      </c>
      <c r="AT176" s="14"/>
      <c r="AU176" s="37">
        <f>_xlfn.XLOOKUP(D176,[1]Hoja2!$E$6:$E$24,[1]Hoja2!$F$6:$F$24,0,2,1)</f>
        <v>0</v>
      </c>
      <c r="AV176" s="27">
        <v>6.4</v>
      </c>
      <c r="AW176" s="5">
        <v>3016</v>
      </c>
      <c r="AX176" s="14">
        <v>0</v>
      </c>
      <c r="AY176" s="14"/>
      <c r="AZ176" s="16">
        <f>_xlfn.XLOOKUP(C176,[2]PI!$B$15:$B$99,[2]PI!$L$15:$L$99,0,2,1)</f>
        <v>6.4</v>
      </c>
      <c r="BA176" s="16">
        <f>_xlfn.XLOOKUP(D176,[2]PI!$B$15:$B$99,[2]PI!$L$15:$L$99,0,2,1)</f>
        <v>0</v>
      </c>
      <c r="BB176" s="18">
        <f>(AS176-(90*Ventas!AE173*0.9644))</f>
        <v>9.2484833142857124</v>
      </c>
      <c r="BC176" s="20">
        <f>(BB176/(Ventas!AE173*0.9644)/80)</f>
        <v>1.1888846359117946</v>
      </c>
      <c r="BD176" s="14"/>
      <c r="BE176" s="14"/>
      <c r="BF176" s="16"/>
      <c r="BG176" s="16"/>
      <c r="BH176" s="12">
        <f t="shared" si="62"/>
        <v>9.2484833142857124</v>
      </c>
      <c r="BI176" s="19">
        <f t="shared" si="63"/>
        <v>1.0402740564228203</v>
      </c>
      <c r="BJ176" s="1" t="s">
        <v>35</v>
      </c>
      <c r="BK176">
        <f t="shared" si="64"/>
        <v>115.2</v>
      </c>
      <c r="BL176">
        <f t="shared" si="65"/>
        <v>115.2</v>
      </c>
    </row>
    <row r="177" spans="1:64" x14ac:dyDescent="0.25">
      <c r="A177" s="1" t="s">
        <v>541</v>
      </c>
      <c r="B177" s="1" t="s">
        <v>540</v>
      </c>
      <c r="C177" s="13" t="s">
        <v>539</v>
      </c>
      <c r="D177" s="15"/>
      <c r="E177" s="17"/>
      <c r="F177" s="3"/>
      <c r="G177" s="14"/>
      <c r="H177" s="16"/>
      <c r="I177" s="11">
        <v>46221</v>
      </c>
      <c r="J177" s="4">
        <v>17</v>
      </c>
      <c r="K177" s="18">
        <f>(F177-(0)+0-(J177*Ventas!AE174*1))</f>
        <v>0</v>
      </c>
      <c r="L177" s="3"/>
      <c r="M177" s="22">
        <f t="shared" si="70"/>
        <v>0</v>
      </c>
      <c r="N177" s="14"/>
      <c r="O177" s="25">
        <f t="shared" si="52"/>
        <v>0</v>
      </c>
      <c r="P177" s="16"/>
      <c r="Q177" s="12">
        <f t="shared" si="53"/>
        <v>0</v>
      </c>
      <c r="R177" s="5">
        <v>0</v>
      </c>
      <c r="S177" s="24">
        <v>0</v>
      </c>
      <c r="T177" s="26">
        <v>0</v>
      </c>
      <c r="U177" s="18">
        <f t="shared" si="54"/>
        <v>0</v>
      </c>
      <c r="V177" s="22">
        <f t="shared" si="55"/>
        <v>0</v>
      </c>
      <c r="W177" s="25">
        <f t="shared" si="56"/>
        <v>0</v>
      </c>
      <c r="X177" s="3"/>
      <c r="Y177" s="14"/>
      <c r="Z177" s="14"/>
      <c r="AA177" s="3"/>
      <c r="AB177" s="3"/>
      <c r="AC177" s="11">
        <v>46313</v>
      </c>
      <c r="AD177" s="4">
        <v>92</v>
      </c>
      <c r="AE177" s="18">
        <f>(IF(K177&gt;0,K177+R177,R177)-(AD177*Ventas!AE174*1.0489))</f>
        <v>0</v>
      </c>
      <c r="AF177" s="3"/>
      <c r="AG177" s="22">
        <f t="shared" si="71"/>
        <v>0</v>
      </c>
      <c r="AH177" s="14"/>
      <c r="AI177" s="25">
        <f t="shared" si="57"/>
        <v>0</v>
      </c>
      <c r="AJ177" s="16"/>
      <c r="AK177" s="12">
        <f t="shared" si="58"/>
        <v>0</v>
      </c>
      <c r="AL177" s="19">
        <f t="shared" si="59"/>
        <v>0</v>
      </c>
      <c r="AM177" s="18">
        <f>(180*(Ventas!AE174*0.9644) - IF(AE177&gt;0,AE177,0))</f>
        <v>0</v>
      </c>
      <c r="AN177" s="18">
        <f t="shared" ref="AN177:AN193" si="74">IF(AM177&gt;3,CEILING(AM177,5),0)</f>
        <v>0</v>
      </c>
      <c r="AO177" s="14"/>
      <c r="AP177" s="14">
        <f t="shared" si="73"/>
        <v>0</v>
      </c>
      <c r="AQ177" s="16">
        <f t="shared" si="60"/>
        <v>0</v>
      </c>
      <c r="AR177" s="37">
        <f>_xlfn.XLOOKUP(C177,[1]Hoja2!$C$6:$C$24,[1]Hoja2!$D$6:$D$24,0,2,1)</f>
        <v>0</v>
      </c>
      <c r="AS177" s="18">
        <f t="shared" si="61"/>
        <v>0</v>
      </c>
      <c r="AT177" s="14"/>
      <c r="AU177" s="37">
        <f>_xlfn.XLOOKUP(D177,[1]Hoja2!$E$6:$E$24,[1]Hoja2!$F$6:$F$24,0,2,1)</f>
        <v>0</v>
      </c>
      <c r="AV177" s="27">
        <v>0</v>
      </c>
      <c r="AW177" s="5">
        <v>3013</v>
      </c>
      <c r="AX177" s="14">
        <v>0</v>
      </c>
      <c r="AY177" s="14"/>
      <c r="AZ177" s="16">
        <f>_xlfn.XLOOKUP(C177,[2]PI!$B$15:$B$99,[2]PI!$L$15:$L$99,0,2,1)</f>
        <v>0</v>
      </c>
      <c r="BA177" s="16">
        <f>_xlfn.XLOOKUP(D177,[2]PI!$B$15:$B$99,[2]PI!$L$15:$L$99,0,2,1)</f>
        <v>0</v>
      </c>
      <c r="BB177" s="3"/>
      <c r="BC177" s="3"/>
      <c r="BD177" s="14"/>
      <c r="BE177" s="14"/>
      <c r="BF177" s="16"/>
      <c r="BG177" s="16"/>
      <c r="BH177" s="12">
        <f t="shared" si="62"/>
        <v>0</v>
      </c>
      <c r="BI177" s="19">
        <f t="shared" si="63"/>
        <v>0</v>
      </c>
      <c r="BJ177" s="1" t="s">
        <v>51</v>
      </c>
      <c r="BK177">
        <f t="shared" si="64"/>
        <v>0</v>
      </c>
      <c r="BL177">
        <f t="shared" si="65"/>
        <v>0</v>
      </c>
    </row>
    <row r="178" spans="1:64" x14ac:dyDescent="0.25">
      <c r="A178" s="1" t="s">
        <v>544</v>
      </c>
      <c r="B178" s="1" t="s">
        <v>543</v>
      </c>
      <c r="C178" s="13" t="s">
        <v>542</v>
      </c>
      <c r="D178" s="15"/>
      <c r="E178" s="17"/>
      <c r="F178" s="3"/>
      <c r="G178" s="14"/>
      <c r="H178" s="16"/>
      <c r="I178" s="11">
        <v>46221</v>
      </c>
      <c r="J178" s="4">
        <v>17</v>
      </c>
      <c r="K178" s="18">
        <f>(F178-(0)+0-(J178*Ventas!AE175*1))</f>
        <v>0</v>
      </c>
      <c r="L178" s="3"/>
      <c r="M178" s="22">
        <f t="shared" si="70"/>
        <v>0</v>
      </c>
      <c r="N178" s="14"/>
      <c r="O178" s="25">
        <f t="shared" si="52"/>
        <v>0</v>
      </c>
      <c r="P178" s="16"/>
      <c r="Q178" s="12">
        <f t="shared" si="53"/>
        <v>0</v>
      </c>
      <c r="R178" s="5">
        <v>0</v>
      </c>
      <c r="S178" s="24">
        <v>0</v>
      </c>
      <c r="T178" s="26">
        <v>0</v>
      </c>
      <c r="U178" s="18">
        <f t="shared" si="54"/>
        <v>0</v>
      </c>
      <c r="V178" s="22">
        <f t="shared" si="55"/>
        <v>0</v>
      </c>
      <c r="W178" s="25">
        <f t="shared" si="56"/>
        <v>0</v>
      </c>
      <c r="X178" s="3"/>
      <c r="Y178" s="14"/>
      <c r="Z178" s="14"/>
      <c r="AA178" s="18">
        <v>15</v>
      </c>
      <c r="AB178" s="21">
        <v>4.6049999999999997E-3</v>
      </c>
      <c r="AC178" s="11">
        <v>46313</v>
      </c>
      <c r="AD178" s="4">
        <v>92</v>
      </c>
      <c r="AE178" s="18">
        <f>(IF(K178&gt;0,K178+R178,R178)-(AD178*Ventas!AE175*1.0489))</f>
        <v>0</v>
      </c>
      <c r="AF178" s="3"/>
      <c r="AG178" s="22">
        <f t="shared" si="71"/>
        <v>0</v>
      </c>
      <c r="AH178" s="14"/>
      <c r="AI178" s="25">
        <f t="shared" si="57"/>
        <v>0</v>
      </c>
      <c r="AJ178" s="16"/>
      <c r="AK178" s="12">
        <f t="shared" si="58"/>
        <v>0</v>
      </c>
      <c r="AL178" s="19">
        <f t="shared" si="59"/>
        <v>0</v>
      </c>
      <c r="AM178" s="18">
        <f>(180*(Ventas!AE175*0.9644) - IF(AE178&gt;0,AE178,0))</f>
        <v>0</v>
      </c>
      <c r="AN178" s="18">
        <f t="shared" si="74"/>
        <v>0</v>
      </c>
      <c r="AO178" s="14"/>
      <c r="AP178" s="14">
        <f t="shared" si="73"/>
        <v>0</v>
      </c>
      <c r="AQ178" s="16">
        <f t="shared" si="60"/>
        <v>0</v>
      </c>
      <c r="AR178" s="37">
        <f>_xlfn.XLOOKUP(C178,[1]Hoja2!$C$6:$C$24,[1]Hoja2!$D$6:$D$24,0,2,1)</f>
        <v>0</v>
      </c>
      <c r="AS178" s="18">
        <f t="shared" si="61"/>
        <v>0</v>
      </c>
      <c r="AT178" s="14"/>
      <c r="AU178" s="37">
        <f>_xlfn.XLOOKUP(D178,[1]Hoja2!$E$6:$E$24,[1]Hoja2!$F$6:$F$24,0,2,1)</f>
        <v>0</v>
      </c>
      <c r="AV178" s="3">
        <v>0</v>
      </c>
      <c r="AW178" s="3"/>
      <c r="AX178" s="14">
        <v>0</v>
      </c>
      <c r="AY178" s="14"/>
      <c r="AZ178" s="16">
        <f>_xlfn.XLOOKUP(C178,[2]PI!$B$15:$B$99,[2]PI!$L$15:$L$99,0,2,1)</f>
        <v>0</v>
      </c>
      <c r="BA178" s="16">
        <f>_xlfn.XLOOKUP(D178,[2]PI!$B$15:$B$99,[2]PI!$L$15:$L$99,0,2,1)</f>
        <v>0</v>
      </c>
      <c r="BB178" s="3"/>
      <c r="BC178" s="3"/>
      <c r="BD178" s="14"/>
      <c r="BE178" s="14"/>
      <c r="BF178" s="16"/>
      <c r="BG178" s="16"/>
      <c r="BH178" s="12">
        <f t="shared" si="62"/>
        <v>0</v>
      </c>
      <c r="BI178" s="19">
        <f t="shared" si="63"/>
        <v>0</v>
      </c>
      <c r="BJ178" s="1" t="s">
        <v>51</v>
      </c>
      <c r="BK178">
        <f t="shared" si="64"/>
        <v>0</v>
      </c>
      <c r="BL178">
        <f t="shared" si="65"/>
        <v>0</v>
      </c>
    </row>
    <row r="179" spans="1:64" x14ac:dyDescent="0.25">
      <c r="A179" s="1" t="s">
        <v>547</v>
      </c>
      <c r="B179" s="1" t="s">
        <v>546</v>
      </c>
      <c r="C179" s="13" t="s">
        <v>545</v>
      </c>
      <c r="D179" s="15"/>
      <c r="E179" s="17"/>
      <c r="F179" s="3"/>
      <c r="G179" s="14"/>
      <c r="H179" s="16"/>
      <c r="I179" s="11">
        <v>46221</v>
      </c>
      <c r="J179" s="4">
        <v>17</v>
      </c>
      <c r="K179" s="18">
        <f>(F179-(0)+0-(J179*Ventas!AE176*1))</f>
        <v>0</v>
      </c>
      <c r="L179" s="3"/>
      <c r="M179" s="22">
        <f t="shared" si="70"/>
        <v>0</v>
      </c>
      <c r="N179" s="14"/>
      <c r="O179" s="25">
        <f t="shared" si="52"/>
        <v>0</v>
      </c>
      <c r="P179" s="16"/>
      <c r="Q179" s="12">
        <f t="shared" si="53"/>
        <v>0</v>
      </c>
      <c r="R179" s="5">
        <v>0</v>
      </c>
      <c r="S179" s="24">
        <v>0</v>
      </c>
      <c r="T179" s="26">
        <v>0</v>
      </c>
      <c r="U179" s="18">
        <f t="shared" si="54"/>
        <v>0</v>
      </c>
      <c r="V179" s="22">
        <f t="shared" si="55"/>
        <v>0</v>
      </c>
      <c r="W179" s="25">
        <f t="shared" si="56"/>
        <v>0</v>
      </c>
      <c r="X179" s="3"/>
      <c r="Y179" s="14"/>
      <c r="Z179" s="14"/>
      <c r="AA179" s="18">
        <v>8</v>
      </c>
      <c r="AB179" s="21">
        <v>1.1065E-2</v>
      </c>
      <c r="AC179" s="11">
        <v>46313</v>
      </c>
      <c r="AD179" s="4">
        <v>92</v>
      </c>
      <c r="AE179" s="18">
        <f>(IF(K179&gt;0,K179+R179,R179)-(AD179*Ventas!AE176*1.0489))</f>
        <v>0</v>
      </c>
      <c r="AF179" s="3"/>
      <c r="AG179" s="22">
        <f t="shared" si="71"/>
        <v>0</v>
      </c>
      <c r="AH179" s="14"/>
      <c r="AI179" s="25">
        <f t="shared" si="57"/>
        <v>0</v>
      </c>
      <c r="AJ179" s="16"/>
      <c r="AK179" s="12">
        <f t="shared" si="58"/>
        <v>0</v>
      </c>
      <c r="AL179" s="19">
        <f t="shared" si="59"/>
        <v>0</v>
      </c>
      <c r="AM179" s="18">
        <f>(180*(Ventas!AE176*0.9644) - IF(AE179&gt;0,AE179,0))</f>
        <v>0</v>
      </c>
      <c r="AN179" s="18">
        <f t="shared" si="74"/>
        <v>0</v>
      </c>
      <c r="AO179" s="14"/>
      <c r="AP179" s="14">
        <f t="shared" si="73"/>
        <v>0</v>
      </c>
      <c r="AQ179" s="16">
        <f t="shared" si="60"/>
        <v>0</v>
      </c>
      <c r="AR179" s="37">
        <f>_xlfn.XLOOKUP(C179,[1]Hoja2!$C$6:$C$24,[1]Hoja2!$D$6:$D$24,0,2,1)</f>
        <v>0</v>
      </c>
      <c r="AS179" s="18">
        <f t="shared" si="61"/>
        <v>0</v>
      </c>
      <c r="AT179" s="14"/>
      <c r="AU179" s="37">
        <f>_xlfn.XLOOKUP(D179,[1]Hoja2!$E$6:$E$24,[1]Hoja2!$F$6:$F$24,0,2,1)</f>
        <v>0</v>
      </c>
      <c r="AV179" s="3">
        <v>0</v>
      </c>
      <c r="AW179" s="3"/>
      <c r="AX179" s="14">
        <v>0</v>
      </c>
      <c r="AY179" s="14"/>
      <c r="AZ179" s="16">
        <f>_xlfn.XLOOKUP(C179,[2]PI!$B$15:$B$99,[2]PI!$L$15:$L$99,0,2,1)</f>
        <v>0</v>
      </c>
      <c r="BA179" s="16">
        <f>_xlfn.XLOOKUP(D179,[2]PI!$B$15:$B$99,[2]PI!$L$15:$L$99,0,2,1)</f>
        <v>0</v>
      </c>
      <c r="BB179" s="3"/>
      <c r="BC179" s="3"/>
      <c r="BD179" s="14"/>
      <c r="BE179" s="14"/>
      <c r="BF179" s="16"/>
      <c r="BG179" s="16"/>
      <c r="BH179" s="12">
        <f t="shared" si="62"/>
        <v>0</v>
      </c>
      <c r="BI179" s="19">
        <f t="shared" si="63"/>
        <v>0</v>
      </c>
      <c r="BJ179" s="1" t="s">
        <v>35</v>
      </c>
      <c r="BK179">
        <f t="shared" si="64"/>
        <v>0</v>
      </c>
      <c r="BL179">
        <f t="shared" si="65"/>
        <v>0</v>
      </c>
    </row>
    <row r="180" spans="1:64" x14ac:dyDescent="0.25">
      <c r="A180" s="1" t="s">
        <v>550</v>
      </c>
      <c r="B180" s="1" t="s">
        <v>549</v>
      </c>
      <c r="C180" s="13" t="s">
        <v>548</v>
      </c>
      <c r="D180" s="15"/>
      <c r="E180" s="17"/>
      <c r="F180" s="5">
        <v>1</v>
      </c>
      <c r="G180" s="14"/>
      <c r="H180" s="16"/>
      <c r="I180" s="11">
        <v>46221</v>
      </c>
      <c r="J180" s="4">
        <v>17</v>
      </c>
      <c r="K180" s="18">
        <f>(F180-(0)+0-(J180*Ventas!AE177*1))</f>
        <v>1</v>
      </c>
      <c r="L180" s="3"/>
      <c r="M180" s="22">
        <f t="shared" si="70"/>
        <v>0</v>
      </c>
      <c r="N180" s="14"/>
      <c r="O180" s="25">
        <f t="shared" si="52"/>
        <v>0</v>
      </c>
      <c r="P180" s="16"/>
      <c r="Q180" s="12">
        <f t="shared" si="53"/>
        <v>1</v>
      </c>
      <c r="R180" s="5">
        <v>0</v>
      </c>
      <c r="S180" s="24">
        <v>0</v>
      </c>
      <c r="T180" s="26">
        <v>0</v>
      </c>
      <c r="U180" s="18">
        <f t="shared" si="54"/>
        <v>1</v>
      </c>
      <c r="V180" s="22">
        <f t="shared" si="55"/>
        <v>0</v>
      </c>
      <c r="W180" s="25">
        <f t="shared" si="56"/>
        <v>0</v>
      </c>
      <c r="X180" s="3"/>
      <c r="Y180" s="14"/>
      <c r="Z180" s="14"/>
      <c r="AA180" s="18">
        <v>8</v>
      </c>
      <c r="AB180" s="21">
        <v>1.1065E-2</v>
      </c>
      <c r="AC180" s="11">
        <v>46313</v>
      </c>
      <c r="AD180" s="4">
        <v>92</v>
      </c>
      <c r="AE180" s="18">
        <f>(IF(K180&gt;0,K180+R180,R180)-(AD180*Ventas!AE177*1.0489))</f>
        <v>1</v>
      </c>
      <c r="AF180" s="3"/>
      <c r="AG180" s="22">
        <f t="shared" si="71"/>
        <v>0</v>
      </c>
      <c r="AH180" s="14"/>
      <c r="AI180" s="25">
        <f t="shared" si="57"/>
        <v>0</v>
      </c>
      <c r="AJ180" s="16"/>
      <c r="AK180" s="12">
        <f t="shared" si="58"/>
        <v>1</v>
      </c>
      <c r="AL180" s="19">
        <f t="shared" si="59"/>
        <v>0</v>
      </c>
      <c r="AM180" s="18">
        <f>(180*(Ventas!AE177*0.9644) - IF(AE180&gt;0,AE180,0))</f>
        <v>-1</v>
      </c>
      <c r="AN180" s="18">
        <f t="shared" si="74"/>
        <v>0</v>
      </c>
      <c r="AO180" s="14"/>
      <c r="AP180" s="14">
        <f t="shared" si="73"/>
        <v>0</v>
      </c>
      <c r="AQ180" s="16">
        <f t="shared" si="60"/>
        <v>0</v>
      </c>
      <c r="AR180" s="37">
        <f>_xlfn.XLOOKUP(C180,[1]Hoja2!$C$6:$C$24,[1]Hoja2!$D$6:$D$24,0,2,1)</f>
        <v>0</v>
      </c>
      <c r="AS180" s="18">
        <f t="shared" si="61"/>
        <v>1</v>
      </c>
      <c r="AT180" s="14"/>
      <c r="AU180" s="37">
        <f>_xlfn.XLOOKUP(D180,[1]Hoja2!$E$6:$E$24,[1]Hoja2!$F$6:$F$24,0,2,1)</f>
        <v>0</v>
      </c>
      <c r="AV180" s="3">
        <v>0</v>
      </c>
      <c r="AW180" s="3"/>
      <c r="AX180" s="14">
        <v>0</v>
      </c>
      <c r="AY180" s="14"/>
      <c r="AZ180" s="16">
        <f>_xlfn.XLOOKUP(C180,[2]PI!$B$15:$B$99,[2]PI!$L$15:$L$99,0,2,1)</f>
        <v>0</v>
      </c>
      <c r="BA180" s="16">
        <f>_xlfn.XLOOKUP(D180,[2]PI!$B$15:$B$99,[2]PI!$L$15:$L$99,0,2,1)</f>
        <v>0</v>
      </c>
      <c r="BB180" s="3"/>
      <c r="BC180" s="3"/>
      <c r="BD180" s="14"/>
      <c r="BE180" s="14"/>
      <c r="BF180" s="16"/>
      <c r="BG180" s="16"/>
      <c r="BH180" s="12">
        <f t="shared" si="62"/>
        <v>0</v>
      </c>
      <c r="BI180" s="19">
        <f t="shared" si="63"/>
        <v>0</v>
      </c>
      <c r="BJ180" s="1" t="s">
        <v>51</v>
      </c>
      <c r="BK180">
        <f t="shared" si="64"/>
        <v>0</v>
      </c>
      <c r="BL180">
        <f t="shared" si="65"/>
        <v>0</v>
      </c>
    </row>
    <row r="181" spans="1:64" x14ac:dyDescent="0.25">
      <c r="A181" s="1" t="s">
        <v>553</v>
      </c>
      <c r="B181" s="1" t="s">
        <v>552</v>
      </c>
      <c r="C181" s="13" t="s">
        <v>551</v>
      </c>
      <c r="D181" s="15"/>
      <c r="E181" s="17"/>
      <c r="F181" s="3"/>
      <c r="G181" s="14"/>
      <c r="H181" s="16"/>
      <c r="I181" s="11">
        <v>46221</v>
      </c>
      <c r="J181" s="4">
        <v>17</v>
      </c>
      <c r="K181" s="18">
        <f>(F181-(0)+0-(J181*Ventas!AE178*1))</f>
        <v>0</v>
      </c>
      <c r="L181" s="3"/>
      <c r="M181" s="22">
        <f t="shared" si="70"/>
        <v>0</v>
      </c>
      <c r="N181" s="14"/>
      <c r="O181" s="25">
        <f t="shared" si="52"/>
        <v>0</v>
      </c>
      <c r="P181" s="16"/>
      <c r="Q181" s="12">
        <f t="shared" si="53"/>
        <v>0</v>
      </c>
      <c r="R181" s="5">
        <v>0</v>
      </c>
      <c r="S181" s="24">
        <v>0</v>
      </c>
      <c r="T181" s="26">
        <v>0</v>
      </c>
      <c r="U181" s="18">
        <f t="shared" si="54"/>
        <v>0</v>
      </c>
      <c r="V181" s="22">
        <f t="shared" si="55"/>
        <v>0</v>
      </c>
      <c r="W181" s="25">
        <f t="shared" si="56"/>
        <v>0</v>
      </c>
      <c r="X181" s="3"/>
      <c r="Y181" s="14"/>
      <c r="Z181" s="14"/>
      <c r="AA181" s="3"/>
      <c r="AB181" s="3"/>
      <c r="AC181" s="11">
        <v>46313</v>
      </c>
      <c r="AD181" s="4">
        <v>92</v>
      </c>
      <c r="AE181" s="18">
        <f>(IF(K181&gt;0,K181+R181,R181)-(AD181*Ventas!AE178*1.0489))</f>
        <v>0</v>
      </c>
      <c r="AF181" s="3"/>
      <c r="AG181" s="22">
        <f t="shared" si="71"/>
        <v>0</v>
      </c>
      <c r="AH181" s="14"/>
      <c r="AI181" s="25">
        <f t="shared" si="57"/>
        <v>0</v>
      </c>
      <c r="AJ181" s="16"/>
      <c r="AK181" s="12">
        <f t="shared" si="58"/>
        <v>0</v>
      </c>
      <c r="AL181" s="19">
        <f t="shared" si="59"/>
        <v>0</v>
      </c>
      <c r="AM181" s="18">
        <f>(180*(Ventas!AE178*0.9644) - IF(AE181&gt;0,AE181,0))</f>
        <v>0</v>
      </c>
      <c r="AN181" s="18">
        <f t="shared" si="74"/>
        <v>0</v>
      </c>
      <c r="AO181" s="14"/>
      <c r="AP181" s="14">
        <f t="shared" si="73"/>
        <v>0</v>
      </c>
      <c r="AQ181" s="16">
        <f t="shared" si="60"/>
        <v>0</v>
      </c>
      <c r="AR181" s="37">
        <f>_xlfn.XLOOKUP(C181,[1]Hoja2!$C$6:$C$24,[1]Hoja2!$D$6:$D$24,0,2,1)</f>
        <v>0</v>
      </c>
      <c r="AS181" s="18">
        <f t="shared" si="61"/>
        <v>0</v>
      </c>
      <c r="AT181" s="14"/>
      <c r="AU181" s="37">
        <f>_xlfn.XLOOKUP(D181,[1]Hoja2!$E$6:$E$24,[1]Hoja2!$F$6:$F$24,0,2,1)</f>
        <v>0</v>
      </c>
      <c r="AV181" s="3">
        <v>0</v>
      </c>
      <c r="AW181" s="3"/>
      <c r="AX181" s="14">
        <v>0</v>
      </c>
      <c r="AY181" s="14"/>
      <c r="AZ181" s="16">
        <f>_xlfn.XLOOKUP(C181,[2]PI!$B$15:$B$99,[2]PI!$L$15:$L$99,0,2,1)</f>
        <v>0</v>
      </c>
      <c r="BA181" s="16">
        <f>_xlfn.XLOOKUP(D181,[2]PI!$B$15:$B$99,[2]PI!$L$15:$L$99,0,2,1)</f>
        <v>0</v>
      </c>
      <c r="BB181" s="3"/>
      <c r="BC181" s="3"/>
      <c r="BD181" s="14"/>
      <c r="BE181" s="14"/>
      <c r="BF181" s="16"/>
      <c r="BG181" s="16"/>
      <c r="BH181" s="12">
        <f t="shared" si="62"/>
        <v>0</v>
      </c>
      <c r="BI181" s="19">
        <f t="shared" si="63"/>
        <v>0</v>
      </c>
      <c r="BJ181" s="1" t="s">
        <v>51</v>
      </c>
      <c r="BK181">
        <f t="shared" si="64"/>
        <v>0</v>
      </c>
      <c r="BL181">
        <f t="shared" si="65"/>
        <v>0</v>
      </c>
    </row>
    <row r="182" spans="1:64" x14ac:dyDescent="0.25">
      <c r="A182" s="1" t="s">
        <v>556</v>
      </c>
      <c r="B182" s="1" t="s">
        <v>555</v>
      </c>
      <c r="C182" s="13" t="s">
        <v>554</v>
      </c>
      <c r="D182" s="15"/>
      <c r="E182" s="17"/>
      <c r="F182" s="3"/>
      <c r="G182" s="14"/>
      <c r="H182" s="16"/>
      <c r="I182" s="11">
        <v>46221</v>
      </c>
      <c r="J182" s="4">
        <v>17</v>
      </c>
      <c r="K182" s="18">
        <f>(F182-(0)+0-(J182*Ventas!AE179*1))</f>
        <v>0</v>
      </c>
      <c r="L182" s="3"/>
      <c r="M182" s="22">
        <f t="shared" si="70"/>
        <v>0</v>
      </c>
      <c r="N182" s="14"/>
      <c r="O182" s="25">
        <f t="shared" si="52"/>
        <v>0</v>
      </c>
      <c r="P182" s="16"/>
      <c r="Q182" s="12">
        <f t="shared" si="53"/>
        <v>0</v>
      </c>
      <c r="R182" s="5">
        <v>0</v>
      </c>
      <c r="S182" s="24">
        <v>0</v>
      </c>
      <c r="T182" s="26">
        <v>0</v>
      </c>
      <c r="U182" s="18">
        <f t="shared" si="54"/>
        <v>0</v>
      </c>
      <c r="V182" s="22">
        <f t="shared" si="55"/>
        <v>0</v>
      </c>
      <c r="W182" s="25">
        <f t="shared" si="56"/>
        <v>0</v>
      </c>
      <c r="X182" s="3"/>
      <c r="Y182" s="14"/>
      <c r="Z182" s="14"/>
      <c r="AA182" s="3"/>
      <c r="AB182" s="3"/>
      <c r="AC182" s="11">
        <v>46313</v>
      </c>
      <c r="AD182" s="4">
        <v>92</v>
      </c>
      <c r="AE182" s="18">
        <f>(IF(K182&gt;0,K182+R182,R182)-(AD182*Ventas!AE179*1.0489))</f>
        <v>0</v>
      </c>
      <c r="AF182" s="3"/>
      <c r="AG182" s="22">
        <f t="shared" si="71"/>
        <v>0</v>
      </c>
      <c r="AH182" s="14"/>
      <c r="AI182" s="25">
        <f t="shared" si="57"/>
        <v>0</v>
      </c>
      <c r="AJ182" s="16"/>
      <c r="AK182" s="12">
        <f t="shared" si="58"/>
        <v>0</v>
      </c>
      <c r="AL182" s="19">
        <f t="shared" si="59"/>
        <v>0</v>
      </c>
      <c r="AM182" s="18">
        <f>(180*(Ventas!AE179*0.9644) - IF(AE182&gt;0,AE182,0))</f>
        <v>0</v>
      </c>
      <c r="AN182" s="18">
        <f t="shared" si="74"/>
        <v>0</v>
      </c>
      <c r="AO182" s="14"/>
      <c r="AP182" s="14">
        <f t="shared" si="73"/>
        <v>0</v>
      </c>
      <c r="AQ182" s="16">
        <f t="shared" si="60"/>
        <v>0</v>
      </c>
      <c r="AR182" s="37">
        <f>_xlfn.XLOOKUP(C182,[1]Hoja2!$C$6:$C$24,[1]Hoja2!$D$6:$D$24,0,2,1)</f>
        <v>0</v>
      </c>
      <c r="AS182" s="18">
        <f t="shared" si="61"/>
        <v>0</v>
      </c>
      <c r="AT182" s="14"/>
      <c r="AU182" s="37">
        <f>_xlfn.XLOOKUP(D182,[1]Hoja2!$E$6:$E$24,[1]Hoja2!$F$6:$F$24,0,2,1)</f>
        <v>0</v>
      </c>
      <c r="AV182" s="3">
        <v>0</v>
      </c>
      <c r="AW182" s="3"/>
      <c r="AX182" s="14">
        <v>0</v>
      </c>
      <c r="AY182" s="14"/>
      <c r="AZ182" s="16">
        <f>_xlfn.XLOOKUP(C182,[2]PI!$B$15:$B$99,[2]PI!$L$15:$L$99,0,2,1)</f>
        <v>0</v>
      </c>
      <c r="BA182" s="16">
        <f>_xlfn.XLOOKUP(D182,[2]PI!$B$15:$B$99,[2]PI!$L$15:$L$99,0,2,1)</f>
        <v>0</v>
      </c>
      <c r="BB182" s="3"/>
      <c r="BC182" s="3"/>
      <c r="BD182" s="14"/>
      <c r="BE182" s="14"/>
      <c r="BF182" s="16"/>
      <c r="BG182" s="16"/>
      <c r="BH182" s="12">
        <f t="shared" si="62"/>
        <v>0</v>
      </c>
      <c r="BI182" s="19">
        <f t="shared" si="63"/>
        <v>0</v>
      </c>
      <c r="BJ182" s="1" t="s">
        <v>51</v>
      </c>
      <c r="BK182">
        <f t="shared" si="64"/>
        <v>0</v>
      </c>
      <c r="BL182">
        <f t="shared" si="65"/>
        <v>0</v>
      </c>
    </row>
    <row r="183" spans="1:64" x14ac:dyDescent="0.25">
      <c r="A183" s="1" t="s">
        <v>559</v>
      </c>
      <c r="B183" s="1" t="s">
        <v>558</v>
      </c>
      <c r="C183" s="13" t="s">
        <v>557</v>
      </c>
      <c r="D183" s="15"/>
      <c r="E183" s="17"/>
      <c r="F183" s="3"/>
      <c r="G183" s="14"/>
      <c r="H183" s="16"/>
      <c r="I183" s="11">
        <v>46221</v>
      </c>
      <c r="J183" s="4">
        <v>17</v>
      </c>
      <c r="K183" s="18">
        <f>(F183-(0)+0-(J183*Ventas!AE180*1))</f>
        <v>0</v>
      </c>
      <c r="L183" s="3"/>
      <c r="M183" s="22">
        <f t="shared" si="70"/>
        <v>0</v>
      </c>
      <c r="N183" s="14"/>
      <c r="O183" s="25">
        <f t="shared" si="52"/>
        <v>0</v>
      </c>
      <c r="P183" s="16"/>
      <c r="Q183" s="12">
        <f t="shared" si="53"/>
        <v>0</v>
      </c>
      <c r="R183" s="5">
        <v>0</v>
      </c>
      <c r="S183" s="24">
        <v>0</v>
      </c>
      <c r="T183" s="26">
        <v>0</v>
      </c>
      <c r="U183" s="18">
        <f t="shared" si="54"/>
        <v>0</v>
      </c>
      <c r="V183" s="22">
        <f t="shared" si="55"/>
        <v>0</v>
      </c>
      <c r="W183" s="25">
        <f t="shared" si="56"/>
        <v>0</v>
      </c>
      <c r="X183" s="3"/>
      <c r="Y183" s="14"/>
      <c r="Z183" s="14"/>
      <c r="AA183" s="18">
        <v>6</v>
      </c>
      <c r="AB183" s="21">
        <v>1.5716999999999998E-2</v>
      </c>
      <c r="AC183" s="11">
        <v>46313</v>
      </c>
      <c r="AD183" s="4">
        <v>92</v>
      </c>
      <c r="AE183" s="18">
        <f>(IF(K183&gt;0,K183+R183,R183)-(AD183*Ventas!AE180*1.0489))</f>
        <v>0</v>
      </c>
      <c r="AF183" s="3"/>
      <c r="AG183" s="22">
        <f t="shared" si="71"/>
        <v>0</v>
      </c>
      <c r="AH183" s="14"/>
      <c r="AI183" s="25">
        <f t="shared" si="57"/>
        <v>0</v>
      </c>
      <c r="AJ183" s="16"/>
      <c r="AK183" s="12">
        <f t="shared" si="58"/>
        <v>0</v>
      </c>
      <c r="AL183" s="19">
        <f t="shared" si="59"/>
        <v>0</v>
      </c>
      <c r="AM183" s="18">
        <f>(180*(Ventas!AE180*0.9644) - IF(AE183&gt;0,AE183,0))</f>
        <v>0</v>
      </c>
      <c r="AN183" s="18">
        <f t="shared" si="74"/>
        <v>0</v>
      </c>
      <c r="AO183" s="14"/>
      <c r="AP183" s="14">
        <f t="shared" si="73"/>
        <v>0</v>
      </c>
      <c r="AQ183" s="16">
        <f t="shared" si="60"/>
        <v>0</v>
      </c>
      <c r="AR183" s="37">
        <f>_xlfn.XLOOKUP(C183,[1]Hoja2!$C$6:$C$24,[1]Hoja2!$D$6:$D$24,0,2,1)</f>
        <v>0</v>
      </c>
      <c r="AS183" s="18">
        <f t="shared" si="61"/>
        <v>0</v>
      </c>
      <c r="AT183" s="14"/>
      <c r="AU183" s="37">
        <f>_xlfn.XLOOKUP(D183,[1]Hoja2!$E$6:$E$24,[1]Hoja2!$F$6:$F$24,0,2,1)</f>
        <v>0</v>
      </c>
      <c r="AV183" s="3">
        <v>0</v>
      </c>
      <c r="AW183" s="3"/>
      <c r="AX183" s="14">
        <v>0</v>
      </c>
      <c r="AY183" s="14"/>
      <c r="AZ183" s="16">
        <f>_xlfn.XLOOKUP(C183,[2]PI!$B$15:$B$99,[2]PI!$L$15:$L$99,0,2,1)</f>
        <v>0</v>
      </c>
      <c r="BA183" s="16">
        <f>_xlfn.XLOOKUP(D183,[2]PI!$B$15:$B$99,[2]PI!$L$15:$L$99,0,2,1)</f>
        <v>0</v>
      </c>
      <c r="BB183" s="3"/>
      <c r="BC183" s="3"/>
      <c r="BD183" s="14"/>
      <c r="BE183" s="14"/>
      <c r="BF183" s="16"/>
      <c r="BG183" s="16"/>
      <c r="BH183" s="12">
        <f t="shared" si="62"/>
        <v>0</v>
      </c>
      <c r="BI183" s="19">
        <f t="shared" si="63"/>
        <v>0</v>
      </c>
      <c r="BJ183" s="1" t="s">
        <v>51</v>
      </c>
      <c r="BK183">
        <f t="shared" si="64"/>
        <v>0</v>
      </c>
      <c r="BL183">
        <f t="shared" si="65"/>
        <v>0</v>
      </c>
    </row>
    <row r="184" spans="1:64" x14ac:dyDescent="0.25">
      <c r="A184" s="1" t="s">
        <v>562</v>
      </c>
      <c r="B184" s="1" t="s">
        <v>561</v>
      </c>
      <c r="C184" s="13" t="s">
        <v>560</v>
      </c>
      <c r="D184" s="15"/>
      <c r="E184" s="17"/>
      <c r="F184" s="5">
        <v>9</v>
      </c>
      <c r="G184" s="14"/>
      <c r="H184" s="16"/>
      <c r="I184" s="11">
        <v>46221</v>
      </c>
      <c r="J184" s="4">
        <v>17</v>
      </c>
      <c r="K184" s="18">
        <f>(F184-(0)+0-(J184*Ventas!AE181*1))</f>
        <v>9</v>
      </c>
      <c r="L184" s="3"/>
      <c r="M184" s="22">
        <f t="shared" si="70"/>
        <v>0</v>
      </c>
      <c r="N184" s="14"/>
      <c r="O184" s="25">
        <f t="shared" si="52"/>
        <v>0</v>
      </c>
      <c r="P184" s="16"/>
      <c r="Q184" s="12">
        <f t="shared" si="53"/>
        <v>9</v>
      </c>
      <c r="R184" s="5">
        <v>0</v>
      </c>
      <c r="S184" s="24">
        <v>0</v>
      </c>
      <c r="T184" s="26">
        <v>0</v>
      </c>
      <c r="U184" s="18">
        <f t="shared" si="54"/>
        <v>9</v>
      </c>
      <c r="V184" s="22">
        <f t="shared" si="55"/>
        <v>0</v>
      </c>
      <c r="W184" s="25">
        <f t="shared" si="56"/>
        <v>0</v>
      </c>
      <c r="X184" s="3"/>
      <c r="Y184" s="14"/>
      <c r="Z184" s="14"/>
      <c r="AA184" s="3"/>
      <c r="AB184" s="3"/>
      <c r="AC184" s="11">
        <v>46313</v>
      </c>
      <c r="AD184" s="4">
        <v>92</v>
      </c>
      <c r="AE184" s="18">
        <f>(IF(K184&gt;0,K184+R184,R184)-(AD184*Ventas!AE181*1.0489))</f>
        <v>9</v>
      </c>
      <c r="AF184" s="3"/>
      <c r="AG184" s="22">
        <f t="shared" si="71"/>
        <v>0</v>
      </c>
      <c r="AH184" s="14"/>
      <c r="AI184" s="25">
        <f t="shared" si="57"/>
        <v>0</v>
      </c>
      <c r="AJ184" s="16"/>
      <c r="AK184" s="12">
        <f t="shared" si="58"/>
        <v>9</v>
      </c>
      <c r="AL184" s="19">
        <f t="shared" si="59"/>
        <v>0</v>
      </c>
      <c r="AM184" s="18">
        <f>(180*(Ventas!AE181*0.9644) - IF(AE184&gt;0,AE184,0))</f>
        <v>-9</v>
      </c>
      <c r="AN184" s="18">
        <f t="shared" si="74"/>
        <v>0</v>
      </c>
      <c r="AO184" s="14"/>
      <c r="AP184" s="14">
        <f t="shared" si="73"/>
        <v>0</v>
      </c>
      <c r="AQ184" s="16">
        <f t="shared" si="60"/>
        <v>0</v>
      </c>
      <c r="AR184" s="37">
        <f>_xlfn.XLOOKUP(C184,[1]Hoja2!$C$6:$C$24,[1]Hoja2!$D$6:$D$24,0,2,1)</f>
        <v>0</v>
      </c>
      <c r="AS184" s="18">
        <f t="shared" si="61"/>
        <v>9</v>
      </c>
      <c r="AT184" s="14"/>
      <c r="AU184" s="37">
        <f>_xlfn.XLOOKUP(D184,[1]Hoja2!$E$6:$E$24,[1]Hoja2!$F$6:$F$24,0,2,1)</f>
        <v>0</v>
      </c>
      <c r="AV184" s="27">
        <v>0</v>
      </c>
      <c r="AW184" s="5">
        <v>3006</v>
      </c>
      <c r="AX184" s="14">
        <v>0</v>
      </c>
      <c r="AY184" s="14"/>
      <c r="AZ184" s="16">
        <f>_xlfn.XLOOKUP(C184,[2]PI!$B$15:$B$99,[2]PI!$L$15:$L$99,0,2,1)</f>
        <v>0</v>
      </c>
      <c r="BA184" s="16">
        <f>_xlfn.XLOOKUP(D184,[2]PI!$B$15:$B$99,[2]PI!$L$15:$L$99,0,2,1)</f>
        <v>0</v>
      </c>
      <c r="BB184" s="3"/>
      <c r="BC184" s="3"/>
      <c r="BD184" s="14"/>
      <c r="BE184" s="14"/>
      <c r="BF184" s="16"/>
      <c r="BG184" s="16"/>
      <c r="BH184" s="12">
        <f t="shared" si="62"/>
        <v>0</v>
      </c>
      <c r="BI184" s="19">
        <f t="shared" si="63"/>
        <v>0</v>
      </c>
      <c r="BJ184" s="1" t="s">
        <v>51</v>
      </c>
      <c r="BK184">
        <f t="shared" si="64"/>
        <v>0</v>
      </c>
      <c r="BL184">
        <f t="shared" si="65"/>
        <v>0</v>
      </c>
    </row>
    <row r="185" spans="1:64" x14ac:dyDescent="0.25">
      <c r="A185" s="1" t="s">
        <v>565</v>
      </c>
      <c r="B185" s="1" t="s">
        <v>564</v>
      </c>
      <c r="C185" s="13" t="s">
        <v>563</v>
      </c>
      <c r="D185" s="15"/>
      <c r="E185" s="17"/>
      <c r="F185" s="5">
        <v>9</v>
      </c>
      <c r="G185" s="14"/>
      <c r="H185" s="16"/>
      <c r="I185" s="11">
        <v>46221</v>
      </c>
      <c r="J185" s="4">
        <v>17</v>
      </c>
      <c r="K185" s="18">
        <f>(F185-(0)+0-(J185*Ventas!AE182*1))</f>
        <v>9</v>
      </c>
      <c r="L185" s="3"/>
      <c r="M185" s="22">
        <f t="shared" si="70"/>
        <v>0</v>
      </c>
      <c r="N185" s="14"/>
      <c r="O185" s="25">
        <f t="shared" si="52"/>
        <v>0</v>
      </c>
      <c r="P185" s="16"/>
      <c r="Q185" s="12">
        <f t="shared" si="53"/>
        <v>9</v>
      </c>
      <c r="R185" s="5">
        <v>0</v>
      </c>
      <c r="S185" s="24">
        <v>0</v>
      </c>
      <c r="T185" s="26">
        <v>0</v>
      </c>
      <c r="U185" s="18">
        <f t="shared" si="54"/>
        <v>9</v>
      </c>
      <c r="V185" s="22">
        <f t="shared" si="55"/>
        <v>0</v>
      </c>
      <c r="W185" s="25">
        <f t="shared" si="56"/>
        <v>0</v>
      </c>
      <c r="X185" s="3"/>
      <c r="Y185" s="14"/>
      <c r="Z185" s="14"/>
      <c r="AA185" s="3"/>
      <c r="AB185" s="3"/>
      <c r="AC185" s="11">
        <v>46313</v>
      </c>
      <c r="AD185" s="4">
        <v>92</v>
      </c>
      <c r="AE185" s="18">
        <f>(IF(K185&gt;0,K185+R185,R185)-(AD185*Ventas!AE182*1.0489))</f>
        <v>9</v>
      </c>
      <c r="AF185" s="3"/>
      <c r="AG185" s="22">
        <f t="shared" si="71"/>
        <v>0</v>
      </c>
      <c r="AH185" s="14"/>
      <c r="AI185" s="25">
        <f t="shared" si="57"/>
        <v>0</v>
      </c>
      <c r="AJ185" s="16"/>
      <c r="AK185" s="12">
        <f t="shared" si="58"/>
        <v>9</v>
      </c>
      <c r="AL185" s="19">
        <f t="shared" si="59"/>
        <v>0</v>
      </c>
      <c r="AM185" s="18">
        <f>(180*(Ventas!AE182*0.9644) - IF(AE185&gt;0,AE185,0))</f>
        <v>-9</v>
      </c>
      <c r="AN185" s="18">
        <f t="shared" si="74"/>
        <v>0</v>
      </c>
      <c r="AO185" s="14"/>
      <c r="AP185" s="14">
        <f t="shared" si="73"/>
        <v>0</v>
      </c>
      <c r="AQ185" s="16">
        <f t="shared" si="60"/>
        <v>0</v>
      </c>
      <c r="AR185" s="37">
        <f>_xlfn.XLOOKUP(C185,[1]Hoja2!$C$6:$C$24,[1]Hoja2!$D$6:$D$24,0,2,1)</f>
        <v>0</v>
      </c>
      <c r="AS185" s="18">
        <f t="shared" si="61"/>
        <v>9</v>
      </c>
      <c r="AT185" s="14"/>
      <c r="AU185" s="37">
        <f>_xlfn.XLOOKUP(D185,[1]Hoja2!$E$6:$E$24,[1]Hoja2!$F$6:$F$24,0,2,1)</f>
        <v>0</v>
      </c>
      <c r="AV185" s="27">
        <v>0</v>
      </c>
      <c r="AW185" s="5">
        <v>3006</v>
      </c>
      <c r="AX185" s="14">
        <v>0</v>
      </c>
      <c r="AY185" s="14"/>
      <c r="AZ185" s="16">
        <f>_xlfn.XLOOKUP(C185,[2]PI!$B$15:$B$99,[2]PI!$L$15:$L$99,0,2,1)</f>
        <v>0</v>
      </c>
      <c r="BA185" s="16">
        <f>_xlfn.XLOOKUP(D185,[2]PI!$B$15:$B$99,[2]PI!$L$15:$L$99,0,2,1)</f>
        <v>0</v>
      </c>
      <c r="BB185" s="3"/>
      <c r="BC185" s="3"/>
      <c r="BD185" s="14"/>
      <c r="BE185" s="14"/>
      <c r="BF185" s="16"/>
      <c r="BG185" s="16"/>
      <c r="BH185" s="12">
        <f t="shared" si="62"/>
        <v>0</v>
      </c>
      <c r="BI185" s="19">
        <f t="shared" si="63"/>
        <v>0</v>
      </c>
      <c r="BJ185" s="1" t="s">
        <v>51</v>
      </c>
      <c r="BK185">
        <f t="shared" si="64"/>
        <v>0</v>
      </c>
      <c r="BL185">
        <f t="shared" si="65"/>
        <v>0</v>
      </c>
    </row>
    <row r="186" spans="1:64" x14ac:dyDescent="0.25">
      <c r="A186" s="1" t="s">
        <v>568</v>
      </c>
      <c r="B186" s="1" t="s">
        <v>567</v>
      </c>
      <c r="C186" s="13" t="s">
        <v>566</v>
      </c>
      <c r="D186" s="15"/>
      <c r="E186" s="17"/>
      <c r="F186" s="5">
        <v>9</v>
      </c>
      <c r="G186" s="14"/>
      <c r="H186" s="16"/>
      <c r="I186" s="11">
        <v>46221</v>
      </c>
      <c r="J186" s="4">
        <v>17</v>
      </c>
      <c r="K186" s="18">
        <f>(F186-(0)+0-(J186*Ventas!AE183*1))</f>
        <v>9</v>
      </c>
      <c r="L186" s="3"/>
      <c r="M186" s="22">
        <f t="shared" si="70"/>
        <v>0</v>
      </c>
      <c r="N186" s="14"/>
      <c r="O186" s="25">
        <f t="shared" si="52"/>
        <v>0</v>
      </c>
      <c r="P186" s="16"/>
      <c r="Q186" s="12">
        <f t="shared" si="53"/>
        <v>9</v>
      </c>
      <c r="R186" s="5">
        <v>0</v>
      </c>
      <c r="S186" s="24">
        <v>0</v>
      </c>
      <c r="T186" s="26">
        <v>0</v>
      </c>
      <c r="U186" s="18">
        <f t="shared" si="54"/>
        <v>9</v>
      </c>
      <c r="V186" s="22">
        <f t="shared" si="55"/>
        <v>0</v>
      </c>
      <c r="W186" s="25">
        <f t="shared" si="56"/>
        <v>0</v>
      </c>
      <c r="X186" s="3"/>
      <c r="Y186" s="14"/>
      <c r="Z186" s="14"/>
      <c r="AA186" s="3"/>
      <c r="AB186" s="3"/>
      <c r="AC186" s="11">
        <v>46313</v>
      </c>
      <c r="AD186" s="4">
        <v>92</v>
      </c>
      <c r="AE186" s="18">
        <f>(IF(K186&gt;0,K186+R186,R186)-(AD186*Ventas!AE183*1.0489))</f>
        <v>9</v>
      </c>
      <c r="AF186" s="3"/>
      <c r="AG186" s="22">
        <f t="shared" si="71"/>
        <v>0</v>
      </c>
      <c r="AH186" s="14"/>
      <c r="AI186" s="25">
        <f t="shared" si="57"/>
        <v>0</v>
      </c>
      <c r="AJ186" s="16"/>
      <c r="AK186" s="12">
        <f t="shared" si="58"/>
        <v>9</v>
      </c>
      <c r="AL186" s="19">
        <f t="shared" si="59"/>
        <v>0</v>
      </c>
      <c r="AM186" s="18">
        <f>(180*(Ventas!AE183*0.9644) - IF(AE186&gt;0,AE186,0))</f>
        <v>-9</v>
      </c>
      <c r="AN186" s="18">
        <f t="shared" si="74"/>
        <v>0</v>
      </c>
      <c r="AO186" s="14"/>
      <c r="AP186" s="14">
        <f t="shared" si="73"/>
        <v>0</v>
      </c>
      <c r="AQ186" s="16">
        <f t="shared" si="60"/>
        <v>0</v>
      </c>
      <c r="AR186" s="37">
        <f>_xlfn.XLOOKUP(C186,[1]Hoja2!$C$6:$C$24,[1]Hoja2!$D$6:$D$24,0,2,1)</f>
        <v>0</v>
      </c>
      <c r="AS186" s="18">
        <f t="shared" si="61"/>
        <v>9</v>
      </c>
      <c r="AT186" s="14"/>
      <c r="AU186" s="37">
        <f>_xlfn.XLOOKUP(D186,[1]Hoja2!$E$6:$E$24,[1]Hoja2!$F$6:$F$24,0,2,1)</f>
        <v>0</v>
      </c>
      <c r="AV186" s="27">
        <v>0</v>
      </c>
      <c r="AW186" s="5">
        <v>3006</v>
      </c>
      <c r="AX186" s="14">
        <v>0</v>
      </c>
      <c r="AY186" s="14"/>
      <c r="AZ186" s="16">
        <f>_xlfn.XLOOKUP(C186,[2]PI!$B$15:$B$99,[2]PI!$L$15:$L$99,0,2,1)</f>
        <v>0</v>
      </c>
      <c r="BA186" s="16">
        <f>_xlfn.XLOOKUP(D186,[2]PI!$B$15:$B$99,[2]PI!$L$15:$L$99,0,2,1)</f>
        <v>0</v>
      </c>
      <c r="BB186" s="3"/>
      <c r="BC186" s="3"/>
      <c r="BD186" s="14"/>
      <c r="BE186" s="14"/>
      <c r="BF186" s="16"/>
      <c r="BG186" s="16"/>
      <c r="BH186" s="12">
        <f t="shared" si="62"/>
        <v>0</v>
      </c>
      <c r="BI186" s="19">
        <f t="shared" si="63"/>
        <v>0</v>
      </c>
      <c r="BJ186" s="1" t="s">
        <v>35</v>
      </c>
      <c r="BK186">
        <f t="shared" si="64"/>
        <v>0</v>
      </c>
      <c r="BL186">
        <f t="shared" si="65"/>
        <v>0</v>
      </c>
    </row>
    <row r="187" spans="1:64" x14ac:dyDescent="0.25">
      <c r="A187" s="1" t="s">
        <v>571</v>
      </c>
      <c r="B187" s="1" t="s">
        <v>570</v>
      </c>
      <c r="C187" s="13" t="s">
        <v>569</v>
      </c>
      <c r="D187" s="15"/>
      <c r="E187" s="17"/>
      <c r="F187" s="5">
        <v>8</v>
      </c>
      <c r="G187" s="14"/>
      <c r="H187" s="16"/>
      <c r="I187" s="11">
        <v>46221</v>
      </c>
      <c r="J187" s="4">
        <v>17</v>
      </c>
      <c r="K187" s="18">
        <f>(F187-(0)+0-(J187*Ventas!AE184*1))</f>
        <v>8</v>
      </c>
      <c r="L187" s="3"/>
      <c r="M187" s="22">
        <f t="shared" si="70"/>
        <v>0</v>
      </c>
      <c r="N187" s="14"/>
      <c r="O187" s="25">
        <f t="shared" si="52"/>
        <v>0</v>
      </c>
      <c r="P187" s="16"/>
      <c r="Q187" s="12">
        <f t="shared" si="53"/>
        <v>8</v>
      </c>
      <c r="R187" s="5">
        <v>0</v>
      </c>
      <c r="S187" s="24">
        <v>0</v>
      </c>
      <c r="T187" s="26">
        <v>0</v>
      </c>
      <c r="U187" s="18">
        <f t="shared" si="54"/>
        <v>8</v>
      </c>
      <c r="V187" s="22">
        <f t="shared" si="55"/>
        <v>0</v>
      </c>
      <c r="W187" s="25">
        <f t="shared" si="56"/>
        <v>0</v>
      </c>
      <c r="X187" s="3"/>
      <c r="Y187" s="14"/>
      <c r="Z187" s="14"/>
      <c r="AA187" s="3"/>
      <c r="AB187" s="3"/>
      <c r="AC187" s="11">
        <v>46313</v>
      </c>
      <c r="AD187" s="4">
        <v>92</v>
      </c>
      <c r="AE187" s="18">
        <f>(IF(K187&gt;0,K187+R187,R187)-(AD187*Ventas!AE184*1.0489))</f>
        <v>8</v>
      </c>
      <c r="AF187" s="3"/>
      <c r="AG187" s="22">
        <f t="shared" si="71"/>
        <v>0</v>
      </c>
      <c r="AH187" s="14"/>
      <c r="AI187" s="25">
        <f t="shared" si="57"/>
        <v>0</v>
      </c>
      <c r="AJ187" s="16"/>
      <c r="AK187" s="12">
        <f t="shared" si="58"/>
        <v>8</v>
      </c>
      <c r="AL187" s="19">
        <f t="shared" si="59"/>
        <v>0</v>
      </c>
      <c r="AM187" s="18">
        <f>(180*(Ventas!AE184*0.9644) - IF(AE187&gt;0,AE187,0))</f>
        <v>-8</v>
      </c>
      <c r="AN187" s="18">
        <f t="shared" si="74"/>
        <v>0</v>
      </c>
      <c r="AO187" s="14"/>
      <c r="AP187" s="14">
        <f t="shared" si="73"/>
        <v>0</v>
      </c>
      <c r="AQ187" s="16">
        <f t="shared" si="60"/>
        <v>0</v>
      </c>
      <c r="AR187" s="37">
        <f>_xlfn.XLOOKUP(C187,[1]Hoja2!$C$6:$C$24,[1]Hoja2!$D$6:$D$24,0,2,1)</f>
        <v>0</v>
      </c>
      <c r="AS187" s="18">
        <f t="shared" si="61"/>
        <v>8</v>
      </c>
      <c r="AT187" s="14"/>
      <c r="AU187" s="37">
        <f>_xlfn.XLOOKUP(D187,[1]Hoja2!$E$6:$E$24,[1]Hoja2!$F$6:$F$24,0,2,1)</f>
        <v>0</v>
      </c>
      <c r="AV187" s="27">
        <v>0</v>
      </c>
      <c r="AW187" s="5">
        <v>3006</v>
      </c>
      <c r="AX187" s="14">
        <v>0</v>
      </c>
      <c r="AY187" s="14"/>
      <c r="AZ187" s="16">
        <f>_xlfn.XLOOKUP(C187,[2]PI!$B$15:$B$99,[2]PI!$L$15:$L$99,0,2,1)</f>
        <v>0</v>
      </c>
      <c r="BA187" s="16">
        <f>_xlfn.XLOOKUP(D187,[2]PI!$B$15:$B$99,[2]PI!$L$15:$L$99,0,2,1)</f>
        <v>0</v>
      </c>
      <c r="BB187" s="3"/>
      <c r="BC187" s="3"/>
      <c r="BD187" s="14"/>
      <c r="BE187" s="14"/>
      <c r="BF187" s="16"/>
      <c r="BG187" s="16"/>
      <c r="BH187" s="12">
        <f t="shared" si="62"/>
        <v>0</v>
      </c>
      <c r="BI187" s="19">
        <f t="shared" si="63"/>
        <v>0</v>
      </c>
      <c r="BJ187" s="1" t="s">
        <v>51</v>
      </c>
      <c r="BK187">
        <f t="shared" si="64"/>
        <v>0</v>
      </c>
      <c r="BL187">
        <f t="shared" si="65"/>
        <v>0</v>
      </c>
    </row>
    <row r="188" spans="1:64" x14ac:dyDescent="0.25">
      <c r="A188" s="1" t="s">
        <v>574</v>
      </c>
      <c r="B188" s="1" t="s">
        <v>573</v>
      </c>
      <c r="C188" s="13" t="s">
        <v>572</v>
      </c>
      <c r="D188" s="15"/>
      <c r="E188" s="17"/>
      <c r="F188" s="3"/>
      <c r="G188" s="14"/>
      <c r="H188" s="16"/>
      <c r="I188" s="11">
        <v>46221</v>
      </c>
      <c r="J188" s="4">
        <v>17</v>
      </c>
      <c r="K188" s="18">
        <f>(F188-(0)+0-(J188*Ventas!AE185*1))</f>
        <v>0</v>
      </c>
      <c r="L188" s="3"/>
      <c r="M188" s="22">
        <f t="shared" si="70"/>
        <v>0</v>
      </c>
      <c r="N188" s="14"/>
      <c r="O188" s="25">
        <f t="shared" si="52"/>
        <v>0</v>
      </c>
      <c r="P188" s="16"/>
      <c r="Q188" s="12">
        <f t="shared" si="53"/>
        <v>0</v>
      </c>
      <c r="R188" s="5">
        <v>0</v>
      </c>
      <c r="S188" s="24">
        <v>0</v>
      </c>
      <c r="T188" s="26">
        <v>0</v>
      </c>
      <c r="U188" s="18">
        <f t="shared" si="54"/>
        <v>0</v>
      </c>
      <c r="V188" s="22">
        <f t="shared" si="55"/>
        <v>0</v>
      </c>
      <c r="W188" s="25">
        <f t="shared" si="56"/>
        <v>0</v>
      </c>
      <c r="X188" s="3"/>
      <c r="Y188" s="14"/>
      <c r="Z188" s="14"/>
      <c r="AA188" s="18">
        <v>4</v>
      </c>
      <c r="AB188" s="21">
        <v>2.2742999999999999E-2</v>
      </c>
      <c r="AC188" s="11">
        <v>46313</v>
      </c>
      <c r="AD188" s="4">
        <v>92</v>
      </c>
      <c r="AE188" s="18">
        <f>(IF(K188&gt;0,K188+R188,R188)-(AD188*Ventas!AE185*1.0489))</f>
        <v>0</v>
      </c>
      <c r="AF188" s="3"/>
      <c r="AG188" s="22">
        <f t="shared" si="71"/>
        <v>0</v>
      </c>
      <c r="AH188" s="14"/>
      <c r="AI188" s="25">
        <f t="shared" si="57"/>
        <v>0</v>
      </c>
      <c r="AJ188" s="16"/>
      <c r="AK188" s="12">
        <f t="shared" si="58"/>
        <v>0</v>
      </c>
      <c r="AL188" s="19">
        <f t="shared" si="59"/>
        <v>0</v>
      </c>
      <c r="AM188" s="18">
        <f>(180*(Ventas!AE185*0.9644) - IF(AE188&gt;0,AE188,0))</f>
        <v>0</v>
      </c>
      <c r="AN188" s="18">
        <f t="shared" si="74"/>
        <v>0</v>
      </c>
      <c r="AO188" s="14"/>
      <c r="AP188" s="14">
        <f t="shared" si="73"/>
        <v>0</v>
      </c>
      <c r="AQ188" s="16">
        <f t="shared" si="60"/>
        <v>0</v>
      </c>
      <c r="AR188" s="37">
        <f>_xlfn.XLOOKUP(C188,[1]Hoja2!$C$6:$C$24,[1]Hoja2!$D$6:$D$24,0,2,1)</f>
        <v>0</v>
      </c>
      <c r="AS188" s="18">
        <f t="shared" si="61"/>
        <v>0</v>
      </c>
      <c r="AT188" s="14"/>
      <c r="AU188" s="37">
        <f>_xlfn.XLOOKUP(D188,[1]Hoja2!$E$6:$E$24,[1]Hoja2!$F$6:$F$24,0,2,1)</f>
        <v>0</v>
      </c>
      <c r="AV188" s="3">
        <v>0</v>
      </c>
      <c r="AW188" s="3"/>
      <c r="AX188" s="14">
        <v>0</v>
      </c>
      <c r="AY188" s="14"/>
      <c r="AZ188" s="16">
        <f>_xlfn.XLOOKUP(C188,[2]PI!$B$15:$B$99,[2]PI!$L$15:$L$99,0,2,1)</f>
        <v>0</v>
      </c>
      <c r="BA188" s="16">
        <f>_xlfn.XLOOKUP(D188,[2]PI!$B$15:$B$99,[2]PI!$L$15:$L$99,0,2,1)</f>
        <v>0</v>
      </c>
      <c r="BB188" s="3"/>
      <c r="BC188" s="3"/>
      <c r="BD188" s="14"/>
      <c r="BE188" s="14"/>
      <c r="BF188" s="16"/>
      <c r="BG188" s="16"/>
      <c r="BH188" s="12">
        <f t="shared" si="62"/>
        <v>0</v>
      </c>
      <c r="BI188" s="19">
        <f t="shared" si="63"/>
        <v>0</v>
      </c>
      <c r="BJ188" s="1" t="s">
        <v>35</v>
      </c>
      <c r="BK188">
        <f t="shared" si="64"/>
        <v>0</v>
      </c>
      <c r="BL188">
        <f t="shared" si="65"/>
        <v>0</v>
      </c>
    </row>
    <row r="189" spans="1:64" x14ac:dyDescent="0.25">
      <c r="A189" s="1" t="s">
        <v>577</v>
      </c>
      <c r="B189" s="1" t="s">
        <v>576</v>
      </c>
      <c r="C189" s="13" t="s">
        <v>575</v>
      </c>
      <c r="D189" s="15"/>
      <c r="E189" s="17"/>
      <c r="F189" s="3"/>
      <c r="G189" s="14"/>
      <c r="H189" s="16"/>
      <c r="I189" s="11">
        <v>46221</v>
      </c>
      <c r="J189" s="4">
        <v>17</v>
      </c>
      <c r="K189" s="18">
        <f>(F189-(0)+0-(J189*Ventas!AE186*1))</f>
        <v>0</v>
      </c>
      <c r="L189" s="3"/>
      <c r="M189" s="22">
        <f t="shared" si="70"/>
        <v>0</v>
      </c>
      <c r="N189" s="14"/>
      <c r="O189" s="25">
        <f t="shared" si="52"/>
        <v>0</v>
      </c>
      <c r="P189" s="16"/>
      <c r="Q189" s="12">
        <f t="shared" si="53"/>
        <v>0</v>
      </c>
      <c r="R189" s="5">
        <v>0</v>
      </c>
      <c r="S189" s="24">
        <v>0</v>
      </c>
      <c r="T189" s="26">
        <v>0</v>
      </c>
      <c r="U189" s="18">
        <f t="shared" si="54"/>
        <v>0</v>
      </c>
      <c r="V189" s="22">
        <f t="shared" si="55"/>
        <v>0</v>
      </c>
      <c r="W189" s="25">
        <f t="shared" si="56"/>
        <v>0</v>
      </c>
      <c r="X189" s="3"/>
      <c r="Y189" s="14"/>
      <c r="Z189" s="14"/>
      <c r="AA189" s="18">
        <v>10</v>
      </c>
      <c r="AB189" s="21">
        <v>6.6360000000000004E-3</v>
      </c>
      <c r="AC189" s="11">
        <v>46313</v>
      </c>
      <c r="AD189" s="4">
        <v>92</v>
      </c>
      <c r="AE189" s="18">
        <f>(IF(K189&gt;0,K189+R189,R189)-(AD189*Ventas!AE186*1.0489))</f>
        <v>0</v>
      </c>
      <c r="AF189" s="3"/>
      <c r="AG189" s="22">
        <f t="shared" si="71"/>
        <v>0</v>
      </c>
      <c r="AH189" s="14"/>
      <c r="AI189" s="25">
        <f t="shared" si="57"/>
        <v>0</v>
      </c>
      <c r="AJ189" s="16"/>
      <c r="AK189" s="12">
        <f t="shared" si="58"/>
        <v>0</v>
      </c>
      <c r="AL189" s="19">
        <f t="shared" si="59"/>
        <v>0</v>
      </c>
      <c r="AM189" s="18">
        <f>(180*(Ventas!AE186*0.9644) - IF(AE189&gt;0,AE189,0))</f>
        <v>0</v>
      </c>
      <c r="AN189" s="18">
        <f t="shared" si="74"/>
        <v>0</v>
      </c>
      <c r="AO189" s="14"/>
      <c r="AP189" s="14">
        <f t="shared" si="73"/>
        <v>0</v>
      </c>
      <c r="AQ189" s="16">
        <f t="shared" si="60"/>
        <v>0</v>
      </c>
      <c r="AR189" s="37">
        <f>_xlfn.XLOOKUP(C189,[1]Hoja2!$C$6:$C$24,[1]Hoja2!$D$6:$D$24,0,2,1)</f>
        <v>0</v>
      </c>
      <c r="AS189" s="18">
        <f t="shared" si="61"/>
        <v>0</v>
      </c>
      <c r="AT189" s="14"/>
      <c r="AU189" s="37">
        <f>_xlfn.XLOOKUP(D189,[1]Hoja2!$E$6:$E$24,[1]Hoja2!$F$6:$F$24,0,2,1)</f>
        <v>0</v>
      </c>
      <c r="AV189" s="3">
        <v>0</v>
      </c>
      <c r="AW189" s="3"/>
      <c r="AX189" s="14">
        <v>0</v>
      </c>
      <c r="AY189" s="14"/>
      <c r="AZ189" s="16">
        <f>_xlfn.XLOOKUP(C189,[2]PI!$B$15:$B$99,[2]PI!$L$15:$L$99,0,2,1)</f>
        <v>0</v>
      </c>
      <c r="BA189" s="16">
        <f>_xlfn.XLOOKUP(D189,[2]PI!$B$15:$B$99,[2]PI!$L$15:$L$99,0,2,1)</f>
        <v>0</v>
      </c>
      <c r="BB189" s="3"/>
      <c r="BC189" s="3"/>
      <c r="BD189" s="14"/>
      <c r="BE189" s="14"/>
      <c r="BF189" s="16"/>
      <c r="BG189" s="16"/>
      <c r="BH189" s="12">
        <f t="shared" si="62"/>
        <v>0</v>
      </c>
      <c r="BI189" s="19">
        <f t="shared" si="63"/>
        <v>0</v>
      </c>
      <c r="BJ189" s="1" t="s">
        <v>51</v>
      </c>
      <c r="BK189">
        <f t="shared" si="64"/>
        <v>0</v>
      </c>
      <c r="BL189">
        <f t="shared" si="65"/>
        <v>0</v>
      </c>
    </row>
    <row r="190" spans="1:64" x14ac:dyDescent="0.25">
      <c r="A190" s="1" t="s">
        <v>580</v>
      </c>
      <c r="B190" s="1" t="s">
        <v>579</v>
      </c>
      <c r="C190" s="13" t="s">
        <v>578</v>
      </c>
      <c r="D190" s="15"/>
      <c r="E190" s="17"/>
      <c r="F190" s="5">
        <v>18</v>
      </c>
      <c r="G190" s="14"/>
      <c r="H190" s="16"/>
      <c r="I190" s="11">
        <v>46221</v>
      </c>
      <c r="J190" s="4">
        <v>17</v>
      </c>
      <c r="K190" s="18">
        <f>(F190-(0)+0-(J190*Ventas!AE187*1))</f>
        <v>17.5138</v>
      </c>
      <c r="L190" s="20">
        <f>(K190/(Ventas!AE187*1)/80)</f>
        <v>7.6546328671328663</v>
      </c>
      <c r="M190" s="22">
        <f t="shared" si="70"/>
        <v>0</v>
      </c>
      <c r="N190" s="14"/>
      <c r="O190" s="25">
        <f t="shared" si="52"/>
        <v>0</v>
      </c>
      <c r="P190" s="16"/>
      <c r="Q190" s="12">
        <f t="shared" si="53"/>
        <v>17.5138</v>
      </c>
      <c r="R190" s="5">
        <v>0</v>
      </c>
      <c r="S190" s="24">
        <v>0</v>
      </c>
      <c r="T190" s="26">
        <v>0</v>
      </c>
      <c r="U190" s="18">
        <f t="shared" si="54"/>
        <v>17.5138</v>
      </c>
      <c r="V190" s="22">
        <f t="shared" si="55"/>
        <v>0</v>
      </c>
      <c r="W190" s="25">
        <f t="shared" si="56"/>
        <v>0</v>
      </c>
      <c r="X190" s="3"/>
      <c r="Y190" s="14"/>
      <c r="Z190" s="14"/>
      <c r="AA190" s="18">
        <v>25</v>
      </c>
      <c r="AB190" s="21">
        <v>3.0539999999999999E-3</v>
      </c>
      <c r="AC190" s="11">
        <v>46313</v>
      </c>
      <c r="AD190" s="4">
        <v>92</v>
      </c>
      <c r="AE190" s="18">
        <f>(IF(K190&gt;0,K190+R190,R190)-(AD190*Ventas!AE187*1.0489))</f>
        <v>14.753934319999999</v>
      </c>
      <c r="AF190" s="20">
        <f>(AE190/(Ventas!AE187*1.0489)/80)</f>
        <v>6.1477718248954769</v>
      </c>
      <c r="AG190" s="22">
        <f t="shared" si="71"/>
        <v>0</v>
      </c>
      <c r="AH190" s="14"/>
      <c r="AI190" s="25">
        <f t="shared" si="57"/>
        <v>0</v>
      </c>
      <c r="AJ190" s="16"/>
      <c r="AK190" s="12">
        <f t="shared" si="58"/>
        <v>14.753934319999999</v>
      </c>
      <c r="AL190" s="19">
        <f t="shared" si="59"/>
        <v>5.3793003467835421</v>
      </c>
      <c r="AM190" s="18">
        <f>(180*(Ventas!AE187*0.9644) - IF(AE190&gt;0,AE190,0))</f>
        <v>-9.789203119999998</v>
      </c>
      <c r="AN190" s="18">
        <f t="shared" si="74"/>
        <v>0</v>
      </c>
      <c r="AO190" s="14"/>
      <c r="AP190" s="14">
        <f t="shared" si="73"/>
        <v>0</v>
      </c>
      <c r="AQ190" s="16">
        <f t="shared" si="60"/>
        <v>0</v>
      </c>
      <c r="AR190" s="37">
        <f>_xlfn.XLOOKUP(C190,[1]Hoja2!$C$6:$C$24,[1]Hoja2!$D$6:$D$24,0,2,1)</f>
        <v>0</v>
      </c>
      <c r="AS190" s="18">
        <f t="shared" si="61"/>
        <v>14.753934319999999</v>
      </c>
      <c r="AT190" s="14"/>
      <c r="AU190" s="37">
        <f>_xlfn.XLOOKUP(D190,[1]Hoja2!$E$6:$E$24,[1]Hoja2!$F$6:$F$24,0,2,1)</f>
        <v>0</v>
      </c>
      <c r="AV190" s="27">
        <v>0</v>
      </c>
      <c r="AW190" s="5">
        <v>3016</v>
      </c>
      <c r="AX190" s="14">
        <v>0</v>
      </c>
      <c r="AY190" s="14"/>
      <c r="AZ190" s="16">
        <f>_xlfn.XLOOKUP(C190,[2]PI!$B$15:$B$99,[2]PI!$L$15:$L$99,0,2,1)</f>
        <v>0</v>
      </c>
      <c r="BA190" s="16">
        <f>_xlfn.XLOOKUP(D190,[2]PI!$B$15:$B$99,[2]PI!$L$15:$L$99,0,2,1)</f>
        <v>0</v>
      </c>
      <c r="BB190" s="18">
        <f>(AS190-(90*Ventas!AE187*0.9644))</f>
        <v>12.271568719999998</v>
      </c>
      <c r="BC190" s="20">
        <f>(BB190/(Ventas!AE187*0.9644)/80)</f>
        <v>5.5614349514028056</v>
      </c>
      <c r="BD190" s="14"/>
      <c r="BE190" s="14"/>
      <c r="BF190" s="16"/>
      <c r="BG190" s="16"/>
      <c r="BH190" s="12">
        <f t="shared" si="62"/>
        <v>12.271568719999998</v>
      </c>
      <c r="BI190" s="19">
        <f t="shared" si="63"/>
        <v>4.8662555824774554</v>
      </c>
      <c r="BJ190" s="1" t="s">
        <v>35</v>
      </c>
      <c r="BK190">
        <f t="shared" si="64"/>
        <v>0</v>
      </c>
      <c r="BL190">
        <f t="shared" si="65"/>
        <v>0</v>
      </c>
    </row>
    <row r="191" spans="1:64" x14ac:dyDescent="0.25">
      <c r="A191" s="1" t="s">
        <v>583</v>
      </c>
      <c r="B191" s="1" t="s">
        <v>582</v>
      </c>
      <c r="C191" s="13" t="s">
        <v>581</v>
      </c>
      <c r="D191" s="15"/>
      <c r="E191" s="17"/>
      <c r="F191" s="3"/>
      <c r="G191" s="14"/>
      <c r="H191" s="16"/>
      <c r="I191" s="11">
        <v>46221</v>
      </c>
      <c r="J191" s="4">
        <v>17</v>
      </c>
      <c r="K191" s="18">
        <f>(F191-(0)+0-(J191*Ventas!AE188*1))</f>
        <v>0</v>
      </c>
      <c r="L191" s="3"/>
      <c r="M191" s="22">
        <f t="shared" si="70"/>
        <v>0</v>
      </c>
      <c r="N191" s="14"/>
      <c r="O191" s="25">
        <f t="shared" si="52"/>
        <v>0</v>
      </c>
      <c r="P191" s="16"/>
      <c r="Q191" s="12">
        <f t="shared" si="53"/>
        <v>0</v>
      </c>
      <c r="R191" s="5">
        <v>0</v>
      </c>
      <c r="S191" s="24">
        <v>0</v>
      </c>
      <c r="T191" s="26">
        <v>0</v>
      </c>
      <c r="U191" s="18">
        <f t="shared" si="54"/>
        <v>0</v>
      </c>
      <c r="V191" s="22">
        <f t="shared" si="55"/>
        <v>0</v>
      </c>
      <c r="W191" s="25">
        <f t="shared" si="56"/>
        <v>0</v>
      </c>
      <c r="X191" s="3"/>
      <c r="Y191" s="14"/>
      <c r="Z191" s="14"/>
      <c r="AA191" s="18">
        <v>6</v>
      </c>
      <c r="AB191" s="21">
        <v>1.5716999999999998E-2</v>
      </c>
      <c r="AC191" s="11">
        <v>46313</v>
      </c>
      <c r="AD191" s="4">
        <v>92</v>
      </c>
      <c r="AE191" s="18">
        <f>(IF(K191&gt;0,K191+R191,R191)-(AD191*Ventas!AE188*1.0489))</f>
        <v>0</v>
      </c>
      <c r="AF191" s="3"/>
      <c r="AG191" s="22">
        <f t="shared" si="71"/>
        <v>0</v>
      </c>
      <c r="AH191" s="14"/>
      <c r="AI191" s="25">
        <f t="shared" si="57"/>
        <v>0</v>
      </c>
      <c r="AJ191" s="16"/>
      <c r="AK191" s="12">
        <f t="shared" si="58"/>
        <v>0</v>
      </c>
      <c r="AL191" s="19">
        <f t="shared" si="59"/>
        <v>0</v>
      </c>
      <c r="AM191" s="18">
        <f>(180*(Ventas!AE188*0.9644) - IF(AE191&gt;0,AE191,0))</f>
        <v>0</v>
      </c>
      <c r="AN191" s="18">
        <f t="shared" si="74"/>
        <v>0</v>
      </c>
      <c r="AO191" s="14"/>
      <c r="AP191" s="14">
        <f t="shared" si="73"/>
        <v>0</v>
      </c>
      <c r="AQ191" s="16">
        <f t="shared" si="60"/>
        <v>0</v>
      </c>
      <c r="AR191" s="37">
        <f>_xlfn.XLOOKUP(C191,[1]Hoja2!$C$6:$C$24,[1]Hoja2!$D$6:$D$24,0,2,1)</f>
        <v>0</v>
      </c>
      <c r="AS191" s="18">
        <f t="shared" si="61"/>
        <v>0</v>
      </c>
      <c r="AT191" s="14"/>
      <c r="AU191" s="37">
        <f>_xlfn.XLOOKUP(D191,[1]Hoja2!$E$6:$E$24,[1]Hoja2!$F$6:$F$24,0,2,1)</f>
        <v>0</v>
      </c>
      <c r="AV191" s="27">
        <v>0</v>
      </c>
      <c r="AW191" s="5">
        <v>3006</v>
      </c>
      <c r="AX191" s="14">
        <v>0</v>
      </c>
      <c r="AY191" s="14"/>
      <c r="AZ191" s="16">
        <f>_xlfn.XLOOKUP(C191,[2]PI!$B$15:$B$99,[2]PI!$L$15:$L$99,0,2,1)</f>
        <v>0</v>
      </c>
      <c r="BA191" s="16">
        <f>_xlfn.XLOOKUP(D191,[2]PI!$B$15:$B$99,[2]PI!$L$15:$L$99,0,2,1)</f>
        <v>0</v>
      </c>
      <c r="BB191" s="3"/>
      <c r="BC191" s="3"/>
      <c r="BD191" s="14"/>
      <c r="BE191" s="14"/>
      <c r="BF191" s="16"/>
      <c r="BG191" s="16"/>
      <c r="BH191" s="12">
        <f t="shared" si="62"/>
        <v>0</v>
      </c>
      <c r="BI191" s="19">
        <f t="shared" si="63"/>
        <v>0</v>
      </c>
      <c r="BJ191" s="1" t="s">
        <v>51</v>
      </c>
      <c r="BK191">
        <f t="shared" si="64"/>
        <v>0</v>
      </c>
      <c r="BL191">
        <f t="shared" si="65"/>
        <v>0</v>
      </c>
    </row>
    <row r="192" spans="1:64" x14ac:dyDescent="0.25">
      <c r="A192" s="1" t="s">
        <v>586</v>
      </c>
      <c r="B192" s="1" t="s">
        <v>585</v>
      </c>
      <c r="C192" s="13" t="s">
        <v>584</v>
      </c>
      <c r="D192" s="15"/>
      <c r="E192" s="17"/>
      <c r="F192" s="3"/>
      <c r="G192" s="14"/>
      <c r="H192" s="16"/>
      <c r="I192" s="11">
        <v>46221</v>
      </c>
      <c r="J192" s="4">
        <v>17</v>
      </c>
      <c r="K192" s="18">
        <f>(F192-(0)+0-(J192*Ventas!AE189*1))</f>
        <v>0</v>
      </c>
      <c r="L192" s="3"/>
      <c r="M192" s="22">
        <f t="shared" si="70"/>
        <v>0</v>
      </c>
      <c r="N192" s="14"/>
      <c r="O192" s="25">
        <f t="shared" si="52"/>
        <v>0</v>
      </c>
      <c r="P192" s="16"/>
      <c r="Q192" s="12">
        <f t="shared" si="53"/>
        <v>0</v>
      </c>
      <c r="R192" s="5">
        <v>0</v>
      </c>
      <c r="S192" s="24">
        <v>0</v>
      </c>
      <c r="T192" s="26">
        <v>0</v>
      </c>
      <c r="U192" s="18">
        <f t="shared" si="54"/>
        <v>0</v>
      </c>
      <c r="V192" s="22">
        <f t="shared" si="55"/>
        <v>0</v>
      </c>
      <c r="W192" s="25">
        <f t="shared" si="56"/>
        <v>0</v>
      </c>
      <c r="X192" s="3"/>
      <c r="Y192" s="14"/>
      <c r="Z192" s="14"/>
      <c r="AA192" s="18">
        <v>12</v>
      </c>
      <c r="AB192" s="21">
        <v>8.1810000000000008E-3</v>
      </c>
      <c r="AC192" s="11">
        <v>46313</v>
      </c>
      <c r="AD192" s="4">
        <v>92</v>
      </c>
      <c r="AE192" s="18">
        <f>(IF(K192&gt;0,K192+R192,R192)-(AD192*Ventas!AE189*1.0489))</f>
        <v>0</v>
      </c>
      <c r="AF192" s="3"/>
      <c r="AG192" s="22">
        <f t="shared" si="71"/>
        <v>0</v>
      </c>
      <c r="AH192" s="14"/>
      <c r="AI192" s="25">
        <f t="shared" si="57"/>
        <v>0</v>
      </c>
      <c r="AJ192" s="16"/>
      <c r="AK192" s="12">
        <f t="shared" si="58"/>
        <v>0</v>
      </c>
      <c r="AL192" s="19">
        <f t="shared" si="59"/>
        <v>0</v>
      </c>
      <c r="AM192" s="18">
        <f>(180*(Ventas!AE189*0.9644) - IF(AE192&gt;0,AE192,0))</f>
        <v>0</v>
      </c>
      <c r="AN192" s="18">
        <f t="shared" si="74"/>
        <v>0</v>
      </c>
      <c r="AO192" s="14"/>
      <c r="AP192" s="14">
        <f t="shared" si="73"/>
        <v>0</v>
      </c>
      <c r="AQ192" s="16">
        <f t="shared" si="60"/>
        <v>0</v>
      </c>
      <c r="AR192" s="37">
        <f>_xlfn.XLOOKUP(C192,[1]Hoja2!$C$6:$C$24,[1]Hoja2!$D$6:$D$24,0,2,1)</f>
        <v>0</v>
      </c>
      <c r="AS192" s="18">
        <f t="shared" si="61"/>
        <v>0</v>
      </c>
      <c r="AT192" s="14"/>
      <c r="AU192" s="37">
        <f>_xlfn.XLOOKUP(D192,[1]Hoja2!$E$6:$E$24,[1]Hoja2!$F$6:$F$24,0,2,1)</f>
        <v>0</v>
      </c>
      <c r="AV192" s="3">
        <v>0</v>
      </c>
      <c r="AW192" s="3"/>
      <c r="AX192" s="14">
        <v>0</v>
      </c>
      <c r="AY192" s="14"/>
      <c r="AZ192" s="16">
        <f>_xlfn.XLOOKUP(C192,[2]PI!$B$15:$B$99,[2]PI!$L$15:$L$99,0,2,1)</f>
        <v>0</v>
      </c>
      <c r="BA192" s="16">
        <f>_xlfn.XLOOKUP(D192,[2]PI!$B$15:$B$99,[2]PI!$L$15:$L$99,0,2,1)</f>
        <v>0</v>
      </c>
      <c r="BB192" s="3"/>
      <c r="BC192" s="3"/>
      <c r="BD192" s="14"/>
      <c r="BE192" s="14"/>
      <c r="BF192" s="16"/>
      <c r="BG192" s="16"/>
      <c r="BH192" s="12">
        <f t="shared" si="62"/>
        <v>0</v>
      </c>
      <c r="BI192" s="19">
        <f t="shared" si="63"/>
        <v>0</v>
      </c>
      <c r="BJ192" s="1" t="s">
        <v>51</v>
      </c>
      <c r="BK192">
        <f t="shared" si="64"/>
        <v>0</v>
      </c>
      <c r="BL192">
        <f t="shared" si="65"/>
        <v>0</v>
      </c>
    </row>
    <row r="193" spans="1:64" x14ac:dyDescent="0.25">
      <c r="A193" s="1" t="s">
        <v>589</v>
      </c>
      <c r="B193" s="1" t="s">
        <v>588</v>
      </c>
      <c r="C193" s="13" t="s">
        <v>587</v>
      </c>
      <c r="D193" s="15"/>
      <c r="E193" s="17"/>
      <c r="F193" s="5">
        <v>78</v>
      </c>
      <c r="G193" s="14"/>
      <c r="H193" s="16"/>
      <c r="I193" s="11">
        <v>46221</v>
      </c>
      <c r="J193" s="4">
        <v>17</v>
      </c>
      <c r="K193" s="18">
        <f>(F193-(0)+0-(J193*Ventas!AE190*1))</f>
        <v>74.65221428571428</v>
      </c>
      <c r="L193" s="20">
        <f>(K193/(Ventas!AE190*1)/80)</f>
        <v>4.7385337323177366</v>
      </c>
      <c r="M193" s="22">
        <f t="shared" si="70"/>
        <v>0</v>
      </c>
      <c r="N193" s="14"/>
      <c r="O193" s="25">
        <f t="shared" si="52"/>
        <v>0</v>
      </c>
      <c r="P193" s="16"/>
      <c r="Q193" s="12">
        <f t="shared" si="53"/>
        <v>74.65221428571428</v>
      </c>
      <c r="R193" s="5">
        <v>0</v>
      </c>
      <c r="S193" s="24">
        <v>0</v>
      </c>
      <c r="T193" s="26">
        <v>0</v>
      </c>
      <c r="U193" s="18">
        <f t="shared" si="54"/>
        <v>74.65221428571428</v>
      </c>
      <c r="V193" s="22">
        <f t="shared" si="55"/>
        <v>0</v>
      </c>
      <c r="W193" s="25">
        <f t="shared" si="56"/>
        <v>0</v>
      </c>
      <c r="X193" s="3"/>
      <c r="Y193" s="14"/>
      <c r="Z193" s="14"/>
      <c r="AA193" s="18">
        <v>12</v>
      </c>
      <c r="AB193" s="21">
        <v>7.136E-3</v>
      </c>
      <c r="AC193" s="11">
        <v>46313</v>
      </c>
      <c r="AD193" s="4">
        <v>92</v>
      </c>
      <c r="AE193" s="18">
        <f>(IF(K193&gt;0,K193+R193,R193)-(AD193*Ventas!AE190*1.0489))</f>
        <v>55.64884345714286</v>
      </c>
      <c r="AF193" s="20">
        <f>(AE193/(Ventas!AE190*1.0489)/80)</f>
        <v>3.3676220157476764</v>
      </c>
      <c r="AG193" s="22">
        <f t="shared" si="71"/>
        <v>0</v>
      </c>
      <c r="AH193" s="14"/>
      <c r="AI193" s="25">
        <f t="shared" si="57"/>
        <v>0</v>
      </c>
      <c r="AJ193" s="16"/>
      <c r="AK193" s="12">
        <f t="shared" si="58"/>
        <v>55.64884345714286</v>
      </c>
      <c r="AL193" s="19">
        <f t="shared" si="59"/>
        <v>2.9466692637792167</v>
      </c>
      <c r="AM193" s="18">
        <f>(180*(Ventas!AE190*0.9644) - IF(AE193&gt;0,AE193,0))</f>
        <v>-21.463618885714297</v>
      </c>
      <c r="AN193" s="38">
        <f t="shared" si="74"/>
        <v>0</v>
      </c>
      <c r="AO193" s="14"/>
      <c r="AP193" s="14">
        <f t="shared" si="73"/>
        <v>0</v>
      </c>
      <c r="AQ193" s="16">
        <f t="shared" si="60"/>
        <v>0</v>
      </c>
      <c r="AR193" s="39">
        <f>_xlfn.XLOOKUP(C193,[1]Hoja2!$C$6:$C$24,[1]Hoja2!$D$6:$D$24,0,2,1)</f>
        <v>15</v>
      </c>
      <c r="AS193" s="18">
        <f t="shared" si="61"/>
        <v>55.64884345714286</v>
      </c>
      <c r="AT193" s="14"/>
      <c r="AU193" s="37">
        <f>_xlfn.XLOOKUP(D193,[1]Hoja2!$E$6:$E$24,[1]Hoja2!$F$6:$F$24,0,2,1)</f>
        <v>0</v>
      </c>
      <c r="AV193" s="27">
        <v>4.62</v>
      </c>
      <c r="AW193" s="5">
        <v>3016</v>
      </c>
      <c r="AX193" s="14">
        <v>0</v>
      </c>
      <c r="AY193" s="14"/>
      <c r="AZ193" s="16">
        <f>_xlfn.XLOOKUP(C193,[2]PI!$B$15:$B$99,[2]PI!$L$15:$L$99,0,2,1)</f>
        <v>4.62</v>
      </c>
      <c r="BA193" s="16">
        <f>_xlfn.XLOOKUP(D193,[2]PI!$B$15:$B$99,[2]PI!$L$15:$L$99,0,2,1)</f>
        <v>0</v>
      </c>
      <c r="BB193" s="18">
        <f>(AS193-(90*Ventas!AE190*0.9644))</f>
        <v>38.556231171428578</v>
      </c>
      <c r="BC193" s="20">
        <f>(BB193/(Ventas!AE190*0.9644)/80)</f>
        <v>2.5376905146388817</v>
      </c>
      <c r="BD193" s="14"/>
      <c r="BE193" s="14"/>
      <c r="BF193" s="16"/>
      <c r="BG193" s="16"/>
      <c r="BH193" s="12">
        <f t="shared" si="62"/>
        <v>38.556231171428578</v>
      </c>
      <c r="BI193" s="19">
        <f t="shared" si="63"/>
        <v>2.2204792003090215</v>
      </c>
      <c r="BJ193" s="1" t="s">
        <v>35</v>
      </c>
      <c r="BK193">
        <f t="shared" si="64"/>
        <v>0</v>
      </c>
      <c r="BL193">
        <f t="shared" si="65"/>
        <v>0</v>
      </c>
    </row>
    <row r="194" spans="1:64" x14ac:dyDescent="0.25">
      <c r="A194" s="1" t="s">
        <v>592</v>
      </c>
      <c r="B194" s="1" t="s">
        <v>591</v>
      </c>
      <c r="C194" s="13" t="s">
        <v>590</v>
      </c>
      <c r="D194" s="29" t="s">
        <v>1639</v>
      </c>
      <c r="E194" s="17"/>
      <c r="F194" s="3"/>
      <c r="G194" s="14"/>
      <c r="H194" s="16"/>
      <c r="I194" s="11">
        <v>46221</v>
      </c>
      <c r="J194" s="4">
        <v>17</v>
      </c>
      <c r="K194" s="18">
        <f>(F194-(0)+0-(J194*Ventas!AE191*1))</f>
        <v>-2.5116285714285715</v>
      </c>
      <c r="L194" s="20">
        <f>(K194/(Ventas!AE191*1)/80)</f>
        <v>-0.21249999999999999</v>
      </c>
      <c r="M194" s="22">
        <f t="shared" si="70"/>
        <v>0</v>
      </c>
      <c r="N194" s="14"/>
      <c r="O194" s="25">
        <f t="shared" si="52"/>
        <v>0</v>
      </c>
      <c r="P194" s="16"/>
      <c r="Q194" s="12">
        <f t="shared" si="53"/>
        <v>-2.5116285714285715</v>
      </c>
      <c r="R194" s="5">
        <v>0</v>
      </c>
      <c r="S194" s="24">
        <v>0</v>
      </c>
      <c r="T194" s="26">
        <v>0</v>
      </c>
      <c r="U194" s="18">
        <f t="shared" si="54"/>
        <v>0</v>
      </c>
      <c r="V194" s="22">
        <f t="shared" si="55"/>
        <v>0</v>
      </c>
      <c r="W194" s="25">
        <f t="shared" si="56"/>
        <v>0</v>
      </c>
      <c r="X194" s="3"/>
      <c r="Y194" s="14"/>
      <c r="Z194" s="14"/>
      <c r="AA194" s="18">
        <v>10</v>
      </c>
      <c r="AB194" s="21">
        <v>1.3318E-2</v>
      </c>
      <c r="AC194" s="11">
        <v>46313</v>
      </c>
      <c r="AD194" s="4">
        <v>92</v>
      </c>
      <c r="AE194" s="18">
        <f>(IF(K194&gt;0,K194+R194,R194)-(AD194*Ventas!AE191*1.0489))</f>
        <v>-14.257008422857144</v>
      </c>
      <c r="AF194" s="20">
        <f>(AE194/(Ventas!AE191*1.0489)/80)</f>
        <v>-1.1500000000000001</v>
      </c>
      <c r="AG194" s="22">
        <f t="shared" si="71"/>
        <v>0</v>
      </c>
      <c r="AH194" s="14"/>
      <c r="AI194" s="25">
        <f t="shared" si="57"/>
        <v>0</v>
      </c>
      <c r="AJ194" s="16"/>
      <c r="AK194" s="12">
        <f t="shared" si="58"/>
        <v>-14.257008422857144</v>
      </c>
      <c r="AL194" s="19">
        <f t="shared" si="59"/>
        <v>-1.0062500000000001</v>
      </c>
      <c r="AM194" s="18">
        <f>(180*(Ventas!AE191*0.9644) - IF(AE194&gt;0,AE194,0))</f>
        <v>25.646978057142856</v>
      </c>
      <c r="AN194" s="42">
        <v>24</v>
      </c>
      <c r="AO194" s="14"/>
      <c r="AP194" s="14"/>
      <c r="AQ194" s="16">
        <f t="shared" si="60"/>
        <v>0.31963200000000003</v>
      </c>
      <c r="AR194" s="37">
        <f>_xlfn.XLOOKUP(C194,[1]Hoja2!$C$6:$C$24,[1]Hoja2!$D$6:$D$24,0,2,1)</f>
        <v>0</v>
      </c>
      <c r="AS194" s="18">
        <f t="shared" si="61"/>
        <v>24</v>
      </c>
      <c r="AT194" s="14"/>
      <c r="AU194" s="37">
        <f>_xlfn.XLOOKUP(D194,[1]Hoja2!$E$6:$E$24,[1]Hoja2!$F$6:$F$24,0,2,1)</f>
        <v>0</v>
      </c>
      <c r="AV194" s="27">
        <v>6.4</v>
      </c>
      <c r="AW194" s="5">
        <v>3016</v>
      </c>
      <c r="AX194" s="14">
        <v>0</v>
      </c>
      <c r="AY194" s="14"/>
      <c r="AZ194" s="16">
        <f>_xlfn.XLOOKUP(C194,[2]PI!$B$15:$B$99,[2]PI!$L$15:$L$99,0,2,1)</f>
        <v>6.4</v>
      </c>
      <c r="BA194" s="16">
        <f>_xlfn.XLOOKUP(D194,[2]PI!$B$15:$B$99,[2]PI!$L$15:$L$99,0,2,1)</f>
        <v>0</v>
      </c>
      <c r="BB194" s="18">
        <f>(AS194-(90*Ventas!AE191*0.9644))</f>
        <v>11.17651097142857</v>
      </c>
      <c r="BC194" s="20">
        <f>(BB194/(Ventas!AE191*0.9644)/80)</f>
        <v>0.98051121772261318</v>
      </c>
      <c r="BD194" s="14"/>
      <c r="BE194" s="14"/>
      <c r="BF194" s="16"/>
      <c r="BG194" s="16"/>
      <c r="BH194" s="12">
        <f t="shared" si="62"/>
        <v>11.17651097142857</v>
      </c>
      <c r="BI194" s="19">
        <f t="shared" si="63"/>
        <v>0.85794731550728653</v>
      </c>
      <c r="BJ194" s="1" t="s">
        <v>35</v>
      </c>
      <c r="BK194">
        <f t="shared" si="64"/>
        <v>153.60000000000002</v>
      </c>
      <c r="BL194">
        <f t="shared" si="65"/>
        <v>153.60000000000002</v>
      </c>
    </row>
    <row r="195" spans="1:64" x14ac:dyDescent="0.25">
      <c r="A195" s="1" t="s">
        <v>595</v>
      </c>
      <c r="B195" s="1" t="s">
        <v>594</v>
      </c>
      <c r="C195" s="13" t="s">
        <v>593</v>
      </c>
      <c r="D195" s="15"/>
      <c r="E195" s="17"/>
      <c r="F195" s="5">
        <v>7</v>
      </c>
      <c r="G195" s="14"/>
      <c r="H195" s="16"/>
      <c r="I195" s="11">
        <v>46221</v>
      </c>
      <c r="J195" s="4">
        <v>17</v>
      </c>
      <c r="K195" s="18">
        <f>(F195-(0)+0-(J195*Ventas!AE192*1))</f>
        <v>2.6786000000000003</v>
      </c>
      <c r="L195" s="20">
        <f>(K195/(Ventas!AE192*1)/80)</f>
        <v>0.13171715184893787</v>
      </c>
      <c r="M195" s="22">
        <f t="shared" si="70"/>
        <v>0</v>
      </c>
      <c r="N195" s="14"/>
      <c r="O195" s="25">
        <f t="shared" si="52"/>
        <v>0</v>
      </c>
      <c r="P195" s="16"/>
      <c r="Q195" s="12">
        <f t="shared" si="53"/>
        <v>2.6786000000000003</v>
      </c>
      <c r="R195" s="5">
        <v>50</v>
      </c>
      <c r="S195" s="24">
        <v>0</v>
      </c>
      <c r="T195" s="26">
        <v>0</v>
      </c>
      <c r="U195" s="18">
        <f t="shared" si="54"/>
        <v>52.678600000000003</v>
      </c>
      <c r="V195" s="22">
        <f t="shared" si="55"/>
        <v>0</v>
      </c>
      <c r="W195" s="25">
        <f t="shared" si="56"/>
        <v>0</v>
      </c>
      <c r="X195" s="18">
        <v>3.35</v>
      </c>
      <c r="Y195" s="14"/>
      <c r="Z195" s="14"/>
      <c r="AA195" s="18">
        <v>18</v>
      </c>
      <c r="AB195" s="21">
        <v>5.5659999999999998E-3</v>
      </c>
      <c r="AC195" s="11">
        <v>46313</v>
      </c>
      <c r="AD195" s="4">
        <v>92</v>
      </c>
      <c r="AE195" s="18">
        <f>(IF(K195&gt;0,K195+R195,R195)-(AD195*Ventas!AE192*1.0489))</f>
        <v>28.148605040000007</v>
      </c>
      <c r="AF195" s="20">
        <f>(AE195/(Ventas!AE192*1.0489)/80)</f>
        <v>1.3196454320021602</v>
      </c>
      <c r="AG195" s="22">
        <f t="shared" si="71"/>
        <v>0</v>
      </c>
      <c r="AH195" s="14"/>
      <c r="AI195" s="25">
        <f t="shared" si="57"/>
        <v>0</v>
      </c>
      <c r="AJ195" s="16"/>
      <c r="AK195" s="12">
        <f t="shared" si="58"/>
        <v>28.148605040000007</v>
      </c>
      <c r="AL195" s="19">
        <f t="shared" si="59"/>
        <v>1.1546897530018903</v>
      </c>
      <c r="AM195" s="18">
        <f>(180*(Ventas!AE192*0.9644) - IF(AE195&gt;0,AE195,0))</f>
        <v>15.978481359999996</v>
      </c>
      <c r="AN195" s="42">
        <v>20</v>
      </c>
      <c r="AO195" s="14"/>
      <c r="AP195" s="14">
        <f t="shared" ref="AP195:AP203" si="75">IF(AO195&gt;3,CEILING(AO195,5),0)</f>
        <v>0</v>
      </c>
      <c r="AQ195" s="16">
        <f t="shared" si="60"/>
        <v>0.11132</v>
      </c>
      <c r="AR195" s="37">
        <f>_xlfn.XLOOKUP(C195,[1]Hoja2!$C$6:$C$24,[1]Hoja2!$D$6:$D$24,0,2,1)</f>
        <v>0</v>
      </c>
      <c r="AS195" s="18">
        <f t="shared" si="61"/>
        <v>48.148605040000007</v>
      </c>
      <c r="AT195" s="14"/>
      <c r="AU195" s="37">
        <f>_xlfn.XLOOKUP(D195,[1]Hoja2!$E$6:$E$24,[1]Hoja2!$F$6:$F$24,0,2,1)</f>
        <v>0</v>
      </c>
      <c r="AV195" s="27">
        <v>3.35</v>
      </c>
      <c r="AW195" s="5">
        <v>3016</v>
      </c>
      <c r="AX195" s="14">
        <v>0</v>
      </c>
      <c r="AY195" s="14"/>
      <c r="AZ195" s="16">
        <f>_xlfn.XLOOKUP(C195,[2]PI!$B$15:$B$99,[2]PI!$L$15:$L$99,0,2,1)</f>
        <v>3.35</v>
      </c>
      <c r="BA195" s="16">
        <f>_xlfn.XLOOKUP(D195,[2]PI!$B$15:$B$99,[2]PI!$L$15:$L$99,0,2,1)</f>
        <v>0</v>
      </c>
      <c r="BB195" s="18">
        <f>(AS195-(90*Ventas!AE192*0.9644))</f>
        <v>26.085061840000005</v>
      </c>
      <c r="BC195" s="20">
        <f>(BB195/(Ventas!AE192*0.9644)/80)</f>
        <v>1.3300535777046003</v>
      </c>
      <c r="BD195" s="14"/>
      <c r="BE195" s="14"/>
      <c r="BF195" s="16"/>
      <c r="BG195" s="16"/>
      <c r="BH195" s="12">
        <f t="shared" si="62"/>
        <v>26.085061840000005</v>
      </c>
      <c r="BI195" s="19">
        <f t="shared" si="63"/>
        <v>1.1637968804915253</v>
      </c>
      <c r="BJ195" s="1" t="s">
        <v>35</v>
      </c>
      <c r="BK195">
        <f t="shared" si="64"/>
        <v>67</v>
      </c>
      <c r="BL195">
        <f t="shared" si="65"/>
        <v>67</v>
      </c>
    </row>
    <row r="196" spans="1:64" x14ac:dyDescent="0.25">
      <c r="A196" s="1" t="s">
        <v>598</v>
      </c>
      <c r="B196" s="1" t="s">
        <v>597</v>
      </c>
      <c r="C196" s="13" t="s">
        <v>596</v>
      </c>
      <c r="D196" s="15"/>
      <c r="E196" s="17"/>
      <c r="F196" s="5">
        <v>7</v>
      </c>
      <c r="G196" s="14"/>
      <c r="H196" s="16"/>
      <c r="I196" s="11">
        <v>46221</v>
      </c>
      <c r="J196" s="4">
        <v>17</v>
      </c>
      <c r="K196" s="18">
        <f>(F196-(0)+0-(J196*Ventas!AE193*1))</f>
        <v>6.9254428571428575</v>
      </c>
      <c r="L196" s="20">
        <f>(K196/(Ventas!AE193*1)/80)</f>
        <v>19.738640065146576</v>
      </c>
      <c r="M196" s="22">
        <f t="shared" si="70"/>
        <v>0</v>
      </c>
      <c r="N196" s="14"/>
      <c r="O196" s="25">
        <f t="shared" si="52"/>
        <v>0</v>
      </c>
      <c r="P196" s="16"/>
      <c r="Q196" s="12">
        <f t="shared" si="53"/>
        <v>6.9254428571428575</v>
      </c>
      <c r="R196" s="5">
        <v>0</v>
      </c>
      <c r="S196" s="24">
        <v>0</v>
      </c>
      <c r="T196" s="26">
        <v>0</v>
      </c>
      <c r="U196" s="18">
        <f t="shared" si="54"/>
        <v>6.9254428571428575</v>
      </c>
      <c r="V196" s="22">
        <f t="shared" si="55"/>
        <v>0</v>
      </c>
      <c r="W196" s="25">
        <f t="shared" si="56"/>
        <v>0</v>
      </c>
      <c r="X196" s="3"/>
      <c r="Y196" s="14"/>
      <c r="Z196" s="14"/>
      <c r="AA196" s="18">
        <v>6</v>
      </c>
      <c r="AB196" s="21">
        <v>1.5716999999999998E-2</v>
      </c>
      <c r="AC196" s="11">
        <v>46313</v>
      </c>
      <c r="AD196" s="4">
        <v>92</v>
      </c>
      <c r="AE196" s="18">
        <f>(IF(K196&gt;0,K196+R196,R196)-(AD196*Ventas!AE193*1.0489))</f>
        <v>6.5022266914285716</v>
      </c>
      <c r="AF196" s="20">
        <f>(AE196/(Ventas!AE193*1.0489)/80)</f>
        <v>17.668419358515187</v>
      </c>
      <c r="AG196" s="22">
        <f t="shared" si="71"/>
        <v>0</v>
      </c>
      <c r="AH196" s="14"/>
      <c r="AI196" s="25">
        <f t="shared" si="57"/>
        <v>0</v>
      </c>
      <c r="AJ196" s="16"/>
      <c r="AK196" s="12">
        <f t="shared" si="58"/>
        <v>6.5022266914285716</v>
      </c>
      <c r="AL196" s="19">
        <f t="shared" si="59"/>
        <v>15.459866938700788</v>
      </c>
      <c r="AM196" s="18">
        <f>(180*(Ventas!AE193*0.9644) - IF(AE196&gt;0,AE196,0))</f>
        <v>-5.7409017771428577</v>
      </c>
      <c r="AN196" s="18">
        <f>IF(AM196&gt;3,CEILING(AM196,5),0)</f>
        <v>0</v>
      </c>
      <c r="AO196" s="14"/>
      <c r="AP196" s="14">
        <f t="shared" si="75"/>
        <v>0</v>
      </c>
      <c r="AQ196" s="16">
        <f t="shared" si="60"/>
        <v>0</v>
      </c>
      <c r="AR196" s="37">
        <f>_xlfn.XLOOKUP(C196,[1]Hoja2!$C$6:$C$24,[1]Hoja2!$D$6:$D$24,0,2,1)</f>
        <v>0</v>
      </c>
      <c r="AS196" s="18">
        <f t="shared" si="61"/>
        <v>6.5022266914285716</v>
      </c>
      <c r="AT196" s="14"/>
      <c r="AU196" s="37">
        <f>_xlfn.XLOOKUP(D196,[1]Hoja2!$E$6:$E$24,[1]Hoja2!$F$6:$F$24,0,2,1)</f>
        <v>0</v>
      </c>
      <c r="AV196" s="27">
        <v>0</v>
      </c>
      <c r="AW196" s="5">
        <v>3016</v>
      </c>
      <c r="AX196" s="14">
        <v>0</v>
      </c>
      <c r="AY196" s="14"/>
      <c r="AZ196" s="16">
        <f>_xlfn.XLOOKUP(C196,[2]PI!$B$15:$B$99,[2]PI!$L$15:$L$99,0,2,1)</f>
        <v>0</v>
      </c>
      <c r="BA196" s="16">
        <f>_xlfn.XLOOKUP(D196,[2]PI!$B$15:$B$99,[2]PI!$L$15:$L$99,0,2,1)</f>
        <v>0</v>
      </c>
      <c r="BB196" s="18">
        <f>(AS196-(90*Ventas!AE193*0.9644))</f>
        <v>6.1215642342857146</v>
      </c>
      <c r="BC196" s="20">
        <f>(BB196/(Ventas!AE193*0.9644)/80)</f>
        <v>18.091512925286789</v>
      </c>
      <c r="BD196" s="14"/>
      <c r="BE196" s="14"/>
      <c r="BF196" s="16"/>
      <c r="BG196" s="16"/>
      <c r="BH196" s="12">
        <f t="shared" si="62"/>
        <v>6.1215642342857146</v>
      </c>
      <c r="BI196" s="19">
        <f t="shared" si="63"/>
        <v>15.83007380962594</v>
      </c>
      <c r="BJ196" s="1" t="s">
        <v>35</v>
      </c>
      <c r="BK196">
        <f t="shared" si="64"/>
        <v>0</v>
      </c>
      <c r="BL196">
        <f t="shared" si="65"/>
        <v>0</v>
      </c>
    </row>
    <row r="197" spans="1:64" x14ac:dyDescent="0.25">
      <c r="A197" s="1" t="s">
        <v>601</v>
      </c>
      <c r="B197" s="1" t="s">
        <v>600</v>
      </c>
      <c r="C197" s="13" t="s">
        <v>599</v>
      </c>
      <c r="D197" s="15"/>
      <c r="E197" s="17"/>
      <c r="F197" s="3"/>
      <c r="G197" s="14"/>
      <c r="H197" s="16"/>
      <c r="I197" s="11">
        <v>46221</v>
      </c>
      <c r="J197" s="4">
        <v>17</v>
      </c>
      <c r="K197" s="18">
        <f>(F197-(0)+0-(J197*Ventas!AE194*1))</f>
        <v>0</v>
      </c>
      <c r="L197" s="3"/>
      <c r="M197" s="22">
        <f t="shared" si="70"/>
        <v>0</v>
      </c>
      <c r="N197" s="14"/>
      <c r="O197" s="25">
        <f t="shared" ref="O197:O260" si="76">(H197+0)</f>
        <v>0</v>
      </c>
      <c r="P197" s="16"/>
      <c r="Q197" s="12">
        <f t="shared" ref="Q197:Q260" si="77">(K197+M197+O197)</f>
        <v>0</v>
      </c>
      <c r="R197" s="5">
        <v>0</v>
      </c>
      <c r="S197" s="24">
        <v>0</v>
      </c>
      <c r="T197" s="26">
        <v>0</v>
      </c>
      <c r="U197" s="18">
        <f t="shared" ref="U197:U260" si="78">IF(K197&gt;0,K197+R197,R197)</f>
        <v>0</v>
      </c>
      <c r="V197" s="22">
        <f t="shared" ref="V197:V260" si="79">IF(M197&gt;0,M197+S197,S197)</f>
        <v>0</v>
      </c>
      <c r="W197" s="25">
        <f t="shared" ref="W197:W260" si="80">IF(O197&gt;0,O197+T197,T197)</f>
        <v>0</v>
      </c>
      <c r="X197" s="3"/>
      <c r="Y197" s="14"/>
      <c r="Z197" s="14"/>
      <c r="AA197" s="18">
        <v>4</v>
      </c>
      <c r="AB197" s="21">
        <v>2.2742999999999999E-2</v>
      </c>
      <c r="AC197" s="11">
        <v>46313</v>
      </c>
      <c r="AD197" s="4">
        <v>92</v>
      </c>
      <c r="AE197" s="18">
        <f>(IF(K197&gt;0,K197+R197,R197)-(AD197*Ventas!AE194*1.0489))</f>
        <v>0</v>
      </c>
      <c r="AF197" s="3"/>
      <c r="AG197" s="22">
        <f t="shared" si="71"/>
        <v>0</v>
      </c>
      <c r="AH197" s="14"/>
      <c r="AI197" s="25">
        <f t="shared" ref="AI197:AI260" si="81">(H197+0)</f>
        <v>0</v>
      </c>
      <c r="AJ197" s="16"/>
      <c r="AK197" s="12">
        <f t="shared" ref="AK197:AK260" si="82">(AE197+AG197+AI197)</f>
        <v>0</v>
      </c>
      <c r="AL197" s="19">
        <f t="shared" ref="AL197:AL260" si="83">(((AF197*7)+(AH197*1)+(AJ197*0))/8)</f>
        <v>0</v>
      </c>
      <c r="AM197" s="18">
        <f>(180*(Ventas!AE194*0.9644) - IF(AE197&gt;0,AE197,0))</f>
        <v>0</v>
      </c>
      <c r="AN197" s="18">
        <f>IF(AM197&gt;3,CEILING(AM197,5),0)</f>
        <v>0</v>
      </c>
      <c r="AO197" s="14"/>
      <c r="AP197" s="14">
        <f t="shared" si="75"/>
        <v>0</v>
      </c>
      <c r="AQ197" s="16">
        <f t="shared" ref="AQ197:AQ260" si="84">(AN197+AP197)*AB197</f>
        <v>0</v>
      </c>
      <c r="AR197" s="37">
        <f>_xlfn.XLOOKUP(C197,[1]Hoja2!$C$6:$C$24,[1]Hoja2!$D$6:$D$24,0,2,1)</f>
        <v>0</v>
      </c>
      <c r="AS197" s="18">
        <f t="shared" ref="AS197:AS260" si="85">IF(AE197&gt;0,AE197+IF(AN197&gt;0,AN197,0),AN197)</f>
        <v>0</v>
      </c>
      <c r="AT197" s="14"/>
      <c r="AU197" s="37">
        <f>_xlfn.XLOOKUP(D197,[1]Hoja2!$E$6:$E$24,[1]Hoja2!$F$6:$F$24,0,2,1)</f>
        <v>0</v>
      </c>
      <c r="AV197" s="27">
        <v>0</v>
      </c>
      <c r="AW197" s="5">
        <v>3013</v>
      </c>
      <c r="AX197" s="14">
        <v>0</v>
      </c>
      <c r="AY197" s="14"/>
      <c r="AZ197" s="16">
        <f>_xlfn.XLOOKUP(C197,[2]PI!$B$15:$B$99,[2]PI!$L$15:$L$99,0,2,1)</f>
        <v>0</v>
      </c>
      <c r="BA197" s="16">
        <f>_xlfn.XLOOKUP(D197,[2]PI!$B$15:$B$99,[2]PI!$L$15:$L$99,0,2,1)</f>
        <v>0</v>
      </c>
      <c r="BB197" s="3"/>
      <c r="BC197" s="3"/>
      <c r="BD197" s="14"/>
      <c r="BE197" s="14"/>
      <c r="BF197" s="16"/>
      <c r="BG197" s="16"/>
      <c r="BH197" s="12">
        <f t="shared" ref="BH197:BH260" si="86">(IF(BB197&gt;0,BB197,0)+IF(BD197&gt;0,BD197,0)+IF(BF197&gt;0,BF197,0))</f>
        <v>0</v>
      </c>
      <c r="BI197" s="19">
        <f t="shared" ref="BI197:BI260" si="87">(((BC197*7)+(BE197*1)+(BG197*1))/8)</f>
        <v>0</v>
      </c>
      <c r="BJ197" s="1" t="s">
        <v>51</v>
      </c>
      <c r="BK197">
        <f t="shared" si="64"/>
        <v>0</v>
      </c>
      <c r="BL197">
        <f t="shared" si="65"/>
        <v>0</v>
      </c>
    </row>
    <row r="198" spans="1:64" x14ac:dyDescent="0.25">
      <c r="A198" s="1" t="s">
        <v>604</v>
      </c>
      <c r="B198" s="1" t="s">
        <v>603</v>
      </c>
      <c r="C198" s="13" t="s">
        <v>602</v>
      </c>
      <c r="D198" s="15"/>
      <c r="E198" s="17"/>
      <c r="F198" s="5">
        <v>39</v>
      </c>
      <c r="G198" s="14"/>
      <c r="H198" s="16"/>
      <c r="I198" s="11">
        <v>46221</v>
      </c>
      <c r="J198" s="4">
        <v>17</v>
      </c>
      <c r="K198" s="18">
        <f>(F198-(0)+0-(J198*Ventas!AE195*1))</f>
        <v>31.888657142857141</v>
      </c>
      <c r="L198" s="20">
        <f>(K198/(Ventas!AE195*1)/80)</f>
        <v>0.95289170821665192</v>
      </c>
      <c r="M198" s="22">
        <f t="shared" si="70"/>
        <v>0</v>
      </c>
      <c r="N198" s="14"/>
      <c r="O198" s="25">
        <f t="shared" si="76"/>
        <v>0</v>
      </c>
      <c r="P198" s="16"/>
      <c r="Q198" s="12">
        <f t="shared" si="77"/>
        <v>31.888657142857141</v>
      </c>
      <c r="R198" s="5">
        <v>50</v>
      </c>
      <c r="S198" s="24">
        <v>0</v>
      </c>
      <c r="T198" s="26">
        <v>0</v>
      </c>
      <c r="U198" s="18">
        <f t="shared" si="78"/>
        <v>81.888657142857141</v>
      </c>
      <c r="V198" s="22">
        <f t="shared" si="79"/>
        <v>0</v>
      </c>
      <c r="W198" s="25">
        <f t="shared" si="80"/>
        <v>0</v>
      </c>
      <c r="X198" s="18">
        <v>4.3</v>
      </c>
      <c r="Y198" s="14"/>
      <c r="Z198" s="14"/>
      <c r="AA198" s="18">
        <v>10</v>
      </c>
      <c r="AB198" s="21">
        <v>8.8149999999999999E-3</v>
      </c>
      <c r="AC198" s="11">
        <v>46313</v>
      </c>
      <c r="AD198" s="4">
        <v>92</v>
      </c>
      <c r="AE198" s="18">
        <f>(IF(K198&gt;0,K198+R198,R198)-(AD198*Ventas!AE195*1.0489))</f>
        <v>41.52183054857143</v>
      </c>
      <c r="AF198" s="20">
        <f>(AE198/(Ventas!AE195*1.0489)/80)</f>
        <v>1.1829046065666355</v>
      </c>
      <c r="AG198" s="22">
        <f t="shared" si="71"/>
        <v>0</v>
      </c>
      <c r="AH198" s="14"/>
      <c r="AI198" s="25">
        <f t="shared" si="81"/>
        <v>0</v>
      </c>
      <c r="AJ198" s="16"/>
      <c r="AK198" s="12">
        <f t="shared" si="82"/>
        <v>41.52183054857143</v>
      </c>
      <c r="AL198" s="19">
        <f t="shared" si="83"/>
        <v>1.0350415307458061</v>
      </c>
      <c r="AM198" s="18">
        <f>(180*(Ventas!AE195*0.9644) - IF(AE198&gt;0,AE198,0))</f>
        <v>31.094182937142861</v>
      </c>
      <c r="AN198" s="18">
        <v>30</v>
      </c>
      <c r="AO198" s="14"/>
      <c r="AP198" s="14">
        <f t="shared" si="75"/>
        <v>0</v>
      </c>
      <c r="AQ198" s="16">
        <f t="shared" si="84"/>
        <v>0.26445000000000002</v>
      </c>
      <c r="AR198" s="37">
        <f>_xlfn.XLOOKUP(C198,[1]Hoja2!$C$6:$C$24,[1]Hoja2!$D$6:$D$24,0,2,1)</f>
        <v>0</v>
      </c>
      <c r="AS198" s="18">
        <f t="shared" si="85"/>
        <v>71.52183054857143</v>
      </c>
      <c r="AT198" s="14"/>
      <c r="AU198" s="37">
        <f>_xlfn.XLOOKUP(D198,[1]Hoja2!$E$6:$E$24,[1]Hoja2!$F$6:$F$24,0,2,1)</f>
        <v>0</v>
      </c>
      <c r="AV198" s="27">
        <v>4.3</v>
      </c>
      <c r="AW198" s="5">
        <v>3016</v>
      </c>
      <c r="AX198" s="14">
        <v>0</v>
      </c>
      <c r="AY198" s="14"/>
      <c r="AZ198" s="16">
        <f>_xlfn.XLOOKUP(C198,[2]PI!$B$15:$B$99,[2]PI!$L$15:$L$99,0,2,1)</f>
        <v>4.3</v>
      </c>
      <c r="BA198" s="16">
        <f>_xlfn.XLOOKUP(D198,[2]PI!$B$15:$B$99,[2]PI!$L$15:$L$99,0,2,1)</f>
        <v>0</v>
      </c>
      <c r="BB198" s="18">
        <f>(AS198-(90*Ventas!AE195*0.9644))</f>
        <v>35.213823805714284</v>
      </c>
      <c r="BC198" s="20">
        <f>(BB198/(Ventas!AE195*0.9644)/80)</f>
        <v>1.0910968498490246</v>
      </c>
      <c r="BD198" s="14"/>
      <c r="BE198" s="14"/>
      <c r="BF198" s="16"/>
      <c r="BG198" s="16"/>
      <c r="BH198" s="12">
        <f t="shared" si="86"/>
        <v>35.213823805714284</v>
      </c>
      <c r="BI198" s="19">
        <f t="shared" si="87"/>
        <v>0.95470974361789651</v>
      </c>
      <c r="BJ198" s="1" t="s">
        <v>35</v>
      </c>
      <c r="BK198">
        <f t="shared" ref="BK198:BK261" si="88">AV198*AN198+AP198*AX198</f>
        <v>129</v>
      </c>
      <c r="BL198">
        <f t="shared" ref="BL198:BL261" si="89">(AN198)*AZ198+AP198*BA198</f>
        <v>129</v>
      </c>
    </row>
    <row r="199" spans="1:64" x14ac:dyDescent="0.25">
      <c r="A199" s="1" t="s">
        <v>607</v>
      </c>
      <c r="B199" s="1" t="s">
        <v>606</v>
      </c>
      <c r="C199" s="13" t="s">
        <v>605</v>
      </c>
      <c r="D199" s="15"/>
      <c r="E199" s="17"/>
      <c r="F199" s="5">
        <v>2</v>
      </c>
      <c r="G199" s="14"/>
      <c r="H199" s="16"/>
      <c r="I199" s="11">
        <v>46221</v>
      </c>
      <c r="J199" s="4">
        <v>17</v>
      </c>
      <c r="K199" s="18">
        <f>(F199-(0)+0-(J199*Ventas!AE196*1))</f>
        <v>1.9190476190476191</v>
      </c>
      <c r="L199" s="20">
        <f>(K199/(Ventas!AE196*1)/80)</f>
        <v>5.0375000000000005</v>
      </c>
      <c r="M199" s="22">
        <f t="shared" si="70"/>
        <v>0</v>
      </c>
      <c r="N199" s="14"/>
      <c r="O199" s="25">
        <f t="shared" si="76"/>
        <v>0</v>
      </c>
      <c r="P199" s="16"/>
      <c r="Q199" s="12">
        <f t="shared" si="77"/>
        <v>1.9190476190476191</v>
      </c>
      <c r="R199" s="5">
        <v>0</v>
      </c>
      <c r="S199" s="24">
        <v>0</v>
      </c>
      <c r="T199" s="26">
        <v>0</v>
      </c>
      <c r="U199" s="18">
        <f t="shared" si="78"/>
        <v>1.9190476190476191</v>
      </c>
      <c r="V199" s="22">
        <f t="shared" si="79"/>
        <v>0</v>
      </c>
      <c r="W199" s="25">
        <f t="shared" si="80"/>
        <v>0</v>
      </c>
      <c r="X199" s="3"/>
      <c r="Y199" s="14"/>
      <c r="Z199" s="14"/>
      <c r="AA199" s="18">
        <v>90</v>
      </c>
      <c r="AB199" s="21">
        <v>7.6300000000000001E-4</v>
      </c>
      <c r="AC199" s="11">
        <v>46313</v>
      </c>
      <c r="AD199" s="4">
        <v>92</v>
      </c>
      <c r="AE199" s="18">
        <f>(IF(K199&gt;0,K199+R199,R199)-(AD199*Ventas!AE196*1.0489))</f>
        <v>1.4595295238095241</v>
      </c>
      <c r="AF199" s="20">
        <f>(AE199/(Ventas!AE196*1.0489)/80)</f>
        <v>3.6526503956525902</v>
      </c>
      <c r="AG199" s="22">
        <f t="shared" si="71"/>
        <v>0</v>
      </c>
      <c r="AH199" s="14"/>
      <c r="AI199" s="25">
        <f t="shared" si="81"/>
        <v>0</v>
      </c>
      <c r="AJ199" s="16"/>
      <c r="AK199" s="12">
        <f t="shared" si="82"/>
        <v>1.4595295238095241</v>
      </c>
      <c r="AL199" s="19">
        <f t="shared" si="83"/>
        <v>3.1960690961960165</v>
      </c>
      <c r="AM199" s="18">
        <f>(180*(Ventas!AE196*0.9644) - IF(AE199&gt;0,AE199,0))</f>
        <v>-0.63290095238095267</v>
      </c>
      <c r="AN199" s="18">
        <f t="shared" ref="AN199:AN204" si="90">IF(AM199&gt;3,CEILING(AM199,5),0)</f>
        <v>0</v>
      </c>
      <c r="AO199" s="14"/>
      <c r="AP199" s="14">
        <f t="shared" si="75"/>
        <v>0</v>
      </c>
      <c r="AQ199" s="16">
        <f t="shared" si="84"/>
        <v>0</v>
      </c>
      <c r="AR199" s="37">
        <f>_xlfn.XLOOKUP(C199,[1]Hoja2!$C$6:$C$24,[1]Hoja2!$D$6:$D$24,0,2,1)</f>
        <v>0</v>
      </c>
      <c r="AS199" s="18">
        <f t="shared" si="85"/>
        <v>1.4595295238095241</v>
      </c>
      <c r="AT199" s="14"/>
      <c r="AU199" s="37">
        <f>_xlfn.XLOOKUP(D199,[1]Hoja2!$E$6:$E$24,[1]Hoja2!$F$6:$F$24,0,2,1)</f>
        <v>0</v>
      </c>
      <c r="AV199" s="3">
        <v>0</v>
      </c>
      <c r="AW199" s="3"/>
      <c r="AX199" s="14">
        <v>0</v>
      </c>
      <c r="AY199" s="14"/>
      <c r="AZ199" s="16">
        <f>_xlfn.XLOOKUP(C199,[2]PI!$B$15:$B$99,[2]PI!$L$15:$L$99,0,2,1)</f>
        <v>0</v>
      </c>
      <c r="BA199" s="16">
        <f>_xlfn.XLOOKUP(D199,[2]PI!$B$15:$B$99,[2]PI!$L$15:$L$99,0,2,1)</f>
        <v>0</v>
      </c>
      <c r="BB199" s="18">
        <f>(AS199-(90*Ventas!AE196*0.9644))</f>
        <v>1.0462152380952383</v>
      </c>
      <c r="BC199" s="20">
        <f>(BB199/(Ventas!AE196*0.9644)/80)</f>
        <v>2.8476928660306937</v>
      </c>
      <c r="BD199" s="14"/>
      <c r="BE199" s="14"/>
      <c r="BF199" s="16"/>
      <c r="BG199" s="16"/>
      <c r="BH199" s="12">
        <f t="shared" si="86"/>
        <v>1.0462152380952383</v>
      </c>
      <c r="BI199" s="19">
        <f t="shared" si="87"/>
        <v>2.4917312577768569</v>
      </c>
      <c r="BJ199" s="1" t="s">
        <v>35</v>
      </c>
      <c r="BK199">
        <f t="shared" si="88"/>
        <v>0</v>
      </c>
      <c r="BL199">
        <f t="shared" si="89"/>
        <v>0</v>
      </c>
    </row>
    <row r="200" spans="1:64" x14ac:dyDescent="0.25">
      <c r="A200" s="1" t="s">
        <v>610</v>
      </c>
      <c r="B200" s="1" t="s">
        <v>609</v>
      </c>
      <c r="C200" s="13" t="s">
        <v>608</v>
      </c>
      <c r="D200" s="15"/>
      <c r="E200" s="17"/>
      <c r="F200" s="3"/>
      <c r="G200" s="14"/>
      <c r="H200" s="16"/>
      <c r="I200" s="11">
        <v>46221</v>
      </c>
      <c r="J200" s="4">
        <v>17</v>
      </c>
      <c r="K200" s="18">
        <f>(F200-(0)+0-(J200*Ventas!AE197*1))</f>
        <v>0</v>
      </c>
      <c r="L200" s="3"/>
      <c r="M200" s="22">
        <f t="shared" si="70"/>
        <v>0</v>
      </c>
      <c r="N200" s="14"/>
      <c r="O200" s="25">
        <f t="shared" si="76"/>
        <v>0</v>
      </c>
      <c r="P200" s="16"/>
      <c r="Q200" s="12">
        <f t="shared" si="77"/>
        <v>0</v>
      </c>
      <c r="R200" s="5">
        <v>0</v>
      </c>
      <c r="S200" s="24">
        <v>0</v>
      </c>
      <c r="T200" s="26">
        <v>0</v>
      </c>
      <c r="U200" s="18">
        <f t="shared" si="78"/>
        <v>0</v>
      </c>
      <c r="V200" s="22">
        <f t="shared" si="79"/>
        <v>0</v>
      </c>
      <c r="W200" s="25">
        <f t="shared" si="80"/>
        <v>0</v>
      </c>
      <c r="X200" s="3"/>
      <c r="Y200" s="14"/>
      <c r="Z200" s="14"/>
      <c r="AA200" s="18">
        <v>6</v>
      </c>
      <c r="AB200" s="21">
        <v>2.2013000000000001E-2</v>
      </c>
      <c r="AC200" s="11">
        <v>46313</v>
      </c>
      <c r="AD200" s="4">
        <v>92</v>
      </c>
      <c r="AE200" s="18">
        <f>(IF(K200&gt;0,K200+R200,R200)-(AD200*Ventas!AE197*1.0489))</f>
        <v>0</v>
      </c>
      <c r="AF200" s="3"/>
      <c r="AG200" s="22">
        <f t="shared" si="71"/>
        <v>0</v>
      </c>
      <c r="AH200" s="14"/>
      <c r="AI200" s="25">
        <f t="shared" si="81"/>
        <v>0</v>
      </c>
      <c r="AJ200" s="16"/>
      <c r="AK200" s="12">
        <f t="shared" si="82"/>
        <v>0</v>
      </c>
      <c r="AL200" s="19">
        <f t="shared" si="83"/>
        <v>0</v>
      </c>
      <c r="AM200" s="18">
        <f>(180*(Ventas!AE197*0.9644) - IF(AE200&gt;0,AE200,0))</f>
        <v>0</v>
      </c>
      <c r="AN200" s="18">
        <f t="shared" si="90"/>
        <v>0</v>
      </c>
      <c r="AO200" s="14"/>
      <c r="AP200" s="14">
        <f t="shared" si="75"/>
        <v>0</v>
      </c>
      <c r="AQ200" s="16">
        <f t="shared" si="84"/>
        <v>0</v>
      </c>
      <c r="AR200" s="37">
        <f>_xlfn.XLOOKUP(C200,[1]Hoja2!$C$6:$C$24,[1]Hoja2!$D$6:$D$24,0,2,1)</f>
        <v>0</v>
      </c>
      <c r="AS200" s="18">
        <f t="shared" si="85"/>
        <v>0</v>
      </c>
      <c r="AT200" s="14"/>
      <c r="AU200" s="37">
        <f>_xlfn.XLOOKUP(D200,[1]Hoja2!$E$6:$E$24,[1]Hoja2!$F$6:$F$24,0,2,1)</f>
        <v>0</v>
      </c>
      <c r="AV200" s="3">
        <v>0</v>
      </c>
      <c r="AW200" s="3"/>
      <c r="AX200" s="14">
        <v>0</v>
      </c>
      <c r="AY200" s="14"/>
      <c r="AZ200" s="16">
        <f>_xlfn.XLOOKUP(C200,[2]PI!$B$15:$B$99,[2]PI!$L$15:$L$99,0,2,1)</f>
        <v>0</v>
      </c>
      <c r="BA200" s="16">
        <f>_xlfn.XLOOKUP(D200,[2]PI!$B$15:$B$99,[2]PI!$L$15:$L$99,0,2,1)</f>
        <v>0</v>
      </c>
      <c r="BB200" s="3"/>
      <c r="BC200" s="3"/>
      <c r="BD200" s="14"/>
      <c r="BE200" s="14"/>
      <c r="BF200" s="16"/>
      <c r="BG200" s="16"/>
      <c r="BH200" s="12">
        <f t="shared" si="86"/>
        <v>0</v>
      </c>
      <c r="BI200" s="19">
        <f t="shared" si="87"/>
        <v>0</v>
      </c>
      <c r="BJ200" s="1" t="s">
        <v>51</v>
      </c>
      <c r="BK200">
        <f t="shared" si="88"/>
        <v>0</v>
      </c>
      <c r="BL200">
        <f t="shared" si="89"/>
        <v>0</v>
      </c>
    </row>
    <row r="201" spans="1:64" x14ac:dyDescent="0.25">
      <c r="A201" s="1" t="s">
        <v>613</v>
      </c>
      <c r="B201" s="1" t="s">
        <v>612</v>
      </c>
      <c r="C201" s="13" t="s">
        <v>611</v>
      </c>
      <c r="D201" s="15"/>
      <c r="E201" s="17"/>
      <c r="F201" s="5">
        <v>13</v>
      </c>
      <c r="G201" s="14"/>
      <c r="H201" s="16"/>
      <c r="I201" s="11">
        <v>46221</v>
      </c>
      <c r="J201" s="4">
        <v>17</v>
      </c>
      <c r="K201" s="18">
        <f>(F201-(0)+0-(J201*Ventas!AE198*1))</f>
        <v>12.330442857142858</v>
      </c>
      <c r="L201" s="20">
        <f>(K201/(Ventas!AE198*1)/80)</f>
        <v>3.9133614435981139</v>
      </c>
      <c r="M201" s="22">
        <f t="shared" ref="M201:M213" si="91">(G201+0)</f>
        <v>0</v>
      </c>
      <c r="N201" s="14"/>
      <c r="O201" s="25">
        <f t="shared" si="76"/>
        <v>0</v>
      </c>
      <c r="P201" s="16"/>
      <c r="Q201" s="12">
        <f t="shared" si="77"/>
        <v>12.330442857142858</v>
      </c>
      <c r="R201" s="5">
        <v>0</v>
      </c>
      <c r="S201" s="24">
        <v>0</v>
      </c>
      <c r="T201" s="26">
        <v>0</v>
      </c>
      <c r="U201" s="18">
        <f t="shared" si="78"/>
        <v>12.330442857142858</v>
      </c>
      <c r="V201" s="22">
        <f t="shared" si="79"/>
        <v>0</v>
      </c>
      <c r="W201" s="25">
        <f t="shared" si="80"/>
        <v>0</v>
      </c>
      <c r="X201" s="3"/>
      <c r="Y201" s="14"/>
      <c r="Z201" s="14"/>
      <c r="AA201" s="18">
        <v>6</v>
      </c>
      <c r="AB201" s="21">
        <v>1.2259000000000001E-2</v>
      </c>
      <c r="AC201" s="11">
        <v>46313</v>
      </c>
      <c r="AD201" s="4">
        <v>92</v>
      </c>
      <c r="AE201" s="18">
        <f>(IF(K201&gt;0,K201+R201,R201)-(AD201*Ventas!AE198*1.0489))</f>
        <v>8.529768691428572</v>
      </c>
      <c r="AF201" s="20">
        <f>(AE201/(Ventas!AE198*1.0489)/80)</f>
        <v>2.5809194809782765</v>
      </c>
      <c r="AG201" s="22">
        <f t="shared" ref="AG201:AG213" si="92">(G201+0)</f>
        <v>0</v>
      </c>
      <c r="AH201" s="14"/>
      <c r="AI201" s="25">
        <f t="shared" si="81"/>
        <v>0</v>
      </c>
      <c r="AJ201" s="16"/>
      <c r="AK201" s="12">
        <f t="shared" si="82"/>
        <v>8.529768691428572</v>
      </c>
      <c r="AL201" s="19">
        <f t="shared" si="83"/>
        <v>2.2583045458559918</v>
      </c>
      <c r="AM201" s="18">
        <f>(180*(Ventas!AE198*0.9644) - IF(AE201&gt;0,AE201,0))</f>
        <v>-1.6927237771428576</v>
      </c>
      <c r="AN201" s="18">
        <f t="shared" si="90"/>
        <v>0</v>
      </c>
      <c r="AO201" s="14"/>
      <c r="AP201" s="14">
        <f t="shared" si="75"/>
        <v>0</v>
      </c>
      <c r="AQ201" s="16">
        <f t="shared" si="84"/>
        <v>0</v>
      </c>
      <c r="AR201" s="37">
        <f>_xlfn.XLOOKUP(C201,[1]Hoja2!$C$6:$C$24,[1]Hoja2!$D$6:$D$24,0,2,1)</f>
        <v>0</v>
      </c>
      <c r="AS201" s="18">
        <f t="shared" si="85"/>
        <v>8.529768691428572</v>
      </c>
      <c r="AT201" s="14"/>
      <c r="AU201" s="37">
        <f>_xlfn.XLOOKUP(D201,[1]Hoja2!$E$6:$E$24,[1]Hoja2!$F$6:$F$24,0,2,1)</f>
        <v>0</v>
      </c>
      <c r="AV201" s="27">
        <v>0</v>
      </c>
      <c r="AW201" s="5">
        <v>3016</v>
      </c>
      <c r="AX201" s="14">
        <v>0</v>
      </c>
      <c r="AY201" s="14"/>
      <c r="AZ201" s="16">
        <f>_xlfn.XLOOKUP(C201,[2]PI!$B$15:$B$99,[2]PI!$L$15:$L$99,0,2,1)</f>
        <v>0</v>
      </c>
      <c r="BA201" s="16">
        <f>_xlfn.XLOOKUP(D201,[2]PI!$B$15:$B$99,[2]PI!$L$15:$L$99,0,2,1)</f>
        <v>0</v>
      </c>
      <c r="BB201" s="18">
        <f>(AS201-(90*Ventas!AE198*0.9644))</f>
        <v>5.1112462342857139</v>
      </c>
      <c r="BC201" s="20">
        <f>(BB201/(Ventas!AE198*0.9644)/80)</f>
        <v>1.6820576976338799</v>
      </c>
      <c r="BD201" s="14"/>
      <c r="BE201" s="14"/>
      <c r="BF201" s="16"/>
      <c r="BG201" s="16"/>
      <c r="BH201" s="12">
        <f t="shared" si="86"/>
        <v>5.1112462342857139</v>
      </c>
      <c r="BI201" s="19">
        <f t="shared" si="87"/>
        <v>1.4718004854296449</v>
      </c>
      <c r="BJ201" s="1" t="s">
        <v>35</v>
      </c>
      <c r="BK201">
        <f t="shared" si="88"/>
        <v>0</v>
      </c>
      <c r="BL201">
        <f t="shared" si="89"/>
        <v>0</v>
      </c>
    </row>
    <row r="202" spans="1:64" x14ac:dyDescent="0.25">
      <c r="A202" s="1" t="s">
        <v>616</v>
      </c>
      <c r="B202" s="1" t="s">
        <v>615</v>
      </c>
      <c r="C202" s="13" t="s">
        <v>614</v>
      </c>
      <c r="D202" s="15"/>
      <c r="E202" s="17"/>
      <c r="F202" s="5">
        <v>107</v>
      </c>
      <c r="G202" s="14"/>
      <c r="H202" s="16"/>
      <c r="I202" s="11">
        <v>46221</v>
      </c>
      <c r="J202" s="4">
        <v>17</v>
      </c>
      <c r="K202" s="18">
        <f>(F202-(0)+0-(J202*Ventas!AE199*1))</f>
        <v>100.83507142857142</v>
      </c>
      <c r="L202" s="20">
        <f>(K202/(Ventas!AE199*1)/80)</f>
        <v>3.4757016939137282</v>
      </c>
      <c r="M202" s="22">
        <f t="shared" si="91"/>
        <v>0</v>
      </c>
      <c r="N202" s="14"/>
      <c r="O202" s="25">
        <f t="shared" si="76"/>
        <v>0</v>
      </c>
      <c r="P202" s="16"/>
      <c r="Q202" s="12">
        <f t="shared" si="77"/>
        <v>100.83507142857142</v>
      </c>
      <c r="R202" s="5">
        <v>0</v>
      </c>
      <c r="S202" s="24">
        <v>0</v>
      </c>
      <c r="T202" s="26">
        <v>0</v>
      </c>
      <c r="U202" s="18">
        <f t="shared" si="78"/>
        <v>100.83507142857142</v>
      </c>
      <c r="V202" s="22">
        <f t="shared" si="79"/>
        <v>0</v>
      </c>
      <c r="W202" s="25">
        <f t="shared" si="80"/>
        <v>0</v>
      </c>
      <c r="X202" s="3"/>
      <c r="Y202" s="14"/>
      <c r="Z202" s="14"/>
      <c r="AA202" s="18">
        <v>33</v>
      </c>
      <c r="AB202" s="21">
        <v>1.7340000000000001E-3</v>
      </c>
      <c r="AC202" s="11">
        <v>46313</v>
      </c>
      <c r="AD202" s="4">
        <v>92</v>
      </c>
      <c r="AE202" s="18">
        <f>(IF(K202&gt;0,K202+R202,R202)-(AD202*Ventas!AE199*1.0489))</f>
        <v>65.840470885714282</v>
      </c>
      <c r="AF202" s="20">
        <f>(AE202/(Ventas!AE199*1.0489)/80)</f>
        <v>2.1636635464903504</v>
      </c>
      <c r="AG202" s="22">
        <f t="shared" si="92"/>
        <v>0</v>
      </c>
      <c r="AH202" s="14"/>
      <c r="AI202" s="25">
        <f t="shared" si="81"/>
        <v>0</v>
      </c>
      <c r="AJ202" s="16"/>
      <c r="AK202" s="12">
        <f t="shared" si="82"/>
        <v>65.840470885714282</v>
      </c>
      <c r="AL202" s="19">
        <f t="shared" si="83"/>
        <v>1.8932056031790565</v>
      </c>
      <c r="AM202" s="18">
        <f>(180*(Ventas!AE199*0.9644) - IF(AE202&gt;0,AE202,0))</f>
        <v>-2.8885720285714171</v>
      </c>
      <c r="AN202" s="18">
        <f t="shared" si="90"/>
        <v>0</v>
      </c>
      <c r="AO202" s="14"/>
      <c r="AP202" s="14">
        <f t="shared" si="75"/>
        <v>0</v>
      </c>
      <c r="AQ202" s="16">
        <f t="shared" si="84"/>
        <v>0</v>
      </c>
      <c r="AR202" s="37">
        <f>_xlfn.XLOOKUP(C202,[1]Hoja2!$C$6:$C$24,[1]Hoja2!$D$6:$D$24,0,2,1)</f>
        <v>0</v>
      </c>
      <c r="AS202" s="18">
        <f t="shared" si="85"/>
        <v>65.840470885714282</v>
      </c>
      <c r="AT202" s="14"/>
      <c r="AU202" s="37">
        <f>_xlfn.XLOOKUP(D202,[1]Hoja2!$E$6:$E$24,[1]Hoja2!$F$6:$F$24,0,2,1)</f>
        <v>0</v>
      </c>
      <c r="AV202" s="27">
        <v>0</v>
      </c>
      <c r="AW202" s="5">
        <v>3016</v>
      </c>
      <c r="AX202" s="14">
        <v>0</v>
      </c>
      <c r="AY202" s="14"/>
      <c r="AZ202" s="16">
        <f>_xlfn.XLOOKUP(C202,[2]PI!$B$15:$B$99,[2]PI!$L$15:$L$99,0,2,1)</f>
        <v>0</v>
      </c>
      <c r="BA202" s="16">
        <f>_xlfn.XLOOKUP(D202,[2]PI!$B$15:$B$99,[2]PI!$L$15:$L$99,0,2,1)</f>
        <v>0</v>
      </c>
      <c r="BB202" s="18">
        <f>(AS202-(90*Ventas!AE199*0.9644))</f>
        <v>34.364521457142857</v>
      </c>
      <c r="BC202" s="20">
        <f>(BB202/(Ventas!AE199*0.9644)/80)</f>
        <v>1.2282421131415684</v>
      </c>
      <c r="BD202" s="14"/>
      <c r="BE202" s="14"/>
      <c r="BF202" s="16"/>
      <c r="BG202" s="16"/>
      <c r="BH202" s="12">
        <f t="shared" si="86"/>
        <v>34.364521457142857</v>
      </c>
      <c r="BI202" s="19">
        <f t="shared" si="87"/>
        <v>1.0747118489988723</v>
      </c>
      <c r="BJ202" s="1" t="s">
        <v>35</v>
      </c>
      <c r="BK202">
        <f t="shared" si="88"/>
        <v>0</v>
      </c>
      <c r="BL202">
        <f t="shared" si="89"/>
        <v>0</v>
      </c>
    </row>
    <row r="203" spans="1:64" x14ac:dyDescent="0.25">
      <c r="A203" s="1" t="s">
        <v>619</v>
      </c>
      <c r="B203" s="1" t="s">
        <v>618</v>
      </c>
      <c r="C203" s="13" t="s">
        <v>617</v>
      </c>
      <c r="D203" s="15"/>
      <c r="E203" s="17"/>
      <c r="F203" s="3"/>
      <c r="G203" s="14"/>
      <c r="H203" s="16"/>
      <c r="I203" s="11">
        <v>46221</v>
      </c>
      <c r="J203" s="4">
        <v>17</v>
      </c>
      <c r="K203" s="18">
        <f>(F203-(0)+0-(J203*Ventas!AE200*1))</f>
        <v>0</v>
      </c>
      <c r="L203" s="3"/>
      <c r="M203" s="22">
        <f t="shared" si="91"/>
        <v>0</v>
      </c>
      <c r="N203" s="14"/>
      <c r="O203" s="25">
        <f t="shared" si="76"/>
        <v>0</v>
      </c>
      <c r="P203" s="16"/>
      <c r="Q203" s="12">
        <f t="shared" si="77"/>
        <v>0</v>
      </c>
      <c r="R203" s="5">
        <v>0</v>
      </c>
      <c r="S203" s="24">
        <v>0</v>
      </c>
      <c r="T203" s="26">
        <v>0</v>
      </c>
      <c r="U203" s="18">
        <f t="shared" si="78"/>
        <v>0</v>
      </c>
      <c r="V203" s="22">
        <f t="shared" si="79"/>
        <v>0</v>
      </c>
      <c r="W203" s="25">
        <f t="shared" si="80"/>
        <v>0</v>
      </c>
      <c r="X203" s="3"/>
      <c r="Y203" s="14"/>
      <c r="Z203" s="14"/>
      <c r="AA203" s="18">
        <v>30</v>
      </c>
      <c r="AB203" s="21">
        <v>2.7290000000000001E-3</v>
      </c>
      <c r="AC203" s="11">
        <v>46313</v>
      </c>
      <c r="AD203" s="4">
        <v>92</v>
      </c>
      <c r="AE203" s="18">
        <f>(IF(K203&gt;0,K203+R203,R203)-(AD203*Ventas!AE200*1.0489))</f>
        <v>0</v>
      </c>
      <c r="AF203" s="3"/>
      <c r="AG203" s="22">
        <f t="shared" si="92"/>
        <v>0</v>
      </c>
      <c r="AH203" s="14"/>
      <c r="AI203" s="25">
        <f t="shared" si="81"/>
        <v>0</v>
      </c>
      <c r="AJ203" s="16"/>
      <c r="AK203" s="12">
        <f t="shared" si="82"/>
        <v>0</v>
      </c>
      <c r="AL203" s="19">
        <f t="shared" si="83"/>
        <v>0</v>
      </c>
      <c r="AM203" s="18">
        <f>(180*(Ventas!AE200*0.9644) - IF(AE203&gt;0,AE203,0))</f>
        <v>0</v>
      </c>
      <c r="AN203" s="18">
        <f t="shared" si="90"/>
        <v>0</v>
      </c>
      <c r="AO203" s="14"/>
      <c r="AP203" s="14">
        <f t="shared" si="75"/>
        <v>0</v>
      </c>
      <c r="AQ203" s="16">
        <f t="shared" si="84"/>
        <v>0</v>
      </c>
      <c r="AR203" s="37">
        <f>_xlfn.XLOOKUP(C203,[1]Hoja2!$C$6:$C$24,[1]Hoja2!$D$6:$D$24,0,2,1)</f>
        <v>0</v>
      </c>
      <c r="AS203" s="18">
        <f t="shared" si="85"/>
        <v>0</v>
      </c>
      <c r="AT203" s="14"/>
      <c r="AU203" s="37">
        <f>_xlfn.XLOOKUP(D203,[1]Hoja2!$E$6:$E$24,[1]Hoja2!$F$6:$F$24,0,2,1)</f>
        <v>0</v>
      </c>
      <c r="AV203" s="27">
        <v>0</v>
      </c>
      <c r="AW203" s="5">
        <v>3013</v>
      </c>
      <c r="AX203" s="14">
        <v>0</v>
      </c>
      <c r="AY203" s="14"/>
      <c r="AZ203" s="16">
        <f>_xlfn.XLOOKUP(C203,[2]PI!$B$15:$B$99,[2]PI!$L$15:$L$99,0,2,1)</f>
        <v>0</v>
      </c>
      <c r="BA203" s="16">
        <f>_xlfn.XLOOKUP(D203,[2]PI!$B$15:$B$99,[2]PI!$L$15:$L$99,0,2,1)</f>
        <v>0</v>
      </c>
      <c r="BB203" s="3"/>
      <c r="BC203" s="3"/>
      <c r="BD203" s="14"/>
      <c r="BE203" s="14"/>
      <c r="BF203" s="16"/>
      <c r="BG203" s="16"/>
      <c r="BH203" s="12">
        <f t="shared" si="86"/>
        <v>0</v>
      </c>
      <c r="BI203" s="19">
        <f t="shared" si="87"/>
        <v>0</v>
      </c>
      <c r="BJ203" s="1" t="s">
        <v>51</v>
      </c>
      <c r="BK203">
        <f t="shared" si="88"/>
        <v>0</v>
      </c>
      <c r="BL203">
        <f t="shared" si="89"/>
        <v>0</v>
      </c>
    </row>
    <row r="204" spans="1:64" x14ac:dyDescent="0.25">
      <c r="A204" s="1" t="s">
        <v>622</v>
      </c>
      <c r="B204" s="1" t="s">
        <v>621</v>
      </c>
      <c r="C204" s="13" t="s">
        <v>620</v>
      </c>
      <c r="D204" s="15"/>
      <c r="E204" s="17"/>
      <c r="F204" s="5">
        <v>1</v>
      </c>
      <c r="G204" s="14"/>
      <c r="H204" s="16"/>
      <c r="I204" s="11">
        <v>46221</v>
      </c>
      <c r="J204" s="4">
        <v>17</v>
      </c>
      <c r="K204" s="18">
        <f>(F204-(0)+0-(J204*Ventas!AE201*1))</f>
        <v>1</v>
      </c>
      <c r="L204" s="20" t="e">
        <f>(K204/(Ventas!AE201*1)/80)</f>
        <v>#DIV/0!</v>
      </c>
      <c r="M204" s="22">
        <f t="shared" si="91"/>
        <v>0</v>
      </c>
      <c r="N204" s="14"/>
      <c r="O204" s="25">
        <f t="shared" si="76"/>
        <v>0</v>
      </c>
      <c r="P204" s="16"/>
      <c r="Q204" s="12">
        <f t="shared" si="77"/>
        <v>1</v>
      </c>
      <c r="R204" s="5">
        <v>0</v>
      </c>
      <c r="S204" s="24">
        <v>0</v>
      </c>
      <c r="T204" s="26">
        <v>0</v>
      </c>
      <c r="U204" s="18">
        <f t="shared" si="78"/>
        <v>1</v>
      </c>
      <c r="V204" s="22">
        <f t="shared" si="79"/>
        <v>0</v>
      </c>
      <c r="W204" s="25">
        <f t="shared" si="80"/>
        <v>0</v>
      </c>
      <c r="X204" s="3"/>
      <c r="Y204" s="14"/>
      <c r="Z204" s="14"/>
      <c r="AA204" s="18">
        <v>9</v>
      </c>
      <c r="AB204" s="21">
        <v>5.5999999999999999E-3</v>
      </c>
      <c r="AC204" s="11">
        <v>46313</v>
      </c>
      <c r="AD204" s="4">
        <v>92</v>
      </c>
      <c r="AE204" s="18">
        <f>(IF(K204&gt;0,K204+R204,R204)-(AD204*Ventas!AE201*1.0489))</f>
        <v>1</v>
      </c>
      <c r="AF204" s="20" t="e">
        <f>(AE204/(Ventas!AE201*1.0489)/80)</f>
        <v>#DIV/0!</v>
      </c>
      <c r="AG204" s="22">
        <f t="shared" si="92"/>
        <v>0</v>
      </c>
      <c r="AH204" s="14"/>
      <c r="AI204" s="25">
        <f t="shared" si="81"/>
        <v>0</v>
      </c>
      <c r="AJ204" s="16"/>
      <c r="AK204" s="12">
        <f t="shared" si="82"/>
        <v>1</v>
      </c>
      <c r="AL204" s="19" t="e">
        <f t="shared" si="83"/>
        <v>#DIV/0!</v>
      </c>
      <c r="AM204" s="18">
        <f>(180*(Ventas!AE201*0.9644) - IF(AE204&gt;0,AE204,0))</f>
        <v>-1</v>
      </c>
      <c r="AN204" s="18">
        <f t="shared" si="90"/>
        <v>0</v>
      </c>
      <c r="AO204" s="14"/>
      <c r="AP204" s="14"/>
      <c r="AQ204" s="16">
        <f t="shared" si="84"/>
        <v>0</v>
      </c>
      <c r="AR204" s="37">
        <f>_xlfn.XLOOKUP(C204,[1]Hoja2!$C$6:$C$24,[1]Hoja2!$D$6:$D$24,0,2,1)</f>
        <v>0</v>
      </c>
      <c r="AS204" s="18">
        <f t="shared" si="85"/>
        <v>1</v>
      </c>
      <c r="AT204" s="14"/>
      <c r="AU204" s="37">
        <f>_xlfn.XLOOKUP(D204,[1]Hoja2!$E$6:$E$24,[1]Hoja2!$F$6:$F$24,0,2,1)</f>
        <v>0</v>
      </c>
      <c r="AV204" s="27">
        <v>0</v>
      </c>
      <c r="AW204" s="5">
        <v>3022</v>
      </c>
      <c r="AX204" s="14">
        <v>0</v>
      </c>
      <c r="AY204" s="14"/>
      <c r="AZ204" s="16">
        <f>_xlfn.XLOOKUP(C204,[2]PI!$B$15:$B$99,[2]PI!$L$15:$L$99,0,2,1)</f>
        <v>0</v>
      </c>
      <c r="BA204" s="16">
        <f>_xlfn.XLOOKUP(D204,[2]PI!$B$15:$B$99,[2]PI!$L$15:$L$99,0,2,1)</f>
        <v>0</v>
      </c>
      <c r="BB204" s="18">
        <f>(AS204-(90*Ventas!AE201*0.9644))</f>
        <v>1</v>
      </c>
      <c r="BC204" s="20" t="e">
        <f>(BB204/(Ventas!AE201*0.9644)/80)</f>
        <v>#DIV/0!</v>
      </c>
      <c r="BD204" s="14"/>
      <c r="BE204" s="14"/>
      <c r="BF204" s="16"/>
      <c r="BG204" s="16"/>
      <c r="BH204" s="12">
        <f t="shared" si="86"/>
        <v>1</v>
      </c>
      <c r="BI204" s="19" t="e">
        <f t="shared" si="87"/>
        <v>#DIV/0!</v>
      </c>
      <c r="BJ204" s="1" t="s">
        <v>35</v>
      </c>
      <c r="BK204">
        <f t="shared" si="88"/>
        <v>0</v>
      </c>
      <c r="BL204">
        <f t="shared" si="89"/>
        <v>0</v>
      </c>
    </row>
    <row r="205" spans="1:64" x14ac:dyDescent="0.25">
      <c r="A205" s="1" t="s">
        <v>625</v>
      </c>
      <c r="B205" s="1" t="s">
        <v>624</v>
      </c>
      <c r="C205" s="13" t="s">
        <v>623</v>
      </c>
      <c r="D205" s="15"/>
      <c r="E205" s="17"/>
      <c r="F205" s="5">
        <v>18</v>
      </c>
      <c r="G205" s="14"/>
      <c r="H205" s="16"/>
      <c r="I205" s="11">
        <v>46221</v>
      </c>
      <c r="J205" s="4">
        <v>17</v>
      </c>
      <c r="K205" s="18">
        <f>(F205-(0)+0-(J205*Ventas!AE202*1))</f>
        <v>13.241942857142856</v>
      </c>
      <c r="L205" s="20">
        <f>(K205/(Ventas!AE202*1)/80)</f>
        <v>0.59139955083707618</v>
      </c>
      <c r="M205" s="22">
        <f t="shared" si="91"/>
        <v>0</v>
      </c>
      <c r="N205" s="14"/>
      <c r="O205" s="25">
        <f t="shared" si="76"/>
        <v>0</v>
      </c>
      <c r="P205" s="16"/>
      <c r="Q205" s="12">
        <f t="shared" si="77"/>
        <v>13.241942857142856</v>
      </c>
      <c r="R205" s="5">
        <v>45</v>
      </c>
      <c r="S205" s="24">
        <v>0</v>
      </c>
      <c r="T205" s="26">
        <v>0</v>
      </c>
      <c r="U205" s="18">
        <f t="shared" si="78"/>
        <v>58.24194285714286</v>
      </c>
      <c r="V205" s="22">
        <f t="shared" si="79"/>
        <v>0</v>
      </c>
      <c r="W205" s="25">
        <f t="shared" si="80"/>
        <v>0</v>
      </c>
      <c r="X205" s="18">
        <v>3.2</v>
      </c>
      <c r="Y205" s="14"/>
      <c r="Z205" s="14"/>
      <c r="AA205" s="18">
        <v>18</v>
      </c>
      <c r="AB205" s="21">
        <v>5.5659999999999998E-3</v>
      </c>
      <c r="AC205" s="11">
        <v>46313</v>
      </c>
      <c r="AD205" s="4">
        <v>92</v>
      </c>
      <c r="AE205" s="18">
        <f>(IF(K205&gt;0,K205+R205,R205)-(AD205*Ventas!AE202*1.0489))</f>
        <v>31.23330729142857</v>
      </c>
      <c r="AF205" s="20">
        <f>(AE205/(Ventas!AE202*1.0489)/80)</f>
        <v>1.329882188892904</v>
      </c>
      <c r="AG205" s="22">
        <f t="shared" si="92"/>
        <v>0</v>
      </c>
      <c r="AH205" s="14"/>
      <c r="AI205" s="25">
        <f t="shared" si="81"/>
        <v>0</v>
      </c>
      <c r="AJ205" s="16"/>
      <c r="AK205" s="12">
        <f t="shared" si="82"/>
        <v>31.23330729142857</v>
      </c>
      <c r="AL205" s="19">
        <f t="shared" si="83"/>
        <v>1.1636469152812909</v>
      </c>
      <c r="AM205" s="18">
        <f>(180*(Ventas!AE202*0.9644) - IF(AE205&gt;0,AE205,0))</f>
        <v>17.352613622857152</v>
      </c>
      <c r="AN205" s="18">
        <v>15</v>
      </c>
      <c r="AO205" s="14"/>
      <c r="AP205" s="14">
        <f t="shared" ref="AP205:AP240" si="93">IF(AO205&gt;3,CEILING(AO205,5),0)</f>
        <v>0</v>
      </c>
      <c r="AQ205" s="16">
        <f t="shared" si="84"/>
        <v>8.3489999999999995E-2</v>
      </c>
      <c r="AR205" s="37">
        <f>_xlfn.XLOOKUP(C205,[1]Hoja2!$C$6:$C$24,[1]Hoja2!$D$6:$D$24,0,2,1)</f>
        <v>0</v>
      </c>
      <c r="AS205" s="18">
        <f t="shared" si="85"/>
        <v>46.233307291428574</v>
      </c>
      <c r="AT205" s="14"/>
      <c r="AU205" s="37">
        <f>_xlfn.XLOOKUP(D205,[1]Hoja2!$E$6:$E$24,[1]Hoja2!$F$6:$F$24,0,2,1)</f>
        <v>0</v>
      </c>
      <c r="AV205" s="27">
        <v>3.3</v>
      </c>
      <c r="AW205" s="5">
        <v>3016</v>
      </c>
      <c r="AX205" s="14">
        <v>0</v>
      </c>
      <c r="AY205" s="14"/>
      <c r="AZ205" s="16">
        <f>_xlfn.XLOOKUP(C205,[2]PI!$B$15:$B$99,[2]PI!$L$15:$L$99,0,2,1)</f>
        <v>3.3</v>
      </c>
      <c r="BA205" s="16">
        <f>_xlfn.XLOOKUP(D205,[2]PI!$B$15:$B$99,[2]PI!$L$15:$L$99,0,2,1)</f>
        <v>0</v>
      </c>
      <c r="BB205" s="18">
        <f>(AS205-(90*Ventas!AE202*0.9644))</f>
        <v>21.940346834285709</v>
      </c>
      <c r="BC205" s="20">
        <f>(BB205/(Ventas!AE202*0.9644)/80)</f>
        <v>1.0160511409104076</v>
      </c>
      <c r="BD205" s="14"/>
      <c r="BE205" s="14"/>
      <c r="BF205" s="16"/>
      <c r="BG205" s="16"/>
      <c r="BH205" s="12">
        <f t="shared" si="86"/>
        <v>21.940346834285709</v>
      </c>
      <c r="BI205" s="19">
        <f t="shared" si="87"/>
        <v>0.88904474829660662</v>
      </c>
      <c r="BJ205" s="1" t="s">
        <v>35</v>
      </c>
      <c r="BK205">
        <f t="shared" si="88"/>
        <v>49.5</v>
      </c>
      <c r="BL205">
        <f t="shared" si="89"/>
        <v>49.5</v>
      </c>
    </row>
    <row r="206" spans="1:64" x14ac:dyDescent="0.25">
      <c r="A206" s="1" t="s">
        <v>628</v>
      </c>
      <c r="B206" s="1" t="s">
        <v>627</v>
      </c>
      <c r="C206" s="13" t="s">
        <v>626</v>
      </c>
      <c r="D206" s="15"/>
      <c r="E206" s="17"/>
      <c r="F206" s="5">
        <v>56</v>
      </c>
      <c r="G206" s="14"/>
      <c r="H206" s="16"/>
      <c r="I206" s="11">
        <v>46221</v>
      </c>
      <c r="J206" s="4">
        <v>17</v>
      </c>
      <c r="K206" s="18">
        <f>(F206-(0)+0-(J206*Ventas!AE203*1))</f>
        <v>50.341428571428573</v>
      </c>
      <c r="L206" s="20">
        <f>(K206/(Ventas!AE203*1)/80)</f>
        <v>1.890504291845494</v>
      </c>
      <c r="M206" s="22">
        <f t="shared" si="91"/>
        <v>0</v>
      </c>
      <c r="N206" s="14"/>
      <c r="O206" s="25">
        <f t="shared" si="76"/>
        <v>0</v>
      </c>
      <c r="P206" s="16"/>
      <c r="Q206" s="12">
        <f t="shared" si="77"/>
        <v>50.341428571428573</v>
      </c>
      <c r="R206" s="5">
        <v>60</v>
      </c>
      <c r="S206" s="24">
        <v>0</v>
      </c>
      <c r="T206" s="26">
        <v>0</v>
      </c>
      <c r="U206" s="18">
        <f t="shared" si="78"/>
        <v>110.34142857142857</v>
      </c>
      <c r="V206" s="22">
        <f t="shared" si="79"/>
        <v>0</v>
      </c>
      <c r="W206" s="25">
        <f t="shared" si="80"/>
        <v>0</v>
      </c>
      <c r="X206" s="18">
        <v>5.0999999999999996</v>
      </c>
      <c r="Y206" s="14"/>
      <c r="Z206" s="14"/>
      <c r="AA206" s="18">
        <v>12</v>
      </c>
      <c r="AB206" s="21">
        <v>7.9539999999999993E-3</v>
      </c>
      <c r="AC206" s="11">
        <v>46313</v>
      </c>
      <c r="AD206" s="4">
        <v>92</v>
      </c>
      <c r="AE206" s="18">
        <f>(IF(K206&gt;0,K206+R206,R206)-(AD206*Ventas!AE203*1.0489))</f>
        <v>78.221113714285707</v>
      </c>
      <c r="AF206" s="20">
        <f>(AE206/(Ventas!AE203*1.0489)/80)</f>
        <v>2.8005416874493907</v>
      </c>
      <c r="AG206" s="22">
        <f t="shared" si="92"/>
        <v>0</v>
      </c>
      <c r="AH206" s="14"/>
      <c r="AI206" s="25">
        <f t="shared" si="81"/>
        <v>0</v>
      </c>
      <c r="AJ206" s="16"/>
      <c r="AK206" s="12">
        <f t="shared" si="82"/>
        <v>78.221113714285707</v>
      </c>
      <c r="AL206" s="19">
        <f t="shared" si="83"/>
        <v>2.4504739765182171</v>
      </c>
      <c r="AM206" s="18">
        <f>(180*(Ventas!AE203*0.9644) - IF(AE206&gt;0,AE206,0))</f>
        <v>-20.439776571428574</v>
      </c>
      <c r="AN206" s="18">
        <f t="shared" ref="AN206:AN213" si="94">IF(AM206&gt;3,CEILING(AM206,5),0)</f>
        <v>0</v>
      </c>
      <c r="AO206" s="14"/>
      <c r="AP206" s="14">
        <f t="shared" si="93"/>
        <v>0</v>
      </c>
      <c r="AQ206" s="16">
        <f t="shared" si="84"/>
        <v>0</v>
      </c>
      <c r="AR206" s="37">
        <f>_xlfn.XLOOKUP(C206,[1]Hoja2!$C$6:$C$24,[1]Hoja2!$D$6:$D$24,0,2,1)</f>
        <v>0</v>
      </c>
      <c r="AS206" s="18">
        <f t="shared" si="85"/>
        <v>78.221113714285707</v>
      </c>
      <c r="AT206" s="14"/>
      <c r="AU206" s="37">
        <f>_xlfn.XLOOKUP(D206,[1]Hoja2!$E$6:$E$24,[1]Hoja2!$F$6:$F$24,0,2,1)</f>
        <v>0</v>
      </c>
      <c r="AV206" s="27">
        <v>0</v>
      </c>
      <c r="AW206" s="5">
        <v>3016</v>
      </c>
      <c r="AX206" s="14">
        <v>0</v>
      </c>
      <c r="AY206" s="14"/>
      <c r="AZ206" s="16">
        <f>_xlfn.XLOOKUP(C206,[2]PI!$B$15:$B$99,[2]PI!$L$15:$L$99,0,2,1)</f>
        <v>0</v>
      </c>
      <c r="BA206" s="16">
        <f>_xlfn.XLOOKUP(D206,[2]PI!$B$15:$B$99,[2]PI!$L$15:$L$99,0,2,1)</f>
        <v>0</v>
      </c>
      <c r="BB206" s="18">
        <f>(AS206-(90*Ventas!AE203*0.9644))</f>
        <v>49.330445142857144</v>
      </c>
      <c r="BC206" s="20">
        <f>(BB206/(Ventas!AE203*0.9644)/80)</f>
        <v>1.9209230360490104</v>
      </c>
      <c r="BD206" s="14"/>
      <c r="BE206" s="14"/>
      <c r="BF206" s="16"/>
      <c r="BG206" s="16"/>
      <c r="BH206" s="12">
        <f t="shared" si="86"/>
        <v>49.330445142857144</v>
      </c>
      <c r="BI206" s="19">
        <f t="shared" si="87"/>
        <v>1.680807656542884</v>
      </c>
      <c r="BJ206" s="1" t="s">
        <v>35</v>
      </c>
      <c r="BK206">
        <f t="shared" si="88"/>
        <v>0</v>
      </c>
      <c r="BL206">
        <f t="shared" si="89"/>
        <v>0</v>
      </c>
    </row>
    <row r="207" spans="1:64" x14ac:dyDescent="0.25">
      <c r="A207" s="1" t="s">
        <v>631</v>
      </c>
      <c r="B207" s="1" t="s">
        <v>630</v>
      </c>
      <c r="C207" s="13" t="s">
        <v>629</v>
      </c>
      <c r="D207" s="15"/>
      <c r="E207" s="17"/>
      <c r="F207" s="3"/>
      <c r="G207" s="14"/>
      <c r="H207" s="16"/>
      <c r="I207" s="11">
        <v>46221</v>
      </c>
      <c r="J207" s="4">
        <v>17</v>
      </c>
      <c r="K207" s="18">
        <f>(F207-(0)+0-(J207*Ventas!AE204*1))</f>
        <v>0</v>
      </c>
      <c r="L207" s="3"/>
      <c r="M207" s="22">
        <f t="shared" si="91"/>
        <v>0</v>
      </c>
      <c r="N207" s="14"/>
      <c r="O207" s="25">
        <f t="shared" si="76"/>
        <v>0</v>
      </c>
      <c r="P207" s="16"/>
      <c r="Q207" s="12">
        <f t="shared" si="77"/>
        <v>0</v>
      </c>
      <c r="R207" s="5">
        <v>0</v>
      </c>
      <c r="S207" s="24">
        <v>0</v>
      </c>
      <c r="T207" s="26">
        <v>0</v>
      </c>
      <c r="U207" s="18">
        <f t="shared" si="78"/>
        <v>0</v>
      </c>
      <c r="V207" s="22">
        <f t="shared" si="79"/>
        <v>0</v>
      </c>
      <c r="W207" s="25">
        <f t="shared" si="80"/>
        <v>0</v>
      </c>
      <c r="X207" s="3"/>
      <c r="Y207" s="14"/>
      <c r="Z207" s="14"/>
      <c r="AA207" s="3"/>
      <c r="AB207" s="3"/>
      <c r="AC207" s="11">
        <v>46313</v>
      </c>
      <c r="AD207" s="4">
        <v>92</v>
      </c>
      <c r="AE207" s="18">
        <f>(IF(K207&gt;0,K207+R207,R207)-(AD207*Ventas!AE204*1.0489))</f>
        <v>0</v>
      </c>
      <c r="AF207" s="3"/>
      <c r="AG207" s="22">
        <f t="shared" si="92"/>
        <v>0</v>
      </c>
      <c r="AH207" s="14"/>
      <c r="AI207" s="25">
        <f t="shared" si="81"/>
        <v>0</v>
      </c>
      <c r="AJ207" s="16"/>
      <c r="AK207" s="12">
        <f t="shared" si="82"/>
        <v>0</v>
      </c>
      <c r="AL207" s="19">
        <f t="shared" si="83"/>
        <v>0</v>
      </c>
      <c r="AM207" s="18">
        <f>(180*(Ventas!AE204*0.9644) - IF(AE207&gt;0,AE207,0))</f>
        <v>0</v>
      </c>
      <c r="AN207" s="18">
        <f t="shared" si="94"/>
        <v>0</v>
      </c>
      <c r="AO207" s="14"/>
      <c r="AP207" s="14">
        <f t="shared" si="93"/>
        <v>0</v>
      </c>
      <c r="AQ207" s="16">
        <f t="shared" si="84"/>
        <v>0</v>
      </c>
      <c r="AR207" s="37">
        <f>_xlfn.XLOOKUP(C207,[1]Hoja2!$C$6:$C$24,[1]Hoja2!$D$6:$D$24,0,2,1)</f>
        <v>0</v>
      </c>
      <c r="AS207" s="18">
        <f t="shared" si="85"/>
        <v>0</v>
      </c>
      <c r="AT207" s="14"/>
      <c r="AU207" s="37">
        <f>_xlfn.XLOOKUP(D207,[1]Hoja2!$E$6:$E$24,[1]Hoja2!$F$6:$F$24,0,2,1)</f>
        <v>0</v>
      </c>
      <c r="AV207" s="3">
        <v>0</v>
      </c>
      <c r="AW207" s="3"/>
      <c r="AX207" s="14">
        <v>0</v>
      </c>
      <c r="AY207" s="14"/>
      <c r="AZ207" s="16">
        <f>_xlfn.XLOOKUP(C207,[2]PI!$B$15:$B$99,[2]PI!$L$15:$L$99,0,2,1)</f>
        <v>0</v>
      </c>
      <c r="BA207" s="16">
        <f>_xlfn.XLOOKUP(D207,[2]PI!$B$15:$B$99,[2]PI!$L$15:$L$99,0,2,1)</f>
        <v>0</v>
      </c>
      <c r="BB207" s="3"/>
      <c r="BC207" s="3"/>
      <c r="BD207" s="14"/>
      <c r="BE207" s="14"/>
      <c r="BF207" s="16"/>
      <c r="BG207" s="16"/>
      <c r="BH207" s="12">
        <f t="shared" si="86"/>
        <v>0</v>
      </c>
      <c r="BI207" s="19">
        <f t="shared" si="87"/>
        <v>0</v>
      </c>
      <c r="BJ207" s="1" t="s">
        <v>51</v>
      </c>
      <c r="BK207">
        <f t="shared" si="88"/>
        <v>0</v>
      </c>
      <c r="BL207">
        <f t="shared" si="89"/>
        <v>0</v>
      </c>
    </row>
    <row r="208" spans="1:64" x14ac:dyDescent="0.25">
      <c r="A208" s="1" t="s">
        <v>634</v>
      </c>
      <c r="B208" s="1" t="s">
        <v>633</v>
      </c>
      <c r="C208" s="13" t="s">
        <v>632</v>
      </c>
      <c r="D208" s="15"/>
      <c r="E208" s="17"/>
      <c r="F208" s="3"/>
      <c r="G208" s="14"/>
      <c r="H208" s="16"/>
      <c r="I208" s="11">
        <v>46221</v>
      </c>
      <c r="J208" s="4">
        <v>17</v>
      </c>
      <c r="K208" s="18">
        <f>(F208-(0)+0-(J208*Ventas!AE205*1))</f>
        <v>0</v>
      </c>
      <c r="L208" s="3"/>
      <c r="M208" s="22">
        <f t="shared" si="91"/>
        <v>0</v>
      </c>
      <c r="N208" s="14"/>
      <c r="O208" s="25">
        <f t="shared" si="76"/>
        <v>0</v>
      </c>
      <c r="P208" s="16"/>
      <c r="Q208" s="12">
        <f t="shared" si="77"/>
        <v>0</v>
      </c>
      <c r="R208" s="5">
        <v>0</v>
      </c>
      <c r="S208" s="24">
        <v>0</v>
      </c>
      <c r="T208" s="26">
        <v>0</v>
      </c>
      <c r="U208" s="18">
        <f t="shared" si="78"/>
        <v>0</v>
      </c>
      <c r="V208" s="22">
        <f t="shared" si="79"/>
        <v>0</v>
      </c>
      <c r="W208" s="25">
        <f t="shared" si="80"/>
        <v>0</v>
      </c>
      <c r="X208" s="3"/>
      <c r="Y208" s="14"/>
      <c r="Z208" s="14"/>
      <c r="AA208" s="3"/>
      <c r="AB208" s="3"/>
      <c r="AC208" s="11">
        <v>46313</v>
      </c>
      <c r="AD208" s="4">
        <v>92</v>
      </c>
      <c r="AE208" s="18">
        <f>(IF(K208&gt;0,K208+R208,R208)-(AD208*Ventas!AE205*1.0489))</f>
        <v>0</v>
      </c>
      <c r="AF208" s="3"/>
      <c r="AG208" s="22">
        <f t="shared" si="92"/>
        <v>0</v>
      </c>
      <c r="AH208" s="14"/>
      <c r="AI208" s="25">
        <f t="shared" si="81"/>
        <v>0</v>
      </c>
      <c r="AJ208" s="16"/>
      <c r="AK208" s="12">
        <f t="shared" si="82"/>
        <v>0</v>
      </c>
      <c r="AL208" s="19">
        <f t="shared" si="83"/>
        <v>0</v>
      </c>
      <c r="AM208" s="18">
        <f>(180*(Ventas!AE205*0.9644) - IF(AE208&gt;0,AE208,0))</f>
        <v>0</v>
      </c>
      <c r="AN208" s="18">
        <f t="shared" si="94"/>
        <v>0</v>
      </c>
      <c r="AO208" s="14"/>
      <c r="AP208" s="14">
        <f t="shared" si="93"/>
        <v>0</v>
      </c>
      <c r="AQ208" s="16">
        <f t="shared" si="84"/>
        <v>0</v>
      </c>
      <c r="AR208" s="37">
        <f>_xlfn.XLOOKUP(C208,[1]Hoja2!$C$6:$C$24,[1]Hoja2!$D$6:$D$24,0,2,1)</f>
        <v>0</v>
      </c>
      <c r="AS208" s="18">
        <f t="shared" si="85"/>
        <v>0</v>
      </c>
      <c r="AT208" s="14"/>
      <c r="AU208" s="37">
        <f>_xlfn.XLOOKUP(D208,[1]Hoja2!$E$6:$E$24,[1]Hoja2!$F$6:$F$24,0,2,1)</f>
        <v>0</v>
      </c>
      <c r="AV208" s="3">
        <v>0</v>
      </c>
      <c r="AW208" s="3"/>
      <c r="AX208" s="14">
        <v>0</v>
      </c>
      <c r="AY208" s="14"/>
      <c r="AZ208" s="16">
        <f>_xlfn.XLOOKUP(C208,[2]PI!$B$15:$B$99,[2]PI!$L$15:$L$99,0,2,1)</f>
        <v>0</v>
      </c>
      <c r="BA208" s="16">
        <f>_xlfn.XLOOKUP(D208,[2]PI!$B$15:$B$99,[2]PI!$L$15:$L$99,0,2,1)</f>
        <v>0</v>
      </c>
      <c r="BB208" s="3"/>
      <c r="BC208" s="3"/>
      <c r="BD208" s="14"/>
      <c r="BE208" s="14"/>
      <c r="BF208" s="16"/>
      <c r="BG208" s="16"/>
      <c r="BH208" s="12">
        <f t="shared" si="86"/>
        <v>0</v>
      </c>
      <c r="BI208" s="19">
        <f t="shared" si="87"/>
        <v>0</v>
      </c>
      <c r="BJ208" s="1" t="s">
        <v>51</v>
      </c>
      <c r="BK208">
        <f t="shared" si="88"/>
        <v>0</v>
      </c>
      <c r="BL208">
        <f t="shared" si="89"/>
        <v>0</v>
      </c>
    </row>
    <row r="209" spans="1:64" x14ac:dyDescent="0.25">
      <c r="A209" s="1" t="s">
        <v>637</v>
      </c>
      <c r="B209" s="1" t="s">
        <v>636</v>
      </c>
      <c r="C209" s="13" t="s">
        <v>635</v>
      </c>
      <c r="D209" s="15"/>
      <c r="E209" s="17"/>
      <c r="F209" s="3"/>
      <c r="G209" s="14"/>
      <c r="H209" s="16"/>
      <c r="I209" s="11">
        <v>46221</v>
      </c>
      <c r="J209" s="4">
        <v>17</v>
      </c>
      <c r="K209" s="18">
        <f>(F209-(0)+0-(J209*Ventas!AE206*1))</f>
        <v>0</v>
      </c>
      <c r="L209" s="3"/>
      <c r="M209" s="22">
        <f t="shared" si="91"/>
        <v>0</v>
      </c>
      <c r="N209" s="14"/>
      <c r="O209" s="25">
        <f t="shared" si="76"/>
        <v>0</v>
      </c>
      <c r="P209" s="16"/>
      <c r="Q209" s="12">
        <f t="shared" si="77"/>
        <v>0</v>
      </c>
      <c r="R209" s="5">
        <v>0</v>
      </c>
      <c r="S209" s="24">
        <v>0</v>
      </c>
      <c r="T209" s="26">
        <v>0</v>
      </c>
      <c r="U209" s="18">
        <f t="shared" si="78"/>
        <v>0</v>
      </c>
      <c r="V209" s="22">
        <f t="shared" si="79"/>
        <v>0</v>
      </c>
      <c r="W209" s="25">
        <f t="shared" si="80"/>
        <v>0</v>
      </c>
      <c r="X209" s="3"/>
      <c r="Y209" s="14"/>
      <c r="Z209" s="14"/>
      <c r="AA209" s="18">
        <v>18</v>
      </c>
      <c r="AB209" s="21">
        <v>5.5659999999999998E-3</v>
      </c>
      <c r="AC209" s="11">
        <v>46313</v>
      </c>
      <c r="AD209" s="4">
        <v>92</v>
      </c>
      <c r="AE209" s="18">
        <f>(IF(K209&gt;0,K209+R209,R209)-(AD209*Ventas!AE206*1.0489))</f>
        <v>0</v>
      </c>
      <c r="AF209" s="3"/>
      <c r="AG209" s="22">
        <f t="shared" si="92"/>
        <v>0</v>
      </c>
      <c r="AH209" s="14"/>
      <c r="AI209" s="25">
        <f t="shared" si="81"/>
        <v>0</v>
      </c>
      <c r="AJ209" s="16"/>
      <c r="AK209" s="12">
        <f t="shared" si="82"/>
        <v>0</v>
      </c>
      <c r="AL209" s="19">
        <f t="shared" si="83"/>
        <v>0</v>
      </c>
      <c r="AM209" s="18">
        <f>(180*(Ventas!AE206*0.9644) - IF(AE209&gt;0,AE209,0))</f>
        <v>0</v>
      </c>
      <c r="AN209" s="18">
        <f t="shared" si="94"/>
        <v>0</v>
      </c>
      <c r="AO209" s="14"/>
      <c r="AP209" s="14">
        <f t="shared" si="93"/>
        <v>0</v>
      </c>
      <c r="AQ209" s="16">
        <f t="shared" si="84"/>
        <v>0</v>
      </c>
      <c r="AR209" s="37">
        <f>_xlfn.XLOOKUP(C209,[1]Hoja2!$C$6:$C$24,[1]Hoja2!$D$6:$D$24,0,2,1)</f>
        <v>0</v>
      </c>
      <c r="AS209" s="18">
        <f t="shared" si="85"/>
        <v>0</v>
      </c>
      <c r="AT209" s="14"/>
      <c r="AU209" s="37">
        <f>_xlfn.XLOOKUP(D209,[1]Hoja2!$E$6:$E$24,[1]Hoja2!$F$6:$F$24,0,2,1)</f>
        <v>0</v>
      </c>
      <c r="AV209" s="27">
        <v>0</v>
      </c>
      <c r="AW209" s="5">
        <v>3022</v>
      </c>
      <c r="AX209" s="14">
        <v>0</v>
      </c>
      <c r="AY209" s="14"/>
      <c r="AZ209" s="16">
        <f>_xlfn.XLOOKUP(C209,[2]PI!$B$15:$B$99,[2]PI!$L$15:$L$99,0,2,1)</f>
        <v>0</v>
      </c>
      <c r="BA209" s="16">
        <f>_xlfn.XLOOKUP(D209,[2]PI!$B$15:$B$99,[2]PI!$L$15:$L$99,0,2,1)</f>
        <v>0</v>
      </c>
      <c r="BB209" s="3"/>
      <c r="BC209" s="3"/>
      <c r="BD209" s="14"/>
      <c r="BE209" s="14"/>
      <c r="BF209" s="16"/>
      <c r="BG209" s="16"/>
      <c r="BH209" s="12">
        <f t="shared" si="86"/>
        <v>0</v>
      </c>
      <c r="BI209" s="19">
        <f t="shared" si="87"/>
        <v>0</v>
      </c>
      <c r="BJ209" s="1" t="s">
        <v>35</v>
      </c>
      <c r="BK209">
        <f t="shared" si="88"/>
        <v>0</v>
      </c>
      <c r="BL209">
        <f t="shared" si="89"/>
        <v>0</v>
      </c>
    </row>
    <row r="210" spans="1:64" x14ac:dyDescent="0.25">
      <c r="A210" s="1" t="s">
        <v>640</v>
      </c>
      <c r="B210" s="1" t="s">
        <v>639</v>
      </c>
      <c r="C210" s="13" t="s">
        <v>638</v>
      </c>
      <c r="D210" s="15"/>
      <c r="E210" s="17"/>
      <c r="F210" s="5">
        <v>38</v>
      </c>
      <c r="G210" s="14"/>
      <c r="H210" s="16"/>
      <c r="I210" s="11">
        <v>46221</v>
      </c>
      <c r="J210" s="4">
        <v>17</v>
      </c>
      <c r="K210" s="18">
        <f>(F210-(0)+0-(J210*Ventas!AE207*1))</f>
        <v>37.804257142857146</v>
      </c>
      <c r="L210" s="20">
        <f>(K210/(Ventas!AE207*1)/80)</f>
        <v>41.040601736972704</v>
      </c>
      <c r="M210" s="22">
        <f t="shared" si="91"/>
        <v>0</v>
      </c>
      <c r="N210" s="14"/>
      <c r="O210" s="25">
        <f t="shared" si="76"/>
        <v>0</v>
      </c>
      <c r="P210" s="16"/>
      <c r="Q210" s="12">
        <f t="shared" si="77"/>
        <v>37.804257142857146</v>
      </c>
      <c r="R210" s="5">
        <v>0</v>
      </c>
      <c r="S210" s="24">
        <v>0</v>
      </c>
      <c r="T210" s="26">
        <v>0</v>
      </c>
      <c r="U210" s="18">
        <f t="shared" si="78"/>
        <v>37.804257142857146</v>
      </c>
      <c r="V210" s="22">
        <f t="shared" si="79"/>
        <v>0</v>
      </c>
      <c r="W210" s="25">
        <f t="shared" si="80"/>
        <v>0</v>
      </c>
      <c r="X210" s="3"/>
      <c r="Y210" s="14"/>
      <c r="Z210" s="14"/>
      <c r="AA210" s="18">
        <v>10</v>
      </c>
      <c r="AB210" s="21">
        <v>6.3489999999999996E-3</v>
      </c>
      <c r="AC210" s="11">
        <v>46313</v>
      </c>
      <c r="AD210" s="4">
        <v>92</v>
      </c>
      <c r="AE210" s="18">
        <f>(IF(K210&gt;0,K210+R210,R210)-(AD210*Ventas!AE207*1.0489))</f>
        <v>36.693142388571431</v>
      </c>
      <c r="AF210" s="20">
        <f>(AE210/(Ventas!AE207*1.0489)/80)</f>
        <v>37.977277850102681</v>
      </c>
      <c r="AG210" s="22">
        <f t="shared" si="92"/>
        <v>0</v>
      </c>
      <c r="AH210" s="14"/>
      <c r="AI210" s="25">
        <f t="shared" si="81"/>
        <v>0</v>
      </c>
      <c r="AJ210" s="16"/>
      <c r="AK210" s="12">
        <f t="shared" si="82"/>
        <v>36.693142388571431</v>
      </c>
      <c r="AL210" s="19">
        <f t="shared" si="83"/>
        <v>33.230118118839847</v>
      </c>
      <c r="AM210" s="18">
        <f>(180*(Ventas!AE207*0.9644) - IF(AE210&gt;0,AE210,0))</f>
        <v>-34.694354502857145</v>
      </c>
      <c r="AN210" s="18">
        <f t="shared" si="94"/>
        <v>0</v>
      </c>
      <c r="AO210" s="14"/>
      <c r="AP210" s="14">
        <f t="shared" si="93"/>
        <v>0</v>
      </c>
      <c r="AQ210" s="16">
        <f t="shared" si="84"/>
        <v>0</v>
      </c>
      <c r="AR210" s="37">
        <f>_xlfn.XLOOKUP(C210,[1]Hoja2!$C$6:$C$24,[1]Hoja2!$D$6:$D$24,0,2,1)</f>
        <v>0</v>
      </c>
      <c r="AS210" s="18">
        <f t="shared" si="85"/>
        <v>36.693142388571431</v>
      </c>
      <c r="AT210" s="14"/>
      <c r="AU210" s="37">
        <f>_xlfn.XLOOKUP(D210,[1]Hoja2!$E$6:$E$24,[1]Hoja2!$F$6:$F$24,0,2,1)</f>
        <v>0</v>
      </c>
      <c r="AV210" s="27">
        <v>0</v>
      </c>
      <c r="AW210" s="5">
        <v>3016</v>
      </c>
      <c r="AX210" s="14">
        <v>0</v>
      </c>
      <c r="AY210" s="14"/>
      <c r="AZ210" s="16">
        <f>_xlfn.XLOOKUP(C210,[2]PI!$B$15:$B$99,[2]PI!$L$15:$L$99,0,2,1)</f>
        <v>0</v>
      </c>
      <c r="BA210" s="16">
        <f>_xlfn.XLOOKUP(D210,[2]PI!$B$15:$B$99,[2]PI!$L$15:$L$99,0,2,1)</f>
        <v>0</v>
      </c>
      <c r="BB210" s="18">
        <f>(AS210-(90*Ventas!AE207*0.9644))</f>
        <v>35.693748445714292</v>
      </c>
      <c r="BC210" s="20">
        <f>(BB210/(Ventas!AE207*0.9644)/80)</f>
        <v>40.179818267288169</v>
      </c>
      <c r="BD210" s="14"/>
      <c r="BE210" s="14"/>
      <c r="BF210" s="16"/>
      <c r="BG210" s="16"/>
      <c r="BH210" s="12">
        <f t="shared" si="86"/>
        <v>35.693748445714292</v>
      </c>
      <c r="BI210" s="19">
        <f t="shared" si="87"/>
        <v>35.157340983877148</v>
      </c>
      <c r="BJ210" s="1" t="s">
        <v>35</v>
      </c>
      <c r="BK210">
        <f t="shared" si="88"/>
        <v>0</v>
      </c>
      <c r="BL210">
        <f t="shared" si="89"/>
        <v>0</v>
      </c>
    </row>
    <row r="211" spans="1:64" x14ac:dyDescent="0.25">
      <c r="A211" s="1" t="s">
        <v>643</v>
      </c>
      <c r="B211" s="1" t="s">
        <v>642</v>
      </c>
      <c r="C211" s="13" t="s">
        <v>641</v>
      </c>
      <c r="D211" s="15"/>
      <c r="E211" s="17"/>
      <c r="F211" s="3"/>
      <c r="G211" s="14"/>
      <c r="H211" s="16"/>
      <c r="I211" s="11">
        <v>46221</v>
      </c>
      <c r="J211" s="4">
        <v>17</v>
      </c>
      <c r="K211" s="18">
        <f>(F211-(0)+0-(J211*Ventas!AE208*1))</f>
        <v>0</v>
      </c>
      <c r="L211" s="3"/>
      <c r="M211" s="22">
        <f t="shared" si="91"/>
        <v>0</v>
      </c>
      <c r="N211" s="14"/>
      <c r="O211" s="25">
        <f t="shared" si="76"/>
        <v>0</v>
      </c>
      <c r="P211" s="16"/>
      <c r="Q211" s="12">
        <f t="shared" si="77"/>
        <v>0</v>
      </c>
      <c r="R211" s="5">
        <v>0</v>
      </c>
      <c r="S211" s="24">
        <v>0</v>
      </c>
      <c r="T211" s="26">
        <v>0</v>
      </c>
      <c r="U211" s="18">
        <f t="shared" si="78"/>
        <v>0</v>
      </c>
      <c r="V211" s="22">
        <f t="shared" si="79"/>
        <v>0</v>
      </c>
      <c r="W211" s="25">
        <f t="shared" si="80"/>
        <v>0</v>
      </c>
      <c r="X211" s="3"/>
      <c r="Y211" s="14"/>
      <c r="Z211" s="14"/>
      <c r="AA211" s="18">
        <v>10</v>
      </c>
      <c r="AB211" s="21">
        <v>6.3489999999999996E-3</v>
      </c>
      <c r="AC211" s="11">
        <v>46313</v>
      </c>
      <c r="AD211" s="4">
        <v>92</v>
      </c>
      <c r="AE211" s="18">
        <f>(IF(K211&gt;0,K211+R211,R211)-(AD211*Ventas!AE208*1.0489))</f>
        <v>0</v>
      </c>
      <c r="AF211" s="3"/>
      <c r="AG211" s="22">
        <f t="shared" si="92"/>
        <v>0</v>
      </c>
      <c r="AH211" s="14"/>
      <c r="AI211" s="25">
        <f t="shared" si="81"/>
        <v>0</v>
      </c>
      <c r="AJ211" s="16"/>
      <c r="AK211" s="12">
        <f t="shared" si="82"/>
        <v>0</v>
      </c>
      <c r="AL211" s="19">
        <f t="shared" si="83"/>
        <v>0</v>
      </c>
      <c r="AM211" s="18">
        <f>(180*(Ventas!AE208*0.9644) - IF(AE211&gt;0,AE211,0))</f>
        <v>0</v>
      </c>
      <c r="AN211" s="18">
        <f t="shared" si="94"/>
        <v>0</v>
      </c>
      <c r="AO211" s="14"/>
      <c r="AP211" s="14">
        <f t="shared" si="93"/>
        <v>0</v>
      </c>
      <c r="AQ211" s="16">
        <f t="shared" si="84"/>
        <v>0</v>
      </c>
      <c r="AR211" s="37">
        <f>_xlfn.XLOOKUP(C211,[1]Hoja2!$C$6:$C$24,[1]Hoja2!$D$6:$D$24,0,2,1)</f>
        <v>0</v>
      </c>
      <c r="AS211" s="18">
        <f t="shared" si="85"/>
        <v>0</v>
      </c>
      <c r="AT211" s="14"/>
      <c r="AU211" s="37">
        <f>_xlfn.XLOOKUP(D211,[1]Hoja2!$E$6:$E$24,[1]Hoja2!$F$6:$F$24,0,2,1)</f>
        <v>0</v>
      </c>
      <c r="AV211" s="27">
        <v>0</v>
      </c>
      <c r="AW211" s="5">
        <v>3016</v>
      </c>
      <c r="AX211" s="14">
        <v>0</v>
      </c>
      <c r="AY211" s="14"/>
      <c r="AZ211" s="16">
        <f>_xlfn.XLOOKUP(C211,[2]PI!$B$15:$B$99,[2]PI!$L$15:$L$99,0,2,1)</f>
        <v>0</v>
      </c>
      <c r="BA211" s="16">
        <f>_xlfn.XLOOKUP(D211,[2]PI!$B$15:$B$99,[2]PI!$L$15:$L$99,0,2,1)</f>
        <v>0</v>
      </c>
      <c r="BB211" s="3"/>
      <c r="BC211" s="3"/>
      <c r="BD211" s="14"/>
      <c r="BE211" s="14"/>
      <c r="BF211" s="16"/>
      <c r="BG211" s="16"/>
      <c r="BH211" s="12">
        <f t="shared" si="86"/>
        <v>0</v>
      </c>
      <c r="BI211" s="19">
        <f t="shared" si="87"/>
        <v>0</v>
      </c>
      <c r="BJ211" s="1" t="s">
        <v>35</v>
      </c>
      <c r="BK211">
        <f t="shared" si="88"/>
        <v>0</v>
      </c>
      <c r="BL211">
        <f t="shared" si="89"/>
        <v>0</v>
      </c>
    </row>
    <row r="212" spans="1:64" x14ac:dyDescent="0.25">
      <c r="A212" s="1" t="s">
        <v>646</v>
      </c>
      <c r="B212" s="1" t="s">
        <v>645</v>
      </c>
      <c r="C212" s="13" t="s">
        <v>644</v>
      </c>
      <c r="D212" s="15"/>
      <c r="E212" s="17"/>
      <c r="F212" s="3"/>
      <c r="G212" s="14"/>
      <c r="H212" s="16"/>
      <c r="I212" s="11">
        <v>46221</v>
      </c>
      <c r="J212" s="4">
        <v>17</v>
      </c>
      <c r="K212" s="18">
        <f>(F212-(0)+0-(J212*Ventas!AE209*1))</f>
        <v>0</v>
      </c>
      <c r="L212" s="3"/>
      <c r="M212" s="22">
        <f t="shared" si="91"/>
        <v>0</v>
      </c>
      <c r="N212" s="14"/>
      <c r="O212" s="25">
        <f t="shared" si="76"/>
        <v>0</v>
      </c>
      <c r="P212" s="16"/>
      <c r="Q212" s="12">
        <f t="shared" si="77"/>
        <v>0</v>
      </c>
      <c r="R212" s="5">
        <v>0</v>
      </c>
      <c r="S212" s="24">
        <v>0</v>
      </c>
      <c r="T212" s="26">
        <v>0</v>
      </c>
      <c r="U212" s="18">
        <f t="shared" si="78"/>
        <v>0</v>
      </c>
      <c r="V212" s="22">
        <f t="shared" si="79"/>
        <v>0</v>
      </c>
      <c r="W212" s="25">
        <f t="shared" si="80"/>
        <v>0</v>
      </c>
      <c r="X212" s="3"/>
      <c r="Y212" s="14"/>
      <c r="Z212" s="14"/>
      <c r="AA212" s="18">
        <v>10</v>
      </c>
      <c r="AB212" s="21">
        <v>6.4809999999999998E-3</v>
      </c>
      <c r="AC212" s="11">
        <v>46313</v>
      </c>
      <c r="AD212" s="4">
        <v>92</v>
      </c>
      <c r="AE212" s="18">
        <f>(IF(K212&gt;0,K212+R212,R212)-(AD212*Ventas!AE209*1.0489))</f>
        <v>0</v>
      </c>
      <c r="AF212" s="3"/>
      <c r="AG212" s="22">
        <f t="shared" si="92"/>
        <v>0</v>
      </c>
      <c r="AH212" s="14"/>
      <c r="AI212" s="25">
        <f t="shared" si="81"/>
        <v>0</v>
      </c>
      <c r="AJ212" s="16"/>
      <c r="AK212" s="12">
        <f t="shared" si="82"/>
        <v>0</v>
      </c>
      <c r="AL212" s="19">
        <f t="shared" si="83"/>
        <v>0</v>
      </c>
      <c r="AM212" s="18">
        <f>(180*(Ventas!AE209*0.9644) - IF(AE212&gt;0,AE212,0))</f>
        <v>0</v>
      </c>
      <c r="AN212" s="18">
        <f t="shared" si="94"/>
        <v>0</v>
      </c>
      <c r="AO212" s="14"/>
      <c r="AP212" s="14">
        <f t="shared" si="93"/>
        <v>0</v>
      </c>
      <c r="AQ212" s="16">
        <f t="shared" si="84"/>
        <v>0</v>
      </c>
      <c r="AR212" s="37">
        <f>_xlfn.XLOOKUP(C212,[1]Hoja2!$C$6:$C$24,[1]Hoja2!$D$6:$D$24,0,2,1)</f>
        <v>0</v>
      </c>
      <c r="AS212" s="18">
        <f t="shared" si="85"/>
        <v>0</v>
      </c>
      <c r="AT212" s="14"/>
      <c r="AU212" s="37">
        <f>_xlfn.XLOOKUP(D212,[1]Hoja2!$E$6:$E$24,[1]Hoja2!$F$6:$F$24,0,2,1)</f>
        <v>0</v>
      </c>
      <c r="AV212" s="27">
        <v>0</v>
      </c>
      <c r="AW212" s="5">
        <v>3016</v>
      </c>
      <c r="AX212" s="14">
        <v>0</v>
      </c>
      <c r="AY212" s="14"/>
      <c r="AZ212" s="16">
        <f>_xlfn.XLOOKUP(C212,[2]PI!$B$15:$B$99,[2]PI!$L$15:$L$99,0,2,1)</f>
        <v>0</v>
      </c>
      <c r="BA212" s="16">
        <f>_xlfn.XLOOKUP(D212,[2]PI!$B$15:$B$99,[2]PI!$L$15:$L$99,0,2,1)</f>
        <v>0</v>
      </c>
      <c r="BB212" s="3"/>
      <c r="BC212" s="3"/>
      <c r="BD212" s="14"/>
      <c r="BE212" s="14"/>
      <c r="BF212" s="16"/>
      <c r="BG212" s="16"/>
      <c r="BH212" s="12">
        <f t="shared" si="86"/>
        <v>0</v>
      </c>
      <c r="BI212" s="19">
        <f t="shared" si="87"/>
        <v>0</v>
      </c>
      <c r="BJ212" s="1" t="s">
        <v>35</v>
      </c>
      <c r="BK212">
        <f t="shared" si="88"/>
        <v>0</v>
      </c>
      <c r="BL212">
        <f t="shared" si="89"/>
        <v>0</v>
      </c>
    </row>
    <row r="213" spans="1:64" x14ac:dyDescent="0.25">
      <c r="A213" s="1" t="s">
        <v>649</v>
      </c>
      <c r="B213" s="1" t="s">
        <v>648</v>
      </c>
      <c r="C213" s="13" t="s">
        <v>647</v>
      </c>
      <c r="D213" s="15"/>
      <c r="E213" s="17"/>
      <c r="F213" s="5">
        <v>6</v>
      </c>
      <c r="G213" s="14"/>
      <c r="H213" s="16"/>
      <c r="I213" s="11">
        <v>46221</v>
      </c>
      <c r="J213" s="4">
        <v>17</v>
      </c>
      <c r="K213" s="18">
        <f>(F213-(0)+0-(J213*Ventas!AE210*1))</f>
        <v>5.7960000000000003</v>
      </c>
      <c r="L213" s="20">
        <f>(K213/(Ventas!AE210*1)/80)</f>
        <v>6.0374999999999996</v>
      </c>
      <c r="M213" s="22">
        <f t="shared" si="91"/>
        <v>0</v>
      </c>
      <c r="N213" s="14"/>
      <c r="O213" s="25">
        <f t="shared" si="76"/>
        <v>0</v>
      </c>
      <c r="P213" s="16"/>
      <c r="Q213" s="12">
        <f t="shared" si="77"/>
        <v>5.7960000000000003</v>
      </c>
      <c r="R213" s="5">
        <v>0</v>
      </c>
      <c r="S213" s="24">
        <v>0</v>
      </c>
      <c r="T213" s="26">
        <v>0</v>
      </c>
      <c r="U213" s="18">
        <f t="shared" si="78"/>
        <v>5.7960000000000003</v>
      </c>
      <c r="V213" s="22">
        <f t="shared" si="79"/>
        <v>0</v>
      </c>
      <c r="W213" s="25">
        <f t="shared" si="80"/>
        <v>0</v>
      </c>
      <c r="X213" s="3"/>
      <c r="Y213" s="14"/>
      <c r="Z213" s="14"/>
      <c r="AA213" s="18">
        <v>18</v>
      </c>
      <c r="AB213" s="21">
        <v>5.5659999999999998E-3</v>
      </c>
      <c r="AC213" s="11">
        <v>46313</v>
      </c>
      <c r="AD213" s="4">
        <v>92</v>
      </c>
      <c r="AE213" s="18">
        <f>(IF(K213&gt;0,K213+R213,R213)-(AD213*Ventas!AE210*1.0489))</f>
        <v>4.6380144000000003</v>
      </c>
      <c r="AF213" s="20">
        <f>(AE213/(Ventas!AE210*1.0489)/80)</f>
        <v>4.6060301267995047</v>
      </c>
      <c r="AG213" s="22">
        <f t="shared" si="92"/>
        <v>0</v>
      </c>
      <c r="AH213" s="14"/>
      <c r="AI213" s="25">
        <f t="shared" si="81"/>
        <v>0</v>
      </c>
      <c r="AJ213" s="16"/>
      <c r="AK213" s="12">
        <f t="shared" si="82"/>
        <v>4.6380144000000003</v>
      </c>
      <c r="AL213" s="19">
        <f t="shared" si="83"/>
        <v>4.0302763609495669</v>
      </c>
      <c r="AM213" s="18">
        <f>(180*(Ventas!AE210*0.9644) - IF(AE213&gt;0,AE213,0))</f>
        <v>-2.5549104000000002</v>
      </c>
      <c r="AN213" s="18">
        <f t="shared" si="94"/>
        <v>0</v>
      </c>
      <c r="AO213" s="14"/>
      <c r="AP213" s="14">
        <f t="shared" si="93"/>
        <v>0</v>
      </c>
      <c r="AQ213" s="16">
        <f t="shared" si="84"/>
        <v>0</v>
      </c>
      <c r="AR213" s="37">
        <f>_xlfn.XLOOKUP(C213,[1]Hoja2!$C$6:$C$24,[1]Hoja2!$D$6:$D$24,0,2,1)</f>
        <v>0</v>
      </c>
      <c r="AS213" s="18">
        <f t="shared" si="85"/>
        <v>4.6380144000000003</v>
      </c>
      <c r="AT213" s="14"/>
      <c r="AU213" s="37">
        <f>_xlfn.XLOOKUP(D213,[1]Hoja2!$E$6:$E$24,[1]Hoja2!$F$6:$F$24,0,2,1)</f>
        <v>0</v>
      </c>
      <c r="AV213" s="27">
        <v>0</v>
      </c>
      <c r="AW213" s="5">
        <v>3016</v>
      </c>
      <c r="AX213" s="14">
        <v>0</v>
      </c>
      <c r="AY213" s="14"/>
      <c r="AZ213" s="16">
        <f>_xlfn.XLOOKUP(C213,[2]PI!$B$15:$B$99,[2]PI!$L$15:$L$99,0,2,1)</f>
        <v>0</v>
      </c>
      <c r="BA213" s="16">
        <f>_xlfn.XLOOKUP(D213,[2]PI!$B$15:$B$99,[2]PI!$L$15:$L$99,0,2,1)</f>
        <v>0</v>
      </c>
      <c r="BB213" s="18">
        <f>(AS213-(90*Ventas!AE210*0.9644))</f>
        <v>3.5964624000000001</v>
      </c>
      <c r="BC213" s="20">
        <f>(BB213/(Ventas!AE210*0.9644)/80)</f>
        <v>3.8846070095396099</v>
      </c>
      <c r="BD213" s="14"/>
      <c r="BE213" s="14"/>
      <c r="BF213" s="16"/>
      <c r="BG213" s="16"/>
      <c r="BH213" s="12">
        <f t="shared" si="86"/>
        <v>3.5964624000000001</v>
      </c>
      <c r="BI213" s="19">
        <f t="shared" si="87"/>
        <v>3.3990311333471586</v>
      </c>
      <c r="BJ213" s="1" t="s">
        <v>35</v>
      </c>
      <c r="BK213">
        <f t="shared" si="88"/>
        <v>0</v>
      </c>
      <c r="BL213">
        <f t="shared" si="89"/>
        <v>0</v>
      </c>
    </row>
    <row r="214" spans="1:64" x14ac:dyDescent="0.25">
      <c r="A214" s="1" t="s">
        <v>652</v>
      </c>
      <c r="B214" s="1" t="s">
        <v>651</v>
      </c>
      <c r="C214" s="13" t="s">
        <v>650</v>
      </c>
      <c r="D214" s="15" t="s">
        <v>1562</v>
      </c>
      <c r="E214" s="17"/>
      <c r="F214" s="5">
        <v>394</v>
      </c>
      <c r="G214" s="14"/>
      <c r="H214" s="16"/>
      <c r="I214" s="11">
        <v>46221</v>
      </c>
      <c r="J214" s="4">
        <v>17</v>
      </c>
      <c r="K214" s="18">
        <f>(F214-(0)+0-(J214*Ventas!AE211*1))</f>
        <v>358.95620000000002</v>
      </c>
      <c r="L214" s="20">
        <f>(K214/(Ventas!AE211*1)/80)</f>
        <v>2.1766530028136222</v>
      </c>
      <c r="M214" s="22">
        <f>(G214-(0)+0-(J214*Ventas!AE522*1))</f>
        <v>0</v>
      </c>
      <c r="N214" s="14"/>
      <c r="O214" s="25">
        <f t="shared" si="76"/>
        <v>0</v>
      </c>
      <c r="P214" s="16"/>
      <c r="Q214" s="12">
        <f t="shared" si="77"/>
        <v>358.95620000000002</v>
      </c>
      <c r="R214" s="5">
        <v>40</v>
      </c>
      <c r="S214" s="24">
        <v>0</v>
      </c>
      <c r="T214" s="26">
        <v>0</v>
      </c>
      <c r="U214" s="18">
        <f t="shared" si="78"/>
        <v>398.95620000000002</v>
      </c>
      <c r="V214" s="22">
        <f t="shared" si="79"/>
        <v>0</v>
      </c>
      <c r="W214" s="25">
        <f t="shared" si="80"/>
        <v>0</v>
      </c>
      <c r="X214" s="18">
        <v>3.35</v>
      </c>
      <c r="Y214" s="14"/>
      <c r="Z214" s="14"/>
      <c r="AA214" s="18">
        <v>12</v>
      </c>
      <c r="AB214" s="21">
        <v>7.136E-3</v>
      </c>
      <c r="AC214" s="11">
        <v>46313</v>
      </c>
      <c r="AD214" s="4">
        <v>92</v>
      </c>
      <c r="AE214" s="18">
        <f>(IF(K214&gt;0,K214+R214,R214)-(AD214*Ventas!AE211*1.0489))</f>
        <v>200.03357368000005</v>
      </c>
      <c r="AF214" s="20">
        <f>(AE214/(Ventas!AE211*1.0489)/80)</f>
        <v>1.1564225447232175</v>
      </c>
      <c r="AG214" s="22">
        <f>(IF(M214&gt;0,M214+S214,S214)-(AD214*Ventas!AE522*1.0489))</f>
        <v>0</v>
      </c>
      <c r="AH214" s="14"/>
      <c r="AI214" s="25">
        <f t="shared" si="81"/>
        <v>0</v>
      </c>
      <c r="AJ214" s="16"/>
      <c r="AK214" s="12">
        <f t="shared" si="82"/>
        <v>200.03357368000005</v>
      </c>
      <c r="AL214" s="19">
        <f t="shared" si="83"/>
        <v>1.0118697266328154</v>
      </c>
      <c r="AM214" s="18">
        <f>(180*(Ventas!AE211*0.9644) - IF(AE214&gt;0,AE214,0))</f>
        <v>157.80897511999999</v>
      </c>
      <c r="AN214" s="18">
        <v>140</v>
      </c>
      <c r="AO214" s="22">
        <f>(180*(Ventas!AE522*0.9644) - IF(AG214&gt;0,AG214,0))</f>
        <v>0</v>
      </c>
      <c r="AP214" s="22">
        <f t="shared" si="93"/>
        <v>0</v>
      </c>
      <c r="AQ214" s="16">
        <f t="shared" si="84"/>
        <v>0.99904000000000004</v>
      </c>
      <c r="AR214" s="37">
        <f>_xlfn.XLOOKUP(C214,[1]Hoja2!$C$6:$C$24,[1]Hoja2!$D$6:$D$24,0,2,1)</f>
        <v>0</v>
      </c>
      <c r="AS214" s="18">
        <f t="shared" si="85"/>
        <v>340.03357368000002</v>
      </c>
      <c r="AT214" s="22">
        <f>IF(AG214&gt;0,AG214+IF(AP214&gt;0,AP214,0),AP214)</f>
        <v>0</v>
      </c>
      <c r="AU214" s="37">
        <f>_xlfn.XLOOKUP(D214,[1]Hoja2!$E$6:$E$24,[1]Hoja2!$F$6:$F$24,0,2,1)</f>
        <v>0</v>
      </c>
      <c r="AV214" s="27">
        <v>3.35</v>
      </c>
      <c r="AW214" s="5">
        <v>3016</v>
      </c>
      <c r="AX214" s="14">
        <v>0</v>
      </c>
      <c r="AY214" s="14"/>
      <c r="AZ214" s="16">
        <f>_xlfn.XLOOKUP(C214,[2]PI!$B$15:$B$99,[2]PI!$L$15:$L$99,0,2,1)</f>
        <v>3.35</v>
      </c>
      <c r="BA214" s="16">
        <f>_xlfn.XLOOKUP(D214,[2]PI!$B$15:$B$99,[2]PI!$L$15:$L$99,0,2,1)</f>
        <v>0</v>
      </c>
      <c r="BB214" s="18">
        <f>(AS214-(90*Ventas!AE211*0.9644))</f>
        <v>161.11229928000003</v>
      </c>
      <c r="BC214" s="20">
        <f>(BB214/(Ventas!AE211*0.9644)/80)</f>
        <v>1.0130228353101871</v>
      </c>
      <c r="BD214" s="14"/>
      <c r="BE214" s="14"/>
      <c r="BF214" s="16"/>
      <c r="BG214" s="16"/>
      <c r="BH214" s="12">
        <f t="shared" si="86"/>
        <v>161.11229928000003</v>
      </c>
      <c r="BI214" s="19">
        <f t="shared" si="87"/>
        <v>0.88639498089641378</v>
      </c>
      <c r="BJ214" s="1" t="s">
        <v>35</v>
      </c>
      <c r="BK214">
        <f t="shared" si="88"/>
        <v>469</v>
      </c>
      <c r="BL214">
        <f t="shared" si="89"/>
        <v>469</v>
      </c>
    </row>
    <row r="215" spans="1:64" x14ac:dyDescent="0.25">
      <c r="A215" s="1" t="s">
        <v>655</v>
      </c>
      <c r="B215" s="1" t="s">
        <v>654</v>
      </c>
      <c r="C215" s="13" t="s">
        <v>653</v>
      </c>
      <c r="D215" s="15"/>
      <c r="E215" s="17"/>
      <c r="F215" s="5">
        <v>38</v>
      </c>
      <c r="G215" s="14"/>
      <c r="H215" s="16"/>
      <c r="I215" s="11">
        <v>46221</v>
      </c>
      <c r="J215" s="4">
        <v>17</v>
      </c>
      <c r="K215" s="18">
        <f>(F215-(0)+0-(J215*Ventas!AE212*1))</f>
        <v>37.850885714285717</v>
      </c>
      <c r="L215" s="20">
        <f>(K215/(Ventas!AE212*1)/80)</f>
        <v>53.940594462540716</v>
      </c>
      <c r="M215" s="22">
        <f t="shared" ref="M215:M257" si="95">(G215+0)</f>
        <v>0</v>
      </c>
      <c r="N215" s="14"/>
      <c r="O215" s="25">
        <f t="shared" si="76"/>
        <v>0</v>
      </c>
      <c r="P215" s="16"/>
      <c r="Q215" s="12">
        <f t="shared" si="77"/>
        <v>37.850885714285717</v>
      </c>
      <c r="R215" s="5">
        <v>0</v>
      </c>
      <c r="S215" s="24">
        <v>0</v>
      </c>
      <c r="T215" s="26">
        <v>0</v>
      </c>
      <c r="U215" s="18">
        <f t="shared" si="78"/>
        <v>37.850885714285717</v>
      </c>
      <c r="V215" s="22">
        <f t="shared" si="79"/>
        <v>0</v>
      </c>
      <c r="W215" s="25">
        <f t="shared" si="80"/>
        <v>0</v>
      </c>
      <c r="X215" s="3"/>
      <c r="Y215" s="14"/>
      <c r="Z215" s="14"/>
      <c r="AA215" s="18">
        <v>10</v>
      </c>
      <c r="AB215" s="21">
        <v>1.3318E-2</v>
      </c>
      <c r="AC215" s="11">
        <v>46313</v>
      </c>
      <c r="AD215" s="4">
        <v>92</v>
      </c>
      <c r="AE215" s="18">
        <f>(IF(K215&gt;0,K215+R215,R215)-(AD215*Ventas!AE212*1.0489))</f>
        <v>37.004453382857143</v>
      </c>
      <c r="AF215" s="20">
        <f>(AE215/(Ventas!AE212*1.0489)/80)</f>
        <v>50.275869446601881</v>
      </c>
      <c r="AG215" s="22">
        <f t="shared" ref="AG215:AG257" si="96">(G215+0)</f>
        <v>0</v>
      </c>
      <c r="AH215" s="14"/>
      <c r="AI215" s="25">
        <f t="shared" si="81"/>
        <v>0</v>
      </c>
      <c r="AJ215" s="16"/>
      <c r="AK215" s="12">
        <f t="shared" si="82"/>
        <v>37.004453382857143</v>
      </c>
      <c r="AL215" s="19">
        <f t="shared" si="83"/>
        <v>43.991385765776648</v>
      </c>
      <c r="AM215" s="18">
        <f>(180*(Ventas!AE212*0.9644) - IF(AE215&gt;0,AE215,0))</f>
        <v>-35.481803554285712</v>
      </c>
      <c r="AN215" s="18">
        <f t="shared" ref="AN215:AN239" si="97">IF(AM215&gt;3,CEILING(AM215,5),0)</f>
        <v>0</v>
      </c>
      <c r="AO215" s="14"/>
      <c r="AP215" s="14">
        <f t="shared" si="93"/>
        <v>0</v>
      </c>
      <c r="AQ215" s="16">
        <f t="shared" si="84"/>
        <v>0</v>
      </c>
      <c r="AR215" s="37">
        <f>_xlfn.XLOOKUP(C215,[1]Hoja2!$C$6:$C$24,[1]Hoja2!$D$6:$D$24,0,2,1)</f>
        <v>0</v>
      </c>
      <c r="AS215" s="18">
        <f t="shared" si="85"/>
        <v>37.004453382857143</v>
      </c>
      <c r="AT215" s="14"/>
      <c r="AU215" s="37">
        <f>_xlfn.XLOOKUP(D215,[1]Hoja2!$E$6:$E$24,[1]Hoja2!$F$6:$F$24,0,2,1)</f>
        <v>0</v>
      </c>
      <c r="AV215" s="27">
        <v>0</v>
      </c>
      <c r="AW215" s="5">
        <v>3016</v>
      </c>
      <c r="AX215" s="14">
        <v>0</v>
      </c>
      <c r="AY215" s="14"/>
      <c r="AZ215" s="16">
        <f>_xlfn.XLOOKUP(C215,[2]PI!$B$15:$B$99,[2]PI!$L$15:$L$99,0,2,1)</f>
        <v>0</v>
      </c>
      <c r="BA215" s="16">
        <f>_xlfn.XLOOKUP(D215,[2]PI!$B$15:$B$99,[2]PI!$L$15:$L$99,0,2,1)</f>
        <v>0</v>
      </c>
      <c r="BB215" s="18">
        <f>(AS215-(90*Ventas!AE212*0.9644))</f>
        <v>36.243128468571427</v>
      </c>
      <c r="BC215" s="20">
        <f>(BB215/(Ventas!AE212*0.9644)/80)</f>
        <v>53.556003175591776</v>
      </c>
      <c r="BD215" s="14"/>
      <c r="BE215" s="14"/>
      <c r="BF215" s="16"/>
      <c r="BG215" s="16"/>
      <c r="BH215" s="12">
        <f t="shared" si="86"/>
        <v>36.243128468571427</v>
      </c>
      <c r="BI215" s="19">
        <f t="shared" si="87"/>
        <v>46.861502778642802</v>
      </c>
      <c r="BJ215" s="1" t="s">
        <v>35</v>
      </c>
      <c r="BK215">
        <f t="shared" si="88"/>
        <v>0</v>
      </c>
      <c r="BL215">
        <f t="shared" si="89"/>
        <v>0</v>
      </c>
    </row>
    <row r="216" spans="1:64" x14ac:dyDescent="0.25">
      <c r="A216" s="1" t="s">
        <v>658</v>
      </c>
      <c r="B216" s="1" t="s">
        <v>657</v>
      </c>
      <c r="C216" s="13" t="s">
        <v>656</v>
      </c>
      <c r="D216" s="15"/>
      <c r="E216" s="17"/>
      <c r="F216" s="5">
        <v>33</v>
      </c>
      <c r="G216" s="14"/>
      <c r="H216" s="16"/>
      <c r="I216" s="11">
        <v>46221</v>
      </c>
      <c r="J216" s="4">
        <v>17</v>
      </c>
      <c r="K216" s="18">
        <f>(F216-(0)+0-(J216*Ventas!AE213*1))</f>
        <v>32.925442857142855</v>
      </c>
      <c r="L216" s="20">
        <f>(K216/(Ventas!AE213*1)/80)</f>
        <v>93.842874592833851</v>
      </c>
      <c r="M216" s="22">
        <f t="shared" si="95"/>
        <v>0</v>
      </c>
      <c r="N216" s="14"/>
      <c r="O216" s="25">
        <f t="shared" si="76"/>
        <v>0</v>
      </c>
      <c r="P216" s="16"/>
      <c r="Q216" s="12">
        <f t="shared" si="77"/>
        <v>32.925442857142855</v>
      </c>
      <c r="R216" s="5">
        <v>0</v>
      </c>
      <c r="S216" s="24">
        <v>0</v>
      </c>
      <c r="T216" s="26">
        <v>0</v>
      </c>
      <c r="U216" s="18">
        <f t="shared" si="78"/>
        <v>32.925442857142855</v>
      </c>
      <c r="V216" s="22">
        <f t="shared" si="79"/>
        <v>0</v>
      </c>
      <c r="W216" s="25">
        <f t="shared" si="80"/>
        <v>0</v>
      </c>
      <c r="X216" s="3"/>
      <c r="Y216" s="14"/>
      <c r="Z216" s="14"/>
      <c r="AA216" s="18">
        <v>18</v>
      </c>
      <c r="AB216" s="21">
        <v>4.333E-3</v>
      </c>
      <c r="AC216" s="11">
        <v>46313</v>
      </c>
      <c r="AD216" s="4">
        <v>92</v>
      </c>
      <c r="AE216" s="18">
        <f>(IF(K216&gt;0,K216+R216,R216)-(AD216*Ventas!AE213*1.0489))</f>
        <v>32.502226691428568</v>
      </c>
      <c r="AF216" s="20">
        <f>(AE216/(Ventas!AE213*1.0489)/80)</f>
        <v>88.317894549369683</v>
      </c>
      <c r="AG216" s="22">
        <f t="shared" si="96"/>
        <v>0</v>
      </c>
      <c r="AH216" s="14"/>
      <c r="AI216" s="25">
        <f t="shared" si="81"/>
        <v>0</v>
      </c>
      <c r="AJ216" s="16"/>
      <c r="AK216" s="12">
        <f t="shared" si="82"/>
        <v>32.502226691428568</v>
      </c>
      <c r="AL216" s="19">
        <f t="shared" si="83"/>
        <v>77.278157730698467</v>
      </c>
      <c r="AM216" s="18">
        <f>(180*(Ventas!AE213*0.9644) - IF(AE216&gt;0,AE216,0))</f>
        <v>-31.740901777142852</v>
      </c>
      <c r="AN216" s="18">
        <f t="shared" si="97"/>
        <v>0</v>
      </c>
      <c r="AO216" s="14"/>
      <c r="AP216" s="14">
        <f t="shared" si="93"/>
        <v>0</v>
      </c>
      <c r="AQ216" s="16">
        <f t="shared" si="84"/>
        <v>0</v>
      </c>
      <c r="AR216" s="37">
        <f>_xlfn.XLOOKUP(C216,[1]Hoja2!$C$6:$C$24,[1]Hoja2!$D$6:$D$24,0,2,1)</f>
        <v>0</v>
      </c>
      <c r="AS216" s="18">
        <f t="shared" si="85"/>
        <v>32.502226691428568</v>
      </c>
      <c r="AT216" s="14"/>
      <c r="AU216" s="37">
        <f>_xlfn.XLOOKUP(D216,[1]Hoja2!$E$6:$E$24,[1]Hoja2!$F$6:$F$24,0,2,1)</f>
        <v>0</v>
      </c>
      <c r="AV216" s="27">
        <v>0</v>
      </c>
      <c r="AW216" s="5">
        <v>3016</v>
      </c>
      <c r="AX216" s="14">
        <v>0</v>
      </c>
      <c r="AY216" s="14"/>
      <c r="AZ216" s="16">
        <f>_xlfn.XLOOKUP(C216,[2]PI!$B$15:$B$99,[2]PI!$L$15:$L$99,0,2,1)</f>
        <v>0</v>
      </c>
      <c r="BA216" s="16">
        <f>_xlfn.XLOOKUP(D216,[2]PI!$B$15:$B$99,[2]PI!$L$15:$L$99,0,2,1)</f>
        <v>0</v>
      </c>
      <c r="BB216" s="18">
        <f>(AS216-(90*Ventas!AE213*0.9644))</f>
        <v>32.121564234285714</v>
      </c>
      <c r="BC216" s="20">
        <f>(BB216/(Ventas!AE213*0.9644)/80)</f>
        <v>94.931241800947603</v>
      </c>
      <c r="BD216" s="14"/>
      <c r="BE216" s="14"/>
      <c r="BF216" s="16"/>
      <c r="BG216" s="16"/>
      <c r="BH216" s="12">
        <f t="shared" si="86"/>
        <v>32.121564234285714</v>
      </c>
      <c r="BI216" s="19">
        <f t="shared" si="87"/>
        <v>83.064836575829148</v>
      </c>
      <c r="BJ216" s="1" t="s">
        <v>35</v>
      </c>
      <c r="BK216">
        <f t="shared" si="88"/>
        <v>0</v>
      </c>
      <c r="BL216">
        <f t="shared" si="89"/>
        <v>0</v>
      </c>
    </row>
    <row r="217" spans="1:64" x14ac:dyDescent="0.25">
      <c r="A217" s="1" t="s">
        <v>661</v>
      </c>
      <c r="B217" s="1" t="s">
        <v>660</v>
      </c>
      <c r="C217" s="13" t="s">
        <v>659</v>
      </c>
      <c r="D217" s="15"/>
      <c r="E217" s="17"/>
      <c r="F217" s="3"/>
      <c r="G217" s="14"/>
      <c r="H217" s="16"/>
      <c r="I217" s="11">
        <v>46221</v>
      </c>
      <c r="J217" s="4">
        <v>17</v>
      </c>
      <c r="K217" s="18">
        <f>(F217-(0)+0-(J217*Ventas!AE214*1))</f>
        <v>0</v>
      </c>
      <c r="L217" s="3"/>
      <c r="M217" s="22">
        <f t="shared" si="95"/>
        <v>0</v>
      </c>
      <c r="N217" s="14"/>
      <c r="O217" s="25">
        <f t="shared" si="76"/>
        <v>0</v>
      </c>
      <c r="P217" s="16"/>
      <c r="Q217" s="12">
        <f t="shared" si="77"/>
        <v>0</v>
      </c>
      <c r="R217" s="5">
        <v>0</v>
      </c>
      <c r="S217" s="24">
        <v>0</v>
      </c>
      <c r="T217" s="26">
        <v>0</v>
      </c>
      <c r="U217" s="18">
        <f t="shared" si="78"/>
        <v>0</v>
      </c>
      <c r="V217" s="22">
        <f t="shared" si="79"/>
        <v>0</v>
      </c>
      <c r="W217" s="25">
        <f t="shared" si="80"/>
        <v>0</v>
      </c>
      <c r="X217" s="3"/>
      <c r="Y217" s="14"/>
      <c r="Z217" s="14"/>
      <c r="AA217" s="3"/>
      <c r="AB217" s="3"/>
      <c r="AC217" s="11">
        <v>46313</v>
      </c>
      <c r="AD217" s="4">
        <v>92</v>
      </c>
      <c r="AE217" s="18">
        <f>(IF(K217&gt;0,K217+R217,R217)-(AD217*Ventas!AE214*1.0489))</f>
        <v>0</v>
      </c>
      <c r="AF217" s="3"/>
      <c r="AG217" s="22">
        <f t="shared" si="96"/>
        <v>0</v>
      </c>
      <c r="AH217" s="14"/>
      <c r="AI217" s="25">
        <f t="shared" si="81"/>
        <v>0</v>
      </c>
      <c r="AJ217" s="16"/>
      <c r="AK217" s="12">
        <f t="shared" si="82"/>
        <v>0</v>
      </c>
      <c r="AL217" s="19">
        <f t="shared" si="83"/>
        <v>0</v>
      </c>
      <c r="AM217" s="18">
        <f>(180*(Ventas!AE214*0.9644) - IF(AE217&gt;0,AE217,0))</f>
        <v>0</v>
      </c>
      <c r="AN217" s="18">
        <f t="shared" si="97"/>
        <v>0</v>
      </c>
      <c r="AO217" s="14"/>
      <c r="AP217" s="14">
        <f t="shared" si="93"/>
        <v>0</v>
      </c>
      <c r="AQ217" s="16">
        <f t="shared" si="84"/>
        <v>0</v>
      </c>
      <c r="AR217" s="37">
        <f>_xlfn.XLOOKUP(C217,[1]Hoja2!$C$6:$C$24,[1]Hoja2!$D$6:$D$24,0,2,1)</f>
        <v>0</v>
      </c>
      <c r="AS217" s="18">
        <f t="shared" si="85"/>
        <v>0</v>
      </c>
      <c r="AT217" s="14"/>
      <c r="AU217" s="37">
        <f>_xlfn.XLOOKUP(D217,[1]Hoja2!$E$6:$E$24,[1]Hoja2!$F$6:$F$24,0,2,1)</f>
        <v>0</v>
      </c>
      <c r="AV217" s="27">
        <v>0</v>
      </c>
      <c r="AW217" s="5">
        <v>3022</v>
      </c>
      <c r="AX217" s="14">
        <v>0</v>
      </c>
      <c r="AY217" s="14"/>
      <c r="AZ217" s="16">
        <f>_xlfn.XLOOKUP(C217,[2]PI!$B$15:$B$99,[2]PI!$L$15:$L$99,0,2,1)</f>
        <v>0</v>
      </c>
      <c r="BA217" s="16">
        <f>_xlfn.XLOOKUP(D217,[2]PI!$B$15:$B$99,[2]PI!$L$15:$L$99,0,2,1)</f>
        <v>0</v>
      </c>
      <c r="BB217" s="3"/>
      <c r="BC217" s="3"/>
      <c r="BD217" s="14"/>
      <c r="BE217" s="14"/>
      <c r="BF217" s="16"/>
      <c r="BG217" s="16"/>
      <c r="BH217" s="12">
        <f t="shared" si="86"/>
        <v>0</v>
      </c>
      <c r="BI217" s="19">
        <f t="shared" si="87"/>
        <v>0</v>
      </c>
      <c r="BJ217" s="1" t="s">
        <v>51</v>
      </c>
      <c r="BK217">
        <f t="shared" si="88"/>
        <v>0</v>
      </c>
      <c r="BL217">
        <f t="shared" si="89"/>
        <v>0</v>
      </c>
    </row>
    <row r="218" spans="1:64" x14ac:dyDescent="0.25">
      <c r="A218" s="1" t="s">
        <v>664</v>
      </c>
      <c r="B218" s="1" t="s">
        <v>663</v>
      </c>
      <c r="C218" s="13" t="s">
        <v>662</v>
      </c>
      <c r="D218" s="15"/>
      <c r="E218" s="17"/>
      <c r="F218" s="3"/>
      <c r="G218" s="14"/>
      <c r="H218" s="16"/>
      <c r="I218" s="11">
        <v>46221</v>
      </c>
      <c r="J218" s="4">
        <v>17</v>
      </c>
      <c r="K218" s="18">
        <f>(F218-(0)+0-(J218*Ventas!AE215*1))</f>
        <v>0</v>
      </c>
      <c r="L218" s="3"/>
      <c r="M218" s="22">
        <f t="shared" si="95"/>
        <v>0</v>
      </c>
      <c r="N218" s="14"/>
      <c r="O218" s="25">
        <f t="shared" si="76"/>
        <v>0</v>
      </c>
      <c r="P218" s="16"/>
      <c r="Q218" s="12">
        <f t="shared" si="77"/>
        <v>0</v>
      </c>
      <c r="R218" s="5">
        <v>0</v>
      </c>
      <c r="S218" s="24">
        <v>0</v>
      </c>
      <c r="T218" s="26">
        <v>0</v>
      </c>
      <c r="U218" s="18">
        <f t="shared" si="78"/>
        <v>0</v>
      </c>
      <c r="V218" s="22">
        <f t="shared" si="79"/>
        <v>0</v>
      </c>
      <c r="W218" s="25">
        <f t="shared" si="80"/>
        <v>0</v>
      </c>
      <c r="X218" s="3"/>
      <c r="Y218" s="14"/>
      <c r="Z218" s="14"/>
      <c r="AA218" s="18">
        <v>20</v>
      </c>
      <c r="AB218" s="21">
        <v>3.6359999999999999E-3</v>
      </c>
      <c r="AC218" s="11">
        <v>46313</v>
      </c>
      <c r="AD218" s="4">
        <v>92</v>
      </c>
      <c r="AE218" s="18">
        <f>(IF(K218&gt;0,K218+R218,R218)-(AD218*Ventas!AE215*1.0489))</f>
        <v>0</v>
      </c>
      <c r="AF218" s="3"/>
      <c r="AG218" s="22">
        <f t="shared" si="96"/>
        <v>0</v>
      </c>
      <c r="AH218" s="14"/>
      <c r="AI218" s="25">
        <f t="shared" si="81"/>
        <v>0</v>
      </c>
      <c r="AJ218" s="16"/>
      <c r="AK218" s="12">
        <f t="shared" si="82"/>
        <v>0</v>
      </c>
      <c r="AL218" s="19">
        <f t="shared" si="83"/>
        <v>0</v>
      </c>
      <c r="AM218" s="18">
        <f>(180*(Ventas!AE215*0.9644) - IF(AE218&gt;0,AE218,0))</f>
        <v>0</v>
      </c>
      <c r="AN218" s="18">
        <f t="shared" si="97"/>
        <v>0</v>
      </c>
      <c r="AO218" s="14"/>
      <c r="AP218" s="14">
        <f t="shared" si="93"/>
        <v>0</v>
      </c>
      <c r="AQ218" s="16">
        <f t="shared" si="84"/>
        <v>0</v>
      </c>
      <c r="AR218" s="37">
        <f>_xlfn.XLOOKUP(C218,[1]Hoja2!$C$6:$C$24,[1]Hoja2!$D$6:$D$24,0,2,1)</f>
        <v>0</v>
      </c>
      <c r="AS218" s="18">
        <f t="shared" si="85"/>
        <v>0</v>
      </c>
      <c r="AT218" s="14"/>
      <c r="AU218" s="37">
        <f>_xlfn.XLOOKUP(D218,[1]Hoja2!$E$6:$E$24,[1]Hoja2!$F$6:$F$24,0,2,1)</f>
        <v>0</v>
      </c>
      <c r="AV218" s="3">
        <v>0</v>
      </c>
      <c r="AW218" s="3"/>
      <c r="AX218" s="14">
        <v>0</v>
      </c>
      <c r="AY218" s="14"/>
      <c r="AZ218" s="16">
        <f>_xlfn.XLOOKUP(C218,[2]PI!$B$15:$B$99,[2]PI!$L$15:$L$99,0,2,1)</f>
        <v>0</v>
      </c>
      <c r="BA218" s="16">
        <f>_xlfn.XLOOKUP(D218,[2]PI!$B$15:$B$99,[2]PI!$L$15:$L$99,0,2,1)</f>
        <v>0</v>
      </c>
      <c r="BB218" s="3"/>
      <c r="BC218" s="3"/>
      <c r="BD218" s="14"/>
      <c r="BE218" s="14"/>
      <c r="BF218" s="16"/>
      <c r="BG218" s="16"/>
      <c r="BH218" s="12">
        <f t="shared" si="86"/>
        <v>0</v>
      </c>
      <c r="BI218" s="19">
        <f t="shared" si="87"/>
        <v>0</v>
      </c>
      <c r="BJ218" s="1" t="s">
        <v>51</v>
      </c>
      <c r="BK218">
        <f t="shared" si="88"/>
        <v>0</v>
      </c>
      <c r="BL218">
        <f t="shared" si="89"/>
        <v>0</v>
      </c>
    </row>
    <row r="219" spans="1:64" x14ac:dyDescent="0.25">
      <c r="A219" s="1" t="s">
        <v>667</v>
      </c>
      <c r="B219" s="1" t="s">
        <v>666</v>
      </c>
      <c r="C219" s="13" t="s">
        <v>665</v>
      </c>
      <c r="D219" s="15"/>
      <c r="E219" s="17"/>
      <c r="F219" s="3"/>
      <c r="G219" s="14"/>
      <c r="H219" s="16"/>
      <c r="I219" s="11">
        <v>46221</v>
      </c>
      <c r="J219" s="4">
        <v>17</v>
      </c>
      <c r="K219" s="18">
        <f>(F219-(0)+0-(J219*Ventas!AE216*1))</f>
        <v>0</v>
      </c>
      <c r="L219" s="3"/>
      <c r="M219" s="22">
        <f t="shared" si="95"/>
        <v>0</v>
      </c>
      <c r="N219" s="14"/>
      <c r="O219" s="25">
        <f t="shared" si="76"/>
        <v>0</v>
      </c>
      <c r="P219" s="16"/>
      <c r="Q219" s="12">
        <f t="shared" si="77"/>
        <v>0</v>
      </c>
      <c r="R219" s="5">
        <v>0</v>
      </c>
      <c r="S219" s="24">
        <v>0</v>
      </c>
      <c r="T219" s="26">
        <v>0</v>
      </c>
      <c r="U219" s="18">
        <f t="shared" si="78"/>
        <v>0</v>
      </c>
      <c r="V219" s="22">
        <f t="shared" si="79"/>
        <v>0</v>
      </c>
      <c r="W219" s="25">
        <f t="shared" si="80"/>
        <v>0</v>
      </c>
      <c r="X219" s="3"/>
      <c r="Y219" s="14"/>
      <c r="Z219" s="14"/>
      <c r="AA219" s="18">
        <v>20</v>
      </c>
      <c r="AB219" s="21">
        <v>3.6359999999999999E-3</v>
      </c>
      <c r="AC219" s="11">
        <v>46313</v>
      </c>
      <c r="AD219" s="4">
        <v>92</v>
      </c>
      <c r="AE219" s="18">
        <f>(IF(K219&gt;0,K219+R219,R219)-(AD219*Ventas!AE216*1.0489))</f>
        <v>0</v>
      </c>
      <c r="AF219" s="3"/>
      <c r="AG219" s="22">
        <f t="shared" si="96"/>
        <v>0</v>
      </c>
      <c r="AH219" s="14"/>
      <c r="AI219" s="25">
        <f t="shared" si="81"/>
        <v>0</v>
      </c>
      <c r="AJ219" s="16"/>
      <c r="AK219" s="12">
        <f t="shared" si="82"/>
        <v>0</v>
      </c>
      <c r="AL219" s="19">
        <f t="shared" si="83"/>
        <v>0</v>
      </c>
      <c r="AM219" s="18">
        <f>(180*(Ventas!AE216*0.9644) - IF(AE219&gt;0,AE219,0))</f>
        <v>0</v>
      </c>
      <c r="AN219" s="18">
        <f t="shared" si="97"/>
        <v>0</v>
      </c>
      <c r="AO219" s="14"/>
      <c r="AP219" s="14">
        <f t="shared" si="93"/>
        <v>0</v>
      </c>
      <c r="AQ219" s="16">
        <f t="shared" si="84"/>
        <v>0</v>
      </c>
      <c r="AR219" s="37">
        <f>_xlfn.XLOOKUP(C219,[1]Hoja2!$C$6:$C$24,[1]Hoja2!$D$6:$D$24,0,2,1)</f>
        <v>0</v>
      </c>
      <c r="AS219" s="18">
        <f t="shared" si="85"/>
        <v>0</v>
      </c>
      <c r="AT219" s="14"/>
      <c r="AU219" s="37">
        <f>_xlfn.XLOOKUP(D219,[1]Hoja2!$E$6:$E$24,[1]Hoja2!$F$6:$F$24,0,2,1)</f>
        <v>0</v>
      </c>
      <c r="AV219" s="3">
        <v>0</v>
      </c>
      <c r="AW219" s="3"/>
      <c r="AX219" s="14">
        <v>0</v>
      </c>
      <c r="AY219" s="14"/>
      <c r="AZ219" s="16">
        <f>_xlfn.XLOOKUP(C219,[2]PI!$B$15:$B$99,[2]PI!$L$15:$L$99,0,2,1)</f>
        <v>0</v>
      </c>
      <c r="BA219" s="16">
        <f>_xlfn.XLOOKUP(D219,[2]PI!$B$15:$B$99,[2]PI!$L$15:$L$99,0,2,1)</f>
        <v>0</v>
      </c>
      <c r="BB219" s="3"/>
      <c r="BC219" s="3"/>
      <c r="BD219" s="14"/>
      <c r="BE219" s="14"/>
      <c r="BF219" s="16"/>
      <c r="BG219" s="16"/>
      <c r="BH219" s="12">
        <f t="shared" si="86"/>
        <v>0</v>
      </c>
      <c r="BI219" s="19">
        <f t="shared" si="87"/>
        <v>0</v>
      </c>
      <c r="BJ219" s="1" t="s">
        <v>51</v>
      </c>
      <c r="BK219">
        <f t="shared" si="88"/>
        <v>0</v>
      </c>
      <c r="BL219">
        <f t="shared" si="89"/>
        <v>0</v>
      </c>
    </row>
    <row r="220" spans="1:64" x14ac:dyDescent="0.25">
      <c r="A220" s="1" t="s">
        <v>670</v>
      </c>
      <c r="B220" s="1" t="s">
        <v>669</v>
      </c>
      <c r="C220" s="13" t="s">
        <v>668</v>
      </c>
      <c r="D220" s="15"/>
      <c r="E220" s="17"/>
      <c r="F220" s="3"/>
      <c r="G220" s="14"/>
      <c r="H220" s="16"/>
      <c r="I220" s="11">
        <v>46221</v>
      </c>
      <c r="J220" s="4">
        <v>17</v>
      </c>
      <c r="K220" s="18">
        <f>(F220-(0)+0-(J220*Ventas!AE217*1))</f>
        <v>0</v>
      </c>
      <c r="L220" s="3"/>
      <c r="M220" s="22">
        <f t="shared" si="95"/>
        <v>0</v>
      </c>
      <c r="N220" s="14"/>
      <c r="O220" s="25">
        <f t="shared" si="76"/>
        <v>0</v>
      </c>
      <c r="P220" s="16"/>
      <c r="Q220" s="12">
        <f t="shared" si="77"/>
        <v>0</v>
      </c>
      <c r="R220" s="5">
        <v>0</v>
      </c>
      <c r="S220" s="24">
        <v>0</v>
      </c>
      <c r="T220" s="26">
        <v>0</v>
      </c>
      <c r="U220" s="18">
        <f t="shared" si="78"/>
        <v>0</v>
      </c>
      <c r="V220" s="22">
        <f t="shared" si="79"/>
        <v>0</v>
      </c>
      <c r="W220" s="25">
        <f t="shared" si="80"/>
        <v>0</v>
      </c>
      <c r="X220" s="3"/>
      <c r="Y220" s="14"/>
      <c r="Z220" s="14"/>
      <c r="AA220" s="18">
        <v>20</v>
      </c>
      <c r="AB220" s="21">
        <v>3.6359999999999999E-3</v>
      </c>
      <c r="AC220" s="11">
        <v>46313</v>
      </c>
      <c r="AD220" s="4">
        <v>92</v>
      </c>
      <c r="AE220" s="18">
        <f>(IF(K220&gt;0,K220+R220,R220)-(AD220*Ventas!AE217*1.0489))</f>
        <v>0</v>
      </c>
      <c r="AF220" s="3"/>
      <c r="AG220" s="22">
        <f t="shared" si="96"/>
        <v>0</v>
      </c>
      <c r="AH220" s="14"/>
      <c r="AI220" s="25">
        <f t="shared" si="81"/>
        <v>0</v>
      </c>
      <c r="AJ220" s="16"/>
      <c r="AK220" s="12">
        <f t="shared" si="82"/>
        <v>0</v>
      </c>
      <c r="AL220" s="19">
        <f t="shared" si="83"/>
        <v>0</v>
      </c>
      <c r="AM220" s="18">
        <f>(180*(Ventas!AE217*0.9644) - IF(AE220&gt;0,AE220,0))</f>
        <v>0</v>
      </c>
      <c r="AN220" s="18">
        <f t="shared" si="97"/>
        <v>0</v>
      </c>
      <c r="AO220" s="14"/>
      <c r="AP220" s="14">
        <f t="shared" si="93"/>
        <v>0</v>
      </c>
      <c r="AQ220" s="16">
        <f t="shared" si="84"/>
        <v>0</v>
      </c>
      <c r="AR220" s="37">
        <f>_xlfn.XLOOKUP(C220,[1]Hoja2!$C$6:$C$24,[1]Hoja2!$D$6:$D$24,0,2,1)</f>
        <v>0</v>
      </c>
      <c r="AS220" s="18">
        <f t="shared" si="85"/>
        <v>0</v>
      </c>
      <c r="AT220" s="14"/>
      <c r="AU220" s="37">
        <f>_xlfn.XLOOKUP(D220,[1]Hoja2!$E$6:$E$24,[1]Hoja2!$F$6:$F$24,0,2,1)</f>
        <v>0</v>
      </c>
      <c r="AV220" s="27">
        <v>0</v>
      </c>
      <c r="AW220" s="5">
        <v>3013</v>
      </c>
      <c r="AX220" s="14">
        <v>0</v>
      </c>
      <c r="AY220" s="14"/>
      <c r="AZ220" s="16">
        <f>_xlfn.XLOOKUP(C220,[2]PI!$B$15:$B$99,[2]PI!$L$15:$L$99,0,2,1)</f>
        <v>0</v>
      </c>
      <c r="BA220" s="16">
        <f>_xlfn.XLOOKUP(D220,[2]PI!$B$15:$B$99,[2]PI!$L$15:$L$99,0,2,1)</f>
        <v>0</v>
      </c>
      <c r="BB220" s="3"/>
      <c r="BC220" s="3"/>
      <c r="BD220" s="14"/>
      <c r="BE220" s="14"/>
      <c r="BF220" s="16"/>
      <c r="BG220" s="16"/>
      <c r="BH220" s="12">
        <f t="shared" si="86"/>
        <v>0</v>
      </c>
      <c r="BI220" s="19">
        <f t="shared" si="87"/>
        <v>0</v>
      </c>
      <c r="BJ220" s="1" t="s">
        <v>51</v>
      </c>
      <c r="BK220">
        <f t="shared" si="88"/>
        <v>0</v>
      </c>
      <c r="BL220">
        <f t="shared" si="89"/>
        <v>0</v>
      </c>
    </row>
    <row r="221" spans="1:64" x14ac:dyDescent="0.25">
      <c r="A221" s="1" t="s">
        <v>673</v>
      </c>
      <c r="B221" s="1" t="s">
        <v>672</v>
      </c>
      <c r="C221" s="13" t="s">
        <v>671</v>
      </c>
      <c r="D221" s="15"/>
      <c r="E221" s="17"/>
      <c r="F221" s="3"/>
      <c r="G221" s="14"/>
      <c r="H221" s="16"/>
      <c r="I221" s="11">
        <v>46221</v>
      </c>
      <c r="J221" s="4">
        <v>17</v>
      </c>
      <c r="K221" s="18">
        <f>(F221-(0)+0-(J221*Ventas!AE218*1))</f>
        <v>0</v>
      </c>
      <c r="L221" s="3"/>
      <c r="M221" s="22">
        <f t="shared" si="95"/>
        <v>0</v>
      </c>
      <c r="N221" s="14"/>
      <c r="O221" s="25">
        <f t="shared" si="76"/>
        <v>0</v>
      </c>
      <c r="P221" s="16"/>
      <c r="Q221" s="12">
        <f t="shared" si="77"/>
        <v>0</v>
      </c>
      <c r="R221" s="5">
        <v>0</v>
      </c>
      <c r="S221" s="24">
        <v>0</v>
      </c>
      <c r="T221" s="26">
        <v>0</v>
      </c>
      <c r="U221" s="18">
        <f t="shared" si="78"/>
        <v>0</v>
      </c>
      <c r="V221" s="22">
        <f t="shared" si="79"/>
        <v>0</v>
      </c>
      <c r="W221" s="25">
        <f t="shared" si="80"/>
        <v>0</v>
      </c>
      <c r="X221" s="3"/>
      <c r="Y221" s="14"/>
      <c r="Z221" s="14"/>
      <c r="AA221" s="18">
        <v>50</v>
      </c>
      <c r="AB221" s="21">
        <v>1.3730000000000001E-3</v>
      </c>
      <c r="AC221" s="11">
        <v>46313</v>
      </c>
      <c r="AD221" s="4">
        <v>92</v>
      </c>
      <c r="AE221" s="18">
        <f>(IF(K221&gt;0,K221+R221,R221)-(AD221*Ventas!AE218*1.0489))</f>
        <v>0</v>
      </c>
      <c r="AF221" s="3"/>
      <c r="AG221" s="22">
        <f t="shared" si="96"/>
        <v>0</v>
      </c>
      <c r="AH221" s="14"/>
      <c r="AI221" s="25">
        <f t="shared" si="81"/>
        <v>0</v>
      </c>
      <c r="AJ221" s="16"/>
      <c r="AK221" s="12">
        <f t="shared" si="82"/>
        <v>0</v>
      </c>
      <c r="AL221" s="19">
        <f t="shared" si="83"/>
        <v>0</v>
      </c>
      <c r="AM221" s="18">
        <f>(180*(Ventas!AE218*0.9644) - IF(AE221&gt;0,AE221,0))</f>
        <v>0</v>
      </c>
      <c r="AN221" s="18">
        <f t="shared" si="97"/>
        <v>0</v>
      </c>
      <c r="AO221" s="14"/>
      <c r="AP221" s="14">
        <f t="shared" si="93"/>
        <v>0</v>
      </c>
      <c r="AQ221" s="16">
        <f t="shared" si="84"/>
        <v>0</v>
      </c>
      <c r="AR221" s="37">
        <f>_xlfn.XLOOKUP(C221,[1]Hoja2!$C$6:$C$24,[1]Hoja2!$D$6:$D$24,0,2,1)</f>
        <v>0</v>
      </c>
      <c r="AS221" s="18">
        <f t="shared" si="85"/>
        <v>0</v>
      </c>
      <c r="AT221" s="14"/>
      <c r="AU221" s="37">
        <f>_xlfn.XLOOKUP(D221,[1]Hoja2!$E$6:$E$24,[1]Hoja2!$F$6:$F$24,0,2,1)</f>
        <v>0</v>
      </c>
      <c r="AV221" s="3">
        <v>0</v>
      </c>
      <c r="AW221" s="3"/>
      <c r="AX221" s="14">
        <v>0</v>
      </c>
      <c r="AY221" s="14"/>
      <c r="AZ221" s="16">
        <f>_xlfn.XLOOKUP(C221,[2]PI!$B$15:$B$99,[2]PI!$L$15:$L$99,0,2,1)</f>
        <v>0</v>
      </c>
      <c r="BA221" s="16">
        <f>_xlfn.XLOOKUP(D221,[2]PI!$B$15:$B$99,[2]PI!$L$15:$L$99,0,2,1)</f>
        <v>0</v>
      </c>
      <c r="BB221" s="3"/>
      <c r="BC221" s="3"/>
      <c r="BD221" s="14"/>
      <c r="BE221" s="14"/>
      <c r="BF221" s="16"/>
      <c r="BG221" s="16"/>
      <c r="BH221" s="12">
        <f t="shared" si="86"/>
        <v>0</v>
      </c>
      <c r="BI221" s="19">
        <f t="shared" si="87"/>
        <v>0</v>
      </c>
      <c r="BJ221" s="1" t="s">
        <v>35</v>
      </c>
      <c r="BK221">
        <f t="shared" si="88"/>
        <v>0</v>
      </c>
      <c r="BL221">
        <f t="shared" si="89"/>
        <v>0</v>
      </c>
    </row>
    <row r="222" spans="1:64" x14ac:dyDescent="0.25">
      <c r="A222" s="1" t="s">
        <v>676</v>
      </c>
      <c r="B222" s="1" t="s">
        <v>675</v>
      </c>
      <c r="C222" s="13" t="s">
        <v>674</v>
      </c>
      <c r="D222" s="15"/>
      <c r="E222" s="17"/>
      <c r="F222" s="5">
        <v>153</v>
      </c>
      <c r="G222" s="14"/>
      <c r="H222" s="16"/>
      <c r="I222" s="11">
        <v>46221</v>
      </c>
      <c r="J222" s="4">
        <v>17</v>
      </c>
      <c r="K222" s="18">
        <f>(F222-(0)+0-(J222*Ventas!AE219*1))</f>
        <v>143.69347142857143</v>
      </c>
      <c r="L222" s="20">
        <f>(K222/(Ventas!AE219*1)/80)</f>
        <v>3.2810153049241935</v>
      </c>
      <c r="M222" s="22">
        <f t="shared" si="95"/>
        <v>0</v>
      </c>
      <c r="N222" s="14"/>
      <c r="O222" s="25">
        <f t="shared" si="76"/>
        <v>0</v>
      </c>
      <c r="P222" s="16"/>
      <c r="Q222" s="12">
        <f t="shared" si="77"/>
        <v>143.69347142857143</v>
      </c>
      <c r="R222" s="5">
        <v>0</v>
      </c>
      <c r="S222" s="24">
        <v>0</v>
      </c>
      <c r="T222" s="26">
        <v>0</v>
      </c>
      <c r="U222" s="18">
        <f t="shared" si="78"/>
        <v>143.69347142857143</v>
      </c>
      <c r="V222" s="22">
        <f t="shared" si="79"/>
        <v>0</v>
      </c>
      <c r="W222" s="25">
        <f t="shared" si="80"/>
        <v>0</v>
      </c>
      <c r="X222" s="3"/>
      <c r="Y222" s="14"/>
      <c r="Z222" s="14"/>
      <c r="AA222" s="18">
        <v>33</v>
      </c>
      <c r="AB222" s="21">
        <v>1.7340000000000001E-3</v>
      </c>
      <c r="AC222" s="11">
        <v>46313</v>
      </c>
      <c r="AD222" s="4">
        <v>92</v>
      </c>
      <c r="AE222" s="18">
        <f>(IF(K222&gt;0,K222+R222,R222)-(AD222*Ventas!AE219*1.0489))</f>
        <v>90.865892645714297</v>
      </c>
      <c r="AF222" s="20">
        <f>(AE222/(Ventas!AE219*1.0489)/80)</f>
        <v>1.9780534892975439</v>
      </c>
      <c r="AG222" s="22">
        <f t="shared" si="96"/>
        <v>0</v>
      </c>
      <c r="AH222" s="14"/>
      <c r="AI222" s="25">
        <f t="shared" si="81"/>
        <v>0</v>
      </c>
      <c r="AJ222" s="16"/>
      <c r="AK222" s="12">
        <f t="shared" si="82"/>
        <v>90.865892645714297</v>
      </c>
      <c r="AL222" s="19">
        <f t="shared" si="83"/>
        <v>1.7307968031353509</v>
      </c>
      <c r="AM222" s="18">
        <f>(180*(Ventas!AE219*0.9644) - IF(AE222&gt;0,AE222,0))</f>
        <v>4.1658078114285502</v>
      </c>
      <c r="AN222" s="18">
        <v>0</v>
      </c>
      <c r="AO222" s="14"/>
      <c r="AP222" s="14">
        <f t="shared" si="93"/>
        <v>0</v>
      </c>
      <c r="AQ222" s="16">
        <f t="shared" si="84"/>
        <v>0</v>
      </c>
      <c r="AR222" s="37">
        <f>_xlfn.XLOOKUP(C222,[1]Hoja2!$C$6:$C$24,[1]Hoja2!$D$6:$D$24,0,2,1)</f>
        <v>0</v>
      </c>
      <c r="AS222" s="18">
        <f t="shared" si="85"/>
        <v>90.865892645714297</v>
      </c>
      <c r="AT222" s="14"/>
      <c r="AU222" s="37">
        <f>_xlfn.XLOOKUP(D222,[1]Hoja2!$E$6:$E$24,[1]Hoja2!$F$6:$F$24,0,2,1)</f>
        <v>0</v>
      </c>
      <c r="AV222" s="27">
        <v>1.55</v>
      </c>
      <c r="AW222" s="5">
        <v>3016</v>
      </c>
      <c r="AX222" s="14">
        <v>0</v>
      </c>
      <c r="AY222" s="14"/>
      <c r="AZ222" s="16">
        <f>_xlfn.XLOOKUP(C222,[2]PI!$B$15:$B$99,[2]PI!$L$15:$L$99,0,2,1)</f>
        <v>1.55</v>
      </c>
      <c r="BA222" s="16">
        <f>_xlfn.XLOOKUP(D222,[2]PI!$B$15:$B$99,[2]PI!$L$15:$L$99,0,2,1)</f>
        <v>0</v>
      </c>
      <c r="BB222" s="18">
        <f>(AS222-(90*Ventas!AE219*0.9644))</f>
        <v>43.350042417142866</v>
      </c>
      <c r="BC222" s="20">
        <f>(BB222/(Ventas!AE219*0.9644)/80)</f>
        <v>1.0263690428496406</v>
      </c>
      <c r="BD222" s="14"/>
      <c r="BE222" s="14"/>
      <c r="BF222" s="16"/>
      <c r="BG222" s="16"/>
      <c r="BH222" s="12">
        <f t="shared" si="86"/>
        <v>43.350042417142866</v>
      </c>
      <c r="BI222" s="19">
        <f t="shared" si="87"/>
        <v>0.89807291249343546</v>
      </c>
      <c r="BJ222" s="1" t="s">
        <v>35</v>
      </c>
      <c r="BK222">
        <f t="shared" si="88"/>
        <v>0</v>
      </c>
      <c r="BL222">
        <f t="shared" si="89"/>
        <v>0</v>
      </c>
    </row>
    <row r="223" spans="1:64" x14ac:dyDescent="0.25">
      <c r="A223" s="1" t="s">
        <v>679</v>
      </c>
      <c r="B223" s="1" t="s">
        <v>678</v>
      </c>
      <c r="C223" s="13" t="s">
        <v>677</v>
      </c>
      <c r="D223" s="15"/>
      <c r="E223" s="17"/>
      <c r="F223" s="5">
        <v>9</v>
      </c>
      <c r="G223" s="14"/>
      <c r="H223" s="16"/>
      <c r="I223" s="11">
        <v>46221</v>
      </c>
      <c r="J223" s="4">
        <v>17</v>
      </c>
      <c r="K223" s="18">
        <f>(F223-(0)+0-(J223*Ventas!AE220*1))</f>
        <v>7.8012571428571427</v>
      </c>
      <c r="L223" s="20">
        <f>(K223/(Ventas!AE220*1)/80)</f>
        <v>1.3829213938411669</v>
      </c>
      <c r="M223" s="22">
        <f t="shared" si="95"/>
        <v>0</v>
      </c>
      <c r="N223" s="14"/>
      <c r="O223" s="25">
        <f t="shared" si="76"/>
        <v>0</v>
      </c>
      <c r="P223" s="16"/>
      <c r="Q223" s="12">
        <f t="shared" si="77"/>
        <v>7.8012571428571427</v>
      </c>
      <c r="R223" s="5">
        <v>12</v>
      </c>
      <c r="S223" s="24">
        <v>0</v>
      </c>
      <c r="T223" s="26">
        <v>0</v>
      </c>
      <c r="U223" s="18">
        <f t="shared" si="78"/>
        <v>19.801257142857143</v>
      </c>
      <c r="V223" s="22">
        <f t="shared" si="79"/>
        <v>0</v>
      </c>
      <c r="W223" s="25">
        <f t="shared" si="80"/>
        <v>0</v>
      </c>
      <c r="X223" s="18">
        <v>5.9</v>
      </c>
      <c r="Y223" s="14"/>
      <c r="Z223" s="14"/>
      <c r="AA223" s="18">
        <v>12</v>
      </c>
      <c r="AB223" s="21">
        <v>7.9539999999999993E-3</v>
      </c>
      <c r="AC223" s="11">
        <v>46313</v>
      </c>
      <c r="AD223" s="4">
        <v>92</v>
      </c>
      <c r="AE223" s="18">
        <f>(IF(K223&gt;0,K223+R223,R223)-(AD223*Ventas!AE220*1.0489))</f>
        <v>12.996713188571427</v>
      </c>
      <c r="AF223" s="20">
        <f>(AE223/(Ventas!AE220*1.0489)/80)</f>
        <v>2.1965057860260488</v>
      </c>
      <c r="AG223" s="22">
        <f t="shared" si="96"/>
        <v>0</v>
      </c>
      <c r="AH223" s="14"/>
      <c r="AI223" s="25">
        <f t="shared" si="81"/>
        <v>0</v>
      </c>
      <c r="AJ223" s="16"/>
      <c r="AK223" s="12">
        <f t="shared" si="82"/>
        <v>12.996713188571427</v>
      </c>
      <c r="AL223" s="19">
        <f t="shared" si="83"/>
        <v>1.9219425627727929</v>
      </c>
      <c r="AM223" s="18">
        <f>(180*(Ventas!AE220*0.9644) - IF(AE223&gt;0,AE223,0))</f>
        <v>-0.75599730285713918</v>
      </c>
      <c r="AN223" s="18">
        <f t="shared" si="97"/>
        <v>0</v>
      </c>
      <c r="AO223" s="14"/>
      <c r="AP223" s="14">
        <f t="shared" si="93"/>
        <v>0</v>
      </c>
      <c r="AQ223" s="16">
        <f t="shared" si="84"/>
        <v>0</v>
      </c>
      <c r="AR223" s="37">
        <f>_xlfn.XLOOKUP(C223,[1]Hoja2!$C$6:$C$24,[1]Hoja2!$D$6:$D$24,0,2,1)</f>
        <v>0</v>
      </c>
      <c r="AS223" s="18">
        <f t="shared" si="85"/>
        <v>12.996713188571427</v>
      </c>
      <c r="AT223" s="14"/>
      <c r="AU223" s="37">
        <f>_xlfn.XLOOKUP(D223,[1]Hoja2!$E$6:$E$24,[1]Hoja2!$F$6:$F$24,0,2,1)</f>
        <v>0</v>
      </c>
      <c r="AV223" s="27">
        <v>0</v>
      </c>
      <c r="AW223" s="5">
        <v>3016</v>
      </c>
      <c r="AX223" s="14">
        <v>0</v>
      </c>
      <c r="AY223" s="14"/>
      <c r="AZ223" s="16">
        <f>_xlfn.XLOOKUP(C223,[2]PI!$B$15:$B$99,[2]PI!$L$15:$L$99,0,2,1)</f>
        <v>0</v>
      </c>
      <c r="BA223" s="16">
        <f>_xlfn.XLOOKUP(D223,[2]PI!$B$15:$B$99,[2]PI!$L$15:$L$99,0,2,1)</f>
        <v>0</v>
      </c>
      <c r="BB223" s="18">
        <f>(AS223-(90*Ventas!AE220*0.9644))</f>
        <v>6.8763552457142829</v>
      </c>
      <c r="BC223" s="20">
        <f>(BB223/(Ventas!AE220*0.9644)/80)</f>
        <v>1.2639619649136482</v>
      </c>
      <c r="BD223" s="14"/>
      <c r="BE223" s="14"/>
      <c r="BF223" s="16"/>
      <c r="BG223" s="16"/>
      <c r="BH223" s="12">
        <f t="shared" si="86"/>
        <v>6.8763552457142829</v>
      </c>
      <c r="BI223" s="19">
        <f t="shared" si="87"/>
        <v>1.1059667192994422</v>
      </c>
      <c r="BJ223" s="1" t="s">
        <v>35</v>
      </c>
      <c r="BK223">
        <f t="shared" si="88"/>
        <v>0</v>
      </c>
      <c r="BL223">
        <f t="shared" si="89"/>
        <v>0</v>
      </c>
    </row>
    <row r="224" spans="1:64" x14ac:dyDescent="0.25">
      <c r="A224" s="1" t="s">
        <v>682</v>
      </c>
      <c r="B224" s="1" t="s">
        <v>681</v>
      </c>
      <c r="C224" s="13" t="s">
        <v>680</v>
      </c>
      <c r="D224" s="15"/>
      <c r="E224" s="17"/>
      <c r="F224" s="3"/>
      <c r="G224" s="14"/>
      <c r="H224" s="16"/>
      <c r="I224" s="11">
        <v>46221</v>
      </c>
      <c r="J224" s="4">
        <v>17</v>
      </c>
      <c r="K224" s="18">
        <f>(F224-(0)+0-(J224*Ventas!AE221*1))</f>
        <v>0</v>
      </c>
      <c r="L224" s="3"/>
      <c r="M224" s="22">
        <f t="shared" si="95"/>
        <v>0</v>
      </c>
      <c r="N224" s="14"/>
      <c r="O224" s="25">
        <f t="shared" si="76"/>
        <v>0</v>
      </c>
      <c r="P224" s="16"/>
      <c r="Q224" s="12">
        <f t="shared" si="77"/>
        <v>0</v>
      </c>
      <c r="R224" s="5">
        <v>0</v>
      </c>
      <c r="S224" s="24">
        <v>0</v>
      </c>
      <c r="T224" s="26">
        <v>0</v>
      </c>
      <c r="U224" s="18">
        <f t="shared" si="78"/>
        <v>0</v>
      </c>
      <c r="V224" s="22">
        <f t="shared" si="79"/>
        <v>0</v>
      </c>
      <c r="W224" s="25">
        <f t="shared" si="80"/>
        <v>0</v>
      </c>
      <c r="X224" s="3"/>
      <c r="Y224" s="14"/>
      <c r="Z224" s="14"/>
      <c r="AA224" s="18">
        <v>8</v>
      </c>
      <c r="AB224" s="21">
        <v>1.1065E-2</v>
      </c>
      <c r="AC224" s="11">
        <v>46313</v>
      </c>
      <c r="AD224" s="4">
        <v>92</v>
      </c>
      <c r="AE224" s="18">
        <f>(IF(K224&gt;0,K224+R224,R224)-(AD224*Ventas!AE221*1.0489))</f>
        <v>0</v>
      </c>
      <c r="AF224" s="3"/>
      <c r="AG224" s="22">
        <f t="shared" si="96"/>
        <v>0</v>
      </c>
      <c r="AH224" s="14"/>
      <c r="AI224" s="25">
        <f t="shared" si="81"/>
        <v>0</v>
      </c>
      <c r="AJ224" s="16"/>
      <c r="AK224" s="12">
        <f t="shared" si="82"/>
        <v>0</v>
      </c>
      <c r="AL224" s="19">
        <f t="shared" si="83"/>
        <v>0</v>
      </c>
      <c r="AM224" s="18">
        <f>(180*(Ventas!AE221*0.9644) - IF(AE224&gt;0,AE224,0))</f>
        <v>0</v>
      </c>
      <c r="AN224" s="18">
        <f t="shared" si="97"/>
        <v>0</v>
      </c>
      <c r="AO224" s="14"/>
      <c r="AP224" s="14">
        <f t="shared" si="93"/>
        <v>0</v>
      </c>
      <c r="AQ224" s="16">
        <f t="shared" si="84"/>
        <v>0</v>
      </c>
      <c r="AR224" s="37">
        <f>_xlfn.XLOOKUP(C224,[1]Hoja2!$C$6:$C$24,[1]Hoja2!$D$6:$D$24,0,2,1)</f>
        <v>0</v>
      </c>
      <c r="AS224" s="18">
        <f t="shared" si="85"/>
        <v>0</v>
      </c>
      <c r="AT224" s="14"/>
      <c r="AU224" s="37">
        <f>_xlfn.XLOOKUP(D224,[1]Hoja2!$E$6:$E$24,[1]Hoja2!$F$6:$F$24,0,2,1)</f>
        <v>0</v>
      </c>
      <c r="AV224" s="3">
        <v>0</v>
      </c>
      <c r="AW224" s="3"/>
      <c r="AX224" s="14">
        <v>0</v>
      </c>
      <c r="AY224" s="14"/>
      <c r="AZ224" s="16">
        <f>_xlfn.XLOOKUP(C224,[2]PI!$B$15:$B$99,[2]PI!$L$15:$L$99,0,2,1)</f>
        <v>0</v>
      </c>
      <c r="BA224" s="16">
        <f>_xlfn.XLOOKUP(D224,[2]PI!$B$15:$B$99,[2]PI!$L$15:$L$99,0,2,1)</f>
        <v>0</v>
      </c>
      <c r="BB224" s="3"/>
      <c r="BC224" s="3"/>
      <c r="BD224" s="14"/>
      <c r="BE224" s="14"/>
      <c r="BF224" s="16"/>
      <c r="BG224" s="16"/>
      <c r="BH224" s="12">
        <f t="shared" si="86"/>
        <v>0</v>
      </c>
      <c r="BI224" s="19">
        <f t="shared" si="87"/>
        <v>0</v>
      </c>
      <c r="BJ224" s="1" t="s">
        <v>51</v>
      </c>
      <c r="BK224">
        <f t="shared" si="88"/>
        <v>0</v>
      </c>
      <c r="BL224">
        <f t="shared" si="89"/>
        <v>0</v>
      </c>
    </row>
    <row r="225" spans="1:64" x14ac:dyDescent="0.25">
      <c r="A225" s="1" t="s">
        <v>685</v>
      </c>
      <c r="B225" s="1" t="s">
        <v>684</v>
      </c>
      <c r="C225" s="13" t="s">
        <v>683</v>
      </c>
      <c r="D225" s="15"/>
      <c r="E225" s="17"/>
      <c r="F225" s="3"/>
      <c r="G225" s="14"/>
      <c r="H225" s="16"/>
      <c r="I225" s="11">
        <v>46221</v>
      </c>
      <c r="J225" s="4">
        <v>17</v>
      </c>
      <c r="K225" s="18">
        <f>(F225-(0)+0-(J225*Ventas!AE222*1))</f>
        <v>0</v>
      </c>
      <c r="L225" s="3"/>
      <c r="M225" s="22">
        <f t="shared" si="95"/>
        <v>0</v>
      </c>
      <c r="N225" s="14"/>
      <c r="O225" s="25">
        <f t="shared" si="76"/>
        <v>0</v>
      </c>
      <c r="P225" s="16"/>
      <c r="Q225" s="12">
        <f t="shared" si="77"/>
        <v>0</v>
      </c>
      <c r="R225" s="5">
        <v>0</v>
      </c>
      <c r="S225" s="24">
        <v>0</v>
      </c>
      <c r="T225" s="26">
        <v>0</v>
      </c>
      <c r="U225" s="18">
        <f t="shared" si="78"/>
        <v>0</v>
      </c>
      <c r="V225" s="22">
        <f t="shared" si="79"/>
        <v>0</v>
      </c>
      <c r="W225" s="25">
        <f t="shared" si="80"/>
        <v>0</v>
      </c>
      <c r="X225" s="3"/>
      <c r="Y225" s="14"/>
      <c r="Z225" s="14"/>
      <c r="AA225" s="18">
        <v>90</v>
      </c>
      <c r="AB225" s="21">
        <v>7.6300000000000001E-4</v>
      </c>
      <c r="AC225" s="11">
        <v>46313</v>
      </c>
      <c r="AD225" s="4">
        <v>92</v>
      </c>
      <c r="AE225" s="18">
        <f>(IF(K225&gt;0,K225+R225,R225)-(AD225*Ventas!AE222*1.0489))</f>
        <v>0</v>
      </c>
      <c r="AF225" s="3"/>
      <c r="AG225" s="22">
        <f t="shared" si="96"/>
        <v>0</v>
      </c>
      <c r="AH225" s="14"/>
      <c r="AI225" s="25">
        <f t="shared" si="81"/>
        <v>0</v>
      </c>
      <c r="AJ225" s="16"/>
      <c r="AK225" s="12">
        <f t="shared" si="82"/>
        <v>0</v>
      </c>
      <c r="AL225" s="19">
        <f t="shared" si="83"/>
        <v>0</v>
      </c>
      <c r="AM225" s="18">
        <f>(180*(Ventas!AE222*0.9644) - IF(AE225&gt;0,AE225,0))</f>
        <v>0</v>
      </c>
      <c r="AN225" s="18">
        <f t="shared" si="97"/>
        <v>0</v>
      </c>
      <c r="AO225" s="14"/>
      <c r="AP225" s="14">
        <f t="shared" si="93"/>
        <v>0</v>
      </c>
      <c r="AQ225" s="16">
        <f t="shared" si="84"/>
        <v>0</v>
      </c>
      <c r="AR225" s="37">
        <f>_xlfn.XLOOKUP(C225,[1]Hoja2!$C$6:$C$24,[1]Hoja2!$D$6:$D$24,0,2,1)</f>
        <v>0</v>
      </c>
      <c r="AS225" s="18">
        <f t="shared" si="85"/>
        <v>0</v>
      </c>
      <c r="AT225" s="14"/>
      <c r="AU225" s="37">
        <f>_xlfn.XLOOKUP(D225,[1]Hoja2!$E$6:$E$24,[1]Hoja2!$F$6:$F$24,0,2,1)</f>
        <v>0</v>
      </c>
      <c r="AV225" s="3">
        <v>0</v>
      </c>
      <c r="AW225" s="3"/>
      <c r="AX225" s="14">
        <v>0</v>
      </c>
      <c r="AY225" s="14"/>
      <c r="AZ225" s="16">
        <f>_xlfn.XLOOKUP(C225,[2]PI!$B$15:$B$99,[2]PI!$L$15:$L$99,0,2,1)</f>
        <v>0</v>
      </c>
      <c r="BA225" s="16">
        <f>_xlfn.XLOOKUP(D225,[2]PI!$B$15:$B$99,[2]PI!$L$15:$L$99,0,2,1)</f>
        <v>0</v>
      </c>
      <c r="BB225" s="3"/>
      <c r="BC225" s="3"/>
      <c r="BD225" s="14"/>
      <c r="BE225" s="14"/>
      <c r="BF225" s="16"/>
      <c r="BG225" s="16"/>
      <c r="BH225" s="12">
        <f t="shared" si="86"/>
        <v>0</v>
      </c>
      <c r="BI225" s="19">
        <f t="shared" si="87"/>
        <v>0</v>
      </c>
      <c r="BJ225" s="1" t="s">
        <v>51</v>
      </c>
      <c r="BK225">
        <f t="shared" si="88"/>
        <v>0</v>
      </c>
      <c r="BL225">
        <f t="shared" si="89"/>
        <v>0</v>
      </c>
    </row>
    <row r="226" spans="1:64" x14ac:dyDescent="0.25">
      <c r="A226" s="1" t="s">
        <v>688</v>
      </c>
      <c r="B226" s="1" t="s">
        <v>687</v>
      </c>
      <c r="C226" s="13" t="s">
        <v>686</v>
      </c>
      <c r="D226" s="15"/>
      <c r="E226" s="17"/>
      <c r="F226" s="3"/>
      <c r="G226" s="14"/>
      <c r="H226" s="16"/>
      <c r="I226" s="11">
        <v>46221</v>
      </c>
      <c r="J226" s="4">
        <v>17</v>
      </c>
      <c r="K226" s="18">
        <f>(F226-(0)+0-(J226*Ventas!AE223*1))</f>
        <v>0</v>
      </c>
      <c r="L226" s="3"/>
      <c r="M226" s="22">
        <f t="shared" si="95"/>
        <v>0</v>
      </c>
      <c r="N226" s="14"/>
      <c r="O226" s="25">
        <f t="shared" si="76"/>
        <v>0</v>
      </c>
      <c r="P226" s="16"/>
      <c r="Q226" s="12">
        <f t="shared" si="77"/>
        <v>0</v>
      </c>
      <c r="R226" s="5">
        <v>0</v>
      </c>
      <c r="S226" s="24">
        <v>0</v>
      </c>
      <c r="T226" s="26">
        <v>0</v>
      </c>
      <c r="U226" s="18">
        <f t="shared" si="78"/>
        <v>0</v>
      </c>
      <c r="V226" s="22">
        <f t="shared" si="79"/>
        <v>0</v>
      </c>
      <c r="W226" s="25">
        <f t="shared" si="80"/>
        <v>0</v>
      </c>
      <c r="X226" s="3"/>
      <c r="Y226" s="14"/>
      <c r="Z226" s="14"/>
      <c r="AA226" s="3"/>
      <c r="AB226" s="3"/>
      <c r="AC226" s="11">
        <v>46313</v>
      </c>
      <c r="AD226" s="4">
        <v>92</v>
      </c>
      <c r="AE226" s="18">
        <f>(IF(K226&gt;0,K226+R226,R226)-(AD226*Ventas!AE223*1.0489))</f>
        <v>0</v>
      </c>
      <c r="AF226" s="3"/>
      <c r="AG226" s="22">
        <f t="shared" si="96"/>
        <v>0</v>
      </c>
      <c r="AH226" s="14"/>
      <c r="AI226" s="25">
        <f t="shared" si="81"/>
        <v>0</v>
      </c>
      <c r="AJ226" s="16"/>
      <c r="AK226" s="12">
        <f t="shared" si="82"/>
        <v>0</v>
      </c>
      <c r="AL226" s="19">
        <f t="shared" si="83"/>
        <v>0</v>
      </c>
      <c r="AM226" s="18">
        <f>(180*(Ventas!AE223*0.9644) - IF(AE226&gt;0,AE226,0))</f>
        <v>0</v>
      </c>
      <c r="AN226" s="18">
        <f t="shared" si="97"/>
        <v>0</v>
      </c>
      <c r="AO226" s="14"/>
      <c r="AP226" s="14">
        <f t="shared" si="93"/>
        <v>0</v>
      </c>
      <c r="AQ226" s="16">
        <f t="shared" si="84"/>
        <v>0</v>
      </c>
      <c r="AR226" s="37">
        <f>_xlfn.XLOOKUP(C226,[1]Hoja2!$C$6:$C$24,[1]Hoja2!$D$6:$D$24,0,2,1)</f>
        <v>0</v>
      </c>
      <c r="AS226" s="18">
        <f t="shared" si="85"/>
        <v>0</v>
      </c>
      <c r="AT226" s="14"/>
      <c r="AU226" s="37">
        <f>_xlfn.XLOOKUP(D226,[1]Hoja2!$E$6:$E$24,[1]Hoja2!$F$6:$F$24,0,2,1)</f>
        <v>0</v>
      </c>
      <c r="AV226" s="3">
        <v>0</v>
      </c>
      <c r="AW226" s="3"/>
      <c r="AX226" s="14">
        <v>0</v>
      </c>
      <c r="AY226" s="14"/>
      <c r="AZ226" s="16">
        <f>_xlfn.XLOOKUP(C226,[2]PI!$B$15:$B$99,[2]PI!$L$15:$L$99,0,2,1)</f>
        <v>0</v>
      </c>
      <c r="BA226" s="16">
        <f>_xlfn.XLOOKUP(D226,[2]PI!$B$15:$B$99,[2]PI!$L$15:$L$99,0,2,1)</f>
        <v>0</v>
      </c>
      <c r="BB226" s="3"/>
      <c r="BC226" s="3"/>
      <c r="BD226" s="14"/>
      <c r="BE226" s="14"/>
      <c r="BF226" s="16"/>
      <c r="BG226" s="16"/>
      <c r="BH226" s="12">
        <f t="shared" si="86"/>
        <v>0</v>
      </c>
      <c r="BI226" s="19">
        <f t="shared" si="87"/>
        <v>0</v>
      </c>
      <c r="BJ226" s="1" t="s">
        <v>51</v>
      </c>
      <c r="BK226">
        <f t="shared" si="88"/>
        <v>0</v>
      </c>
      <c r="BL226">
        <f t="shared" si="89"/>
        <v>0</v>
      </c>
    </row>
    <row r="227" spans="1:64" x14ac:dyDescent="0.25">
      <c r="A227" s="1" t="s">
        <v>691</v>
      </c>
      <c r="B227" s="1" t="s">
        <v>690</v>
      </c>
      <c r="C227" s="13" t="s">
        <v>689</v>
      </c>
      <c r="D227" s="15"/>
      <c r="E227" s="17"/>
      <c r="F227" s="3"/>
      <c r="G227" s="14"/>
      <c r="H227" s="16"/>
      <c r="I227" s="11">
        <v>46221</v>
      </c>
      <c r="J227" s="4">
        <v>17</v>
      </c>
      <c r="K227" s="18">
        <f>(F227-(0)+0-(J227*Ventas!AE224*1))</f>
        <v>0</v>
      </c>
      <c r="L227" s="3"/>
      <c r="M227" s="22">
        <f t="shared" si="95"/>
        <v>0</v>
      </c>
      <c r="N227" s="14"/>
      <c r="O227" s="25">
        <f t="shared" si="76"/>
        <v>0</v>
      </c>
      <c r="P227" s="16"/>
      <c r="Q227" s="12">
        <f t="shared" si="77"/>
        <v>0</v>
      </c>
      <c r="R227" s="5">
        <v>0</v>
      </c>
      <c r="S227" s="24">
        <v>0</v>
      </c>
      <c r="T227" s="26">
        <v>0</v>
      </c>
      <c r="U227" s="18">
        <f t="shared" si="78"/>
        <v>0</v>
      </c>
      <c r="V227" s="22">
        <f t="shared" si="79"/>
        <v>0</v>
      </c>
      <c r="W227" s="25">
        <f t="shared" si="80"/>
        <v>0</v>
      </c>
      <c r="X227" s="3"/>
      <c r="Y227" s="14"/>
      <c r="Z227" s="14"/>
      <c r="AA227" s="3"/>
      <c r="AB227" s="3"/>
      <c r="AC227" s="11">
        <v>46313</v>
      </c>
      <c r="AD227" s="4">
        <v>92</v>
      </c>
      <c r="AE227" s="18">
        <f>(IF(K227&gt;0,K227+R227,R227)-(AD227*Ventas!AE224*1.0489))</f>
        <v>0</v>
      </c>
      <c r="AF227" s="3"/>
      <c r="AG227" s="22">
        <f t="shared" si="96"/>
        <v>0</v>
      </c>
      <c r="AH227" s="14"/>
      <c r="AI227" s="25">
        <f t="shared" si="81"/>
        <v>0</v>
      </c>
      <c r="AJ227" s="16"/>
      <c r="AK227" s="12">
        <f t="shared" si="82"/>
        <v>0</v>
      </c>
      <c r="AL227" s="19">
        <f t="shared" si="83"/>
        <v>0</v>
      </c>
      <c r="AM227" s="18">
        <f>(180*(Ventas!AE224*0.9644) - IF(AE227&gt;0,AE227,0))</f>
        <v>0</v>
      </c>
      <c r="AN227" s="18">
        <f t="shared" si="97"/>
        <v>0</v>
      </c>
      <c r="AO227" s="14"/>
      <c r="AP227" s="14">
        <f t="shared" si="93"/>
        <v>0</v>
      </c>
      <c r="AQ227" s="16">
        <f t="shared" si="84"/>
        <v>0</v>
      </c>
      <c r="AR227" s="37">
        <f>_xlfn.XLOOKUP(C227,[1]Hoja2!$C$6:$C$24,[1]Hoja2!$D$6:$D$24,0,2,1)</f>
        <v>0</v>
      </c>
      <c r="AS227" s="18">
        <f t="shared" si="85"/>
        <v>0</v>
      </c>
      <c r="AT227" s="14"/>
      <c r="AU227" s="37">
        <f>_xlfn.XLOOKUP(D227,[1]Hoja2!$E$6:$E$24,[1]Hoja2!$F$6:$F$24,0,2,1)</f>
        <v>0</v>
      </c>
      <c r="AV227" s="3">
        <v>0</v>
      </c>
      <c r="AW227" s="3"/>
      <c r="AX227" s="14">
        <v>0</v>
      </c>
      <c r="AY227" s="14"/>
      <c r="AZ227" s="16">
        <f>_xlfn.XLOOKUP(C227,[2]PI!$B$15:$B$99,[2]PI!$L$15:$L$99,0,2,1)</f>
        <v>0</v>
      </c>
      <c r="BA227" s="16">
        <f>_xlfn.XLOOKUP(D227,[2]PI!$B$15:$B$99,[2]PI!$L$15:$L$99,0,2,1)</f>
        <v>0</v>
      </c>
      <c r="BB227" s="3"/>
      <c r="BC227" s="3"/>
      <c r="BD227" s="14"/>
      <c r="BE227" s="14"/>
      <c r="BF227" s="16"/>
      <c r="BG227" s="16"/>
      <c r="BH227" s="12">
        <f t="shared" si="86"/>
        <v>0</v>
      </c>
      <c r="BI227" s="19">
        <f t="shared" si="87"/>
        <v>0</v>
      </c>
      <c r="BJ227" s="1" t="s">
        <v>51</v>
      </c>
      <c r="BK227">
        <f t="shared" si="88"/>
        <v>0</v>
      </c>
      <c r="BL227">
        <f t="shared" si="89"/>
        <v>0</v>
      </c>
    </row>
    <row r="228" spans="1:64" x14ac:dyDescent="0.25">
      <c r="A228" s="1" t="s">
        <v>694</v>
      </c>
      <c r="B228" s="1" t="s">
        <v>693</v>
      </c>
      <c r="C228" s="13" t="s">
        <v>692</v>
      </c>
      <c r="D228" s="15"/>
      <c r="E228" s="17"/>
      <c r="F228" s="3"/>
      <c r="G228" s="14"/>
      <c r="H228" s="16"/>
      <c r="I228" s="11">
        <v>46221</v>
      </c>
      <c r="J228" s="4">
        <v>17</v>
      </c>
      <c r="K228" s="18">
        <f>(F228-(0)+0-(J228*Ventas!AE225*1))</f>
        <v>0</v>
      </c>
      <c r="L228" s="3"/>
      <c r="M228" s="22">
        <f t="shared" si="95"/>
        <v>0</v>
      </c>
      <c r="N228" s="14"/>
      <c r="O228" s="25">
        <f t="shared" si="76"/>
        <v>0</v>
      </c>
      <c r="P228" s="16"/>
      <c r="Q228" s="12">
        <f t="shared" si="77"/>
        <v>0</v>
      </c>
      <c r="R228" s="5">
        <v>0</v>
      </c>
      <c r="S228" s="24">
        <v>0</v>
      </c>
      <c r="T228" s="26">
        <v>0</v>
      </c>
      <c r="U228" s="18">
        <f t="shared" si="78"/>
        <v>0</v>
      </c>
      <c r="V228" s="22">
        <f t="shared" si="79"/>
        <v>0</v>
      </c>
      <c r="W228" s="25">
        <f t="shared" si="80"/>
        <v>0</v>
      </c>
      <c r="X228" s="3"/>
      <c r="Y228" s="14"/>
      <c r="Z228" s="14"/>
      <c r="AA228" s="3"/>
      <c r="AB228" s="3"/>
      <c r="AC228" s="11">
        <v>46313</v>
      </c>
      <c r="AD228" s="4">
        <v>92</v>
      </c>
      <c r="AE228" s="18">
        <f>(IF(K228&gt;0,K228+R228,R228)-(AD228*Ventas!AE225*1.0489))</f>
        <v>0</v>
      </c>
      <c r="AF228" s="3"/>
      <c r="AG228" s="22">
        <f t="shared" si="96"/>
        <v>0</v>
      </c>
      <c r="AH228" s="14"/>
      <c r="AI228" s="25">
        <f t="shared" si="81"/>
        <v>0</v>
      </c>
      <c r="AJ228" s="16"/>
      <c r="AK228" s="12">
        <f t="shared" si="82"/>
        <v>0</v>
      </c>
      <c r="AL228" s="19">
        <f t="shared" si="83"/>
        <v>0</v>
      </c>
      <c r="AM228" s="18">
        <f>(180*(Ventas!AE225*0.9644) - IF(AE228&gt;0,AE228,0))</f>
        <v>0</v>
      </c>
      <c r="AN228" s="18">
        <f t="shared" si="97"/>
        <v>0</v>
      </c>
      <c r="AO228" s="14"/>
      <c r="AP228" s="14">
        <f t="shared" si="93"/>
        <v>0</v>
      </c>
      <c r="AQ228" s="16">
        <f t="shared" si="84"/>
        <v>0</v>
      </c>
      <c r="AR228" s="37">
        <f>_xlfn.XLOOKUP(C228,[1]Hoja2!$C$6:$C$24,[1]Hoja2!$D$6:$D$24,0,2,1)</f>
        <v>0</v>
      </c>
      <c r="AS228" s="18">
        <f t="shared" si="85"/>
        <v>0</v>
      </c>
      <c r="AT228" s="14"/>
      <c r="AU228" s="37">
        <f>_xlfn.XLOOKUP(D228,[1]Hoja2!$E$6:$E$24,[1]Hoja2!$F$6:$F$24,0,2,1)</f>
        <v>0</v>
      </c>
      <c r="AV228" s="3">
        <v>0</v>
      </c>
      <c r="AW228" s="3"/>
      <c r="AX228" s="14">
        <v>0</v>
      </c>
      <c r="AY228" s="14"/>
      <c r="AZ228" s="16">
        <f>_xlfn.XLOOKUP(C228,[2]PI!$B$15:$B$99,[2]PI!$L$15:$L$99,0,2,1)</f>
        <v>0</v>
      </c>
      <c r="BA228" s="16">
        <f>_xlfn.XLOOKUP(D228,[2]PI!$B$15:$B$99,[2]PI!$L$15:$L$99,0,2,1)</f>
        <v>0</v>
      </c>
      <c r="BB228" s="3"/>
      <c r="BC228" s="3"/>
      <c r="BD228" s="14"/>
      <c r="BE228" s="14"/>
      <c r="BF228" s="16"/>
      <c r="BG228" s="16"/>
      <c r="BH228" s="12">
        <f t="shared" si="86"/>
        <v>0</v>
      </c>
      <c r="BI228" s="19">
        <f t="shared" si="87"/>
        <v>0</v>
      </c>
      <c r="BJ228" s="1" t="s">
        <v>51</v>
      </c>
      <c r="BK228">
        <f t="shared" si="88"/>
        <v>0</v>
      </c>
      <c r="BL228">
        <f t="shared" si="89"/>
        <v>0</v>
      </c>
    </row>
    <row r="229" spans="1:64" x14ac:dyDescent="0.25">
      <c r="A229" s="1" t="s">
        <v>697</v>
      </c>
      <c r="B229" s="1" t="s">
        <v>696</v>
      </c>
      <c r="C229" s="13" t="s">
        <v>695</v>
      </c>
      <c r="D229" s="15"/>
      <c r="E229" s="17"/>
      <c r="F229" s="5">
        <v>8</v>
      </c>
      <c r="G229" s="14"/>
      <c r="H229" s="16"/>
      <c r="I229" s="11">
        <v>46221</v>
      </c>
      <c r="J229" s="4">
        <v>17</v>
      </c>
      <c r="K229" s="18">
        <f>(F229-(0)+0-(J229*Ventas!AE226*1))</f>
        <v>6.2329714285714291</v>
      </c>
      <c r="L229" s="20">
        <f>(K229/(Ventas!AE226*1)/80)</f>
        <v>0.74956706981858179</v>
      </c>
      <c r="M229" s="22">
        <f t="shared" si="95"/>
        <v>0</v>
      </c>
      <c r="N229" s="14"/>
      <c r="O229" s="25">
        <f t="shared" si="76"/>
        <v>0</v>
      </c>
      <c r="P229" s="16"/>
      <c r="Q229" s="12">
        <f t="shared" si="77"/>
        <v>6.2329714285714291</v>
      </c>
      <c r="R229" s="5">
        <v>30</v>
      </c>
      <c r="S229" s="24">
        <v>0</v>
      </c>
      <c r="T229" s="26">
        <v>0</v>
      </c>
      <c r="U229" s="18">
        <f t="shared" si="78"/>
        <v>36.232971428571432</v>
      </c>
      <c r="V229" s="22">
        <f t="shared" si="79"/>
        <v>0</v>
      </c>
      <c r="W229" s="25">
        <f t="shared" si="80"/>
        <v>0</v>
      </c>
      <c r="X229" s="18">
        <v>3.8</v>
      </c>
      <c r="Y229" s="14"/>
      <c r="Z229" s="14"/>
      <c r="AA229" s="18">
        <v>12</v>
      </c>
      <c r="AB229" s="21">
        <v>6.6569999999999997E-3</v>
      </c>
      <c r="AC229" s="11">
        <v>46313</v>
      </c>
      <c r="AD229" s="4">
        <v>92</v>
      </c>
      <c r="AE229" s="18">
        <f>(IF(K229&gt;0,K229+R229,R229)-(AD229*Ventas!AE226*1.0489))</f>
        <v>26.202610445714292</v>
      </c>
      <c r="AF229" s="20">
        <f>(AE229/(Ventas!AE226*1.0489)/80)</f>
        <v>3.0041792178837485</v>
      </c>
      <c r="AG229" s="22">
        <f t="shared" si="96"/>
        <v>0</v>
      </c>
      <c r="AH229" s="14"/>
      <c r="AI229" s="25">
        <f t="shared" si="81"/>
        <v>0</v>
      </c>
      <c r="AJ229" s="16"/>
      <c r="AK229" s="12">
        <f t="shared" si="82"/>
        <v>26.202610445714292</v>
      </c>
      <c r="AL229" s="19">
        <f t="shared" si="83"/>
        <v>2.6286568156482799</v>
      </c>
      <c r="AM229" s="18">
        <f>(180*(Ventas!AE226*0.9644) - IF(AE229&gt;0,AE229,0))</f>
        <v>-8.1589619885714377</v>
      </c>
      <c r="AN229" s="18">
        <f t="shared" si="97"/>
        <v>0</v>
      </c>
      <c r="AO229" s="14"/>
      <c r="AP229" s="14">
        <f t="shared" si="93"/>
        <v>0</v>
      </c>
      <c r="AQ229" s="16">
        <f t="shared" si="84"/>
        <v>0</v>
      </c>
      <c r="AR229" s="37">
        <f>_xlfn.XLOOKUP(C229,[1]Hoja2!$C$6:$C$24,[1]Hoja2!$D$6:$D$24,0,2,1)</f>
        <v>0</v>
      </c>
      <c r="AS229" s="18">
        <f t="shared" si="85"/>
        <v>26.202610445714292</v>
      </c>
      <c r="AT229" s="14"/>
      <c r="AU229" s="37">
        <f>_xlfn.XLOOKUP(D229,[1]Hoja2!$E$6:$E$24,[1]Hoja2!$F$6:$F$24,0,2,1)</f>
        <v>0</v>
      </c>
      <c r="AV229" s="27">
        <v>0</v>
      </c>
      <c r="AW229" s="5">
        <v>3016</v>
      </c>
      <c r="AX229" s="14">
        <v>0</v>
      </c>
      <c r="AY229" s="14"/>
      <c r="AZ229" s="16">
        <f>_xlfn.XLOOKUP(C229,[2]PI!$B$15:$B$99,[2]PI!$L$15:$L$99,0,2,1)</f>
        <v>0</v>
      </c>
      <c r="BA229" s="16">
        <f>_xlfn.XLOOKUP(D229,[2]PI!$B$15:$B$99,[2]PI!$L$15:$L$99,0,2,1)</f>
        <v>0</v>
      </c>
      <c r="BB229" s="18">
        <f>(AS229-(90*Ventas!AE226*0.9644))</f>
        <v>17.180786217142863</v>
      </c>
      <c r="BC229" s="20">
        <f>(BB229/(Ventas!AE226*0.9644)/80)</f>
        <v>2.1424031331794522</v>
      </c>
      <c r="BD229" s="14"/>
      <c r="BE229" s="14"/>
      <c r="BF229" s="16"/>
      <c r="BG229" s="16"/>
      <c r="BH229" s="12">
        <f t="shared" si="86"/>
        <v>17.180786217142863</v>
      </c>
      <c r="BI229" s="19">
        <f t="shared" si="87"/>
        <v>1.8746027415320206</v>
      </c>
      <c r="BJ229" s="1" t="s">
        <v>35</v>
      </c>
      <c r="BK229">
        <f t="shared" si="88"/>
        <v>0</v>
      </c>
      <c r="BL229">
        <f t="shared" si="89"/>
        <v>0</v>
      </c>
    </row>
    <row r="230" spans="1:64" x14ac:dyDescent="0.25">
      <c r="A230" s="1" t="s">
        <v>700</v>
      </c>
      <c r="B230" s="1" t="s">
        <v>699</v>
      </c>
      <c r="C230" s="13" t="s">
        <v>698</v>
      </c>
      <c r="D230" s="15"/>
      <c r="E230" s="17"/>
      <c r="F230" s="5">
        <v>18</v>
      </c>
      <c r="G230" s="14"/>
      <c r="H230" s="16"/>
      <c r="I230" s="11">
        <v>46221</v>
      </c>
      <c r="J230" s="4">
        <v>17</v>
      </c>
      <c r="K230" s="18">
        <f>(F230-(0)+0-(J230*Ventas!AE227*1))</f>
        <v>17.151942857142856</v>
      </c>
      <c r="L230" s="20">
        <f>(K230/(Ventas!AE227*1)/80)</f>
        <v>4.2978092783505151</v>
      </c>
      <c r="M230" s="22">
        <f t="shared" si="95"/>
        <v>0</v>
      </c>
      <c r="N230" s="14"/>
      <c r="O230" s="25">
        <f t="shared" si="76"/>
        <v>0</v>
      </c>
      <c r="P230" s="16"/>
      <c r="Q230" s="12">
        <f t="shared" si="77"/>
        <v>17.151942857142856</v>
      </c>
      <c r="R230" s="5">
        <v>0</v>
      </c>
      <c r="S230" s="24">
        <v>0</v>
      </c>
      <c r="T230" s="26">
        <v>0</v>
      </c>
      <c r="U230" s="18">
        <f t="shared" si="78"/>
        <v>17.151942857142856</v>
      </c>
      <c r="V230" s="22">
        <f t="shared" si="79"/>
        <v>0</v>
      </c>
      <c r="W230" s="25">
        <f t="shared" si="80"/>
        <v>0</v>
      </c>
      <c r="X230" s="3"/>
      <c r="Y230" s="14"/>
      <c r="Z230" s="14"/>
      <c r="AA230" s="18">
        <v>12</v>
      </c>
      <c r="AB230" s="21">
        <v>6.6569999999999997E-3</v>
      </c>
      <c r="AC230" s="11">
        <v>46313</v>
      </c>
      <c r="AD230" s="4">
        <v>92</v>
      </c>
      <c r="AE230" s="18">
        <f>(IF(K230&gt;0,K230+R230,R230)-(AD230*Ventas!AE227*1.0489))</f>
        <v>12.338031291428571</v>
      </c>
      <c r="AF230" s="20">
        <f>(AE230/(Ventas!AE227*1.0489)/80)</f>
        <v>2.9474442543145347</v>
      </c>
      <c r="AG230" s="22">
        <f t="shared" si="96"/>
        <v>0</v>
      </c>
      <c r="AH230" s="14"/>
      <c r="AI230" s="25">
        <f t="shared" si="81"/>
        <v>0</v>
      </c>
      <c r="AJ230" s="16"/>
      <c r="AK230" s="12">
        <f t="shared" si="82"/>
        <v>12.338031291428571</v>
      </c>
      <c r="AL230" s="19">
        <f t="shared" si="83"/>
        <v>2.5790137225252181</v>
      </c>
      <c r="AM230" s="18">
        <f>(180*(Ventas!AE227*0.9644) - IF(AE230&gt;0,AE230,0))</f>
        <v>-3.6782703771428569</v>
      </c>
      <c r="AN230" s="18">
        <f t="shared" si="97"/>
        <v>0</v>
      </c>
      <c r="AO230" s="14"/>
      <c r="AP230" s="14">
        <f t="shared" si="93"/>
        <v>0</v>
      </c>
      <c r="AQ230" s="16">
        <f t="shared" si="84"/>
        <v>0</v>
      </c>
      <c r="AR230" s="37">
        <f>_xlfn.XLOOKUP(C230,[1]Hoja2!$C$6:$C$24,[1]Hoja2!$D$6:$D$24,0,2,1)</f>
        <v>0</v>
      </c>
      <c r="AS230" s="18">
        <f t="shared" si="85"/>
        <v>12.338031291428571</v>
      </c>
      <c r="AT230" s="14"/>
      <c r="AU230" s="37">
        <f>_xlfn.XLOOKUP(D230,[1]Hoja2!$E$6:$E$24,[1]Hoja2!$F$6:$F$24,0,2,1)</f>
        <v>0</v>
      </c>
      <c r="AV230" s="27">
        <v>0</v>
      </c>
      <c r="AW230" s="5">
        <v>3016</v>
      </c>
      <c r="AX230" s="14">
        <v>0</v>
      </c>
      <c r="AY230" s="14"/>
      <c r="AZ230" s="16">
        <f>_xlfn.XLOOKUP(C230,[2]PI!$B$15:$B$99,[2]PI!$L$15:$L$99,0,2,1)</f>
        <v>0</v>
      </c>
      <c r="BA230" s="16">
        <f>_xlfn.XLOOKUP(D230,[2]PI!$B$15:$B$99,[2]PI!$L$15:$L$99,0,2,1)</f>
        <v>0</v>
      </c>
      <c r="BB230" s="18">
        <f>(AS230-(90*Ventas!AE227*0.9644))</f>
        <v>8.0081508342857131</v>
      </c>
      <c r="BC230" s="20">
        <f>(BB230/(Ventas!AE227*0.9644)/80)</f>
        <v>2.0806970949300241</v>
      </c>
      <c r="BD230" s="14"/>
      <c r="BE230" s="14"/>
      <c r="BF230" s="16"/>
      <c r="BG230" s="16"/>
      <c r="BH230" s="12">
        <f t="shared" si="86"/>
        <v>8.0081508342857131</v>
      </c>
      <c r="BI230" s="19">
        <f t="shared" si="87"/>
        <v>1.8206099580637711</v>
      </c>
      <c r="BJ230" s="1" t="s">
        <v>35</v>
      </c>
      <c r="BK230">
        <f t="shared" si="88"/>
        <v>0</v>
      </c>
      <c r="BL230">
        <f t="shared" si="89"/>
        <v>0</v>
      </c>
    </row>
    <row r="231" spans="1:64" x14ac:dyDescent="0.25">
      <c r="A231" s="1" t="s">
        <v>703</v>
      </c>
      <c r="B231" s="1" t="s">
        <v>702</v>
      </c>
      <c r="C231" s="13" t="s">
        <v>701</v>
      </c>
      <c r="D231" s="15"/>
      <c r="E231" s="17"/>
      <c r="F231" s="5">
        <v>3</v>
      </c>
      <c r="G231" s="14"/>
      <c r="H231" s="16"/>
      <c r="I231" s="11">
        <v>46221</v>
      </c>
      <c r="J231" s="4">
        <v>17</v>
      </c>
      <c r="K231" s="18">
        <f>(F231-(0)+0-(J231*Ventas!AE228*1))</f>
        <v>2.1548571428571428</v>
      </c>
      <c r="L231" s="20">
        <f>(K231/(Ventas!AE228*1)/80)</f>
        <v>0.54181034482758617</v>
      </c>
      <c r="M231" s="22">
        <f t="shared" si="95"/>
        <v>0</v>
      </c>
      <c r="N231" s="14"/>
      <c r="O231" s="25">
        <f t="shared" si="76"/>
        <v>0</v>
      </c>
      <c r="P231" s="16"/>
      <c r="Q231" s="12">
        <f t="shared" si="77"/>
        <v>2.1548571428571428</v>
      </c>
      <c r="R231" s="5">
        <v>10</v>
      </c>
      <c r="S231" s="24">
        <v>0</v>
      </c>
      <c r="T231" s="26">
        <v>0</v>
      </c>
      <c r="U231" s="18">
        <f t="shared" si="78"/>
        <v>12.154857142857143</v>
      </c>
      <c r="V231" s="22">
        <f t="shared" si="79"/>
        <v>0</v>
      </c>
      <c r="W231" s="25">
        <f t="shared" si="80"/>
        <v>0</v>
      </c>
      <c r="X231" s="18">
        <v>3.9</v>
      </c>
      <c r="Y231" s="14"/>
      <c r="Z231" s="14"/>
      <c r="AA231" s="18">
        <v>12</v>
      </c>
      <c r="AB231" s="21">
        <v>6.6569999999999997E-3</v>
      </c>
      <c r="AC231" s="11">
        <v>46313</v>
      </c>
      <c r="AD231" s="4">
        <v>92</v>
      </c>
      <c r="AE231" s="18">
        <f>(IF(K231&gt;0,K231+R231,R231)-(AD231*Ventas!AE228*1.0489))</f>
        <v>7.3574882285714294</v>
      </c>
      <c r="AF231" s="20">
        <f>(AE231/(Ventas!AE228*1.0489)/80)</f>
        <v>1.7636983133945474</v>
      </c>
      <c r="AG231" s="22">
        <f t="shared" si="96"/>
        <v>0</v>
      </c>
      <c r="AH231" s="14"/>
      <c r="AI231" s="25">
        <f t="shared" si="81"/>
        <v>0</v>
      </c>
      <c r="AJ231" s="16"/>
      <c r="AK231" s="12">
        <f t="shared" si="82"/>
        <v>7.3574882285714294</v>
      </c>
      <c r="AL231" s="19">
        <f t="shared" si="83"/>
        <v>1.543236024220229</v>
      </c>
      <c r="AM231" s="18">
        <f>(180*(Ventas!AE228*0.9644) - IF(AE231&gt;0,AE231,0))</f>
        <v>1.2725140571428559</v>
      </c>
      <c r="AN231" s="18">
        <f t="shared" si="97"/>
        <v>0</v>
      </c>
      <c r="AO231" s="14"/>
      <c r="AP231" s="14">
        <f t="shared" si="93"/>
        <v>0</v>
      </c>
      <c r="AQ231" s="16">
        <f t="shared" si="84"/>
        <v>0</v>
      </c>
      <c r="AR231" s="37">
        <f>_xlfn.XLOOKUP(C231,[1]Hoja2!$C$6:$C$24,[1]Hoja2!$D$6:$D$24,0,2,1)</f>
        <v>0</v>
      </c>
      <c r="AS231" s="18">
        <f t="shared" si="85"/>
        <v>7.3574882285714294</v>
      </c>
      <c r="AT231" s="14"/>
      <c r="AU231" s="37">
        <f>_xlfn.XLOOKUP(D231,[1]Hoja2!$E$6:$E$24,[1]Hoja2!$F$6:$F$24,0,2,1)</f>
        <v>0</v>
      </c>
      <c r="AV231" s="27">
        <v>0</v>
      </c>
      <c r="AW231" s="5">
        <v>3016</v>
      </c>
      <c r="AX231" s="14">
        <v>0</v>
      </c>
      <c r="AY231" s="14"/>
      <c r="AZ231" s="16">
        <f>_xlfn.XLOOKUP(C231,[2]PI!$B$15:$B$99,[2]PI!$L$15:$L$99,0,2,1)</f>
        <v>0</v>
      </c>
      <c r="BA231" s="16">
        <f>_xlfn.XLOOKUP(D231,[2]PI!$B$15:$B$99,[2]PI!$L$15:$L$99,0,2,1)</f>
        <v>0</v>
      </c>
      <c r="BB231" s="18">
        <f>(AS231-(90*Ventas!AE228*0.9644))</f>
        <v>3.0424870857142867</v>
      </c>
      <c r="BC231" s="20">
        <f>(BB231/(Ventas!AE228*0.9644)/80)</f>
        <v>0.7932322282450649</v>
      </c>
      <c r="BD231" s="14"/>
      <c r="BE231" s="14"/>
      <c r="BF231" s="16"/>
      <c r="BG231" s="16"/>
      <c r="BH231" s="12">
        <f t="shared" si="86"/>
        <v>3.0424870857142867</v>
      </c>
      <c r="BI231" s="19">
        <f t="shared" si="87"/>
        <v>0.69407819971443174</v>
      </c>
      <c r="BJ231" s="1" t="s">
        <v>35</v>
      </c>
      <c r="BK231">
        <f t="shared" si="88"/>
        <v>0</v>
      </c>
      <c r="BL231">
        <f t="shared" si="89"/>
        <v>0</v>
      </c>
    </row>
    <row r="232" spans="1:64" x14ac:dyDescent="0.25">
      <c r="A232" s="1" t="s">
        <v>706</v>
      </c>
      <c r="B232" s="1" t="s">
        <v>705</v>
      </c>
      <c r="C232" s="13" t="s">
        <v>704</v>
      </c>
      <c r="D232" s="15"/>
      <c r="E232" s="17"/>
      <c r="F232" s="5">
        <v>16</v>
      </c>
      <c r="G232" s="14"/>
      <c r="H232" s="16"/>
      <c r="I232" s="11">
        <v>46221</v>
      </c>
      <c r="J232" s="4">
        <v>17</v>
      </c>
      <c r="K232" s="18">
        <f>(F232-(0)+0-(J232*Ventas!AE229*1))</f>
        <v>15.040714285714285</v>
      </c>
      <c r="L232" s="20">
        <f>(K232/(Ventas!AE229*1)/80)</f>
        <v>3.3318037974683543</v>
      </c>
      <c r="M232" s="22">
        <f t="shared" si="95"/>
        <v>0</v>
      </c>
      <c r="N232" s="14"/>
      <c r="O232" s="25">
        <f t="shared" si="76"/>
        <v>0</v>
      </c>
      <c r="P232" s="16"/>
      <c r="Q232" s="12">
        <f t="shared" si="77"/>
        <v>15.040714285714285</v>
      </c>
      <c r="R232" s="5">
        <v>0</v>
      </c>
      <c r="S232" s="24">
        <v>0</v>
      </c>
      <c r="T232" s="26">
        <v>0</v>
      </c>
      <c r="U232" s="18">
        <f t="shared" si="78"/>
        <v>15.040714285714285</v>
      </c>
      <c r="V232" s="22">
        <f t="shared" si="79"/>
        <v>0</v>
      </c>
      <c r="W232" s="25">
        <f t="shared" si="80"/>
        <v>0</v>
      </c>
      <c r="X232" s="3"/>
      <c r="Y232" s="14"/>
      <c r="Z232" s="14"/>
      <c r="AA232" s="18">
        <v>12</v>
      </c>
      <c r="AB232" s="21">
        <v>6.6569999999999997E-3</v>
      </c>
      <c r="AC232" s="11">
        <v>46313</v>
      </c>
      <c r="AD232" s="4">
        <v>92</v>
      </c>
      <c r="AE232" s="18">
        <f>(IF(K232&gt;0,K232+R232,R232)-(AD232*Ventas!AE229*1.0489))</f>
        <v>9.5954248571428558</v>
      </c>
      <c r="AF232" s="20">
        <f>(AE232/(Ventas!AE229*1.0489)/80)</f>
        <v>2.0264742086646526</v>
      </c>
      <c r="AG232" s="22">
        <f t="shared" si="96"/>
        <v>0</v>
      </c>
      <c r="AH232" s="14"/>
      <c r="AI232" s="25">
        <f t="shared" si="81"/>
        <v>0</v>
      </c>
      <c r="AJ232" s="16"/>
      <c r="AK232" s="12">
        <f t="shared" si="82"/>
        <v>9.5954248571428558</v>
      </c>
      <c r="AL232" s="19">
        <f t="shared" si="83"/>
        <v>1.773164932581571</v>
      </c>
      <c r="AM232" s="18">
        <f>(180*(Ventas!AE229*0.9644) - IF(AE232&gt;0,AE232,0))</f>
        <v>0.2001237142857164</v>
      </c>
      <c r="AN232" s="18">
        <f t="shared" si="97"/>
        <v>0</v>
      </c>
      <c r="AO232" s="14"/>
      <c r="AP232" s="14">
        <f t="shared" si="93"/>
        <v>0</v>
      </c>
      <c r="AQ232" s="16">
        <f t="shared" si="84"/>
        <v>0</v>
      </c>
      <c r="AR232" s="37">
        <f>_xlfn.XLOOKUP(C232,[1]Hoja2!$C$6:$C$24,[1]Hoja2!$D$6:$D$24,0,2,1)</f>
        <v>0</v>
      </c>
      <c r="AS232" s="18">
        <f t="shared" si="85"/>
        <v>9.5954248571428558</v>
      </c>
      <c r="AT232" s="14"/>
      <c r="AU232" s="37">
        <f>_xlfn.XLOOKUP(D232,[1]Hoja2!$E$6:$E$24,[1]Hoja2!$F$6:$F$24,0,2,1)</f>
        <v>0</v>
      </c>
      <c r="AV232" s="27">
        <v>0</v>
      </c>
      <c r="AW232" s="5">
        <v>3016</v>
      </c>
      <c r="AX232" s="14">
        <v>0</v>
      </c>
      <c r="AY232" s="14"/>
      <c r="AZ232" s="16">
        <f>_xlfn.XLOOKUP(C232,[2]PI!$B$15:$B$99,[2]PI!$L$15:$L$99,0,2,1)</f>
        <v>0</v>
      </c>
      <c r="BA232" s="16">
        <f>_xlfn.XLOOKUP(D232,[2]PI!$B$15:$B$99,[2]PI!$L$15:$L$99,0,2,1)</f>
        <v>0</v>
      </c>
      <c r="BB232" s="18">
        <f>(AS232-(90*Ventas!AE229*0.9644))</f>
        <v>4.6976505714285697</v>
      </c>
      <c r="BC232" s="20">
        <f>(BB232/(Ventas!AE229*0.9644)/80)</f>
        <v>1.079032349096178</v>
      </c>
      <c r="BD232" s="14"/>
      <c r="BE232" s="14"/>
      <c r="BF232" s="16"/>
      <c r="BG232" s="16"/>
      <c r="BH232" s="12">
        <f t="shared" si="86"/>
        <v>4.6976505714285697</v>
      </c>
      <c r="BI232" s="19">
        <f t="shared" si="87"/>
        <v>0.94415330545915577</v>
      </c>
      <c r="BJ232" s="1" t="s">
        <v>35</v>
      </c>
      <c r="BK232">
        <f t="shared" si="88"/>
        <v>0</v>
      </c>
      <c r="BL232">
        <f t="shared" si="89"/>
        <v>0</v>
      </c>
    </row>
    <row r="233" spans="1:64" x14ac:dyDescent="0.25">
      <c r="A233" s="1" t="s">
        <v>709</v>
      </c>
      <c r="B233" s="1" t="s">
        <v>708</v>
      </c>
      <c r="C233" s="13" t="s">
        <v>707</v>
      </c>
      <c r="D233" s="15"/>
      <c r="E233" s="17"/>
      <c r="F233" s="5">
        <v>1</v>
      </c>
      <c r="G233" s="14"/>
      <c r="H233" s="16"/>
      <c r="I233" s="11">
        <v>46221</v>
      </c>
      <c r="J233" s="4">
        <v>17</v>
      </c>
      <c r="K233" s="18">
        <f>(F233-(0)+0-(J233*Ventas!AE230*1))</f>
        <v>1</v>
      </c>
      <c r="L233" s="3"/>
      <c r="M233" s="22">
        <f t="shared" si="95"/>
        <v>0</v>
      </c>
      <c r="N233" s="14"/>
      <c r="O233" s="25">
        <f t="shared" si="76"/>
        <v>0</v>
      </c>
      <c r="P233" s="16"/>
      <c r="Q233" s="12">
        <f t="shared" si="77"/>
        <v>1</v>
      </c>
      <c r="R233" s="5">
        <v>0</v>
      </c>
      <c r="S233" s="24">
        <v>0</v>
      </c>
      <c r="T233" s="26">
        <v>0</v>
      </c>
      <c r="U233" s="18">
        <f t="shared" si="78"/>
        <v>1</v>
      </c>
      <c r="V233" s="22">
        <f t="shared" si="79"/>
        <v>0</v>
      </c>
      <c r="W233" s="25">
        <f t="shared" si="80"/>
        <v>0</v>
      </c>
      <c r="X233" s="3"/>
      <c r="Y233" s="14"/>
      <c r="Z233" s="14"/>
      <c r="AA233" s="18">
        <v>6</v>
      </c>
      <c r="AB233" s="21">
        <v>1.5327E-2</v>
      </c>
      <c r="AC233" s="11">
        <v>46313</v>
      </c>
      <c r="AD233" s="4">
        <v>92</v>
      </c>
      <c r="AE233" s="18">
        <f>(IF(K233&gt;0,K233+R233,R233)-(AD233*Ventas!AE230*1.0489))</f>
        <v>1</v>
      </c>
      <c r="AF233" s="3"/>
      <c r="AG233" s="22">
        <f t="shared" si="96"/>
        <v>0</v>
      </c>
      <c r="AH233" s="14"/>
      <c r="AI233" s="25">
        <f t="shared" si="81"/>
        <v>0</v>
      </c>
      <c r="AJ233" s="16"/>
      <c r="AK233" s="12">
        <f t="shared" si="82"/>
        <v>1</v>
      </c>
      <c r="AL233" s="19">
        <f t="shared" si="83"/>
        <v>0</v>
      </c>
      <c r="AM233" s="18">
        <f>(180*(Ventas!AE230*0.9644) - IF(AE233&gt;0,AE233,0))</f>
        <v>-1</v>
      </c>
      <c r="AN233" s="18">
        <f t="shared" si="97"/>
        <v>0</v>
      </c>
      <c r="AO233" s="14"/>
      <c r="AP233" s="14">
        <f t="shared" si="93"/>
        <v>0</v>
      </c>
      <c r="AQ233" s="16">
        <f t="shared" si="84"/>
        <v>0</v>
      </c>
      <c r="AR233" s="37">
        <f>_xlfn.XLOOKUP(C233,[1]Hoja2!$C$6:$C$24,[1]Hoja2!$D$6:$D$24,0,2,1)</f>
        <v>0</v>
      </c>
      <c r="AS233" s="18">
        <f t="shared" si="85"/>
        <v>1</v>
      </c>
      <c r="AT233" s="14"/>
      <c r="AU233" s="37">
        <f>_xlfn.XLOOKUP(D233,[1]Hoja2!$E$6:$E$24,[1]Hoja2!$F$6:$F$24,0,2,1)</f>
        <v>0</v>
      </c>
      <c r="AV233" s="3">
        <v>0</v>
      </c>
      <c r="AW233" s="3"/>
      <c r="AX233" s="14">
        <v>0</v>
      </c>
      <c r="AY233" s="14"/>
      <c r="AZ233" s="16">
        <f>_xlfn.XLOOKUP(C233,[2]PI!$B$15:$B$99,[2]PI!$L$15:$L$99,0,2,1)</f>
        <v>0</v>
      </c>
      <c r="BA233" s="16">
        <f>_xlfn.XLOOKUP(D233,[2]PI!$B$15:$B$99,[2]PI!$L$15:$L$99,0,2,1)</f>
        <v>0</v>
      </c>
      <c r="BB233" s="3"/>
      <c r="BC233" s="3"/>
      <c r="BD233" s="14"/>
      <c r="BE233" s="14"/>
      <c r="BF233" s="16"/>
      <c r="BG233" s="16"/>
      <c r="BH233" s="12">
        <f t="shared" si="86"/>
        <v>0</v>
      </c>
      <c r="BI233" s="19">
        <f t="shared" si="87"/>
        <v>0</v>
      </c>
      <c r="BJ233" s="1" t="s">
        <v>51</v>
      </c>
      <c r="BK233">
        <f t="shared" si="88"/>
        <v>0</v>
      </c>
      <c r="BL233">
        <f t="shared" si="89"/>
        <v>0</v>
      </c>
    </row>
    <row r="234" spans="1:64" x14ac:dyDescent="0.25">
      <c r="A234" s="1" t="s">
        <v>712</v>
      </c>
      <c r="B234" s="1" t="s">
        <v>711</v>
      </c>
      <c r="C234" s="13" t="s">
        <v>710</v>
      </c>
      <c r="D234" s="15"/>
      <c r="E234" s="17"/>
      <c r="F234" s="5">
        <v>14</v>
      </c>
      <c r="G234" s="14"/>
      <c r="H234" s="16"/>
      <c r="I234" s="11">
        <v>46221</v>
      </c>
      <c r="J234" s="4">
        <v>17</v>
      </c>
      <c r="K234" s="18">
        <f>(F234-(0)+0-(J234*Ventas!AE231*1))</f>
        <v>13.8504</v>
      </c>
      <c r="L234" s="20">
        <f>(K234/(Ventas!AE231*1)/80)</f>
        <v>19.673863636363635</v>
      </c>
      <c r="M234" s="22">
        <f t="shared" si="95"/>
        <v>0</v>
      </c>
      <c r="N234" s="14"/>
      <c r="O234" s="25">
        <f t="shared" si="76"/>
        <v>0</v>
      </c>
      <c r="P234" s="16"/>
      <c r="Q234" s="12">
        <f t="shared" si="77"/>
        <v>13.8504</v>
      </c>
      <c r="R234" s="5">
        <v>0</v>
      </c>
      <c r="S234" s="24">
        <v>0</v>
      </c>
      <c r="T234" s="26">
        <v>0</v>
      </c>
      <c r="U234" s="18">
        <f t="shared" si="78"/>
        <v>13.8504</v>
      </c>
      <c r="V234" s="22">
        <f t="shared" si="79"/>
        <v>0</v>
      </c>
      <c r="W234" s="25">
        <f t="shared" si="80"/>
        <v>0</v>
      </c>
      <c r="X234" s="3"/>
      <c r="Y234" s="14"/>
      <c r="Z234" s="14"/>
      <c r="AA234" s="18">
        <v>15</v>
      </c>
      <c r="AB234" s="21">
        <v>5.2420000000000001E-3</v>
      </c>
      <c r="AC234" s="11">
        <v>46313</v>
      </c>
      <c r="AD234" s="4">
        <v>92</v>
      </c>
      <c r="AE234" s="18">
        <f>(IF(K234&gt;0,K234+R234,R234)-(AD234*Ventas!AE231*1.0489))</f>
        <v>13.001210560000001</v>
      </c>
      <c r="AF234" s="20">
        <f>(AE234/(Ventas!AE231*1.0489)/80)</f>
        <v>17.606662824257448</v>
      </c>
      <c r="AG234" s="22">
        <f t="shared" si="96"/>
        <v>0</v>
      </c>
      <c r="AH234" s="14"/>
      <c r="AI234" s="25">
        <f t="shared" si="81"/>
        <v>0</v>
      </c>
      <c r="AJ234" s="16"/>
      <c r="AK234" s="12">
        <f t="shared" si="82"/>
        <v>13.001210560000001</v>
      </c>
      <c r="AL234" s="19">
        <f t="shared" si="83"/>
        <v>15.405829971225266</v>
      </c>
      <c r="AM234" s="18">
        <f>(180*(Ventas!AE231*0.9644) - IF(AE234&gt;0,AE234,0))</f>
        <v>-11.473600960000001</v>
      </c>
      <c r="AN234" s="18">
        <f t="shared" si="97"/>
        <v>0</v>
      </c>
      <c r="AO234" s="14"/>
      <c r="AP234" s="14">
        <f t="shared" si="93"/>
        <v>0</v>
      </c>
      <c r="AQ234" s="16">
        <f t="shared" si="84"/>
        <v>0</v>
      </c>
      <c r="AR234" s="37">
        <f>_xlfn.XLOOKUP(C234,[1]Hoja2!$C$6:$C$24,[1]Hoja2!$D$6:$D$24,0,2,1)</f>
        <v>0</v>
      </c>
      <c r="AS234" s="18">
        <f t="shared" si="85"/>
        <v>13.001210560000001</v>
      </c>
      <c r="AT234" s="14"/>
      <c r="AU234" s="37">
        <f>_xlfn.XLOOKUP(D234,[1]Hoja2!$E$6:$E$24,[1]Hoja2!$F$6:$F$24,0,2,1)</f>
        <v>0</v>
      </c>
      <c r="AV234" s="27">
        <v>0</v>
      </c>
      <c r="AW234" s="5">
        <v>3016</v>
      </c>
      <c r="AX234" s="14">
        <v>0</v>
      </c>
      <c r="AY234" s="14"/>
      <c r="AZ234" s="16">
        <f>_xlfn.XLOOKUP(C234,[2]PI!$B$15:$B$99,[2]PI!$L$15:$L$99,0,2,1)</f>
        <v>0</v>
      </c>
      <c r="BA234" s="16">
        <f>_xlfn.XLOOKUP(D234,[2]PI!$B$15:$B$99,[2]PI!$L$15:$L$99,0,2,1)</f>
        <v>0</v>
      </c>
      <c r="BB234" s="18">
        <f>(AS234-(90*Ventas!AE231*0.9644))</f>
        <v>12.23740576</v>
      </c>
      <c r="BC234" s="20">
        <f>(BB234/(Ventas!AE231*0.9644)/80)</f>
        <v>18.024345330115754</v>
      </c>
      <c r="BD234" s="14"/>
      <c r="BE234" s="14"/>
      <c r="BF234" s="16"/>
      <c r="BG234" s="16"/>
      <c r="BH234" s="12">
        <f t="shared" si="86"/>
        <v>12.23740576</v>
      </c>
      <c r="BI234" s="19">
        <f t="shared" si="87"/>
        <v>15.771302163851285</v>
      </c>
      <c r="BJ234" s="1" t="s">
        <v>35</v>
      </c>
      <c r="BK234">
        <f t="shared" si="88"/>
        <v>0</v>
      </c>
      <c r="BL234">
        <f t="shared" si="89"/>
        <v>0</v>
      </c>
    </row>
    <row r="235" spans="1:64" x14ac:dyDescent="0.25">
      <c r="A235" s="1" t="s">
        <v>715</v>
      </c>
      <c r="B235" s="1" t="s">
        <v>714</v>
      </c>
      <c r="C235" s="13" t="s">
        <v>713</v>
      </c>
      <c r="D235" s="15"/>
      <c r="E235" s="17"/>
      <c r="F235" s="3"/>
      <c r="G235" s="14"/>
      <c r="H235" s="16"/>
      <c r="I235" s="11">
        <v>46221</v>
      </c>
      <c r="J235" s="4">
        <v>17</v>
      </c>
      <c r="K235" s="18">
        <f>(F235-(0)+0-(J235*Ventas!AE232*1))</f>
        <v>0</v>
      </c>
      <c r="L235" s="3"/>
      <c r="M235" s="22">
        <f t="shared" si="95"/>
        <v>0</v>
      </c>
      <c r="N235" s="14"/>
      <c r="O235" s="25">
        <f t="shared" si="76"/>
        <v>0</v>
      </c>
      <c r="P235" s="16"/>
      <c r="Q235" s="12">
        <f t="shared" si="77"/>
        <v>0</v>
      </c>
      <c r="R235" s="5">
        <v>0</v>
      </c>
      <c r="S235" s="24">
        <v>0</v>
      </c>
      <c r="T235" s="26">
        <v>0</v>
      </c>
      <c r="U235" s="18">
        <f t="shared" si="78"/>
        <v>0</v>
      </c>
      <c r="V235" s="22">
        <f t="shared" si="79"/>
        <v>0</v>
      </c>
      <c r="W235" s="25">
        <f t="shared" si="80"/>
        <v>0</v>
      </c>
      <c r="X235" s="3"/>
      <c r="Y235" s="14"/>
      <c r="Z235" s="14"/>
      <c r="AA235" s="18">
        <v>15</v>
      </c>
      <c r="AB235" s="21">
        <v>4.6049999999999997E-3</v>
      </c>
      <c r="AC235" s="11">
        <v>46313</v>
      </c>
      <c r="AD235" s="4">
        <v>92</v>
      </c>
      <c r="AE235" s="18">
        <f>(IF(K235&gt;0,K235+R235,R235)-(AD235*Ventas!AE232*1.0489))</f>
        <v>0</v>
      </c>
      <c r="AF235" s="3"/>
      <c r="AG235" s="22">
        <f t="shared" si="96"/>
        <v>0</v>
      </c>
      <c r="AH235" s="14"/>
      <c r="AI235" s="25">
        <f t="shared" si="81"/>
        <v>0</v>
      </c>
      <c r="AJ235" s="16"/>
      <c r="AK235" s="12">
        <f t="shared" si="82"/>
        <v>0</v>
      </c>
      <c r="AL235" s="19">
        <f t="shared" si="83"/>
        <v>0</v>
      </c>
      <c r="AM235" s="18">
        <f>(180*(Ventas!AE232*0.9644) - IF(AE235&gt;0,AE235,0))</f>
        <v>0</v>
      </c>
      <c r="AN235" s="18">
        <f t="shared" si="97"/>
        <v>0</v>
      </c>
      <c r="AO235" s="14"/>
      <c r="AP235" s="14">
        <f t="shared" si="93"/>
        <v>0</v>
      </c>
      <c r="AQ235" s="16">
        <f t="shared" si="84"/>
        <v>0</v>
      </c>
      <c r="AR235" s="37">
        <f>_xlfn.XLOOKUP(C235,[1]Hoja2!$C$6:$C$24,[1]Hoja2!$D$6:$D$24,0,2,1)</f>
        <v>0</v>
      </c>
      <c r="AS235" s="18">
        <f t="shared" si="85"/>
        <v>0</v>
      </c>
      <c r="AT235" s="14"/>
      <c r="AU235" s="37">
        <f>_xlfn.XLOOKUP(D235,[1]Hoja2!$E$6:$E$24,[1]Hoja2!$F$6:$F$24,0,2,1)</f>
        <v>0</v>
      </c>
      <c r="AV235" s="27">
        <v>0</v>
      </c>
      <c r="AW235" s="5">
        <v>3013</v>
      </c>
      <c r="AX235" s="14">
        <v>0</v>
      </c>
      <c r="AY235" s="14"/>
      <c r="AZ235" s="16">
        <f>_xlfn.XLOOKUP(C235,[2]PI!$B$15:$B$99,[2]PI!$L$15:$L$99,0,2,1)</f>
        <v>0</v>
      </c>
      <c r="BA235" s="16">
        <f>_xlfn.XLOOKUP(D235,[2]PI!$B$15:$B$99,[2]PI!$L$15:$L$99,0,2,1)</f>
        <v>0</v>
      </c>
      <c r="BB235" s="3"/>
      <c r="BC235" s="3"/>
      <c r="BD235" s="14"/>
      <c r="BE235" s="14"/>
      <c r="BF235" s="16"/>
      <c r="BG235" s="16"/>
      <c r="BH235" s="12">
        <f t="shared" si="86"/>
        <v>0</v>
      </c>
      <c r="BI235" s="19">
        <f t="shared" si="87"/>
        <v>0</v>
      </c>
      <c r="BJ235" s="1" t="s">
        <v>35</v>
      </c>
      <c r="BK235">
        <f t="shared" si="88"/>
        <v>0</v>
      </c>
      <c r="BL235">
        <f t="shared" si="89"/>
        <v>0</v>
      </c>
    </row>
    <row r="236" spans="1:64" x14ac:dyDescent="0.25">
      <c r="A236" s="1" t="s">
        <v>718</v>
      </c>
      <c r="B236" s="1" t="s">
        <v>717</v>
      </c>
      <c r="C236" s="13" t="s">
        <v>716</v>
      </c>
      <c r="D236" s="15"/>
      <c r="E236" s="17"/>
      <c r="F236" s="3"/>
      <c r="G236" s="14"/>
      <c r="H236" s="16"/>
      <c r="I236" s="11">
        <v>46221</v>
      </c>
      <c r="J236" s="4">
        <v>17</v>
      </c>
      <c r="K236" s="18">
        <f>(F236-(0)+0-(J236*Ventas!AE233*1))</f>
        <v>0</v>
      </c>
      <c r="L236" s="3"/>
      <c r="M236" s="22">
        <f t="shared" si="95"/>
        <v>0</v>
      </c>
      <c r="N236" s="14"/>
      <c r="O236" s="25">
        <f t="shared" si="76"/>
        <v>0</v>
      </c>
      <c r="P236" s="16"/>
      <c r="Q236" s="12">
        <f t="shared" si="77"/>
        <v>0</v>
      </c>
      <c r="R236" s="5">
        <v>0</v>
      </c>
      <c r="S236" s="24">
        <v>0</v>
      </c>
      <c r="T236" s="26">
        <v>0</v>
      </c>
      <c r="U236" s="18">
        <f t="shared" si="78"/>
        <v>0</v>
      </c>
      <c r="V236" s="22">
        <f t="shared" si="79"/>
        <v>0</v>
      </c>
      <c r="W236" s="25">
        <f t="shared" si="80"/>
        <v>0</v>
      </c>
      <c r="X236" s="3"/>
      <c r="Y236" s="14"/>
      <c r="Z236" s="14"/>
      <c r="AA236" s="18">
        <v>15</v>
      </c>
      <c r="AB236" s="21">
        <v>4.6049999999999997E-3</v>
      </c>
      <c r="AC236" s="11">
        <v>46313</v>
      </c>
      <c r="AD236" s="4">
        <v>92</v>
      </c>
      <c r="AE236" s="18">
        <f>(IF(K236&gt;0,K236+R236,R236)-(AD236*Ventas!AE233*1.0489))</f>
        <v>0</v>
      </c>
      <c r="AF236" s="3"/>
      <c r="AG236" s="22">
        <f t="shared" si="96"/>
        <v>0</v>
      </c>
      <c r="AH236" s="14"/>
      <c r="AI236" s="25">
        <f t="shared" si="81"/>
        <v>0</v>
      </c>
      <c r="AJ236" s="16"/>
      <c r="AK236" s="12">
        <f t="shared" si="82"/>
        <v>0</v>
      </c>
      <c r="AL236" s="19">
        <f t="shared" si="83"/>
        <v>0</v>
      </c>
      <c r="AM236" s="18">
        <f>(180*(Ventas!AE233*0.9644) - IF(AE236&gt;0,AE236,0))</f>
        <v>0</v>
      </c>
      <c r="AN236" s="18">
        <f t="shared" si="97"/>
        <v>0</v>
      </c>
      <c r="AO236" s="14"/>
      <c r="AP236" s="14">
        <f t="shared" si="93"/>
        <v>0</v>
      </c>
      <c r="AQ236" s="16">
        <f t="shared" si="84"/>
        <v>0</v>
      </c>
      <c r="AR236" s="37">
        <f>_xlfn.XLOOKUP(C236,[1]Hoja2!$C$6:$C$24,[1]Hoja2!$D$6:$D$24,0,2,1)</f>
        <v>0</v>
      </c>
      <c r="AS236" s="18">
        <f t="shared" si="85"/>
        <v>0</v>
      </c>
      <c r="AT236" s="14"/>
      <c r="AU236" s="37">
        <f>_xlfn.XLOOKUP(D236,[1]Hoja2!$E$6:$E$24,[1]Hoja2!$F$6:$F$24,0,2,1)</f>
        <v>0</v>
      </c>
      <c r="AV236" s="27">
        <v>0</v>
      </c>
      <c r="AW236" s="5">
        <v>3013</v>
      </c>
      <c r="AX236" s="14">
        <v>0</v>
      </c>
      <c r="AY236" s="14"/>
      <c r="AZ236" s="16">
        <f>_xlfn.XLOOKUP(C236,[2]PI!$B$15:$B$99,[2]PI!$L$15:$L$99,0,2,1)</f>
        <v>0</v>
      </c>
      <c r="BA236" s="16">
        <f>_xlfn.XLOOKUP(D236,[2]PI!$B$15:$B$99,[2]PI!$L$15:$L$99,0,2,1)</f>
        <v>0</v>
      </c>
      <c r="BB236" s="3"/>
      <c r="BC236" s="3"/>
      <c r="BD236" s="14"/>
      <c r="BE236" s="14"/>
      <c r="BF236" s="16"/>
      <c r="BG236" s="16"/>
      <c r="BH236" s="12">
        <f t="shared" si="86"/>
        <v>0</v>
      </c>
      <c r="BI236" s="19">
        <f t="shared" si="87"/>
        <v>0</v>
      </c>
      <c r="BJ236" s="1" t="s">
        <v>35</v>
      </c>
      <c r="BK236">
        <f t="shared" si="88"/>
        <v>0</v>
      </c>
      <c r="BL236">
        <f t="shared" si="89"/>
        <v>0</v>
      </c>
    </row>
    <row r="237" spans="1:64" x14ac:dyDescent="0.25">
      <c r="A237" s="1" t="s">
        <v>721</v>
      </c>
      <c r="B237" s="1" t="s">
        <v>720</v>
      </c>
      <c r="C237" s="13" t="s">
        <v>719</v>
      </c>
      <c r="D237" s="15"/>
      <c r="E237" s="17"/>
      <c r="F237" s="3"/>
      <c r="G237" s="14"/>
      <c r="H237" s="16"/>
      <c r="I237" s="11">
        <v>46221</v>
      </c>
      <c r="J237" s="4">
        <v>17</v>
      </c>
      <c r="K237" s="18">
        <f>(F237-(0)+0-(J237*Ventas!AE234*1))</f>
        <v>0</v>
      </c>
      <c r="L237" s="3"/>
      <c r="M237" s="22">
        <f t="shared" si="95"/>
        <v>0</v>
      </c>
      <c r="N237" s="14"/>
      <c r="O237" s="25">
        <f t="shared" si="76"/>
        <v>0</v>
      </c>
      <c r="P237" s="16"/>
      <c r="Q237" s="12">
        <f t="shared" si="77"/>
        <v>0</v>
      </c>
      <c r="R237" s="5">
        <v>0</v>
      </c>
      <c r="S237" s="24">
        <v>0</v>
      </c>
      <c r="T237" s="26">
        <v>0</v>
      </c>
      <c r="U237" s="18">
        <f t="shared" si="78"/>
        <v>0</v>
      </c>
      <c r="V237" s="22">
        <f t="shared" si="79"/>
        <v>0</v>
      </c>
      <c r="W237" s="25">
        <f t="shared" si="80"/>
        <v>0</v>
      </c>
      <c r="X237" s="3"/>
      <c r="Y237" s="14"/>
      <c r="Z237" s="14"/>
      <c r="AA237" s="18">
        <v>15</v>
      </c>
      <c r="AB237" s="21">
        <v>4.6049999999999997E-3</v>
      </c>
      <c r="AC237" s="11">
        <v>46313</v>
      </c>
      <c r="AD237" s="4">
        <v>92</v>
      </c>
      <c r="AE237" s="18">
        <f>(IF(K237&gt;0,K237+R237,R237)-(AD237*Ventas!AE234*1.0489))</f>
        <v>0</v>
      </c>
      <c r="AF237" s="3"/>
      <c r="AG237" s="22">
        <f t="shared" si="96"/>
        <v>0</v>
      </c>
      <c r="AH237" s="14"/>
      <c r="AI237" s="25">
        <f t="shared" si="81"/>
        <v>0</v>
      </c>
      <c r="AJ237" s="16"/>
      <c r="AK237" s="12">
        <f t="shared" si="82"/>
        <v>0</v>
      </c>
      <c r="AL237" s="19">
        <f t="shared" si="83"/>
        <v>0</v>
      </c>
      <c r="AM237" s="18">
        <f>(180*(Ventas!AE234*0.9644) - IF(AE237&gt;0,AE237,0))</f>
        <v>0</v>
      </c>
      <c r="AN237" s="18">
        <f t="shared" si="97"/>
        <v>0</v>
      </c>
      <c r="AO237" s="14"/>
      <c r="AP237" s="14">
        <f t="shared" si="93"/>
        <v>0</v>
      </c>
      <c r="AQ237" s="16">
        <f t="shared" si="84"/>
        <v>0</v>
      </c>
      <c r="AR237" s="37">
        <f>_xlfn.XLOOKUP(C237,[1]Hoja2!$C$6:$C$24,[1]Hoja2!$D$6:$D$24,0,2,1)</f>
        <v>0</v>
      </c>
      <c r="AS237" s="18">
        <f t="shared" si="85"/>
        <v>0</v>
      </c>
      <c r="AT237" s="14"/>
      <c r="AU237" s="37">
        <f>_xlfn.XLOOKUP(D237,[1]Hoja2!$E$6:$E$24,[1]Hoja2!$F$6:$F$24,0,2,1)</f>
        <v>0</v>
      </c>
      <c r="AV237" s="27">
        <v>0</v>
      </c>
      <c r="AW237" s="5">
        <v>3013</v>
      </c>
      <c r="AX237" s="14">
        <v>0</v>
      </c>
      <c r="AY237" s="14"/>
      <c r="AZ237" s="16">
        <f>_xlfn.XLOOKUP(C237,[2]PI!$B$15:$B$99,[2]PI!$L$15:$L$99,0,2,1)</f>
        <v>0</v>
      </c>
      <c r="BA237" s="16">
        <f>_xlfn.XLOOKUP(D237,[2]PI!$B$15:$B$99,[2]PI!$L$15:$L$99,0,2,1)</f>
        <v>0</v>
      </c>
      <c r="BB237" s="3"/>
      <c r="BC237" s="3"/>
      <c r="BD237" s="14"/>
      <c r="BE237" s="14"/>
      <c r="BF237" s="16"/>
      <c r="BG237" s="16"/>
      <c r="BH237" s="12">
        <f t="shared" si="86"/>
        <v>0</v>
      </c>
      <c r="BI237" s="19">
        <f t="shared" si="87"/>
        <v>0</v>
      </c>
      <c r="BJ237" s="1" t="s">
        <v>35</v>
      </c>
      <c r="BK237">
        <f t="shared" si="88"/>
        <v>0</v>
      </c>
      <c r="BL237">
        <f t="shared" si="89"/>
        <v>0</v>
      </c>
    </row>
    <row r="238" spans="1:64" x14ac:dyDescent="0.25">
      <c r="A238" s="1" t="s">
        <v>724</v>
      </c>
      <c r="B238" s="1" t="s">
        <v>723</v>
      </c>
      <c r="C238" s="13" t="s">
        <v>722</v>
      </c>
      <c r="D238" s="15"/>
      <c r="E238" s="17"/>
      <c r="F238" s="5">
        <v>9</v>
      </c>
      <c r="G238" s="14"/>
      <c r="H238" s="16"/>
      <c r="I238" s="11">
        <v>46221</v>
      </c>
      <c r="J238" s="4">
        <v>17</v>
      </c>
      <c r="K238" s="18">
        <f>(F238-(0)+0-(J238*Ventas!AE235*1))</f>
        <v>8.6616999999999997</v>
      </c>
      <c r="L238" s="20">
        <f>(K238/(Ventas!AE235*1)/80)</f>
        <v>5.440766331658291</v>
      </c>
      <c r="M238" s="22">
        <f t="shared" si="95"/>
        <v>0</v>
      </c>
      <c r="N238" s="14"/>
      <c r="O238" s="25">
        <f t="shared" si="76"/>
        <v>0</v>
      </c>
      <c r="P238" s="16"/>
      <c r="Q238" s="12">
        <f t="shared" si="77"/>
        <v>8.6616999999999997</v>
      </c>
      <c r="R238" s="5">
        <v>0</v>
      </c>
      <c r="S238" s="24">
        <v>0</v>
      </c>
      <c r="T238" s="26">
        <v>0</v>
      </c>
      <c r="U238" s="18">
        <f t="shared" si="78"/>
        <v>8.6616999999999997</v>
      </c>
      <c r="V238" s="22">
        <f t="shared" si="79"/>
        <v>0</v>
      </c>
      <c r="W238" s="25">
        <f t="shared" si="80"/>
        <v>0</v>
      </c>
      <c r="X238" s="3"/>
      <c r="Y238" s="14"/>
      <c r="Z238" s="14"/>
      <c r="AA238" s="18">
        <v>12</v>
      </c>
      <c r="AB238" s="21">
        <v>7.9539999999999993E-3</v>
      </c>
      <c r="AC238" s="11">
        <v>46313</v>
      </c>
      <c r="AD238" s="4">
        <v>92</v>
      </c>
      <c r="AE238" s="18">
        <f>(IF(K238&gt;0,K238+R238,R238)-(AD238*Ventas!AE235*1.0489))</f>
        <v>6.7413738799999994</v>
      </c>
      <c r="AF238" s="20">
        <f>(AE238/(Ventas!AE235*1.0489)/80)</f>
        <v>4.0371163425095729</v>
      </c>
      <c r="AG238" s="22">
        <f t="shared" si="96"/>
        <v>0</v>
      </c>
      <c r="AH238" s="14"/>
      <c r="AI238" s="25">
        <f t="shared" si="81"/>
        <v>0</v>
      </c>
      <c r="AJ238" s="16"/>
      <c r="AK238" s="12">
        <f t="shared" si="82"/>
        <v>6.7413738799999994</v>
      </c>
      <c r="AL238" s="19">
        <f t="shared" si="83"/>
        <v>3.5324767996958761</v>
      </c>
      <c r="AM238" s="18">
        <f>(180*(Ventas!AE235*0.9644) - IF(AE238&gt;0,AE238,0))</f>
        <v>-3.2868930799999987</v>
      </c>
      <c r="AN238" s="18">
        <f t="shared" si="97"/>
        <v>0</v>
      </c>
      <c r="AO238" s="14"/>
      <c r="AP238" s="14">
        <f t="shared" si="93"/>
        <v>0</v>
      </c>
      <c r="AQ238" s="16">
        <f t="shared" si="84"/>
        <v>0</v>
      </c>
      <c r="AR238" s="37">
        <f>_xlfn.XLOOKUP(C238,[1]Hoja2!$C$6:$C$24,[1]Hoja2!$D$6:$D$24,0,2,1)</f>
        <v>0</v>
      </c>
      <c r="AS238" s="18">
        <f t="shared" si="85"/>
        <v>6.7413738799999994</v>
      </c>
      <c r="AT238" s="14"/>
      <c r="AU238" s="37">
        <f>_xlfn.XLOOKUP(D238,[1]Hoja2!$E$6:$E$24,[1]Hoja2!$F$6:$F$24,0,2,1)</f>
        <v>0</v>
      </c>
      <c r="AV238" s="27">
        <v>0</v>
      </c>
      <c r="AW238" s="5">
        <v>3016</v>
      </c>
      <c r="AX238" s="14">
        <v>0</v>
      </c>
      <c r="AY238" s="14"/>
      <c r="AZ238" s="16">
        <f>_xlfn.XLOOKUP(C238,[2]PI!$B$15:$B$99,[2]PI!$L$15:$L$99,0,2,1)</f>
        <v>0</v>
      </c>
      <c r="BA238" s="16">
        <f>_xlfn.XLOOKUP(D238,[2]PI!$B$15:$B$99,[2]PI!$L$15:$L$99,0,2,1)</f>
        <v>0</v>
      </c>
      <c r="BB238" s="18">
        <f>(AS238-(90*Ventas!AE235*0.9644))</f>
        <v>5.014133479999999</v>
      </c>
      <c r="BC238" s="20">
        <f>(BB238/(Ventas!AE235*0.9644)/80)</f>
        <v>3.2658454289281318</v>
      </c>
      <c r="BD238" s="14"/>
      <c r="BE238" s="14"/>
      <c r="BF238" s="16"/>
      <c r="BG238" s="16"/>
      <c r="BH238" s="12">
        <f t="shared" si="86"/>
        <v>5.014133479999999</v>
      </c>
      <c r="BI238" s="19">
        <f t="shared" si="87"/>
        <v>2.8576147503121154</v>
      </c>
      <c r="BJ238" s="1" t="s">
        <v>35</v>
      </c>
      <c r="BK238">
        <f t="shared" si="88"/>
        <v>0</v>
      </c>
      <c r="BL238">
        <f t="shared" si="89"/>
        <v>0</v>
      </c>
    </row>
    <row r="239" spans="1:64" x14ac:dyDescent="0.25">
      <c r="A239" s="1" t="s">
        <v>727</v>
      </c>
      <c r="B239" s="1" t="s">
        <v>726</v>
      </c>
      <c r="C239" s="13" t="s">
        <v>725</v>
      </c>
      <c r="D239" s="15"/>
      <c r="E239" s="17"/>
      <c r="F239" s="3"/>
      <c r="G239" s="14"/>
      <c r="H239" s="16"/>
      <c r="I239" s="11">
        <v>46221</v>
      </c>
      <c r="J239" s="4">
        <v>17</v>
      </c>
      <c r="K239" s="18">
        <f>(F239-(0)+0-(J239*Ventas!AE236*1))</f>
        <v>0</v>
      </c>
      <c r="L239" s="3"/>
      <c r="M239" s="22">
        <f t="shared" si="95"/>
        <v>0</v>
      </c>
      <c r="N239" s="14"/>
      <c r="O239" s="25">
        <f t="shared" si="76"/>
        <v>0</v>
      </c>
      <c r="P239" s="16"/>
      <c r="Q239" s="12">
        <f t="shared" si="77"/>
        <v>0</v>
      </c>
      <c r="R239" s="5">
        <v>0</v>
      </c>
      <c r="S239" s="24">
        <v>0</v>
      </c>
      <c r="T239" s="26">
        <v>0</v>
      </c>
      <c r="U239" s="18">
        <f t="shared" si="78"/>
        <v>0</v>
      </c>
      <c r="V239" s="22">
        <f t="shared" si="79"/>
        <v>0</v>
      </c>
      <c r="W239" s="25">
        <f t="shared" si="80"/>
        <v>0</v>
      </c>
      <c r="X239" s="3"/>
      <c r="Y239" s="14"/>
      <c r="Z239" s="14"/>
      <c r="AA239" s="3"/>
      <c r="AB239" s="3"/>
      <c r="AC239" s="11">
        <v>46313</v>
      </c>
      <c r="AD239" s="4">
        <v>92</v>
      </c>
      <c r="AE239" s="18">
        <f>(IF(K239&gt;0,K239+R239,R239)-(AD239*Ventas!AE236*1.0489))</f>
        <v>0</v>
      </c>
      <c r="AF239" s="3"/>
      <c r="AG239" s="22">
        <f t="shared" si="96"/>
        <v>0</v>
      </c>
      <c r="AH239" s="14"/>
      <c r="AI239" s="25">
        <f t="shared" si="81"/>
        <v>0</v>
      </c>
      <c r="AJ239" s="16"/>
      <c r="AK239" s="12">
        <f t="shared" si="82"/>
        <v>0</v>
      </c>
      <c r="AL239" s="19">
        <f t="shared" si="83"/>
        <v>0</v>
      </c>
      <c r="AM239" s="18">
        <f>(180*(Ventas!AE236*0.9644) - IF(AE239&gt;0,AE239,0))</f>
        <v>0</v>
      </c>
      <c r="AN239" s="18">
        <f t="shared" si="97"/>
        <v>0</v>
      </c>
      <c r="AO239" s="14"/>
      <c r="AP239" s="14">
        <f t="shared" si="93"/>
        <v>0</v>
      </c>
      <c r="AQ239" s="16">
        <f t="shared" si="84"/>
        <v>0</v>
      </c>
      <c r="AR239" s="37">
        <f>_xlfn.XLOOKUP(C239,[1]Hoja2!$C$6:$C$24,[1]Hoja2!$D$6:$D$24,0,2,1)</f>
        <v>0</v>
      </c>
      <c r="AS239" s="18">
        <f t="shared" si="85"/>
        <v>0</v>
      </c>
      <c r="AT239" s="14"/>
      <c r="AU239" s="37">
        <f>_xlfn.XLOOKUP(D239,[1]Hoja2!$E$6:$E$24,[1]Hoja2!$F$6:$F$24,0,2,1)</f>
        <v>0</v>
      </c>
      <c r="AV239" s="3">
        <v>0</v>
      </c>
      <c r="AW239" s="3"/>
      <c r="AX239" s="14">
        <v>0</v>
      </c>
      <c r="AY239" s="14"/>
      <c r="AZ239" s="16">
        <f>_xlfn.XLOOKUP(C239,[2]PI!$B$15:$B$99,[2]PI!$L$15:$L$99,0,2,1)</f>
        <v>0</v>
      </c>
      <c r="BA239" s="16">
        <f>_xlfn.XLOOKUP(D239,[2]PI!$B$15:$B$99,[2]PI!$L$15:$L$99,0,2,1)</f>
        <v>0</v>
      </c>
      <c r="BB239" s="3"/>
      <c r="BC239" s="3"/>
      <c r="BD239" s="14"/>
      <c r="BE239" s="14"/>
      <c r="BF239" s="16"/>
      <c r="BG239" s="16"/>
      <c r="BH239" s="12">
        <f t="shared" si="86"/>
        <v>0</v>
      </c>
      <c r="BI239" s="19">
        <f t="shared" si="87"/>
        <v>0</v>
      </c>
      <c r="BJ239" s="1" t="s">
        <v>51</v>
      </c>
      <c r="BK239">
        <f t="shared" si="88"/>
        <v>0</v>
      </c>
      <c r="BL239">
        <f t="shared" si="89"/>
        <v>0</v>
      </c>
    </row>
    <row r="240" spans="1:64" x14ac:dyDescent="0.25">
      <c r="A240" s="1" t="s">
        <v>730</v>
      </c>
      <c r="B240" s="1" t="s">
        <v>729</v>
      </c>
      <c r="C240" s="13" t="s">
        <v>728</v>
      </c>
      <c r="D240" s="15"/>
      <c r="E240" s="17"/>
      <c r="F240" s="5">
        <v>309</v>
      </c>
      <c r="G240" s="14"/>
      <c r="H240" s="16"/>
      <c r="I240" s="11">
        <v>46221</v>
      </c>
      <c r="J240" s="4">
        <v>17</v>
      </c>
      <c r="K240" s="18">
        <f>(F240-(0)+0-(J240*Ventas!AE237*1))</f>
        <v>276.16595714285717</v>
      </c>
      <c r="L240" s="20">
        <f>(K240/(Ventas!AE237*1)/80)</f>
        <v>1.787329880398524</v>
      </c>
      <c r="M240" s="22">
        <f t="shared" si="95"/>
        <v>0</v>
      </c>
      <c r="N240" s="14"/>
      <c r="O240" s="25">
        <f t="shared" si="76"/>
        <v>0</v>
      </c>
      <c r="P240" s="16"/>
      <c r="Q240" s="12">
        <f t="shared" si="77"/>
        <v>276.16595714285717</v>
      </c>
      <c r="R240" s="5">
        <v>150</v>
      </c>
      <c r="S240" s="24">
        <v>0</v>
      </c>
      <c r="T240" s="26">
        <v>0</v>
      </c>
      <c r="U240" s="18">
        <f t="shared" si="78"/>
        <v>426.16595714285717</v>
      </c>
      <c r="V240" s="22">
        <f t="shared" si="79"/>
        <v>0</v>
      </c>
      <c r="W240" s="25">
        <f t="shared" si="80"/>
        <v>0</v>
      </c>
      <c r="X240" s="18">
        <v>3.75</v>
      </c>
      <c r="Y240" s="14"/>
      <c r="Z240" s="14"/>
      <c r="AA240" s="18">
        <v>12</v>
      </c>
      <c r="AB240" s="21">
        <v>7.136E-3</v>
      </c>
      <c r="AC240" s="11">
        <v>46313</v>
      </c>
      <c r="AD240" s="4">
        <v>92</v>
      </c>
      <c r="AE240" s="18">
        <f>(IF(K240&gt;0,K240+R240,R240)-(AD240*Ventas!AE237*1.0489))</f>
        <v>239.78679626857146</v>
      </c>
      <c r="AF240" s="20">
        <f>(AE240/(Ventas!AE237*1.0489)/80)</f>
        <v>1.4795367379878703</v>
      </c>
      <c r="AG240" s="22">
        <f t="shared" si="96"/>
        <v>0</v>
      </c>
      <c r="AH240" s="14"/>
      <c r="AI240" s="25">
        <f t="shared" si="81"/>
        <v>0</v>
      </c>
      <c r="AJ240" s="16"/>
      <c r="AK240" s="12">
        <f t="shared" si="82"/>
        <v>239.78679626857146</v>
      </c>
      <c r="AL240" s="19">
        <f t="shared" si="83"/>
        <v>1.2945946457393864</v>
      </c>
      <c r="AM240" s="18">
        <f>(180*(Ventas!AE237*0.9644) - IF(AE240&gt;0,AE240,0))</f>
        <v>95.491272417142824</v>
      </c>
      <c r="AN240" s="18">
        <v>90</v>
      </c>
      <c r="AO240" s="14"/>
      <c r="AP240" s="14">
        <f t="shared" si="93"/>
        <v>0</v>
      </c>
      <c r="AQ240" s="16">
        <f t="shared" si="84"/>
        <v>0.64224000000000003</v>
      </c>
      <c r="AR240" s="37">
        <f>_xlfn.XLOOKUP(C240,[1]Hoja2!$C$6:$C$24,[1]Hoja2!$D$6:$D$24,0,2,1)</f>
        <v>0</v>
      </c>
      <c r="AS240" s="18">
        <f t="shared" si="85"/>
        <v>329.78679626857149</v>
      </c>
      <c r="AT240" s="14"/>
      <c r="AU240" s="37">
        <f>_xlfn.XLOOKUP(D240,[1]Hoja2!$E$6:$E$24,[1]Hoja2!$F$6:$F$24,0,2,1)</f>
        <v>0</v>
      </c>
      <c r="AV240" s="27">
        <v>3.75</v>
      </c>
      <c r="AW240" s="5">
        <v>3016</v>
      </c>
      <c r="AX240" s="14">
        <v>0</v>
      </c>
      <c r="AY240" s="14"/>
      <c r="AZ240" s="16">
        <f>_xlfn.XLOOKUP(C240,[2]PI!$B$15:$B$99,[2]PI!$L$15:$L$99,0,2,1)</f>
        <v>3.75</v>
      </c>
      <c r="BA240" s="16">
        <f>_xlfn.XLOOKUP(D240,[2]PI!$B$15:$B$99,[2]PI!$L$15:$L$99,0,2,1)</f>
        <v>0</v>
      </c>
      <c r="BB240" s="18">
        <f>(AS240-(90*Ventas!AE237*0.9644))</f>
        <v>162.14776192571435</v>
      </c>
      <c r="BC240" s="20">
        <f>(BB240/(Ventas!AE237*0.9644)/80)</f>
        <v>1.0881489080481637</v>
      </c>
      <c r="BD240" s="14"/>
      <c r="BE240" s="14"/>
      <c r="BF240" s="16"/>
      <c r="BG240" s="16"/>
      <c r="BH240" s="12">
        <f t="shared" si="86"/>
        <v>162.14776192571435</v>
      </c>
      <c r="BI240" s="19">
        <f t="shared" si="87"/>
        <v>0.95213029454214326</v>
      </c>
      <c r="BJ240" s="1" t="s">
        <v>35</v>
      </c>
      <c r="BK240">
        <f t="shared" si="88"/>
        <v>337.5</v>
      </c>
      <c r="BL240">
        <f t="shared" si="89"/>
        <v>337.5</v>
      </c>
    </row>
    <row r="241" spans="1:64" x14ac:dyDescent="0.25">
      <c r="A241" s="1" t="s">
        <v>733</v>
      </c>
      <c r="B241" s="1" t="s">
        <v>732</v>
      </c>
      <c r="C241" s="13" t="s">
        <v>731</v>
      </c>
      <c r="D241" s="15"/>
      <c r="E241" s="17"/>
      <c r="F241" s="5">
        <v>3</v>
      </c>
      <c r="G241" s="14"/>
      <c r="H241" s="16"/>
      <c r="I241" s="11">
        <v>46221</v>
      </c>
      <c r="J241" s="4">
        <v>17</v>
      </c>
      <c r="K241" s="18">
        <f>(F241-(0)+0-(J241*Ventas!AE238*1))</f>
        <v>2.427342857142857</v>
      </c>
      <c r="L241" s="20">
        <f>(K241/(Ventas!AE238*1)/80)</f>
        <v>0.90073155216284984</v>
      </c>
      <c r="M241" s="22">
        <f t="shared" si="95"/>
        <v>0</v>
      </c>
      <c r="N241" s="14"/>
      <c r="O241" s="25">
        <f t="shared" si="76"/>
        <v>0</v>
      </c>
      <c r="P241" s="16"/>
      <c r="Q241" s="12">
        <f t="shared" si="77"/>
        <v>2.427342857142857</v>
      </c>
      <c r="R241" s="5">
        <v>0</v>
      </c>
      <c r="S241" s="24">
        <v>0</v>
      </c>
      <c r="T241" s="26">
        <v>0</v>
      </c>
      <c r="U241" s="18">
        <f t="shared" si="78"/>
        <v>2.427342857142857</v>
      </c>
      <c r="V241" s="22">
        <f t="shared" si="79"/>
        <v>0</v>
      </c>
      <c r="W241" s="25">
        <f t="shared" si="80"/>
        <v>0</v>
      </c>
      <c r="X241" s="3"/>
      <c r="Y241" s="14"/>
      <c r="Z241" s="14"/>
      <c r="AA241" s="18">
        <v>10</v>
      </c>
      <c r="AB241" s="21">
        <v>1.3318E-2</v>
      </c>
      <c r="AC241" s="11">
        <v>46313</v>
      </c>
      <c r="AD241" s="4">
        <v>92</v>
      </c>
      <c r="AE241" s="18">
        <f>(IF(K241&gt;0,K241+R241,R241)-(AD241*Ventas!AE238*1.0489))</f>
        <v>-0.82328814857142829</v>
      </c>
      <c r="AF241" s="20">
        <f>(AE241/(Ventas!AE238*1.0489)/80)</f>
        <v>-0.29126079496343793</v>
      </c>
      <c r="AG241" s="22">
        <f t="shared" si="96"/>
        <v>0</v>
      </c>
      <c r="AH241" s="14"/>
      <c r="AI241" s="25">
        <f t="shared" si="81"/>
        <v>0</v>
      </c>
      <c r="AJ241" s="16"/>
      <c r="AK241" s="12">
        <f t="shared" si="82"/>
        <v>-0.82328814857142829</v>
      </c>
      <c r="AL241" s="19">
        <f t="shared" si="83"/>
        <v>-0.25485319559300817</v>
      </c>
      <c r="AM241" s="18">
        <f>(180*(Ventas!AE238*0.9644) - IF(AE241&gt;0,AE241,0))</f>
        <v>5.8475705142857146</v>
      </c>
      <c r="AN241" s="42">
        <v>6</v>
      </c>
      <c r="AO241" s="14"/>
      <c r="AP241" s="14"/>
      <c r="AQ241" s="16">
        <f t="shared" si="84"/>
        <v>7.9908000000000007E-2</v>
      </c>
      <c r="AR241" s="37">
        <f>_xlfn.XLOOKUP(C241,[1]Hoja2!$C$6:$C$24,[1]Hoja2!$D$6:$D$24,0,2,1)</f>
        <v>0</v>
      </c>
      <c r="AS241" s="18">
        <f t="shared" si="85"/>
        <v>6</v>
      </c>
      <c r="AT241" s="14"/>
      <c r="AU241" s="37">
        <f>_xlfn.XLOOKUP(D241,[1]Hoja2!$E$6:$E$24,[1]Hoja2!$F$6:$F$24,0,2,1)</f>
        <v>0</v>
      </c>
      <c r="AV241" s="27">
        <v>7.3</v>
      </c>
      <c r="AW241" s="5">
        <v>3016</v>
      </c>
      <c r="AX241" s="14">
        <v>0</v>
      </c>
      <c r="AY241" s="14"/>
      <c r="AZ241" s="16">
        <f>_xlfn.XLOOKUP(C241,[2]PI!$B$15:$B$99,[2]PI!$L$15:$L$99,0,2,1)</f>
        <v>7.3</v>
      </c>
      <c r="BA241" s="16">
        <f>_xlfn.XLOOKUP(D241,[2]PI!$B$15:$B$99,[2]PI!$L$15:$L$99,0,2,1)</f>
        <v>0</v>
      </c>
      <c r="BB241" s="18">
        <f>(AS241-(90*Ventas!AE238*0.9644))</f>
        <v>3.0762147428571427</v>
      </c>
      <c r="BC241" s="20">
        <f>(BB241/(Ventas!AE238*0.9644)/80)</f>
        <v>1.1836510828760884</v>
      </c>
      <c r="BD241" s="14"/>
      <c r="BE241" s="14"/>
      <c r="BF241" s="16"/>
      <c r="BG241" s="16"/>
      <c r="BH241" s="12">
        <f t="shared" si="86"/>
        <v>3.0762147428571427</v>
      </c>
      <c r="BI241" s="19">
        <f t="shared" si="87"/>
        <v>1.0356946975165773</v>
      </c>
      <c r="BJ241" s="1" t="s">
        <v>35</v>
      </c>
      <c r="BK241">
        <f t="shared" si="88"/>
        <v>43.8</v>
      </c>
      <c r="BL241">
        <f t="shared" si="89"/>
        <v>43.8</v>
      </c>
    </row>
    <row r="242" spans="1:64" x14ac:dyDescent="0.25">
      <c r="A242" s="1" t="s">
        <v>736</v>
      </c>
      <c r="B242" s="1" t="s">
        <v>735</v>
      </c>
      <c r="C242" s="13" t="s">
        <v>734</v>
      </c>
      <c r="D242" s="15"/>
      <c r="E242" s="17"/>
      <c r="F242" s="5">
        <v>19</v>
      </c>
      <c r="G242" s="14"/>
      <c r="H242" s="16"/>
      <c r="I242" s="11">
        <v>46221</v>
      </c>
      <c r="J242" s="4">
        <v>17</v>
      </c>
      <c r="K242" s="18">
        <f>(F242-(0)+0-(J242*Ventas!AE239*1))</f>
        <v>18.929571428571428</v>
      </c>
      <c r="L242" s="20">
        <f>(K242/(Ventas!AE239*1)/80)</f>
        <v>57.115086206896549</v>
      </c>
      <c r="M242" s="22">
        <f t="shared" si="95"/>
        <v>0</v>
      </c>
      <c r="N242" s="14"/>
      <c r="O242" s="25">
        <f t="shared" si="76"/>
        <v>0</v>
      </c>
      <c r="P242" s="16"/>
      <c r="Q242" s="12">
        <f t="shared" si="77"/>
        <v>18.929571428571428</v>
      </c>
      <c r="R242" s="5">
        <v>0</v>
      </c>
      <c r="S242" s="24">
        <v>0</v>
      </c>
      <c r="T242" s="26">
        <v>0</v>
      </c>
      <c r="U242" s="18">
        <f t="shared" si="78"/>
        <v>18.929571428571428</v>
      </c>
      <c r="V242" s="22">
        <f t="shared" si="79"/>
        <v>0</v>
      </c>
      <c r="W242" s="25">
        <f t="shared" si="80"/>
        <v>0</v>
      </c>
      <c r="X242" s="3"/>
      <c r="Y242" s="14"/>
      <c r="Z242" s="14"/>
      <c r="AA242" s="18">
        <v>20</v>
      </c>
      <c r="AB242" s="21">
        <v>3.5639999999999999E-3</v>
      </c>
      <c r="AC242" s="11">
        <v>46313</v>
      </c>
      <c r="AD242" s="4">
        <v>92</v>
      </c>
      <c r="AE242" s="18">
        <f>(IF(K242&gt;0,K242+R242,R242)-(AD242*Ventas!AE239*1.0489))</f>
        <v>18.529790685714286</v>
      </c>
      <c r="AF242" s="20">
        <f>(AE242/(Ventas!AE239*1.0489)/80)</f>
        <v>53.302365532363957</v>
      </c>
      <c r="AG242" s="22">
        <f t="shared" si="96"/>
        <v>0</v>
      </c>
      <c r="AH242" s="14"/>
      <c r="AI242" s="25">
        <f t="shared" si="81"/>
        <v>0</v>
      </c>
      <c r="AJ242" s="16"/>
      <c r="AK242" s="12">
        <f t="shared" si="82"/>
        <v>18.529790685714286</v>
      </c>
      <c r="AL242" s="19">
        <f t="shared" si="83"/>
        <v>46.63956984081846</v>
      </c>
      <c r="AM242" s="18">
        <f>(180*(Ventas!AE239*0.9644) - IF(AE242&gt;0,AE242,0))</f>
        <v>-17.81062382857143</v>
      </c>
      <c r="AN242" s="18">
        <f>IF(AM242&gt;3,CEILING(AM242,5),0)</f>
        <v>0</v>
      </c>
      <c r="AO242" s="14"/>
      <c r="AP242" s="14">
        <f>IF(AO242&gt;3,CEILING(AO242,5),0)</f>
        <v>0</v>
      </c>
      <c r="AQ242" s="16">
        <f t="shared" si="84"/>
        <v>0</v>
      </c>
      <c r="AR242" s="37">
        <f>_xlfn.XLOOKUP(C242,[1]Hoja2!$C$6:$C$24,[1]Hoja2!$D$6:$D$24,0,2,1)</f>
        <v>0</v>
      </c>
      <c r="AS242" s="18">
        <f t="shared" si="85"/>
        <v>18.529790685714286</v>
      </c>
      <c r="AT242" s="14"/>
      <c r="AU242" s="37">
        <f>_xlfn.XLOOKUP(D242,[1]Hoja2!$E$6:$E$24,[1]Hoja2!$F$6:$F$24,0,2,1)</f>
        <v>0</v>
      </c>
      <c r="AV242" s="27">
        <v>0</v>
      </c>
      <c r="AW242" s="5">
        <v>3016</v>
      </c>
      <c r="AX242" s="14">
        <v>0</v>
      </c>
      <c r="AY242" s="14"/>
      <c r="AZ242" s="16">
        <f>_xlfn.XLOOKUP(C242,[2]PI!$B$15:$B$99,[2]PI!$L$15:$L$99,0,2,1)</f>
        <v>0</v>
      </c>
      <c r="BA242" s="16">
        <f>_xlfn.XLOOKUP(D242,[2]PI!$B$15:$B$99,[2]PI!$L$15:$L$99,0,2,1)</f>
        <v>0</v>
      </c>
      <c r="BB242" s="18">
        <f>(AS242-(90*Ventas!AE239*0.9644))</f>
        <v>18.170207257142856</v>
      </c>
      <c r="BC242" s="20">
        <f>(BB242/(Ventas!AE239*0.9644)/80)</f>
        <v>56.847678563766621</v>
      </c>
      <c r="BD242" s="14"/>
      <c r="BE242" s="14"/>
      <c r="BF242" s="16"/>
      <c r="BG242" s="16"/>
      <c r="BH242" s="12">
        <f t="shared" si="86"/>
        <v>18.170207257142856</v>
      </c>
      <c r="BI242" s="19">
        <f t="shared" si="87"/>
        <v>49.741718743295792</v>
      </c>
      <c r="BJ242" s="1" t="s">
        <v>35</v>
      </c>
      <c r="BK242">
        <f t="shared" si="88"/>
        <v>0</v>
      </c>
      <c r="BL242">
        <f t="shared" si="89"/>
        <v>0</v>
      </c>
    </row>
    <row r="243" spans="1:64" x14ac:dyDescent="0.25">
      <c r="A243" s="1" t="s">
        <v>739</v>
      </c>
      <c r="B243" s="1" t="s">
        <v>738</v>
      </c>
      <c r="C243" s="13" t="s">
        <v>737</v>
      </c>
      <c r="D243" s="15"/>
      <c r="E243" s="17"/>
      <c r="F243" s="3"/>
      <c r="G243" s="14"/>
      <c r="H243" s="16"/>
      <c r="I243" s="11">
        <v>46221</v>
      </c>
      <c r="J243" s="4">
        <v>17</v>
      </c>
      <c r="K243" s="18">
        <f>(F243-(0)+0-(J243*Ventas!AE240*1))</f>
        <v>0</v>
      </c>
      <c r="L243" s="3"/>
      <c r="M243" s="22">
        <f t="shared" si="95"/>
        <v>0</v>
      </c>
      <c r="N243" s="14"/>
      <c r="O243" s="25">
        <f t="shared" si="76"/>
        <v>0</v>
      </c>
      <c r="P243" s="16"/>
      <c r="Q243" s="12">
        <f t="shared" si="77"/>
        <v>0</v>
      </c>
      <c r="R243" s="5">
        <v>0</v>
      </c>
      <c r="S243" s="24">
        <v>0</v>
      </c>
      <c r="T243" s="26">
        <v>0</v>
      </c>
      <c r="U243" s="18">
        <f t="shared" si="78"/>
        <v>0</v>
      </c>
      <c r="V243" s="22">
        <f t="shared" si="79"/>
        <v>0</v>
      </c>
      <c r="W243" s="25">
        <f t="shared" si="80"/>
        <v>0</v>
      </c>
      <c r="X243" s="3"/>
      <c r="Y243" s="14"/>
      <c r="Z243" s="14"/>
      <c r="AA243" s="18">
        <v>4</v>
      </c>
      <c r="AB243" s="21">
        <v>2.2742999999999999E-2</v>
      </c>
      <c r="AC243" s="11">
        <v>46313</v>
      </c>
      <c r="AD243" s="4">
        <v>92</v>
      </c>
      <c r="AE243" s="18">
        <f>(IF(K243&gt;0,K243+R243,R243)-(AD243*Ventas!AE240*1.0489))</f>
        <v>0</v>
      </c>
      <c r="AF243" s="3"/>
      <c r="AG243" s="22">
        <f t="shared" si="96"/>
        <v>0</v>
      </c>
      <c r="AH243" s="14"/>
      <c r="AI243" s="25">
        <f t="shared" si="81"/>
        <v>0</v>
      </c>
      <c r="AJ243" s="16"/>
      <c r="AK243" s="12">
        <f t="shared" si="82"/>
        <v>0</v>
      </c>
      <c r="AL243" s="19">
        <f t="shared" si="83"/>
        <v>0</v>
      </c>
      <c r="AM243" s="18">
        <f>(180*(Ventas!AE240*0.9644) - IF(AE243&gt;0,AE243,0))</f>
        <v>0</v>
      </c>
      <c r="AN243" s="18">
        <f>IF(AM243&gt;3,CEILING(AM243,5),0)</f>
        <v>0</v>
      </c>
      <c r="AO243" s="14"/>
      <c r="AP243" s="14">
        <f>IF(AO243&gt;3,CEILING(AO243,5),0)</f>
        <v>0</v>
      </c>
      <c r="AQ243" s="16">
        <f t="shared" si="84"/>
        <v>0</v>
      </c>
      <c r="AR243" s="37">
        <f>_xlfn.XLOOKUP(C243,[1]Hoja2!$C$6:$C$24,[1]Hoja2!$D$6:$D$24,0,2,1)</f>
        <v>0</v>
      </c>
      <c r="AS243" s="18">
        <f t="shared" si="85"/>
        <v>0</v>
      </c>
      <c r="AT243" s="14"/>
      <c r="AU243" s="37">
        <f>_xlfn.XLOOKUP(D243,[1]Hoja2!$E$6:$E$24,[1]Hoja2!$F$6:$F$24,0,2,1)</f>
        <v>0</v>
      </c>
      <c r="AV243" s="3">
        <v>0</v>
      </c>
      <c r="AW243" s="3"/>
      <c r="AX243" s="14">
        <v>0</v>
      </c>
      <c r="AY243" s="14"/>
      <c r="AZ243" s="16">
        <f>_xlfn.XLOOKUP(C243,[2]PI!$B$15:$B$99,[2]PI!$L$15:$L$99,0,2,1)</f>
        <v>0</v>
      </c>
      <c r="BA243" s="16">
        <f>_xlfn.XLOOKUP(D243,[2]PI!$B$15:$B$99,[2]PI!$L$15:$L$99,0,2,1)</f>
        <v>0</v>
      </c>
      <c r="BB243" s="3"/>
      <c r="BC243" s="3"/>
      <c r="BD243" s="14"/>
      <c r="BE243" s="14"/>
      <c r="BF243" s="16"/>
      <c r="BG243" s="16"/>
      <c r="BH243" s="12">
        <f t="shared" si="86"/>
        <v>0</v>
      </c>
      <c r="BI243" s="19">
        <f t="shared" si="87"/>
        <v>0</v>
      </c>
      <c r="BJ243" s="1" t="s">
        <v>35</v>
      </c>
      <c r="BK243">
        <f t="shared" si="88"/>
        <v>0</v>
      </c>
      <c r="BL243">
        <f t="shared" si="89"/>
        <v>0</v>
      </c>
    </row>
    <row r="244" spans="1:64" x14ac:dyDescent="0.25">
      <c r="A244" s="1" t="s">
        <v>742</v>
      </c>
      <c r="B244" s="1" t="s">
        <v>741</v>
      </c>
      <c r="C244" s="13" t="s">
        <v>740</v>
      </c>
      <c r="D244" s="15"/>
      <c r="E244" s="17"/>
      <c r="F244" s="5">
        <v>5</v>
      </c>
      <c r="G244" s="14"/>
      <c r="H244" s="16"/>
      <c r="I244" s="11">
        <v>46221</v>
      </c>
      <c r="J244" s="4">
        <v>17</v>
      </c>
      <c r="K244" s="18">
        <f>(F244-(0)+0-(J244*Ventas!AE241*1))</f>
        <v>5</v>
      </c>
      <c r="L244" s="3"/>
      <c r="M244" s="22">
        <f t="shared" si="95"/>
        <v>0</v>
      </c>
      <c r="N244" s="14"/>
      <c r="O244" s="25">
        <f t="shared" si="76"/>
        <v>0</v>
      </c>
      <c r="P244" s="16"/>
      <c r="Q244" s="12">
        <f t="shared" si="77"/>
        <v>5</v>
      </c>
      <c r="R244" s="5">
        <v>0</v>
      </c>
      <c r="S244" s="24">
        <v>0</v>
      </c>
      <c r="T244" s="26">
        <v>0</v>
      </c>
      <c r="U244" s="18">
        <f t="shared" si="78"/>
        <v>5</v>
      </c>
      <c r="V244" s="22">
        <f t="shared" si="79"/>
        <v>0</v>
      </c>
      <c r="W244" s="25">
        <f t="shared" si="80"/>
        <v>0</v>
      </c>
      <c r="X244" s="3"/>
      <c r="Y244" s="14"/>
      <c r="Z244" s="14"/>
      <c r="AA244" s="3"/>
      <c r="AB244" s="3"/>
      <c r="AC244" s="11">
        <v>46313</v>
      </c>
      <c r="AD244" s="4">
        <v>92</v>
      </c>
      <c r="AE244" s="18">
        <f>(IF(K244&gt;0,K244+R244,R244)-(AD244*Ventas!AE241*1.0489))</f>
        <v>5</v>
      </c>
      <c r="AF244" s="3"/>
      <c r="AG244" s="22">
        <f t="shared" si="96"/>
        <v>0</v>
      </c>
      <c r="AH244" s="14"/>
      <c r="AI244" s="25">
        <f t="shared" si="81"/>
        <v>0</v>
      </c>
      <c r="AJ244" s="16"/>
      <c r="AK244" s="12">
        <f t="shared" si="82"/>
        <v>5</v>
      </c>
      <c r="AL244" s="19">
        <f t="shared" si="83"/>
        <v>0</v>
      </c>
      <c r="AM244" s="18">
        <f>(180*(Ventas!AE241*0.9644) - IF(AE244&gt;0,AE244,0))</f>
        <v>-5</v>
      </c>
      <c r="AN244" s="18">
        <f>IF(AM244&gt;3,CEILING(AM244,5),0)</f>
        <v>0</v>
      </c>
      <c r="AO244" s="14"/>
      <c r="AP244" s="14">
        <f>IF(AO244&gt;3,CEILING(AO244,5),0)</f>
        <v>0</v>
      </c>
      <c r="AQ244" s="16">
        <f t="shared" si="84"/>
        <v>0</v>
      </c>
      <c r="AR244" s="37">
        <f>_xlfn.XLOOKUP(C244,[1]Hoja2!$C$6:$C$24,[1]Hoja2!$D$6:$D$24,0,2,1)</f>
        <v>0</v>
      </c>
      <c r="AS244" s="18">
        <f t="shared" si="85"/>
        <v>5</v>
      </c>
      <c r="AT244" s="14"/>
      <c r="AU244" s="37">
        <f>_xlfn.XLOOKUP(D244,[1]Hoja2!$E$6:$E$24,[1]Hoja2!$F$6:$F$24,0,2,1)</f>
        <v>0</v>
      </c>
      <c r="AV244" s="3">
        <v>0</v>
      </c>
      <c r="AW244" s="3"/>
      <c r="AX244" s="14">
        <v>0</v>
      </c>
      <c r="AY244" s="14"/>
      <c r="AZ244" s="16">
        <f>_xlfn.XLOOKUP(C244,[2]PI!$B$15:$B$99,[2]PI!$L$15:$L$99,0,2,1)</f>
        <v>0</v>
      </c>
      <c r="BA244" s="16">
        <f>_xlfn.XLOOKUP(D244,[2]PI!$B$15:$B$99,[2]PI!$L$15:$L$99,0,2,1)</f>
        <v>0</v>
      </c>
      <c r="BB244" s="3"/>
      <c r="BC244" s="3"/>
      <c r="BD244" s="14"/>
      <c r="BE244" s="14"/>
      <c r="BF244" s="16"/>
      <c r="BG244" s="16"/>
      <c r="BH244" s="12">
        <f t="shared" si="86"/>
        <v>0</v>
      </c>
      <c r="BI244" s="19">
        <f t="shared" si="87"/>
        <v>0</v>
      </c>
      <c r="BJ244" s="1" t="s">
        <v>35</v>
      </c>
      <c r="BK244">
        <f t="shared" si="88"/>
        <v>0</v>
      </c>
      <c r="BL244">
        <f t="shared" si="89"/>
        <v>0</v>
      </c>
    </row>
    <row r="245" spans="1:64" x14ac:dyDescent="0.25">
      <c r="A245" s="1" t="s">
        <v>745</v>
      </c>
      <c r="B245" s="1" t="s">
        <v>744</v>
      </c>
      <c r="C245" s="13" t="s">
        <v>743</v>
      </c>
      <c r="D245" s="15"/>
      <c r="E245" s="17"/>
      <c r="F245" s="3"/>
      <c r="G245" s="14"/>
      <c r="H245" s="16"/>
      <c r="I245" s="11">
        <v>46221</v>
      </c>
      <c r="J245" s="4">
        <v>17</v>
      </c>
      <c r="K245" s="18">
        <f>(F245-(0)+0-(J245*Ventas!AE242*1))</f>
        <v>0</v>
      </c>
      <c r="L245" s="3"/>
      <c r="M245" s="22">
        <f t="shared" si="95"/>
        <v>0</v>
      </c>
      <c r="N245" s="14"/>
      <c r="O245" s="25">
        <f t="shared" si="76"/>
        <v>0</v>
      </c>
      <c r="P245" s="16"/>
      <c r="Q245" s="12">
        <f t="shared" si="77"/>
        <v>0</v>
      </c>
      <c r="R245" s="5">
        <v>0</v>
      </c>
      <c r="S245" s="24">
        <v>0</v>
      </c>
      <c r="T245" s="26">
        <v>0</v>
      </c>
      <c r="U245" s="18">
        <f t="shared" si="78"/>
        <v>0</v>
      </c>
      <c r="V245" s="22">
        <f t="shared" si="79"/>
        <v>0</v>
      </c>
      <c r="W245" s="25">
        <f t="shared" si="80"/>
        <v>0</v>
      </c>
      <c r="X245" s="3"/>
      <c r="Y245" s="14"/>
      <c r="Z245" s="14"/>
      <c r="AA245" s="3"/>
      <c r="AB245" s="3"/>
      <c r="AC245" s="11">
        <v>46313</v>
      </c>
      <c r="AD245" s="4">
        <v>92</v>
      </c>
      <c r="AE245" s="18">
        <f>(IF(K245&gt;0,K245+R245,R245)-(AD245*Ventas!AE242*1.0489))</f>
        <v>0</v>
      </c>
      <c r="AF245" s="3"/>
      <c r="AG245" s="22">
        <f t="shared" si="96"/>
        <v>0</v>
      </c>
      <c r="AH245" s="14"/>
      <c r="AI245" s="25">
        <f t="shared" si="81"/>
        <v>0</v>
      </c>
      <c r="AJ245" s="16"/>
      <c r="AK245" s="12">
        <f t="shared" si="82"/>
        <v>0</v>
      </c>
      <c r="AL245" s="19">
        <f t="shared" si="83"/>
        <v>0</v>
      </c>
      <c r="AM245" s="18">
        <f>(180*(Ventas!AE242*0.9644) - IF(AE245&gt;0,AE245,0))</f>
        <v>0</v>
      </c>
      <c r="AN245" s="18">
        <f>IF(AM245&gt;3,CEILING(AM245,5),0)</f>
        <v>0</v>
      </c>
      <c r="AO245" s="14"/>
      <c r="AP245" s="14">
        <f>IF(AO245&gt;3,CEILING(AO245,5),0)</f>
        <v>0</v>
      </c>
      <c r="AQ245" s="16">
        <f t="shared" si="84"/>
        <v>0</v>
      </c>
      <c r="AR245" s="37">
        <f>_xlfn.XLOOKUP(C245,[1]Hoja2!$C$6:$C$24,[1]Hoja2!$D$6:$D$24,0,2,1)</f>
        <v>0</v>
      </c>
      <c r="AS245" s="18">
        <f t="shared" si="85"/>
        <v>0</v>
      </c>
      <c r="AT245" s="14"/>
      <c r="AU245" s="37">
        <f>_xlfn.XLOOKUP(D245,[1]Hoja2!$E$6:$E$24,[1]Hoja2!$F$6:$F$24,0,2,1)</f>
        <v>0</v>
      </c>
      <c r="AV245" s="3">
        <v>0</v>
      </c>
      <c r="AW245" s="3"/>
      <c r="AX245" s="14">
        <v>0</v>
      </c>
      <c r="AY245" s="14"/>
      <c r="AZ245" s="16">
        <f>_xlfn.XLOOKUP(C245,[2]PI!$B$15:$B$99,[2]PI!$L$15:$L$99,0,2,1)</f>
        <v>0</v>
      </c>
      <c r="BA245" s="16">
        <f>_xlfn.XLOOKUP(D245,[2]PI!$B$15:$B$99,[2]PI!$L$15:$L$99,0,2,1)</f>
        <v>0</v>
      </c>
      <c r="BB245" s="3"/>
      <c r="BC245" s="3"/>
      <c r="BD245" s="14"/>
      <c r="BE245" s="14"/>
      <c r="BF245" s="16"/>
      <c r="BG245" s="16"/>
      <c r="BH245" s="12">
        <f t="shared" si="86"/>
        <v>0</v>
      </c>
      <c r="BI245" s="19">
        <f t="shared" si="87"/>
        <v>0</v>
      </c>
      <c r="BJ245" s="1" t="s">
        <v>51</v>
      </c>
      <c r="BK245">
        <f t="shared" si="88"/>
        <v>0</v>
      </c>
      <c r="BL245">
        <f t="shared" si="89"/>
        <v>0</v>
      </c>
    </row>
    <row r="246" spans="1:64" x14ac:dyDescent="0.25">
      <c r="A246" s="1" t="s">
        <v>748</v>
      </c>
      <c r="B246" s="1" t="s">
        <v>747</v>
      </c>
      <c r="C246" s="13" t="s">
        <v>746</v>
      </c>
      <c r="D246" s="15"/>
      <c r="E246" s="17"/>
      <c r="F246" s="3"/>
      <c r="G246" s="14"/>
      <c r="H246" s="16"/>
      <c r="I246" s="11">
        <v>46221</v>
      </c>
      <c r="J246" s="4">
        <v>17</v>
      </c>
      <c r="K246" s="18">
        <f>(F246-(0)+0-(J246*Ventas!AE243*1))</f>
        <v>0</v>
      </c>
      <c r="L246" s="3"/>
      <c r="M246" s="22">
        <f t="shared" si="95"/>
        <v>0</v>
      </c>
      <c r="N246" s="14"/>
      <c r="O246" s="25">
        <f t="shared" si="76"/>
        <v>0</v>
      </c>
      <c r="P246" s="16"/>
      <c r="Q246" s="12">
        <f t="shared" si="77"/>
        <v>0</v>
      </c>
      <c r="R246" s="5">
        <v>0</v>
      </c>
      <c r="S246" s="24">
        <v>0</v>
      </c>
      <c r="T246" s="26">
        <v>0</v>
      </c>
      <c r="U246" s="18">
        <f t="shared" si="78"/>
        <v>0</v>
      </c>
      <c r="V246" s="22">
        <f t="shared" si="79"/>
        <v>0</v>
      </c>
      <c r="W246" s="25">
        <f t="shared" si="80"/>
        <v>0</v>
      </c>
      <c r="X246" s="3"/>
      <c r="Y246" s="14"/>
      <c r="Z246" s="14"/>
      <c r="AA246" s="18">
        <v>12</v>
      </c>
      <c r="AB246" s="21">
        <v>6.6569999999999997E-3</v>
      </c>
      <c r="AC246" s="11">
        <v>46313</v>
      </c>
      <c r="AD246" s="4">
        <v>92</v>
      </c>
      <c r="AE246" s="18">
        <f>(IF(K246&gt;0,K246+R246,R246)-(AD246*Ventas!AE243*1.0489))</f>
        <v>0</v>
      </c>
      <c r="AF246" s="3"/>
      <c r="AG246" s="22">
        <f t="shared" si="96"/>
        <v>0</v>
      </c>
      <c r="AH246" s="14"/>
      <c r="AI246" s="25">
        <f t="shared" si="81"/>
        <v>0</v>
      </c>
      <c r="AJ246" s="16"/>
      <c r="AK246" s="12">
        <f t="shared" si="82"/>
        <v>0</v>
      </c>
      <c r="AL246" s="19">
        <f t="shared" si="83"/>
        <v>0</v>
      </c>
      <c r="AM246" s="18">
        <f>(180*(Ventas!AE243*0.9644) - IF(AE246&gt;0,AE246,0))</f>
        <v>0</v>
      </c>
      <c r="AN246" s="18">
        <f>IF(AM246&gt;3,CEILING(AM246,5),0)</f>
        <v>0</v>
      </c>
      <c r="AO246" s="14"/>
      <c r="AP246" s="14">
        <f>IF(AO246&gt;3,CEILING(AO246,5),0)</f>
        <v>0</v>
      </c>
      <c r="AQ246" s="16">
        <f t="shared" si="84"/>
        <v>0</v>
      </c>
      <c r="AR246" s="37">
        <f>_xlfn.XLOOKUP(C246,[1]Hoja2!$C$6:$C$24,[1]Hoja2!$D$6:$D$24,0,2,1)</f>
        <v>0</v>
      </c>
      <c r="AS246" s="18">
        <f t="shared" si="85"/>
        <v>0</v>
      </c>
      <c r="AT246" s="14"/>
      <c r="AU246" s="37">
        <f>_xlfn.XLOOKUP(D246,[1]Hoja2!$E$6:$E$24,[1]Hoja2!$F$6:$F$24,0,2,1)</f>
        <v>0</v>
      </c>
      <c r="AV246" s="27">
        <v>0</v>
      </c>
      <c r="AW246" s="5">
        <v>3022</v>
      </c>
      <c r="AX246" s="14">
        <v>0</v>
      </c>
      <c r="AY246" s="14"/>
      <c r="AZ246" s="16">
        <f>_xlfn.XLOOKUP(C246,[2]PI!$B$15:$B$99,[2]PI!$L$15:$L$99,0,2,1)</f>
        <v>0</v>
      </c>
      <c r="BA246" s="16">
        <f>_xlfn.XLOOKUP(D246,[2]PI!$B$15:$B$99,[2]PI!$L$15:$L$99,0,2,1)</f>
        <v>0</v>
      </c>
      <c r="BB246" s="3"/>
      <c r="BC246" s="3"/>
      <c r="BD246" s="14"/>
      <c r="BE246" s="14"/>
      <c r="BF246" s="16"/>
      <c r="BG246" s="16"/>
      <c r="BH246" s="12">
        <f t="shared" si="86"/>
        <v>0</v>
      </c>
      <c r="BI246" s="19">
        <f t="shared" si="87"/>
        <v>0</v>
      </c>
      <c r="BJ246" s="1" t="s">
        <v>35</v>
      </c>
      <c r="BK246">
        <f t="shared" si="88"/>
        <v>0</v>
      </c>
      <c r="BL246">
        <f t="shared" si="89"/>
        <v>0</v>
      </c>
    </row>
    <row r="247" spans="1:64" x14ac:dyDescent="0.25">
      <c r="A247" s="1" t="s">
        <v>751</v>
      </c>
      <c r="B247" s="1" t="s">
        <v>750</v>
      </c>
      <c r="C247" s="13" t="s">
        <v>749</v>
      </c>
      <c r="D247" s="15"/>
      <c r="E247" s="17"/>
      <c r="F247" s="5">
        <v>17</v>
      </c>
      <c r="G247" s="14"/>
      <c r="H247" s="16"/>
      <c r="I247" s="11">
        <v>46221</v>
      </c>
      <c r="J247" s="4">
        <v>17</v>
      </c>
      <c r="K247" s="18">
        <f>(F247-(0)+0-(J247*Ventas!AE244*1))</f>
        <v>-12.286628571428572</v>
      </c>
      <c r="L247" s="20">
        <f>(K247/(Ventas!AE244*1)/80)</f>
        <v>-8.915019238423777E-2</v>
      </c>
      <c r="M247" s="22">
        <f t="shared" si="95"/>
        <v>0</v>
      </c>
      <c r="N247" s="14"/>
      <c r="O247" s="25">
        <f t="shared" si="76"/>
        <v>0</v>
      </c>
      <c r="P247" s="16"/>
      <c r="Q247" s="12">
        <f t="shared" si="77"/>
        <v>-12.286628571428572</v>
      </c>
      <c r="R247" s="5">
        <v>90</v>
      </c>
      <c r="S247" s="24">
        <v>0</v>
      </c>
      <c r="T247" s="26">
        <v>0</v>
      </c>
      <c r="U247" s="18">
        <f t="shared" si="78"/>
        <v>90</v>
      </c>
      <c r="V247" s="22">
        <f t="shared" si="79"/>
        <v>0</v>
      </c>
      <c r="W247" s="25">
        <f t="shared" si="80"/>
        <v>0</v>
      </c>
      <c r="X247" s="18">
        <v>4.0999999999999996</v>
      </c>
      <c r="Y247" s="14"/>
      <c r="Z247" s="14"/>
      <c r="AA247" s="18">
        <v>12</v>
      </c>
      <c r="AB247" s="21">
        <v>7.136E-3</v>
      </c>
      <c r="AC247" s="11">
        <v>46313</v>
      </c>
      <c r="AD247" s="4">
        <v>92</v>
      </c>
      <c r="AE247" s="18">
        <f>(IF(K247&gt;0,K247+R247,R247)-(AD247*Ventas!AE244*1.0489))</f>
        <v>-76.242618422857134</v>
      </c>
      <c r="AF247" s="20">
        <f>(AE247/(Ventas!AE244*1.0489)/80)</f>
        <v>-0.52741596600255725</v>
      </c>
      <c r="AG247" s="22">
        <f t="shared" si="96"/>
        <v>0</v>
      </c>
      <c r="AH247" s="14"/>
      <c r="AI247" s="25">
        <f t="shared" si="81"/>
        <v>0</v>
      </c>
      <c r="AJ247" s="16"/>
      <c r="AK247" s="12">
        <f t="shared" si="82"/>
        <v>-76.242618422857134</v>
      </c>
      <c r="AL247" s="19">
        <f t="shared" si="83"/>
        <v>-0.46148897025223756</v>
      </c>
      <c r="AM247" s="18">
        <f>(180*(Ventas!AE244*0.9644) - IF(AE247&gt;0,AE247,0))</f>
        <v>299.05437805714286</v>
      </c>
      <c r="AN247" s="18">
        <f>IF(AM247&gt;3,CEILING(AM247*0.9,5),0)</f>
        <v>270</v>
      </c>
      <c r="AO247" s="14"/>
      <c r="AP247" s="14"/>
      <c r="AQ247" s="16">
        <f t="shared" si="84"/>
        <v>1.92672</v>
      </c>
      <c r="AR247" s="37">
        <f>_xlfn.XLOOKUP(C247,[1]Hoja2!$C$6:$C$24,[1]Hoja2!$D$6:$D$24,0,2,1)</f>
        <v>0</v>
      </c>
      <c r="AS247" s="18">
        <f t="shared" si="85"/>
        <v>270</v>
      </c>
      <c r="AT247" s="14"/>
      <c r="AU247" s="37">
        <f>_xlfn.XLOOKUP(D247,[1]Hoja2!$E$6:$E$24,[1]Hoja2!$F$6:$F$24,0,2,1)</f>
        <v>0</v>
      </c>
      <c r="AV247" s="27">
        <v>4.0999999999999996</v>
      </c>
      <c r="AW247" s="5">
        <v>3016</v>
      </c>
      <c r="AX247" s="14">
        <v>0</v>
      </c>
      <c r="AY247" s="14"/>
      <c r="AZ247" s="16">
        <f>_xlfn.XLOOKUP(C247,[2]PI!$B$15:$B$99,[2]PI!$L$15:$L$99,0,2,1)</f>
        <v>4.0999999999999996</v>
      </c>
      <c r="BA247" s="16">
        <f>_xlfn.XLOOKUP(D247,[2]PI!$B$15:$B$99,[2]PI!$L$15:$L$99,0,2,1)</f>
        <v>0</v>
      </c>
      <c r="BB247" s="18">
        <f>(AS247-(90*Ventas!AE244*0.9644))</f>
        <v>120.47281097142857</v>
      </c>
      <c r="BC247" s="20">
        <f>(BB247/(Ventas!AE244*0.9644)/80)</f>
        <v>0.9064031312523364</v>
      </c>
      <c r="BD247" s="14"/>
      <c r="BE247" s="14"/>
      <c r="BF247" s="16"/>
      <c r="BG247" s="16"/>
      <c r="BH247" s="12">
        <f t="shared" si="86"/>
        <v>120.47281097142857</v>
      </c>
      <c r="BI247" s="19">
        <f t="shared" si="87"/>
        <v>0.79310273984579438</v>
      </c>
      <c r="BJ247" s="1" t="s">
        <v>35</v>
      </c>
      <c r="BK247">
        <f t="shared" si="88"/>
        <v>1107</v>
      </c>
      <c r="BL247">
        <f t="shared" si="89"/>
        <v>1107</v>
      </c>
    </row>
    <row r="248" spans="1:64" x14ac:dyDescent="0.25">
      <c r="A248" s="1" t="s">
        <v>754</v>
      </c>
      <c r="B248" s="1" t="s">
        <v>753</v>
      </c>
      <c r="C248" s="13" t="s">
        <v>752</v>
      </c>
      <c r="D248" s="15"/>
      <c r="E248" s="17"/>
      <c r="F248" s="5">
        <v>44</v>
      </c>
      <c r="G248" s="14"/>
      <c r="H248" s="16"/>
      <c r="I248" s="11">
        <v>46221</v>
      </c>
      <c r="J248" s="4">
        <v>17</v>
      </c>
      <c r="K248" s="18">
        <f>(F248-(0)+0-(J248*Ventas!AE245*1))</f>
        <v>41.049042857142858</v>
      </c>
      <c r="L248" s="20">
        <f>(K248/(Ventas!AE245*1)/80)</f>
        <v>2.9559635009464249</v>
      </c>
      <c r="M248" s="22">
        <f t="shared" si="95"/>
        <v>0</v>
      </c>
      <c r="N248" s="14"/>
      <c r="O248" s="25">
        <f t="shared" si="76"/>
        <v>0</v>
      </c>
      <c r="P248" s="16"/>
      <c r="Q248" s="12">
        <f t="shared" si="77"/>
        <v>41.049042857142858</v>
      </c>
      <c r="R248" s="5">
        <v>20</v>
      </c>
      <c r="S248" s="24">
        <v>0</v>
      </c>
      <c r="T248" s="26">
        <v>0</v>
      </c>
      <c r="U248" s="18">
        <f t="shared" si="78"/>
        <v>61.049042857142858</v>
      </c>
      <c r="V248" s="22">
        <f t="shared" si="79"/>
        <v>0</v>
      </c>
      <c r="W248" s="25">
        <f t="shared" si="80"/>
        <v>0</v>
      </c>
      <c r="X248" s="18">
        <v>2</v>
      </c>
      <c r="Y248" s="14"/>
      <c r="Z248" s="14"/>
      <c r="AA248" s="18">
        <v>20</v>
      </c>
      <c r="AB248" s="21">
        <v>2.9139999999999999E-3</v>
      </c>
      <c r="AC248" s="11">
        <v>46313</v>
      </c>
      <c r="AD248" s="4">
        <v>92</v>
      </c>
      <c r="AE248" s="18">
        <f>(IF(K248&gt;0,K248+R248,R248)-(AD248*Ventas!AE245*1.0489))</f>
        <v>44.298229731428577</v>
      </c>
      <c r="AF248" s="20">
        <f>(AE248/(Ventas!AE245*1.0489)/80)</f>
        <v>3.0412233608492705</v>
      </c>
      <c r="AG248" s="22">
        <f t="shared" si="96"/>
        <v>0</v>
      </c>
      <c r="AH248" s="14"/>
      <c r="AI248" s="25">
        <f t="shared" si="81"/>
        <v>0</v>
      </c>
      <c r="AJ248" s="16"/>
      <c r="AK248" s="12">
        <f t="shared" si="82"/>
        <v>44.298229731428577</v>
      </c>
      <c r="AL248" s="19">
        <f t="shared" si="83"/>
        <v>2.6610704407431118</v>
      </c>
      <c r="AM248" s="18">
        <f>(180*(Ventas!AE245*0.9644) - IF(AE248&gt;0,AE248,0))</f>
        <v>-14.165138417142863</v>
      </c>
      <c r="AN248" s="18">
        <f>IF(AM248&gt;3,CEILING(AM248,5),0)</f>
        <v>0</v>
      </c>
      <c r="AO248" s="14"/>
      <c r="AP248" s="14">
        <f t="shared" ref="AP248:AP266" si="98">IF(AO248&gt;3,CEILING(AO248,5),0)</f>
        <v>0</v>
      </c>
      <c r="AQ248" s="16">
        <f t="shared" si="84"/>
        <v>0</v>
      </c>
      <c r="AR248" s="37">
        <f>_xlfn.XLOOKUP(C248,[1]Hoja2!$C$6:$C$24,[1]Hoja2!$D$6:$D$24,0,2,1)</f>
        <v>0</v>
      </c>
      <c r="AS248" s="18">
        <f t="shared" si="85"/>
        <v>44.298229731428577</v>
      </c>
      <c r="AT248" s="14"/>
      <c r="AU248" s="37">
        <f>_xlfn.XLOOKUP(D248,[1]Hoja2!$E$6:$E$24,[1]Hoja2!$F$6:$F$24,0,2,1)</f>
        <v>0</v>
      </c>
      <c r="AV248" s="27">
        <v>0</v>
      </c>
      <c r="AW248" s="5">
        <v>3016</v>
      </c>
      <c r="AX248" s="14">
        <v>0</v>
      </c>
      <c r="AY248" s="14"/>
      <c r="AZ248" s="16">
        <f>_xlfn.XLOOKUP(C248,[2]PI!$B$15:$B$99,[2]PI!$L$15:$L$99,0,2,1)</f>
        <v>0</v>
      </c>
      <c r="BA248" s="16">
        <f>_xlfn.XLOOKUP(D248,[2]PI!$B$15:$B$99,[2]PI!$L$15:$L$99,0,2,1)</f>
        <v>0</v>
      </c>
      <c r="BB248" s="18">
        <f>(AS248-(90*Ventas!AE245*0.9644))</f>
        <v>29.231684074285724</v>
      </c>
      <c r="BC248" s="20">
        <f>(BB248/(Ventas!AE245*0.9644)/80)</f>
        <v>2.1826930559879711</v>
      </c>
      <c r="BD248" s="14"/>
      <c r="BE248" s="14"/>
      <c r="BF248" s="16"/>
      <c r="BG248" s="16"/>
      <c r="BH248" s="12">
        <f t="shared" si="86"/>
        <v>29.231684074285724</v>
      </c>
      <c r="BI248" s="19">
        <f t="shared" si="87"/>
        <v>1.9098564239894746</v>
      </c>
      <c r="BJ248" s="1" t="s">
        <v>35</v>
      </c>
      <c r="BK248">
        <f t="shared" si="88"/>
        <v>0</v>
      </c>
      <c r="BL248">
        <f t="shared" si="89"/>
        <v>0</v>
      </c>
    </row>
    <row r="249" spans="1:64" x14ac:dyDescent="0.25">
      <c r="A249" s="1" t="s">
        <v>757</v>
      </c>
      <c r="B249" s="1" t="s">
        <v>756</v>
      </c>
      <c r="C249" s="13" t="s">
        <v>755</v>
      </c>
      <c r="D249" s="15"/>
      <c r="E249" s="17"/>
      <c r="F249" s="5">
        <v>4</v>
      </c>
      <c r="G249" s="14"/>
      <c r="H249" s="16"/>
      <c r="I249" s="11">
        <v>46221</v>
      </c>
      <c r="J249" s="4">
        <v>17</v>
      </c>
      <c r="K249" s="18">
        <f>(F249-(0)+0-(J249*Ventas!AE246*1))</f>
        <v>4</v>
      </c>
      <c r="L249" s="3"/>
      <c r="M249" s="22">
        <f t="shared" si="95"/>
        <v>0</v>
      </c>
      <c r="N249" s="14"/>
      <c r="O249" s="25">
        <f t="shared" si="76"/>
        <v>0</v>
      </c>
      <c r="P249" s="16"/>
      <c r="Q249" s="12">
        <f t="shared" si="77"/>
        <v>4</v>
      </c>
      <c r="R249" s="5">
        <v>0</v>
      </c>
      <c r="S249" s="24">
        <v>0</v>
      </c>
      <c r="T249" s="26">
        <v>0</v>
      </c>
      <c r="U249" s="18">
        <f t="shared" si="78"/>
        <v>4</v>
      </c>
      <c r="V249" s="22">
        <f t="shared" si="79"/>
        <v>0</v>
      </c>
      <c r="W249" s="25">
        <f t="shared" si="80"/>
        <v>0</v>
      </c>
      <c r="X249" s="3"/>
      <c r="Y249" s="14"/>
      <c r="Z249" s="14"/>
      <c r="AA249" s="18">
        <v>30</v>
      </c>
      <c r="AB249" s="21">
        <v>2.7290000000000001E-3</v>
      </c>
      <c r="AC249" s="11">
        <v>46313</v>
      </c>
      <c r="AD249" s="4">
        <v>92</v>
      </c>
      <c r="AE249" s="18">
        <f>(IF(K249&gt;0,K249+R249,R249)-(AD249*Ventas!AE246*1.0489))</f>
        <v>4</v>
      </c>
      <c r="AF249" s="3"/>
      <c r="AG249" s="22">
        <f t="shared" si="96"/>
        <v>0</v>
      </c>
      <c r="AH249" s="14"/>
      <c r="AI249" s="25">
        <f t="shared" si="81"/>
        <v>0</v>
      </c>
      <c r="AJ249" s="16"/>
      <c r="AK249" s="12">
        <f t="shared" si="82"/>
        <v>4</v>
      </c>
      <c r="AL249" s="19">
        <f t="shared" si="83"/>
        <v>0</v>
      </c>
      <c r="AM249" s="18">
        <f>(180*(Ventas!AE246*0.9644) - IF(AE249&gt;0,AE249,0))</f>
        <v>-4</v>
      </c>
      <c r="AN249" s="18">
        <f>IF(AM249&gt;3,CEILING(AM249,5),0)</f>
        <v>0</v>
      </c>
      <c r="AO249" s="14"/>
      <c r="AP249" s="14">
        <f t="shared" si="98"/>
        <v>0</v>
      </c>
      <c r="AQ249" s="16">
        <f t="shared" si="84"/>
        <v>0</v>
      </c>
      <c r="AR249" s="37">
        <f>_xlfn.XLOOKUP(C249,[1]Hoja2!$C$6:$C$24,[1]Hoja2!$D$6:$D$24,0,2,1)</f>
        <v>0</v>
      </c>
      <c r="AS249" s="18">
        <f t="shared" si="85"/>
        <v>4</v>
      </c>
      <c r="AT249" s="14"/>
      <c r="AU249" s="37">
        <f>_xlfn.XLOOKUP(D249,[1]Hoja2!$E$6:$E$24,[1]Hoja2!$F$6:$F$24,0,2,1)</f>
        <v>0</v>
      </c>
      <c r="AV249" s="27">
        <v>0</v>
      </c>
      <c r="AW249" s="5">
        <v>3006</v>
      </c>
      <c r="AX249" s="14">
        <v>0</v>
      </c>
      <c r="AY249" s="14"/>
      <c r="AZ249" s="16">
        <f>_xlfn.XLOOKUP(C249,[2]PI!$B$15:$B$99,[2]PI!$L$15:$L$99,0,2,1)</f>
        <v>0</v>
      </c>
      <c r="BA249" s="16">
        <f>_xlfn.XLOOKUP(D249,[2]PI!$B$15:$B$99,[2]PI!$L$15:$L$99,0,2,1)</f>
        <v>0</v>
      </c>
      <c r="BB249" s="3"/>
      <c r="BC249" s="3"/>
      <c r="BD249" s="14"/>
      <c r="BE249" s="14"/>
      <c r="BF249" s="16"/>
      <c r="BG249" s="16"/>
      <c r="BH249" s="12">
        <f t="shared" si="86"/>
        <v>0</v>
      </c>
      <c r="BI249" s="19">
        <f t="shared" si="87"/>
        <v>0</v>
      </c>
      <c r="BJ249" s="1" t="s">
        <v>51</v>
      </c>
      <c r="BK249">
        <f t="shared" si="88"/>
        <v>0</v>
      </c>
      <c r="BL249">
        <f t="shared" si="89"/>
        <v>0</v>
      </c>
    </row>
    <row r="250" spans="1:64" x14ac:dyDescent="0.25">
      <c r="A250" s="1" t="s">
        <v>760</v>
      </c>
      <c r="B250" s="1" t="s">
        <v>759</v>
      </c>
      <c r="C250" s="13" t="s">
        <v>758</v>
      </c>
      <c r="D250" s="15"/>
      <c r="E250" s="17"/>
      <c r="F250" s="5">
        <v>99</v>
      </c>
      <c r="G250" s="14"/>
      <c r="H250" s="16"/>
      <c r="I250" s="11">
        <v>46221</v>
      </c>
      <c r="J250" s="4">
        <v>17</v>
      </c>
      <c r="K250" s="18">
        <f>(F250-(0)+0-(J250*Ventas!AE247*1))</f>
        <v>95.556528571428572</v>
      </c>
      <c r="L250" s="20">
        <f>(K250/(Ventas!AE247*1)/80)</f>
        <v>5.8968871217998444</v>
      </c>
      <c r="M250" s="22">
        <f t="shared" si="95"/>
        <v>0</v>
      </c>
      <c r="N250" s="14"/>
      <c r="O250" s="25">
        <f t="shared" si="76"/>
        <v>0</v>
      </c>
      <c r="P250" s="16"/>
      <c r="Q250" s="12">
        <f t="shared" si="77"/>
        <v>95.556528571428572</v>
      </c>
      <c r="R250" s="5">
        <v>0</v>
      </c>
      <c r="S250" s="24">
        <v>0</v>
      </c>
      <c r="T250" s="26">
        <v>0</v>
      </c>
      <c r="U250" s="18">
        <f t="shared" si="78"/>
        <v>95.556528571428572</v>
      </c>
      <c r="V250" s="22">
        <f t="shared" si="79"/>
        <v>0</v>
      </c>
      <c r="W250" s="25">
        <f t="shared" si="80"/>
        <v>0</v>
      </c>
      <c r="X250" s="3"/>
      <c r="Y250" s="14"/>
      <c r="Z250" s="14"/>
      <c r="AA250" s="18">
        <v>20</v>
      </c>
      <c r="AB250" s="21">
        <v>2.9139999999999999E-3</v>
      </c>
      <c r="AC250" s="11">
        <v>46313</v>
      </c>
      <c r="AD250" s="4">
        <v>92</v>
      </c>
      <c r="AE250" s="18">
        <f>(IF(K250&gt;0,K250+R250,R250)-(AD250*Ventas!AE247*1.0489))</f>
        <v>76.010007354285719</v>
      </c>
      <c r="AF250" s="20">
        <f>(AE250/(Ventas!AE247*1.0489)/80)</f>
        <v>4.471972658785246</v>
      </c>
      <c r="AG250" s="22">
        <f t="shared" si="96"/>
        <v>0</v>
      </c>
      <c r="AH250" s="14"/>
      <c r="AI250" s="25">
        <f t="shared" si="81"/>
        <v>0</v>
      </c>
      <c r="AJ250" s="16"/>
      <c r="AK250" s="12">
        <f t="shared" si="82"/>
        <v>76.010007354285719</v>
      </c>
      <c r="AL250" s="19">
        <f t="shared" si="83"/>
        <v>3.91297607643709</v>
      </c>
      <c r="AM250" s="18">
        <f>(180*(Ventas!AE247*0.9644) - IF(AE250&gt;0,AE250,0))</f>
        <v>-40.847707811428577</v>
      </c>
      <c r="AN250" s="18">
        <f>IF(AM250&gt;3,CEILING(AM250,5),0)</f>
        <v>0</v>
      </c>
      <c r="AO250" s="14"/>
      <c r="AP250" s="14">
        <f t="shared" si="98"/>
        <v>0</v>
      </c>
      <c r="AQ250" s="16">
        <f t="shared" si="84"/>
        <v>0</v>
      </c>
      <c r="AR250" s="37">
        <f>_xlfn.XLOOKUP(C250,[1]Hoja2!$C$6:$C$24,[1]Hoja2!$D$6:$D$24,0,2,1)</f>
        <v>0</v>
      </c>
      <c r="AS250" s="18">
        <f t="shared" si="85"/>
        <v>76.010007354285719</v>
      </c>
      <c r="AT250" s="14"/>
      <c r="AU250" s="37">
        <f>_xlfn.XLOOKUP(D250,[1]Hoja2!$E$6:$E$24,[1]Hoja2!$F$6:$F$24,0,2,1)</f>
        <v>0</v>
      </c>
      <c r="AV250" s="27">
        <v>0</v>
      </c>
      <c r="AW250" s="5">
        <v>3016</v>
      </c>
      <c r="AX250" s="14">
        <v>0</v>
      </c>
      <c r="AY250" s="14"/>
      <c r="AZ250" s="16">
        <f>_xlfn.XLOOKUP(C250,[2]PI!$B$15:$B$99,[2]PI!$L$15:$L$99,0,2,1)</f>
        <v>0</v>
      </c>
      <c r="BA250" s="16">
        <f>_xlfn.XLOOKUP(D250,[2]PI!$B$15:$B$99,[2]PI!$L$15:$L$99,0,2,1)</f>
        <v>0</v>
      </c>
      <c r="BB250" s="18">
        <f>(AS250-(90*Ventas!AE247*0.9644))</f>
        <v>58.428857582857148</v>
      </c>
      <c r="BC250" s="20">
        <f>(BB250/(Ventas!AE247*0.9644)/80)</f>
        <v>3.7388035273743734</v>
      </c>
      <c r="BD250" s="14"/>
      <c r="BE250" s="14"/>
      <c r="BF250" s="16"/>
      <c r="BG250" s="16"/>
      <c r="BH250" s="12">
        <f t="shared" si="86"/>
        <v>58.428857582857148</v>
      </c>
      <c r="BI250" s="19">
        <f t="shared" si="87"/>
        <v>3.2714530864525768</v>
      </c>
      <c r="BJ250" s="1" t="s">
        <v>35</v>
      </c>
      <c r="BK250">
        <f t="shared" si="88"/>
        <v>0</v>
      </c>
      <c r="BL250">
        <f t="shared" si="89"/>
        <v>0</v>
      </c>
    </row>
    <row r="251" spans="1:64" x14ac:dyDescent="0.25">
      <c r="A251" s="1" t="s">
        <v>763</v>
      </c>
      <c r="B251" s="1" t="s">
        <v>762</v>
      </c>
      <c r="C251" s="13" t="s">
        <v>761</v>
      </c>
      <c r="D251" s="15"/>
      <c r="E251" s="17"/>
      <c r="F251" s="5">
        <v>148</v>
      </c>
      <c r="G251" s="14"/>
      <c r="H251" s="16"/>
      <c r="I251" s="11">
        <v>46221</v>
      </c>
      <c r="J251" s="4">
        <v>17</v>
      </c>
      <c r="K251" s="18">
        <f>(F251-(0)+0-(J251*Ventas!AE248*1))</f>
        <v>134.96974285714285</v>
      </c>
      <c r="L251" s="20">
        <f>(K251/(Ventas!AE248*1)/80)</f>
        <v>2.2011131509300332</v>
      </c>
      <c r="M251" s="22">
        <f t="shared" si="95"/>
        <v>0</v>
      </c>
      <c r="N251" s="14"/>
      <c r="O251" s="25">
        <f t="shared" si="76"/>
        <v>0</v>
      </c>
      <c r="P251" s="16"/>
      <c r="Q251" s="12">
        <f t="shared" si="77"/>
        <v>134.96974285714285</v>
      </c>
      <c r="R251" s="5">
        <v>20</v>
      </c>
      <c r="S251" s="24">
        <v>0</v>
      </c>
      <c r="T251" s="26">
        <v>0</v>
      </c>
      <c r="U251" s="18">
        <f t="shared" si="78"/>
        <v>154.96974285714285</v>
      </c>
      <c r="V251" s="22">
        <f t="shared" si="79"/>
        <v>0</v>
      </c>
      <c r="W251" s="25">
        <f t="shared" si="80"/>
        <v>0</v>
      </c>
      <c r="X251" s="18">
        <v>2.4</v>
      </c>
      <c r="Y251" s="14"/>
      <c r="Z251" s="14"/>
      <c r="AA251" s="18">
        <v>20</v>
      </c>
      <c r="AB251" s="21">
        <v>2.9139999999999999E-3</v>
      </c>
      <c r="AC251" s="11">
        <v>46313</v>
      </c>
      <c r="AD251" s="4">
        <v>92</v>
      </c>
      <c r="AE251" s="18">
        <f>(IF(K251&gt;0,K251+R251,R251)-(AD251*Ventas!AE248*1.0489))</f>
        <v>81.004791211428568</v>
      </c>
      <c r="AF251" s="20">
        <f>(AE251/(Ventas!AE248*1.0489)/80)</f>
        <v>1.259454752831445</v>
      </c>
      <c r="AG251" s="22">
        <f t="shared" si="96"/>
        <v>0</v>
      </c>
      <c r="AH251" s="14"/>
      <c r="AI251" s="25">
        <f t="shared" si="81"/>
        <v>0</v>
      </c>
      <c r="AJ251" s="16"/>
      <c r="AK251" s="12">
        <f t="shared" si="82"/>
        <v>81.004791211428568</v>
      </c>
      <c r="AL251" s="19">
        <f t="shared" si="83"/>
        <v>1.1020229087275144</v>
      </c>
      <c r="AM251" s="18">
        <f>(180*(Ventas!AE248*0.9644) - IF(AE251&gt;0,AE251,0))</f>
        <v>52.050996902857122</v>
      </c>
      <c r="AN251" s="42">
        <v>60</v>
      </c>
      <c r="AO251" s="14"/>
      <c r="AP251" s="14">
        <f t="shared" si="98"/>
        <v>0</v>
      </c>
      <c r="AQ251" s="16">
        <f t="shared" si="84"/>
        <v>0.17484</v>
      </c>
      <c r="AR251" s="37">
        <f>_xlfn.XLOOKUP(C251,[1]Hoja2!$C$6:$C$24,[1]Hoja2!$D$6:$D$24,0,2,1)</f>
        <v>0</v>
      </c>
      <c r="AS251" s="18">
        <f t="shared" si="85"/>
        <v>141.00479121142857</v>
      </c>
      <c r="AT251" s="14"/>
      <c r="AU251" s="37">
        <f>_xlfn.XLOOKUP(D251,[1]Hoja2!$E$6:$E$24,[1]Hoja2!$F$6:$F$24,0,2,1)</f>
        <v>0</v>
      </c>
      <c r="AV251" s="27">
        <v>2.7</v>
      </c>
      <c r="AW251" s="5">
        <v>3016</v>
      </c>
      <c r="AX251" s="14">
        <v>0</v>
      </c>
      <c r="AY251" s="14"/>
      <c r="AZ251" s="16">
        <f>_xlfn.XLOOKUP(C251,[2]PI!$B$15:$B$99,[2]PI!$L$15:$L$99,0,2,1)</f>
        <v>2.7</v>
      </c>
      <c r="BA251" s="16">
        <f>_xlfn.XLOOKUP(D251,[2]PI!$B$15:$B$99,[2]PI!$L$15:$L$99,0,2,1)</f>
        <v>0</v>
      </c>
      <c r="BB251" s="18">
        <f>(AS251-(90*Ventas!AE248*0.9644))</f>
        <v>74.476897154285709</v>
      </c>
      <c r="BC251" s="20">
        <f>(BB251/(Ventas!AE248*0.9644)/80)</f>
        <v>1.25941923288004</v>
      </c>
      <c r="BD251" s="14"/>
      <c r="BE251" s="14"/>
      <c r="BF251" s="16"/>
      <c r="BG251" s="16"/>
      <c r="BH251" s="12">
        <f t="shared" si="86"/>
        <v>74.476897154285709</v>
      </c>
      <c r="BI251" s="19">
        <f t="shared" si="87"/>
        <v>1.101991828770035</v>
      </c>
      <c r="BJ251" s="1" t="s">
        <v>35</v>
      </c>
      <c r="BK251">
        <f t="shared" si="88"/>
        <v>162</v>
      </c>
      <c r="BL251">
        <f t="shared" si="89"/>
        <v>162</v>
      </c>
    </row>
    <row r="252" spans="1:64" x14ac:dyDescent="0.25">
      <c r="A252" s="1" t="s">
        <v>766</v>
      </c>
      <c r="B252" s="1" t="s">
        <v>765</v>
      </c>
      <c r="C252" s="13" t="s">
        <v>764</v>
      </c>
      <c r="D252" s="15"/>
      <c r="E252" s="17"/>
      <c r="F252" s="5">
        <v>2</v>
      </c>
      <c r="G252" s="14"/>
      <c r="H252" s="16"/>
      <c r="I252" s="11">
        <v>46221</v>
      </c>
      <c r="J252" s="4">
        <v>17</v>
      </c>
      <c r="K252" s="18">
        <f>(F252-(0)+0-(J252*Ventas!AE249*1))</f>
        <v>2</v>
      </c>
      <c r="L252" s="3"/>
      <c r="M252" s="22">
        <f t="shared" si="95"/>
        <v>0</v>
      </c>
      <c r="N252" s="14"/>
      <c r="O252" s="25">
        <f t="shared" si="76"/>
        <v>0</v>
      </c>
      <c r="P252" s="16"/>
      <c r="Q252" s="12">
        <f t="shared" si="77"/>
        <v>2</v>
      </c>
      <c r="R252" s="5">
        <v>0</v>
      </c>
      <c r="S252" s="24">
        <v>0</v>
      </c>
      <c r="T252" s="26">
        <v>0</v>
      </c>
      <c r="U252" s="18">
        <f t="shared" si="78"/>
        <v>2</v>
      </c>
      <c r="V252" s="22">
        <f t="shared" si="79"/>
        <v>0</v>
      </c>
      <c r="W252" s="25">
        <f t="shared" si="80"/>
        <v>0</v>
      </c>
      <c r="X252" s="3"/>
      <c r="Y252" s="14"/>
      <c r="Z252" s="14"/>
      <c r="AA252" s="18">
        <v>6</v>
      </c>
      <c r="AB252" s="21">
        <v>2.2013000000000001E-2</v>
      </c>
      <c r="AC252" s="11">
        <v>46313</v>
      </c>
      <c r="AD252" s="4">
        <v>92</v>
      </c>
      <c r="AE252" s="18">
        <f>(IF(K252&gt;0,K252+R252,R252)-(AD252*Ventas!AE249*1.0489))</f>
        <v>2</v>
      </c>
      <c r="AF252" s="3"/>
      <c r="AG252" s="22">
        <f t="shared" si="96"/>
        <v>0</v>
      </c>
      <c r="AH252" s="14"/>
      <c r="AI252" s="25">
        <f t="shared" si="81"/>
        <v>0</v>
      </c>
      <c r="AJ252" s="16"/>
      <c r="AK252" s="12">
        <f t="shared" si="82"/>
        <v>2</v>
      </c>
      <c r="AL252" s="19">
        <f t="shared" si="83"/>
        <v>0</v>
      </c>
      <c r="AM252" s="18">
        <f>(180*(Ventas!AE249*0.9644) - IF(AE252&gt;0,AE252,0))</f>
        <v>-2</v>
      </c>
      <c r="AN252" s="18">
        <f t="shared" ref="AN252:AN266" si="99">IF(AM252&gt;3,CEILING(AM252,5),0)</f>
        <v>0</v>
      </c>
      <c r="AO252" s="14"/>
      <c r="AP252" s="14">
        <f t="shared" si="98"/>
        <v>0</v>
      </c>
      <c r="AQ252" s="16">
        <f t="shared" si="84"/>
        <v>0</v>
      </c>
      <c r="AR252" s="37">
        <f>_xlfn.XLOOKUP(C252,[1]Hoja2!$C$6:$C$24,[1]Hoja2!$D$6:$D$24,0,2,1)</f>
        <v>0</v>
      </c>
      <c r="AS252" s="18">
        <f t="shared" si="85"/>
        <v>2</v>
      </c>
      <c r="AT252" s="14"/>
      <c r="AU252" s="37">
        <f>_xlfn.XLOOKUP(D252,[1]Hoja2!$E$6:$E$24,[1]Hoja2!$F$6:$F$24,0,2,1)</f>
        <v>0</v>
      </c>
      <c r="AV252" s="27">
        <v>0</v>
      </c>
      <c r="AW252" s="5">
        <v>3006</v>
      </c>
      <c r="AX252" s="14">
        <v>0</v>
      </c>
      <c r="AY252" s="14"/>
      <c r="AZ252" s="16">
        <f>_xlfn.XLOOKUP(C252,[2]PI!$B$15:$B$99,[2]PI!$L$15:$L$99,0,2,1)</f>
        <v>0</v>
      </c>
      <c r="BA252" s="16">
        <f>_xlfn.XLOOKUP(D252,[2]PI!$B$15:$B$99,[2]PI!$L$15:$L$99,0,2,1)</f>
        <v>0</v>
      </c>
      <c r="BB252" s="3"/>
      <c r="BC252" s="3"/>
      <c r="BD252" s="14"/>
      <c r="BE252" s="14"/>
      <c r="BF252" s="16"/>
      <c r="BG252" s="16"/>
      <c r="BH252" s="12">
        <f t="shared" si="86"/>
        <v>0</v>
      </c>
      <c r="BI252" s="19">
        <f t="shared" si="87"/>
        <v>0</v>
      </c>
      <c r="BJ252" s="1" t="s">
        <v>51</v>
      </c>
      <c r="BK252">
        <f t="shared" si="88"/>
        <v>0</v>
      </c>
      <c r="BL252">
        <f t="shared" si="89"/>
        <v>0</v>
      </c>
    </row>
    <row r="253" spans="1:64" x14ac:dyDescent="0.25">
      <c r="A253" s="1" t="s">
        <v>769</v>
      </c>
      <c r="B253" s="1" t="s">
        <v>768</v>
      </c>
      <c r="C253" s="13" t="s">
        <v>767</v>
      </c>
      <c r="D253" s="15"/>
      <c r="E253" s="17"/>
      <c r="F253" s="3"/>
      <c r="G253" s="14"/>
      <c r="H253" s="16"/>
      <c r="I253" s="11">
        <v>46221</v>
      </c>
      <c r="J253" s="4">
        <v>17</v>
      </c>
      <c r="K253" s="18">
        <f>(F253-(0)+0-(J253*Ventas!AE250*1))</f>
        <v>0</v>
      </c>
      <c r="L253" s="3"/>
      <c r="M253" s="22">
        <f t="shared" si="95"/>
        <v>0</v>
      </c>
      <c r="N253" s="14"/>
      <c r="O253" s="25">
        <f t="shared" si="76"/>
        <v>0</v>
      </c>
      <c r="P253" s="16"/>
      <c r="Q253" s="12">
        <f t="shared" si="77"/>
        <v>0</v>
      </c>
      <c r="R253" s="5">
        <v>0</v>
      </c>
      <c r="S253" s="24">
        <v>0</v>
      </c>
      <c r="T253" s="26">
        <v>0</v>
      </c>
      <c r="U253" s="18">
        <f t="shared" si="78"/>
        <v>0</v>
      </c>
      <c r="V253" s="22">
        <f t="shared" si="79"/>
        <v>0</v>
      </c>
      <c r="W253" s="25">
        <f t="shared" si="80"/>
        <v>0</v>
      </c>
      <c r="X253" s="3"/>
      <c r="Y253" s="14"/>
      <c r="Z253" s="14"/>
      <c r="AA253" s="18">
        <v>6</v>
      </c>
      <c r="AB253" s="21">
        <v>1.2859000000000001E-2</v>
      </c>
      <c r="AC253" s="11">
        <v>46313</v>
      </c>
      <c r="AD253" s="4">
        <v>92</v>
      </c>
      <c r="AE253" s="18">
        <f>(IF(K253&gt;0,K253+R253,R253)-(AD253*Ventas!AE250*1.0489))</f>
        <v>0</v>
      </c>
      <c r="AF253" s="3"/>
      <c r="AG253" s="22">
        <f t="shared" si="96"/>
        <v>0</v>
      </c>
      <c r="AH253" s="14"/>
      <c r="AI253" s="25">
        <f t="shared" si="81"/>
        <v>0</v>
      </c>
      <c r="AJ253" s="16"/>
      <c r="AK253" s="12">
        <f t="shared" si="82"/>
        <v>0</v>
      </c>
      <c r="AL253" s="19">
        <f t="shared" si="83"/>
        <v>0</v>
      </c>
      <c r="AM253" s="18">
        <f>(180*(Ventas!AE250*0.9644) - IF(AE253&gt;0,AE253,0))</f>
        <v>0</v>
      </c>
      <c r="AN253" s="18">
        <f t="shared" si="99"/>
        <v>0</v>
      </c>
      <c r="AO253" s="14"/>
      <c r="AP253" s="14">
        <f t="shared" si="98"/>
        <v>0</v>
      </c>
      <c r="AQ253" s="16">
        <f t="shared" si="84"/>
        <v>0</v>
      </c>
      <c r="AR253" s="37">
        <f>_xlfn.XLOOKUP(C253,[1]Hoja2!$C$6:$C$24,[1]Hoja2!$D$6:$D$24,0,2,1)</f>
        <v>0</v>
      </c>
      <c r="AS253" s="18">
        <f t="shared" si="85"/>
        <v>0</v>
      </c>
      <c r="AT253" s="14"/>
      <c r="AU253" s="37">
        <f>_xlfn.XLOOKUP(D253,[1]Hoja2!$E$6:$E$24,[1]Hoja2!$F$6:$F$24,0,2,1)</f>
        <v>0</v>
      </c>
      <c r="AV253" s="27">
        <v>0</v>
      </c>
      <c r="AW253" s="5">
        <v>3016</v>
      </c>
      <c r="AX253" s="14">
        <v>0</v>
      </c>
      <c r="AY253" s="14"/>
      <c r="AZ253" s="16">
        <f>_xlfn.XLOOKUP(C253,[2]PI!$B$15:$B$99,[2]PI!$L$15:$L$99,0,2,1)</f>
        <v>0</v>
      </c>
      <c r="BA253" s="16">
        <f>_xlfn.XLOOKUP(D253,[2]PI!$B$15:$B$99,[2]PI!$L$15:$L$99,0,2,1)</f>
        <v>0</v>
      </c>
      <c r="BB253" s="3"/>
      <c r="BC253" s="3"/>
      <c r="BD253" s="14"/>
      <c r="BE253" s="14"/>
      <c r="BF253" s="16"/>
      <c r="BG253" s="16"/>
      <c r="BH253" s="12">
        <f t="shared" si="86"/>
        <v>0</v>
      </c>
      <c r="BI253" s="19">
        <f t="shared" si="87"/>
        <v>0</v>
      </c>
      <c r="BJ253" s="1" t="s">
        <v>35</v>
      </c>
      <c r="BK253">
        <f t="shared" si="88"/>
        <v>0</v>
      </c>
      <c r="BL253">
        <f t="shared" si="89"/>
        <v>0</v>
      </c>
    </row>
    <row r="254" spans="1:64" x14ac:dyDescent="0.25">
      <c r="A254" s="1" t="s">
        <v>772</v>
      </c>
      <c r="B254" s="1" t="s">
        <v>771</v>
      </c>
      <c r="C254" s="13" t="s">
        <v>770</v>
      </c>
      <c r="D254" s="15"/>
      <c r="E254" s="17"/>
      <c r="F254" s="3"/>
      <c r="G254" s="14"/>
      <c r="H254" s="16"/>
      <c r="I254" s="11">
        <v>46221</v>
      </c>
      <c r="J254" s="4">
        <v>17</v>
      </c>
      <c r="K254" s="18">
        <f>(F254-(0)+0-(J254*Ventas!AE251*1))</f>
        <v>0</v>
      </c>
      <c r="L254" s="3"/>
      <c r="M254" s="22">
        <f t="shared" si="95"/>
        <v>0</v>
      </c>
      <c r="N254" s="14"/>
      <c r="O254" s="25">
        <f t="shared" si="76"/>
        <v>0</v>
      </c>
      <c r="P254" s="16"/>
      <c r="Q254" s="12">
        <f t="shared" si="77"/>
        <v>0</v>
      </c>
      <c r="R254" s="5">
        <v>0</v>
      </c>
      <c r="S254" s="24">
        <v>0</v>
      </c>
      <c r="T254" s="26">
        <v>0</v>
      </c>
      <c r="U254" s="18">
        <f t="shared" si="78"/>
        <v>0</v>
      </c>
      <c r="V254" s="22">
        <f t="shared" si="79"/>
        <v>0</v>
      </c>
      <c r="W254" s="25">
        <f t="shared" si="80"/>
        <v>0</v>
      </c>
      <c r="X254" s="3"/>
      <c r="Y254" s="14"/>
      <c r="Z254" s="14"/>
      <c r="AA254" s="18">
        <v>6</v>
      </c>
      <c r="AB254" s="21">
        <v>1.5716999999999998E-2</v>
      </c>
      <c r="AC254" s="11">
        <v>46313</v>
      </c>
      <c r="AD254" s="4">
        <v>92</v>
      </c>
      <c r="AE254" s="18">
        <f>(IF(K254&gt;0,K254+R254,R254)-(AD254*Ventas!AE251*1.0489))</f>
        <v>0</v>
      </c>
      <c r="AF254" s="3"/>
      <c r="AG254" s="22">
        <f t="shared" si="96"/>
        <v>0</v>
      </c>
      <c r="AH254" s="14"/>
      <c r="AI254" s="25">
        <f t="shared" si="81"/>
        <v>0</v>
      </c>
      <c r="AJ254" s="16"/>
      <c r="AK254" s="12">
        <f t="shared" si="82"/>
        <v>0</v>
      </c>
      <c r="AL254" s="19">
        <f t="shared" si="83"/>
        <v>0</v>
      </c>
      <c r="AM254" s="18">
        <f>(180*(Ventas!AE251*0.9644) - IF(AE254&gt;0,AE254,0))</f>
        <v>0</v>
      </c>
      <c r="AN254" s="18">
        <f t="shared" si="99"/>
        <v>0</v>
      </c>
      <c r="AO254" s="14"/>
      <c r="AP254" s="14">
        <f t="shared" si="98"/>
        <v>0</v>
      </c>
      <c r="AQ254" s="16">
        <f t="shared" si="84"/>
        <v>0</v>
      </c>
      <c r="AR254" s="37">
        <f>_xlfn.XLOOKUP(C254,[1]Hoja2!$C$6:$C$24,[1]Hoja2!$D$6:$D$24,0,2,1)</f>
        <v>0</v>
      </c>
      <c r="AS254" s="18">
        <f t="shared" si="85"/>
        <v>0</v>
      </c>
      <c r="AT254" s="14"/>
      <c r="AU254" s="37">
        <f>_xlfn.XLOOKUP(D254,[1]Hoja2!$E$6:$E$24,[1]Hoja2!$F$6:$F$24,0,2,1)</f>
        <v>0</v>
      </c>
      <c r="AV254" s="3">
        <v>0</v>
      </c>
      <c r="AW254" s="3"/>
      <c r="AX254" s="14">
        <v>0</v>
      </c>
      <c r="AY254" s="14"/>
      <c r="AZ254" s="16">
        <f>_xlfn.XLOOKUP(C254,[2]PI!$B$15:$B$99,[2]PI!$L$15:$L$99,0,2,1)</f>
        <v>0</v>
      </c>
      <c r="BA254" s="16">
        <f>_xlfn.XLOOKUP(D254,[2]PI!$B$15:$B$99,[2]PI!$L$15:$L$99,0,2,1)</f>
        <v>0</v>
      </c>
      <c r="BB254" s="3"/>
      <c r="BC254" s="3"/>
      <c r="BD254" s="14"/>
      <c r="BE254" s="14"/>
      <c r="BF254" s="16"/>
      <c r="BG254" s="16"/>
      <c r="BH254" s="12">
        <f t="shared" si="86"/>
        <v>0</v>
      </c>
      <c r="BI254" s="19">
        <f t="shared" si="87"/>
        <v>0</v>
      </c>
      <c r="BJ254" s="1" t="s">
        <v>51</v>
      </c>
      <c r="BK254">
        <f t="shared" si="88"/>
        <v>0</v>
      </c>
      <c r="BL254">
        <f t="shared" si="89"/>
        <v>0</v>
      </c>
    </row>
    <row r="255" spans="1:64" x14ac:dyDescent="0.25">
      <c r="A255" s="1" t="s">
        <v>775</v>
      </c>
      <c r="B255" s="1" t="s">
        <v>774</v>
      </c>
      <c r="C255" s="13" t="s">
        <v>773</v>
      </c>
      <c r="D255" s="15"/>
      <c r="E255" s="17"/>
      <c r="F255" s="3"/>
      <c r="G255" s="14"/>
      <c r="H255" s="16"/>
      <c r="I255" s="11">
        <v>46221</v>
      </c>
      <c r="J255" s="4">
        <v>17</v>
      </c>
      <c r="K255" s="18">
        <f>(F255-(0)+0-(J255*Ventas!AE252*1))</f>
        <v>0</v>
      </c>
      <c r="L255" s="3"/>
      <c r="M255" s="22">
        <f t="shared" si="95"/>
        <v>0</v>
      </c>
      <c r="N255" s="14"/>
      <c r="O255" s="25">
        <f t="shared" si="76"/>
        <v>0</v>
      </c>
      <c r="P255" s="16"/>
      <c r="Q255" s="12">
        <f t="shared" si="77"/>
        <v>0</v>
      </c>
      <c r="R255" s="5">
        <v>0</v>
      </c>
      <c r="S255" s="24">
        <v>0</v>
      </c>
      <c r="T255" s="26">
        <v>0</v>
      </c>
      <c r="U255" s="18">
        <f t="shared" si="78"/>
        <v>0</v>
      </c>
      <c r="V255" s="22">
        <f t="shared" si="79"/>
        <v>0</v>
      </c>
      <c r="W255" s="25">
        <f t="shared" si="80"/>
        <v>0</v>
      </c>
      <c r="X255" s="3"/>
      <c r="Y255" s="14"/>
      <c r="Z255" s="14"/>
      <c r="AA255" s="3"/>
      <c r="AB255" s="3"/>
      <c r="AC255" s="11">
        <v>46313</v>
      </c>
      <c r="AD255" s="4">
        <v>92</v>
      </c>
      <c r="AE255" s="18">
        <f>(IF(K255&gt;0,K255+R255,R255)-(AD255*Ventas!AE252*1.0489))</f>
        <v>0</v>
      </c>
      <c r="AF255" s="3"/>
      <c r="AG255" s="22">
        <f t="shared" si="96"/>
        <v>0</v>
      </c>
      <c r="AH255" s="14"/>
      <c r="AI255" s="25">
        <f t="shared" si="81"/>
        <v>0</v>
      </c>
      <c r="AJ255" s="16"/>
      <c r="AK255" s="12">
        <f t="shared" si="82"/>
        <v>0</v>
      </c>
      <c r="AL255" s="19">
        <f t="shared" si="83"/>
        <v>0</v>
      </c>
      <c r="AM255" s="18">
        <f>(180*(Ventas!AE252*0.9644) - IF(AE255&gt;0,AE255,0))</f>
        <v>0</v>
      </c>
      <c r="AN255" s="18">
        <f t="shared" si="99"/>
        <v>0</v>
      </c>
      <c r="AO255" s="14"/>
      <c r="AP255" s="14">
        <f t="shared" si="98"/>
        <v>0</v>
      </c>
      <c r="AQ255" s="16">
        <f t="shared" si="84"/>
        <v>0</v>
      </c>
      <c r="AR255" s="37">
        <f>_xlfn.XLOOKUP(C255,[1]Hoja2!$C$6:$C$24,[1]Hoja2!$D$6:$D$24,0,2,1)</f>
        <v>0</v>
      </c>
      <c r="AS255" s="18">
        <f t="shared" si="85"/>
        <v>0</v>
      </c>
      <c r="AT255" s="14"/>
      <c r="AU255" s="37">
        <f>_xlfn.XLOOKUP(D255,[1]Hoja2!$E$6:$E$24,[1]Hoja2!$F$6:$F$24,0,2,1)</f>
        <v>0</v>
      </c>
      <c r="AV255" s="27">
        <v>0</v>
      </c>
      <c r="AW255" s="5">
        <v>3013</v>
      </c>
      <c r="AX255" s="14">
        <v>0</v>
      </c>
      <c r="AY255" s="14"/>
      <c r="AZ255" s="16">
        <f>_xlfn.XLOOKUP(C255,[2]PI!$B$15:$B$99,[2]PI!$L$15:$L$99,0,2,1)</f>
        <v>0</v>
      </c>
      <c r="BA255" s="16">
        <f>_xlfn.XLOOKUP(D255,[2]PI!$B$15:$B$99,[2]PI!$L$15:$L$99,0,2,1)</f>
        <v>0</v>
      </c>
      <c r="BB255" s="3"/>
      <c r="BC255" s="3"/>
      <c r="BD255" s="14"/>
      <c r="BE255" s="14"/>
      <c r="BF255" s="16"/>
      <c r="BG255" s="16"/>
      <c r="BH255" s="12">
        <f t="shared" si="86"/>
        <v>0</v>
      </c>
      <c r="BI255" s="19">
        <f t="shared" si="87"/>
        <v>0</v>
      </c>
      <c r="BJ255" s="1" t="s">
        <v>35</v>
      </c>
      <c r="BK255">
        <f t="shared" si="88"/>
        <v>0</v>
      </c>
      <c r="BL255">
        <f t="shared" si="89"/>
        <v>0</v>
      </c>
    </row>
    <row r="256" spans="1:64" x14ac:dyDescent="0.25">
      <c r="A256" s="1" t="s">
        <v>778</v>
      </c>
      <c r="B256" s="1" t="s">
        <v>777</v>
      </c>
      <c r="C256" s="13" t="s">
        <v>776</v>
      </c>
      <c r="D256" s="15"/>
      <c r="E256" s="17"/>
      <c r="F256" s="5">
        <v>9</v>
      </c>
      <c r="G256" s="14"/>
      <c r="H256" s="16"/>
      <c r="I256" s="11">
        <v>46221</v>
      </c>
      <c r="J256" s="4">
        <v>17</v>
      </c>
      <c r="K256" s="18">
        <f>(F256-(0)+0-(J256*Ventas!AE253*1))</f>
        <v>8.9295714285714283</v>
      </c>
      <c r="L256" s="20">
        <f>(K256/(Ventas!AE253*1)/80)</f>
        <v>26.942672413793098</v>
      </c>
      <c r="M256" s="22">
        <f t="shared" si="95"/>
        <v>0</v>
      </c>
      <c r="N256" s="14"/>
      <c r="O256" s="25">
        <f t="shared" si="76"/>
        <v>0</v>
      </c>
      <c r="P256" s="16"/>
      <c r="Q256" s="12">
        <f t="shared" si="77"/>
        <v>8.9295714285714283</v>
      </c>
      <c r="R256" s="5">
        <v>0</v>
      </c>
      <c r="S256" s="24">
        <v>0</v>
      </c>
      <c r="T256" s="26">
        <v>0</v>
      </c>
      <c r="U256" s="18">
        <f t="shared" si="78"/>
        <v>8.9295714285714283</v>
      </c>
      <c r="V256" s="22">
        <f t="shared" si="79"/>
        <v>0</v>
      </c>
      <c r="W256" s="25">
        <f t="shared" si="80"/>
        <v>0</v>
      </c>
      <c r="X256" s="3"/>
      <c r="Y256" s="14"/>
      <c r="Z256" s="14"/>
      <c r="AA256" s="18">
        <v>20</v>
      </c>
      <c r="AB256" s="21">
        <v>3.5639999999999999E-3</v>
      </c>
      <c r="AC256" s="11">
        <v>46313</v>
      </c>
      <c r="AD256" s="4">
        <v>92</v>
      </c>
      <c r="AE256" s="18">
        <f>(IF(K256&gt;0,K256+R256,R256)-(AD256*Ventas!AE253*1.0489))</f>
        <v>8.5297906857142856</v>
      </c>
      <c r="AF256" s="20">
        <f>(AE256/(Ventas!AE253*1.0489)/80)</f>
        <v>24.536597782241493</v>
      </c>
      <c r="AG256" s="22">
        <f t="shared" si="96"/>
        <v>0</v>
      </c>
      <c r="AH256" s="14"/>
      <c r="AI256" s="25">
        <f t="shared" si="81"/>
        <v>0</v>
      </c>
      <c r="AJ256" s="16"/>
      <c r="AK256" s="12">
        <f t="shared" si="82"/>
        <v>8.5297906857142856</v>
      </c>
      <c r="AL256" s="19">
        <f t="shared" si="83"/>
        <v>21.469523059461306</v>
      </c>
      <c r="AM256" s="18">
        <f>(180*(Ventas!AE253*0.9644) - IF(AE256&gt;0,AE256,0))</f>
        <v>-7.810623828571428</v>
      </c>
      <c r="AN256" s="18">
        <f t="shared" si="99"/>
        <v>0</v>
      </c>
      <c r="AO256" s="14"/>
      <c r="AP256" s="14">
        <f t="shared" si="98"/>
        <v>0</v>
      </c>
      <c r="AQ256" s="16">
        <f t="shared" si="84"/>
        <v>0</v>
      </c>
      <c r="AR256" s="37">
        <f>_xlfn.XLOOKUP(C256,[1]Hoja2!$C$6:$C$24,[1]Hoja2!$D$6:$D$24,0,2,1)</f>
        <v>0</v>
      </c>
      <c r="AS256" s="18">
        <f t="shared" si="85"/>
        <v>8.5297906857142856</v>
      </c>
      <c r="AT256" s="14"/>
      <c r="AU256" s="37">
        <f>_xlfn.XLOOKUP(D256,[1]Hoja2!$E$6:$E$24,[1]Hoja2!$F$6:$F$24,0,2,1)</f>
        <v>0</v>
      </c>
      <c r="AV256" s="27">
        <v>0</v>
      </c>
      <c r="AW256" s="5">
        <v>3016</v>
      </c>
      <c r="AX256" s="14">
        <v>0</v>
      </c>
      <c r="AY256" s="14"/>
      <c r="AZ256" s="16">
        <f>_xlfn.XLOOKUP(C256,[2]PI!$B$15:$B$99,[2]PI!$L$15:$L$99,0,2,1)</f>
        <v>0</v>
      </c>
      <c r="BA256" s="16">
        <f>_xlfn.XLOOKUP(D256,[2]PI!$B$15:$B$99,[2]PI!$L$15:$L$99,0,2,1)</f>
        <v>0</v>
      </c>
      <c r="BB256" s="18">
        <f>(AS256-(90*Ventas!AE253*0.9644))</f>
        <v>8.1702072571428577</v>
      </c>
      <c r="BC256" s="20">
        <f>(BB256/(Ventas!AE253*0.9644)/80)</f>
        <v>25.561475957894132</v>
      </c>
      <c r="BD256" s="14"/>
      <c r="BE256" s="14"/>
      <c r="BF256" s="16"/>
      <c r="BG256" s="16"/>
      <c r="BH256" s="12">
        <f t="shared" si="86"/>
        <v>8.1702072571428577</v>
      </c>
      <c r="BI256" s="19">
        <f t="shared" si="87"/>
        <v>22.366291463157367</v>
      </c>
      <c r="BJ256" s="1" t="s">
        <v>35</v>
      </c>
      <c r="BK256">
        <f t="shared" si="88"/>
        <v>0</v>
      </c>
      <c r="BL256">
        <f t="shared" si="89"/>
        <v>0</v>
      </c>
    </row>
    <row r="257" spans="1:64" x14ac:dyDescent="0.25">
      <c r="A257" s="1" t="s">
        <v>781</v>
      </c>
      <c r="B257" s="1" t="s">
        <v>780</v>
      </c>
      <c r="C257" s="13" t="s">
        <v>779</v>
      </c>
      <c r="D257" s="15"/>
      <c r="E257" s="17"/>
      <c r="F257" s="3"/>
      <c r="G257" s="14"/>
      <c r="H257" s="16"/>
      <c r="I257" s="11">
        <v>46221</v>
      </c>
      <c r="J257" s="4">
        <v>17</v>
      </c>
      <c r="K257" s="18">
        <f>(F257-(0)+0-(J257*Ventas!AE254*1))</f>
        <v>0</v>
      </c>
      <c r="L257" s="3"/>
      <c r="M257" s="22">
        <f t="shared" si="95"/>
        <v>0</v>
      </c>
      <c r="N257" s="14"/>
      <c r="O257" s="25">
        <f t="shared" si="76"/>
        <v>0</v>
      </c>
      <c r="P257" s="16"/>
      <c r="Q257" s="12">
        <f t="shared" si="77"/>
        <v>0</v>
      </c>
      <c r="R257" s="5">
        <v>0</v>
      </c>
      <c r="S257" s="24">
        <v>0</v>
      </c>
      <c r="T257" s="26">
        <v>0</v>
      </c>
      <c r="U257" s="18">
        <f t="shared" si="78"/>
        <v>0</v>
      </c>
      <c r="V257" s="22">
        <f t="shared" si="79"/>
        <v>0</v>
      </c>
      <c r="W257" s="25">
        <f t="shared" si="80"/>
        <v>0</v>
      </c>
      <c r="X257" s="3"/>
      <c r="Y257" s="14"/>
      <c r="Z257" s="14"/>
      <c r="AA257" s="3"/>
      <c r="AB257" s="3"/>
      <c r="AC257" s="11">
        <v>46313</v>
      </c>
      <c r="AD257" s="4">
        <v>92</v>
      </c>
      <c r="AE257" s="18">
        <f>(IF(K257&gt;0,K257+R257,R257)-(AD257*Ventas!AE254*1.0489))</f>
        <v>0</v>
      </c>
      <c r="AF257" s="3"/>
      <c r="AG257" s="22">
        <f t="shared" si="96"/>
        <v>0</v>
      </c>
      <c r="AH257" s="14"/>
      <c r="AI257" s="25">
        <f t="shared" si="81"/>
        <v>0</v>
      </c>
      <c r="AJ257" s="16"/>
      <c r="AK257" s="12">
        <f t="shared" si="82"/>
        <v>0</v>
      </c>
      <c r="AL257" s="19">
        <f t="shared" si="83"/>
        <v>0</v>
      </c>
      <c r="AM257" s="18">
        <f>(180*(Ventas!AE254*0.9644) - IF(AE257&gt;0,AE257,0))</f>
        <v>0</v>
      </c>
      <c r="AN257" s="18">
        <f t="shared" si="99"/>
        <v>0</v>
      </c>
      <c r="AO257" s="14"/>
      <c r="AP257" s="14">
        <f t="shared" si="98"/>
        <v>0</v>
      </c>
      <c r="AQ257" s="16">
        <f t="shared" si="84"/>
        <v>0</v>
      </c>
      <c r="AR257" s="37">
        <f>_xlfn.XLOOKUP(C257,[1]Hoja2!$C$6:$C$24,[1]Hoja2!$D$6:$D$24,0,2,1)</f>
        <v>0</v>
      </c>
      <c r="AS257" s="18">
        <f t="shared" si="85"/>
        <v>0</v>
      </c>
      <c r="AT257" s="14"/>
      <c r="AU257" s="37">
        <f>_xlfn.XLOOKUP(D257,[1]Hoja2!$E$6:$E$24,[1]Hoja2!$F$6:$F$24,0,2,1)</f>
        <v>0</v>
      </c>
      <c r="AV257" s="3">
        <v>0</v>
      </c>
      <c r="AW257" s="3"/>
      <c r="AX257" s="14">
        <v>0</v>
      </c>
      <c r="AY257" s="14"/>
      <c r="AZ257" s="16">
        <f>_xlfn.XLOOKUP(C257,[2]PI!$B$15:$B$99,[2]PI!$L$15:$L$99,0,2,1)</f>
        <v>0</v>
      </c>
      <c r="BA257" s="16">
        <f>_xlfn.XLOOKUP(D257,[2]PI!$B$15:$B$99,[2]PI!$L$15:$L$99,0,2,1)</f>
        <v>0</v>
      </c>
      <c r="BB257" s="3"/>
      <c r="BC257" s="3"/>
      <c r="BD257" s="14"/>
      <c r="BE257" s="14"/>
      <c r="BF257" s="16"/>
      <c r="BG257" s="16"/>
      <c r="BH257" s="12">
        <f t="shared" si="86"/>
        <v>0</v>
      </c>
      <c r="BI257" s="19">
        <f t="shared" si="87"/>
        <v>0</v>
      </c>
      <c r="BJ257" s="1" t="s">
        <v>51</v>
      </c>
      <c r="BK257">
        <f t="shared" si="88"/>
        <v>0</v>
      </c>
      <c r="BL257">
        <f t="shared" si="89"/>
        <v>0</v>
      </c>
    </row>
    <row r="258" spans="1:64" x14ac:dyDescent="0.25">
      <c r="A258" s="1" t="s">
        <v>784</v>
      </c>
      <c r="B258" s="1" t="s">
        <v>783</v>
      </c>
      <c r="C258" s="13" t="s">
        <v>782</v>
      </c>
      <c r="D258" s="15" t="s">
        <v>1565</v>
      </c>
      <c r="E258" s="17"/>
      <c r="F258" s="3"/>
      <c r="G258" s="14"/>
      <c r="H258" s="16"/>
      <c r="I258" s="11">
        <v>46221</v>
      </c>
      <c r="J258" s="4">
        <v>17</v>
      </c>
      <c r="K258" s="18">
        <f>(F258-(0)+0-(J258*Ventas!AE255*1))</f>
        <v>0</v>
      </c>
      <c r="L258" s="3"/>
      <c r="M258" s="22">
        <f>(G258-(0)+0-(J258*Ventas!AE523*1))</f>
        <v>0</v>
      </c>
      <c r="N258" s="14"/>
      <c r="O258" s="25">
        <f t="shared" si="76"/>
        <v>0</v>
      </c>
      <c r="P258" s="16"/>
      <c r="Q258" s="12">
        <f t="shared" si="77"/>
        <v>0</v>
      </c>
      <c r="R258" s="5">
        <v>0</v>
      </c>
      <c r="S258" s="24">
        <v>0</v>
      </c>
      <c r="T258" s="26">
        <v>0</v>
      </c>
      <c r="U258" s="18">
        <f t="shared" si="78"/>
        <v>0</v>
      </c>
      <c r="V258" s="22">
        <f t="shared" si="79"/>
        <v>0</v>
      </c>
      <c r="W258" s="25">
        <f t="shared" si="80"/>
        <v>0</v>
      </c>
      <c r="X258" s="3"/>
      <c r="Y258" s="14"/>
      <c r="Z258" s="14"/>
      <c r="AA258" s="3"/>
      <c r="AB258" s="3"/>
      <c r="AC258" s="11">
        <v>46313</v>
      </c>
      <c r="AD258" s="4">
        <v>92</v>
      </c>
      <c r="AE258" s="18">
        <f>(IF(K258&gt;0,K258+R258,R258)-(AD258*Ventas!AE255*1.0489))</f>
        <v>0</v>
      </c>
      <c r="AF258" s="3"/>
      <c r="AG258" s="22">
        <f>(IF(M258&gt;0,M258+S258,S258)-(AD258*Ventas!AE523*1.0489))</f>
        <v>0</v>
      </c>
      <c r="AH258" s="14"/>
      <c r="AI258" s="25">
        <f t="shared" si="81"/>
        <v>0</v>
      </c>
      <c r="AJ258" s="16"/>
      <c r="AK258" s="12">
        <f t="shared" si="82"/>
        <v>0</v>
      </c>
      <c r="AL258" s="19">
        <f t="shared" si="83"/>
        <v>0</v>
      </c>
      <c r="AM258" s="18">
        <f>(180*(Ventas!AE255*0.9644) - IF(AE258&gt;0,AE258,0))</f>
        <v>0</v>
      </c>
      <c r="AN258" s="18">
        <f t="shared" si="99"/>
        <v>0</v>
      </c>
      <c r="AO258" s="22">
        <f>(180*(Ventas!AE523*0.9644) - IF(AG258&gt;0,AG258,0))</f>
        <v>0</v>
      </c>
      <c r="AP258" s="22">
        <f t="shared" si="98"/>
        <v>0</v>
      </c>
      <c r="AQ258" s="16">
        <f t="shared" si="84"/>
        <v>0</v>
      </c>
      <c r="AR258" s="37">
        <f>_xlfn.XLOOKUP(C258,[1]Hoja2!$C$6:$C$24,[1]Hoja2!$D$6:$D$24,0,2,1)</f>
        <v>0</v>
      </c>
      <c r="AS258" s="18">
        <f t="shared" si="85"/>
        <v>0</v>
      </c>
      <c r="AT258" s="22">
        <f>IF(AG258&gt;0,AG258+IF(AP258&gt;0,AP258,0),AP258)</f>
        <v>0</v>
      </c>
      <c r="AU258" s="37">
        <f>_xlfn.XLOOKUP(D258,[1]Hoja2!$E$6:$E$24,[1]Hoja2!$F$6:$F$24,0,2,1)</f>
        <v>0</v>
      </c>
      <c r="AV258" s="27">
        <v>0</v>
      </c>
      <c r="AW258" s="5">
        <v>3022</v>
      </c>
      <c r="AX258" s="28">
        <v>0</v>
      </c>
      <c r="AY258" s="14"/>
      <c r="AZ258" s="16">
        <f>_xlfn.XLOOKUP(C258,[2]PI!$B$15:$B$99,[2]PI!$L$15:$L$99,0,2,1)</f>
        <v>0</v>
      </c>
      <c r="BA258" s="16">
        <f>_xlfn.XLOOKUP(D258,[2]PI!$B$15:$B$99,[2]PI!$L$15:$L$99,0,2,1)</f>
        <v>0</v>
      </c>
      <c r="BB258" s="3"/>
      <c r="BC258" s="3"/>
      <c r="BD258" s="14"/>
      <c r="BE258" s="14"/>
      <c r="BF258" s="16"/>
      <c r="BG258" s="16"/>
      <c r="BH258" s="12">
        <f t="shared" si="86"/>
        <v>0</v>
      </c>
      <c r="BI258" s="19">
        <f t="shared" si="87"/>
        <v>0</v>
      </c>
      <c r="BJ258" s="1" t="s">
        <v>51</v>
      </c>
      <c r="BK258">
        <f t="shared" si="88"/>
        <v>0</v>
      </c>
      <c r="BL258">
        <f t="shared" si="89"/>
        <v>0</v>
      </c>
    </row>
    <row r="259" spans="1:64" x14ac:dyDescent="0.25">
      <c r="A259" s="1" t="s">
        <v>787</v>
      </c>
      <c r="B259" s="1" t="s">
        <v>786</v>
      </c>
      <c r="C259" s="13" t="s">
        <v>785</v>
      </c>
      <c r="D259" s="15"/>
      <c r="E259" s="17"/>
      <c r="F259" s="3"/>
      <c r="G259" s="14"/>
      <c r="H259" s="16"/>
      <c r="I259" s="11">
        <v>46221</v>
      </c>
      <c r="J259" s="4">
        <v>17</v>
      </c>
      <c r="K259" s="18">
        <f>(F259-(0)+0-(J259*Ventas!AE256*1))</f>
        <v>0</v>
      </c>
      <c r="L259" s="3"/>
      <c r="M259" s="22">
        <f t="shared" ref="M259:M266" si="100">(G259+0)</f>
        <v>0</v>
      </c>
      <c r="N259" s="14"/>
      <c r="O259" s="25">
        <f t="shared" si="76"/>
        <v>0</v>
      </c>
      <c r="P259" s="16"/>
      <c r="Q259" s="12">
        <f t="shared" si="77"/>
        <v>0</v>
      </c>
      <c r="R259" s="5">
        <v>0</v>
      </c>
      <c r="S259" s="24">
        <v>0</v>
      </c>
      <c r="T259" s="26">
        <v>0</v>
      </c>
      <c r="U259" s="18">
        <f t="shared" si="78"/>
        <v>0</v>
      </c>
      <c r="V259" s="22">
        <f t="shared" si="79"/>
        <v>0</v>
      </c>
      <c r="W259" s="25">
        <f t="shared" si="80"/>
        <v>0</v>
      </c>
      <c r="X259" s="3"/>
      <c r="Y259" s="14"/>
      <c r="Z259" s="14"/>
      <c r="AA259" s="18">
        <v>30</v>
      </c>
      <c r="AB259" s="21">
        <v>2.7290000000000001E-3</v>
      </c>
      <c r="AC259" s="11">
        <v>46313</v>
      </c>
      <c r="AD259" s="4">
        <v>92</v>
      </c>
      <c r="AE259" s="18">
        <f>(IF(K259&gt;0,K259+R259,R259)-(AD259*Ventas!AE256*1.0489))</f>
        <v>0</v>
      </c>
      <c r="AF259" s="3"/>
      <c r="AG259" s="22">
        <f t="shared" ref="AG259:AG266" si="101">(G259+0)</f>
        <v>0</v>
      </c>
      <c r="AH259" s="14"/>
      <c r="AI259" s="25">
        <f t="shared" si="81"/>
        <v>0</v>
      </c>
      <c r="AJ259" s="16"/>
      <c r="AK259" s="12">
        <f t="shared" si="82"/>
        <v>0</v>
      </c>
      <c r="AL259" s="19">
        <f t="shared" si="83"/>
        <v>0</v>
      </c>
      <c r="AM259" s="18">
        <f>(180*(Ventas!AE256*0.9644) - IF(AE259&gt;0,AE259,0))</f>
        <v>0</v>
      </c>
      <c r="AN259" s="18">
        <f t="shared" si="99"/>
        <v>0</v>
      </c>
      <c r="AO259" s="14"/>
      <c r="AP259" s="14">
        <f t="shared" si="98"/>
        <v>0</v>
      </c>
      <c r="AQ259" s="16">
        <f t="shared" si="84"/>
        <v>0</v>
      </c>
      <c r="AR259" s="37">
        <f>_xlfn.XLOOKUP(C259,[1]Hoja2!$C$6:$C$24,[1]Hoja2!$D$6:$D$24,0,2,1)</f>
        <v>0</v>
      </c>
      <c r="AS259" s="18">
        <f t="shared" si="85"/>
        <v>0</v>
      </c>
      <c r="AT259" s="14"/>
      <c r="AU259" s="37">
        <f>_xlfn.XLOOKUP(D259,[1]Hoja2!$E$6:$E$24,[1]Hoja2!$F$6:$F$24,0,2,1)</f>
        <v>0</v>
      </c>
      <c r="AV259" s="3">
        <v>0</v>
      </c>
      <c r="AW259" s="3"/>
      <c r="AX259" s="14">
        <v>0</v>
      </c>
      <c r="AY259" s="14"/>
      <c r="AZ259" s="16">
        <f>_xlfn.XLOOKUP(C259,[2]PI!$B$15:$B$99,[2]PI!$L$15:$L$99,0,2,1)</f>
        <v>0</v>
      </c>
      <c r="BA259" s="16">
        <f>_xlfn.XLOOKUP(D259,[2]PI!$B$15:$B$99,[2]PI!$L$15:$L$99,0,2,1)</f>
        <v>0</v>
      </c>
      <c r="BB259" s="3"/>
      <c r="BC259" s="3"/>
      <c r="BD259" s="14"/>
      <c r="BE259" s="14"/>
      <c r="BF259" s="16"/>
      <c r="BG259" s="16"/>
      <c r="BH259" s="12">
        <f t="shared" si="86"/>
        <v>0</v>
      </c>
      <c r="BI259" s="19">
        <f t="shared" si="87"/>
        <v>0</v>
      </c>
      <c r="BJ259" s="1" t="s">
        <v>35</v>
      </c>
      <c r="BK259">
        <f t="shared" si="88"/>
        <v>0</v>
      </c>
      <c r="BL259">
        <f t="shared" si="89"/>
        <v>0</v>
      </c>
    </row>
    <row r="260" spans="1:64" x14ac:dyDescent="0.25">
      <c r="A260" s="1" t="s">
        <v>790</v>
      </c>
      <c r="B260" s="1" t="s">
        <v>789</v>
      </c>
      <c r="C260" s="13" t="s">
        <v>788</v>
      </c>
      <c r="D260" s="15"/>
      <c r="E260" s="17"/>
      <c r="F260" s="3"/>
      <c r="G260" s="14"/>
      <c r="H260" s="16"/>
      <c r="I260" s="11">
        <v>46221</v>
      </c>
      <c r="J260" s="4">
        <v>17</v>
      </c>
      <c r="K260" s="18">
        <f>(F260-(0)+0-(J260*Ventas!AE257*1))</f>
        <v>0</v>
      </c>
      <c r="L260" s="3"/>
      <c r="M260" s="22">
        <f t="shared" si="100"/>
        <v>0</v>
      </c>
      <c r="N260" s="14"/>
      <c r="O260" s="25">
        <f t="shared" si="76"/>
        <v>0</v>
      </c>
      <c r="P260" s="16"/>
      <c r="Q260" s="12">
        <f t="shared" si="77"/>
        <v>0</v>
      </c>
      <c r="R260" s="5">
        <v>0</v>
      </c>
      <c r="S260" s="24">
        <v>0</v>
      </c>
      <c r="T260" s="26">
        <v>0</v>
      </c>
      <c r="U260" s="18">
        <f t="shared" si="78"/>
        <v>0</v>
      </c>
      <c r="V260" s="22">
        <f t="shared" si="79"/>
        <v>0</v>
      </c>
      <c r="W260" s="25">
        <f t="shared" si="80"/>
        <v>0</v>
      </c>
      <c r="X260" s="3"/>
      <c r="Y260" s="14"/>
      <c r="Z260" s="14"/>
      <c r="AA260" s="18">
        <v>20</v>
      </c>
      <c r="AB260" s="21">
        <v>4.8410000000000002E-2</v>
      </c>
      <c r="AC260" s="11">
        <v>46313</v>
      </c>
      <c r="AD260" s="4">
        <v>92</v>
      </c>
      <c r="AE260" s="18">
        <f>(IF(K260&gt;0,K260+R260,R260)-(AD260*Ventas!AE257*1.0489))</f>
        <v>0</v>
      </c>
      <c r="AF260" s="3"/>
      <c r="AG260" s="22">
        <f t="shared" si="101"/>
        <v>0</v>
      </c>
      <c r="AH260" s="14"/>
      <c r="AI260" s="25">
        <f t="shared" si="81"/>
        <v>0</v>
      </c>
      <c r="AJ260" s="16"/>
      <c r="AK260" s="12">
        <f t="shared" si="82"/>
        <v>0</v>
      </c>
      <c r="AL260" s="19">
        <f t="shared" si="83"/>
        <v>0</v>
      </c>
      <c r="AM260" s="18">
        <f>(180*(Ventas!AE257*0.9644) - IF(AE260&gt;0,AE260,0))</f>
        <v>0</v>
      </c>
      <c r="AN260" s="18">
        <f t="shared" si="99"/>
        <v>0</v>
      </c>
      <c r="AO260" s="14"/>
      <c r="AP260" s="14">
        <f t="shared" si="98"/>
        <v>0</v>
      </c>
      <c r="AQ260" s="16">
        <f t="shared" si="84"/>
        <v>0</v>
      </c>
      <c r="AR260" s="37">
        <f>_xlfn.XLOOKUP(C260,[1]Hoja2!$C$6:$C$24,[1]Hoja2!$D$6:$D$24,0,2,1)</f>
        <v>0</v>
      </c>
      <c r="AS260" s="18">
        <f t="shared" si="85"/>
        <v>0</v>
      </c>
      <c r="AT260" s="14"/>
      <c r="AU260" s="37">
        <f>_xlfn.XLOOKUP(D260,[1]Hoja2!$E$6:$E$24,[1]Hoja2!$F$6:$F$24,0,2,1)</f>
        <v>0</v>
      </c>
      <c r="AV260" s="3">
        <v>0</v>
      </c>
      <c r="AW260" s="3"/>
      <c r="AX260" s="14">
        <v>0</v>
      </c>
      <c r="AY260" s="14"/>
      <c r="AZ260" s="16">
        <f>_xlfn.XLOOKUP(C260,[2]PI!$B$15:$B$99,[2]PI!$L$15:$L$99,0,2,1)</f>
        <v>0</v>
      </c>
      <c r="BA260" s="16">
        <f>_xlfn.XLOOKUP(D260,[2]PI!$B$15:$B$99,[2]PI!$L$15:$L$99,0,2,1)</f>
        <v>0</v>
      </c>
      <c r="BB260" s="3"/>
      <c r="BC260" s="3"/>
      <c r="BD260" s="14"/>
      <c r="BE260" s="14"/>
      <c r="BF260" s="16"/>
      <c r="BG260" s="16"/>
      <c r="BH260" s="12">
        <f t="shared" si="86"/>
        <v>0</v>
      </c>
      <c r="BI260" s="19">
        <f t="shared" si="87"/>
        <v>0</v>
      </c>
      <c r="BJ260" s="1" t="s">
        <v>51</v>
      </c>
      <c r="BK260">
        <f t="shared" si="88"/>
        <v>0</v>
      </c>
      <c r="BL260">
        <f t="shared" si="89"/>
        <v>0</v>
      </c>
    </row>
    <row r="261" spans="1:64" x14ac:dyDescent="0.25">
      <c r="A261" s="1"/>
      <c r="B261" s="1" t="s">
        <v>792</v>
      </c>
      <c r="C261" s="13" t="s">
        <v>791</v>
      </c>
      <c r="D261" s="15"/>
      <c r="E261" s="17"/>
      <c r="F261" s="3"/>
      <c r="G261" s="14"/>
      <c r="H261" s="16"/>
      <c r="I261" s="11">
        <v>46221</v>
      </c>
      <c r="J261" s="4">
        <v>17</v>
      </c>
      <c r="K261" s="18">
        <f>(F261-(0)+0-(J261*Ventas!AE258*1))</f>
        <v>0</v>
      </c>
      <c r="L261" s="3"/>
      <c r="M261" s="22">
        <f t="shared" si="100"/>
        <v>0</v>
      </c>
      <c r="N261" s="14"/>
      <c r="O261" s="25">
        <f t="shared" ref="O261:O324" si="102">(H261+0)</f>
        <v>0</v>
      </c>
      <c r="P261" s="16"/>
      <c r="Q261" s="12">
        <f t="shared" ref="Q261:Q324" si="103">(K261+M261+O261)</f>
        <v>0</v>
      </c>
      <c r="R261" s="5">
        <v>0</v>
      </c>
      <c r="S261" s="24">
        <v>0</v>
      </c>
      <c r="T261" s="26">
        <v>0</v>
      </c>
      <c r="U261" s="18">
        <f t="shared" ref="U261:U324" si="104">IF(K261&gt;0,K261+R261,R261)</f>
        <v>0</v>
      </c>
      <c r="V261" s="22">
        <f t="shared" ref="V261:V324" si="105">IF(M261&gt;0,M261+S261,S261)</f>
        <v>0</v>
      </c>
      <c r="W261" s="25">
        <f t="shared" ref="W261:W324" si="106">IF(O261&gt;0,O261+T261,T261)</f>
        <v>0</v>
      </c>
      <c r="X261" s="3"/>
      <c r="Y261" s="14"/>
      <c r="Z261" s="14"/>
      <c r="AA261" s="3"/>
      <c r="AB261" s="3"/>
      <c r="AC261" s="11">
        <v>46313</v>
      </c>
      <c r="AD261" s="4">
        <v>92</v>
      </c>
      <c r="AE261" s="18">
        <f>(IF(K261&gt;0,K261+R261,R261)-(AD261*Ventas!AE258*1.0489))</f>
        <v>0</v>
      </c>
      <c r="AF261" s="3"/>
      <c r="AG261" s="22">
        <f t="shared" si="101"/>
        <v>0</v>
      </c>
      <c r="AH261" s="14"/>
      <c r="AI261" s="25">
        <f t="shared" ref="AI261:AI324" si="107">(H261+0)</f>
        <v>0</v>
      </c>
      <c r="AJ261" s="16"/>
      <c r="AK261" s="12">
        <f t="shared" ref="AK261:AK324" si="108">(AE261+AG261+AI261)</f>
        <v>0</v>
      </c>
      <c r="AL261" s="19">
        <f t="shared" ref="AL261:AL324" si="109">(((AF261*7)+(AH261*1)+(AJ261*0))/8)</f>
        <v>0</v>
      </c>
      <c r="AM261" s="18">
        <f>(180*(Ventas!AE258*0.9644) - IF(AE261&gt;0,AE261,0))</f>
        <v>0</v>
      </c>
      <c r="AN261" s="18">
        <f t="shared" si="99"/>
        <v>0</v>
      </c>
      <c r="AO261" s="14"/>
      <c r="AP261" s="14">
        <f t="shared" si="98"/>
        <v>0</v>
      </c>
      <c r="AQ261" s="16">
        <f t="shared" ref="AQ261:AQ324" si="110">(AN261+AP261)*AB261</f>
        <v>0</v>
      </c>
      <c r="AR261" s="37">
        <f>_xlfn.XLOOKUP(C261,[1]Hoja2!$C$6:$C$24,[1]Hoja2!$D$6:$D$24,0,2,1)</f>
        <v>0</v>
      </c>
      <c r="AS261" s="18">
        <f t="shared" ref="AS261:AS324" si="111">IF(AE261&gt;0,AE261+IF(AN261&gt;0,AN261,0),AN261)</f>
        <v>0</v>
      </c>
      <c r="AT261" s="14"/>
      <c r="AU261" s="37">
        <f>_xlfn.XLOOKUP(D261,[1]Hoja2!$E$6:$E$24,[1]Hoja2!$F$6:$F$24,0,2,1)</f>
        <v>0</v>
      </c>
      <c r="AV261" s="3">
        <v>0</v>
      </c>
      <c r="AW261" s="3"/>
      <c r="AX261" s="14">
        <v>0</v>
      </c>
      <c r="AY261" s="14"/>
      <c r="AZ261" s="16">
        <f>_xlfn.XLOOKUP(C261,[2]PI!$B$15:$B$99,[2]PI!$L$15:$L$99,0,2,1)</f>
        <v>0</v>
      </c>
      <c r="BA261" s="16">
        <f>_xlfn.XLOOKUP(D261,[2]PI!$B$15:$B$99,[2]PI!$L$15:$L$99,0,2,1)</f>
        <v>0</v>
      </c>
      <c r="BB261" s="3"/>
      <c r="BC261" s="3"/>
      <c r="BD261" s="14"/>
      <c r="BE261" s="14"/>
      <c r="BF261" s="16"/>
      <c r="BG261" s="16"/>
      <c r="BH261" s="12">
        <f t="shared" ref="BH261:BH324" si="112">(IF(BB261&gt;0,BB261,0)+IF(BD261&gt;0,BD261,0)+IF(BF261&gt;0,BF261,0))</f>
        <v>0</v>
      </c>
      <c r="BI261" s="19">
        <f t="shared" ref="BI261:BI324" si="113">(((BC261*7)+(BE261*1)+(BG261*1))/8)</f>
        <v>0</v>
      </c>
      <c r="BJ261" s="1" t="s">
        <v>35</v>
      </c>
      <c r="BK261">
        <f t="shared" si="88"/>
        <v>0</v>
      </c>
      <c r="BL261">
        <f t="shared" si="89"/>
        <v>0</v>
      </c>
    </row>
    <row r="262" spans="1:64" x14ac:dyDescent="0.25">
      <c r="A262" s="1" t="s">
        <v>795</v>
      </c>
      <c r="B262" s="1" t="s">
        <v>794</v>
      </c>
      <c r="C262" s="13" t="s">
        <v>793</v>
      </c>
      <c r="D262" s="15"/>
      <c r="E262" s="17"/>
      <c r="F262" s="3"/>
      <c r="G262" s="14"/>
      <c r="H262" s="16"/>
      <c r="I262" s="11">
        <v>46221</v>
      </c>
      <c r="J262" s="4">
        <v>17</v>
      </c>
      <c r="K262" s="18">
        <f>(F262-(0)+0-(J262*Ventas!AE259*1))</f>
        <v>0</v>
      </c>
      <c r="L262" s="3"/>
      <c r="M262" s="22">
        <f t="shared" si="100"/>
        <v>0</v>
      </c>
      <c r="N262" s="14"/>
      <c r="O262" s="25">
        <f t="shared" si="102"/>
        <v>0</v>
      </c>
      <c r="P262" s="16"/>
      <c r="Q262" s="12">
        <f t="shared" si="103"/>
        <v>0</v>
      </c>
      <c r="R262" s="5">
        <v>0</v>
      </c>
      <c r="S262" s="24">
        <v>0</v>
      </c>
      <c r="T262" s="26">
        <v>0</v>
      </c>
      <c r="U262" s="18">
        <f t="shared" si="104"/>
        <v>0</v>
      </c>
      <c r="V262" s="22">
        <f t="shared" si="105"/>
        <v>0</v>
      </c>
      <c r="W262" s="25">
        <f t="shared" si="106"/>
        <v>0</v>
      </c>
      <c r="X262" s="3"/>
      <c r="Y262" s="14"/>
      <c r="Z262" s="14"/>
      <c r="AA262" s="3"/>
      <c r="AB262" s="3"/>
      <c r="AC262" s="11">
        <v>46313</v>
      </c>
      <c r="AD262" s="4">
        <v>92</v>
      </c>
      <c r="AE262" s="18">
        <f>(IF(K262&gt;0,K262+R262,R262)-(AD262*Ventas!AE259*1.0489))</f>
        <v>0</v>
      </c>
      <c r="AF262" s="3"/>
      <c r="AG262" s="22">
        <f t="shared" si="101"/>
        <v>0</v>
      </c>
      <c r="AH262" s="14"/>
      <c r="AI262" s="25">
        <f t="shared" si="107"/>
        <v>0</v>
      </c>
      <c r="AJ262" s="16"/>
      <c r="AK262" s="12">
        <f t="shared" si="108"/>
        <v>0</v>
      </c>
      <c r="AL262" s="19">
        <f t="shared" si="109"/>
        <v>0</v>
      </c>
      <c r="AM262" s="18">
        <f>(180*(Ventas!AE259*0.9644) - IF(AE262&gt;0,AE262,0))</f>
        <v>0</v>
      </c>
      <c r="AN262" s="18">
        <f t="shared" si="99"/>
        <v>0</v>
      </c>
      <c r="AO262" s="14"/>
      <c r="AP262" s="14">
        <f t="shared" si="98"/>
        <v>0</v>
      </c>
      <c r="AQ262" s="16">
        <f t="shared" si="110"/>
        <v>0</v>
      </c>
      <c r="AR262" s="37">
        <f>_xlfn.XLOOKUP(C262,[1]Hoja2!$C$6:$C$24,[1]Hoja2!$D$6:$D$24,0,2,1)</f>
        <v>0</v>
      </c>
      <c r="AS262" s="18">
        <f t="shared" si="111"/>
        <v>0</v>
      </c>
      <c r="AT262" s="14"/>
      <c r="AU262" s="37">
        <f>_xlfn.XLOOKUP(D262,[1]Hoja2!$E$6:$E$24,[1]Hoja2!$F$6:$F$24,0,2,1)</f>
        <v>0</v>
      </c>
      <c r="AV262" s="3">
        <v>0</v>
      </c>
      <c r="AW262" s="3"/>
      <c r="AX262" s="14">
        <v>0</v>
      </c>
      <c r="AY262" s="14"/>
      <c r="AZ262" s="16">
        <f>_xlfn.XLOOKUP(C262,[2]PI!$B$15:$B$99,[2]PI!$L$15:$L$99,0,2,1)</f>
        <v>0</v>
      </c>
      <c r="BA262" s="16">
        <f>_xlfn.XLOOKUP(D262,[2]PI!$B$15:$B$99,[2]PI!$L$15:$L$99,0,2,1)</f>
        <v>0</v>
      </c>
      <c r="BB262" s="3"/>
      <c r="BC262" s="3"/>
      <c r="BD262" s="14"/>
      <c r="BE262" s="14"/>
      <c r="BF262" s="16"/>
      <c r="BG262" s="16"/>
      <c r="BH262" s="12">
        <f t="shared" si="112"/>
        <v>0</v>
      </c>
      <c r="BI262" s="19">
        <f t="shared" si="113"/>
        <v>0</v>
      </c>
      <c r="BJ262" s="1" t="s">
        <v>51</v>
      </c>
      <c r="BK262">
        <f t="shared" ref="BK262:BK325" si="114">AV262*AN262+AP262*AX262</f>
        <v>0</v>
      </c>
      <c r="BL262">
        <f t="shared" ref="BL262:BL325" si="115">(AN262)*AZ262+AP262*BA262</f>
        <v>0</v>
      </c>
    </row>
    <row r="263" spans="1:64" x14ac:dyDescent="0.25">
      <c r="A263" s="1" t="s">
        <v>798</v>
      </c>
      <c r="B263" s="1" t="s">
        <v>797</v>
      </c>
      <c r="C263" s="13" t="s">
        <v>796</v>
      </c>
      <c r="D263" s="15"/>
      <c r="E263" s="17"/>
      <c r="F263" s="3"/>
      <c r="G263" s="14"/>
      <c r="H263" s="16"/>
      <c r="I263" s="11">
        <v>46221</v>
      </c>
      <c r="J263" s="4">
        <v>17</v>
      </c>
      <c r="K263" s="18">
        <f>(F263-(0)+0-(J263*Ventas!AE260*1))</f>
        <v>0</v>
      </c>
      <c r="L263" s="3"/>
      <c r="M263" s="22">
        <f t="shared" si="100"/>
        <v>0</v>
      </c>
      <c r="N263" s="14"/>
      <c r="O263" s="25">
        <f t="shared" si="102"/>
        <v>0</v>
      </c>
      <c r="P263" s="16"/>
      <c r="Q263" s="12">
        <f t="shared" si="103"/>
        <v>0</v>
      </c>
      <c r="R263" s="5">
        <v>0</v>
      </c>
      <c r="S263" s="24">
        <v>0</v>
      </c>
      <c r="T263" s="26">
        <v>0</v>
      </c>
      <c r="U263" s="18">
        <f t="shared" si="104"/>
        <v>0</v>
      </c>
      <c r="V263" s="22">
        <f t="shared" si="105"/>
        <v>0</v>
      </c>
      <c r="W263" s="25">
        <f t="shared" si="106"/>
        <v>0</v>
      </c>
      <c r="X263" s="3"/>
      <c r="Y263" s="14"/>
      <c r="Z263" s="14"/>
      <c r="AA263" s="3"/>
      <c r="AB263" s="3"/>
      <c r="AC263" s="11">
        <v>46313</v>
      </c>
      <c r="AD263" s="4">
        <v>92</v>
      </c>
      <c r="AE263" s="18">
        <f>(IF(K263&gt;0,K263+R263,R263)-(AD263*Ventas!AE260*1.0489))</f>
        <v>0</v>
      </c>
      <c r="AF263" s="3"/>
      <c r="AG263" s="22">
        <f t="shared" si="101"/>
        <v>0</v>
      </c>
      <c r="AH263" s="14"/>
      <c r="AI263" s="25">
        <f t="shared" si="107"/>
        <v>0</v>
      </c>
      <c r="AJ263" s="16"/>
      <c r="AK263" s="12">
        <f t="shared" si="108"/>
        <v>0</v>
      </c>
      <c r="AL263" s="19">
        <f t="shared" si="109"/>
        <v>0</v>
      </c>
      <c r="AM263" s="18">
        <f>(180*(Ventas!AE260*0.9644) - IF(AE263&gt;0,AE263,0))</f>
        <v>0</v>
      </c>
      <c r="AN263" s="18">
        <f t="shared" si="99"/>
        <v>0</v>
      </c>
      <c r="AO263" s="14"/>
      <c r="AP263" s="14">
        <f t="shared" si="98"/>
        <v>0</v>
      </c>
      <c r="AQ263" s="16">
        <f t="shared" si="110"/>
        <v>0</v>
      </c>
      <c r="AR263" s="37">
        <f>_xlfn.XLOOKUP(C263,[1]Hoja2!$C$6:$C$24,[1]Hoja2!$D$6:$D$24,0,2,1)</f>
        <v>0</v>
      </c>
      <c r="AS263" s="18">
        <f t="shared" si="111"/>
        <v>0</v>
      </c>
      <c r="AT263" s="14"/>
      <c r="AU263" s="37">
        <f>_xlfn.XLOOKUP(D263,[1]Hoja2!$E$6:$E$24,[1]Hoja2!$F$6:$F$24,0,2,1)</f>
        <v>0</v>
      </c>
      <c r="AV263" s="3">
        <v>0</v>
      </c>
      <c r="AW263" s="3"/>
      <c r="AX263" s="14">
        <v>0</v>
      </c>
      <c r="AY263" s="14"/>
      <c r="AZ263" s="16">
        <f>_xlfn.XLOOKUP(C263,[2]PI!$B$15:$B$99,[2]PI!$L$15:$L$99,0,2,1)</f>
        <v>0</v>
      </c>
      <c r="BA263" s="16">
        <f>_xlfn.XLOOKUP(D263,[2]PI!$B$15:$B$99,[2]PI!$L$15:$L$99,0,2,1)</f>
        <v>0</v>
      </c>
      <c r="BB263" s="3"/>
      <c r="BC263" s="3"/>
      <c r="BD263" s="14"/>
      <c r="BE263" s="14"/>
      <c r="BF263" s="16"/>
      <c r="BG263" s="16"/>
      <c r="BH263" s="12">
        <f t="shared" si="112"/>
        <v>0</v>
      </c>
      <c r="BI263" s="19">
        <f t="shared" si="113"/>
        <v>0</v>
      </c>
      <c r="BJ263" s="1" t="s">
        <v>51</v>
      </c>
      <c r="BK263">
        <f t="shared" si="114"/>
        <v>0</v>
      </c>
      <c r="BL263">
        <f t="shared" si="115"/>
        <v>0</v>
      </c>
    </row>
    <row r="264" spans="1:64" x14ac:dyDescent="0.25">
      <c r="A264" s="1" t="s">
        <v>801</v>
      </c>
      <c r="B264" s="1" t="s">
        <v>800</v>
      </c>
      <c r="C264" s="13" t="s">
        <v>799</v>
      </c>
      <c r="D264" s="15"/>
      <c r="E264" s="17"/>
      <c r="F264" s="3"/>
      <c r="G264" s="14"/>
      <c r="H264" s="16"/>
      <c r="I264" s="11">
        <v>46221</v>
      </c>
      <c r="J264" s="4">
        <v>17</v>
      </c>
      <c r="K264" s="18">
        <f>(F264-(0)+0-(J264*Ventas!AE261*1))</f>
        <v>0</v>
      </c>
      <c r="L264" s="3"/>
      <c r="M264" s="22">
        <f t="shared" si="100"/>
        <v>0</v>
      </c>
      <c r="N264" s="14"/>
      <c r="O264" s="25">
        <f t="shared" si="102"/>
        <v>0</v>
      </c>
      <c r="P264" s="16"/>
      <c r="Q264" s="12">
        <f t="shared" si="103"/>
        <v>0</v>
      </c>
      <c r="R264" s="5">
        <v>0</v>
      </c>
      <c r="S264" s="24">
        <v>0</v>
      </c>
      <c r="T264" s="26">
        <v>0</v>
      </c>
      <c r="U264" s="18">
        <f t="shared" si="104"/>
        <v>0</v>
      </c>
      <c r="V264" s="22">
        <f t="shared" si="105"/>
        <v>0</v>
      </c>
      <c r="W264" s="25">
        <f t="shared" si="106"/>
        <v>0</v>
      </c>
      <c r="X264" s="3"/>
      <c r="Y264" s="14"/>
      <c r="Z264" s="14"/>
      <c r="AA264" s="3"/>
      <c r="AB264" s="3"/>
      <c r="AC264" s="11">
        <v>46313</v>
      </c>
      <c r="AD264" s="4">
        <v>92</v>
      </c>
      <c r="AE264" s="18">
        <f>(IF(K264&gt;0,K264+R264,R264)-(AD264*Ventas!AE261*1.0489))</f>
        <v>0</v>
      </c>
      <c r="AF264" s="3"/>
      <c r="AG264" s="22">
        <f t="shared" si="101"/>
        <v>0</v>
      </c>
      <c r="AH264" s="14"/>
      <c r="AI264" s="25">
        <f t="shared" si="107"/>
        <v>0</v>
      </c>
      <c r="AJ264" s="16"/>
      <c r="AK264" s="12">
        <f t="shared" si="108"/>
        <v>0</v>
      </c>
      <c r="AL264" s="19">
        <f t="shared" si="109"/>
        <v>0</v>
      </c>
      <c r="AM264" s="18">
        <f>(180*(Ventas!AE261*0.9644) - IF(AE264&gt;0,AE264,0))</f>
        <v>0</v>
      </c>
      <c r="AN264" s="18">
        <f t="shared" si="99"/>
        <v>0</v>
      </c>
      <c r="AO264" s="14"/>
      <c r="AP264" s="14">
        <f t="shared" si="98"/>
        <v>0</v>
      </c>
      <c r="AQ264" s="16">
        <f t="shared" si="110"/>
        <v>0</v>
      </c>
      <c r="AR264" s="37">
        <f>_xlfn.XLOOKUP(C264,[1]Hoja2!$C$6:$C$24,[1]Hoja2!$D$6:$D$24,0,2,1)</f>
        <v>0</v>
      </c>
      <c r="AS264" s="18">
        <f t="shared" si="111"/>
        <v>0</v>
      </c>
      <c r="AT264" s="14"/>
      <c r="AU264" s="37">
        <f>_xlfn.XLOOKUP(D264,[1]Hoja2!$E$6:$E$24,[1]Hoja2!$F$6:$F$24,0,2,1)</f>
        <v>0</v>
      </c>
      <c r="AV264" s="3">
        <v>0</v>
      </c>
      <c r="AW264" s="3"/>
      <c r="AX264" s="14">
        <v>0</v>
      </c>
      <c r="AY264" s="14"/>
      <c r="AZ264" s="16">
        <f>_xlfn.XLOOKUP(C264,[2]PI!$B$15:$B$99,[2]PI!$L$15:$L$99,0,2,1)</f>
        <v>0</v>
      </c>
      <c r="BA264" s="16">
        <f>_xlfn.XLOOKUP(D264,[2]PI!$B$15:$B$99,[2]PI!$L$15:$L$99,0,2,1)</f>
        <v>0</v>
      </c>
      <c r="BB264" s="3"/>
      <c r="BC264" s="3"/>
      <c r="BD264" s="14"/>
      <c r="BE264" s="14"/>
      <c r="BF264" s="16"/>
      <c r="BG264" s="16"/>
      <c r="BH264" s="12">
        <f t="shared" si="112"/>
        <v>0</v>
      </c>
      <c r="BI264" s="19">
        <f t="shared" si="113"/>
        <v>0</v>
      </c>
      <c r="BJ264" s="1" t="s">
        <v>51</v>
      </c>
      <c r="BK264">
        <f t="shared" si="114"/>
        <v>0</v>
      </c>
      <c r="BL264">
        <f t="shared" si="115"/>
        <v>0</v>
      </c>
    </row>
    <row r="265" spans="1:64" x14ac:dyDescent="0.25">
      <c r="A265" s="1" t="s">
        <v>804</v>
      </c>
      <c r="B265" s="1" t="s">
        <v>803</v>
      </c>
      <c r="C265" s="13" t="s">
        <v>802</v>
      </c>
      <c r="D265" s="15"/>
      <c r="E265" s="17"/>
      <c r="F265" s="3"/>
      <c r="G265" s="14"/>
      <c r="H265" s="16"/>
      <c r="I265" s="11">
        <v>46221</v>
      </c>
      <c r="J265" s="4">
        <v>17</v>
      </c>
      <c r="K265" s="18">
        <f>(F265-(0)+0-(J265*Ventas!AE262*1))</f>
        <v>0</v>
      </c>
      <c r="L265" s="3"/>
      <c r="M265" s="22">
        <f t="shared" si="100"/>
        <v>0</v>
      </c>
      <c r="N265" s="14"/>
      <c r="O265" s="25">
        <f t="shared" si="102"/>
        <v>0</v>
      </c>
      <c r="P265" s="16"/>
      <c r="Q265" s="12">
        <f t="shared" si="103"/>
        <v>0</v>
      </c>
      <c r="R265" s="5">
        <v>0</v>
      </c>
      <c r="S265" s="24">
        <v>0</v>
      </c>
      <c r="T265" s="26">
        <v>0</v>
      </c>
      <c r="U265" s="18">
        <f t="shared" si="104"/>
        <v>0</v>
      </c>
      <c r="V265" s="22">
        <f t="shared" si="105"/>
        <v>0</v>
      </c>
      <c r="W265" s="25">
        <f t="shared" si="106"/>
        <v>0</v>
      </c>
      <c r="X265" s="3"/>
      <c r="Y265" s="14"/>
      <c r="Z265" s="14"/>
      <c r="AA265" s="3"/>
      <c r="AB265" s="3"/>
      <c r="AC265" s="11">
        <v>46313</v>
      </c>
      <c r="AD265" s="4">
        <v>92</v>
      </c>
      <c r="AE265" s="18">
        <f>(IF(K265&gt;0,K265+R265,R265)-(AD265*Ventas!AE262*1.0489))</f>
        <v>0</v>
      </c>
      <c r="AF265" s="3"/>
      <c r="AG265" s="22">
        <f t="shared" si="101"/>
        <v>0</v>
      </c>
      <c r="AH265" s="14"/>
      <c r="AI265" s="25">
        <f t="shared" si="107"/>
        <v>0</v>
      </c>
      <c r="AJ265" s="16"/>
      <c r="AK265" s="12">
        <f t="shared" si="108"/>
        <v>0</v>
      </c>
      <c r="AL265" s="19">
        <f t="shared" si="109"/>
        <v>0</v>
      </c>
      <c r="AM265" s="18">
        <f>(180*(Ventas!AE262*0.9644) - IF(AE265&gt;0,AE265,0))</f>
        <v>0</v>
      </c>
      <c r="AN265" s="18">
        <f t="shared" si="99"/>
        <v>0</v>
      </c>
      <c r="AO265" s="14"/>
      <c r="AP265" s="14">
        <f t="shared" si="98"/>
        <v>0</v>
      </c>
      <c r="AQ265" s="16">
        <f t="shared" si="110"/>
        <v>0</v>
      </c>
      <c r="AR265" s="37">
        <f>_xlfn.XLOOKUP(C265,[1]Hoja2!$C$6:$C$24,[1]Hoja2!$D$6:$D$24,0,2,1)</f>
        <v>0</v>
      </c>
      <c r="AS265" s="18">
        <f t="shared" si="111"/>
        <v>0</v>
      </c>
      <c r="AT265" s="14"/>
      <c r="AU265" s="37">
        <f>_xlfn.XLOOKUP(D265,[1]Hoja2!$E$6:$E$24,[1]Hoja2!$F$6:$F$24,0,2,1)</f>
        <v>0</v>
      </c>
      <c r="AV265" s="3">
        <v>0</v>
      </c>
      <c r="AW265" s="3"/>
      <c r="AX265" s="14">
        <v>0</v>
      </c>
      <c r="AY265" s="14"/>
      <c r="AZ265" s="16">
        <f>_xlfn.XLOOKUP(C265,[2]PI!$B$15:$B$99,[2]PI!$L$15:$L$99,0,2,1)</f>
        <v>0</v>
      </c>
      <c r="BA265" s="16">
        <f>_xlfn.XLOOKUP(D265,[2]PI!$B$15:$B$99,[2]PI!$L$15:$L$99,0,2,1)</f>
        <v>0</v>
      </c>
      <c r="BB265" s="3"/>
      <c r="BC265" s="3"/>
      <c r="BD265" s="14"/>
      <c r="BE265" s="14"/>
      <c r="BF265" s="16"/>
      <c r="BG265" s="16"/>
      <c r="BH265" s="12">
        <f t="shared" si="112"/>
        <v>0</v>
      </c>
      <c r="BI265" s="19">
        <f t="shared" si="113"/>
        <v>0</v>
      </c>
      <c r="BJ265" s="1" t="s">
        <v>51</v>
      </c>
      <c r="BK265">
        <f t="shared" si="114"/>
        <v>0</v>
      </c>
      <c r="BL265">
        <f t="shared" si="115"/>
        <v>0</v>
      </c>
    </row>
    <row r="266" spans="1:64" x14ac:dyDescent="0.25">
      <c r="A266" s="1" t="s">
        <v>807</v>
      </c>
      <c r="B266" s="1" t="s">
        <v>806</v>
      </c>
      <c r="C266" s="13" t="s">
        <v>805</v>
      </c>
      <c r="D266" s="15"/>
      <c r="E266" s="17"/>
      <c r="F266" s="3"/>
      <c r="G266" s="14"/>
      <c r="H266" s="16"/>
      <c r="I266" s="11">
        <v>46221</v>
      </c>
      <c r="J266" s="4">
        <v>17</v>
      </c>
      <c r="K266" s="18">
        <f>(F266-(0)+0-(J266*Ventas!AE263*1))</f>
        <v>0</v>
      </c>
      <c r="L266" s="3"/>
      <c r="M266" s="22">
        <f t="shared" si="100"/>
        <v>0</v>
      </c>
      <c r="N266" s="14"/>
      <c r="O266" s="25">
        <f t="shared" si="102"/>
        <v>0</v>
      </c>
      <c r="P266" s="16"/>
      <c r="Q266" s="12">
        <f t="shared" si="103"/>
        <v>0</v>
      </c>
      <c r="R266" s="5">
        <v>0</v>
      </c>
      <c r="S266" s="24">
        <v>0</v>
      </c>
      <c r="T266" s="26">
        <v>0</v>
      </c>
      <c r="U266" s="18">
        <f t="shared" si="104"/>
        <v>0</v>
      </c>
      <c r="V266" s="22">
        <f t="shared" si="105"/>
        <v>0</v>
      </c>
      <c r="W266" s="25">
        <f t="shared" si="106"/>
        <v>0</v>
      </c>
      <c r="X266" s="3"/>
      <c r="Y266" s="14"/>
      <c r="Z266" s="14"/>
      <c r="AA266" s="3"/>
      <c r="AB266" s="3"/>
      <c r="AC266" s="11">
        <v>46313</v>
      </c>
      <c r="AD266" s="4">
        <v>92</v>
      </c>
      <c r="AE266" s="18">
        <f>(IF(K266&gt;0,K266+R266,R266)-(AD266*Ventas!AE263*1.0489))</f>
        <v>0</v>
      </c>
      <c r="AF266" s="3"/>
      <c r="AG266" s="22">
        <f t="shared" si="101"/>
        <v>0</v>
      </c>
      <c r="AH266" s="14"/>
      <c r="AI266" s="25">
        <f t="shared" si="107"/>
        <v>0</v>
      </c>
      <c r="AJ266" s="16"/>
      <c r="AK266" s="12">
        <f t="shared" si="108"/>
        <v>0</v>
      </c>
      <c r="AL266" s="19">
        <f t="shared" si="109"/>
        <v>0</v>
      </c>
      <c r="AM266" s="18">
        <f>(180*(Ventas!AE263*0.9644) - IF(AE266&gt;0,AE266,0))</f>
        <v>0</v>
      </c>
      <c r="AN266" s="18">
        <f t="shared" si="99"/>
        <v>0</v>
      </c>
      <c r="AO266" s="14"/>
      <c r="AP266" s="14">
        <f t="shared" si="98"/>
        <v>0</v>
      </c>
      <c r="AQ266" s="16">
        <f t="shared" si="110"/>
        <v>0</v>
      </c>
      <c r="AR266" s="37">
        <f>_xlfn.XLOOKUP(C266,[1]Hoja2!$C$6:$C$24,[1]Hoja2!$D$6:$D$24,0,2,1)</f>
        <v>0</v>
      </c>
      <c r="AS266" s="18">
        <f t="shared" si="111"/>
        <v>0</v>
      </c>
      <c r="AT266" s="14"/>
      <c r="AU266" s="37">
        <f>_xlfn.XLOOKUP(D266,[1]Hoja2!$E$6:$E$24,[1]Hoja2!$F$6:$F$24,0,2,1)</f>
        <v>0</v>
      </c>
      <c r="AV266" s="3">
        <v>0</v>
      </c>
      <c r="AW266" s="3"/>
      <c r="AX266" s="14">
        <v>0</v>
      </c>
      <c r="AY266" s="14"/>
      <c r="AZ266" s="16">
        <f>_xlfn.XLOOKUP(C266,[2]PI!$B$15:$B$99,[2]PI!$L$15:$L$99,0,2,1)</f>
        <v>0</v>
      </c>
      <c r="BA266" s="16">
        <f>_xlfn.XLOOKUP(D266,[2]PI!$B$15:$B$99,[2]PI!$L$15:$L$99,0,2,1)</f>
        <v>0</v>
      </c>
      <c r="BB266" s="3"/>
      <c r="BC266" s="3"/>
      <c r="BD266" s="14"/>
      <c r="BE266" s="14"/>
      <c r="BF266" s="16"/>
      <c r="BG266" s="16"/>
      <c r="BH266" s="12">
        <f t="shared" si="112"/>
        <v>0</v>
      </c>
      <c r="BI266" s="19">
        <f t="shared" si="113"/>
        <v>0</v>
      </c>
      <c r="BJ266" s="1" t="s">
        <v>51</v>
      </c>
      <c r="BK266">
        <f t="shared" si="114"/>
        <v>0</v>
      </c>
      <c r="BL266">
        <f t="shared" si="115"/>
        <v>0</v>
      </c>
    </row>
    <row r="267" spans="1:64" x14ac:dyDescent="0.25">
      <c r="A267" s="1" t="s">
        <v>810</v>
      </c>
      <c r="B267" s="1" t="s">
        <v>809</v>
      </c>
      <c r="C267" s="13" t="s">
        <v>808</v>
      </c>
      <c r="D267" s="15" t="s">
        <v>1568</v>
      </c>
      <c r="E267" s="17"/>
      <c r="F267" s="5">
        <v>347</v>
      </c>
      <c r="G267" s="24">
        <v>106</v>
      </c>
      <c r="H267" s="16"/>
      <c r="I267" s="11">
        <v>46221</v>
      </c>
      <c r="J267" s="4">
        <v>17</v>
      </c>
      <c r="K267" s="18">
        <f>(F267-(0)+0-(J267*Ventas!AE264*1))</f>
        <v>305.28297142857144</v>
      </c>
      <c r="L267" s="20">
        <f>(K267/(Ventas!AE264*1)/80)</f>
        <v>1.5550635711624441</v>
      </c>
      <c r="M267" s="22">
        <f>(G267-(0)+0-(J267*Ventas!AE524*1))</f>
        <v>98.666200000000003</v>
      </c>
      <c r="N267" s="23">
        <f>(M267/(Ventas!AE524*1)/85)</f>
        <v>2.6907251356731847</v>
      </c>
      <c r="O267" s="25">
        <f t="shared" si="102"/>
        <v>0</v>
      </c>
      <c r="P267" s="16"/>
      <c r="Q267" s="12">
        <f t="shared" si="103"/>
        <v>403.94917142857145</v>
      </c>
      <c r="R267" s="5">
        <v>75</v>
      </c>
      <c r="S267" s="24">
        <v>0</v>
      </c>
      <c r="T267" s="26">
        <v>0</v>
      </c>
      <c r="U267" s="18">
        <f t="shared" si="104"/>
        <v>380.28297142857144</v>
      </c>
      <c r="V267" s="22">
        <f t="shared" si="105"/>
        <v>98.666200000000003</v>
      </c>
      <c r="W267" s="25">
        <f t="shared" si="106"/>
        <v>0</v>
      </c>
      <c r="X267" s="18">
        <v>3</v>
      </c>
      <c r="Y267" s="14"/>
      <c r="Z267" s="14"/>
      <c r="AA267" s="18">
        <v>20</v>
      </c>
      <c r="AB267" s="21">
        <v>3.8860000000000001E-3</v>
      </c>
      <c r="AC267" s="11">
        <v>46313</v>
      </c>
      <c r="AD267" s="4">
        <v>92</v>
      </c>
      <c r="AE267" s="18">
        <f>(IF(K267&gt;0,K267+R267,R267)-(AD267*Ventas!AE264*1.0489))</f>
        <v>143.48043044571432</v>
      </c>
      <c r="AF267" s="20">
        <f>(AE267/(Ventas!AE264*1.0489)/80)</f>
        <v>0.69679359996612744</v>
      </c>
      <c r="AG267" s="22">
        <f>(IF(M267&gt;0,M267+S267,S267)-(AD267*Ventas!AE524*1.0489))</f>
        <v>57.036617680000006</v>
      </c>
      <c r="AH267" s="23">
        <f>(AG267/(Ventas!AE524*1.0489)/85)</f>
        <v>1.4829298652618788</v>
      </c>
      <c r="AI267" s="25">
        <f t="shared" si="107"/>
        <v>0</v>
      </c>
      <c r="AJ267" s="16"/>
      <c r="AK267" s="12">
        <f t="shared" si="108"/>
        <v>200.51704812571433</v>
      </c>
      <c r="AL267" s="19">
        <f t="shared" si="109"/>
        <v>0.79506063312809627</v>
      </c>
      <c r="AM267" s="18">
        <f>(180*(Ventas!AE264*0.9644) - IF(AE267&gt;0,AE267,0))</f>
        <v>282.50441801142853</v>
      </c>
      <c r="AN267" s="18">
        <v>285</v>
      </c>
      <c r="AO267" s="22">
        <f>(180*(Ventas!AE524*0.9644) - IF(AG267&gt;0,AG267,0))</f>
        <v>17.850971119999997</v>
      </c>
      <c r="AP267" s="22">
        <v>15</v>
      </c>
      <c r="AQ267" s="16">
        <f t="shared" si="110"/>
        <v>1.1657999999999999</v>
      </c>
      <c r="AR267" s="37">
        <f>_xlfn.XLOOKUP(C267,[1]Hoja2!$C$6:$C$24,[1]Hoja2!$D$6:$D$24,0,2,1)</f>
        <v>0</v>
      </c>
      <c r="AS267" s="18">
        <f t="shared" si="111"/>
        <v>428.48043044571432</v>
      </c>
      <c r="AT267" s="22">
        <f>IF(AG267&gt;0,AG267+IF(AP267&gt;0,AP267,0),AP267)</f>
        <v>72.036617680000006</v>
      </c>
      <c r="AU267" s="37">
        <f>_xlfn.XLOOKUP(D267,[1]Hoja2!$E$6:$E$24,[1]Hoja2!$F$6:$F$24,0,2,1)</f>
        <v>0</v>
      </c>
      <c r="AV267" s="27">
        <v>3</v>
      </c>
      <c r="AW267" s="5">
        <v>3016</v>
      </c>
      <c r="AX267" s="28">
        <v>3</v>
      </c>
      <c r="AY267" s="14"/>
      <c r="AZ267" s="16">
        <f>_xlfn.XLOOKUP(C267,[2]PI!$B$15:$B$99,[2]PI!$L$15:$L$99,0,2,1)</f>
        <v>3</v>
      </c>
      <c r="BA267" s="16">
        <f>_xlfn.XLOOKUP(D267,[2]PI!$B$15:$B$99,[2]PI!$L$15:$L$99,0,2,1)</f>
        <v>3</v>
      </c>
      <c r="BB267" s="18">
        <f>(AS267-(90*Ventas!AE264*0.9644))</f>
        <v>215.48800621714287</v>
      </c>
      <c r="BC267" s="20">
        <f>(BB267/(Ventas!AE264*0.9644)/80)</f>
        <v>1.1381813596061519</v>
      </c>
      <c r="BD267" s="22">
        <f>(AT267-(90*Ventas!AE524*0.9644))</f>
        <v>34.592823280000005</v>
      </c>
      <c r="BE267" s="23">
        <f>(BD267/(Ventas!AE524*0.9644)/85)</f>
        <v>0.97820468850900066</v>
      </c>
      <c r="BF267" s="16"/>
      <c r="BG267" s="16"/>
      <c r="BH267" s="12">
        <f t="shared" si="112"/>
        <v>250.08082949714287</v>
      </c>
      <c r="BI267" s="19">
        <f t="shared" si="113"/>
        <v>1.1181842757190079</v>
      </c>
      <c r="BJ267" s="1" t="s">
        <v>35</v>
      </c>
      <c r="BK267">
        <f t="shared" si="114"/>
        <v>900</v>
      </c>
      <c r="BL267">
        <f t="shared" si="115"/>
        <v>900</v>
      </c>
    </row>
    <row r="268" spans="1:64" x14ac:dyDescent="0.25">
      <c r="A268" s="1" t="s">
        <v>813</v>
      </c>
      <c r="B268" s="1" t="s">
        <v>812</v>
      </c>
      <c r="C268" s="13" t="s">
        <v>811</v>
      </c>
      <c r="D268" s="15"/>
      <c r="E268" s="17"/>
      <c r="F268" s="5">
        <v>2</v>
      </c>
      <c r="G268" s="14"/>
      <c r="H268" s="16"/>
      <c r="I268" s="11">
        <v>46221</v>
      </c>
      <c r="J268" s="4">
        <v>17</v>
      </c>
      <c r="K268" s="18">
        <f>(F268-(0)+0-(J268*Ventas!AE265*1))</f>
        <v>2</v>
      </c>
      <c r="L268" s="3"/>
      <c r="M268" s="22">
        <f>(G268+0)</f>
        <v>0</v>
      </c>
      <c r="N268" s="14"/>
      <c r="O268" s="25">
        <f t="shared" si="102"/>
        <v>0</v>
      </c>
      <c r="P268" s="16"/>
      <c r="Q268" s="12">
        <f t="shared" si="103"/>
        <v>2</v>
      </c>
      <c r="R268" s="5">
        <v>0</v>
      </c>
      <c r="S268" s="24">
        <v>0</v>
      </c>
      <c r="T268" s="26">
        <v>0</v>
      </c>
      <c r="U268" s="18">
        <f t="shared" si="104"/>
        <v>2</v>
      </c>
      <c r="V268" s="22">
        <f t="shared" si="105"/>
        <v>0</v>
      </c>
      <c r="W268" s="25">
        <f t="shared" si="106"/>
        <v>0</v>
      </c>
      <c r="X268" s="3"/>
      <c r="Y268" s="14"/>
      <c r="Z268" s="14"/>
      <c r="AA268" s="18">
        <v>10</v>
      </c>
      <c r="AB268" s="21">
        <v>6.1580000000000003E-3</v>
      </c>
      <c r="AC268" s="11">
        <v>46313</v>
      </c>
      <c r="AD268" s="4">
        <v>92</v>
      </c>
      <c r="AE268" s="18">
        <f>(IF(K268&gt;0,K268+R268,R268)-(AD268*Ventas!AE265*1.0489))</f>
        <v>2</v>
      </c>
      <c r="AF268" s="3"/>
      <c r="AG268" s="22">
        <f>(G268+0)</f>
        <v>0</v>
      </c>
      <c r="AH268" s="14"/>
      <c r="AI268" s="25">
        <f t="shared" si="107"/>
        <v>0</v>
      </c>
      <c r="AJ268" s="16"/>
      <c r="AK268" s="12">
        <f t="shared" si="108"/>
        <v>2</v>
      </c>
      <c r="AL268" s="19">
        <f t="shared" si="109"/>
        <v>0</v>
      </c>
      <c r="AM268" s="18">
        <f>(180*(Ventas!AE265*0.9644) - IF(AE268&gt;0,AE268,0))</f>
        <v>-2</v>
      </c>
      <c r="AN268" s="18">
        <f>IF(AM268&gt;3,CEILING(AM268,5),0)</f>
        <v>0</v>
      </c>
      <c r="AO268" s="14"/>
      <c r="AP268" s="14">
        <f>IF(AO268&gt;3,CEILING(AO268,5),0)</f>
        <v>0</v>
      </c>
      <c r="AQ268" s="16">
        <f t="shared" si="110"/>
        <v>0</v>
      </c>
      <c r="AR268" s="37">
        <f>_xlfn.XLOOKUP(C268,[1]Hoja2!$C$6:$C$24,[1]Hoja2!$D$6:$D$24,0,2,1)</f>
        <v>0</v>
      </c>
      <c r="AS268" s="18">
        <f t="shared" si="111"/>
        <v>2</v>
      </c>
      <c r="AT268" s="14"/>
      <c r="AU268" s="37">
        <f>_xlfn.XLOOKUP(D268,[1]Hoja2!$E$6:$E$24,[1]Hoja2!$F$6:$F$24,0,2,1)</f>
        <v>0</v>
      </c>
      <c r="AV268" s="3">
        <v>0</v>
      </c>
      <c r="AW268" s="3"/>
      <c r="AX268" s="14">
        <v>0</v>
      </c>
      <c r="AY268" s="14"/>
      <c r="AZ268" s="16">
        <f>_xlfn.XLOOKUP(C268,[2]PI!$B$15:$B$99,[2]PI!$L$15:$L$99,0,2,1)</f>
        <v>0</v>
      </c>
      <c r="BA268" s="16">
        <f>_xlfn.XLOOKUP(D268,[2]PI!$B$15:$B$99,[2]PI!$L$15:$L$99,0,2,1)</f>
        <v>0</v>
      </c>
      <c r="BB268" s="3"/>
      <c r="BC268" s="3"/>
      <c r="BD268" s="14"/>
      <c r="BE268" s="14"/>
      <c r="BF268" s="16"/>
      <c r="BG268" s="16"/>
      <c r="BH268" s="12">
        <f t="shared" si="112"/>
        <v>0</v>
      </c>
      <c r="BI268" s="19">
        <f t="shared" si="113"/>
        <v>0</v>
      </c>
      <c r="BJ268" s="1" t="s">
        <v>51</v>
      </c>
      <c r="BK268">
        <f t="shared" si="114"/>
        <v>0</v>
      </c>
      <c r="BL268">
        <f t="shared" si="115"/>
        <v>0</v>
      </c>
    </row>
    <row r="269" spans="1:64" x14ac:dyDescent="0.25">
      <c r="A269" s="1"/>
      <c r="B269" s="1" t="s">
        <v>815</v>
      </c>
      <c r="C269" s="13" t="s">
        <v>814</v>
      </c>
      <c r="D269" s="15"/>
      <c r="E269" s="17"/>
      <c r="F269" s="3"/>
      <c r="G269" s="14"/>
      <c r="H269" s="16"/>
      <c r="I269" s="11">
        <v>46221</v>
      </c>
      <c r="J269" s="4">
        <v>17</v>
      </c>
      <c r="K269" s="18">
        <f>(F269-(0)+0-(J269*Ventas!AE266*1))</f>
        <v>0</v>
      </c>
      <c r="L269" s="3"/>
      <c r="M269" s="22">
        <f>(G269+0)</f>
        <v>0</v>
      </c>
      <c r="N269" s="14"/>
      <c r="O269" s="25">
        <f t="shared" si="102"/>
        <v>0</v>
      </c>
      <c r="P269" s="16"/>
      <c r="Q269" s="12">
        <f t="shared" si="103"/>
        <v>0</v>
      </c>
      <c r="R269" s="5">
        <v>0</v>
      </c>
      <c r="S269" s="24">
        <v>0</v>
      </c>
      <c r="T269" s="26">
        <v>0</v>
      </c>
      <c r="U269" s="18">
        <f t="shared" si="104"/>
        <v>0</v>
      </c>
      <c r="V269" s="22">
        <f t="shared" si="105"/>
        <v>0</v>
      </c>
      <c r="W269" s="25">
        <f t="shared" si="106"/>
        <v>0</v>
      </c>
      <c r="X269" s="3"/>
      <c r="Y269" s="14"/>
      <c r="Z269" s="14"/>
      <c r="AA269" s="18">
        <v>15</v>
      </c>
      <c r="AB269" s="21">
        <v>6.783E-3</v>
      </c>
      <c r="AC269" s="11">
        <v>46313</v>
      </c>
      <c r="AD269" s="4">
        <v>92</v>
      </c>
      <c r="AE269" s="18">
        <f>(IF(K269&gt;0,K269+R269,R269)-(AD269*Ventas!AE266*1.0489))</f>
        <v>0</v>
      </c>
      <c r="AF269" s="3"/>
      <c r="AG269" s="22">
        <f>(G269+0)</f>
        <v>0</v>
      </c>
      <c r="AH269" s="14"/>
      <c r="AI269" s="25">
        <f t="shared" si="107"/>
        <v>0</v>
      </c>
      <c r="AJ269" s="16"/>
      <c r="AK269" s="12">
        <f t="shared" si="108"/>
        <v>0</v>
      </c>
      <c r="AL269" s="19">
        <f t="shared" si="109"/>
        <v>0</v>
      </c>
      <c r="AM269" s="18">
        <f>(180*(Ventas!AE266*0.9644) - IF(AE269&gt;0,AE269,0))</f>
        <v>0</v>
      </c>
      <c r="AN269" s="18">
        <f>IF(AM269&gt;3,CEILING(AM269,5),0)</f>
        <v>0</v>
      </c>
      <c r="AO269" s="14"/>
      <c r="AP269" s="14">
        <f>IF(AO269&gt;3,CEILING(AO269,5),0)</f>
        <v>0</v>
      </c>
      <c r="AQ269" s="16">
        <f t="shared" si="110"/>
        <v>0</v>
      </c>
      <c r="AR269" s="37">
        <f>_xlfn.XLOOKUP(C269,[1]Hoja2!$C$6:$C$24,[1]Hoja2!$D$6:$D$24,0,2,1)</f>
        <v>0</v>
      </c>
      <c r="AS269" s="18">
        <f t="shared" si="111"/>
        <v>0</v>
      </c>
      <c r="AT269" s="14"/>
      <c r="AU269" s="37">
        <f>_xlfn.XLOOKUP(D269,[1]Hoja2!$E$6:$E$24,[1]Hoja2!$F$6:$F$24,0,2,1)</f>
        <v>0</v>
      </c>
      <c r="AV269" s="27">
        <v>0</v>
      </c>
      <c r="AW269" s="5">
        <v>3016</v>
      </c>
      <c r="AX269" s="14">
        <v>0</v>
      </c>
      <c r="AY269" s="14"/>
      <c r="AZ269" s="16">
        <f>_xlfn.XLOOKUP(C269,[2]PI!$B$15:$B$99,[2]PI!$L$15:$L$99,0,2,1)</f>
        <v>0</v>
      </c>
      <c r="BA269" s="16">
        <f>_xlfn.XLOOKUP(D269,[2]PI!$B$15:$B$99,[2]PI!$L$15:$L$99,0,2,1)</f>
        <v>0</v>
      </c>
      <c r="BB269" s="3"/>
      <c r="BC269" s="3"/>
      <c r="BD269" s="14"/>
      <c r="BE269" s="14"/>
      <c r="BF269" s="16"/>
      <c r="BG269" s="16"/>
      <c r="BH269" s="12">
        <f t="shared" si="112"/>
        <v>0</v>
      </c>
      <c r="BI269" s="19">
        <f t="shared" si="113"/>
        <v>0</v>
      </c>
      <c r="BJ269" s="1" t="s">
        <v>51</v>
      </c>
      <c r="BK269">
        <f t="shared" si="114"/>
        <v>0</v>
      </c>
      <c r="BL269">
        <f t="shared" si="115"/>
        <v>0</v>
      </c>
    </row>
    <row r="270" spans="1:64" x14ac:dyDescent="0.25">
      <c r="A270" s="1" t="s">
        <v>818</v>
      </c>
      <c r="B270" s="1" t="s">
        <v>817</v>
      </c>
      <c r="C270" s="13" t="s">
        <v>816</v>
      </c>
      <c r="D270" s="15"/>
      <c r="E270" s="17"/>
      <c r="F270" s="5">
        <v>28</v>
      </c>
      <c r="G270" s="14"/>
      <c r="H270" s="16"/>
      <c r="I270" s="11">
        <v>46221</v>
      </c>
      <c r="J270" s="4">
        <v>17</v>
      </c>
      <c r="K270" s="18">
        <f>(F270-(0)+0-(J270*Ventas!AE267*1))</f>
        <v>16.100000000000001</v>
      </c>
      <c r="L270" s="20">
        <f>(K270/(Ventas!AE267*1)/80)</f>
        <v>0.28750000000000003</v>
      </c>
      <c r="M270" s="22">
        <f>(G270+0)</f>
        <v>0</v>
      </c>
      <c r="N270" s="14"/>
      <c r="O270" s="25">
        <f t="shared" si="102"/>
        <v>0</v>
      </c>
      <c r="P270" s="16"/>
      <c r="Q270" s="12">
        <f t="shared" si="103"/>
        <v>16.100000000000001</v>
      </c>
      <c r="R270" s="5">
        <v>180</v>
      </c>
      <c r="S270" s="24">
        <v>0</v>
      </c>
      <c r="T270" s="26">
        <v>0</v>
      </c>
      <c r="U270" s="18">
        <f t="shared" si="104"/>
        <v>196.1</v>
      </c>
      <c r="V270" s="22">
        <f t="shared" si="105"/>
        <v>0</v>
      </c>
      <c r="W270" s="25">
        <f t="shared" si="106"/>
        <v>0</v>
      </c>
      <c r="X270" s="18">
        <v>8.4</v>
      </c>
      <c r="Y270" s="14"/>
      <c r="Z270" s="14"/>
      <c r="AA270" s="18">
        <v>10</v>
      </c>
      <c r="AB270" s="21">
        <v>1.3318E-2</v>
      </c>
      <c r="AC270" s="11">
        <v>46313</v>
      </c>
      <c r="AD270" s="4">
        <v>92</v>
      </c>
      <c r="AE270" s="18">
        <f>(IF(K270&gt;0,K270+R270,R270)-(AD270*Ventas!AE267*1.0489))</f>
        <v>128.55083999999999</v>
      </c>
      <c r="AF270" s="20">
        <f>(AE270/(Ventas!AE267*1.0489)/80)</f>
        <v>2.188531522819825</v>
      </c>
      <c r="AG270" s="22">
        <f>(G270+0)</f>
        <v>0</v>
      </c>
      <c r="AH270" s="14"/>
      <c r="AI270" s="25">
        <f t="shared" si="107"/>
        <v>0</v>
      </c>
      <c r="AJ270" s="16"/>
      <c r="AK270" s="12">
        <f t="shared" si="108"/>
        <v>128.55083999999999</v>
      </c>
      <c r="AL270" s="19">
        <f t="shared" si="109"/>
        <v>1.9149650824673468</v>
      </c>
      <c r="AM270" s="18">
        <f>(180*(Ventas!AE267*0.9644) - IF(AE270&gt;0,AE270,0))</f>
        <v>-7.0364399999999847</v>
      </c>
      <c r="AN270" s="18">
        <f>IF(AM270&gt;3,CEILING(AM270,5),0)</f>
        <v>0</v>
      </c>
      <c r="AO270" s="14"/>
      <c r="AP270" s="14">
        <f>IF(AO270&gt;3,CEILING(AO270,5),0)</f>
        <v>0</v>
      </c>
      <c r="AQ270" s="16">
        <f t="shared" si="110"/>
        <v>0</v>
      </c>
      <c r="AR270" s="37">
        <f>_xlfn.XLOOKUP(C270,[1]Hoja2!$C$6:$C$24,[1]Hoja2!$D$6:$D$24,0,2,1)</f>
        <v>0</v>
      </c>
      <c r="AS270" s="18">
        <f t="shared" si="111"/>
        <v>128.55083999999999</v>
      </c>
      <c r="AT270" s="14"/>
      <c r="AU270" s="37">
        <f>_xlfn.XLOOKUP(D270,[1]Hoja2!$E$6:$E$24,[1]Hoja2!$F$6:$F$24,0,2,1)</f>
        <v>0</v>
      </c>
      <c r="AV270" s="27">
        <v>0</v>
      </c>
      <c r="AW270" s="5">
        <v>3016</v>
      </c>
      <c r="AX270" s="14">
        <v>0</v>
      </c>
      <c r="AY270" s="14"/>
      <c r="AZ270" s="16">
        <f>_xlfn.XLOOKUP(C270,[2]PI!$B$15:$B$99,[2]PI!$L$15:$L$99,0,2,1)</f>
        <v>0</v>
      </c>
      <c r="BA270" s="16">
        <f>_xlfn.XLOOKUP(D270,[2]PI!$B$15:$B$99,[2]PI!$L$15:$L$99,0,2,1)</f>
        <v>0</v>
      </c>
      <c r="BB270" s="18">
        <f>(AS270-(90*Ventas!AE267*0.9644))</f>
        <v>67.793639999999996</v>
      </c>
      <c r="BC270" s="20">
        <f>(BB270/(Ventas!AE267*0.9644)/80)</f>
        <v>1.2552890027848549</v>
      </c>
      <c r="BD270" s="14"/>
      <c r="BE270" s="14"/>
      <c r="BF270" s="16"/>
      <c r="BG270" s="16"/>
      <c r="BH270" s="12">
        <f t="shared" si="112"/>
        <v>67.793639999999996</v>
      </c>
      <c r="BI270" s="19">
        <f t="shared" si="113"/>
        <v>1.0983778774367481</v>
      </c>
      <c r="BJ270" s="1" t="s">
        <v>35</v>
      </c>
      <c r="BK270">
        <f t="shared" si="114"/>
        <v>0</v>
      </c>
      <c r="BL270">
        <f t="shared" si="115"/>
        <v>0</v>
      </c>
    </row>
    <row r="271" spans="1:64" x14ac:dyDescent="0.25">
      <c r="A271" s="1" t="s">
        <v>344</v>
      </c>
      <c r="B271" s="1" t="s">
        <v>820</v>
      </c>
      <c r="C271" s="13" t="s">
        <v>819</v>
      </c>
      <c r="D271" s="15" t="s">
        <v>1571</v>
      </c>
      <c r="E271" s="17"/>
      <c r="F271" s="5">
        <v>820</v>
      </c>
      <c r="G271" s="24">
        <v>344</v>
      </c>
      <c r="H271" s="16"/>
      <c r="I271" s="11">
        <v>46221</v>
      </c>
      <c r="J271" s="4">
        <v>17</v>
      </c>
      <c r="K271" s="18">
        <f>(F271-(0)+0-(J271*Ventas!AE268*1))</f>
        <v>657.99</v>
      </c>
      <c r="L271" s="20">
        <f>(K271/(Ventas!AE268*1)/80)</f>
        <v>0.86305089192025197</v>
      </c>
      <c r="M271" s="22">
        <f>(G271-(0)+0-(J271*Ventas!AE525*1))</f>
        <v>307.50294285714284</v>
      </c>
      <c r="N271" s="23">
        <f>(M271/(Ventas!AE525*1)/80)</f>
        <v>1.7904012123873785</v>
      </c>
      <c r="O271" s="25">
        <f t="shared" si="102"/>
        <v>0</v>
      </c>
      <c r="P271" s="16"/>
      <c r="Q271" s="12">
        <f t="shared" si="103"/>
        <v>965.49294285714291</v>
      </c>
      <c r="R271" s="5">
        <v>690</v>
      </c>
      <c r="S271" s="24">
        <v>135</v>
      </c>
      <c r="T271" s="26">
        <v>0</v>
      </c>
      <c r="U271" s="18">
        <f t="shared" si="104"/>
        <v>1347.99</v>
      </c>
      <c r="V271" s="22">
        <f t="shared" si="105"/>
        <v>442.50294285714284</v>
      </c>
      <c r="W271" s="25">
        <f t="shared" si="106"/>
        <v>0</v>
      </c>
      <c r="X271" s="18">
        <v>2.95</v>
      </c>
      <c r="Y271" s="22">
        <v>2.95</v>
      </c>
      <c r="Z271" s="14"/>
      <c r="AA271" s="18">
        <v>20</v>
      </c>
      <c r="AB271" s="21">
        <v>3.8860000000000001E-3</v>
      </c>
      <c r="AC271" s="11">
        <v>46313</v>
      </c>
      <c r="AD271" s="4">
        <v>92</v>
      </c>
      <c r="AE271" s="18">
        <f>(IF(K271&gt;0,K271+R271,R271)-(AD271*Ventas!AE268*1.0489))</f>
        <v>428.35643600000003</v>
      </c>
      <c r="AF271" s="20">
        <f>(AE271/(Ventas!AE268*1.0489)/80)</f>
        <v>0.53565889793904931</v>
      </c>
      <c r="AG271" s="22">
        <f>(IF(M271&gt;0,M271+S271,S271)-(AD271*Ventas!AE525*1.0489))</f>
        <v>235.33104769142858</v>
      </c>
      <c r="AH271" s="23">
        <f>(AG271/(Ventas!AE525*1.0489)/80)</f>
        <v>1.306309934697796</v>
      </c>
      <c r="AI271" s="25">
        <f t="shared" si="107"/>
        <v>0</v>
      </c>
      <c r="AJ271" s="16"/>
      <c r="AK271" s="12">
        <f t="shared" si="108"/>
        <v>663.68748369142861</v>
      </c>
      <c r="AL271" s="19">
        <f t="shared" si="109"/>
        <v>0.6319902775338927</v>
      </c>
      <c r="AM271" s="18">
        <f>(180*(Ventas!AE268*0.9644) - IF(AE271&gt;0,AE271,0))</f>
        <v>1225.975324</v>
      </c>
      <c r="AN271" s="18">
        <f>IF(AM271&gt;3,CEILING(AM271*0.85,10),0)</f>
        <v>1050</v>
      </c>
      <c r="AO271" s="22">
        <f>(180*(Ventas!AE525*0.9644) - IF(AG271&gt;0,AG271,0))</f>
        <v>137.35113722285718</v>
      </c>
      <c r="AP271" s="22">
        <v>150</v>
      </c>
      <c r="AQ271" s="16">
        <f t="shared" si="110"/>
        <v>4.6631999999999998</v>
      </c>
      <c r="AR271" s="37">
        <f>_xlfn.XLOOKUP(C271,[1]Hoja2!$C$6:$C$24,[1]Hoja2!$D$6:$D$24,0,2,1)</f>
        <v>900</v>
      </c>
      <c r="AS271" s="18">
        <f t="shared" si="111"/>
        <v>1478.356436</v>
      </c>
      <c r="AT271" s="22">
        <f>IF(AG271&gt;0,AG271+IF(AP271&gt;0,AP271,0),AP271)</f>
        <v>385.33104769142858</v>
      </c>
      <c r="AU271" s="37">
        <f>_xlfn.XLOOKUP(D271,[1]Hoja2!$E$6:$E$24,[1]Hoja2!$F$6:$F$24,0,2,1)</f>
        <v>150</v>
      </c>
      <c r="AV271" s="27">
        <v>2.95</v>
      </c>
      <c r="AW271" s="5">
        <v>3016</v>
      </c>
      <c r="AX271" s="28">
        <v>2.95</v>
      </c>
      <c r="AY271" s="14"/>
      <c r="AZ271" s="16">
        <f>_xlfn.XLOOKUP(C271,[2]PI!$B$15:$B$99,[2]PI!$L$15:$L$99,0,2,1)</f>
        <v>2.95</v>
      </c>
      <c r="BA271" s="16">
        <f>_xlfn.XLOOKUP(D271,[2]PI!$B$15:$B$99,[2]PI!$L$15:$L$99,0,2,1)</f>
        <v>2.95</v>
      </c>
      <c r="BB271" s="18">
        <f>(AS271-(90*Ventas!AE268*0.9644))</f>
        <v>651.19055600000002</v>
      </c>
      <c r="BC271" s="20">
        <f>(BB271/(Ventas!AE268*0.9644)/80)</f>
        <v>0.88566198535655261</v>
      </c>
      <c r="BD271" s="22">
        <f>(AT271-(90*Ventas!AE525*0.9644))</f>
        <v>198.98995523428573</v>
      </c>
      <c r="BE271" s="23">
        <f>(BD271/(Ventas!AE525*0.9644)/80)</f>
        <v>1.2013651776247825</v>
      </c>
      <c r="BF271" s="16"/>
      <c r="BG271" s="16"/>
      <c r="BH271" s="12">
        <f t="shared" si="112"/>
        <v>850.18051123428575</v>
      </c>
      <c r="BI271" s="19">
        <f t="shared" si="113"/>
        <v>0.92512488439008134</v>
      </c>
      <c r="BJ271" s="1" t="s">
        <v>35</v>
      </c>
      <c r="BK271">
        <f t="shared" si="114"/>
        <v>3540</v>
      </c>
      <c r="BL271">
        <f t="shared" si="115"/>
        <v>3540</v>
      </c>
    </row>
    <row r="272" spans="1:64" x14ac:dyDescent="0.25">
      <c r="A272" s="1" t="s">
        <v>394</v>
      </c>
      <c r="B272" s="1" t="s">
        <v>822</v>
      </c>
      <c r="C272" s="13" t="s">
        <v>821</v>
      </c>
      <c r="D272" s="15" t="s">
        <v>1573</v>
      </c>
      <c r="E272" s="17"/>
      <c r="F272" s="5">
        <v>353</v>
      </c>
      <c r="G272" s="14"/>
      <c r="H272" s="16"/>
      <c r="I272" s="11">
        <v>46221</v>
      </c>
      <c r="J272" s="4">
        <v>17</v>
      </c>
      <c r="K272" s="18">
        <f>(F272-(0)+0-(J272*Ventas!AE269*1))</f>
        <v>315.69544285714284</v>
      </c>
      <c r="L272" s="20">
        <f>(K272/(Ventas!AE269*1)/80)</f>
        <v>1.79831330928929</v>
      </c>
      <c r="M272" s="22">
        <f>(G272-(0)+0-(J272*Ventas!AE526*1))</f>
        <v>0</v>
      </c>
      <c r="N272" s="14"/>
      <c r="O272" s="25">
        <f t="shared" si="102"/>
        <v>0</v>
      </c>
      <c r="P272" s="16"/>
      <c r="Q272" s="12">
        <f t="shared" si="103"/>
        <v>315.69544285714284</v>
      </c>
      <c r="R272" s="5">
        <v>234</v>
      </c>
      <c r="S272" s="24">
        <v>0</v>
      </c>
      <c r="T272" s="26">
        <v>0</v>
      </c>
      <c r="U272" s="18">
        <f t="shared" si="104"/>
        <v>549.69544285714278</v>
      </c>
      <c r="V272" s="22">
        <f t="shared" si="105"/>
        <v>0</v>
      </c>
      <c r="W272" s="25">
        <f t="shared" si="106"/>
        <v>0</v>
      </c>
      <c r="X272" s="18">
        <v>6.7</v>
      </c>
      <c r="Y272" s="14"/>
      <c r="Z272" s="14"/>
      <c r="AA272" s="18">
        <v>8</v>
      </c>
      <c r="AB272" s="21">
        <v>1.1759E-2</v>
      </c>
      <c r="AC272" s="11">
        <v>46313</v>
      </c>
      <c r="AD272" s="4">
        <v>92</v>
      </c>
      <c r="AE272" s="18">
        <f>(IF(K272&gt;0,K272+R272,R272)-(AD272*Ventas!AE269*1.0489))</f>
        <v>337.93985469142848</v>
      </c>
      <c r="AF272" s="20">
        <f>(AE272/(Ventas!AE269*1.0489)/80)</f>
        <v>1.8352801749487273</v>
      </c>
      <c r="AG272" s="22">
        <f>(IF(M272&gt;0,M272+S272,S272)-(AD272*Ventas!AE526*1.0489))</f>
        <v>0</v>
      </c>
      <c r="AH272" s="14"/>
      <c r="AI272" s="25">
        <f t="shared" si="107"/>
        <v>0</v>
      </c>
      <c r="AJ272" s="16"/>
      <c r="AK272" s="12">
        <f t="shared" si="108"/>
        <v>337.93985469142848</v>
      </c>
      <c r="AL272" s="19">
        <f t="shared" si="109"/>
        <v>1.6058701530801365</v>
      </c>
      <c r="AM272" s="18">
        <f>(180*(Ventas!AE269*0.9644) - IF(AE272&gt;0,AE272,0))</f>
        <v>42.987950222857307</v>
      </c>
      <c r="AN272" s="38">
        <v>54</v>
      </c>
      <c r="AO272" s="22">
        <f>(180*(Ventas!AE526*0.9644) - IF(AG272&gt;0,AG272,0))</f>
        <v>0</v>
      </c>
      <c r="AP272" s="22">
        <f>IF(AO272&gt;3,CEILING(AO272,5),0)</f>
        <v>0</v>
      </c>
      <c r="AQ272" s="16">
        <f t="shared" si="110"/>
        <v>0.63498600000000005</v>
      </c>
      <c r="AR272" s="37">
        <f>_xlfn.XLOOKUP(C272,[1]Hoja2!$C$6:$C$24,[1]Hoja2!$D$6:$D$24,0,2,1)</f>
        <v>200</v>
      </c>
      <c r="AS272" s="18">
        <f t="shared" si="111"/>
        <v>391.93985469142848</v>
      </c>
      <c r="AT272" s="22">
        <f>IF(AG272&gt;0,AG272+IF(AP272&gt;0,AP272,0),AP272)</f>
        <v>0</v>
      </c>
      <c r="AU272" s="37">
        <f>_xlfn.XLOOKUP(D272,[1]Hoja2!$E$6:$E$24,[1]Hoja2!$F$6:$F$24,0,2,1)</f>
        <v>0</v>
      </c>
      <c r="AV272" s="27">
        <v>6.7</v>
      </c>
      <c r="AW272" s="5">
        <v>3016</v>
      </c>
      <c r="AX272" s="14">
        <v>0</v>
      </c>
      <c r="AY272" s="14"/>
      <c r="AZ272" s="16">
        <f>_xlfn.XLOOKUP(C272,[2]PI!$B$15:$B$99,[2]PI!$L$15:$L$99,0,2,1)</f>
        <v>6.7</v>
      </c>
      <c r="BA272" s="16">
        <f>_xlfn.XLOOKUP(D272,[2]PI!$B$15:$B$99,[2]PI!$L$15:$L$99,0,2,1)</f>
        <v>0</v>
      </c>
      <c r="BB272" s="18">
        <f>(AS272-(90*Ventas!AE269*0.9644))</f>
        <v>201.47595223428559</v>
      </c>
      <c r="BC272" s="20">
        <f>(BB272/(Ventas!AE269*0.9644)/80)</f>
        <v>1.1900441151287087</v>
      </c>
      <c r="BD272" s="14"/>
      <c r="BE272" s="14"/>
      <c r="BF272" s="16"/>
      <c r="BG272" s="16"/>
      <c r="BH272" s="12">
        <f t="shared" si="112"/>
        <v>201.47595223428559</v>
      </c>
      <c r="BI272" s="19">
        <f t="shared" si="113"/>
        <v>1.0412886007376201</v>
      </c>
      <c r="BJ272" s="1" t="s">
        <v>35</v>
      </c>
      <c r="BK272">
        <f t="shared" si="114"/>
        <v>361.8</v>
      </c>
      <c r="BL272">
        <f t="shared" si="115"/>
        <v>361.8</v>
      </c>
    </row>
    <row r="273" spans="1:64" x14ac:dyDescent="0.25">
      <c r="A273" s="1" t="s">
        <v>347</v>
      </c>
      <c r="B273" s="1" t="s">
        <v>824</v>
      </c>
      <c r="C273" s="13" t="s">
        <v>823</v>
      </c>
      <c r="D273" s="15" t="s">
        <v>1575</v>
      </c>
      <c r="E273" s="17"/>
      <c r="F273" s="5">
        <v>172</v>
      </c>
      <c r="G273" s="24">
        <v>4</v>
      </c>
      <c r="H273" s="16"/>
      <c r="I273" s="11">
        <v>46221</v>
      </c>
      <c r="J273" s="4">
        <v>17</v>
      </c>
      <c r="K273" s="18">
        <f>(F273-(0)+0-(J273*Ventas!AE270*1))</f>
        <v>137.36857142857144</v>
      </c>
      <c r="L273" s="20">
        <f>(K273/(Ventas!AE270*1)/80)</f>
        <v>0.84289971949509135</v>
      </c>
      <c r="M273" s="22">
        <f>(G273-(0)+0-(J273*Ventas!AE527*1))</f>
        <v>-13.202785714285717</v>
      </c>
      <c r="N273" s="23">
        <f>(M273/(Ventas!AE527*1)/85)</f>
        <v>-0.15349590390260714</v>
      </c>
      <c r="O273" s="25">
        <f t="shared" si="102"/>
        <v>0</v>
      </c>
      <c r="P273" s="16"/>
      <c r="Q273" s="12">
        <f t="shared" si="103"/>
        <v>124.16578571428573</v>
      </c>
      <c r="R273" s="5">
        <v>100</v>
      </c>
      <c r="S273" s="24">
        <v>90</v>
      </c>
      <c r="T273" s="26">
        <v>0</v>
      </c>
      <c r="U273" s="18">
        <f t="shared" si="104"/>
        <v>237.36857142857144</v>
      </c>
      <c r="V273" s="22">
        <f t="shared" si="105"/>
        <v>90</v>
      </c>
      <c r="W273" s="25">
        <f t="shared" si="106"/>
        <v>0</v>
      </c>
      <c r="X273" s="18">
        <v>4.5</v>
      </c>
      <c r="Y273" s="22">
        <v>4.5</v>
      </c>
      <c r="Z273" s="14"/>
      <c r="AA273" s="18">
        <v>12</v>
      </c>
      <c r="AB273" s="21">
        <v>7.136E-3</v>
      </c>
      <c r="AC273" s="11">
        <v>46313</v>
      </c>
      <c r="AD273" s="4">
        <v>92</v>
      </c>
      <c r="AE273" s="18">
        <f>(IF(K273&gt;0,K273+R273,R273)-(AD273*Ventas!AE270*1.0489))</f>
        <v>40.786730285714327</v>
      </c>
      <c r="AF273" s="20">
        <f>(AE273/(Ventas!AE270*1.0489)/80)</f>
        <v>0.23860158983090174</v>
      </c>
      <c r="AG273" s="22">
        <f>(IF(M273&gt;0,M273+S273,S273)-(AD273*Ventas!AE527*1.0489))</f>
        <v>-7.6498928285714385</v>
      </c>
      <c r="AH273" s="23">
        <f>(AG273/(Ventas!AE527*1.0489)/85)</f>
        <v>-8.4791531898808919E-2</v>
      </c>
      <c r="AI273" s="25">
        <f t="shared" si="107"/>
        <v>0</v>
      </c>
      <c r="AJ273" s="16"/>
      <c r="AK273" s="12">
        <f t="shared" si="108"/>
        <v>33.136837457142889</v>
      </c>
      <c r="AL273" s="19">
        <f t="shared" si="109"/>
        <v>0.19817744961468792</v>
      </c>
      <c r="AM273" s="18">
        <f>(180*(Ventas!AE270*0.9644) - IF(AE273&gt;0,AE273,0))</f>
        <v>312.84497257142851</v>
      </c>
      <c r="AN273" s="18">
        <f>IF(AM273&gt;3,CEILING(AM273*0.85,5),0)</f>
        <v>270</v>
      </c>
      <c r="AO273" s="22">
        <f>(180*(Ventas!AE527*0.9644) - IF(AG273&gt;0,AG273,0))</f>
        <v>175.66270457142861</v>
      </c>
      <c r="AP273" s="22">
        <v>160</v>
      </c>
      <c r="AQ273" s="16">
        <f t="shared" si="110"/>
        <v>3.0684800000000001</v>
      </c>
      <c r="AR273" s="37">
        <f>_xlfn.XLOOKUP(C273,[1]Hoja2!$C$6:$C$24,[1]Hoja2!$D$6:$D$24,0,2,1)</f>
        <v>220</v>
      </c>
      <c r="AS273" s="18">
        <f t="shared" si="111"/>
        <v>310.78673028571433</v>
      </c>
      <c r="AT273" s="22">
        <f>IF(AG273&gt;0,AG273+IF(AP273&gt;0,AP273,0),AP273)</f>
        <v>160</v>
      </c>
      <c r="AU273" s="37">
        <f>_xlfn.XLOOKUP(D273,[1]Hoja2!$E$6:$E$24,[1]Hoja2!$F$6:$F$24,0,2,1)</f>
        <v>80</v>
      </c>
      <c r="AV273" s="27">
        <v>4.5</v>
      </c>
      <c r="AW273" s="5">
        <v>3016</v>
      </c>
      <c r="AX273" s="28">
        <v>4.5</v>
      </c>
      <c r="AY273" s="14"/>
      <c r="AZ273" s="16">
        <f>_xlfn.XLOOKUP(C273,[2]PI!$B$15:$B$99,[2]PI!$L$15:$L$99,0,2,1)</f>
        <v>4.5</v>
      </c>
      <c r="BA273" s="16">
        <f>_xlfn.XLOOKUP(D273,[2]PI!$B$15:$B$99,[2]PI!$L$15:$L$99,0,2,1)</f>
        <v>4.5</v>
      </c>
      <c r="BB273" s="18">
        <f>(AS273-(90*Ventas!AE270*0.9644))</f>
        <v>133.97087885714291</v>
      </c>
      <c r="BC273" s="20">
        <f>(BB273/(Ventas!AE270*0.9644)/80)</f>
        <v>0.85239664598267795</v>
      </c>
      <c r="BD273" s="22">
        <f>(AT273-(90*Ventas!AE527*0.9644))</f>
        <v>72.168647714285697</v>
      </c>
      <c r="BE273" s="23">
        <f>(BD273/(Ventas!AE527*0.9644)/85)</f>
        <v>0.87000666956761541</v>
      </c>
      <c r="BF273" s="16"/>
      <c r="BG273" s="16"/>
      <c r="BH273" s="12">
        <f t="shared" si="112"/>
        <v>206.1395265714286</v>
      </c>
      <c r="BI273" s="19">
        <f t="shared" si="113"/>
        <v>0.85459789893079519</v>
      </c>
      <c r="BJ273" s="1" t="s">
        <v>35</v>
      </c>
      <c r="BK273">
        <f t="shared" si="114"/>
        <v>1935</v>
      </c>
      <c r="BL273">
        <f t="shared" si="115"/>
        <v>1935</v>
      </c>
    </row>
    <row r="274" spans="1:64" x14ac:dyDescent="0.25">
      <c r="A274" s="1" t="s">
        <v>382</v>
      </c>
      <c r="B274" s="1" t="s">
        <v>826</v>
      </c>
      <c r="C274" s="13" t="s">
        <v>825</v>
      </c>
      <c r="D274" s="15"/>
      <c r="E274" s="17"/>
      <c r="F274" s="5">
        <v>15</v>
      </c>
      <c r="G274" s="14"/>
      <c r="H274" s="16"/>
      <c r="I274" s="11">
        <v>46221</v>
      </c>
      <c r="J274" s="4">
        <v>17</v>
      </c>
      <c r="K274" s="18">
        <f>(F274-(0)+0-(J274*Ventas!AE271*1))</f>
        <v>2.2546142857142861</v>
      </c>
      <c r="L274" s="20">
        <f>(K274/(Ventas!AE271*1)/80)</f>
        <v>3.7590508946094787E-2</v>
      </c>
      <c r="M274" s="22">
        <f>(G274+0)</f>
        <v>0</v>
      </c>
      <c r="N274" s="14"/>
      <c r="O274" s="25">
        <f t="shared" si="102"/>
        <v>0</v>
      </c>
      <c r="P274" s="16"/>
      <c r="Q274" s="12">
        <f t="shared" si="103"/>
        <v>2.2546142857142861</v>
      </c>
      <c r="R274" s="5">
        <v>102</v>
      </c>
      <c r="S274" s="24">
        <v>0</v>
      </c>
      <c r="T274" s="26">
        <v>0</v>
      </c>
      <c r="U274" s="18">
        <f t="shared" si="104"/>
        <v>104.25461428571428</v>
      </c>
      <c r="V274" s="22">
        <f t="shared" si="105"/>
        <v>0</v>
      </c>
      <c r="W274" s="25">
        <f t="shared" si="106"/>
        <v>0</v>
      </c>
      <c r="X274" s="18">
        <v>6.5</v>
      </c>
      <c r="Y274" s="14"/>
      <c r="Z274" s="14"/>
      <c r="AA274" s="18">
        <v>10</v>
      </c>
      <c r="AB274" s="21">
        <v>1.3318E-2</v>
      </c>
      <c r="AC274" s="11">
        <v>46313</v>
      </c>
      <c r="AD274" s="4">
        <v>92</v>
      </c>
      <c r="AE274" s="18">
        <f>(IF(K274&gt;0,K274+R274,R274)-(AD274*Ventas!AE271*1.0489))</f>
        <v>31.906706817142862</v>
      </c>
      <c r="AF274" s="20">
        <f>(AE274/(Ventas!AE271*1.0489)/80)</f>
        <v>0.5071703401463814</v>
      </c>
      <c r="AG274" s="22">
        <f>(G274+0)</f>
        <v>0</v>
      </c>
      <c r="AH274" s="14"/>
      <c r="AI274" s="25">
        <f t="shared" si="107"/>
        <v>0</v>
      </c>
      <c r="AJ274" s="16"/>
      <c r="AK274" s="12">
        <f t="shared" si="108"/>
        <v>31.906706817142862</v>
      </c>
      <c r="AL274" s="19">
        <f t="shared" si="109"/>
        <v>0.4437740476280837</v>
      </c>
      <c r="AM274" s="18">
        <f>(180*(Ventas!AE271*0.9644) - IF(AE274&gt;0,AE274,0))</f>
        <v>98.240175354285725</v>
      </c>
      <c r="AN274" s="18">
        <v>90</v>
      </c>
      <c r="AO274" s="14"/>
      <c r="AP274" s="14">
        <f>IF(AO274&gt;3,CEILING(AO274,5),0)</f>
        <v>0</v>
      </c>
      <c r="AQ274" s="16">
        <f t="shared" si="110"/>
        <v>1.19862</v>
      </c>
      <c r="AR274" s="37">
        <f>_xlfn.XLOOKUP(C274,[1]Hoja2!$C$6:$C$24,[1]Hoja2!$D$6:$D$24,0,2,1)</f>
        <v>65</v>
      </c>
      <c r="AS274" s="18">
        <f t="shared" si="111"/>
        <v>121.90670681714286</v>
      </c>
      <c r="AT274" s="14"/>
      <c r="AU274" s="37">
        <f>_xlfn.XLOOKUP(D274,[1]Hoja2!$E$6:$E$24,[1]Hoja2!$F$6:$F$24,0,2,1)</f>
        <v>0</v>
      </c>
      <c r="AV274" s="27">
        <v>6.5</v>
      </c>
      <c r="AW274" s="5">
        <v>3016</v>
      </c>
      <c r="AX274" s="14">
        <v>0</v>
      </c>
      <c r="AY274" s="14"/>
      <c r="AZ274" s="16">
        <f>_xlfn.XLOOKUP(C274,[2]PI!$B$15:$B$99,[2]PI!$L$15:$L$99,0,2,1)</f>
        <v>6.5</v>
      </c>
      <c r="BA274" s="16">
        <f>_xlfn.XLOOKUP(D274,[2]PI!$B$15:$B$99,[2]PI!$L$15:$L$99,0,2,1)</f>
        <v>0</v>
      </c>
      <c r="BB274" s="18">
        <f>(AS274-(90*Ventas!AE271*0.9644))</f>
        <v>56.833265731428568</v>
      </c>
      <c r="BC274" s="20">
        <f>(BB274/(Ventas!AE271*0.9644)/80)</f>
        <v>0.98254253780185385</v>
      </c>
      <c r="BD274" s="14"/>
      <c r="BE274" s="14"/>
      <c r="BF274" s="16"/>
      <c r="BG274" s="16"/>
      <c r="BH274" s="12">
        <f t="shared" si="112"/>
        <v>56.833265731428568</v>
      </c>
      <c r="BI274" s="19">
        <f t="shared" si="113"/>
        <v>0.85972472057662208</v>
      </c>
      <c r="BJ274" s="1" t="s">
        <v>35</v>
      </c>
      <c r="BK274">
        <f t="shared" si="114"/>
        <v>585</v>
      </c>
      <c r="BL274">
        <f t="shared" si="115"/>
        <v>585</v>
      </c>
    </row>
    <row r="275" spans="1:64" x14ac:dyDescent="0.25">
      <c r="A275" s="1" t="s">
        <v>829</v>
      </c>
      <c r="B275" s="1" t="s">
        <v>828</v>
      </c>
      <c r="C275" s="13" t="s">
        <v>827</v>
      </c>
      <c r="D275" s="15"/>
      <c r="E275" s="17"/>
      <c r="F275" s="5">
        <v>14</v>
      </c>
      <c r="G275" s="14"/>
      <c r="H275" s="16"/>
      <c r="I275" s="11">
        <v>46221</v>
      </c>
      <c r="J275" s="4">
        <v>17</v>
      </c>
      <c r="K275" s="18">
        <f>(F275-(0)+0-(J275*Ventas!AE272*1))</f>
        <v>12.040223809523809</v>
      </c>
      <c r="L275" s="20">
        <f>(K275/(Ventas!AE272*1)/80)</f>
        <v>1.3055304845305467</v>
      </c>
      <c r="M275" s="22">
        <f>(G275+0)</f>
        <v>0</v>
      </c>
      <c r="N275" s="14"/>
      <c r="O275" s="25">
        <f t="shared" si="102"/>
        <v>0</v>
      </c>
      <c r="P275" s="16"/>
      <c r="Q275" s="12">
        <f t="shared" si="103"/>
        <v>12.040223809523809</v>
      </c>
      <c r="R275" s="5">
        <v>40</v>
      </c>
      <c r="S275" s="24">
        <v>0</v>
      </c>
      <c r="T275" s="26">
        <v>0</v>
      </c>
      <c r="U275" s="18">
        <f t="shared" si="104"/>
        <v>52.040223809523809</v>
      </c>
      <c r="V275" s="22">
        <f t="shared" si="105"/>
        <v>0</v>
      </c>
      <c r="W275" s="25">
        <f t="shared" si="106"/>
        <v>0</v>
      </c>
      <c r="X275" s="18">
        <v>2.6</v>
      </c>
      <c r="Y275" s="14"/>
      <c r="Z275" s="14"/>
      <c r="AA275" s="18">
        <v>20</v>
      </c>
      <c r="AB275" s="21">
        <v>2.9139999999999999E-3</v>
      </c>
      <c r="AC275" s="11">
        <v>46313</v>
      </c>
      <c r="AD275" s="4">
        <v>92</v>
      </c>
      <c r="AE275" s="18">
        <f>(IF(K275&gt;0,K275+R275,R275)-(AD275*Ventas!AE272*1.0489))</f>
        <v>40.91575024190476</v>
      </c>
      <c r="AF275" s="20">
        <f>(AE275/(Ventas!AE272*1.0489)/80)</f>
        <v>4.2296934315302774</v>
      </c>
      <c r="AG275" s="22">
        <f>(G275+0)</f>
        <v>0</v>
      </c>
      <c r="AH275" s="14"/>
      <c r="AI275" s="25">
        <f t="shared" si="107"/>
        <v>0</v>
      </c>
      <c r="AJ275" s="16"/>
      <c r="AK275" s="12">
        <f t="shared" si="108"/>
        <v>40.91575024190476</v>
      </c>
      <c r="AL275" s="19">
        <f t="shared" si="109"/>
        <v>3.7009817525889925</v>
      </c>
      <c r="AM275" s="18">
        <f>(180*(Ventas!AE272*0.9644) - IF(AE275&gt;0,AE275,0))</f>
        <v>-20.903899156190477</v>
      </c>
      <c r="AN275" s="18">
        <f>IF(AM275&gt;3,CEILING(AM275,5),0)</f>
        <v>0</v>
      </c>
      <c r="AO275" s="14"/>
      <c r="AP275" s="14">
        <f>IF(AO275&gt;3,CEILING(AO275,5),0)</f>
        <v>0</v>
      </c>
      <c r="AQ275" s="16">
        <f t="shared" si="110"/>
        <v>0</v>
      </c>
      <c r="AR275" s="37">
        <f>_xlfn.XLOOKUP(C275,[1]Hoja2!$C$6:$C$24,[1]Hoja2!$D$6:$D$24,0,2,1)</f>
        <v>0</v>
      </c>
      <c r="AS275" s="18">
        <f t="shared" si="111"/>
        <v>40.91575024190476</v>
      </c>
      <c r="AT275" s="14"/>
      <c r="AU275" s="37">
        <f>_xlfn.XLOOKUP(D275,[1]Hoja2!$E$6:$E$24,[1]Hoja2!$F$6:$F$24,0,2,1)</f>
        <v>0</v>
      </c>
      <c r="AV275" s="27">
        <v>0</v>
      </c>
      <c r="AW275" s="5">
        <v>3016</v>
      </c>
      <c r="AX275" s="14">
        <v>0</v>
      </c>
      <c r="AY275" s="14"/>
      <c r="AZ275" s="16">
        <f>_xlfn.XLOOKUP(C275,[2]PI!$B$15:$B$99,[2]PI!$L$15:$L$99,0,2,1)</f>
        <v>0</v>
      </c>
      <c r="BA275" s="16">
        <f>_xlfn.XLOOKUP(D275,[2]PI!$B$15:$B$99,[2]PI!$L$15:$L$99,0,2,1)</f>
        <v>0</v>
      </c>
      <c r="BB275" s="18">
        <f>(AS275-(90*Ventas!AE272*0.9644))</f>
        <v>30.909824699047618</v>
      </c>
      <c r="BC275" s="20">
        <f>(BB275/(Ventas!AE272*0.9644)/80)</f>
        <v>3.4752959771174909</v>
      </c>
      <c r="BD275" s="14"/>
      <c r="BE275" s="14"/>
      <c r="BF275" s="16"/>
      <c r="BG275" s="16"/>
      <c r="BH275" s="12">
        <f t="shared" si="112"/>
        <v>30.909824699047618</v>
      </c>
      <c r="BI275" s="19">
        <f t="shared" si="113"/>
        <v>3.0408839799778047</v>
      </c>
      <c r="BJ275" s="1" t="s">
        <v>35</v>
      </c>
      <c r="BK275">
        <f t="shared" si="114"/>
        <v>0</v>
      </c>
      <c r="BL275">
        <f t="shared" si="115"/>
        <v>0</v>
      </c>
    </row>
    <row r="276" spans="1:64" x14ac:dyDescent="0.25">
      <c r="A276" s="1" t="s">
        <v>832</v>
      </c>
      <c r="B276" s="1" t="s">
        <v>831</v>
      </c>
      <c r="C276" s="13" t="s">
        <v>830</v>
      </c>
      <c r="D276" s="15"/>
      <c r="E276" s="17"/>
      <c r="F276" s="3"/>
      <c r="G276" s="14"/>
      <c r="H276" s="16"/>
      <c r="I276" s="11">
        <v>46221</v>
      </c>
      <c r="J276" s="4">
        <v>17</v>
      </c>
      <c r="K276" s="18">
        <f>(F276-(0)+0-(J276*Ventas!AE273*1))</f>
        <v>0</v>
      </c>
      <c r="L276" s="3"/>
      <c r="M276" s="22">
        <f>(G276+0)</f>
        <v>0</v>
      </c>
      <c r="N276" s="14"/>
      <c r="O276" s="25">
        <f t="shared" si="102"/>
        <v>0</v>
      </c>
      <c r="P276" s="16"/>
      <c r="Q276" s="12">
        <f t="shared" si="103"/>
        <v>0</v>
      </c>
      <c r="R276" s="5">
        <v>0</v>
      </c>
      <c r="S276" s="24">
        <v>0</v>
      </c>
      <c r="T276" s="26">
        <v>0</v>
      </c>
      <c r="U276" s="18">
        <f t="shared" si="104"/>
        <v>0</v>
      </c>
      <c r="V276" s="22">
        <f t="shared" si="105"/>
        <v>0</v>
      </c>
      <c r="W276" s="25">
        <f t="shared" si="106"/>
        <v>0</v>
      </c>
      <c r="X276" s="3"/>
      <c r="Y276" s="14"/>
      <c r="Z276" s="14"/>
      <c r="AA276" s="18">
        <v>10</v>
      </c>
      <c r="AB276" s="21">
        <v>8.8149999999999999E-3</v>
      </c>
      <c r="AC276" s="11">
        <v>46313</v>
      </c>
      <c r="AD276" s="4">
        <v>92</v>
      </c>
      <c r="AE276" s="18">
        <f>(IF(K276&gt;0,K276+R276,R276)-(AD276*Ventas!AE273*1.0489))</f>
        <v>0</v>
      </c>
      <c r="AF276" s="3"/>
      <c r="AG276" s="22">
        <f>(G276+0)</f>
        <v>0</v>
      </c>
      <c r="AH276" s="14"/>
      <c r="AI276" s="25">
        <f t="shared" si="107"/>
        <v>0</v>
      </c>
      <c r="AJ276" s="16"/>
      <c r="AK276" s="12">
        <f t="shared" si="108"/>
        <v>0</v>
      </c>
      <c r="AL276" s="19">
        <f t="shared" si="109"/>
        <v>0</v>
      </c>
      <c r="AM276" s="18">
        <f>(180*(Ventas!AE273*0.9644) - IF(AE276&gt;0,AE276,0))</f>
        <v>0</v>
      </c>
      <c r="AN276" s="18">
        <f>IF(AM276&gt;3,CEILING(AM276,5),0)</f>
        <v>0</v>
      </c>
      <c r="AO276" s="14"/>
      <c r="AP276" s="14">
        <f>IF(AO276&gt;3,CEILING(AO276,5),0)</f>
        <v>0</v>
      </c>
      <c r="AQ276" s="16">
        <f t="shared" si="110"/>
        <v>0</v>
      </c>
      <c r="AR276" s="37">
        <f>_xlfn.XLOOKUP(C276,[1]Hoja2!$C$6:$C$24,[1]Hoja2!$D$6:$D$24,0,2,1)</f>
        <v>0</v>
      </c>
      <c r="AS276" s="18">
        <f t="shared" si="111"/>
        <v>0</v>
      </c>
      <c r="AT276" s="14"/>
      <c r="AU276" s="37">
        <f>_xlfn.XLOOKUP(D276,[1]Hoja2!$E$6:$E$24,[1]Hoja2!$F$6:$F$24,0,2,1)</f>
        <v>0</v>
      </c>
      <c r="AV276" s="3">
        <v>0</v>
      </c>
      <c r="AW276" s="3"/>
      <c r="AX276" s="14">
        <v>0</v>
      </c>
      <c r="AY276" s="14"/>
      <c r="AZ276" s="16">
        <f>_xlfn.XLOOKUP(C276,[2]PI!$B$15:$B$99,[2]PI!$L$15:$L$99,0,2,1)</f>
        <v>0</v>
      </c>
      <c r="BA276" s="16">
        <f>_xlfn.XLOOKUP(D276,[2]PI!$B$15:$B$99,[2]PI!$L$15:$L$99,0,2,1)</f>
        <v>0</v>
      </c>
      <c r="BB276" s="3"/>
      <c r="BC276" s="3"/>
      <c r="BD276" s="14"/>
      <c r="BE276" s="14"/>
      <c r="BF276" s="16"/>
      <c r="BG276" s="16"/>
      <c r="BH276" s="12">
        <f t="shared" si="112"/>
        <v>0</v>
      </c>
      <c r="BI276" s="19">
        <f t="shared" si="113"/>
        <v>0</v>
      </c>
      <c r="BJ276" s="1" t="s">
        <v>35</v>
      </c>
      <c r="BK276">
        <f t="shared" si="114"/>
        <v>0</v>
      </c>
      <c r="BL276">
        <f t="shared" si="115"/>
        <v>0</v>
      </c>
    </row>
    <row r="277" spans="1:64" x14ac:dyDescent="0.25">
      <c r="A277" s="1" t="s">
        <v>835</v>
      </c>
      <c r="B277" s="1" t="s">
        <v>834</v>
      </c>
      <c r="C277" s="13" t="s">
        <v>833</v>
      </c>
      <c r="D277" s="15"/>
      <c r="E277" s="17"/>
      <c r="F277" s="5">
        <v>2</v>
      </c>
      <c r="G277" s="14"/>
      <c r="H277" s="16"/>
      <c r="I277" s="11">
        <v>46221</v>
      </c>
      <c r="J277" s="4">
        <v>17</v>
      </c>
      <c r="K277" s="18">
        <f>(F277-(0)+0-(J277*Ventas!AE274*1))</f>
        <v>2</v>
      </c>
      <c r="L277" s="3"/>
      <c r="M277" s="22">
        <f>(G277+0)</f>
        <v>0</v>
      </c>
      <c r="N277" s="14"/>
      <c r="O277" s="25">
        <f t="shared" si="102"/>
        <v>0</v>
      </c>
      <c r="P277" s="16"/>
      <c r="Q277" s="12">
        <f t="shared" si="103"/>
        <v>2</v>
      </c>
      <c r="R277" s="5">
        <v>0</v>
      </c>
      <c r="S277" s="24">
        <v>0</v>
      </c>
      <c r="T277" s="26">
        <v>0</v>
      </c>
      <c r="U277" s="18">
        <f t="shared" si="104"/>
        <v>2</v>
      </c>
      <c r="V277" s="22">
        <f t="shared" si="105"/>
        <v>0</v>
      </c>
      <c r="W277" s="25">
        <f t="shared" si="106"/>
        <v>0</v>
      </c>
      <c r="X277" s="3"/>
      <c r="Y277" s="14"/>
      <c r="Z277" s="14"/>
      <c r="AA277" s="18">
        <v>20</v>
      </c>
      <c r="AB277" s="21">
        <v>3.6359999999999999E-3</v>
      </c>
      <c r="AC277" s="11">
        <v>46313</v>
      </c>
      <c r="AD277" s="4">
        <v>92</v>
      </c>
      <c r="AE277" s="18">
        <f>(IF(K277&gt;0,K277+R277,R277)-(AD277*Ventas!AE274*1.0489))</f>
        <v>2</v>
      </c>
      <c r="AF277" s="3"/>
      <c r="AG277" s="22">
        <f>(G277+0)</f>
        <v>0</v>
      </c>
      <c r="AH277" s="14"/>
      <c r="AI277" s="25">
        <f t="shared" si="107"/>
        <v>0</v>
      </c>
      <c r="AJ277" s="16"/>
      <c r="AK277" s="12">
        <f t="shared" si="108"/>
        <v>2</v>
      </c>
      <c r="AL277" s="19">
        <f t="shared" si="109"/>
        <v>0</v>
      </c>
      <c r="AM277" s="18">
        <f>(180*(Ventas!AE274*0.9644) - IF(AE277&gt;0,AE277,0))</f>
        <v>-2</v>
      </c>
      <c r="AN277" s="18">
        <f>IF(AM277&gt;3,CEILING(AM277,5),0)</f>
        <v>0</v>
      </c>
      <c r="AO277" s="14"/>
      <c r="AP277" s="14">
        <f>IF(AO277&gt;3,CEILING(AO277,5),0)</f>
        <v>0</v>
      </c>
      <c r="AQ277" s="16">
        <f t="shared" si="110"/>
        <v>0</v>
      </c>
      <c r="AR277" s="37">
        <f>_xlfn.XLOOKUP(C277,[1]Hoja2!$C$6:$C$24,[1]Hoja2!$D$6:$D$24,0,2,1)</f>
        <v>0</v>
      </c>
      <c r="AS277" s="18">
        <f t="shared" si="111"/>
        <v>2</v>
      </c>
      <c r="AT277" s="14"/>
      <c r="AU277" s="37">
        <f>_xlfn.XLOOKUP(D277,[1]Hoja2!$E$6:$E$24,[1]Hoja2!$F$6:$F$24,0,2,1)</f>
        <v>0</v>
      </c>
      <c r="AV277" s="27">
        <v>0</v>
      </c>
      <c r="AW277" s="5">
        <v>3016</v>
      </c>
      <c r="AX277" s="14">
        <v>0</v>
      </c>
      <c r="AY277" s="14"/>
      <c r="AZ277" s="16">
        <f>_xlfn.XLOOKUP(C277,[2]PI!$B$15:$B$99,[2]PI!$L$15:$L$99,0,2,1)</f>
        <v>0</v>
      </c>
      <c r="BA277" s="16">
        <f>_xlfn.XLOOKUP(D277,[2]PI!$B$15:$B$99,[2]PI!$L$15:$L$99,0,2,1)</f>
        <v>0</v>
      </c>
      <c r="BB277" s="3"/>
      <c r="BC277" s="3"/>
      <c r="BD277" s="14"/>
      <c r="BE277" s="14"/>
      <c r="BF277" s="16"/>
      <c r="BG277" s="16"/>
      <c r="BH277" s="12">
        <f t="shared" si="112"/>
        <v>0</v>
      </c>
      <c r="BI277" s="19">
        <f t="shared" si="113"/>
        <v>0</v>
      </c>
      <c r="BJ277" s="1" t="s">
        <v>35</v>
      </c>
      <c r="BK277">
        <f t="shared" si="114"/>
        <v>0</v>
      </c>
      <c r="BL277">
        <f t="shared" si="115"/>
        <v>0</v>
      </c>
    </row>
    <row r="278" spans="1:64" x14ac:dyDescent="0.25">
      <c r="A278" s="1" t="s">
        <v>838</v>
      </c>
      <c r="B278" s="1" t="s">
        <v>837</v>
      </c>
      <c r="C278" s="13" t="s">
        <v>836</v>
      </c>
      <c r="D278" s="15"/>
      <c r="E278" s="17"/>
      <c r="F278" s="5">
        <v>26</v>
      </c>
      <c r="G278" s="14"/>
      <c r="H278" s="16"/>
      <c r="I278" s="11">
        <v>46221</v>
      </c>
      <c r="J278" s="4">
        <v>17</v>
      </c>
      <c r="K278" s="18">
        <f>(F278-(0)+0-(J278*Ventas!AE275*1))</f>
        <v>24.097457142857142</v>
      </c>
      <c r="L278" s="20">
        <f>(K278/(Ventas!AE275*1)/80)</f>
        <v>2.6915081695174878</v>
      </c>
      <c r="M278" s="22">
        <f>(G278+0)</f>
        <v>0</v>
      </c>
      <c r="N278" s="14"/>
      <c r="O278" s="25">
        <f t="shared" si="102"/>
        <v>0</v>
      </c>
      <c r="P278" s="16"/>
      <c r="Q278" s="12">
        <f t="shared" si="103"/>
        <v>24.097457142857142</v>
      </c>
      <c r="R278" s="5">
        <v>15</v>
      </c>
      <c r="S278" s="24">
        <v>0</v>
      </c>
      <c r="T278" s="26">
        <v>0</v>
      </c>
      <c r="U278" s="18">
        <f t="shared" si="104"/>
        <v>39.097457142857138</v>
      </c>
      <c r="V278" s="22">
        <f t="shared" si="105"/>
        <v>0</v>
      </c>
      <c r="W278" s="25">
        <f t="shared" si="106"/>
        <v>0</v>
      </c>
      <c r="X278" s="18">
        <v>3.3</v>
      </c>
      <c r="Y278" s="14"/>
      <c r="Z278" s="14"/>
      <c r="AA278" s="18">
        <v>18</v>
      </c>
      <c r="AB278" s="21">
        <v>5.5659999999999998E-3</v>
      </c>
      <c r="AC278" s="11">
        <v>46313</v>
      </c>
      <c r="AD278" s="4">
        <v>92</v>
      </c>
      <c r="AE278" s="18">
        <f>(IF(K278&gt;0,K278+R278,R278)-(AD278*Ventas!AE275*1.0489))</f>
        <v>28.297862868571425</v>
      </c>
      <c r="AF278" s="20">
        <f>(AE278/(Ventas!AE275*1.0489)/80)</f>
        <v>3.0133115626706735</v>
      </c>
      <c r="AG278" s="22">
        <f>(G278+0)</f>
        <v>0</v>
      </c>
      <c r="AH278" s="14"/>
      <c r="AI278" s="25">
        <f t="shared" si="107"/>
        <v>0</v>
      </c>
      <c r="AJ278" s="16"/>
      <c r="AK278" s="12">
        <f t="shared" si="108"/>
        <v>28.297862868571425</v>
      </c>
      <c r="AL278" s="19">
        <f t="shared" si="109"/>
        <v>2.6366476173368394</v>
      </c>
      <c r="AM278" s="18">
        <f>(180*(Ventas!AE275*0.9644) - IF(AE278&gt;0,AE278,0))</f>
        <v>-8.8704381828571393</v>
      </c>
      <c r="AN278" s="18">
        <f>IF(AM278&gt;3,CEILING(AM278,5),0)</f>
        <v>0</v>
      </c>
      <c r="AO278" s="14"/>
      <c r="AP278" s="14">
        <f>IF(AO278&gt;3,CEILING(AO278,5),0)</f>
        <v>0</v>
      </c>
      <c r="AQ278" s="16">
        <f t="shared" si="110"/>
        <v>0</v>
      </c>
      <c r="AR278" s="37">
        <f>_xlfn.XLOOKUP(C278,[1]Hoja2!$C$6:$C$24,[1]Hoja2!$D$6:$D$24,0,2,1)</f>
        <v>0</v>
      </c>
      <c r="AS278" s="18">
        <f t="shared" si="111"/>
        <v>28.297862868571425</v>
      </c>
      <c r="AT278" s="14"/>
      <c r="AU278" s="37">
        <f>_xlfn.XLOOKUP(D278,[1]Hoja2!$E$6:$E$24,[1]Hoja2!$F$6:$F$24,0,2,1)</f>
        <v>0</v>
      </c>
      <c r="AV278" s="27">
        <v>0</v>
      </c>
      <c r="AW278" s="5">
        <v>3016</v>
      </c>
      <c r="AX278" s="14">
        <v>0</v>
      </c>
      <c r="AY278" s="14"/>
      <c r="AZ278" s="16">
        <f>_xlfn.XLOOKUP(C278,[2]PI!$B$15:$B$99,[2]PI!$L$15:$L$99,0,2,1)</f>
        <v>0</v>
      </c>
      <c r="BA278" s="16">
        <f>_xlfn.XLOOKUP(D278,[2]PI!$B$15:$B$99,[2]PI!$L$15:$L$99,0,2,1)</f>
        <v>0</v>
      </c>
      <c r="BB278" s="18">
        <f>(AS278-(90*Ventas!AE275*0.9644))</f>
        <v>18.584150525714282</v>
      </c>
      <c r="BC278" s="20">
        <f>(BB278/(Ventas!AE275*0.9644)/80)</f>
        <v>2.1523356471228419</v>
      </c>
      <c r="BD278" s="14"/>
      <c r="BE278" s="14"/>
      <c r="BF278" s="16"/>
      <c r="BG278" s="16"/>
      <c r="BH278" s="12">
        <f t="shared" si="112"/>
        <v>18.584150525714282</v>
      </c>
      <c r="BI278" s="19">
        <f t="shared" si="113"/>
        <v>1.8832936912324867</v>
      </c>
      <c r="BJ278" s="1" t="s">
        <v>35</v>
      </c>
      <c r="BK278">
        <f t="shared" si="114"/>
        <v>0</v>
      </c>
      <c r="BL278">
        <f t="shared" si="115"/>
        <v>0</v>
      </c>
    </row>
    <row r="279" spans="1:64" x14ac:dyDescent="0.25">
      <c r="A279" s="1" t="s">
        <v>841</v>
      </c>
      <c r="B279" s="1" t="s">
        <v>840</v>
      </c>
      <c r="C279" s="13" t="s">
        <v>839</v>
      </c>
      <c r="D279" s="15" t="s">
        <v>1577</v>
      </c>
      <c r="E279" s="17"/>
      <c r="F279" s="5">
        <v>1075</v>
      </c>
      <c r="G279" s="24">
        <v>83</v>
      </c>
      <c r="H279" s="16"/>
      <c r="I279" s="11">
        <v>46221</v>
      </c>
      <c r="J279" s="4">
        <v>17</v>
      </c>
      <c r="K279" s="18">
        <f>(F279-(0)+0-(J279*Ventas!AE276*1))</f>
        <v>979.26474285714289</v>
      </c>
      <c r="L279" s="20">
        <f>(K279/(Ventas!AE276*1)/80)</f>
        <v>2.1736376343213162</v>
      </c>
      <c r="M279" s="22">
        <f>(G279-(0)+0-(J279*Ventas!AE528*1))</f>
        <v>53.42</v>
      </c>
      <c r="N279" s="23">
        <f>(M279/(Ventas!AE528*1)/85)</f>
        <v>0.36118999323867479</v>
      </c>
      <c r="O279" s="25">
        <f t="shared" si="102"/>
        <v>0</v>
      </c>
      <c r="P279" s="16"/>
      <c r="Q279" s="12">
        <f t="shared" si="103"/>
        <v>1032.684742857143</v>
      </c>
      <c r="R279" s="5">
        <v>480</v>
      </c>
      <c r="S279" s="24">
        <v>165</v>
      </c>
      <c r="T279" s="26">
        <v>0</v>
      </c>
      <c r="U279" s="18">
        <f t="shared" si="104"/>
        <v>1459.2647428571429</v>
      </c>
      <c r="V279" s="22">
        <f t="shared" si="105"/>
        <v>218.42000000000002</v>
      </c>
      <c r="W279" s="25">
        <f t="shared" si="106"/>
        <v>0</v>
      </c>
      <c r="X279" s="18">
        <v>3.15</v>
      </c>
      <c r="Y279" s="22">
        <v>3.2</v>
      </c>
      <c r="Z279" s="14"/>
      <c r="AA279" s="18">
        <v>20</v>
      </c>
      <c r="AB279" s="21">
        <v>3.8860000000000001E-3</v>
      </c>
      <c r="AC279" s="11">
        <v>46313</v>
      </c>
      <c r="AD279" s="4">
        <v>92</v>
      </c>
      <c r="AE279" s="18">
        <f>(IF(K279&gt;0,K279+R279,R279)-(AD279*Ventas!AE276*1.0489))</f>
        <v>915.83312921142874</v>
      </c>
      <c r="AF279" s="20">
        <f>(AE279/(Ventas!AE276*1.0489)/80)</f>
        <v>1.9380692476234433</v>
      </c>
      <c r="AG279" s="22">
        <f>(IF(M279&gt;0,M279+S279,S279)-(AD279*Ventas!AE528*1.0489))</f>
        <v>50.512088000000006</v>
      </c>
      <c r="AH279" s="23">
        <f>(AG279/(Ventas!AE528*1.0489)/85)</f>
        <v>0.32560649680263259</v>
      </c>
      <c r="AI279" s="25">
        <f t="shared" si="107"/>
        <v>0</v>
      </c>
      <c r="AJ279" s="16"/>
      <c r="AK279" s="12">
        <f t="shared" si="108"/>
        <v>966.34521721142869</v>
      </c>
      <c r="AL279" s="19">
        <f t="shared" si="109"/>
        <v>1.736511403770842</v>
      </c>
      <c r="AM279" s="18">
        <f>(180*(Ventas!AE276*0.9644) - IF(AE279&gt;0,AE279,0))</f>
        <v>61.747738902856895</v>
      </c>
      <c r="AN279" s="18">
        <v>60</v>
      </c>
      <c r="AO279" s="22">
        <f>(180*(Ventas!AE528*0.9644) - IF(AG279&gt;0,AG279,0))</f>
        <v>251.53799199999997</v>
      </c>
      <c r="AP279" s="42">
        <v>240</v>
      </c>
      <c r="AQ279" s="16">
        <f t="shared" si="110"/>
        <v>1.1657999999999999</v>
      </c>
      <c r="AR279" s="37">
        <f>_xlfn.XLOOKUP(C279,[1]Hoja2!$C$6:$C$24,[1]Hoja2!$D$6:$D$24,0,2,1)</f>
        <v>0</v>
      </c>
      <c r="AS279" s="18">
        <f t="shared" si="111"/>
        <v>975.83312921142874</v>
      </c>
      <c r="AT279" s="22">
        <f>IF(AG279&gt;0,AG279+IF(AP279&gt;0,AP279,0),AP279)</f>
        <v>290.51208800000001</v>
      </c>
      <c r="AU279" s="37">
        <f>_xlfn.XLOOKUP(D279,[1]Hoja2!$E$6:$E$24,[1]Hoja2!$F$6:$F$24,0,2,1)</f>
        <v>0</v>
      </c>
      <c r="AV279" s="27">
        <v>3.15</v>
      </c>
      <c r="AW279" s="5">
        <v>3016</v>
      </c>
      <c r="AX279" s="28">
        <v>3.2</v>
      </c>
      <c r="AY279" s="14"/>
      <c r="AZ279" s="16">
        <f>_xlfn.XLOOKUP(C279,[2]PI!$B$15:$B$99,[2]PI!$L$15:$L$99,0,2,1)</f>
        <v>3.15</v>
      </c>
      <c r="BA279" s="16">
        <f>_xlfn.XLOOKUP(D279,[2]PI!$B$15:$B$99,[2]PI!$L$15:$L$99,0,2,1)</f>
        <v>3.2</v>
      </c>
      <c r="BB279" s="18">
        <f>(AS279-(90*Ventas!AE276*0.9644))</f>
        <v>487.04269515428592</v>
      </c>
      <c r="BC279" s="20">
        <f>(BB279/(Ventas!AE276*0.9644)/80)</f>
        <v>1.1209774043665426</v>
      </c>
      <c r="BD279" s="22">
        <f>(AT279-(90*Ventas!AE528*0.9644))</f>
        <v>139.48704800000002</v>
      </c>
      <c r="BE279" s="23">
        <f>(BD279/(Ventas!AE528*0.9644)/85)</f>
        <v>0.9779316626606307</v>
      </c>
      <c r="BF279" s="16"/>
      <c r="BG279" s="16"/>
      <c r="BH279" s="12">
        <f t="shared" si="112"/>
        <v>626.52974315428594</v>
      </c>
      <c r="BI279" s="19">
        <f t="shared" si="113"/>
        <v>1.1030966866533036</v>
      </c>
      <c r="BJ279" s="1" t="s">
        <v>35</v>
      </c>
      <c r="BK279">
        <f t="shared" si="114"/>
        <v>957</v>
      </c>
      <c r="BL279">
        <f t="shared" si="115"/>
        <v>957</v>
      </c>
    </row>
    <row r="280" spans="1:64" x14ac:dyDescent="0.25">
      <c r="A280" s="1" t="s">
        <v>844</v>
      </c>
      <c r="B280" s="1" t="s">
        <v>843</v>
      </c>
      <c r="C280" s="13" t="s">
        <v>842</v>
      </c>
      <c r="D280" s="15"/>
      <c r="E280" s="17"/>
      <c r="F280" s="3"/>
      <c r="G280" s="14"/>
      <c r="H280" s="16"/>
      <c r="I280" s="11">
        <v>46221</v>
      </c>
      <c r="J280" s="4">
        <v>17</v>
      </c>
      <c r="K280" s="18">
        <f>(F280-(0)+0-(J280*Ventas!AE277*1))</f>
        <v>0</v>
      </c>
      <c r="L280" s="3"/>
      <c r="M280" s="22">
        <f t="shared" ref="M280:M343" si="116">(G280+0)</f>
        <v>0</v>
      </c>
      <c r="N280" s="14"/>
      <c r="O280" s="25">
        <f t="shared" si="102"/>
        <v>0</v>
      </c>
      <c r="P280" s="16"/>
      <c r="Q280" s="12">
        <f t="shared" si="103"/>
        <v>0</v>
      </c>
      <c r="R280" s="5">
        <v>0</v>
      </c>
      <c r="S280" s="24">
        <v>0</v>
      </c>
      <c r="T280" s="26">
        <v>0</v>
      </c>
      <c r="U280" s="18">
        <f t="shared" si="104"/>
        <v>0</v>
      </c>
      <c r="V280" s="22">
        <f t="shared" si="105"/>
        <v>0</v>
      </c>
      <c r="W280" s="25">
        <f t="shared" si="106"/>
        <v>0</v>
      </c>
      <c r="X280" s="3"/>
      <c r="Y280" s="14"/>
      <c r="Z280" s="14"/>
      <c r="AA280" s="18">
        <v>50</v>
      </c>
      <c r="AB280" s="21">
        <v>1.3730000000000001E-3</v>
      </c>
      <c r="AC280" s="11">
        <v>46313</v>
      </c>
      <c r="AD280" s="4">
        <v>92</v>
      </c>
      <c r="AE280" s="18">
        <f>(IF(K280&gt;0,K280+R280,R280)-(AD280*Ventas!AE277*1.0489))</f>
        <v>0</v>
      </c>
      <c r="AF280" s="3"/>
      <c r="AG280" s="22">
        <f t="shared" ref="AG280:AG343" si="117">(G280+0)</f>
        <v>0</v>
      </c>
      <c r="AH280" s="14"/>
      <c r="AI280" s="25">
        <f t="shared" si="107"/>
        <v>0</v>
      </c>
      <c r="AJ280" s="16"/>
      <c r="AK280" s="12">
        <f t="shared" si="108"/>
        <v>0</v>
      </c>
      <c r="AL280" s="19">
        <f t="shared" si="109"/>
        <v>0</v>
      </c>
      <c r="AM280" s="18">
        <f>(180*(Ventas!AE277*0.9644) - IF(AE280&gt;0,AE280,0))</f>
        <v>0</v>
      </c>
      <c r="AN280" s="18">
        <f>IF(AM280&gt;3,CEILING(AM280,5),0)</f>
        <v>0</v>
      </c>
      <c r="AO280" s="14"/>
      <c r="AP280" s="14">
        <f t="shared" ref="AP280:AP307" si="118">IF(AO280&gt;3,CEILING(AO280,5),0)</f>
        <v>0</v>
      </c>
      <c r="AQ280" s="16">
        <f t="shared" si="110"/>
        <v>0</v>
      </c>
      <c r="AR280" s="37">
        <f>_xlfn.XLOOKUP(C280,[1]Hoja2!$C$6:$C$24,[1]Hoja2!$D$6:$D$24,0,2,1)</f>
        <v>0</v>
      </c>
      <c r="AS280" s="18">
        <f t="shared" si="111"/>
        <v>0</v>
      </c>
      <c r="AT280" s="14"/>
      <c r="AU280" s="37">
        <f>_xlfn.XLOOKUP(D280,[1]Hoja2!$E$6:$E$24,[1]Hoja2!$F$6:$F$24,0,2,1)</f>
        <v>0</v>
      </c>
      <c r="AV280" s="3">
        <v>0</v>
      </c>
      <c r="AW280" s="3"/>
      <c r="AX280" s="14">
        <v>0</v>
      </c>
      <c r="AY280" s="14"/>
      <c r="AZ280" s="16">
        <f>_xlfn.XLOOKUP(C280,[2]PI!$B$15:$B$99,[2]PI!$L$15:$L$99,0,2,1)</f>
        <v>0</v>
      </c>
      <c r="BA280" s="16">
        <f>_xlfn.XLOOKUP(D280,[2]PI!$B$15:$B$99,[2]PI!$L$15:$L$99,0,2,1)</f>
        <v>0</v>
      </c>
      <c r="BB280" s="3"/>
      <c r="BC280" s="3"/>
      <c r="BD280" s="14"/>
      <c r="BE280" s="14"/>
      <c r="BF280" s="16"/>
      <c r="BG280" s="16"/>
      <c r="BH280" s="12">
        <f t="shared" si="112"/>
        <v>0</v>
      </c>
      <c r="BI280" s="19">
        <f t="shared" si="113"/>
        <v>0</v>
      </c>
      <c r="BJ280" s="1" t="s">
        <v>51</v>
      </c>
      <c r="BK280">
        <f t="shared" si="114"/>
        <v>0</v>
      </c>
      <c r="BL280">
        <f t="shared" si="115"/>
        <v>0</v>
      </c>
    </row>
    <row r="281" spans="1:64" x14ac:dyDescent="0.25">
      <c r="A281" s="1" t="s">
        <v>847</v>
      </c>
      <c r="B281" s="1" t="s">
        <v>846</v>
      </c>
      <c r="C281" s="13" t="s">
        <v>845</v>
      </c>
      <c r="D281" s="15"/>
      <c r="E281" s="17"/>
      <c r="F281" s="5">
        <v>26</v>
      </c>
      <c r="G281" s="14"/>
      <c r="H281" s="16"/>
      <c r="I281" s="11">
        <v>46221</v>
      </c>
      <c r="J281" s="4">
        <v>17</v>
      </c>
      <c r="K281" s="18">
        <f>(F281-(0)+0-(J281*Ventas!AE278*1))</f>
        <v>22.542280952380953</v>
      </c>
      <c r="L281" s="20">
        <f>(K281/(Ventas!AE278*1)/80)</f>
        <v>1.3853741835038513</v>
      </c>
      <c r="M281" s="22">
        <f t="shared" si="116"/>
        <v>0</v>
      </c>
      <c r="N281" s="14"/>
      <c r="O281" s="25">
        <f t="shared" si="102"/>
        <v>0</v>
      </c>
      <c r="P281" s="16"/>
      <c r="Q281" s="12">
        <f t="shared" si="103"/>
        <v>22.542280952380953</v>
      </c>
      <c r="R281" s="5">
        <v>54</v>
      </c>
      <c r="S281" s="24">
        <v>0</v>
      </c>
      <c r="T281" s="26">
        <v>0</v>
      </c>
      <c r="U281" s="18">
        <f t="shared" si="104"/>
        <v>76.542280952380949</v>
      </c>
      <c r="V281" s="22">
        <f t="shared" si="105"/>
        <v>0</v>
      </c>
      <c r="W281" s="25">
        <f t="shared" si="106"/>
        <v>0</v>
      </c>
      <c r="X281" s="18">
        <v>3.3</v>
      </c>
      <c r="Y281" s="14"/>
      <c r="Z281" s="14"/>
      <c r="AA281" s="18">
        <v>10</v>
      </c>
      <c r="AB281" s="21">
        <v>1.3318E-2</v>
      </c>
      <c r="AC281" s="11">
        <v>46313</v>
      </c>
      <c r="AD281" s="4">
        <v>92</v>
      </c>
      <c r="AE281" s="18">
        <f>(IF(K281&gt;0,K281+R281,R281)-(AD281*Ventas!AE278*1.0489))</f>
        <v>56.914884550476188</v>
      </c>
      <c r="AF281" s="20">
        <f>(AE281/(Ventas!AE278*1.0489)/80)</f>
        <v>3.3347325285943556</v>
      </c>
      <c r="AG281" s="22">
        <f t="shared" si="117"/>
        <v>0</v>
      </c>
      <c r="AH281" s="14"/>
      <c r="AI281" s="25">
        <f t="shared" si="107"/>
        <v>0</v>
      </c>
      <c r="AJ281" s="16"/>
      <c r="AK281" s="12">
        <f t="shared" si="108"/>
        <v>56.914884550476188</v>
      </c>
      <c r="AL281" s="19">
        <f t="shared" si="109"/>
        <v>2.9178909625200613</v>
      </c>
      <c r="AM281" s="18">
        <f>(180*(Ventas!AE278*0.9644) - IF(AE281&gt;0,AE281,0))</f>
        <v>-21.607098379047613</v>
      </c>
      <c r="AN281" s="18">
        <f>IF(AM281&gt;3,CEILING(AM281,5),0)</f>
        <v>0</v>
      </c>
      <c r="AO281" s="14"/>
      <c r="AP281" s="14">
        <f t="shared" si="118"/>
        <v>0</v>
      </c>
      <c r="AQ281" s="16">
        <f t="shared" si="110"/>
        <v>0</v>
      </c>
      <c r="AR281" s="37">
        <f>_xlfn.XLOOKUP(C281,[1]Hoja2!$C$6:$C$24,[1]Hoja2!$D$6:$D$24,0,2,1)</f>
        <v>0</v>
      </c>
      <c r="AS281" s="18">
        <f t="shared" si="111"/>
        <v>56.914884550476188</v>
      </c>
      <c r="AT281" s="14"/>
      <c r="AU281" s="37">
        <f>_xlfn.XLOOKUP(D281,[1]Hoja2!$E$6:$E$24,[1]Hoja2!$F$6:$F$24,0,2,1)</f>
        <v>0</v>
      </c>
      <c r="AV281" s="27">
        <v>0</v>
      </c>
      <c r="AW281" s="5">
        <v>3016</v>
      </c>
      <c r="AX281" s="14">
        <v>0</v>
      </c>
      <c r="AY281" s="14"/>
      <c r="AZ281" s="16">
        <f>_xlfn.XLOOKUP(C281,[2]PI!$B$15:$B$99,[2]PI!$L$15:$L$99,0,2,1)</f>
        <v>0</v>
      </c>
      <c r="BA281" s="16">
        <f>_xlfn.XLOOKUP(D281,[2]PI!$B$15:$B$99,[2]PI!$L$15:$L$99,0,2,1)</f>
        <v>0</v>
      </c>
      <c r="BB281" s="18">
        <f>(AS281-(90*Ventas!AE278*0.9644))</f>
        <v>39.260991464761901</v>
      </c>
      <c r="BC281" s="20">
        <f>(BB281/(Ventas!AE278*0.9644)/80)</f>
        <v>2.5019192754485884</v>
      </c>
      <c r="BD281" s="14"/>
      <c r="BE281" s="14"/>
      <c r="BF281" s="16"/>
      <c r="BG281" s="16"/>
      <c r="BH281" s="12">
        <f t="shared" si="112"/>
        <v>39.260991464761901</v>
      </c>
      <c r="BI281" s="19">
        <f t="shared" si="113"/>
        <v>2.1891793660175147</v>
      </c>
      <c r="BJ281" s="1" t="s">
        <v>35</v>
      </c>
      <c r="BK281">
        <f t="shared" si="114"/>
        <v>0</v>
      </c>
      <c r="BL281">
        <f t="shared" si="115"/>
        <v>0</v>
      </c>
    </row>
    <row r="282" spans="1:64" x14ac:dyDescent="0.25">
      <c r="A282" s="1" t="s">
        <v>850</v>
      </c>
      <c r="B282" s="1" t="s">
        <v>849</v>
      </c>
      <c r="C282" s="13" t="s">
        <v>848</v>
      </c>
      <c r="D282" s="15"/>
      <c r="E282" s="17"/>
      <c r="F282" s="5">
        <v>43</v>
      </c>
      <c r="G282" s="14"/>
      <c r="H282" s="16"/>
      <c r="I282" s="11">
        <v>46221</v>
      </c>
      <c r="J282" s="4">
        <v>17</v>
      </c>
      <c r="K282" s="18">
        <f>(F282-(0)+0-(J282*Ventas!AE279*1))</f>
        <v>35.518542857142855</v>
      </c>
      <c r="L282" s="20">
        <f>(K282/(Ventas!AE279*1)/80)</f>
        <v>1.0088529831850936</v>
      </c>
      <c r="M282" s="22">
        <f t="shared" si="116"/>
        <v>0</v>
      </c>
      <c r="N282" s="14"/>
      <c r="O282" s="25">
        <f t="shared" si="102"/>
        <v>0</v>
      </c>
      <c r="P282" s="16"/>
      <c r="Q282" s="12">
        <f t="shared" si="103"/>
        <v>35.518542857142855</v>
      </c>
      <c r="R282" s="5">
        <v>40</v>
      </c>
      <c r="S282" s="24">
        <v>0</v>
      </c>
      <c r="T282" s="26">
        <v>0</v>
      </c>
      <c r="U282" s="18">
        <f t="shared" si="104"/>
        <v>75.518542857142847</v>
      </c>
      <c r="V282" s="22">
        <f t="shared" si="105"/>
        <v>0</v>
      </c>
      <c r="W282" s="25">
        <f t="shared" si="106"/>
        <v>0</v>
      </c>
      <c r="X282" s="18">
        <v>2.2000000000000002</v>
      </c>
      <c r="Y282" s="14"/>
      <c r="Z282" s="14"/>
      <c r="AA282" s="18">
        <v>20</v>
      </c>
      <c r="AB282" s="21">
        <v>2.9139999999999999E-3</v>
      </c>
      <c r="AC282" s="11">
        <v>46313</v>
      </c>
      <c r="AD282" s="4">
        <v>92</v>
      </c>
      <c r="AE282" s="18">
        <f>(IF(K282&gt;0,K282+R282,R282)-(AD282*Ventas!AE279*1.0489))</f>
        <v>33.050799531428552</v>
      </c>
      <c r="AF282" s="20">
        <f>(AE282/(Ventas!AE279*1.0489)/80)</f>
        <v>0.894995035870641</v>
      </c>
      <c r="AG282" s="22">
        <f t="shared" si="117"/>
        <v>0</v>
      </c>
      <c r="AH282" s="14"/>
      <c r="AI282" s="25">
        <f t="shared" si="107"/>
        <v>0</v>
      </c>
      <c r="AJ282" s="16"/>
      <c r="AK282" s="12">
        <f t="shared" si="108"/>
        <v>33.050799531428552</v>
      </c>
      <c r="AL282" s="19">
        <f t="shared" si="109"/>
        <v>0.78312065638681083</v>
      </c>
      <c r="AM282" s="18">
        <f>(180*(Ventas!AE279*0.9644) - IF(AE282&gt;0,AE282,0))</f>
        <v>43.344559782857175</v>
      </c>
      <c r="AN282" s="18">
        <v>40</v>
      </c>
      <c r="AO282" s="14"/>
      <c r="AP282" s="14">
        <f t="shared" si="118"/>
        <v>0</v>
      </c>
      <c r="AQ282" s="16">
        <f t="shared" si="110"/>
        <v>0.11656</v>
      </c>
      <c r="AR282" s="37">
        <f>_xlfn.XLOOKUP(C282,[1]Hoja2!$C$6:$C$24,[1]Hoja2!$D$6:$D$24,0,2,1)</f>
        <v>20</v>
      </c>
      <c r="AS282" s="18">
        <f t="shared" si="111"/>
        <v>73.050799531428552</v>
      </c>
      <c r="AT282" s="14"/>
      <c r="AU282" s="37">
        <f>_xlfn.XLOOKUP(D282,[1]Hoja2!$E$6:$E$24,[1]Hoja2!$F$6:$F$24,0,2,1)</f>
        <v>0</v>
      </c>
      <c r="AV282" s="27">
        <v>2.2999999999999998</v>
      </c>
      <c r="AW282" s="5">
        <v>3016</v>
      </c>
      <c r="AX282" s="14">
        <v>0</v>
      </c>
      <c r="AY282" s="14"/>
      <c r="AZ282" s="16">
        <f>_xlfn.XLOOKUP(C282,[2]PI!$B$15:$B$99,[2]PI!$L$15:$L$99,0,2,1)</f>
        <v>2.2999999999999998</v>
      </c>
      <c r="BA282" s="16">
        <f>_xlfn.XLOOKUP(D282,[2]PI!$B$15:$B$99,[2]PI!$L$15:$L$99,0,2,1)</f>
        <v>0</v>
      </c>
      <c r="BB282" s="18">
        <f>(AS282-(90*Ventas!AE279*0.9644))</f>
        <v>34.853119874285689</v>
      </c>
      <c r="BC282" s="20">
        <f>(BB282/(Ventas!AE279*0.9644)/80)</f>
        <v>1.0264958555208805</v>
      </c>
      <c r="BD282" s="14"/>
      <c r="BE282" s="14"/>
      <c r="BF282" s="16"/>
      <c r="BG282" s="16"/>
      <c r="BH282" s="12">
        <f t="shared" si="112"/>
        <v>34.853119874285689</v>
      </c>
      <c r="BI282" s="19">
        <f t="shared" si="113"/>
        <v>0.89818387358077045</v>
      </c>
      <c r="BJ282" s="1" t="s">
        <v>35</v>
      </c>
      <c r="BK282">
        <f t="shared" si="114"/>
        <v>92</v>
      </c>
      <c r="BL282">
        <f t="shared" si="115"/>
        <v>92</v>
      </c>
    </row>
    <row r="283" spans="1:64" x14ac:dyDescent="0.25">
      <c r="A283" s="1" t="s">
        <v>853</v>
      </c>
      <c r="B283" s="1" t="s">
        <v>852</v>
      </c>
      <c r="C283" s="13" t="s">
        <v>851</v>
      </c>
      <c r="D283" s="15"/>
      <c r="E283" s="17"/>
      <c r="F283" s="5">
        <v>17</v>
      </c>
      <c r="G283" s="14"/>
      <c r="H283" s="16"/>
      <c r="I283" s="11">
        <v>46221</v>
      </c>
      <c r="J283" s="4">
        <v>17</v>
      </c>
      <c r="K283" s="18">
        <f>(F283-(0)+0-(J283*Ventas!AE280*1))</f>
        <v>16.380471428571429</v>
      </c>
      <c r="L283" s="20">
        <f>(K283/(Ventas!AE280*1)/80)</f>
        <v>5.6185466483731865</v>
      </c>
      <c r="M283" s="22">
        <f t="shared" si="116"/>
        <v>0</v>
      </c>
      <c r="N283" s="14"/>
      <c r="O283" s="25">
        <f t="shared" si="102"/>
        <v>0</v>
      </c>
      <c r="P283" s="16"/>
      <c r="Q283" s="12">
        <f t="shared" si="103"/>
        <v>16.380471428571429</v>
      </c>
      <c r="R283" s="5">
        <v>0</v>
      </c>
      <c r="S283" s="24">
        <v>0</v>
      </c>
      <c r="T283" s="26">
        <v>0</v>
      </c>
      <c r="U283" s="18">
        <f t="shared" si="104"/>
        <v>16.380471428571429</v>
      </c>
      <c r="V283" s="22">
        <f t="shared" si="105"/>
        <v>0</v>
      </c>
      <c r="W283" s="25">
        <f t="shared" si="106"/>
        <v>0</v>
      </c>
      <c r="X283" s="3"/>
      <c r="Y283" s="14"/>
      <c r="Z283" s="14"/>
      <c r="AA283" s="18">
        <v>12</v>
      </c>
      <c r="AB283" s="21">
        <v>7.9579999999999998E-3</v>
      </c>
      <c r="AC283" s="11">
        <v>46313</v>
      </c>
      <c r="AD283" s="4">
        <v>92</v>
      </c>
      <c r="AE283" s="18">
        <f>(IF(K283&gt;0,K283+R283,R283)-(AD283*Ventas!AE280*1.0489))</f>
        <v>12.863779445714286</v>
      </c>
      <c r="AF283" s="20">
        <f>(AE283/(Ventas!AE280*1.0489)/80)</f>
        <v>4.2066084930624346</v>
      </c>
      <c r="AG283" s="22">
        <f t="shared" si="117"/>
        <v>0</v>
      </c>
      <c r="AH283" s="14"/>
      <c r="AI283" s="25">
        <f t="shared" si="107"/>
        <v>0</v>
      </c>
      <c r="AJ283" s="16"/>
      <c r="AK283" s="12">
        <f t="shared" si="108"/>
        <v>12.863779445714286</v>
      </c>
      <c r="AL283" s="19">
        <f t="shared" si="109"/>
        <v>3.6807824314296305</v>
      </c>
      <c r="AM283" s="18">
        <f>(180*(Ventas!AE280*0.9644) - IF(AE283&gt;0,AE283,0))</f>
        <v>-6.537590988571429</v>
      </c>
      <c r="AN283" s="18">
        <f t="shared" ref="AN283:AN297" si="119">IF(AM283&gt;3,CEILING(AM283,5),0)</f>
        <v>0</v>
      </c>
      <c r="AO283" s="14"/>
      <c r="AP283" s="14">
        <f t="shared" si="118"/>
        <v>0</v>
      </c>
      <c r="AQ283" s="16">
        <f t="shared" si="110"/>
        <v>0</v>
      </c>
      <c r="AR283" s="37">
        <f>_xlfn.XLOOKUP(C283,[1]Hoja2!$C$6:$C$24,[1]Hoja2!$D$6:$D$24,0,2,1)</f>
        <v>0</v>
      </c>
      <c r="AS283" s="18">
        <f t="shared" si="111"/>
        <v>12.863779445714286</v>
      </c>
      <c r="AT283" s="14"/>
      <c r="AU283" s="37">
        <f>_xlfn.XLOOKUP(D283,[1]Hoja2!$E$6:$E$24,[1]Hoja2!$F$6:$F$24,0,2,1)</f>
        <v>0</v>
      </c>
      <c r="AV283" s="27">
        <v>0</v>
      </c>
      <c r="AW283" s="5">
        <v>3016</v>
      </c>
      <c r="AX283" s="14">
        <v>0</v>
      </c>
      <c r="AY283" s="14"/>
      <c r="AZ283" s="16">
        <f>_xlfn.XLOOKUP(C283,[2]PI!$B$15:$B$99,[2]PI!$L$15:$L$99,0,2,1)</f>
        <v>0</v>
      </c>
      <c r="BA283" s="16">
        <f>_xlfn.XLOOKUP(D283,[2]PI!$B$15:$B$99,[2]PI!$L$15:$L$99,0,2,1)</f>
        <v>0</v>
      </c>
      <c r="BB283" s="18">
        <f>(AS283-(90*Ventas!AE280*0.9644))</f>
        <v>9.7006852171428566</v>
      </c>
      <c r="BC283" s="20">
        <f>(BB283/(Ventas!AE280*0.9644)/80)</f>
        <v>3.4501883537673024</v>
      </c>
      <c r="BD283" s="14"/>
      <c r="BE283" s="14"/>
      <c r="BF283" s="16"/>
      <c r="BG283" s="16"/>
      <c r="BH283" s="12">
        <f t="shared" si="112"/>
        <v>9.7006852171428566</v>
      </c>
      <c r="BI283" s="19">
        <f t="shared" si="113"/>
        <v>3.0189148095463896</v>
      </c>
      <c r="BJ283" s="1" t="s">
        <v>35</v>
      </c>
      <c r="BK283">
        <f t="shared" si="114"/>
        <v>0</v>
      </c>
      <c r="BL283">
        <f t="shared" si="115"/>
        <v>0</v>
      </c>
    </row>
    <row r="284" spans="1:64" x14ac:dyDescent="0.25">
      <c r="A284" s="1" t="s">
        <v>856</v>
      </c>
      <c r="B284" s="1" t="s">
        <v>855</v>
      </c>
      <c r="C284" s="13" t="s">
        <v>854</v>
      </c>
      <c r="D284" s="15"/>
      <c r="E284" s="17"/>
      <c r="F284" s="3"/>
      <c r="G284" s="14"/>
      <c r="H284" s="16"/>
      <c r="I284" s="11">
        <v>46221</v>
      </c>
      <c r="J284" s="4">
        <v>17</v>
      </c>
      <c r="K284" s="18">
        <f>(F284-(0)+0-(J284*Ventas!AE281*1))</f>
        <v>0</v>
      </c>
      <c r="L284" s="3"/>
      <c r="M284" s="22">
        <f t="shared" si="116"/>
        <v>0</v>
      </c>
      <c r="N284" s="14"/>
      <c r="O284" s="25">
        <f t="shared" si="102"/>
        <v>0</v>
      </c>
      <c r="P284" s="16"/>
      <c r="Q284" s="12">
        <f t="shared" si="103"/>
        <v>0</v>
      </c>
      <c r="R284" s="5">
        <v>0</v>
      </c>
      <c r="S284" s="24">
        <v>0</v>
      </c>
      <c r="T284" s="26">
        <v>0</v>
      </c>
      <c r="U284" s="18">
        <f t="shared" si="104"/>
        <v>0</v>
      </c>
      <c r="V284" s="22">
        <f t="shared" si="105"/>
        <v>0</v>
      </c>
      <c r="W284" s="25">
        <f t="shared" si="106"/>
        <v>0</v>
      </c>
      <c r="X284" s="3"/>
      <c r="Y284" s="14"/>
      <c r="Z284" s="14"/>
      <c r="AA284" s="3"/>
      <c r="AB284" s="3"/>
      <c r="AC284" s="11">
        <v>46313</v>
      </c>
      <c r="AD284" s="4">
        <v>92</v>
      </c>
      <c r="AE284" s="18">
        <f>(IF(K284&gt;0,K284+R284,R284)-(AD284*Ventas!AE281*1.0489))</f>
        <v>0</v>
      </c>
      <c r="AF284" s="3"/>
      <c r="AG284" s="22">
        <f t="shared" si="117"/>
        <v>0</v>
      </c>
      <c r="AH284" s="14"/>
      <c r="AI284" s="25">
        <f t="shared" si="107"/>
        <v>0</v>
      </c>
      <c r="AJ284" s="16"/>
      <c r="AK284" s="12">
        <f t="shared" si="108"/>
        <v>0</v>
      </c>
      <c r="AL284" s="19">
        <f t="shared" si="109"/>
        <v>0</v>
      </c>
      <c r="AM284" s="18">
        <f>(180*(Ventas!AE281*0.9644) - IF(AE284&gt;0,AE284,0))</f>
        <v>0</v>
      </c>
      <c r="AN284" s="18">
        <f t="shared" si="119"/>
        <v>0</v>
      </c>
      <c r="AO284" s="14"/>
      <c r="AP284" s="14">
        <f t="shared" si="118"/>
        <v>0</v>
      </c>
      <c r="AQ284" s="16">
        <f t="shared" si="110"/>
        <v>0</v>
      </c>
      <c r="AR284" s="37">
        <f>_xlfn.XLOOKUP(C284,[1]Hoja2!$C$6:$C$24,[1]Hoja2!$D$6:$D$24,0,2,1)</f>
        <v>0</v>
      </c>
      <c r="AS284" s="18">
        <f t="shared" si="111"/>
        <v>0</v>
      </c>
      <c r="AT284" s="14"/>
      <c r="AU284" s="37">
        <f>_xlfn.XLOOKUP(D284,[1]Hoja2!$E$6:$E$24,[1]Hoja2!$F$6:$F$24,0,2,1)</f>
        <v>0</v>
      </c>
      <c r="AV284" s="3">
        <v>0</v>
      </c>
      <c r="AW284" s="3"/>
      <c r="AX284" s="14">
        <v>0</v>
      </c>
      <c r="AY284" s="14"/>
      <c r="AZ284" s="16">
        <f>_xlfn.XLOOKUP(C284,[2]PI!$B$15:$B$99,[2]PI!$L$15:$L$99,0,2,1)</f>
        <v>0</v>
      </c>
      <c r="BA284" s="16">
        <f>_xlfn.XLOOKUP(D284,[2]PI!$B$15:$B$99,[2]PI!$L$15:$L$99,0,2,1)</f>
        <v>0</v>
      </c>
      <c r="BB284" s="3"/>
      <c r="BC284" s="3"/>
      <c r="BD284" s="14"/>
      <c r="BE284" s="14"/>
      <c r="BF284" s="16"/>
      <c r="BG284" s="16"/>
      <c r="BH284" s="12">
        <f t="shared" si="112"/>
        <v>0</v>
      </c>
      <c r="BI284" s="19">
        <f t="shared" si="113"/>
        <v>0</v>
      </c>
      <c r="BJ284" s="1" t="s">
        <v>51</v>
      </c>
      <c r="BK284">
        <f t="shared" si="114"/>
        <v>0</v>
      </c>
      <c r="BL284">
        <f t="shared" si="115"/>
        <v>0</v>
      </c>
    </row>
    <row r="285" spans="1:64" x14ac:dyDescent="0.25">
      <c r="A285" s="1" t="s">
        <v>859</v>
      </c>
      <c r="B285" s="1" t="s">
        <v>858</v>
      </c>
      <c r="C285" s="13" t="s">
        <v>857</v>
      </c>
      <c r="D285" s="15"/>
      <c r="E285" s="17"/>
      <c r="F285" s="3"/>
      <c r="G285" s="14"/>
      <c r="H285" s="16"/>
      <c r="I285" s="11">
        <v>46221</v>
      </c>
      <c r="J285" s="4">
        <v>17</v>
      </c>
      <c r="K285" s="18">
        <f>(F285-(0)+0-(J285*Ventas!AE282*1))</f>
        <v>0</v>
      </c>
      <c r="L285" s="3"/>
      <c r="M285" s="22">
        <f t="shared" si="116"/>
        <v>0</v>
      </c>
      <c r="N285" s="14"/>
      <c r="O285" s="25">
        <f t="shared" si="102"/>
        <v>0</v>
      </c>
      <c r="P285" s="16"/>
      <c r="Q285" s="12">
        <f t="shared" si="103"/>
        <v>0</v>
      </c>
      <c r="R285" s="5">
        <v>0</v>
      </c>
      <c r="S285" s="24">
        <v>0</v>
      </c>
      <c r="T285" s="26">
        <v>0</v>
      </c>
      <c r="U285" s="18">
        <f t="shared" si="104"/>
        <v>0</v>
      </c>
      <c r="V285" s="22">
        <f t="shared" si="105"/>
        <v>0</v>
      </c>
      <c r="W285" s="25">
        <f t="shared" si="106"/>
        <v>0</v>
      </c>
      <c r="X285" s="3"/>
      <c r="Y285" s="14"/>
      <c r="Z285" s="14"/>
      <c r="AA285" s="18">
        <v>15</v>
      </c>
      <c r="AB285" s="21">
        <v>4.6049999999999997E-3</v>
      </c>
      <c r="AC285" s="11">
        <v>46313</v>
      </c>
      <c r="AD285" s="4">
        <v>92</v>
      </c>
      <c r="AE285" s="18">
        <f>(IF(K285&gt;0,K285+R285,R285)-(AD285*Ventas!AE282*1.0489))</f>
        <v>0</v>
      </c>
      <c r="AF285" s="3"/>
      <c r="AG285" s="22">
        <f t="shared" si="117"/>
        <v>0</v>
      </c>
      <c r="AH285" s="14"/>
      <c r="AI285" s="25">
        <f t="shared" si="107"/>
        <v>0</v>
      </c>
      <c r="AJ285" s="16"/>
      <c r="AK285" s="12">
        <f t="shared" si="108"/>
        <v>0</v>
      </c>
      <c r="AL285" s="19">
        <f t="shared" si="109"/>
        <v>0</v>
      </c>
      <c r="AM285" s="18">
        <f>(180*(Ventas!AE282*0.9644) - IF(AE285&gt;0,AE285,0))</f>
        <v>0</v>
      </c>
      <c r="AN285" s="18">
        <f t="shared" si="119"/>
        <v>0</v>
      </c>
      <c r="AO285" s="14"/>
      <c r="AP285" s="14">
        <f t="shared" si="118"/>
        <v>0</v>
      </c>
      <c r="AQ285" s="16">
        <f t="shared" si="110"/>
        <v>0</v>
      </c>
      <c r="AR285" s="37">
        <f>_xlfn.XLOOKUP(C285,[1]Hoja2!$C$6:$C$24,[1]Hoja2!$D$6:$D$24,0,2,1)</f>
        <v>0</v>
      </c>
      <c r="AS285" s="18">
        <f t="shared" si="111"/>
        <v>0</v>
      </c>
      <c r="AT285" s="14"/>
      <c r="AU285" s="37">
        <f>_xlfn.XLOOKUP(D285,[1]Hoja2!$E$6:$E$24,[1]Hoja2!$F$6:$F$24,0,2,1)</f>
        <v>0</v>
      </c>
      <c r="AV285" s="3">
        <v>0</v>
      </c>
      <c r="AW285" s="3"/>
      <c r="AX285" s="14">
        <v>0</v>
      </c>
      <c r="AY285" s="14"/>
      <c r="AZ285" s="16">
        <f>_xlfn.XLOOKUP(C285,[2]PI!$B$15:$B$99,[2]PI!$L$15:$L$99,0,2,1)</f>
        <v>0</v>
      </c>
      <c r="BA285" s="16">
        <f>_xlfn.XLOOKUP(D285,[2]PI!$B$15:$B$99,[2]PI!$L$15:$L$99,0,2,1)</f>
        <v>0</v>
      </c>
      <c r="BB285" s="3"/>
      <c r="BC285" s="3"/>
      <c r="BD285" s="14"/>
      <c r="BE285" s="14"/>
      <c r="BF285" s="16"/>
      <c r="BG285" s="16"/>
      <c r="BH285" s="12">
        <f t="shared" si="112"/>
        <v>0</v>
      </c>
      <c r="BI285" s="19">
        <f t="shared" si="113"/>
        <v>0</v>
      </c>
      <c r="BJ285" s="1" t="s">
        <v>51</v>
      </c>
      <c r="BK285">
        <f t="shared" si="114"/>
        <v>0</v>
      </c>
      <c r="BL285">
        <f t="shared" si="115"/>
        <v>0</v>
      </c>
    </row>
    <row r="286" spans="1:64" x14ac:dyDescent="0.25">
      <c r="A286" s="1" t="s">
        <v>862</v>
      </c>
      <c r="B286" s="1" t="s">
        <v>861</v>
      </c>
      <c r="C286" s="13" t="s">
        <v>860</v>
      </c>
      <c r="D286" s="15"/>
      <c r="E286" s="17"/>
      <c r="F286" s="3"/>
      <c r="G286" s="14"/>
      <c r="H286" s="16"/>
      <c r="I286" s="11">
        <v>46221</v>
      </c>
      <c r="J286" s="4">
        <v>17</v>
      </c>
      <c r="K286" s="18">
        <f>(F286-(0)+0-(J286*Ventas!AE283*1))</f>
        <v>0</v>
      </c>
      <c r="L286" s="3"/>
      <c r="M286" s="22">
        <f t="shared" si="116"/>
        <v>0</v>
      </c>
      <c r="N286" s="14"/>
      <c r="O286" s="25">
        <f t="shared" si="102"/>
        <v>0</v>
      </c>
      <c r="P286" s="16"/>
      <c r="Q286" s="12">
        <f t="shared" si="103"/>
        <v>0</v>
      </c>
      <c r="R286" s="5">
        <v>0</v>
      </c>
      <c r="S286" s="24">
        <v>0</v>
      </c>
      <c r="T286" s="26">
        <v>0</v>
      </c>
      <c r="U286" s="18">
        <f t="shared" si="104"/>
        <v>0</v>
      </c>
      <c r="V286" s="22">
        <f t="shared" si="105"/>
        <v>0</v>
      </c>
      <c r="W286" s="25">
        <f t="shared" si="106"/>
        <v>0</v>
      </c>
      <c r="X286" s="3"/>
      <c r="Y286" s="14"/>
      <c r="Z286" s="14"/>
      <c r="AA286" s="18">
        <v>15</v>
      </c>
      <c r="AB286" s="21">
        <v>4.6049999999999997E-3</v>
      </c>
      <c r="AC286" s="11">
        <v>46313</v>
      </c>
      <c r="AD286" s="4">
        <v>92</v>
      </c>
      <c r="AE286" s="18">
        <f>(IF(K286&gt;0,K286+R286,R286)-(AD286*Ventas!AE283*1.0489))</f>
        <v>0</v>
      </c>
      <c r="AF286" s="3"/>
      <c r="AG286" s="22">
        <f t="shared" si="117"/>
        <v>0</v>
      </c>
      <c r="AH286" s="14"/>
      <c r="AI286" s="25">
        <f t="shared" si="107"/>
        <v>0</v>
      </c>
      <c r="AJ286" s="16"/>
      <c r="AK286" s="12">
        <f t="shared" si="108"/>
        <v>0</v>
      </c>
      <c r="AL286" s="19">
        <f t="shared" si="109"/>
        <v>0</v>
      </c>
      <c r="AM286" s="18">
        <f>(180*(Ventas!AE283*0.9644) - IF(AE286&gt;0,AE286,0))</f>
        <v>0</v>
      </c>
      <c r="AN286" s="18">
        <f t="shared" si="119"/>
        <v>0</v>
      </c>
      <c r="AO286" s="14"/>
      <c r="AP286" s="14">
        <f t="shared" si="118"/>
        <v>0</v>
      </c>
      <c r="AQ286" s="16">
        <f t="shared" si="110"/>
        <v>0</v>
      </c>
      <c r="AR286" s="37">
        <f>_xlfn.XLOOKUP(C286,[1]Hoja2!$C$6:$C$24,[1]Hoja2!$D$6:$D$24,0,2,1)</f>
        <v>0</v>
      </c>
      <c r="AS286" s="18">
        <f t="shared" si="111"/>
        <v>0</v>
      </c>
      <c r="AT286" s="14"/>
      <c r="AU286" s="37">
        <f>_xlfn.XLOOKUP(D286,[1]Hoja2!$E$6:$E$24,[1]Hoja2!$F$6:$F$24,0,2,1)</f>
        <v>0</v>
      </c>
      <c r="AV286" s="3">
        <v>0</v>
      </c>
      <c r="AW286" s="3"/>
      <c r="AX286" s="14">
        <v>0</v>
      </c>
      <c r="AY286" s="14"/>
      <c r="AZ286" s="16">
        <f>_xlfn.XLOOKUP(C286,[2]PI!$B$15:$B$99,[2]PI!$L$15:$L$99,0,2,1)</f>
        <v>0</v>
      </c>
      <c r="BA286" s="16">
        <f>_xlfn.XLOOKUP(D286,[2]PI!$B$15:$B$99,[2]PI!$L$15:$L$99,0,2,1)</f>
        <v>0</v>
      </c>
      <c r="BB286" s="3"/>
      <c r="BC286" s="3"/>
      <c r="BD286" s="14"/>
      <c r="BE286" s="14"/>
      <c r="BF286" s="16"/>
      <c r="BG286" s="16"/>
      <c r="BH286" s="12">
        <f t="shared" si="112"/>
        <v>0</v>
      </c>
      <c r="BI286" s="19">
        <f t="shared" si="113"/>
        <v>0</v>
      </c>
      <c r="BJ286" s="1" t="s">
        <v>51</v>
      </c>
      <c r="BK286">
        <f t="shared" si="114"/>
        <v>0</v>
      </c>
      <c r="BL286">
        <f t="shared" si="115"/>
        <v>0</v>
      </c>
    </row>
    <row r="287" spans="1:64" x14ac:dyDescent="0.25">
      <c r="A287" s="1" t="s">
        <v>865</v>
      </c>
      <c r="B287" s="1" t="s">
        <v>864</v>
      </c>
      <c r="C287" s="13" t="s">
        <v>863</v>
      </c>
      <c r="D287" s="15"/>
      <c r="E287" s="17"/>
      <c r="F287" s="5">
        <v>13</v>
      </c>
      <c r="G287" s="14"/>
      <c r="H287" s="16"/>
      <c r="I287" s="11">
        <v>46221</v>
      </c>
      <c r="J287" s="4">
        <v>17</v>
      </c>
      <c r="K287" s="18">
        <f>(F287-(0)+0-(J287*Ventas!AE284*1))</f>
        <v>13</v>
      </c>
      <c r="L287" s="20" t="e">
        <f>(K287/(Ventas!AE284*1)/80)</f>
        <v>#DIV/0!</v>
      </c>
      <c r="M287" s="22">
        <f t="shared" si="116"/>
        <v>0</v>
      </c>
      <c r="N287" s="14"/>
      <c r="O287" s="25">
        <f t="shared" si="102"/>
        <v>0</v>
      </c>
      <c r="P287" s="16"/>
      <c r="Q287" s="12">
        <f t="shared" si="103"/>
        <v>13</v>
      </c>
      <c r="R287" s="5">
        <v>0</v>
      </c>
      <c r="S287" s="24">
        <v>0</v>
      </c>
      <c r="T287" s="26">
        <v>0</v>
      </c>
      <c r="U287" s="18">
        <f t="shared" si="104"/>
        <v>13</v>
      </c>
      <c r="V287" s="22">
        <f t="shared" si="105"/>
        <v>0</v>
      </c>
      <c r="W287" s="25">
        <f t="shared" si="106"/>
        <v>0</v>
      </c>
      <c r="X287" s="3"/>
      <c r="Y287" s="14"/>
      <c r="Z287" s="14"/>
      <c r="AA287" s="18">
        <v>15</v>
      </c>
      <c r="AB287" s="21">
        <v>4.6049999999999997E-3</v>
      </c>
      <c r="AC287" s="11">
        <v>46313</v>
      </c>
      <c r="AD287" s="4">
        <v>92</v>
      </c>
      <c r="AE287" s="18">
        <f>(IF(K287&gt;0,K287+R287,R287)-(AD287*Ventas!AE284*1.0489))</f>
        <v>13</v>
      </c>
      <c r="AF287" s="20" t="e">
        <f>(AE287/(Ventas!AE284*1.0489)/80)</f>
        <v>#DIV/0!</v>
      </c>
      <c r="AG287" s="22">
        <f t="shared" si="117"/>
        <v>0</v>
      </c>
      <c r="AH287" s="14"/>
      <c r="AI287" s="25">
        <f t="shared" si="107"/>
        <v>0</v>
      </c>
      <c r="AJ287" s="16"/>
      <c r="AK287" s="12">
        <f t="shared" si="108"/>
        <v>13</v>
      </c>
      <c r="AL287" s="19" t="e">
        <f t="shared" si="109"/>
        <v>#DIV/0!</v>
      </c>
      <c r="AM287" s="18">
        <f>(180*(Ventas!AE284*0.9644) - IF(AE287&gt;0,AE287,0))</f>
        <v>-13</v>
      </c>
      <c r="AN287" s="18">
        <f t="shared" si="119"/>
        <v>0</v>
      </c>
      <c r="AO287" s="14"/>
      <c r="AP287" s="14">
        <f t="shared" si="118"/>
        <v>0</v>
      </c>
      <c r="AQ287" s="16">
        <f t="shared" si="110"/>
        <v>0</v>
      </c>
      <c r="AR287" s="37">
        <f>_xlfn.XLOOKUP(C287,[1]Hoja2!$C$6:$C$24,[1]Hoja2!$D$6:$D$24,0,2,1)</f>
        <v>0</v>
      </c>
      <c r="AS287" s="18">
        <f t="shared" si="111"/>
        <v>13</v>
      </c>
      <c r="AT287" s="14"/>
      <c r="AU287" s="37">
        <f>_xlfn.XLOOKUP(D287,[1]Hoja2!$E$6:$E$24,[1]Hoja2!$F$6:$F$24,0,2,1)</f>
        <v>0</v>
      </c>
      <c r="AV287" s="27">
        <v>0</v>
      </c>
      <c r="AW287" s="5">
        <v>3016</v>
      </c>
      <c r="AX287" s="14">
        <v>0</v>
      </c>
      <c r="AY287" s="14"/>
      <c r="AZ287" s="16">
        <f>_xlfn.XLOOKUP(C287,[2]PI!$B$15:$B$99,[2]PI!$L$15:$L$99,0,2,1)</f>
        <v>0</v>
      </c>
      <c r="BA287" s="16">
        <f>_xlfn.XLOOKUP(D287,[2]PI!$B$15:$B$99,[2]PI!$L$15:$L$99,0,2,1)</f>
        <v>0</v>
      </c>
      <c r="BB287" s="18">
        <f>(AS287-(90*Ventas!AE284*0.9644))</f>
        <v>13</v>
      </c>
      <c r="BC287" s="20" t="e">
        <f>(BB287/(Ventas!AE284*0.9644)/80)</f>
        <v>#DIV/0!</v>
      </c>
      <c r="BD287" s="14"/>
      <c r="BE287" s="14"/>
      <c r="BF287" s="16"/>
      <c r="BG287" s="16"/>
      <c r="BH287" s="12">
        <f t="shared" si="112"/>
        <v>13</v>
      </c>
      <c r="BI287" s="19" t="e">
        <f t="shared" si="113"/>
        <v>#DIV/0!</v>
      </c>
      <c r="BJ287" s="1" t="s">
        <v>35</v>
      </c>
      <c r="BK287">
        <f t="shared" si="114"/>
        <v>0</v>
      </c>
      <c r="BL287">
        <f t="shared" si="115"/>
        <v>0</v>
      </c>
    </row>
    <row r="288" spans="1:64" x14ac:dyDescent="0.25">
      <c r="A288" s="1" t="s">
        <v>868</v>
      </c>
      <c r="B288" s="1" t="s">
        <v>867</v>
      </c>
      <c r="C288" s="13" t="s">
        <v>866</v>
      </c>
      <c r="D288" s="15"/>
      <c r="E288" s="17"/>
      <c r="F288" s="3"/>
      <c r="G288" s="14"/>
      <c r="H288" s="16"/>
      <c r="I288" s="11">
        <v>46221</v>
      </c>
      <c r="J288" s="4">
        <v>17</v>
      </c>
      <c r="K288" s="18">
        <f>(F288-(0)+0-(J288*Ventas!AE285*1))</f>
        <v>0</v>
      </c>
      <c r="L288" s="3"/>
      <c r="M288" s="22">
        <f t="shared" si="116"/>
        <v>0</v>
      </c>
      <c r="N288" s="14"/>
      <c r="O288" s="25">
        <f t="shared" si="102"/>
        <v>0</v>
      </c>
      <c r="P288" s="16"/>
      <c r="Q288" s="12">
        <f t="shared" si="103"/>
        <v>0</v>
      </c>
      <c r="R288" s="5">
        <v>0</v>
      </c>
      <c r="S288" s="24">
        <v>0</v>
      </c>
      <c r="T288" s="26">
        <v>0</v>
      </c>
      <c r="U288" s="18">
        <f t="shared" si="104"/>
        <v>0</v>
      </c>
      <c r="V288" s="22">
        <f t="shared" si="105"/>
        <v>0</v>
      </c>
      <c r="W288" s="25">
        <f t="shared" si="106"/>
        <v>0</v>
      </c>
      <c r="X288" s="3"/>
      <c r="Y288" s="14"/>
      <c r="Z288" s="14"/>
      <c r="AA288" s="18">
        <v>15</v>
      </c>
      <c r="AB288" s="21">
        <v>4.6049999999999997E-3</v>
      </c>
      <c r="AC288" s="11">
        <v>46313</v>
      </c>
      <c r="AD288" s="4">
        <v>92</v>
      </c>
      <c r="AE288" s="18">
        <f>(IF(K288&gt;0,K288+R288,R288)-(AD288*Ventas!AE285*1.0489))</f>
        <v>0</v>
      </c>
      <c r="AF288" s="3"/>
      <c r="AG288" s="22">
        <f t="shared" si="117"/>
        <v>0</v>
      </c>
      <c r="AH288" s="14"/>
      <c r="AI288" s="25">
        <f t="shared" si="107"/>
        <v>0</v>
      </c>
      <c r="AJ288" s="16"/>
      <c r="AK288" s="12">
        <f t="shared" si="108"/>
        <v>0</v>
      </c>
      <c r="AL288" s="19">
        <f t="shared" si="109"/>
        <v>0</v>
      </c>
      <c r="AM288" s="18">
        <f>(180*(Ventas!AE285*0.9644) - IF(AE288&gt;0,AE288,0))</f>
        <v>0</v>
      </c>
      <c r="AN288" s="18">
        <f t="shared" si="119"/>
        <v>0</v>
      </c>
      <c r="AO288" s="14"/>
      <c r="AP288" s="14">
        <f t="shared" si="118"/>
        <v>0</v>
      </c>
      <c r="AQ288" s="16">
        <f t="shared" si="110"/>
        <v>0</v>
      </c>
      <c r="AR288" s="37">
        <f>_xlfn.XLOOKUP(C288,[1]Hoja2!$C$6:$C$24,[1]Hoja2!$D$6:$D$24,0,2,1)</f>
        <v>0</v>
      </c>
      <c r="AS288" s="18">
        <f t="shared" si="111"/>
        <v>0</v>
      </c>
      <c r="AT288" s="14"/>
      <c r="AU288" s="37">
        <f>_xlfn.XLOOKUP(D288,[1]Hoja2!$E$6:$E$24,[1]Hoja2!$F$6:$F$24,0,2,1)</f>
        <v>0</v>
      </c>
      <c r="AV288" s="3">
        <v>0</v>
      </c>
      <c r="AW288" s="3"/>
      <c r="AX288" s="14">
        <v>0</v>
      </c>
      <c r="AY288" s="14"/>
      <c r="AZ288" s="16">
        <f>_xlfn.XLOOKUP(C288,[2]PI!$B$15:$B$99,[2]PI!$L$15:$L$99,0,2,1)</f>
        <v>0</v>
      </c>
      <c r="BA288" s="16">
        <f>_xlfn.XLOOKUP(D288,[2]PI!$B$15:$B$99,[2]PI!$L$15:$L$99,0,2,1)</f>
        <v>0</v>
      </c>
      <c r="BB288" s="3"/>
      <c r="BC288" s="3"/>
      <c r="BD288" s="14"/>
      <c r="BE288" s="14"/>
      <c r="BF288" s="16"/>
      <c r="BG288" s="16"/>
      <c r="BH288" s="12">
        <f t="shared" si="112"/>
        <v>0</v>
      </c>
      <c r="BI288" s="19">
        <f t="shared" si="113"/>
        <v>0</v>
      </c>
      <c r="BJ288" s="1" t="s">
        <v>51</v>
      </c>
      <c r="BK288">
        <f t="shared" si="114"/>
        <v>0</v>
      </c>
      <c r="BL288">
        <f t="shared" si="115"/>
        <v>0</v>
      </c>
    </row>
    <row r="289" spans="1:64" x14ac:dyDescent="0.25">
      <c r="A289" s="1" t="s">
        <v>871</v>
      </c>
      <c r="B289" s="1" t="s">
        <v>870</v>
      </c>
      <c r="C289" s="13" t="s">
        <v>869</v>
      </c>
      <c r="D289" s="15"/>
      <c r="E289" s="17"/>
      <c r="F289" s="5">
        <v>73</v>
      </c>
      <c r="G289" s="14"/>
      <c r="H289" s="16"/>
      <c r="I289" s="11">
        <v>46221</v>
      </c>
      <c r="J289" s="4">
        <v>17</v>
      </c>
      <c r="K289" s="18">
        <f>(F289-(0)+0-(J289*Ventas!AE286*1))</f>
        <v>72.39722857142857</v>
      </c>
      <c r="L289" s="20">
        <f>(K289/(Ventas!AE286*1)/80)</f>
        <v>25.522794117647056</v>
      </c>
      <c r="M289" s="22">
        <f t="shared" si="116"/>
        <v>0</v>
      </c>
      <c r="N289" s="14"/>
      <c r="O289" s="25">
        <f t="shared" si="102"/>
        <v>0</v>
      </c>
      <c r="P289" s="16"/>
      <c r="Q289" s="12">
        <f t="shared" si="103"/>
        <v>72.39722857142857</v>
      </c>
      <c r="R289" s="5">
        <v>0</v>
      </c>
      <c r="S289" s="24">
        <v>0</v>
      </c>
      <c r="T289" s="26">
        <v>0</v>
      </c>
      <c r="U289" s="18">
        <f t="shared" si="104"/>
        <v>72.39722857142857</v>
      </c>
      <c r="V289" s="22">
        <f t="shared" si="105"/>
        <v>0</v>
      </c>
      <c r="W289" s="25">
        <f t="shared" si="106"/>
        <v>0</v>
      </c>
      <c r="X289" s="3"/>
      <c r="Y289" s="14"/>
      <c r="Z289" s="14"/>
      <c r="AA289" s="18">
        <v>20</v>
      </c>
      <c r="AB289" s="21">
        <v>4.0699999999999998E-3</v>
      </c>
      <c r="AC289" s="11">
        <v>46313</v>
      </c>
      <c r="AD289" s="4">
        <v>92</v>
      </c>
      <c r="AE289" s="18">
        <f>(IF(K289&gt;0,K289+R289,R289)-(AD289*Ventas!AE286*1.0489))</f>
        <v>68.975656834285715</v>
      </c>
      <c r="AF289" s="20">
        <f>(AE289/(Ventas!AE286*1.0489)/80)</f>
        <v>23.182914594000437</v>
      </c>
      <c r="AG289" s="22">
        <f t="shared" si="117"/>
        <v>0</v>
      </c>
      <c r="AH289" s="14"/>
      <c r="AI289" s="25">
        <f t="shared" si="107"/>
        <v>0</v>
      </c>
      <c r="AJ289" s="16"/>
      <c r="AK289" s="12">
        <f t="shared" si="108"/>
        <v>68.975656834285715</v>
      </c>
      <c r="AL289" s="19">
        <f t="shared" si="109"/>
        <v>20.285050269750382</v>
      </c>
      <c r="AM289" s="18">
        <f>(180*(Ventas!AE286*0.9644) - IF(AE289&gt;0,AE289,0))</f>
        <v>-62.820580491428572</v>
      </c>
      <c r="AN289" s="18">
        <f t="shared" si="119"/>
        <v>0</v>
      </c>
      <c r="AO289" s="14"/>
      <c r="AP289" s="14">
        <f t="shared" si="118"/>
        <v>0</v>
      </c>
      <c r="AQ289" s="16">
        <f t="shared" si="110"/>
        <v>0</v>
      </c>
      <c r="AR289" s="37">
        <f>_xlfn.XLOOKUP(C289,[1]Hoja2!$C$6:$C$24,[1]Hoja2!$D$6:$D$24,0,2,1)</f>
        <v>0</v>
      </c>
      <c r="AS289" s="18">
        <f t="shared" si="111"/>
        <v>68.975656834285715</v>
      </c>
      <c r="AT289" s="14"/>
      <c r="AU289" s="37">
        <f>_xlfn.XLOOKUP(D289,[1]Hoja2!$E$6:$E$24,[1]Hoja2!$F$6:$F$24,0,2,1)</f>
        <v>0</v>
      </c>
      <c r="AV289" s="27">
        <v>0</v>
      </c>
      <c r="AW289" s="5">
        <v>3016</v>
      </c>
      <c r="AX289" s="14">
        <v>0</v>
      </c>
      <c r="AY289" s="14"/>
      <c r="AZ289" s="16">
        <f>_xlfn.XLOOKUP(C289,[2]PI!$B$15:$B$99,[2]PI!$L$15:$L$99,0,2,1)</f>
        <v>0</v>
      </c>
      <c r="BA289" s="16">
        <f>_xlfn.XLOOKUP(D289,[2]PI!$B$15:$B$99,[2]PI!$L$15:$L$99,0,2,1)</f>
        <v>0</v>
      </c>
      <c r="BB289" s="18">
        <f>(AS289-(90*Ventas!AE286*0.9644))</f>
        <v>65.898118662857144</v>
      </c>
      <c r="BC289" s="20">
        <f>(BB289/(Ventas!AE286*0.9644)/80)</f>
        <v>24.089184070558957</v>
      </c>
      <c r="BD289" s="14"/>
      <c r="BE289" s="14"/>
      <c r="BF289" s="16"/>
      <c r="BG289" s="16"/>
      <c r="BH289" s="12">
        <f t="shared" si="112"/>
        <v>65.898118662857144</v>
      </c>
      <c r="BI289" s="19">
        <f t="shared" si="113"/>
        <v>21.078036061739088</v>
      </c>
      <c r="BJ289" s="1" t="s">
        <v>35</v>
      </c>
      <c r="BK289">
        <f t="shared" si="114"/>
        <v>0</v>
      </c>
      <c r="BL289">
        <f t="shared" si="115"/>
        <v>0</v>
      </c>
    </row>
    <row r="290" spans="1:64" x14ac:dyDescent="0.25">
      <c r="A290" s="1" t="s">
        <v>874</v>
      </c>
      <c r="B290" s="1" t="s">
        <v>873</v>
      </c>
      <c r="C290" s="13" t="s">
        <v>872</v>
      </c>
      <c r="D290" s="15"/>
      <c r="E290" s="17"/>
      <c r="F290" s="5">
        <v>648</v>
      </c>
      <c r="G290" s="14"/>
      <c r="H290" s="16"/>
      <c r="I290" s="11">
        <v>46221</v>
      </c>
      <c r="J290" s="4">
        <v>17</v>
      </c>
      <c r="K290" s="18">
        <f>(F290-(0)+0-(J290*Ventas!AE287*1))</f>
        <v>633.60488571428573</v>
      </c>
      <c r="L290" s="20">
        <f>(K290/(Ventas!AE287*1)/80)</f>
        <v>9.3532455208017016</v>
      </c>
      <c r="M290" s="22">
        <f t="shared" si="116"/>
        <v>0</v>
      </c>
      <c r="N290" s="14"/>
      <c r="O290" s="25">
        <f t="shared" si="102"/>
        <v>0</v>
      </c>
      <c r="P290" s="16"/>
      <c r="Q290" s="12">
        <f t="shared" si="103"/>
        <v>633.60488571428573</v>
      </c>
      <c r="R290" s="5">
        <v>0</v>
      </c>
      <c r="S290" s="24">
        <v>0</v>
      </c>
      <c r="T290" s="26">
        <v>0</v>
      </c>
      <c r="U290" s="18">
        <f t="shared" si="104"/>
        <v>633.60488571428573</v>
      </c>
      <c r="V290" s="22">
        <f t="shared" si="105"/>
        <v>0</v>
      </c>
      <c r="W290" s="25">
        <f t="shared" si="106"/>
        <v>0</v>
      </c>
      <c r="X290" s="3"/>
      <c r="Y290" s="14"/>
      <c r="Z290" s="14"/>
      <c r="AA290" s="18">
        <v>20</v>
      </c>
      <c r="AB290" s="21">
        <v>3.8860000000000001E-3</v>
      </c>
      <c r="AC290" s="11">
        <v>46313</v>
      </c>
      <c r="AD290" s="4">
        <v>92</v>
      </c>
      <c r="AE290" s="18">
        <f>(IF(K290&gt;0,K290+R290,R290)-(AD290*Ventas!AE287*1.0489))</f>
        <v>551.89245898285719</v>
      </c>
      <c r="AF290" s="20">
        <f>(AE290/(Ventas!AE287*1.0489)/80)</f>
        <v>7.7671946999730226</v>
      </c>
      <c r="AG290" s="22">
        <f t="shared" si="117"/>
        <v>0</v>
      </c>
      <c r="AH290" s="14"/>
      <c r="AI290" s="25">
        <f t="shared" si="107"/>
        <v>0</v>
      </c>
      <c r="AJ290" s="16"/>
      <c r="AK290" s="12">
        <f t="shared" si="108"/>
        <v>551.89245898285719</v>
      </c>
      <c r="AL290" s="19">
        <f t="shared" si="109"/>
        <v>6.7962953624763944</v>
      </c>
      <c r="AM290" s="18">
        <f>(180*(Ventas!AE287*0.9644) - IF(AE290&gt;0,AE290,0))</f>
        <v>-404.89971315428579</v>
      </c>
      <c r="AN290" s="18">
        <f t="shared" si="119"/>
        <v>0</v>
      </c>
      <c r="AO290" s="14"/>
      <c r="AP290" s="14">
        <f t="shared" si="118"/>
        <v>0</v>
      </c>
      <c r="AQ290" s="16">
        <f t="shared" si="110"/>
        <v>0</v>
      </c>
      <c r="AR290" s="37">
        <f>_xlfn.XLOOKUP(C290,[1]Hoja2!$C$6:$C$24,[1]Hoja2!$D$6:$D$24,0,2,1)</f>
        <v>0</v>
      </c>
      <c r="AS290" s="18">
        <f t="shared" si="111"/>
        <v>551.89245898285719</v>
      </c>
      <c r="AT290" s="14"/>
      <c r="AU290" s="37">
        <f>_xlfn.XLOOKUP(D290,[1]Hoja2!$E$6:$E$24,[1]Hoja2!$F$6:$F$24,0,2,1)</f>
        <v>0</v>
      </c>
      <c r="AV290" s="27">
        <v>0</v>
      </c>
      <c r="AW290" s="5">
        <v>3016</v>
      </c>
      <c r="AX290" s="14">
        <v>0</v>
      </c>
      <c r="AY290" s="14"/>
      <c r="AZ290" s="16">
        <f>_xlfn.XLOOKUP(C290,[2]PI!$B$15:$B$99,[2]PI!$L$15:$L$99,0,2,1)</f>
        <v>0</v>
      </c>
      <c r="BA290" s="16">
        <f>_xlfn.XLOOKUP(D290,[2]PI!$B$15:$B$99,[2]PI!$L$15:$L$99,0,2,1)</f>
        <v>0</v>
      </c>
      <c r="BB290" s="18">
        <f>(AS290-(90*Ventas!AE287*0.9644))</f>
        <v>478.39608606857149</v>
      </c>
      <c r="BC290" s="20">
        <f>(BB290/(Ventas!AE287*0.9644)/80)</f>
        <v>7.3227504363352365</v>
      </c>
      <c r="BD290" s="14"/>
      <c r="BE290" s="14"/>
      <c r="BF290" s="16"/>
      <c r="BG290" s="16"/>
      <c r="BH290" s="12">
        <f t="shared" si="112"/>
        <v>478.39608606857149</v>
      </c>
      <c r="BI290" s="19">
        <f t="shared" si="113"/>
        <v>6.4074066317933323</v>
      </c>
      <c r="BJ290" s="1" t="s">
        <v>35</v>
      </c>
      <c r="BK290">
        <f t="shared" si="114"/>
        <v>0</v>
      </c>
      <c r="BL290">
        <f t="shared" si="115"/>
        <v>0</v>
      </c>
    </row>
    <row r="291" spans="1:64" x14ac:dyDescent="0.25">
      <c r="A291" s="1"/>
      <c r="B291" s="1" t="s">
        <v>876</v>
      </c>
      <c r="C291" s="13" t="s">
        <v>875</v>
      </c>
      <c r="D291" s="15"/>
      <c r="E291" s="17"/>
      <c r="F291" s="3"/>
      <c r="G291" s="14"/>
      <c r="H291" s="16"/>
      <c r="I291" s="11">
        <v>46221</v>
      </c>
      <c r="J291" s="4">
        <v>17</v>
      </c>
      <c r="K291" s="18">
        <f>(F291-(0)+0-(J291*Ventas!AE288*1))</f>
        <v>0</v>
      </c>
      <c r="L291" s="3"/>
      <c r="M291" s="22">
        <f t="shared" si="116"/>
        <v>0</v>
      </c>
      <c r="N291" s="14"/>
      <c r="O291" s="25">
        <f t="shared" si="102"/>
        <v>0</v>
      </c>
      <c r="P291" s="16"/>
      <c r="Q291" s="12">
        <f t="shared" si="103"/>
        <v>0</v>
      </c>
      <c r="R291" s="5">
        <v>0</v>
      </c>
      <c r="S291" s="24">
        <v>0</v>
      </c>
      <c r="T291" s="26">
        <v>0</v>
      </c>
      <c r="U291" s="18">
        <f t="shared" si="104"/>
        <v>0</v>
      </c>
      <c r="V291" s="22">
        <f t="shared" si="105"/>
        <v>0</v>
      </c>
      <c r="W291" s="25">
        <f t="shared" si="106"/>
        <v>0</v>
      </c>
      <c r="X291" s="3"/>
      <c r="Y291" s="14"/>
      <c r="Z291" s="14"/>
      <c r="AA291" s="18">
        <v>10</v>
      </c>
      <c r="AB291" s="21">
        <v>6.6360000000000004E-3</v>
      </c>
      <c r="AC291" s="11">
        <v>46313</v>
      </c>
      <c r="AD291" s="4">
        <v>92</v>
      </c>
      <c r="AE291" s="18">
        <f>(IF(K291&gt;0,K291+R291,R291)-(AD291*Ventas!AE288*1.0489))</f>
        <v>0</v>
      </c>
      <c r="AF291" s="3"/>
      <c r="AG291" s="22">
        <f t="shared" si="117"/>
        <v>0</v>
      </c>
      <c r="AH291" s="14"/>
      <c r="AI291" s="25">
        <f t="shared" si="107"/>
        <v>0</v>
      </c>
      <c r="AJ291" s="16"/>
      <c r="AK291" s="12">
        <f t="shared" si="108"/>
        <v>0</v>
      </c>
      <c r="AL291" s="19">
        <f t="shared" si="109"/>
        <v>0</v>
      </c>
      <c r="AM291" s="18">
        <f>(180*(Ventas!AE288*0.9644) - IF(AE291&gt;0,AE291,0))</f>
        <v>0</v>
      </c>
      <c r="AN291" s="18">
        <f t="shared" si="119"/>
        <v>0</v>
      </c>
      <c r="AO291" s="14"/>
      <c r="AP291" s="14">
        <f t="shared" si="118"/>
        <v>0</v>
      </c>
      <c r="AQ291" s="16">
        <f t="shared" si="110"/>
        <v>0</v>
      </c>
      <c r="AR291" s="37">
        <f>_xlfn.XLOOKUP(C291,[1]Hoja2!$C$6:$C$24,[1]Hoja2!$D$6:$D$24,0,2,1)</f>
        <v>0</v>
      </c>
      <c r="AS291" s="18">
        <f t="shared" si="111"/>
        <v>0</v>
      </c>
      <c r="AT291" s="14"/>
      <c r="AU291" s="37">
        <f>_xlfn.XLOOKUP(D291,[1]Hoja2!$E$6:$E$24,[1]Hoja2!$F$6:$F$24,0,2,1)</f>
        <v>0</v>
      </c>
      <c r="AV291" s="27">
        <v>0</v>
      </c>
      <c r="AW291" s="5">
        <v>3022</v>
      </c>
      <c r="AX291" s="14">
        <v>0</v>
      </c>
      <c r="AY291" s="14"/>
      <c r="AZ291" s="16">
        <f>_xlfn.XLOOKUP(C291,[2]PI!$B$15:$B$99,[2]PI!$L$15:$L$99,0,2,1)</f>
        <v>0</v>
      </c>
      <c r="BA291" s="16">
        <f>_xlfn.XLOOKUP(D291,[2]PI!$B$15:$B$99,[2]PI!$L$15:$L$99,0,2,1)</f>
        <v>0</v>
      </c>
      <c r="BB291" s="3"/>
      <c r="BC291" s="3"/>
      <c r="BD291" s="14"/>
      <c r="BE291" s="14"/>
      <c r="BF291" s="16"/>
      <c r="BG291" s="16"/>
      <c r="BH291" s="12">
        <f t="shared" si="112"/>
        <v>0</v>
      </c>
      <c r="BI291" s="19">
        <f t="shared" si="113"/>
        <v>0</v>
      </c>
      <c r="BJ291" s="1" t="s">
        <v>35</v>
      </c>
      <c r="BK291">
        <f t="shared" si="114"/>
        <v>0</v>
      </c>
      <c r="BL291">
        <f t="shared" si="115"/>
        <v>0</v>
      </c>
    </row>
    <row r="292" spans="1:64" x14ac:dyDescent="0.25">
      <c r="A292" s="1" t="s">
        <v>879</v>
      </c>
      <c r="B292" s="1" t="s">
        <v>878</v>
      </c>
      <c r="C292" s="13" t="s">
        <v>877</v>
      </c>
      <c r="D292" s="15"/>
      <c r="E292" s="17"/>
      <c r="F292" s="3"/>
      <c r="G292" s="14"/>
      <c r="H292" s="16"/>
      <c r="I292" s="11">
        <v>46221</v>
      </c>
      <c r="J292" s="4">
        <v>17</v>
      </c>
      <c r="K292" s="18">
        <f>(F292-(0)+0-(J292*Ventas!AE289*1))</f>
        <v>0</v>
      </c>
      <c r="L292" s="3"/>
      <c r="M292" s="22">
        <f t="shared" si="116"/>
        <v>0</v>
      </c>
      <c r="N292" s="14"/>
      <c r="O292" s="25">
        <f t="shared" si="102"/>
        <v>0</v>
      </c>
      <c r="P292" s="16"/>
      <c r="Q292" s="12">
        <f t="shared" si="103"/>
        <v>0</v>
      </c>
      <c r="R292" s="5">
        <v>0</v>
      </c>
      <c r="S292" s="24">
        <v>0</v>
      </c>
      <c r="T292" s="26">
        <v>0</v>
      </c>
      <c r="U292" s="18">
        <f t="shared" si="104"/>
        <v>0</v>
      </c>
      <c r="V292" s="22">
        <f t="shared" si="105"/>
        <v>0</v>
      </c>
      <c r="W292" s="25">
        <f t="shared" si="106"/>
        <v>0</v>
      </c>
      <c r="X292" s="3"/>
      <c r="Y292" s="14"/>
      <c r="Z292" s="14"/>
      <c r="AA292" s="18">
        <v>10</v>
      </c>
      <c r="AB292" s="21">
        <v>0.13318199999999999</v>
      </c>
      <c r="AC292" s="11">
        <v>46313</v>
      </c>
      <c r="AD292" s="4">
        <v>92</v>
      </c>
      <c r="AE292" s="18">
        <f>(IF(K292&gt;0,K292+R292,R292)-(AD292*Ventas!AE289*1.0489))</f>
        <v>0</v>
      </c>
      <c r="AF292" s="3"/>
      <c r="AG292" s="22">
        <f t="shared" si="117"/>
        <v>0</v>
      </c>
      <c r="AH292" s="14"/>
      <c r="AI292" s="25">
        <f t="shared" si="107"/>
        <v>0</v>
      </c>
      <c r="AJ292" s="16"/>
      <c r="AK292" s="12">
        <f t="shared" si="108"/>
        <v>0</v>
      </c>
      <c r="AL292" s="19">
        <f t="shared" si="109"/>
        <v>0</v>
      </c>
      <c r="AM292" s="18">
        <f>(180*(Ventas!AE289*0.9644) - IF(AE292&gt;0,AE292,0))</f>
        <v>0</v>
      </c>
      <c r="AN292" s="18">
        <f t="shared" si="119"/>
        <v>0</v>
      </c>
      <c r="AO292" s="14"/>
      <c r="AP292" s="14">
        <f t="shared" si="118"/>
        <v>0</v>
      </c>
      <c r="AQ292" s="16">
        <f t="shared" si="110"/>
        <v>0</v>
      </c>
      <c r="AR292" s="37">
        <f>_xlfn.XLOOKUP(C292,[1]Hoja2!$C$6:$C$24,[1]Hoja2!$D$6:$D$24,0,2,1)</f>
        <v>0</v>
      </c>
      <c r="AS292" s="18">
        <f t="shared" si="111"/>
        <v>0</v>
      </c>
      <c r="AT292" s="14"/>
      <c r="AU292" s="37">
        <f>_xlfn.XLOOKUP(D292,[1]Hoja2!$E$6:$E$24,[1]Hoja2!$F$6:$F$24,0,2,1)</f>
        <v>0</v>
      </c>
      <c r="AV292" s="3">
        <v>0</v>
      </c>
      <c r="AW292" s="3"/>
      <c r="AX292" s="14">
        <v>0</v>
      </c>
      <c r="AY292" s="14"/>
      <c r="AZ292" s="16">
        <f>_xlfn.XLOOKUP(C292,[2]PI!$B$15:$B$99,[2]PI!$L$15:$L$99,0,2,1)</f>
        <v>0</v>
      </c>
      <c r="BA292" s="16">
        <f>_xlfn.XLOOKUP(D292,[2]PI!$B$15:$B$99,[2]PI!$L$15:$L$99,0,2,1)</f>
        <v>0</v>
      </c>
      <c r="BB292" s="3"/>
      <c r="BC292" s="3"/>
      <c r="BD292" s="14"/>
      <c r="BE292" s="14"/>
      <c r="BF292" s="16"/>
      <c r="BG292" s="16"/>
      <c r="BH292" s="12">
        <f t="shared" si="112"/>
        <v>0</v>
      </c>
      <c r="BI292" s="19">
        <f t="shared" si="113"/>
        <v>0</v>
      </c>
      <c r="BJ292" s="1" t="s">
        <v>35</v>
      </c>
      <c r="BK292">
        <f t="shared" si="114"/>
        <v>0</v>
      </c>
      <c r="BL292">
        <f t="shared" si="115"/>
        <v>0</v>
      </c>
    </row>
    <row r="293" spans="1:64" x14ac:dyDescent="0.25">
      <c r="A293" s="1" t="s">
        <v>882</v>
      </c>
      <c r="B293" s="1" t="s">
        <v>881</v>
      </c>
      <c r="C293" s="13" t="s">
        <v>880</v>
      </c>
      <c r="D293" s="15"/>
      <c r="E293" s="17"/>
      <c r="F293" s="3"/>
      <c r="G293" s="14"/>
      <c r="H293" s="16"/>
      <c r="I293" s="11">
        <v>46221</v>
      </c>
      <c r="J293" s="4">
        <v>17</v>
      </c>
      <c r="K293" s="18">
        <f>(F293-(0)+0-(J293*Ventas!AE290*1))</f>
        <v>0</v>
      </c>
      <c r="L293" s="3"/>
      <c r="M293" s="22">
        <f t="shared" si="116"/>
        <v>0</v>
      </c>
      <c r="N293" s="14"/>
      <c r="O293" s="25">
        <f t="shared" si="102"/>
        <v>0</v>
      </c>
      <c r="P293" s="16"/>
      <c r="Q293" s="12">
        <f t="shared" si="103"/>
        <v>0</v>
      </c>
      <c r="R293" s="5">
        <v>0</v>
      </c>
      <c r="S293" s="24">
        <v>0</v>
      </c>
      <c r="T293" s="26">
        <v>0</v>
      </c>
      <c r="U293" s="18">
        <f t="shared" si="104"/>
        <v>0</v>
      </c>
      <c r="V293" s="22">
        <f t="shared" si="105"/>
        <v>0</v>
      </c>
      <c r="W293" s="25">
        <f t="shared" si="106"/>
        <v>0</v>
      </c>
      <c r="X293" s="3"/>
      <c r="Y293" s="14"/>
      <c r="Z293" s="14"/>
      <c r="AA293" s="18">
        <v>6</v>
      </c>
      <c r="AB293" s="21">
        <v>1.5716999999999998E-2</v>
      </c>
      <c r="AC293" s="11">
        <v>46313</v>
      </c>
      <c r="AD293" s="4">
        <v>92</v>
      </c>
      <c r="AE293" s="18">
        <f>(IF(K293&gt;0,K293+R293,R293)-(AD293*Ventas!AE290*1.0489))</f>
        <v>0</v>
      </c>
      <c r="AF293" s="3"/>
      <c r="AG293" s="22">
        <f t="shared" si="117"/>
        <v>0</v>
      </c>
      <c r="AH293" s="14"/>
      <c r="AI293" s="25">
        <f t="shared" si="107"/>
        <v>0</v>
      </c>
      <c r="AJ293" s="16"/>
      <c r="AK293" s="12">
        <f t="shared" si="108"/>
        <v>0</v>
      </c>
      <c r="AL293" s="19">
        <f t="shared" si="109"/>
        <v>0</v>
      </c>
      <c r="AM293" s="18">
        <f>(180*(Ventas!AE290*0.9644) - IF(AE293&gt;0,AE293,0))</f>
        <v>0</v>
      </c>
      <c r="AN293" s="18">
        <f t="shared" si="119"/>
        <v>0</v>
      </c>
      <c r="AO293" s="14"/>
      <c r="AP293" s="14">
        <f t="shared" si="118"/>
        <v>0</v>
      </c>
      <c r="AQ293" s="16">
        <f t="shared" si="110"/>
        <v>0</v>
      </c>
      <c r="AR293" s="37">
        <f>_xlfn.XLOOKUP(C293,[1]Hoja2!$C$6:$C$24,[1]Hoja2!$D$6:$D$24,0,2,1)</f>
        <v>0</v>
      </c>
      <c r="AS293" s="18">
        <f t="shared" si="111"/>
        <v>0</v>
      </c>
      <c r="AT293" s="14"/>
      <c r="AU293" s="37">
        <f>_xlfn.XLOOKUP(D293,[1]Hoja2!$E$6:$E$24,[1]Hoja2!$F$6:$F$24,0,2,1)</f>
        <v>0</v>
      </c>
      <c r="AV293" s="3">
        <v>0</v>
      </c>
      <c r="AW293" s="3"/>
      <c r="AX293" s="14">
        <v>0</v>
      </c>
      <c r="AY293" s="14"/>
      <c r="AZ293" s="16">
        <f>_xlfn.XLOOKUP(C293,[2]PI!$B$15:$B$99,[2]PI!$L$15:$L$99,0,2,1)</f>
        <v>0</v>
      </c>
      <c r="BA293" s="16">
        <f>_xlfn.XLOOKUP(D293,[2]PI!$B$15:$B$99,[2]PI!$L$15:$L$99,0,2,1)</f>
        <v>0</v>
      </c>
      <c r="BB293" s="3"/>
      <c r="BC293" s="3"/>
      <c r="BD293" s="14"/>
      <c r="BE293" s="14"/>
      <c r="BF293" s="16"/>
      <c r="BG293" s="16"/>
      <c r="BH293" s="12">
        <f t="shared" si="112"/>
        <v>0</v>
      </c>
      <c r="BI293" s="19">
        <f t="shared" si="113"/>
        <v>0</v>
      </c>
      <c r="BJ293" s="1" t="s">
        <v>51</v>
      </c>
      <c r="BK293">
        <f t="shared" si="114"/>
        <v>0</v>
      </c>
      <c r="BL293">
        <f t="shared" si="115"/>
        <v>0</v>
      </c>
    </row>
    <row r="294" spans="1:64" x14ac:dyDescent="0.25">
      <c r="A294" s="1" t="s">
        <v>885</v>
      </c>
      <c r="B294" s="1" t="s">
        <v>884</v>
      </c>
      <c r="C294" s="13" t="s">
        <v>883</v>
      </c>
      <c r="D294" s="15"/>
      <c r="E294" s="17"/>
      <c r="F294" s="5">
        <v>5</v>
      </c>
      <c r="G294" s="14"/>
      <c r="H294" s="16"/>
      <c r="I294" s="11">
        <v>46221</v>
      </c>
      <c r="J294" s="4">
        <v>17</v>
      </c>
      <c r="K294" s="18">
        <f>(F294-(0)+0-(J294*Ventas!AE291*1))</f>
        <v>4.7008000000000001</v>
      </c>
      <c r="L294" s="20">
        <f>(K294/(Ventas!AE291*1)/80)</f>
        <v>3.3386363636363634</v>
      </c>
      <c r="M294" s="22">
        <f t="shared" si="116"/>
        <v>0</v>
      </c>
      <c r="N294" s="14"/>
      <c r="O294" s="25">
        <f t="shared" si="102"/>
        <v>0</v>
      </c>
      <c r="P294" s="16"/>
      <c r="Q294" s="12">
        <f t="shared" si="103"/>
        <v>4.7008000000000001</v>
      </c>
      <c r="R294" s="5">
        <v>0</v>
      </c>
      <c r="S294" s="24">
        <v>0</v>
      </c>
      <c r="T294" s="26">
        <v>0</v>
      </c>
      <c r="U294" s="18">
        <f t="shared" si="104"/>
        <v>4.7008000000000001</v>
      </c>
      <c r="V294" s="22">
        <f t="shared" si="105"/>
        <v>0</v>
      </c>
      <c r="W294" s="25">
        <f t="shared" si="106"/>
        <v>0</v>
      </c>
      <c r="X294" s="3"/>
      <c r="Y294" s="14"/>
      <c r="Z294" s="14"/>
      <c r="AA294" s="18">
        <v>12</v>
      </c>
      <c r="AB294" s="21">
        <v>7.9539999999999993E-3</v>
      </c>
      <c r="AC294" s="11">
        <v>46313</v>
      </c>
      <c r="AD294" s="4">
        <v>92</v>
      </c>
      <c r="AE294" s="18">
        <f>(IF(K294&gt;0,K294+R294,R294)-(AD294*Ventas!AE291*1.0489))</f>
        <v>3.0024211200000002</v>
      </c>
      <c r="AF294" s="20">
        <f>(AE294/(Ventas!AE291*1.0489)/80)</f>
        <v>2.0329882387609528</v>
      </c>
      <c r="AG294" s="22">
        <f t="shared" si="117"/>
        <v>0</v>
      </c>
      <c r="AH294" s="14"/>
      <c r="AI294" s="25">
        <f t="shared" si="107"/>
        <v>0</v>
      </c>
      <c r="AJ294" s="16"/>
      <c r="AK294" s="12">
        <f t="shared" si="108"/>
        <v>3.0024211200000002</v>
      </c>
      <c r="AL294" s="19">
        <f t="shared" si="109"/>
        <v>1.7788647089158336</v>
      </c>
      <c r="AM294" s="18">
        <f>(180*(Ventas!AE291*0.9644) - IF(AE294&gt;0,AE294,0))</f>
        <v>5.2798080000000525E-2</v>
      </c>
      <c r="AN294" s="18">
        <f t="shared" si="119"/>
        <v>0</v>
      </c>
      <c r="AO294" s="14"/>
      <c r="AP294" s="14">
        <f t="shared" si="118"/>
        <v>0</v>
      </c>
      <c r="AQ294" s="16">
        <f t="shared" si="110"/>
        <v>0</v>
      </c>
      <c r="AR294" s="37">
        <f>_xlfn.XLOOKUP(C294,[1]Hoja2!$C$6:$C$24,[1]Hoja2!$D$6:$D$24,0,2,1)</f>
        <v>0</v>
      </c>
      <c r="AS294" s="18">
        <f t="shared" si="111"/>
        <v>3.0024211200000002</v>
      </c>
      <c r="AT294" s="14"/>
      <c r="AU294" s="37">
        <f>_xlfn.XLOOKUP(D294,[1]Hoja2!$E$6:$E$24,[1]Hoja2!$F$6:$F$24,0,2,1)</f>
        <v>0</v>
      </c>
      <c r="AV294" s="27">
        <v>0</v>
      </c>
      <c r="AW294" s="5">
        <v>3022</v>
      </c>
      <c r="AX294" s="14">
        <v>0</v>
      </c>
      <c r="AY294" s="14"/>
      <c r="AZ294" s="16">
        <f>_xlfn.XLOOKUP(C294,[2]PI!$B$15:$B$99,[2]PI!$L$15:$L$99,0,2,1)</f>
        <v>0</v>
      </c>
      <c r="BA294" s="16">
        <f>_xlfn.XLOOKUP(D294,[2]PI!$B$15:$B$99,[2]PI!$L$15:$L$99,0,2,1)</f>
        <v>0</v>
      </c>
      <c r="BB294" s="18">
        <f>(AS294-(90*Ventas!AE291*0.9644))</f>
        <v>1.47481152</v>
      </c>
      <c r="BC294" s="20">
        <f>(BB294/(Ventas!AE291*0.9644)/80)</f>
        <v>1.0861171335922475</v>
      </c>
      <c r="BD294" s="14"/>
      <c r="BE294" s="14"/>
      <c r="BF294" s="16"/>
      <c r="BG294" s="16"/>
      <c r="BH294" s="12">
        <f t="shared" si="112"/>
        <v>1.47481152</v>
      </c>
      <c r="BI294" s="19">
        <f t="shared" si="113"/>
        <v>0.95035249189321658</v>
      </c>
      <c r="BJ294" s="1" t="s">
        <v>35</v>
      </c>
      <c r="BK294">
        <f t="shared" si="114"/>
        <v>0</v>
      </c>
      <c r="BL294">
        <f t="shared" si="115"/>
        <v>0</v>
      </c>
    </row>
    <row r="295" spans="1:64" x14ac:dyDescent="0.25">
      <c r="A295" s="1" t="s">
        <v>888</v>
      </c>
      <c r="B295" s="1" t="s">
        <v>887</v>
      </c>
      <c r="C295" s="13" t="s">
        <v>886</v>
      </c>
      <c r="D295" s="15"/>
      <c r="E295" s="17"/>
      <c r="F295" s="5">
        <v>30</v>
      </c>
      <c r="G295" s="14"/>
      <c r="H295" s="16"/>
      <c r="I295" s="11">
        <v>46221</v>
      </c>
      <c r="J295" s="4">
        <v>17</v>
      </c>
      <c r="K295" s="18">
        <f>(F295-(0)+0-(J295*Ventas!AE292*1))</f>
        <v>28.242685714285713</v>
      </c>
      <c r="L295" s="20">
        <f>(K295/(Ventas!AE292*1)/80)</f>
        <v>3.4151948590381425</v>
      </c>
      <c r="M295" s="22">
        <f t="shared" si="116"/>
        <v>0</v>
      </c>
      <c r="N295" s="14"/>
      <c r="O295" s="25">
        <f t="shared" si="102"/>
        <v>0</v>
      </c>
      <c r="P295" s="16"/>
      <c r="Q295" s="12">
        <f t="shared" si="103"/>
        <v>28.242685714285713</v>
      </c>
      <c r="R295" s="5">
        <v>24</v>
      </c>
      <c r="S295" s="24">
        <v>0</v>
      </c>
      <c r="T295" s="26">
        <v>0</v>
      </c>
      <c r="U295" s="18">
        <f t="shared" si="104"/>
        <v>52.242685714285713</v>
      </c>
      <c r="V295" s="22">
        <f t="shared" si="105"/>
        <v>0</v>
      </c>
      <c r="W295" s="25">
        <f t="shared" si="106"/>
        <v>0</v>
      </c>
      <c r="X295" s="18">
        <v>4</v>
      </c>
      <c r="Y295" s="14"/>
      <c r="Z295" s="14"/>
      <c r="AA295" s="18">
        <v>10</v>
      </c>
      <c r="AB295" s="21">
        <v>1.3318E-2</v>
      </c>
      <c r="AC295" s="11">
        <v>46313</v>
      </c>
      <c r="AD295" s="4">
        <v>92</v>
      </c>
      <c r="AE295" s="18">
        <f>(IF(K295&gt;0,K295+R295,R295)-(AD295*Ventas!AE292*1.0489))</f>
        <v>42.267466902857144</v>
      </c>
      <c r="AF295" s="20">
        <f>(AE295/(Ventas!AE292*1.0489)/80)</f>
        <v>4.8728341560383805</v>
      </c>
      <c r="AG295" s="22">
        <f t="shared" si="117"/>
        <v>0</v>
      </c>
      <c r="AH295" s="14"/>
      <c r="AI295" s="25">
        <f t="shared" si="107"/>
        <v>0</v>
      </c>
      <c r="AJ295" s="16"/>
      <c r="AK295" s="12">
        <f t="shared" si="108"/>
        <v>42.267466902857144</v>
      </c>
      <c r="AL295" s="19">
        <f t="shared" si="109"/>
        <v>4.2637298865335831</v>
      </c>
      <c r="AM295" s="18">
        <f>(180*(Ventas!AE292*0.9644) - IF(AE295&gt;0,AE295,0))</f>
        <v>-24.323013874285714</v>
      </c>
      <c r="AN295" s="18">
        <f t="shared" si="119"/>
        <v>0</v>
      </c>
      <c r="AO295" s="14"/>
      <c r="AP295" s="14">
        <f t="shared" si="118"/>
        <v>0</v>
      </c>
      <c r="AQ295" s="16">
        <f t="shared" si="110"/>
        <v>0</v>
      </c>
      <c r="AR295" s="37">
        <f>_xlfn.XLOOKUP(C295,[1]Hoja2!$C$6:$C$24,[1]Hoja2!$D$6:$D$24,0,2,1)</f>
        <v>0</v>
      </c>
      <c r="AS295" s="18">
        <f t="shared" si="111"/>
        <v>42.267466902857144</v>
      </c>
      <c r="AT295" s="14"/>
      <c r="AU295" s="37">
        <f>_xlfn.XLOOKUP(D295,[1]Hoja2!$E$6:$E$24,[1]Hoja2!$F$6:$F$24,0,2,1)</f>
        <v>0</v>
      </c>
      <c r="AV295" s="27">
        <v>0</v>
      </c>
      <c r="AW295" s="5">
        <v>3016</v>
      </c>
      <c r="AX295" s="14">
        <v>0</v>
      </c>
      <c r="AY295" s="14"/>
      <c r="AZ295" s="16">
        <f>_xlfn.XLOOKUP(C295,[2]PI!$B$15:$B$99,[2]PI!$L$15:$L$99,0,2,1)</f>
        <v>0</v>
      </c>
      <c r="BA295" s="16">
        <f>_xlfn.XLOOKUP(D295,[2]PI!$B$15:$B$99,[2]PI!$L$15:$L$99,0,2,1)</f>
        <v>0</v>
      </c>
      <c r="BB295" s="18">
        <f>(AS295-(90*Ventas!AE292*0.9644))</f>
        <v>33.295240388571429</v>
      </c>
      <c r="BC295" s="20">
        <f>(BB295/(Ventas!AE292*0.9644)/80)</f>
        <v>4.1747882064171051</v>
      </c>
      <c r="BD295" s="14"/>
      <c r="BE295" s="14"/>
      <c r="BF295" s="16"/>
      <c r="BG295" s="16"/>
      <c r="BH295" s="12">
        <f t="shared" si="112"/>
        <v>33.295240388571429</v>
      </c>
      <c r="BI295" s="19">
        <f t="shared" si="113"/>
        <v>3.652939680614967</v>
      </c>
      <c r="BJ295" s="1" t="s">
        <v>35</v>
      </c>
      <c r="BK295">
        <f t="shared" si="114"/>
        <v>0</v>
      </c>
      <c r="BL295">
        <f t="shared" si="115"/>
        <v>0</v>
      </c>
    </row>
    <row r="296" spans="1:64" x14ac:dyDescent="0.25">
      <c r="A296" s="1" t="s">
        <v>891</v>
      </c>
      <c r="B296" s="1" t="s">
        <v>890</v>
      </c>
      <c r="C296" s="13" t="s">
        <v>889</v>
      </c>
      <c r="D296" s="15"/>
      <c r="E296" s="17"/>
      <c r="F296" s="3"/>
      <c r="G296" s="14"/>
      <c r="H296" s="16"/>
      <c r="I296" s="11">
        <v>46221</v>
      </c>
      <c r="J296" s="4">
        <v>17</v>
      </c>
      <c r="K296" s="18">
        <f>(F296-(0)+0-(J296*Ventas!AE293*1))</f>
        <v>0</v>
      </c>
      <c r="L296" s="3"/>
      <c r="M296" s="22">
        <f t="shared" si="116"/>
        <v>0</v>
      </c>
      <c r="N296" s="14"/>
      <c r="O296" s="25">
        <f t="shared" si="102"/>
        <v>0</v>
      </c>
      <c r="P296" s="16"/>
      <c r="Q296" s="12">
        <f t="shared" si="103"/>
        <v>0</v>
      </c>
      <c r="R296" s="5">
        <v>0</v>
      </c>
      <c r="S296" s="24">
        <v>0</v>
      </c>
      <c r="T296" s="26">
        <v>0</v>
      </c>
      <c r="U296" s="18">
        <f t="shared" si="104"/>
        <v>0</v>
      </c>
      <c r="V296" s="22">
        <f t="shared" si="105"/>
        <v>0</v>
      </c>
      <c r="W296" s="25">
        <f t="shared" si="106"/>
        <v>0</v>
      </c>
      <c r="X296" s="3"/>
      <c r="Y296" s="14"/>
      <c r="Z296" s="14"/>
      <c r="AA296" s="3"/>
      <c r="AB296" s="3"/>
      <c r="AC296" s="11">
        <v>46313</v>
      </c>
      <c r="AD296" s="4">
        <v>92</v>
      </c>
      <c r="AE296" s="18">
        <f>(IF(K296&gt;0,K296+R296,R296)-(AD296*Ventas!AE293*1.0489))</f>
        <v>0</v>
      </c>
      <c r="AF296" s="3"/>
      <c r="AG296" s="22">
        <f t="shared" si="117"/>
        <v>0</v>
      </c>
      <c r="AH296" s="14"/>
      <c r="AI296" s="25">
        <f t="shared" si="107"/>
        <v>0</v>
      </c>
      <c r="AJ296" s="16"/>
      <c r="AK296" s="12">
        <f t="shared" si="108"/>
        <v>0</v>
      </c>
      <c r="AL296" s="19">
        <f t="shared" si="109"/>
        <v>0</v>
      </c>
      <c r="AM296" s="18">
        <f>(180*(Ventas!AE293*0.9644) - IF(AE296&gt;0,AE296,0))</f>
        <v>0</v>
      </c>
      <c r="AN296" s="18">
        <f t="shared" si="119"/>
        <v>0</v>
      </c>
      <c r="AO296" s="14"/>
      <c r="AP296" s="14">
        <f t="shared" si="118"/>
        <v>0</v>
      </c>
      <c r="AQ296" s="16">
        <f t="shared" si="110"/>
        <v>0</v>
      </c>
      <c r="AR296" s="37">
        <f>_xlfn.XLOOKUP(C296,[1]Hoja2!$C$6:$C$24,[1]Hoja2!$D$6:$D$24,0,2,1)</f>
        <v>0</v>
      </c>
      <c r="AS296" s="18">
        <f t="shared" si="111"/>
        <v>0</v>
      </c>
      <c r="AT296" s="14"/>
      <c r="AU296" s="37">
        <f>_xlfn.XLOOKUP(D296,[1]Hoja2!$E$6:$E$24,[1]Hoja2!$F$6:$F$24,0,2,1)</f>
        <v>0</v>
      </c>
      <c r="AV296" s="3">
        <v>0</v>
      </c>
      <c r="AW296" s="3"/>
      <c r="AX296" s="14">
        <v>0</v>
      </c>
      <c r="AY296" s="14"/>
      <c r="AZ296" s="16">
        <f>_xlfn.XLOOKUP(C296,[2]PI!$B$15:$B$99,[2]PI!$L$15:$L$99,0,2,1)</f>
        <v>0</v>
      </c>
      <c r="BA296" s="16">
        <f>_xlfn.XLOOKUP(D296,[2]PI!$B$15:$B$99,[2]PI!$L$15:$L$99,0,2,1)</f>
        <v>0</v>
      </c>
      <c r="BB296" s="3"/>
      <c r="BC296" s="3"/>
      <c r="BD296" s="14"/>
      <c r="BE296" s="14"/>
      <c r="BF296" s="16"/>
      <c r="BG296" s="16"/>
      <c r="BH296" s="12">
        <f t="shared" si="112"/>
        <v>0</v>
      </c>
      <c r="BI296" s="19">
        <f t="shared" si="113"/>
        <v>0</v>
      </c>
      <c r="BJ296" s="1" t="s">
        <v>35</v>
      </c>
      <c r="BK296">
        <f t="shared" si="114"/>
        <v>0</v>
      </c>
      <c r="BL296">
        <f t="shared" si="115"/>
        <v>0</v>
      </c>
    </row>
    <row r="297" spans="1:64" x14ac:dyDescent="0.25">
      <c r="A297" s="1" t="s">
        <v>894</v>
      </c>
      <c r="B297" s="1" t="s">
        <v>893</v>
      </c>
      <c r="C297" s="13" t="s">
        <v>892</v>
      </c>
      <c r="D297" s="15"/>
      <c r="E297" s="17"/>
      <c r="F297" s="3"/>
      <c r="G297" s="14"/>
      <c r="H297" s="16"/>
      <c r="I297" s="11">
        <v>46221</v>
      </c>
      <c r="J297" s="4">
        <v>17</v>
      </c>
      <c r="K297" s="18">
        <f>(F297-(0)+0-(J297*Ventas!AE294*1))</f>
        <v>0</v>
      </c>
      <c r="L297" s="3"/>
      <c r="M297" s="22">
        <f t="shared" si="116"/>
        <v>0</v>
      </c>
      <c r="N297" s="14"/>
      <c r="O297" s="25">
        <f t="shared" si="102"/>
        <v>0</v>
      </c>
      <c r="P297" s="16"/>
      <c r="Q297" s="12">
        <f t="shared" si="103"/>
        <v>0</v>
      </c>
      <c r="R297" s="5">
        <v>0</v>
      </c>
      <c r="S297" s="24">
        <v>0</v>
      </c>
      <c r="T297" s="26">
        <v>0</v>
      </c>
      <c r="U297" s="18">
        <f t="shared" si="104"/>
        <v>0</v>
      </c>
      <c r="V297" s="22">
        <f t="shared" si="105"/>
        <v>0</v>
      </c>
      <c r="W297" s="25">
        <f t="shared" si="106"/>
        <v>0</v>
      </c>
      <c r="X297" s="3"/>
      <c r="Y297" s="14"/>
      <c r="Z297" s="14"/>
      <c r="AA297" s="3"/>
      <c r="AB297" s="3"/>
      <c r="AC297" s="11">
        <v>46313</v>
      </c>
      <c r="AD297" s="4">
        <v>92</v>
      </c>
      <c r="AE297" s="18">
        <f>(IF(K297&gt;0,K297+R297,R297)-(AD297*Ventas!AE294*1.0489))</f>
        <v>0</v>
      </c>
      <c r="AF297" s="3"/>
      <c r="AG297" s="22">
        <f t="shared" si="117"/>
        <v>0</v>
      </c>
      <c r="AH297" s="14"/>
      <c r="AI297" s="25">
        <f t="shared" si="107"/>
        <v>0</v>
      </c>
      <c r="AJ297" s="16"/>
      <c r="AK297" s="12">
        <f t="shared" si="108"/>
        <v>0</v>
      </c>
      <c r="AL297" s="19">
        <f t="shared" si="109"/>
        <v>0</v>
      </c>
      <c r="AM297" s="18">
        <f>(180*(Ventas!AE294*0.9644) - IF(AE297&gt;0,AE297,0))</f>
        <v>0</v>
      </c>
      <c r="AN297" s="18">
        <f t="shared" si="119"/>
        <v>0</v>
      </c>
      <c r="AO297" s="14"/>
      <c r="AP297" s="14">
        <f t="shared" si="118"/>
        <v>0</v>
      </c>
      <c r="AQ297" s="16">
        <f t="shared" si="110"/>
        <v>0</v>
      </c>
      <c r="AR297" s="37">
        <f>_xlfn.XLOOKUP(C297,[1]Hoja2!$C$6:$C$24,[1]Hoja2!$D$6:$D$24,0,2,1)</f>
        <v>0</v>
      </c>
      <c r="AS297" s="18">
        <f t="shared" si="111"/>
        <v>0</v>
      </c>
      <c r="AT297" s="14"/>
      <c r="AU297" s="37">
        <f>_xlfn.XLOOKUP(D297,[1]Hoja2!$E$6:$E$24,[1]Hoja2!$F$6:$F$24,0,2,1)</f>
        <v>0</v>
      </c>
      <c r="AV297" s="3">
        <v>0</v>
      </c>
      <c r="AW297" s="3"/>
      <c r="AX297" s="14">
        <v>0</v>
      </c>
      <c r="AY297" s="14"/>
      <c r="AZ297" s="16">
        <f>_xlfn.XLOOKUP(C297,[2]PI!$B$15:$B$99,[2]PI!$L$15:$L$99,0,2,1)</f>
        <v>0</v>
      </c>
      <c r="BA297" s="16">
        <f>_xlfn.XLOOKUP(D297,[2]PI!$B$15:$B$99,[2]PI!$L$15:$L$99,0,2,1)</f>
        <v>0</v>
      </c>
      <c r="BB297" s="3"/>
      <c r="BC297" s="3"/>
      <c r="BD297" s="14"/>
      <c r="BE297" s="14"/>
      <c r="BF297" s="16"/>
      <c r="BG297" s="16"/>
      <c r="BH297" s="12">
        <f t="shared" si="112"/>
        <v>0</v>
      </c>
      <c r="BI297" s="19">
        <f t="shared" si="113"/>
        <v>0</v>
      </c>
      <c r="BJ297" s="1" t="s">
        <v>35</v>
      </c>
      <c r="BK297">
        <f t="shared" si="114"/>
        <v>0</v>
      </c>
      <c r="BL297">
        <f t="shared" si="115"/>
        <v>0</v>
      </c>
    </row>
    <row r="298" spans="1:64" x14ac:dyDescent="0.25">
      <c r="A298" s="1" t="s">
        <v>897</v>
      </c>
      <c r="B298" s="1" t="s">
        <v>896</v>
      </c>
      <c r="C298" s="13" t="s">
        <v>895</v>
      </c>
      <c r="D298" s="15"/>
      <c r="E298" s="17"/>
      <c r="F298" s="5">
        <v>25</v>
      </c>
      <c r="G298" s="14"/>
      <c r="H298" s="16"/>
      <c r="I298" s="11">
        <v>46221</v>
      </c>
      <c r="J298" s="4">
        <v>17</v>
      </c>
      <c r="K298" s="18">
        <f>(F298-(0)+0-(J298*Ventas!AE295*1))</f>
        <v>8.4716285714285711</v>
      </c>
      <c r="L298" s="20">
        <f>(K298/(Ventas!AE295*1)/80)</f>
        <v>0.10891702665373652</v>
      </c>
      <c r="M298" s="22">
        <f t="shared" si="116"/>
        <v>0</v>
      </c>
      <c r="N298" s="14"/>
      <c r="O298" s="25">
        <f t="shared" si="102"/>
        <v>0</v>
      </c>
      <c r="P298" s="16"/>
      <c r="Q298" s="12">
        <f t="shared" si="103"/>
        <v>8.4716285714285711</v>
      </c>
      <c r="R298" s="5">
        <v>90</v>
      </c>
      <c r="S298" s="24">
        <v>0</v>
      </c>
      <c r="T298" s="26">
        <v>0</v>
      </c>
      <c r="U298" s="18">
        <f t="shared" si="104"/>
        <v>98.471628571428568</v>
      </c>
      <c r="V298" s="22">
        <f t="shared" si="105"/>
        <v>0</v>
      </c>
      <c r="W298" s="25">
        <f t="shared" si="106"/>
        <v>0</v>
      </c>
      <c r="X298" s="18">
        <v>3.6</v>
      </c>
      <c r="Y298" s="14"/>
      <c r="Z298" s="14"/>
      <c r="AA298" s="18">
        <v>18</v>
      </c>
      <c r="AB298" s="21">
        <v>5.5659999999999998E-3</v>
      </c>
      <c r="AC298" s="11">
        <v>46313</v>
      </c>
      <c r="AD298" s="4">
        <v>92</v>
      </c>
      <c r="AE298" s="18">
        <f>(IF(K298&gt;0,K298+R298,R298)-(AD298*Ventas!AE295*1.0489))</f>
        <v>4.6499809942857127</v>
      </c>
      <c r="AF298" s="20">
        <f>(AE298/(Ventas!AE295*1.0489)/80)</f>
        <v>5.69962080343102E-2</v>
      </c>
      <c r="AG298" s="22">
        <f t="shared" si="117"/>
        <v>0</v>
      </c>
      <c r="AH298" s="14"/>
      <c r="AI298" s="25">
        <f t="shared" si="107"/>
        <v>0</v>
      </c>
      <c r="AJ298" s="16"/>
      <c r="AK298" s="12">
        <f t="shared" si="108"/>
        <v>4.6499809942857127</v>
      </c>
      <c r="AL298" s="19">
        <f t="shared" si="109"/>
        <v>4.9871682030021423E-2</v>
      </c>
      <c r="AM298" s="18">
        <f>(180*(Ventas!AE295*0.9644) - IF(AE298&gt;0,AE298,0))</f>
        <v>164.12608094857143</v>
      </c>
      <c r="AN298" s="18">
        <v>150</v>
      </c>
      <c r="AO298" s="14"/>
      <c r="AP298" s="14">
        <f t="shared" si="118"/>
        <v>0</v>
      </c>
      <c r="AQ298" s="16">
        <f t="shared" si="110"/>
        <v>0.83489999999999998</v>
      </c>
      <c r="AR298" s="37">
        <f>_xlfn.XLOOKUP(C298,[1]Hoja2!$C$6:$C$24,[1]Hoja2!$D$6:$D$24,0,2,1)</f>
        <v>0</v>
      </c>
      <c r="AS298" s="18">
        <f t="shared" si="111"/>
        <v>154.64998099428573</v>
      </c>
      <c r="AT298" s="14"/>
      <c r="AU298" s="37">
        <f>_xlfn.XLOOKUP(D298,[1]Hoja2!$E$6:$E$24,[1]Hoja2!$F$6:$F$24,0,2,1)</f>
        <v>0</v>
      </c>
      <c r="AV298" s="27">
        <v>3.6</v>
      </c>
      <c r="AW298" s="5">
        <v>3016</v>
      </c>
      <c r="AX298" s="14">
        <v>0</v>
      </c>
      <c r="AY298" s="14"/>
      <c r="AZ298" s="16">
        <f>_xlfn.XLOOKUP(C298,[2]PI!$B$15:$B$99,[2]PI!$L$15:$L$99,0,2,1)</f>
        <v>3.6</v>
      </c>
      <c r="BA298" s="16">
        <f>_xlfn.XLOOKUP(D298,[2]PI!$B$15:$B$99,[2]PI!$L$15:$L$99,0,2,1)</f>
        <v>0</v>
      </c>
      <c r="BB298" s="18">
        <f>(AS298-(90*Ventas!AE295*0.9644))</f>
        <v>70.261950022857164</v>
      </c>
      <c r="BC298" s="20">
        <f>(BB298/(Ventas!AE295*0.9644)/80)</f>
        <v>0.93668133816840249</v>
      </c>
      <c r="BD298" s="14"/>
      <c r="BE298" s="14"/>
      <c r="BF298" s="16"/>
      <c r="BG298" s="16"/>
      <c r="BH298" s="12">
        <f t="shared" si="112"/>
        <v>70.261950022857164</v>
      </c>
      <c r="BI298" s="19">
        <f t="shared" si="113"/>
        <v>0.81959617089735215</v>
      </c>
      <c r="BJ298" s="1" t="s">
        <v>35</v>
      </c>
      <c r="BK298">
        <f t="shared" si="114"/>
        <v>540</v>
      </c>
      <c r="BL298">
        <f t="shared" si="115"/>
        <v>540</v>
      </c>
    </row>
    <row r="299" spans="1:64" x14ac:dyDescent="0.25">
      <c r="A299" s="1" t="s">
        <v>900</v>
      </c>
      <c r="B299" s="1" t="s">
        <v>899</v>
      </c>
      <c r="C299" s="13" t="s">
        <v>898</v>
      </c>
      <c r="D299" s="15"/>
      <c r="E299" s="17"/>
      <c r="F299" s="5">
        <v>8</v>
      </c>
      <c r="G299" s="14"/>
      <c r="H299" s="16"/>
      <c r="I299" s="11">
        <v>46221</v>
      </c>
      <c r="J299" s="4">
        <v>17</v>
      </c>
      <c r="K299" s="18">
        <f>(F299-(0)+0-(J299*Ventas!AE296*1))</f>
        <v>2.4320142857142857</v>
      </c>
      <c r="L299" s="20">
        <f>(K299/(Ventas!AE296*1)/80)</f>
        <v>9.2816875299864793E-2</v>
      </c>
      <c r="M299" s="22">
        <f t="shared" si="116"/>
        <v>0</v>
      </c>
      <c r="N299" s="14"/>
      <c r="O299" s="25">
        <f t="shared" si="102"/>
        <v>0</v>
      </c>
      <c r="P299" s="16"/>
      <c r="Q299" s="12">
        <f t="shared" si="103"/>
        <v>2.4320142857142857</v>
      </c>
      <c r="R299" s="5">
        <v>72</v>
      </c>
      <c r="S299" s="24">
        <v>0</v>
      </c>
      <c r="T299" s="26">
        <v>0</v>
      </c>
      <c r="U299" s="18">
        <f t="shared" si="104"/>
        <v>74.432014285714288</v>
      </c>
      <c r="V299" s="22">
        <f t="shared" si="105"/>
        <v>0</v>
      </c>
      <c r="W299" s="25">
        <f t="shared" si="106"/>
        <v>0</v>
      </c>
      <c r="X299" s="18">
        <v>3.6</v>
      </c>
      <c r="Y299" s="14"/>
      <c r="Z299" s="14"/>
      <c r="AA299" s="18">
        <v>10</v>
      </c>
      <c r="AB299" s="21">
        <v>1.3318E-2</v>
      </c>
      <c r="AC299" s="11">
        <v>46313</v>
      </c>
      <c r="AD299" s="4">
        <v>92</v>
      </c>
      <c r="AE299" s="18">
        <f>(IF(K299&gt;0,K299+R299,R299)-(AD299*Ventas!AE296*1.0489))</f>
        <v>42.825900177142856</v>
      </c>
      <c r="AF299" s="20">
        <f>(AE299/(Ventas!AE296*1.0489)/80)</f>
        <v>1.5582360120112955</v>
      </c>
      <c r="AG299" s="22">
        <f t="shared" si="117"/>
        <v>0</v>
      </c>
      <c r="AH299" s="14"/>
      <c r="AI299" s="25">
        <f t="shared" si="107"/>
        <v>0</v>
      </c>
      <c r="AJ299" s="16"/>
      <c r="AK299" s="12">
        <f t="shared" si="108"/>
        <v>42.825900177142856</v>
      </c>
      <c r="AL299" s="19">
        <f t="shared" si="109"/>
        <v>1.3634565105098835</v>
      </c>
      <c r="AM299" s="18">
        <f>(180*(Ventas!AE296*0.9644) - IF(AE299&gt;0,AE299,0))</f>
        <v>14.030439594285717</v>
      </c>
      <c r="AN299" s="18">
        <v>18</v>
      </c>
      <c r="AO299" s="14"/>
      <c r="AP299" s="14">
        <f t="shared" si="118"/>
        <v>0</v>
      </c>
      <c r="AQ299" s="16">
        <f t="shared" si="110"/>
        <v>0.23972399999999999</v>
      </c>
      <c r="AR299" s="37">
        <f>_xlfn.XLOOKUP(C299,[1]Hoja2!$C$6:$C$24,[1]Hoja2!$D$6:$D$24,0,2,1)</f>
        <v>0</v>
      </c>
      <c r="AS299" s="18">
        <f t="shared" si="111"/>
        <v>60.825900177142856</v>
      </c>
      <c r="AT299" s="14"/>
      <c r="AU299" s="37">
        <f>_xlfn.XLOOKUP(D299,[1]Hoja2!$E$6:$E$24,[1]Hoja2!$F$6:$F$24,0,2,1)</f>
        <v>0</v>
      </c>
      <c r="AV299" s="27">
        <v>3.6</v>
      </c>
      <c r="AW299" s="5">
        <v>3016</v>
      </c>
      <c r="AX299" s="14">
        <v>0</v>
      </c>
      <c r="AY299" s="14"/>
      <c r="AZ299" s="16">
        <f>_xlfn.XLOOKUP(C299,[2]PI!$B$15:$B$99,[2]PI!$L$15:$L$99,0,2,1)</f>
        <v>3.6</v>
      </c>
      <c r="BA299" s="16">
        <f>_xlfn.XLOOKUP(D299,[2]PI!$B$15:$B$99,[2]PI!$L$15:$L$99,0,2,1)</f>
        <v>0</v>
      </c>
      <c r="BB299" s="18">
        <f>(AS299-(90*Ventas!AE296*0.9644))</f>
        <v>32.397730291428566</v>
      </c>
      <c r="BC299" s="20">
        <f>(BB299/(Ventas!AE296*0.9644)/80)</f>
        <v>1.2820890941760092</v>
      </c>
      <c r="BD299" s="14"/>
      <c r="BE299" s="14"/>
      <c r="BF299" s="16"/>
      <c r="BG299" s="16"/>
      <c r="BH299" s="12">
        <f t="shared" si="112"/>
        <v>32.397730291428566</v>
      </c>
      <c r="BI299" s="19">
        <f t="shared" si="113"/>
        <v>1.1218279574040082</v>
      </c>
      <c r="BJ299" s="1" t="s">
        <v>35</v>
      </c>
      <c r="BK299">
        <f t="shared" si="114"/>
        <v>64.8</v>
      </c>
      <c r="BL299">
        <f t="shared" si="115"/>
        <v>64.8</v>
      </c>
    </row>
    <row r="300" spans="1:64" x14ac:dyDescent="0.25">
      <c r="A300" s="1" t="s">
        <v>903</v>
      </c>
      <c r="B300" s="1" t="s">
        <v>902</v>
      </c>
      <c r="C300" s="13" t="s">
        <v>901</v>
      </c>
      <c r="D300" s="15"/>
      <c r="E300" s="17"/>
      <c r="F300" s="3"/>
      <c r="G300" s="14"/>
      <c r="H300" s="16"/>
      <c r="I300" s="11">
        <v>46221</v>
      </c>
      <c r="J300" s="4">
        <v>17</v>
      </c>
      <c r="K300" s="18">
        <f>(F300-(0)+0-(J300*Ventas!AE297*1))</f>
        <v>0</v>
      </c>
      <c r="L300" s="3"/>
      <c r="M300" s="22">
        <f t="shared" si="116"/>
        <v>0</v>
      </c>
      <c r="N300" s="14"/>
      <c r="O300" s="25">
        <f t="shared" si="102"/>
        <v>0</v>
      </c>
      <c r="P300" s="16"/>
      <c r="Q300" s="12">
        <f t="shared" si="103"/>
        <v>0</v>
      </c>
      <c r="R300" s="5">
        <v>0</v>
      </c>
      <c r="S300" s="24">
        <v>0</v>
      </c>
      <c r="T300" s="26">
        <v>0</v>
      </c>
      <c r="U300" s="18">
        <f t="shared" si="104"/>
        <v>0</v>
      </c>
      <c r="V300" s="22">
        <f t="shared" si="105"/>
        <v>0</v>
      </c>
      <c r="W300" s="25">
        <f t="shared" si="106"/>
        <v>0</v>
      </c>
      <c r="X300" s="3"/>
      <c r="Y300" s="14"/>
      <c r="Z300" s="14"/>
      <c r="AA300" s="18">
        <v>20</v>
      </c>
      <c r="AB300" s="21">
        <v>3.5639999999999999E-3</v>
      </c>
      <c r="AC300" s="11">
        <v>46313</v>
      </c>
      <c r="AD300" s="4">
        <v>92</v>
      </c>
      <c r="AE300" s="18">
        <f>(IF(K300&gt;0,K300+R300,R300)-(AD300*Ventas!AE297*1.0489))</f>
        <v>0</v>
      </c>
      <c r="AF300" s="3"/>
      <c r="AG300" s="22">
        <f t="shared" si="117"/>
        <v>0</v>
      </c>
      <c r="AH300" s="14"/>
      <c r="AI300" s="25">
        <f t="shared" si="107"/>
        <v>0</v>
      </c>
      <c r="AJ300" s="16"/>
      <c r="AK300" s="12">
        <f t="shared" si="108"/>
        <v>0</v>
      </c>
      <c r="AL300" s="19">
        <f t="shared" si="109"/>
        <v>0</v>
      </c>
      <c r="AM300" s="18">
        <f>(180*(Ventas!AE297*0.9644) - IF(AE300&gt;0,AE300,0))</f>
        <v>0</v>
      </c>
      <c r="AN300" s="18">
        <f>IF(AM300&gt;3,CEILING(AM300,5),0)</f>
        <v>0</v>
      </c>
      <c r="AO300" s="14"/>
      <c r="AP300" s="14">
        <f t="shared" si="118"/>
        <v>0</v>
      </c>
      <c r="AQ300" s="16">
        <f t="shared" si="110"/>
        <v>0</v>
      </c>
      <c r="AR300" s="37">
        <f>_xlfn.XLOOKUP(C300,[1]Hoja2!$C$6:$C$24,[1]Hoja2!$D$6:$D$24,0,2,1)</f>
        <v>0</v>
      </c>
      <c r="AS300" s="18">
        <f t="shared" si="111"/>
        <v>0</v>
      </c>
      <c r="AT300" s="14"/>
      <c r="AU300" s="37">
        <f>_xlfn.XLOOKUP(D300,[1]Hoja2!$E$6:$E$24,[1]Hoja2!$F$6:$F$24,0,2,1)</f>
        <v>0</v>
      </c>
      <c r="AV300" s="27">
        <v>0</v>
      </c>
      <c r="AW300" s="5">
        <v>3022</v>
      </c>
      <c r="AX300" s="14">
        <v>0</v>
      </c>
      <c r="AY300" s="14"/>
      <c r="AZ300" s="16">
        <f>_xlfn.XLOOKUP(C300,[2]PI!$B$15:$B$99,[2]PI!$L$15:$L$99,0,2,1)</f>
        <v>0</v>
      </c>
      <c r="BA300" s="16">
        <f>_xlfn.XLOOKUP(D300,[2]PI!$B$15:$B$99,[2]PI!$L$15:$L$99,0,2,1)</f>
        <v>0</v>
      </c>
      <c r="BB300" s="3"/>
      <c r="BC300" s="3"/>
      <c r="BD300" s="14"/>
      <c r="BE300" s="14"/>
      <c r="BF300" s="16"/>
      <c r="BG300" s="16"/>
      <c r="BH300" s="12">
        <f t="shared" si="112"/>
        <v>0</v>
      </c>
      <c r="BI300" s="19">
        <f t="shared" si="113"/>
        <v>0</v>
      </c>
      <c r="BJ300" s="1" t="s">
        <v>35</v>
      </c>
      <c r="BK300">
        <f t="shared" si="114"/>
        <v>0</v>
      </c>
      <c r="BL300">
        <f t="shared" si="115"/>
        <v>0</v>
      </c>
    </row>
    <row r="301" spans="1:64" x14ac:dyDescent="0.25">
      <c r="A301" s="1" t="s">
        <v>906</v>
      </c>
      <c r="B301" s="1" t="s">
        <v>905</v>
      </c>
      <c r="C301" s="13" t="s">
        <v>904</v>
      </c>
      <c r="D301" s="15"/>
      <c r="E301" s="17"/>
      <c r="F301" s="5">
        <v>25</v>
      </c>
      <c r="G301" s="14"/>
      <c r="H301" s="16"/>
      <c r="I301" s="11">
        <v>46221</v>
      </c>
      <c r="J301" s="4">
        <v>17</v>
      </c>
      <c r="K301" s="18">
        <f>(F301-(0)+0-(J301*Ventas!AE298*1))</f>
        <v>21.528600000000001</v>
      </c>
      <c r="L301" s="20">
        <f>(K301/(Ventas!AE298*1)/80)</f>
        <v>1.3178623898139077</v>
      </c>
      <c r="M301" s="22">
        <f t="shared" si="116"/>
        <v>0</v>
      </c>
      <c r="N301" s="14"/>
      <c r="O301" s="25">
        <f t="shared" si="102"/>
        <v>0</v>
      </c>
      <c r="P301" s="16"/>
      <c r="Q301" s="12">
        <f t="shared" si="103"/>
        <v>21.528600000000001</v>
      </c>
      <c r="R301" s="5">
        <v>40</v>
      </c>
      <c r="S301" s="24">
        <v>0</v>
      </c>
      <c r="T301" s="26">
        <v>0</v>
      </c>
      <c r="U301" s="18">
        <f t="shared" si="104"/>
        <v>61.528599999999997</v>
      </c>
      <c r="V301" s="22">
        <f t="shared" si="105"/>
        <v>0</v>
      </c>
      <c r="W301" s="25">
        <f t="shared" si="106"/>
        <v>0</v>
      </c>
      <c r="X301" s="18">
        <v>2.75</v>
      </c>
      <c r="Y301" s="14"/>
      <c r="Z301" s="14"/>
      <c r="AA301" s="18">
        <v>20</v>
      </c>
      <c r="AB301" s="21">
        <v>4.0699999999999998E-3</v>
      </c>
      <c r="AC301" s="11">
        <v>46313</v>
      </c>
      <c r="AD301" s="4">
        <v>92</v>
      </c>
      <c r="AE301" s="18">
        <f>(IF(K301&gt;0,K301+R301,R301)-(AD301*Ventas!AE298*1.0489))</f>
        <v>41.823545039999999</v>
      </c>
      <c r="AF301" s="20">
        <f>(AE301/(Ventas!AE298*1.0489)/80)</f>
        <v>2.4408496649024314</v>
      </c>
      <c r="AG301" s="22">
        <f t="shared" si="117"/>
        <v>0</v>
      </c>
      <c r="AH301" s="14"/>
      <c r="AI301" s="25">
        <f t="shared" si="107"/>
        <v>0</v>
      </c>
      <c r="AJ301" s="16"/>
      <c r="AK301" s="12">
        <f t="shared" si="108"/>
        <v>41.823545039999999</v>
      </c>
      <c r="AL301" s="19">
        <f t="shared" si="109"/>
        <v>2.1357434567896276</v>
      </c>
      <c r="AM301" s="18">
        <f>(180*(Ventas!AE298*0.9644) - IF(AE301&gt;0,AE301,0))</f>
        <v>-6.3760586399999966</v>
      </c>
      <c r="AN301" s="18">
        <f>IF(AM301&gt;3,CEILING(AM301,5),0)</f>
        <v>0</v>
      </c>
      <c r="AO301" s="14"/>
      <c r="AP301" s="14">
        <f t="shared" si="118"/>
        <v>0</v>
      </c>
      <c r="AQ301" s="16">
        <f t="shared" si="110"/>
        <v>0</v>
      </c>
      <c r="AR301" s="37">
        <f>_xlfn.XLOOKUP(C301,[1]Hoja2!$C$6:$C$24,[1]Hoja2!$D$6:$D$24,0,2,1)</f>
        <v>0</v>
      </c>
      <c r="AS301" s="18">
        <f t="shared" si="111"/>
        <v>41.823545039999999</v>
      </c>
      <c r="AT301" s="14"/>
      <c r="AU301" s="37">
        <f>_xlfn.XLOOKUP(D301,[1]Hoja2!$E$6:$E$24,[1]Hoja2!$F$6:$F$24,0,2,1)</f>
        <v>0</v>
      </c>
      <c r="AV301" s="27">
        <v>0</v>
      </c>
      <c r="AW301" s="5">
        <v>3016</v>
      </c>
      <c r="AX301" s="14">
        <v>0</v>
      </c>
      <c r="AY301" s="14"/>
      <c r="AZ301" s="16">
        <f>_xlfn.XLOOKUP(C301,[2]PI!$B$15:$B$99,[2]PI!$L$15:$L$99,0,2,1)</f>
        <v>0</v>
      </c>
      <c r="BA301" s="16">
        <f>_xlfn.XLOOKUP(D301,[2]PI!$B$15:$B$99,[2]PI!$L$15:$L$99,0,2,1)</f>
        <v>0</v>
      </c>
      <c r="BB301" s="18">
        <f>(AS301-(90*Ventas!AE298*0.9644))</f>
        <v>24.099801839999998</v>
      </c>
      <c r="BC301" s="20">
        <f>(BB301/(Ventas!AE298*0.9644)/80)</f>
        <v>1.5297150700084616</v>
      </c>
      <c r="BD301" s="14"/>
      <c r="BE301" s="14"/>
      <c r="BF301" s="16"/>
      <c r="BG301" s="16"/>
      <c r="BH301" s="12">
        <f t="shared" si="112"/>
        <v>24.099801839999998</v>
      </c>
      <c r="BI301" s="19">
        <f t="shared" si="113"/>
        <v>1.338500686257404</v>
      </c>
      <c r="BJ301" s="1" t="s">
        <v>35</v>
      </c>
      <c r="BK301">
        <f t="shared" si="114"/>
        <v>0</v>
      </c>
      <c r="BL301">
        <f t="shared" si="115"/>
        <v>0</v>
      </c>
    </row>
    <row r="302" spans="1:64" x14ac:dyDescent="0.25">
      <c r="A302" s="1" t="s">
        <v>909</v>
      </c>
      <c r="B302" s="1" t="s">
        <v>908</v>
      </c>
      <c r="C302" s="13" t="s">
        <v>907</v>
      </c>
      <c r="D302" s="15"/>
      <c r="E302" s="17"/>
      <c r="F302" s="3"/>
      <c r="G302" s="14"/>
      <c r="H302" s="16"/>
      <c r="I302" s="11">
        <v>46221</v>
      </c>
      <c r="J302" s="4">
        <v>17</v>
      </c>
      <c r="K302" s="18">
        <f>(F302-(0)+0-(J302*Ventas!AE299*1))</f>
        <v>0</v>
      </c>
      <c r="L302" s="3"/>
      <c r="M302" s="22">
        <f t="shared" si="116"/>
        <v>0</v>
      </c>
      <c r="N302" s="14"/>
      <c r="O302" s="25">
        <f t="shared" si="102"/>
        <v>0</v>
      </c>
      <c r="P302" s="16"/>
      <c r="Q302" s="12">
        <f t="shared" si="103"/>
        <v>0</v>
      </c>
      <c r="R302" s="5">
        <v>0</v>
      </c>
      <c r="S302" s="24">
        <v>0</v>
      </c>
      <c r="T302" s="26">
        <v>0</v>
      </c>
      <c r="U302" s="18">
        <f t="shared" si="104"/>
        <v>0</v>
      </c>
      <c r="V302" s="22">
        <f t="shared" si="105"/>
        <v>0</v>
      </c>
      <c r="W302" s="25">
        <f t="shared" si="106"/>
        <v>0</v>
      </c>
      <c r="X302" s="3"/>
      <c r="Y302" s="14"/>
      <c r="Z302" s="14"/>
      <c r="AA302" s="3"/>
      <c r="AB302" s="3"/>
      <c r="AC302" s="11">
        <v>46313</v>
      </c>
      <c r="AD302" s="4">
        <v>92</v>
      </c>
      <c r="AE302" s="18">
        <f>(IF(K302&gt;0,K302+R302,R302)-(AD302*Ventas!AE299*1.0489))</f>
        <v>0</v>
      </c>
      <c r="AF302" s="3"/>
      <c r="AG302" s="22">
        <f t="shared" si="117"/>
        <v>0</v>
      </c>
      <c r="AH302" s="14"/>
      <c r="AI302" s="25">
        <f t="shared" si="107"/>
        <v>0</v>
      </c>
      <c r="AJ302" s="16"/>
      <c r="AK302" s="12">
        <f t="shared" si="108"/>
        <v>0</v>
      </c>
      <c r="AL302" s="19">
        <f t="shared" si="109"/>
        <v>0</v>
      </c>
      <c r="AM302" s="18">
        <f>(180*(Ventas!AE299*0.9644) - IF(AE302&gt;0,AE302,0))</f>
        <v>0</v>
      </c>
      <c r="AN302" s="18">
        <f>IF(AM302&gt;3,CEILING(AM302,5),0)</f>
        <v>0</v>
      </c>
      <c r="AO302" s="14"/>
      <c r="AP302" s="14">
        <f t="shared" si="118"/>
        <v>0</v>
      </c>
      <c r="AQ302" s="16">
        <f t="shared" si="110"/>
        <v>0</v>
      </c>
      <c r="AR302" s="37">
        <f>_xlfn.XLOOKUP(C302,[1]Hoja2!$C$6:$C$24,[1]Hoja2!$D$6:$D$24,0,2,1)</f>
        <v>0</v>
      </c>
      <c r="AS302" s="18">
        <f t="shared" si="111"/>
        <v>0</v>
      </c>
      <c r="AT302" s="14"/>
      <c r="AU302" s="37">
        <f>_xlfn.XLOOKUP(D302,[1]Hoja2!$E$6:$E$24,[1]Hoja2!$F$6:$F$24,0,2,1)</f>
        <v>0</v>
      </c>
      <c r="AV302" s="3">
        <v>0</v>
      </c>
      <c r="AW302" s="3"/>
      <c r="AX302" s="14">
        <v>0</v>
      </c>
      <c r="AY302" s="14"/>
      <c r="AZ302" s="16">
        <f>_xlfn.XLOOKUP(C302,[2]PI!$B$15:$B$99,[2]PI!$L$15:$L$99,0,2,1)</f>
        <v>0</v>
      </c>
      <c r="BA302" s="16">
        <f>_xlfn.XLOOKUP(D302,[2]PI!$B$15:$B$99,[2]PI!$L$15:$L$99,0,2,1)</f>
        <v>0</v>
      </c>
      <c r="BB302" s="3"/>
      <c r="BC302" s="3"/>
      <c r="BD302" s="14"/>
      <c r="BE302" s="14"/>
      <c r="BF302" s="16"/>
      <c r="BG302" s="16"/>
      <c r="BH302" s="12">
        <f t="shared" si="112"/>
        <v>0</v>
      </c>
      <c r="BI302" s="19">
        <f t="shared" si="113"/>
        <v>0</v>
      </c>
      <c r="BJ302" s="1" t="s">
        <v>51</v>
      </c>
      <c r="BK302">
        <f t="shared" si="114"/>
        <v>0</v>
      </c>
      <c r="BL302">
        <f t="shared" si="115"/>
        <v>0</v>
      </c>
    </row>
    <row r="303" spans="1:64" x14ac:dyDescent="0.25">
      <c r="A303" s="1" t="s">
        <v>912</v>
      </c>
      <c r="B303" s="1" t="s">
        <v>911</v>
      </c>
      <c r="C303" s="13" t="s">
        <v>910</v>
      </c>
      <c r="D303" s="15"/>
      <c r="E303" s="17"/>
      <c r="F303" s="5">
        <v>100</v>
      </c>
      <c r="G303" s="14"/>
      <c r="H303" s="16"/>
      <c r="I303" s="11">
        <v>46221</v>
      </c>
      <c r="J303" s="4">
        <v>17</v>
      </c>
      <c r="K303" s="18">
        <f>(F303-(0)+0-(J303*Ventas!AE300*1))</f>
        <v>93.237642857142859</v>
      </c>
      <c r="L303" s="20">
        <f>(K303/(Ventas!AE300*1)/80)</f>
        <v>2.9298954031244384</v>
      </c>
      <c r="M303" s="22">
        <f t="shared" si="116"/>
        <v>0</v>
      </c>
      <c r="N303" s="14"/>
      <c r="O303" s="25">
        <f t="shared" si="102"/>
        <v>0</v>
      </c>
      <c r="P303" s="16"/>
      <c r="Q303" s="12">
        <f t="shared" si="103"/>
        <v>93.237642857142859</v>
      </c>
      <c r="R303" s="5">
        <v>45</v>
      </c>
      <c r="S303" s="24">
        <v>0</v>
      </c>
      <c r="T303" s="26">
        <v>0</v>
      </c>
      <c r="U303" s="18">
        <f t="shared" si="104"/>
        <v>138.23764285714287</v>
      </c>
      <c r="V303" s="22">
        <f t="shared" si="105"/>
        <v>0</v>
      </c>
      <c r="W303" s="25">
        <f t="shared" si="106"/>
        <v>0</v>
      </c>
      <c r="X303" s="18">
        <v>3.4</v>
      </c>
      <c r="Y303" s="14"/>
      <c r="Z303" s="14"/>
      <c r="AA303" s="18">
        <v>18</v>
      </c>
      <c r="AB303" s="21">
        <v>4.333E-3</v>
      </c>
      <c r="AC303" s="11">
        <v>46313</v>
      </c>
      <c r="AD303" s="4">
        <v>92</v>
      </c>
      <c r="AE303" s="18">
        <f>(IF(K303&gt;0,K303+R303,R303)-(AD303*Ventas!AE300*1.0489))</f>
        <v>99.851798771428577</v>
      </c>
      <c r="AF303" s="20">
        <f>(AE303/(Ventas!AE300*1.0489)/80)</f>
        <v>2.9914561297839986</v>
      </c>
      <c r="AG303" s="22">
        <f t="shared" si="117"/>
        <v>0</v>
      </c>
      <c r="AH303" s="14"/>
      <c r="AI303" s="25">
        <f t="shared" si="107"/>
        <v>0</v>
      </c>
      <c r="AJ303" s="16"/>
      <c r="AK303" s="12">
        <f t="shared" si="108"/>
        <v>99.851798771428577</v>
      </c>
      <c r="AL303" s="19">
        <f t="shared" si="109"/>
        <v>2.6175241135609988</v>
      </c>
      <c r="AM303" s="18">
        <f>(180*(Ventas!AE300*0.9644) - IF(AE303&gt;0,AE303,0))</f>
        <v>-30.799381057142853</v>
      </c>
      <c r="AN303" s="18">
        <f>IF(AM303&gt;3,CEILING(AM303,5),0)</f>
        <v>0</v>
      </c>
      <c r="AO303" s="14"/>
      <c r="AP303" s="14">
        <f t="shared" si="118"/>
        <v>0</v>
      </c>
      <c r="AQ303" s="16">
        <f t="shared" si="110"/>
        <v>0</v>
      </c>
      <c r="AR303" s="37">
        <f>_xlfn.XLOOKUP(C303,[1]Hoja2!$C$6:$C$24,[1]Hoja2!$D$6:$D$24,0,2,1)</f>
        <v>0</v>
      </c>
      <c r="AS303" s="18">
        <f t="shared" si="111"/>
        <v>99.851798771428577</v>
      </c>
      <c r="AT303" s="14"/>
      <c r="AU303" s="37">
        <f>_xlfn.XLOOKUP(D303,[1]Hoja2!$E$6:$E$24,[1]Hoja2!$F$6:$F$24,0,2,1)</f>
        <v>0</v>
      </c>
      <c r="AV303" s="27">
        <v>0</v>
      </c>
      <c r="AW303" s="5">
        <v>3016</v>
      </c>
      <c r="AX303" s="14">
        <v>0</v>
      </c>
      <c r="AY303" s="14"/>
      <c r="AZ303" s="16">
        <f>_xlfn.XLOOKUP(C303,[2]PI!$B$15:$B$99,[2]PI!$L$15:$L$99,0,2,1)</f>
        <v>0</v>
      </c>
      <c r="BA303" s="16">
        <f>_xlfn.XLOOKUP(D303,[2]PI!$B$15:$B$99,[2]PI!$L$15:$L$99,0,2,1)</f>
        <v>0</v>
      </c>
      <c r="BB303" s="18">
        <f>(AS303-(90*Ventas!AE300*0.9644))</f>
        <v>65.325589914285715</v>
      </c>
      <c r="BC303" s="20">
        <f>(BB303/(Ventas!AE300*0.9644)/80)</f>
        <v>2.1285652577047243</v>
      </c>
      <c r="BD303" s="14"/>
      <c r="BE303" s="14"/>
      <c r="BF303" s="16"/>
      <c r="BG303" s="16"/>
      <c r="BH303" s="12">
        <f t="shared" si="112"/>
        <v>65.325589914285715</v>
      </c>
      <c r="BI303" s="19">
        <f t="shared" si="113"/>
        <v>1.8624946004916336</v>
      </c>
      <c r="BJ303" s="1" t="s">
        <v>35</v>
      </c>
      <c r="BK303">
        <f t="shared" si="114"/>
        <v>0</v>
      </c>
      <c r="BL303">
        <f t="shared" si="115"/>
        <v>0</v>
      </c>
    </row>
    <row r="304" spans="1:64" x14ac:dyDescent="0.25">
      <c r="A304" s="1" t="s">
        <v>915</v>
      </c>
      <c r="B304" s="1" t="s">
        <v>914</v>
      </c>
      <c r="C304" s="13" t="s">
        <v>913</v>
      </c>
      <c r="D304" s="15"/>
      <c r="E304" s="17"/>
      <c r="F304" s="5">
        <v>27</v>
      </c>
      <c r="G304" s="14"/>
      <c r="H304" s="16"/>
      <c r="I304" s="11">
        <v>46221</v>
      </c>
      <c r="J304" s="4">
        <v>17</v>
      </c>
      <c r="K304" s="18">
        <f>(F304-(0)+0-(J304*Ventas!AE301*1))</f>
        <v>17.079528571428575</v>
      </c>
      <c r="L304" s="20">
        <f>(K304/(Ventas!AE301*1)/80)</f>
        <v>0.3658495312002743</v>
      </c>
      <c r="M304" s="22">
        <f t="shared" si="116"/>
        <v>0</v>
      </c>
      <c r="N304" s="14"/>
      <c r="O304" s="25">
        <f t="shared" si="102"/>
        <v>0</v>
      </c>
      <c r="P304" s="16"/>
      <c r="Q304" s="12">
        <f t="shared" si="103"/>
        <v>17.079528571428575</v>
      </c>
      <c r="R304" s="5">
        <v>60</v>
      </c>
      <c r="S304" s="24">
        <v>0</v>
      </c>
      <c r="T304" s="26">
        <v>0</v>
      </c>
      <c r="U304" s="18">
        <f t="shared" si="104"/>
        <v>77.079528571428568</v>
      </c>
      <c r="V304" s="22">
        <f t="shared" si="105"/>
        <v>0</v>
      </c>
      <c r="W304" s="25">
        <f t="shared" si="106"/>
        <v>0</v>
      </c>
      <c r="X304" s="18">
        <v>3.1</v>
      </c>
      <c r="Y304" s="14"/>
      <c r="Z304" s="14"/>
      <c r="AA304" s="18">
        <v>18</v>
      </c>
      <c r="AB304" s="21">
        <v>5.5659999999999998E-3</v>
      </c>
      <c r="AC304" s="11">
        <v>46313</v>
      </c>
      <c r="AD304" s="4">
        <v>92</v>
      </c>
      <c r="AE304" s="18">
        <f>(IF(K304&gt;0,K304+R304,R304)-(AD304*Ventas!AE301*1.0489))</f>
        <v>20.766964554285721</v>
      </c>
      <c r="AF304" s="20">
        <f>(AE304/(Ventas!AE301*1.0489)/80)</f>
        <v>0.42409735117296987</v>
      </c>
      <c r="AG304" s="22">
        <f t="shared" si="117"/>
        <v>0</v>
      </c>
      <c r="AH304" s="14"/>
      <c r="AI304" s="25">
        <f t="shared" si="107"/>
        <v>0</v>
      </c>
      <c r="AJ304" s="16"/>
      <c r="AK304" s="12">
        <f t="shared" si="108"/>
        <v>20.766964554285721</v>
      </c>
      <c r="AL304" s="19">
        <f t="shared" si="109"/>
        <v>0.37108518227634862</v>
      </c>
      <c r="AM304" s="18">
        <f>(180*(Ventas!AE301*0.9644) - IF(AE304&gt;0,AE304,0))</f>
        <v>80.53388698857141</v>
      </c>
      <c r="AN304" s="42">
        <v>75</v>
      </c>
      <c r="AO304" s="14"/>
      <c r="AP304" s="14">
        <f t="shared" si="118"/>
        <v>0</v>
      </c>
      <c r="AQ304" s="16">
        <f t="shared" si="110"/>
        <v>0.41744999999999999</v>
      </c>
      <c r="AR304" s="37">
        <f>_xlfn.XLOOKUP(C304,[1]Hoja2!$C$6:$C$24,[1]Hoja2!$D$6:$D$24,0,2,1)</f>
        <v>0</v>
      </c>
      <c r="AS304" s="18">
        <f t="shared" si="111"/>
        <v>95.766964554285721</v>
      </c>
      <c r="AT304" s="14"/>
      <c r="AU304" s="37">
        <f>_xlfn.XLOOKUP(D304,[1]Hoja2!$E$6:$E$24,[1]Hoja2!$F$6:$F$24,0,2,1)</f>
        <v>0</v>
      </c>
      <c r="AV304" s="27">
        <v>3.1</v>
      </c>
      <c r="AW304" s="5">
        <v>3016</v>
      </c>
      <c r="AX304" s="14">
        <v>0</v>
      </c>
      <c r="AY304" s="14"/>
      <c r="AZ304" s="16">
        <f>_xlfn.XLOOKUP(C304,[2]PI!$B$15:$B$99,[2]PI!$L$15:$L$99,0,2,1)</f>
        <v>3.1</v>
      </c>
      <c r="BA304" s="16">
        <f>_xlfn.XLOOKUP(D304,[2]PI!$B$15:$B$99,[2]PI!$L$15:$L$99,0,2,1)</f>
        <v>0</v>
      </c>
      <c r="BB304" s="18">
        <f>(AS304-(90*Ventas!AE301*0.9644))</f>
        <v>45.116538782857155</v>
      </c>
      <c r="BC304" s="20">
        <f>(BB304/(Ventas!AE301*0.9644)/80)</f>
        <v>1.0020864653687738</v>
      </c>
      <c r="BD304" s="14"/>
      <c r="BE304" s="14"/>
      <c r="BF304" s="16"/>
      <c r="BG304" s="16"/>
      <c r="BH304" s="12">
        <f t="shared" si="112"/>
        <v>45.116538782857155</v>
      </c>
      <c r="BI304" s="19">
        <f t="shared" si="113"/>
        <v>0.87682565719767702</v>
      </c>
      <c r="BJ304" s="1" t="s">
        <v>35</v>
      </c>
      <c r="BK304">
        <f t="shared" si="114"/>
        <v>232.5</v>
      </c>
      <c r="BL304">
        <f t="shared" si="115"/>
        <v>232.5</v>
      </c>
    </row>
    <row r="305" spans="1:64" x14ac:dyDescent="0.25">
      <c r="A305" s="1" t="s">
        <v>918</v>
      </c>
      <c r="B305" s="1" t="s">
        <v>917</v>
      </c>
      <c r="C305" s="13" t="s">
        <v>916</v>
      </c>
      <c r="D305" s="15"/>
      <c r="E305" s="17"/>
      <c r="F305" s="5">
        <v>12</v>
      </c>
      <c r="G305" s="14"/>
      <c r="H305" s="16"/>
      <c r="I305" s="11">
        <v>46221</v>
      </c>
      <c r="J305" s="4">
        <v>17</v>
      </c>
      <c r="K305" s="18">
        <f>(F305-(0)+0-(J305*Ventas!AE302*1))</f>
        <v>11.439</v>
      </c>
      <c r="L305" s="20">
        <f>(K305/(Ventas!AE302*1)/80)</f>
        <v>4.3329545454545455</v>
      </c>
      <c r="M305" s="22">
        <f t="shared" si="116"/>
        <v>0</v>
      </c>
      <c r="N305" s="14"/>
      <c r="O305" s="25">
        <f t="shared" si="102"/>
        <v>0</v>
      </c>
      <c r="P305" s="16"/>
      <c r="Q305" s="12">
        <f t="shared" si="103"/>
        <v>11.439</v>
      </c>
      <c r="R305" s="5">
        <v>0</v>
      </c>
      <c r="S305" s="24">
        <v>0</v>
      </c>
      <c r="T305" s="26">
        <v>0</v>
      </c>
      <c r="U305" s="18">
        <f t="shared" si="104"/>
        <v>11.439</v>
      </c>
      <c r="V305" s="22">
        <f t="shared" si="105"/>
        <v>0</v>
      </c>
      <c r="W305" s="25">
        <f t="shared" si="106"/>
        <v>0</v>
      </c>
      <c r="X305" s="3"/>
      <c r="Y305" s="14"/>
      <c r="Z305" s="14"/>
      <c r="AA305" s="3"/>
      <c r="AB305" s="3"/>
      <c r="AC305" s="11">
        <v>46313</v>
      </c>
      <c r="AD305" s="4">
        <v>92</v>
      </c>
      <c r="AE305" s="18">
        <f>(IF(K305&gt;0,K305+R305,R305)-(AD305*Ventas!AE302*1.0489))</f>
        <v>8.2545396000000011</v>
      </c>
      <c r="AF305" s="20">
        <f>(AE305/(Ventas!AE302*1.0489)/80)</f>
        <v>2.980951039617262</v>
      </c>
      <c r="AG305" s="22">
        <f t="shared" si="117"/>
        <v>0</v>
      </c>
      <c r="AH305" s="14"/>
      <c r="AI305" s="25">
        <f t="shared" si="107"/>
        <v>0</v>
      </c>
      <c r="AJ305" s="16"/>
      <c r="AK305" s="12">
        <f t="shared" si="108"/>
        <v>8.2545396000000011</v>
      </c>
      <c r="AL305" s="19">
        <f t="shared" si="109"/>
        <v>2.6083321596651041</v>
      </c>
      <c r="AM305" s="18">
        <f>(180*(Ventas!AE302*0.9644) - IF(AE305&gt;0,AE305,0))</f>
        <v>-2.5260036000000001</v>
      </c>
      <c r="AN305" s="18">
        <f>IF(AM305&gt;3,CEILING(AM305,5),0)</f>
        <v>0</v>
      </c>
      <c r="AO305" s="14"/>
      <c r="AP305" s="14">
        <f t="shared" si="118"/>
        <v>0</v>
      </c>
      <c r="AQ305" s="16">
        <f t="shared" si="110"/>
        <v>0</v>
      </c>
      <c r="AR305" s="37">
        <f>_xlfn.XLOOKUP(C305,[1]Hoja2!$C$6:$C$24,[1]Hoja2!$D$6:$D$24,0,2,1)</f>
        <v>0</v>
      </c>
      <c r="AS305" s="18">
        <f t="shared" si="111"/>
        <v>8.2545396000000011</v>
      </c>
      <c r="AT305" s="14"/>
      <c r="AU305" s="37">
        <f>_xlfn.XLOOKUP(D305,[1]Hoja2!$E$6:$E$24,[1]Hoja2!$F$6:$F$24,0,2,1)</f>
        <v>0</v>
      </c>
      <c r="AV305" s="27">
        <v>0</v>
      </c>
      <c r="AW305" s="5">
        <v>3016</v>
      </c>
      <c r="AX305" s="14">
        <v>0</v>
      </c>
      <c r="AY305" s="14"/>
      <c r="AZ305" s="16">
        <f>_xlfn.XLOOKUP(C305,[2]PI!$B$15:$B$99,[2]PI!$L$15:$L$99,0,2,1)</f>
        <v>0</v>
      </c>
      <c r="BA305" s="16">
        <f>_xlfn.XLOOKUP(D305,[2]PI!$B$15:$B$99,[2]PI!$L$15:$L$99,0,2,1)</f>
        <v>0</v>
      </c>
      <c r="BB305" s="18">
        <f>(AS305-(90*Ventas!AE302*0.9644))</f>
        <v>5.3902716000000002</v>
      </c>
      <c r="BC305" s="20">
        <f>(BB305/(Ventas!AE302*0.9644)/80)</f>
        <v>2.1171397194675916</v>
      </c>
      <c r="BD305" s="14"/>
      <c r="BE305" s="14"/>
      <c r="BF305" s="16"/>
      <c r="BG305" s="16"/>
      <c r="BH305" s="12">
        <f t="shared" si="112"/>
        <v>5.3902716000000002</v>
      </c>
      <c r="BI305" s="19">
        <f t="shared" si="113"/>
        <v>1.8524972545341427</v>
      </c>
      <c r="BJ305" s="1" t="s">
        <v>35</v>
      </c>
      <c r="BK305">
        <f t="shared" si="114"/>
        <v>0</v>
      </c>
      <c r="BL305">
        <f t="shared" si="115"/>
        <v>0</v>
      </c>
    </row>
    <row r="306" spans="1:64" x14ac:dyDescent="0.25">
      <c r="A306" s="1" t="s">
        <v>921</v>
      </c>
      <c r="B306" s="1" t="s">
        <v>920</v>
      </c>
      <c r="C306" s="13" t="s">
        <v>919</v>
      </c>
      <c r="D306" s="15"/>
      <c r="E306" s="17"/>
      <c r="F306" s="3"/>
      <c r="G306" s="14"/>
      <c r="H306" s="16"/>
      <c r="I306" s="11">
        <v>46221</v>
      </c>
      <c r="J306" s="4">
        <v>17</v>
      </c>
      <c r="K306" s="18">
        <f>(F306-(0)+0-(J306*Ventas!AE303*1))</f>
        <v>0</v>
      </c>
      <c r="L306" s="3"/>
      <c r="M306" s="22">
        <f t="shared" si="116"/>
        <v>0</v>
      </c>
      <c r="N306" s="14"/>
      <c r="O306" s="25">
        <f t="shared" si="102"/>
        <v>0</v>
      </c>
      <c r="P306" s="16"/>
      <c r="Q306" s="12">
        <f t="shared" si="103"/>
        <v>0</v>
      </c>
      <c r="R306" s="5">
        <v>0</v>
      </c>
      <c r="S306" s="24">
        <v>0</v>
      </c>
      <c r="T306" s="26">
        <v>0</v>
      </c>
      <c r="U306" s="18">
        <f t="shared" si="104"/>
        <v>0</v>
      </c>
      <c r="V306" s="22">
        <f t="shared" si="105"/>
        <v>0</v>
      </c>
      <c r="W306" s="25">
        <f t="shared" si="106"/>
        <v>0</v>
      </c>
      <c r="X306" s="3"/>
      <c r="Y306" s="14"/>
      <c r="Z306" s="14"/>
      <c r="AA306" s="18">
        <v>12</v>
      </c>
      <c r="AB306" s="21">
        <v>7.136E-3</v>
      </c>
      <c r="AC306" s="11">
        <v>46313</v>
      </c>
      <c r="AD306" s="4">
        <v>92</v>
      </c>
      <c r="AE306" s="18">
        <f>(IF(K306&gt;0,K306+R306,R306)-(AD306*Ventas!AE303*1.0489))</f>
        <v>0</v>
      </c>
      <c r="AF306" s="3"/>
      <c r="AG306" s="22">
        <f t="shared" si="117"/>
        <v>0</v>
      </c>
      <c r="AH306" s="14"/>
      <c r="AI306" s="25">
        <f t="shared" si="107"/>
        <v>0</v>
      </c>
      <c r="AJ306" s="16"/>
      <c r="AK306" s="12">
        <f t="shared" si="108"/>
        <v>0</v>
      </c>
      <c r="AL306" s="19">
        <f t="shared" si="109"/>
        <v>0</v>
      </c>
      <c r="AM306" s="18">
        <f>(180*(Ventas!AE303*0.9644) - IF(AE306&gt;0,AE306,0))</f>
        <v>0</v>
      </c>
      <c r="AN306" s="18">
        <f>IF(AM306&gt;3,CEILING(AM306,5),0)</f>
        <v>0</v>
      </c>
      <c r="AO306" s="14"/>
      <c r="AP306" s="14">
        <f t="shared" si="118"/>
        <v>0</v>
      </c>
      <c r="AQ306" s="16">
        <f t="shared" si="110"/>
        <v>0</v>
      </c>
      <c r="AR306" s="37">
        <f>_xlfn.XLOOKUP(C306,[1]Hoja2!$C$6:$C$24,[1]Hoja2!$D$6:$D$24,0,2,1)</f>
        <v>0</v>
      </c>
      <c r="AS306" s="18">
        <f t="shared" si="111"/>
        <v>0</v>
      </c>
      <c r="AT306" s="14"/>
      <c r="AU306" s="37">
        <f>_xlfn.XLOOKUP(D306,[1]Hoja2!$E$6:$E$24,[1]Hoja2!$F$6:$F$24,0,2,1)</f>
        <v>0</v>
      </c>
      <c r="AV306" s="27">
        <v>0</v>
      </c>
      <c r="AW306" s="5">
        <v>3022</v>
      </c>
      <c r="AX306" s="14">
        <v>0</v>
      </c>
      <c r="AY306" s="14"/>
      <c r="AZ306" s="16">
        <f>_xlfn.XLOOKUP(C306,[2]PI!$B$15:$B$99,[2]PI!$L$15:$L$99,0,2,1)</f>
        <v>0</v>
      </c>
      <c r="BA306" s="16">
        <f>_xlfn.XLOOKUP(D306,[2]PI!$B$15:$B$99,[2]PI!$L$15:$L$99,0,2,1)</f>
        <v>0</v>
      </c>
      <c r="BB306" s="3"/>
      <c r="BC306" s="3"/>
      <c r="BD306" s="14"/>
      <c r="BE306" s="14"/>
      <c r="BF306" s="16"/>
      <c r="BG306" s="16"/>
      <c r="BH306" s="12">
        <f t="shared" si="112"/>
        <v>0</v>
      </c>
      <c r="BI306" s="19">
        <f t="shared" si="113"/>
        <v>0</v>
      </c>
      <c r="BJ306" s="1" t="s">
        <v>35</v>
      </c>
      <c r="BK306">
        <f t="shared" si="114"/>
        <v>0</v>
      </c>
      <c r="BL306">
        <f t="shared" si="115"/>
        <v>0</v>
      </c>
    </row>
    <row r="307" spans="1:64" x14ac:dyDescent="0.25">
      <c r="A307" s="1" t="s">
        <v>924</v>
      </c>
      <c r="B307" s="1" t="s">
        <v>923</v>
      </c>
      <c r="C307" s="13" t="s">
        <v>922</v>
      </c>
      <c r="D307" s="15"/>
      <c r="E307" s="17"/>
      <c r="F307" s="3"/>
      <c r="G307" s="14"/>
      <c r="H307" s="16"/>
      <c r="I307" s="11">
        <v>46221</v>
      </c>
      <c r="J307" s="4">
        <v>17</v>
      </c>
      <c r="K307" s="18">
        <f>(F307-(0)+0-(J307*Ventas!AE304*1))</f>
        <v>0</v>
      </c>
      <c r="L307" s="3"/>
      <c r="M307" s="22">
        <f t="shared" si="116"/>
        <v>0</v>
      </c>
      <c r="N307" s="14"/>
      <c r="O307" s="25">
        <f t="shared" si="102"/>
        <v>0</v>
      </c>
      <c r="P307" s="16"/>
      <c r="Q307" s="12">
        <f t="shared" si="103"/>
        <v>0</v>
      </c>
      <c r="R307" s="5">
        <v>0</v>
      </c>
      <c r="S307" s="24">
        <v>0</v>
      </c>
      <c r="T307" s="26">
        <v>0</v>
      </c>
      <c r="U307" s="18">
        <f t="shared" si="104"/>
        <v>0</v>
      </c>
      <c r="V307" s="22">
        <f t="shared" si="105"/>
        <v>0</v>
      </c>
      <c r="W307" s="25">
        <f t="shared" si="106"/>
        <v>0</v>
      </c>
      <c r="X307" s="3"/>
      <c r="Y307" s="14"/>
      <c r="Z307" s="14"/>
      <c r="AA307" s="3"/>
      <c r="AB307" s="3"/>
      <c r="AC307" s="11">
        <v>46313</v>
      </c>
      <c r="AD307" s="4">
        <v>92</v>
      </c>
      <c r="AE307" s="18">
        <f>(IF(K307&gt;0,K307+R307,R307)-(AD307*Ventas!AE304*1.0489))</f>
        <v>0</v>
      </c>
      <c r="AF307" s="3"/>
      <c r="AG307" s="22">
        <f t="shared" si="117"/>
        <v>0</v>
      </c>
      <c r="AH307" s="14"/>
      <c r="AI307" s="25">
        <f t="shared" si="107"/>
        <v>0</v>
      </c>
      <c r="AJ307" s="16"/>
      <c r="AK307" s="12">
        <f t="shared" si="108"/>
        <v>0</v>
      </c>
      <c r="AL307" s="19">
        <f t="shared" si="109"/>
        <v>0</v>
      </c>
      <c r="AM307" s="18">
        <f>(180*(Ventas!AE304*0.9644) - IF(AE307&gt;0,AE307,0))</f>
        <v>0</v>
      </c>
      <c r="AN307" s="18">
        <f>IF(AM307&gt;3,CEILING(AM307,5),0)</f>
        <v>0</v>
      </c>
      <c r="AO307" s="14"/>
      <c r="AP307" s="14">
        <f t="shared" si="118"/>
        <v>0</v>
      </c>
      <c r="AQ307" s="16">
        <f t="shared" si="110"/>
        <v>0</v>
      </c>
      <c r="AR307" s="37">
        <f>_xlfn.XLOOKUP(C307,[1]Hoja2!$C$6:$C$24,[1]Hoja2!$D$6:$D$24,0,2,1)</f>
        <v>0</v>
      </c>
      <c r="AS307" s="18">
        <f t="shared" si="111"/>
        <v>0</v>
      </c>
      <c r="AT307" s="14"/>
      <c r="AU307" s="37">
        <f>_xlfn.XLOOKUP(D307,[1]Hoja2!$E$6:$E$24,[1]Hoja2!$F$6:$F$24,0,2,1)</f>
        <v>0</v>
      </c>
      <c r="AV307" s="3">
        <v>0</v>
      </c>
      <c r="AW307" s="3"/>
      <c r="AX307" s="14">
        <v>0</v>
      </c>
      <c r="AY307" s="14"/>
      <c r="AZ307" s="16">
        <f>_xlfn.XLOOKUP(C307,[2]PI!$B$15:$B$99,[2]PI!$L$15:$L$99,0,2,1)</f>
        <v>0</v>
      </c>
      <c r="BA307" s="16">
        <f>_xlfn.XLOOKUP(D307,[2]PI!$B$15:$B$99,[2]PI!$L$15:$L$99,0,2,1)</f>
        <v>0</v>
      </c>
      <c r="BB307" s="3"/>
      <c r="BC307" s="3"/>
      <c r="BD307" s="14"/>
      <c r="BE307" s="14"/>
      <c r="BF307" s="16"/>
      <c r="BG307" s="16"/>
      <c r="BH307" s="12">
        <f t="shared" si="112"/>
        <v>0</v>
      </c>
      <c r="BI307" s="19">
        <f t="shared" si="113"/>
        <v>0</v>
      </c>
      <c r="BJ307" s="1" t="s">
        <v>51</v>
      </c>
      <c r="BK307">
        <f t="shared" si="114"/>
        <v>0</v>
      </c>
      <c r="BL307">
        <f t="shared" si="115"/>
        <v>0</v>
      </c>
    </row>
    <row r="308" spans="1:64" x14ac:dyDescent="0.25">
      <c r="A308" s="1" t="s">
        <v>927</v>
      </c>
      <c r="B308" s="1" t="s">
        <v>926</v>
      </c>
      <c r="C308" s="13" t="s">
        <v>925</v>
      </c>
      <c r="D308" s="15"/>
      <c r="E308" s="17"/>
      <c r="F308" s="5">
        <v>12</v>
      </c>
      <c r="G308" s="14"/>
      <c r="H308" s="16"/>
      <c r="I308" s="11">
        <v>46221</v>
      </c>
      <c r="J308" s="4">
        <v>17</v>
      </c>
      <c r="K308" s="18">
        <f>(F308-(0)+0-(J308*Ventas!AE305*1))</f>
        <v>6.56</v>
      </c>
      <c r="L308" s="20">
        <f>(K308/(Ventas!AE305*1)/80)</f>
        <v>0.25624999999999998</v>
      </c>
      <c r="M308" s="22">
        <f t="shared" si="116"/>
        <v>0</v>
      </c>
      <c r="N308" s="14"/>
      <c r="O308" s="25">
        <f t="shared" si="102"/>
        <v>0</v>
      </c>
      <c r="P308" s="16"/>
      <c r="Q308" s="12">
        <f t="shared" si="103"/>
        <v>6.56</v>
      </c>
      <c r="R308" s="5">
        <v>0</v>
      </c>
      <c r="S308" s="24">
        <v>0</v>
      </c>
      <c r="T308" s="26">
        <v>0</v>
      </c>
      <c r="U308" s="18">
        <f t="shared" si="104"/>
        <v>6.56</v>
      </c>
      <c r="V308" s="22">
        <f t="shared" si="105"/>
        <v>0</v>
      </c>
      <c r="W308" s="25">
        <f t="shared" si="106"/>
        <v>0</v>
      </c>
      <c r="X308" s="3"/>
      <c r="Y308" s="14"/>
      <c r="Z308" s="14"/>
      <c r="AA308" s="3"/>
      <c r="AB308" s="3">
        <v>6.783E-3</v>
      </c>
      <c r="AC308" s="11">
        <v>46313</v>
      </c>
      <c r="AD308" s="4">
        <v>92</v>
      </c>
      <c r="AE308" s="18">
        <f>(IF(K308&gt;0,K308+R308,R308)-(AD308*Ventas!AE305*1.0489))</f>
        <v>-24.319616</v>
      </c>
      <c r="AF308" s="20">
        <f>(AE308/(Ventas!AE305*1.0489)/80)</f>
        <v>-0.90569644389360282</v>
      </c>
      <c r="AG308" s="22">
        <f t="shared" si="117"/>
        <v>0</v>
      </c>
      <c r="AH308" s="14"/>
      <c r="AI308" s="25">
        <f t="shared" si="107"/>
        <v>0</v>
      </c>
      <c r="AJ308" s="16"/>
      <c r="AK308" s="12">
        <f t="shared" si="108"/>
        <v>-24.319616</v>
      </c>
      <c r="AL308" s="19">
        <f t="shared" si="109"/>
        <v>-0.7924843884069025</v>
      </c>
      <c r="AM308" s="18">
        <f>(180*(Ventas!AE305*0.9644) - IF(AE308&gt;0,AE308,0))</f>
        <v>55.549439999999997</v>
      </c>
      <c r="AN308" s="42">
        <v>60</v>
      </c>
      <c r="AO308" s="14"/>
      <c r="AP308" s="14"/>
      <c r="AQ308" s="16">
        <f t="shared" si="110"/>
        <v>0.40698000000000001</v>
      </c>
      <c r="AR308" s="37">
        <f>_xlfn.XLOOKUP(C308,[1]Hoja2!$C$6:$C$24,[1]Hoja2!$D$6:$D$24,0,2,1)</f>
        <v>0</v>
      </c>
      <c r="AS308" s="18">
        <f t="shared" si="111"/>
        <v>60</v>
      </c>
      <c r="AT308" s="14"/>
      <c r="AU308" s="37">
        <f>_xlfn.XLOOKUP(D308,[1]Hoja2!$E$6:$E$24,[1]Hoja2!$F$6:$F$24,0,2,1)</f>
        <v>0</v>
      </c>
      <c r="AV308" s="27">
        <v>2.6</v>
      </c>
      <c r="AW308" s="5">
        <v>3016</v>
      </c>
      <c r="AX308" s="14">
        <v>0</v>
      </c>
      <c r="AY308" s="14"/>
      <c r="AZ308" s="16">
        <f>_xlfn.XLOOKUP(C308,[2]PI!$B$15:$B$99,[2]PI!$L$15:$L$99,0,2,1)</f>
        <v>2.6</v>
      </c>
      <c r="BA308" s="16">
        <f>_xlfn.XLOOKUP(D308,[2]PI!$B$15:$B$99,[2]PI!$L$15:$L$99,0,2,1)</f>
        <v>0</v>
      </c>
      <c r="BB308" s="18">
        <f>(AS308-(90*Ventas!AE305*0.9644))</f>
        <v>32.225279999999998</v>
      </c>
      <c r="BC308" s="20">
        <f>(BB308/(Ventas!AE305*0.9644)/80)</f>
        <v>1.3052675238490252</v>
      </c>
      <c r="BD308" s="14"/>
      <c r="BE308" s="14"/>
      <c r="BF308" s="16"/>
      <c r="BG308" s="16"/>
      <c r="BH308" s="12">
        <f t="shared" si="112"/>
        <v>32.225279999999998</v>
      </c>
      <c r="BI308" s="19">
        <f t="shared" si="113"/>
        <v>1.1421090833678971</v>
      </c>
      <c r="BJ308" s="1" t="s">
        <v>35</v>
      </c>
      <c r="BK308">
        <f t="shared" si="114"/>
        <v>156</v>
      </c>
      <c r="BL308">
        <f t="shared" si="115"/>
        <v>156</v>
      </c>
    </row>
    <row r="309" spans="1:64" x14ac:dyDescent="0.25">
      <c r="A309" s="1" t="s">
        <v>930</v>
      </c>
      <c r="B309" s="1" t="s">
        <v>929</v>
      </c>
      <c r="C309" s="13" t="s">
        <v>928</v>
      </c>
      <c r="D309" s="15"/>
      <c r="E309" s="17"/>
      <c r="F309" s="3"/>
      <c r="G309" s="14"/>
      <c r="H309" s="16"/>
      <c r="I309" s="11">
        <v>46221</v>
      </c>
      <c r="J309" s="4">
        <v>17</v>
      </c>
      <c r="K309" s="18">
        <f>(F309-(0)+0-(J309*Ventas!AE306*1))</f>
        <v>-3.3115999999999999</v>
      </c>
      <c r="L309" s="3"/>
      <c r="M309" s="22">
        <f t="shared" si="116"/>
        <v>0</v>
      </c>
      <c r="N309" s="14"/>
      <c r="O309" s="25">
        <f t="shared" si="102"/>
        <v>0</v>
      </c>
      <c r="P309" s="16"/>
      <c r="Q309" s="12">
        <f t="shared" si="103"/>
        <v>-3.3115999999999999</v>
      </c>
      <c r="R309" s="5">
        <v>0</v>
      </c>
      <c r="S309" s="24">
        <v>0</v>
      </c>
      <c r="T309" s="26">
        <v>0</v>
      </c>
      <c r="U309" s="18">
        <f t="shared" si="104"/>
        <v>0</v>
      </c>
      <c r="V309" s="22">
        <f t="shared" si="105"/>
        <v>0</v>
      </c>
      <c r="W309" s="25">
        <f t="shared" si="106"/>
        <v>0</v>
      </c>
      <c r="X309" s="3"/>
      <c r="Y309" s="14"/>
      <c r="Z309" s="14"/>
      <c r="AA309" s="3"/>
      <c r="AB309" s="3">
        <v>6.783E-3</v>
      </c>
      <c r="AC309" s="11">
        <v>46313</v>
      </c>
      <c r="AD309" s="4">
        <v>92</v>
      </c>
      <c r="AE309" s="18">
        <f>(IF(K309&gt;0,K309+R309,R309)-(AD309*Ventas!AE306*1.0489))</f>
        <v>-18.797966240000001</v>
      </c>
      <c r="AF309" s="3"/>
      <c r="AG309" s="22">
        <f t="shared" si="117"/>
        <v>0</v>
      </c>
      <c r="AH309" s="14"/>
      <c r="AI309" s="25">
        <f t="shared" si="107"/>
        <v>0</v>
      </c>
      <c r="AJ309" s="16"/>
      <c r="AK309" s="12">
        <f t="shared" si="108"/>
        <v>-18.797966240000001</v>
      </c>
      <c r="AL309" s="19">
        <f t="shared" si="109"/>
        <v>0</v>
      </c>
      <c r="AM309" s="18">
        <f>(180*(Ventas!AE306*0.9644) - IF(AE309&gt;0,AE309,0))</f>
        <v>33.815721599999996</v>
      </c>
      <c r="AN309" s="42">
        <v>36</v>
      </c>
      <c r="AO309" s="14"/>
      <c r="AP309" s="14">
        <f t="shared" ref="AP309:AP323" si="120">IF(AO309&gt;3,CEILING(AO309,5),0)</f>
        <v>0</v>
      </c>
      <c r="AQ309" s="16">
        <f t="shared" si="110"/>
        <v>0.24418799999999999</v>
      </c>
      <c r="AR309" s="37">
        <f>_xlfn.XLOOKUP(C309,[1]Hoja2!$C$6:$C$24,[1]Hoja2!$D$6:$D$24,0,2,1)</f>
        <v>0</v>
      </c>
      <c r="AS309" s="18">
        <f t="shared" si="111"/>
        <v>36</v>
      </c>
      <c r="AT309" s="14"/>
      <c r="AU309" s="37">
        <f>_xlfn.XLOOKUP(D309,[1]Hoja2!$E$6:$E$24,[1]Hoja2!$F$6:$F$24,0,2,1)</f>
        <v>0</v>
      </c>
      <c r="AV309" s="3">
        <v>6</v>
      </c>
      <c r="AW309" s="3"/>
      <c r="AX309" s="14">
        <v>0</v>
      </c>
      <c r="AY309" s="14"/>
      <c r="AZ309" s="16">
        <f>_xlfn.XLOOKUP(C309,[2]PI!$B$15:$B$99,[2]PI!$L$15:$L$99,0,2,1)</f>
        <v>6</v>
      </c>
      <c r="BA309" s="16">
        <f>_xlfn.XLOOKUP(D309,[2]PI!$B$15:$B$99,[2]PI!$L$15:$L$99,0,2,1)</f>
        <v>0</v>
      </c>
      <c r="BB309" s="3"/>
      <c r="BC309" s="3"/>
      <c r="BD309" s="14"/>
      <c r="BE309" s="14"/>
      <c r="BF309" s="16"/>
      <c r="BG309" s="16"/>
      <c r="BH309" s="12">
        <f t="shared" si="112"/>
        <v>0</v>
      </c>
      <c r="BI309" s="19">
        <f t="shared" si="113"/>
        <v>0</v>
      </c>
      <c r="BJ309" s="1" t="s">
        <v>35</v>
      </c>
      <c r="BK309">
        <f t="shared" si="114"/>
        <v>216</v>
      </c>
      <c r="BL309">
        <f t="shared" si="115"/>
        <v>216</v>
      </c>
    </row>
    <row r="310" spans="1:64" x14ac:dyDescent="0.25">
      <c r="A310" s="1" t="s">
        <v>933</v>
      </c>
      <c r="B310" s="1" t="s">
        <v>932</v>
      </c>
      <c r="C310" s="13" t="s">
        <v>931</v>
      </c>
      <c r="D310" s="15"/>
      <c r="E310" s="17"/>
      <c r="F310" s="3"/>
      <c r="G310" s="14"/>
      <c r="H310" s="16"/>
      <c r="I310" s="11">
        <v>46221</v>
      </c>
      <c r="J310" s="4">
        <v>17</v>
      </c>
      <c r="K310" s="18">
        <f>(F310-(0)+0-(J310*Ventas!AE307*1))</f>
        <v>0</v>
      </c>
      <c r="L310" s="3"/>
      <c r="M310" s="22">
        <f t="shared" si="116"/>
        <v>0</v>
      </c>
      <c r="N310" s="14"/>
      <c r="O310" s="25">
        <f t="shared" si="102"/>
        <v>0</v>
      </c>
      <c r="P310" s="16"/>
      <c r="Q310" s="12">
        <f t="shared" si="103"/>
        <v>0</v>
      </c>
      <c r="R310" s="5">
        <v>0</v>
      </c>
      <c r="S310" s="24">
        <v>0</v>
      </c>
      <c r="T310" s="26">
        <v>0</v>
      </c>
      <c r="U310" s="18">
        <f t="shared" si="104"/>
        <v>0</v>
      </c>
      <c r="V310" s="22">
        <f t="shared" si="105"/>
        <v>0</v>
      </c>
      <c r="W310" s="25">
        <f t="shared" si="106"/>
        <v>0</v>
      </c>
      <c r="X310" s="3"/>
      <c r="Y310" s="14"/>
      <c r="Z310" s="14"/>
      <c r="AA310" s="3"/>
      <c r="AB310" s="3"/>
      <c r="AC310" s="11">
        <v>46313</v>
      </c>
      <c r="AD310" s="4">
        <v>92</v>
      </c>
      <c r="AE310" s="18">
        <f>(IF(K310&gt;0,K310+R310,R310)-(AD310*Ventas!AE307*1.0489))</f>
        <v>0</v>
      </c>
      <c r="AF310" s="3"/>
      <c r="AG310" s="22">
        <f t="shared" si="117"/>
        <v>0</v>
      </c>
      <c r="AH310" s="14"/>
      <c r="AI310" s="25">
        <f t="shared" si="107"/>
        <v>0</v>
      </c>
      <c r="AJ310" s="16"/>
      <c r="AK310" s="12">
        <f t="shared" si="108"/>
        <v>0</v>
      </c>
      <c r="AL310" s="19">
        <f t="shared" si="109"/>
        <v>0</v>
      </c>
      <c r="AM310" s="18">
        <f>(180*(Ventas!AE307*0.9644) - IF(AE310&gt;0,AE310,0))</f>
        <v>0</v>
      </c>
      <c r="AN310" s="18">
        <f t="shared" ref="AN310:AN321" si="121">IF(AM310&gt;3,CEILING(AM310,5),0)</f>
        <v>0</v>
      </c>
      <c r="AO310" s="14"/>
      <c r="AP310" s="14">
        <f t="shared" si="120"/>
        <v>0</v>
      </c>
      <c r="AQ310" s="16">
        <f t="shared" si="110"/>
        <v>0</v>
      </c>
      <c r="AR310" s="37">
        <f>_xlfn.XLOOKUP(C310,[1]Hoja2!$C$6:$C$24,[1]Hoja2!$D$6:$D$24,0,2,1)</f>
        <v>0</v>
      </c>
      <c r="AS310" s="18">
        <f t="shared" si="111"/>
        <v>0</v>
      </c>
      <c r="AT310" s="14"/>
      <c r="AU310" s="37">
        <f>_xlfn.XLOOKUP(D310,[1]Hoja2!$E$6:$E$24,[1]Hoja2!$F$6:$F$24,0,2,1)</f>
        <v>0</v>
      </c>
      <c r="AV310" s="3">
        <v>0</v>
      </c>
      <c r="AW310" s="3"/>
      <c r="AX310" s="14">
        <v>0</v>
      </c>
      <c r="AY310" s="14"/>
      <c r="AZ310" s="16">
        <f>_xlfn.XLOOKUP(C310,[2]PI!$B$15:$B$99,[2]PI!$L$15:$L$99,0,2,1)</f>
        <v>0</v>
      </c>
      <c r="BA310" s="16">
        <f>_xlfn.XLOOKUP(D310,[2]PI!$B$15:$B$99,[2]PI!$L$15:$L$99,0,2,1)</f>
        <v>0</v>
      </c>
      <c r="BB310" s="3"/>
      <c r="BC310" s="3"/>
      <c r="BD310" s="14"/>
      <c r="BE310" s="14"/>
      <c r="BF310" s="16"/>
      <c r="BG310" s="16"/>
      <c r="BH310" s="12">
        <f t="shared" si="112"/>
        <v>0</v>
      </c>
      <c r="BI310" s="19">
        <f t="shared" si="113"/>
        <v>0</v>
      </c>
      <c r="BJ310" s="1" t="s">
        <v>35</v>
      </c>
      <c r="BK310">
        <f t="shared" si="114"/>
        <v>0</v>
      </c>
      <c r="BL310">
        <f t="shared" si="115"/>
        <v>0</v>
      </c>
    </row>
    <row r="311" spans="1:64" x14ac:dyDescent="0.25">
      <c r="A311" s="1" t="s">
        <v>936</v>
      </c>
      <c r="B311" s="1" t="s">
        <v>935</v>
      </c>
      <c r="C311" s="13" t="s">
        <v>934</v>
      </c>
      <c r="D311" s="15"/>
      <c r="E311" s="17"/>
      <c r="F311" s="3"/>
      <c r="G311" s="14"/>
      <c r="H311" s="16"/>
      <c r="I311" s="11">
        <v>46221</v>
      </c>
      <c r="J311" s="4">
        <v>17</v>
      </c>
      <c r="K311" s="18">
        <f>(F311-(0)+0-(J311*Ventas!AE308*1))</f>
        <v>0</v>
      </c>
      <c r="L311" s="3"/>
      <c r="M311" s="22">
        <f t="shared" si="116"/>
        <v>0</v>
      </c>
      <c r="N311" s="14"/>
      <c r="O311" s="25">
        <f t="shared" si="102"/>
        <v>0</v>
      </c>
      <c r="P311" s="16"/>
      <c r="Q311" s="12">
        <f t="shared" si="103"/>
        <v>0</v>
      </c>
      <c r="R311" s="5">
        <v>0</v>
      </c>
      <c r="S311" s="24">
        <v>0</v>
      </c>
      <c r="T311" s="26">
        <v>0</v>
      </c>
      <c r="U311" s="18">
        <f t="shared" si="104"/>
        <v>0</v>
      </c>
      <c r="V311" s="22">
        <f t="shared" si="105"/>
        <v>0</v>
      </c>
      <c r="W311" s="25">
        <f t="shared" si="106"/>
        <v>0</v>
      </c>
      <c r="X311" s="3"/>
      <c r="Y311" s="14"/>
      <c r="Z311" s="14"/>
      <c r="AA311" s="3"/>
      <c r="AB311" s="3"/>
      <c r="AC311" s="11">
        <v>46313</v>
      </c>
      <c r="AD311" s="4">
        <v>92</v>
      </c>
      <c r="AE311" s="18">
        <f>(IF(K311&gt;0,K311+R311,R311)-(AD311*Ventas!AE308*1.0489))</f>
        <v>0</v>
      </c>
      <c r="AF311" s="3"/>
      <c r="AG311" s="22">
        <f t="shared" si="117"/>
        <v>0</v>
      </c>
      <c r="AH311" s="14"/>
      <c r="AI311" s="25">
        <f t="shared" si="107"/>
        <v>0</v>
      </c>
      <c r="AJ311" s="16"/>
      <c r="AK311" s="12">
        <f t="shared" si="108"/>
        <v>0</v>
      </c>
      <c r="AL311" s="19">
        <f t="shared" si="109"/>
        <v>0</v>
      </c>
      <c r="AM311" s="18">
        <f>(180*(Ventas!AE308*0.9644) - IF(AE311&gt;0,AE311,0))</f>
        <v>0</v>
      </c>
      <c r="AN311" s="18">
        <f t="shared" si="121"/>
        <v>0</v>
      </c>
      <c r="AO311" s="14"/>
      <c r="AP311" s="14">
        <f t="shared" si="120"/>
        <v>0</v>
      </c>
      <c r="AQ311" s="16">
        <f t="shared" si="110"/>
        <v>0</v>
      </c>
      <c r="AR311" s="37">
        <f>_xlfn.XLOOKUP(C311,[1]Hoja2!$C$6:$C$24,[1]Hoja2!$D$6:$D$24,0,2,1)</f>
        <v>0</v>
      </c>
      <c r="AS311" s="18">
        <f t="shared" si="111"/>
        <v>0</v>
      </c>
      <c r="AT311" s="14"/>
      <c r="AU311" s="37">
        <f>_xlfn.XLOOKUP(D311,[1]Hoja2!$E$6:$E$24,[1]Hoja2!$F$6:$F$24,0,2,1)</f>
        <v>0</v>
      </c>
      <c r="AV311" s="3">
        <v>0</v>
      </c>
      <c r="AW311" s="3"/>
      <c r="AX311" s="14">
        <v>0</v>
      </c>
      <c r="AY311" s="14"/>
      <c r="AZ311" s="16">
        <f>_xlfn.XLOOKUP(C311,[2]PI!$B$15:$B$99,[2]PI!$L$15:$L$99,0,2,1)</f>
        <v>0</v>
      </c>
      <c r="BA311" s="16">
        <f>_xlfn.XLOOKUP(D311,[2]PI!$B$15:$B$99,[2]PI!$L$15:$L$99,0,2,1)</f>
        <v>0</v>
      </c>
      <c r="BB311" s="3"/>
      <c r="BC311" s="3"/>
      <c r="BD311" s="14"/>
      <c r="BE311" s="14"/>
      <c r="BF311" s="16"/>
      <c r="BG311" s="16"/>
      <c r="BH311" s="12">
        <f t="shared" si="112"/>
        <v>0</v>
      </c>
      <c r="BI311" s="19">
        <f t="shared" si="113"/>
        <v>0</v>
      </c>
      <c r="BJ311" s="1" t="s">
        <v>51</v>
      </c>
      <c r="BK311">
        <f t="shared" si="114"/>
        <v>0</v>
      </c>
      <c r="BL311">
        <f t="shared" si="115"/>
        <v>0</v>
      </c>
    </row>
    <row r="312" spans="1:64" x14ac:dyDescent="0.25">
      <c r="A312" s="1" t="s">
        <v>939</v>
      </c>
      <c r="B312" s="1" t="s">
        <v>938</v>
      </c>
      <c r="C312" s="13" t="s">
        <v>937</v>
      </c>
      <c r="D312" s="15"/>
      <c r="E312" s="17"/>
      <c r="F312" s="3"/>
      <c r="G312" s="14"/>
      <c r="H312" s="16"/>
      <c r="I312" s="11">
        <v>46221</v>
      </c>
      <c r="J312" s="4">
        <v>17</v>
      </c>
      <c r="K312" s="18">
        <f>(F312-(0)+0-(J312*Ventas!AE309*1))</f>
        <v>0</v>
      </c>
      <c r="L312" s="3"/>
      <c r="M312" s="22">
        <f t="shared" si="116"/>
        <v>0</v>
      </c>
      <c r="N312" s="14"/>
      <c r="O312" s="25">
        <f t="shared" si="102"/>
        <v>0</v>
      </c>
      <c r="P312" s="16"/>
      <c r="Q312" s="12">
        <f t="shared" si="103"/>
        <v>0</v>
      </c>
      <c r="R312" s="5">
        <v>0</v>
      </c>
      <c r="S312" s="24">
        <v>0</v>
      </c>
      <c r="T312" s="26">
        <v>0</v>
      </c>
      <c r="U312" s="18">
        <f t="shared" si="104"/>
        <v>0</v>
      </c>
      <c r="V312" s="22">
        <f t="shared" si="105"/>
        <v>0</v>
      </c>
      <c r="W312" s="25">
        <f t="shared" si="106"/>
        <v>0</v>
      </c>
      <c r="X312" s="3"/>
      <c r="Y312" s="14"/>
      <c r="Z312" s="14"/>
      <c r="AA312" s="3"/>
      <c r="AB312" s="3"/>
      <c r="AC312" s="11">
        <v>46313</v>
      </c>
      <c r="AD312" s="4">
        <v>92</v>
      </c>
      <c r="AE312" s="18">
        <f>(IF(K312&gt;0,K312+R312,R312)-(AD312*Ventas!AE309*1.0489))</f>
        <v>0</v>
      </c>
      <c r="AF312" s="3"/>
      <c r="AG312" s="22">
        <f t="shared" si="117"/>
        <v>0</v>
      </c>
      <c r="AH312" s="14"/>
      <c r="AI312" s="25">
        <f t="shared" si="107"/>
        <v>0</v>
      </c>
      <c r="AJ312" s="16"/>
      <c r="AK312" s="12">
        <f t="shared" si="108"/>
        <v>0</v>
      </c>
      <c r="AL312" s="19">
        <f t="shared" si="109"/>
        <v>0</v>
      </c>
      <c r="AM312" s="18">
        <f>(180*(Ventas!AE309*0.9644) - IF(AE312&gt;0,AE312,0))</f>
        <v>0</v>
      </c>
      <c r="AN312" s="18">
        <f t="shared" si="121"/>
        <v>0</v>
      </c>
      <c r="AO312" s="14"/>
      <c r="AP312" s="14">
        <f t="shared" si="120"/>
        <v>0</v>
      </c>
      <c r="AQ312" s="16">
        <f t="shared" si="110"/>
        <v>0</v>
      </c>
      <c r="AR312" s="37">
        <f>_xlfn.XLOOKUP(C312,[1]Hoja2!$C$6:$C$24,[1]Hoja2!$D$6:$D$24,0,2,1)</f>
        <v>0</v>
      </c>
      <c r="AS312" s="18">
        <f t="shared" si="111"/>
        <v>0</v>
      </c>
      <c r="AT312" s="14"/>
      <c r="AU312" s="37">
        <f>_xlfn.XLOOKUP(D312,[1]Hoja2!$E$6:$E$24,[1]Hoja2!$F$6:$F$24,0,2,1)</f>
        <v>0</v>
      </c>
      <c r="AV312" s="3">
        <v>0</v>
      </c>
      <c r="AW312" s="3"/>
      <c r="AX312" s="14">
        <v>0</v>
      </c>
      <c r="AY312" s="14"/>
      <c r="AZ312" s="16">
        <f>_xlfn.XLOOKUP(C312,[2]PI!$B$15:$B$99,[2]PI!$L$15:$L$99,0,2,1)</f>
        <v>0</v>
      </c>
      <c r="BA312" s="16">
        <f>_xlfn.XLOOKUP(D312,[2]PI!$B$15:$B$99,[2]PI!$L$15:$L$99,0,2,1)</f>
        <v>0</v>
      </c>
      <c r="BB312" s="3"/>
      <c r="BC312" s="3"/>
      <c r="BD312" s="14"/>
      <c r="BE312" s="14"/>
      <c r="BF312" s="16"/>
      <c r="BG312" s="16"/>
      <c r="BH312" s="12">
        <f t="shared" si="112"/>
        <v>0</v>
      </c>
      <c r="BI312" s="19">
        <f t="shared" si="113"/>
        <v>0</v>
      </c>
      <c r="BJ312" s="1" t="s">
        <v>51</v>
      </c>
      <c r="BK312">
        <f t="shared" si="114"/>
        <v>0</v>
      </c>
      <c r="BL312">
        <f t="shared" si="115"/>
        <v>0</v>
      </c>
    </row>
    <row r="313" spans="1:64" x14ac:dyDescent="0.25">
      <c r="A313" s="1" t="s">
        <v>942</v>
      </c>
      <c r="B313" s="1" t="s">
        <v>941</v>
      </c>
      <c r="C313" s="13" t="s">
        <v>940</v>
      </c>
      <c r="D313" s="15"/>
      <c r="E313" s="17"/>
      <c r="F313" s="3"/>
      <c r="G313" s="14"/>
      <c r="H313" s="16"/>
      <c r="I313" s="11">
        <v>46221</v>
      </c>
      <c r="J313" s="4">
        <v>17</v>
      </c>
      <c r="K313" s="18">
        <f>(F313-(0)+0-(J313*Ventas!AE310*1))</f>
        <v>0</v>
      </c>
      <c r="L313" s="3"/>
      <c r="M313" s="22">
        <f t="shared" si="116"/>
        <v>0</v>
      </c>
      <c r="N313" s="14"/>
      <c r="O313" s="25">
        <f t="shared" si="102"/>
        <v>0</v>
      </c>
      <c r="P313" s="16"/>
      <c r="Q313" s="12">
        <f t="shared" si="103"/>
        <v>0</v>
      </c>
      <c r="R313" s="5">
        <v>0</v>
      </c>
      <c r="S313" s="24">
        <v>0</v>
      </c>
      <c r="T313" s="26">
        <v>0</v>
      </c>
      <c r="U313" s="18">
        <f t="shared" si="104"/>
        <v>0</v>
      </c>
      <c r="V313" s="22">
        <f t="shared" si="105"/>
        <v>0</v>
      </c>
      <c r="W313" s="25">
        <f t="shared" si="106"/>
        <v>0</v>
      </c>
      <c r="X313" s="3"/>
      <c r="Y313" s="14"/>
      <c r="Z313" s="14"/>
      <c r="AA313" s="3"/>
      <c r="AB313" s="3"/>
      <c r="AC313" s="11">
        <v>46313</v>
      </c>
      <c r="AD313" s="4">
        <v>92</v>
      </c>
      <c r="AE313" s="18">
        <f>(IF(K313&gt;0,K313+R313,R313)-(AD313*Ventas!AE310*1.0489))</f>
        <v>0</v>
      </c>
      <c r="AF313" s="3"/>
      <c r="AG313" s="22">
        <f t="shared" si="117"/>
        <v>0</v>
      </c>
      <c r="AH313" s="14"/>
      <c r="AI313" s="25">
        <f t="shared" si="107"/>
        <v>0</v>
      </c>
      <c r="AJ313" s="16"/>
      <c r="AK313" s="12">
        <f t="shared" si="108"/>
        <v>0</v>
      </c>
      <c r="AL313" s="19">
        <f t="shared" si="109"/>
        <v>0</v>
      </c>
      <c r="AM313" s="18">
        <f>(180*(Ventas!AE310*0.9644) - IF(AE313&gt;0,AE313,0))</f>
        <v>0</v>
      </c>
      <c r="AN313" s="18">
        <f t="shared" si="121"/>
        <v>0</v>
      </c>
      <c r="AO313" s="14"/>
      <c r="AP313" s="14">
        <f t="shared" si="120"/>
        <v>0</v>
      </c>
      <c r="AQ313" s="16">
        <f t="shared" si="110"/>
        <v>0</v>
      </c>
      <c r="AR313" s="37">
        <f>_xlfn.XLOOKUP(C313,[1]Hoja2!$C$6:$C$24,[1]Hoja2!$D$6:$D$24,0,2,1)</f>
        <v>0</v>
      </c>
      <c r="AS313" s="18">
        <f t="shared" si="111"/>
        <v>0</v>
      </c>
      <c r="AT313" s="14"/>
      <c r="AU313" s="37">
        <f>_xlfn.XLOOKUP(D313,[1]Hoja2!$E$6:$E$24,[1]Hoja2!$F$6:$F$24,0,2,1)</f>
        <v>0</v>
      </c>
      <c r="AV313" s="3">
        <v>0</v>
      </c>
      <c r="AW313" s="3"/>
      <c r="AX313" s="14">
        <v>0</v>
      </c>
      <c r="AY313" s="14"/>
      <c r="AZ313" s="16">
        <f>_xlfn.XLOOKUP(C313,[2]PI!$B$15:$B$99,[2]PI!$L$15:$L$99,0,2,1)</f>
        <v>0</v>
      </c>
      <c r="BA313" s="16">
        <f>_xlfn.XLOOKUP(D313,[2]PI!$B$15:$B$99,[2]PI!$L$15:$L$99,0,2,1)</f>
        <v>0</v>
      </c>
      <c r="BB313" s="3"/>
      <c r="BC313" s="3"/>
      <c r="BD313" s="14"/>
      <c r="BE313" s="14"/>
      <c r="BF313" s="16"/>
      <c r="BG313" s="16"/>
      <c r="BH313" s="12">
        <f t="shared" si="112"/>
        <v>0</v>
      </c>
      <c r="BI313" s="19">
        <f t="shared" si="113"/>
        <v>0</v>
      </c>
      <c r="BJ313" s="1" t="s">
        <v>51</v>
      </c>
      <c r="BK313">
        <f t="shared" si="114"/>
        <v>0</v>
      </c>
      <c r="BL313">
        <f t="shared" si="115"/>
        <v>0</v>
      </c>
    </row>
    <row r="314" spans="1:64" x14ac:dyDescent="0.25">
      <c r="A314" s="1" t="s">
        <v>945</v>
      </c>
      <c r="B314" s="1" t="s">
        <v>944</v>
      </c>
      <c r="C314" s="13" t="s">
        <v>943</v>
      </c>
      <c r="D314" s="15"/>
      <c r="E314" s="17"/>
      <c r="F314" s="5">
        <v>12</v>
      </c>
      <c r="G314" s="14"/>
      <c r="H314" s="16"/>
      <c r="I314" s="11">
        <v>46221</v>
      </c>
      <c r="J314" s="4">
        <v>17</v>
      </c>
      <c r="K314" s="18">
        <f>(F314-(0)+0-(J314*Ventas!AE311*1))</f>
        <v>11.6005</v>
      </c>
      <c r="L314" s="20">
        <f>(K314/(Ventas!AE311*1)/80)</f>
        <v>6.1704787234042557</v>
      </c>
      <c r="M314" s="22">
        <f t="shared" si="116"/>
        <v>0</v>
      </c>
      <c r="N314" s="14"/>
      <c r="O314" s="25">
        <f t="shared" si="102"/>
        <v>0</v>
      </c>
      <c r="P314" s="16"/>
      <c r="Q314" s="12">
        <f t="shared" si="103"/>
        <v>11.6005</v>
      </c>
      <c r="R314" s="5">
        <v>0</v>
      </c>
      <c r="S314" s="24">
        <v>0</v>
      </c>
      <c r="T314" s="26">
        <v>0</v>
      </c>
      <c r="U314" s="18">
        <f t="shared" si="104"/>
        <v>11.6005</v>
      </c>
      <c r="V314" s="22">
        <f t="shared" si="105"/>
        <v>0</v>
      </c>
      <c r="W314" s="25">
        <f t="shared" si="106"/>
        <v>0</v>
      </c>
      <c r="X314" s="3"/>
      <c r="Y314" s="14"/>
      <c r="Z314" s="14"/>
      <c r="AA314" s="3"/>
      <c r="AB314" s="3"/>
      <c r="AC314" s="11">
        <v>46313</v>
      </c>
      <c r="AD314" s="4">
        <v>92</v>
      </c>
      <c r="AE314" s="18">
        <f>(IF(K314&gt;0,K314+R314,R314)-(AD314*Ventas!AE311*1.0489))</f>
        <v>9.3327781999999999</v>
      </c>
      <c r="AF314" s="20">
        <f>(AE314/(Ventas!AE311*1.0489)/80)</f>
        <v>4.7328093463669134</v>
      </c>
      <c r="AG314" s="22">
        <f t="shared" si="117"/>
        <v>0</v>
      </c>
      <c r="AH314" s="14"/>
      <c r="AI314" s="25">
        <f t="shared" si="107"/>
        <v>0</v>
      </c>
      <c r="AJ314" s="16"/>
      <c r="AK314" s="12">
        <f t="shared" si="108"/>
        <v>9.3327781999999999</v>
      </c>
      <c r="AL314" s="19">
        <f t="shared" si="109"/>
        <v>4.1412081780710492</v>
      </c>
      <c r="AM314" s="18">
        <f>(180*(Ventas!AE311*0.9644) - IF(AE314&gt;0,AE314,0))</f>
        <v>-5.2533662000000003</v>
      </c>
      <c r="AN314" s="18">
        <f t="shared" si="121"/>
        <v>0</v>
      </c>
      <c r="AO314" s="14"/>
      <c r="AP314" s="14">
        <f t="shared" si="120"/>
        <v>0</v>
      </c>
      <c r="AQ314" s="16">
        <f t="shared" si="110"/>
        <v>0</v>
      </c>
      <c r="AR314" s="37">
        <f>_xlfn.XLOOKUP(C314,[1]Hoja2!$C$6:$C$24,[1]Hoja2!$D$6:$D$24,0,2,1)</f>
        <v>0</v>
      </c>
      <c r="AS314" s="18">
        <f t="shared" si="111"/>
        <v>9.3327781999999999</v>
      </c>
      <c r="AT314" s="14"/>
      <c r="AU314" s="37">
        <f>_xlfn.XLOOKUP(D314,[1]Hoja2!$E$6:$E$24,[1]Hoja2!$F$6:$F$24,0,2,1)</f>
        <v>0</v>
      </c>
      <c r="AV314" s="27">
        <v>0</v>
      </c>
      <c r="AW314" s="5">
        <v>3016</v>
      </c>
      <c r="AX314" s="14">
        <v>0</v>
      </c>
      <c r="AY314" s="14"/>
      <c r="AZ314" s="16">
        <f>_xlfn.XLOOKUP(C314,[2]PI!$B$15:$B$99,[2]PI!$L$15:$L$99,0,2,1)</f>
        <v>0</v>
      </c>
      <c r="BA314" s="16">
        <f>_xlfn.XLOOKUP(D314,[2]PI!$B$15:$B$99,[2]PI!$L$15:$L$99,0,2,1)</f>
        <v>0</v>
      </c>
      <c r="BB314" s="18">
        <f>(AS314-(90*Ventas!AE311*0.9644))</f>
        <v>7.2930721999999992</v>
      </c>
      <c r="BC314" s="20">
        <f>(BB314/(Ventas!AE311*0.9644)/80)</f>
        <v>4.022494528623243</v>
      </c>
      <c r="BD314" s="14"/>
      <c r="BE314" s="14"/>
      <c r="BF314" s="16"/>
      <c r="BG314" s="16"/>
      <c r="BH314" s="12">
        <f t="shared" si="112"/>
        <v>7.2930721999999992</v>
      </c>
      <c r="BI314" s="19">
        <f t="shared" si="113"/>
        <v>3.5196827125453378</v>
      </c>
      <c r="BJ314" s="1" t="s">
        <v>35</v>
      </c>
      <c r="BK314">
        <f t="shared" si="114"/>
        <v>0</v>
      </c>
      <c r="BL314">
        <f t="shared" si="115"/>
        <v>0</v>
      </c>
    </row>
    <row r="315" spans="1:64" x14ac:dyDescent="0.25">
      <c r="A315" s="1" t="s">
        <v>948</v>
      </c>
      <c r="B315" s="1" t="s">
        <v>947</v>
      </c>
      <c r="C315" s="13" t="s">
        <v>946</v>
      </c>
      <c r="D315" s="15"/>
      <c r="E315" s="17"/>
      <c r="F315" s="3"/>
      <c r="G315" s="14"/>
      <c r="H315" s="16"/>
      <c r="I315" s="11">
        <v>46221</v>
      </c>
      <c r="J315" s="4">
        <v>17</v>
      </c>
      <c r="K315" s="18">
        <f>(F315-(0)+0-(J315*Ventas!AE312*1))</f>
        <v>0</v>
      </c>
      <c r="L315" s="3"/>
      <c r="M315" s="22">
        <f t="shared" si="116"/>
        <v>0</v>
      </c>
      <c r="N315" s="14"/>
      <c r="O315" s="25">
        <f t="shared" si="102"/>
        <v>0</v>
      </c>
      <c r="P315" s="16"/>
      <c r="Q315" s="12">
        <f t="shared" si="103"/>
        <v>0</v>
      </c>
      <c r="R315" s="5">
        <v>0</v>
      </c>
      <c r="S315" s="24">
        <v>0</v>
      </c>
      <c r="T315" s="26">
        <v>0</v>
      </c>
      <c r="U315" s="18">
        <f t="shared" si="104"/>
        <v>0</v>
      </c>
      <c r="V315" s="22">
        <f t="shared" si="105"/>
        <v>0</v>
      </c>
      <c r="W315" s="25">
        <f t="shared" si="106"/>
        <v>0</v>
      </c>
      <c r="X315" s="3"/>
      <c r="Y315" s="14"/>
      <c r="Z315" s="14"/>
      <c r="AA315" s="3"/>
      <c r="AB315" s="3"/>
      <c r="AC315" s="11">
        <v>46313</v>
      </c>
      <c r="AD315" s="4">
        <v>92</v>
      </c>
      <c r="AE315" s="18">
        <f>(IF(K315&gt;0,K315+R315,R315)-(AD315*Ventas!AE312*1.0489))</f>
        <v>0</v>
      </c>
      <c r="AF315" s="3"/>
      <c r="AG315" s="22">
        <f t="shared" si="117"/>
        <v>0</v>
      </c>
      <c r="AH315" s="14"/>
      <c r="AI315" s="25">
        <f t="shared" si="107"/>
        <v>0</v>
      </c>
      <c r="AJ315" s="16"/>
      <c r="AK315" s="12">
        <f t="shared" si="108"/>
        <v>0</v>
      </c>
      <c r="AL315" s="19">
        <f t="shared" si="109"/>
        <v>0</v>
      </c>
      <c r="AM315" s="18">
        <f>(180*(Ventas!AE312*0.9644) - IF(AE315&gt;0,AE315,0))</f>
        <v>0</v>
      </c>
      <c r="AN315" s="18">
        <f t="shared" si="121"/>
        <v>0</v>
      </c>
      <c r="AO315" s="14"/>
      <c r="AP315" s="14">
        <f t="shared" si="120"/>
        <v>0</v>
      </c>
      <c r="AQ315" s="16">
        <f t="shared" si="110"/>
        <v>0</v>
      </c>
      <c r="AR315" s="37">
        <f>_xlfn.XLOOKUP(C315,[1]Hoja2!$C$6:$C$24,[1]Hoja2!$D$6:$D$24,0,2,1)</f>
        <v>0</v>
      </c>
      <c r="AS315" s="18">
        <f t="shared" si="111"/>
        <v>0</v>
      </c>
      <c r="AT315" s="14"/>
      <c r="AU315" s="37">
        <f>_xlfn.XLOOKUP(D315,[1]Hoja2!$E$6:$E$24,[1]Hoja2!$F$6:$F$24,0,2,1)</f>
        <v>0</v>
      </c>
      <c r="AV315" s="3">
        <v>0</v>
      </c>
      <c r="AW315" s="3"/>
      <c r="AX315" s="14">
        <v>0</v>
      </c>
      <c r="AY315" s="14"/>
      <c r="AZ315" s="16">
        <f>_xlfn.XLOOKUP(C315,[2]PI!$B$15:$B$99,[2]PI!$L$15:$L$99,0,2,1)</f>
        <v>0</v>
      </c>
      <c r="BA315" s="16">
        <f>_xlfn.XLOOKUP(D315,[2]PI!$B$15:$B$99,[2]PI!$L$15:$L$99,0,2,1)</f>
        <v>0</v>
      </c>
      <c r="BB315" s="3"/>
      <c r="BC315" s="3"/>
      <c r="BD315" s="14"/>
      <c r="BE315" s="14"/>
      <c r="BF315" s="16"/>
      <c r="BG315" s="16"/>
      <c r="BH315" s="12">
        <f t="shared" si="112"/>
        <v>0</v>
      </c>
      <c r="BI315" s="19">
        <f t="shared" si="113"/>
        <v>0</v>
      </c>
      <c r="BJ315" s="1" t="s">
        <v>51</v>
      </c>
      <c r="BK315">
        <f t="shared" si="114"/>
        <v>0</v>
      </c>
      <c r="BL315">
        <f t="shared" si="115"/>
        <v>0</v>
      </c>
    </row>
    <row r="316" spans="1:64" x14ac:dyDescent="0.25">
      <c r="A316" s="1" t="s">
        <v>951</v>
      </c>
      <c r="B316" s="1" t="s">
        <v>950</v>
      </c>
      <c r="C316" s="13" t="s">
        <v>949</v>
      </c>
      <c r="D316" s="15"/>
      <c r="E316" s="17"/>
      <c r="F316" s="3"/>
      <c r="G316" s="14"/>
      <c r="H316" s="16"/>
      <c r="I316" s="11">
        <v>46221</v>
      </c>
      <c r="J316" s="4">
        <v>17</v>
      </c>
      <c r="K316" s="18">
        <f>(F316-(0)+0-(J316*Ventas!AE313*1))</f>
        <v>0</v>
      </c>
      <c r="L316" s="3"/>
      <c r="M316" s="22">
        <f t="shared" si="116"/>
        <v>0</v>
      </c>
      <c r="N316" s="14"/>
      <c r="O316" s="25">
        <f t="shared" si="102"/>
        <v>0</v>
      </c>
      <c r="P316" s="16"/>
      <c r="Q316" s="12">
        <f t="shared" si="103"/>
        <v>0</v>
      </c>
      <c r="R316" s="5">
        <v>0</v>
      </c>
      <c r="S316" s="24">
        <v>0</v>
      </c>
      <c r="T316" s="26">
        <v>0</v>
      </c>
      <c r="U316" s="18">
        <f t="shared" si="104"/>
        <v>0</v>
      </c>
      <c r="V316" s="22">
        <f t="shared" si="105"/>
        <v>0</v>
      </c>
      <c r="W316" s="25">
        <f t="shared" si="106"/>
        <v>0</v>
      </c>
      <c r="X316" s="3"/>
      <c r="Y316" s="14"/>
      <c r="Z316" s="14"/>
      <c r="AA316" s="3"/>
      <c r="AB316" s="3"/>
      <c r="AC316" s="11">
        <v>46313</v>
      </c>
      <c r="AD316" s="4">
        <v>92</v>
      </c>
      <c r="AE316" s="18">
        <f>(IF(K316&gt;0,K316+R316,R316)-(AD316*Ventas!AE313*1.0489))</f>
        <v>0</v>
      </c>
      <c r="AF316" s="3"/>
      <c r="AG316" s="22">
        <f t="shared" si="117"/>
        <v>0</v>
      </c>
      <c r="AH316" s="14"/>
      <c r="AI316" s="25">
        <f t="shared" si="107"/>
        <v>0</v>
      </c>
      <c r="AJ316" s="16"/>
      <c r="AK316" s="12">
        <f t="shared" si="108"/>
        <v>0</v>
      </c>
      <c r="AL316" s="19">
        <f t="shared" si="109"/>
        <v>0</v>
      </c>
      <c r="AM316" s="18">
        <f>(180*(Ventas!AE313*0.9644) - IF(AE316&gt;0,AE316,0))</f>
        <v>0</v>
      </c>
      <c r="AN316" s="18">
        <f t="shared" si="121"/>
        <v>0</v>
      </c>
      <c r="AO316" s="14"/>
      <c r="AP316" s="14">
        <f t="shared" si="120"/>
        <v>0</v>
      </c>
      <c r="AQ316" s="16">
        <f t="shared" si="110"/>
        <v>0</v>
      </c>
      <c r="AR316" s="37">
        <f>_xlfn.XLOOKUP(C316,[1]Hoja2!$C$6:$C$24,[1]Hoja2!$D$6:$D$24,0,2,1)</f>
        <v>0</v>
      </c>
      <c r="AS316" s="18">
        <f t="shared" si="111"/>
        <v>0</v>
      </c>
      <c r="AT316" s="14"/>
      <c r="AU316" s="37">
        <f>_xlfn.XLOOKUP(D316,[1]Hoja2!$E$6:$E$24,[1]Hoja2!$F$6:$F$24,0,2,1)</f>
        <v>0</v>
      </c>
      <c r="AV316" s="3">
        <v>0</v>
      </c>
      <c r="AW316" s="3"/>
      <c r="AX316" s="14">
        <v>0</v>
      </c>
      <c r="AY316" s="14"/>
      <c r="AZ316" s="16">
        <f>_xlfn.XLOOKUP(C316,[2]PI!$B$15:$B$99,[2]PI!$L$15:$L$99,0,2,1)</f>
        <v>0</v>
      </c>
      <c r="BA316" s="16">
        <f>_xlfn.XLOOKUP(D316,[2]PI!$B$15:$B$99,[2]PI!$L$15:$L$99,0,2,1)</f>
        <v>0</v>
      </c>
      <c r="BB316" s="3"/>
      <c r="BC316" s="3"/>
      <c r="BD316" s="14"/>
      <c r="BE316" s="14"/>
      <c r="BF316" s="16"/>
      <c r="BG316" s="16"/>
      <c r="BH316" s="12">
        <f t="shared" si="112"/>
        <v>0</v>
      </c>
      <c r="BI316" s="19">
        <f t="shared" si="113"/>
        <v>0</v>
      </c>
      <c r="BJ316" s="1" t="s">
        <v>51</v>
      </c>
      <c r="BK316">
        <f t="shared" si="114"/>
        <v>0</v>
      </c>
      <c r="BL316">
        <f t="shared" si="115"/>
        <v>0</v>
      </c>
    </row>
    <row r="317" spans="1:64" x14ac:dyDescent="0.25">
      <c r="A317" s="1" t="s">
        <v>954</v>
      </c>
      <c r="B317" s="1" t="s">
        <v>953</v>
      </c>
      <c r="C317" s="13" t="s">
        <v>952</v>
      </c>
      <c r="D317" s="15"/>
      <c r="E317" s="17"/>
      <c r="F317" s="3"/>
      <c r="G317" s="14"/>
      <c r="H317" s="16"/>
      <c r="I317" s="11">
        <v>46221</v>
      </c>
      <c r="J317" s="4">
        <v>17</v>
      </c>
      <c r="K317" s="18">
        <f>(F317-(0)+0-(J317*Ventas!AE314*1))</f>
        <v>0</v>
      </c>
      <c r="L317" s="3"/>
      <c r="M317" s="22">
        <f t="shared" si="116"/>
        <v>0</v>
      </c>
      <c r="N317" s="14"/>
      <c r="O317" s="25">
        <f t="shared" si="102"/>
        <v>0</v>
      </c>
      <c r="P317" s="16"/>
      <c r="Q317" s="12">
        <f t="shared" si="103"/>
        <v>0</v>
      </c>
      <c r="R317" s="5">
        <v>0</v>
      </c>
      <c r="S317" s="24">
        <v>0</v>
      </c>
      <c r="T317" s="26">
        <v>0</v>
      </c>
      <c r="U317" s="18">
        <f t="shared" si="104"/>
        <v>0</v>
      </c>
      <c r="V317" s="22">
        <f t="shared" si="105"/>
        <v>0</v>
      </c>
      <c r="W317" s="25">
        <f t="shared" si="106"/>
        <v>0</v>
      </c>
      <c r="X317" s="3"/>
      <c r="Y317" s="14"/>
      <c r="Z317" s="14"/>
      <c r="AA317" s="3"/>
      <c r="AB317" s="3"/>
      <c r="AC317" s="11">
        <v>46313</v>
      </c>
      <c r="AD317" s="4">
        <v>92</v>
      </c>
      <c r="AE317" s="18">
        <f>(IF(K317&gt;0,K317+R317,R317)-(AD317*Ventas!AE314*1.0489))</f>
        <v>0</v>
      </c>
      <c r="AF317" s="3"/>
      <c r="AG317" s="22">
        <f t="shared" si="117"/>
        <v>0</v>
      </c>
      <c r="AH317" s="14"/>
      <c r="AI317" s="25">
        <f t="shared" si="107"/>
        <v>0</v>
      </c>
      <c r="AJ317" s="16"/>
      <c r="AK317" s="12">
        <f t="shared" si="108"/>
        <v>0</v>
      </c>
      <c r="AL317" s="19">
        <f t="shared" si="109"/>
        <v>0</v>
      </c>
      <c r="AM317" s="18">
        <f>(180*(Ventas!AE314*0.9644) - IF(AE317&gt;0,AE317,0))</f>
        <v>0</v>
      </c>
      <c r="AN317" s="18">
        <f t="shared" si="121"/>
        <v>0</v>
      </c>
      <c r="AO317" s="14"/>
      <c r="AP317" s="14">
        <f t="shared" si="120"/>
        <v>0</v>
      </c>
      <c r="AQ317" s="16">
        <f t="shared" si="110"/>
        <v>0</v>
      </c>
      <c r="AR317" s="37">
        <f>_xlfn.XLOOKUP(C317,[1]Hoja2!$C$6:$C$24,[1]Hoja2!$D$6:$D$24,0,2,1)</f>
        <v>0</v>
      </c>
      <c r="AS317" s="18">
        <f t="shared" si="111"/>
        <v>0</v>
      </c>
      <c r="AT317" s="14"/>
      <c r="AU317" s="37">
        <f>_xlfn.XLOOKUP(D317,[1]Hoja2!$E$6:$E$24,[1]Hoja2!$F$6:$F$24,0,2,1)</f>
        <v>0</v>
      </c>
      <c r="AV317" s="3">
        <v>0</v>
      </c>
      <c r="AW317" s="3"/>
      <c r="AX317" s="14">
        <v>0</v>
      </c>
      <c r="AY317" s="14"/>
      <c r="AZ317" s="16">
        <f>_xlfn.XLOOKUP(C317,[2]PI!$B$15:$B$99,[2]PI!$L$15:$L$99,0,2,1)</f>
        <v>0</v>
      </c>
      <c r="BA317" s="16">
        <f>_xlfn.XLOOKUP(D317,[2]PI!$B$15:$B$99,[2]PI!$L$15:$L$99,0,2,1)</f>
        <v>0</v>
      </c>
      <c r="BB317" s="3"/>
      <c r="BC317" s="3"/>
      <c r="BD317" s="14"/>
      <c r="BE317" s="14"/>
      <c r="BF317" s="16"/>
      <c r="BG317" s="16"/>
      <c r="BH317" s="12">
        <f t="shared" si="112"/>
        <v>0</v>
      </c>
      <c r="BI317" s="19">
        <f t="shared" si="113"/>
        <v>0</v>
      </c>
      <c r="BJ317" s="1" t="s">
        <v>51</v>
      </c>
      <c r="BK317">
        <f t="shared" si="114"/>
        <v>0</v>
      </c>
      <c r="BL317">
        <f t="shared" si="115"/>
        <v>0</v>
      </c>
    </row>
    <row r="318" spans="1:64" x14ac:dyDescent="0.25">
      <c r="A318" s="1" t="s">
        <v>957</v>
      </c>
      <c r="B318" s="1" t="s">
        <v>956</v>
      </c>
      <c r="C318" s="13" t="s">
        <v>955</v>
      </c>
      <c r="D318" s="15"/>
      <c r="E318" s="17"/>
      <c r="F318" s="3"/>
      <c r="G318" s="14"/>
      <c r="H318" s="16"/>
      <c r="I318" s="11">
        <v>46221</v>
      </c>
      <c r="J318" s="4">
        <v>17</v>
      </c>
      <c r="K318" s="18">
        <f>(F318-(0)+0-(J318*Ventas!AE315*1))</f>
        <v>0</v>
      </c>
      <c r="L318" s="3"/>
      <c r="M318" s="22">
        <f t="shared" si="116"/>
        <v>0</v>
      </c>
      <c r="N318" s="14"/>
      <c r="O318" s="25">
        <f t="shared" si="102"/>
        <v>0</v>
      </c>
      <c r="P318" s="16"/>
      <c r="Q318" s="12">
        <f t="shared" si="103"/>
        <v>0</v>
      </c>
      <c r="R318" s="5">
        <v>0</v>
      </c>
      <c r="S318" s="24">
        <v>0</v>
      </c>
      <c r="T318" s="26">
        <v>0</v>
      </c>
      <c r="U318" s="18">
        <f t="shared" si="104"/>
        <v>0</v>
      </c>
      <c r="V318" s="22">
        <f t="shared" si="105"/>
        <v>0</v>
      </c>
      <c r="W318" s="25">
        <f t="shared" si="106"/>
        <v>0</v>
      </c>
      <c r="X318" s="3"/>
      <c r="Y318" s="14"/>
      <c r="Z318" s="14"/>
      <c r="AA318" s="3"/>
      <c r="AB318" s="3"/>
      <c r="AC318" s="11">
        <v>46313</v>
      </c>
      <c r="AD318" s="4">
        <v>92</v>
      </c>
      <c r="AE318" s="18">
        <f>(IF(K318&gt;0,K318+R318,R318)-(AD318*Ventas!AE315*1.0489))</f>
        <v>0</v>
      </c>
      <c r="AF318" s="3"/>
      <c r="AG318" s="22">
        <f t="shared" si="117"/>
        <v>0</v>
      </c>
      <c r="AH318" s="14"/>
      <c r="AI318" s="25">
        <f t="shared" si="107"/>
        <v>0</v>
      </c>
      <c r="AJ318" s="16"/>
      <c r="AK318" s="12">
        <f t="shared" si="108"/>
        <v>0</v>
      </c>
      <c r="AL318" s="19">
        <f t="shared" si="109"/>
        <v>0</v>
      </c>
      <c r="AM318" s="18">
        <f>(180*(Ventas!AE315*0.9644) - IF(AE318&gt;0,AE318,0))</f>
        <v>0</v>
      </c>
      <c r="AN318" s="18">
        <f t="shared" si="121"/>
        <v>0</v>
      </c>
      <c r="AO318" s="14"/>
      <c r="AP318" s="14">
        <f t="shared" si="120"/>
        <v>0</v>
      </c>
      <c r="AQ318" s="16">
        <f t="shared" si="110"/>
        <v>0</v>
      </c>
      <c r="AR318" s="37">
        <f>_xlfn.XLOOKUP(C318,[1]Hoja2!$C$6:$C$24,[1]Hoja2!$D$6:$D$24,0,2,1)</f>
        <v>0</v>
      </c>
      <c r="AS318" s="18">
        <f t="shared" si="111"/>
        <v>0</v>
      </c>
      <c r="AT318" s="14"/>
      <c r="AU318" s="37">
        <f>_xlfn.XLOOKUP(D318,[1]Hoja2!$E$6:$E$24,[1]Hoja2!$F$6:$F$24,0,2,1)</f>
        <v>0</v>
      </c>
      <c r="AV318" s="3">
        <v>0</v>
      </c>
      <c r="AW318" s="3"/>
      <c r="AX318" s="14">
        <v>0</v>
      </c>
      <c r="AY318" s="14"/>
      <c r="AZ318" s="16">
        <f>_xlfn.XLOOKUP(C318,[2]PI!$B$15:$B$99,[2]PI!$L$15:$L$99,0,2,1)</f>
        <v>0</v>
      </c>
      <c r="BA318" s="16">
        <f>_xlfn.XLOOKUP(D318,[2]PI!$B$15:$B$99,[2]PI!$L$15:$L$99,0,2,1)</f>
        <v>0</v>
      </c>
      <c r="BB318" s="3"/>
      <c r="BC318" s="3"/>
      <c r="BD318" s="14"/>
      <c r="BE318" s="14"/>
      <c r="BF318" s="16"/>
      <c r="BG318" s="16"/>
      <c r="BH318" s="12">
        <f t="shared" si="112"/>
        <v>0</v>
      </c>
      <c r="BI318" s="19">
        <f t="shared" si="113"/>
        <v>0</v>
      </c>
      <c r="BJ318" s="1" t="s">
        <v>51</v>
      </c>
      <c r="BK318">
        <f t="shared" si="114"/>
        <v>0</v>
      </c>
      <c r="BL318">
        <f t="shared" si="115"/>
        <v>0</v>
      </c>
    </row>
    <row r="319" spans="1:64" x14ac:dyDescent="0.25">
      <c r="A319" s="1" t="s">
        <v>960</v>
      </c>
      <c r="B319" s="1" t="s">
        <v>959</v>
      </c>
      <c r="C319" s="13" t="s">
        <v>958</v>
      </c>
      <c r="D319" s="15"/>
      <c r="E319" s="17"/>
      <c r="F319" s="3"/>
      <c r="G319" s="14"/>
      <c r="H319" s="16"/>
      <c r="I319" s="11">
        <v>46221</v>
      </c>
      <c r="J319" s="4">
        <v>17</v>
      </c>
      <c r="K319" s="18">
        <f>(F319-(0)+0-(J319*Ventas!AE316*1))</f>
        <v>0</v>
      </c>
      <c r="L319" s="3"/>
      <c r="M319" s="22">
        <f t="shared" si="116"/>
        <v>0</v>
      </c>
      <c r="N319" s="14"/>
      <c r="O319" s="25">
        <f t="shared" si="102"/>
        <v>0</v>
      </c>
      <c r="P319" s="16"/>
      <c r="Q319" s="12">
        <f t="shared" si="103"/>
        <v>0</v>
      </c>
      <c r="R319" s="5">
        <v>0</v>
      </c>
      <c r="S319" s="24">
        <v>0</v>
      </c>
      <c r="T319" s="26">
        <v>0</v>
      </c>
      <c r="U319" s="18">
        <f t="shared" si="104"/>
        <v>0</v>
      </c>
      <c r="V319" s="22">
        <f t="shared" si="105"/>
        <v>0</v>
      </c>
      <c r="W319" s="25">
        <f t="shared" si="106"/>
        <v>0</v>
      </c>
      <c r="X319" s="3"/>
      <c r="Y319" s="14"/>
      <c r="Z319" s="14"/>
      <c r="AA319" s="3"/>
      <c r="AB319" s="3"/>
      <c r="AC319" s="11">
        <v>46313</v>
      </c>
      <c r="AD319" s="4">
        <v>92</v>
      </c>
      <c r="AE319" s="18">
        <f>(IF(K319&gt;0,K319+R319,R319)-(AD319*Ventas!AE316*1.0489))</f>
        <v>0</v>
      </c>
      <c r="AF319" s="3"/>
      <c r="AG319" s="22">
        <f t="shared" si="117"/>
        <v>0</v>
      </c>
      <c r="AH319" s="14"/>
      <c r="AI319" s="25">
        <f t="shared" si="107"/>
        <v>0</v>
      </c>
      <c r="AJ319" s="16"/>
      <c r="AK319" s="12">
        <f t="shared" si="108"/>
        <v>0</v>
      </c>
      <c r="AL319" s="19">
        <f t="shared" si="109"/>
        <v>0</v>
      </c>
      <c r="AM319" s="18">
        <f>(180*(Ventas!AE316*0.9644) - IF(AE319&gt;0,AE319,0))</f>
        <v>0</v>
      </c>
      <c r="AN319" s="18">
        <f t="shared" si="121"/>
        <v>0</v>
      </c>
      <c r="AO319" s="14"/>
      <c r="AP319" s="14">
        <f t="shared" si="120"/>
        <v>0</v>
      </c>
      <c r="AQ319" s="16">
        <f t="shared" si="110"/>
        <v>0</v>
      </c>
      <c r="AR319" s="37">
        <f>_xlfn.XLOOKUP(C319,[1]Hoja2!$C$6:$C$24,[1]Hoja2!$D$6:$D$24,0,2,1)</f>
        <v>0</v>
      </c>
      <c r="AS319" s="18">
        <f t="shared" si="111"/>
        <v>0</v>
      </c>
      <c r="AT319" s="14"/>
      <c r="AU319" s="37">
        <f>_xlfn.XLOOKUP(D319,[1]Hoja2!$E$6:$E$24,[1]Hoja2!$F$6:$F$24,0,2,1)</f>
        <v>0</v>
      </c>
      <c r="AV319" s="3">
        <v>0</v>
      </c>
      <c r="AW319" s="3"/>
      <c r="AX319" s="14">
        <v>0</v>
      </c>
      <c r="AY319" s="14"/>
      <c r="AZ319" s="16">
        <f>_xlfn.XLOOKUP(C319,[2]PI!$B$15:$B$99,[2]PI!$L$15:$L$99,0,2,1)</f>
        <v>0</v>
      </c>
      <c r="BA319" s="16">
        <f>_xlfn.XLOOKUP(D319,[2]PI!$B$15:$B$99,[2]PI!$L$15:$L$99,0,2,1)</f>
        <v>0</v>
      </c>
      <c r="BB319" s="3"/>
      <c r="BC319" s="3"/>
      <c r="BD319" s="14"/>
      <c r="BE319" s="14"/>
      <c r="BF319" s="16"/>
      <c r="BG319" s="16"/>
      <c r="BH319" s="12">
        <f t="shared" si="112"/>
        <v>0</v>
      </c>
      <c r="BI319" s="19">
        <f t="shared" si="113"/>
        <v>0</v>
      </c>
      <c r="BJ319" s="1" t="s">
        <v>51</v>
      </c>
      <c r="BK319">
        <f t="shared" si="114"/>
        <v>0</v>
      </c>
      <c r="BL319">
        <f t="shared" si="115"/>
        <v>0</v>
      </c>
    </row>
    <row r="320" spans="1:64" x14ac:dyDescent="0.25">
      <c r="A320" s="1" t="s">
        <v>963</v>
      </c>
      <c r="B320" s="1" t="s">
        <v>962</v>
      </c>
      <c r="C320" s="13" t="s">
        <v>961</v>
      </c>
      <c r="D320" s="15"/>
      <c r="E320" s="17"/>
      <c r="F320" s="3"/>
      <c r="G320" s="14"/>
      <c r="H320" s="16"/>
      <c r="I320" s="11">
        <v>46221</v>
      </c>
      <c r="J320" s="4">
        <v>17</v>
      </c>
      <c r="K320" s="18">
        <f>(F320-(0)+0-(J320*Ventas!AE317*1))</f>
        <v>0</v>
      </c>
      <c r="L320" s="3"/>
      <c r="M320" s="22">
        <f t="shared" si="116"/>
        <v>0</v>
      </c>
      <c r="N320" s="14"/>
      <c r="O320" s="25">
        <f t="shared" si="102"/>
        <v>0</v>
      </c>
      <c r="P320" s="16"/>
      <c r="Q320" s="12">
        <f t="shared" si="103"/>
        <v>0</v>
      </c>
      <c r="R320" s="5">
        <v>0</v>
      </c>
      <c r="S320" s="24">
        <v>0</v>
      </c>
      <c r="T320" s="26">
        <v>0</v>
      </c>
      <c r="U320" s="18">
        <f t="shared" si="104"/>
        <v>0</v>
      </c>
      <c r="V320" s="22">
        <f t="shared" si="105"/>
        <v>0</v>
      </c>
      <c r="W320" s="25">
        <f t="shared" si="106"/>
        <v>0</v>
      </c>
      <c r="X320" s="3"/>
      <c r="Y320" s="14"/>
      <c r="Z320" s="14"/>
      <c r="AA320" s="3"/>
      <c r="AB320" s="3"/>
      <c r="AC320" s="11">
        <v>46313</v>
      </c>
      <c r="AD320" s="4">
        <v>92</v>
      </c>
      <c r="AE320" s="18">
        <f>(IF(K320&gt;0,K320+R320,R320)-(AD320*Ventas!AE317*1.0489))</f>
        <v>0</v>
      </c>
      <c r="AF320" s="3"/>
      <c r="AG320" s="22">
        <f t="shared" si="117"/>
        <v>0</v>
      </c>
      <c r="AH320" s="14"/>
      <c r="AI320" s="25">
        <f t="shared" si="107"/>
        <v>0</v>
      </c>
      <c r="AJ320" s="16"/>
      <c r="AK320" s="12">
        <f t="shared" si="108"/>
        <v>0</v>
      </c>
      <c r="AL320" s="19">
        <f t="shared" si="109"/>
        <v>0</v>
      </c>
      <c r="AM320" s="18">
        <f>(180*(Ventas!AE317*0.9644) - IF(AE320&gt;0,AE320,0))</f>
        <v>0</v>
      </c>
      <c r="AN320" s="18">
        <f t="shared" si="121"/>
        <v>0</v>
      </c>
      <c r="AO320" s="14"/>
      <c r="AP320" s="14">
        <f t="shared" si="120"/>
        <v>0</v>
      </c>
      <c r="AQ320" s="16">
        <f t="shared" si="110"/>
        <v>0</v>
      </c>
      <c r="AR320" s="37">
        <f>_xlfn.XLOOKUP(C320,[1]Hoja2!$C$6:$C$24,[1]Hoja2!$D$6:$D$24,0,2,1)</f>
        <v>0</v>
      </c>
      <c r="AS320" s="18">
        <f t="shared" si="111"/>
        <v>0</v>
      </c>
      <c r="AT320" s="14"/>
      <c r="AU320" s="37">
        <f>_xlfn.XLOOKUP(D320,[1]Hoja2!$E$6:$E$24,[1]Hoja2!$F$6:$F$24,0,2,1)</f>
        <v>0</v>
      </c>
      <c r="AV320" s="3">
        <v>0</v>
      </c>
      <c r="AW320" s="3"/>
      <c r="AX320" s="14">
        <v>0</v>
      </c>
      <c r="AY320" s="14"/>
      <c r="AZ320" s="16">
        <f>_xlfn.XLOOKUP(C320,[2]PI!$B$15:$B$99,[2]PI!$L$15:$L$99,0,2,1)</f>
        <v>0</v>
      </c>
      <c r="BA320" s="16">
        <f>_xlfn.XLOOKUP(D320,[2]PI!$B$15:$B$99,[2]PI!$L$15:$L$99,0,2,1)</f>
        <v>0</v>
      </c>
      <c r="BB320" s="3"/>
      <c r="BC320" s="3"/>
      <c r="BD320" s="14"/>
      <c r="BE320" s="14"/>
      <c r="BF320" s="16"/>
      <c r="BG320" s="16"/>
      <c r="BH320" s="12">
        <f t="shared" si="112"/>
        <v>0</v>
      </c>
      <c r="BI320" s="19">
        <f t="shared" si="113"/>
        <v>0</v>
      </c>
      <c r="BJ320" s="1" t="s">
        <v>51</v>
      </c>
      <c r="BK320">
        <f t="shared" si="114"/>
        <v>0</v>
      </c>
      <c r="BL320">
        <f t="shared" si="115"/>
        <v>0</v>
      </c>
    </row>
    <row r="321" spans="1:64" x14ac:dyDescent="0.25">
      <c r="A321" s="1" t="s">
        <v>966</v>
      </c>
      <c r="B321" s="1" t="s">
        <v>965</v>
      </c>
      <c r="C321" s="13" t="s">
        <v>964</v>
      </c>
      <c r="D321" s="15"/>
      <c r="E321" s="17"/>
      <c r="F321" s="5">
        <v>1</v>
      </c>
      <c r="G321" s="14"/>
      <c r="H321" s="16"/>
      <c r="I321" s="11">
        <v>46221</v>
      </c>
      <c r="J321" s="4">
        <v>17</v>
      </c>
      <c r="K321" s="18">
        <f>(F321-(0)+0-(J321*Ventas!AE318*1))</f>
        <v>1</v>
      </c>
      <c r="L321" s="3"/>
      <c r="M321" s="22">
        <f t="shared" si="116"/>
        <v>0</v>
      </c>
      <c r="N321" s="14"/>
      <c r="O321" s="25">
        <f t="shared" si="102"/>
        <v>0</v>
      </c>
      <c r="P321" s="16"/>
      <c r="Q321" s="12">
        <f t="shared" si="103"/>
        <v>1</v>
      </c>
      <c r="R321" s="5">
        <v>0</v>
      </c>
      <c r="S321" s="24">
        <v>0</v>
      </c>
      <c r="T321" s="26">
        <v>0</v>
      </c>
      <c r="U321" s="18">
        <f t="shared" si="104"/>
        <v>1</v>
      </c>
      <c r="V321" s="22">
        <f t="shared" si="105"/>
        <v>0</v>
      </c>
      <c r="W321" s="25">
        <f t="shared" si="106"/>
        <v>0</v>
      </c>
      <c r="X321" s="3"/>
      <c r="Y321" s="14"/>
      <c r="Z321" s="14"/>
      <c r="AA321" s="3"/>
      <c r="AB321" s="3"/>
      <c r="AC321" s="11">
        <v>46313</v>
      </c>
      <c r="AD321" s="4">
        <v>92</v>
      </c>
      <c r="AE321" s="18">
        <f>(IF(K321&gt;0,K321+R321,R321)-(AD321*Ventas!AE318*1.0489))</f>
        <v>1</v>
      </c>
      <c r="AF321" s="3"/>
      <c r="AG321" s="22">
        <f t="shared" si="117"/>
        <v>0</v>
      </c>
      <c r="AH321" s="14"/>
      <c r="AI321" s="25">
        <f t="shared" si="107"/>
        <v>0</v>
      </c>
      <c r="AJ321" s="16"/>
      <c r="AK321" s="12">
        <f t="shared" si="108"/>
        <v>1</v>
      </c>
      <c r="AL321" s="19">
        <f t="shared" si="109"/>
        <v>0</v>
      </c>
      <c r="AM321" s="18">
        <f>(180*(Ventas!AE318*0.9644) - IF(AE321&gt;0,AE321,0))</f>
        <v>-1</v>
      </c>
      <c r="AN321" s="18">
        <f t="shared" si="121"/>
        <v>0</v>
      </c>
      <c r="AO321" s="14"/>
      <c r="AP321" s="14">
        <f t="shared" si="120"/>
        <v>0</v>
      </c>
      <c r="AQ321" s="16">
        <f t="shared" si="110"/>
        <v>0</v>
      </c>
      <c r="AR321" s="37">
        <f>_xlfn.XLOOKUP(C321,[1]Hoja2!$C$6:$C$24,[1]Hoja2!$D$6:$D$24,0,2,1)</f>
        <v>0</v>
      </c>
      <c r="AS321" s="18">
        <f t="shared" si="111"/>
        <v>1</v>
      </c>
      <c r="AT321" s="14"/>
      <c r="AU321" s="37">
        <f>_xlfn.XLOOKUP(D321,[1]Hoja2!$E$6:$E$24,[1]Hoja2!$F$6:$F$24,0,2,1)</f>
        <v>0</v>
      </c>
      <c r="AV321" s="3">
        <v>0</v>
      </c>
      <c r="AW321" s="3"/>
      <c r="AX321" s="14">
        <v>0</v>
      </c>
      <c r="AY321" s="14"/>
      <c r="AZ321" s="16">
        <f>_xlfn.XLOOKUP(C321,[2]PI!$B$15:$B$99,[2]PI!$L$15:$L$99,0,2,1)</f>
        <v>0</v>
      </c>
      <c r="BA321" s="16">
        <f>_xlfn.XLOOKUP(D321,[2]PI!$B$15:$B$99,[2]PI!$L$15:$L$99,0,2,1)</f>
        <v>0</v>
      </c>
      <c r="BB321" s="3"/>
      <c r="BC321" s="3"/>
      <c r="BD321" s="14"/>
      <c r="BE321" s="14"/>
      <c r="BF321" s="16"/>
      <c r="BG321" s="16"/>
      <c r="BH321" s="12">
        <f t="shared" si="112"/>
        <v>0</v>
      </c>
      <c r="BI321" s="19">
        <f t="shared" si="113"/>
        <v>0</v>
      </c>
      <c r="BJ321" s="1" t="s">
        <v>51</v>
      </c>
      <c r="BK321">
        <f t="shared" si="114"/>
        <v>0</v>
      </c>
      <c r="BL321">
        <f t="shared" si="115"/>
        <v>0</v>
      </c>
    </row>
    <row r="322" spans="1:64" x14ac:dyDescent="0.25">
      <c r="A322" s="1" t="s">
        <v>969</v>
      </c>
      <c r="B322" s="1" t="s">
        <v>968</v>
      </c>
      <c r="C322" s="13" t="s">
        <v>967</v>
      </c>
      <c r="D322" s="15"/>
      <c r="E322" s="17"/>
      <c r="F322" s="5">
        <v>26</v>
      </c>
      <c r="G322" s="14"/>
      <c r="H322" s="16"/>
      <c r="I322" s="11">
        <v>46221</v>
      </c>
      <c r="J322" s="4">
        <v>17</v>
      </c>
      <c r="K322" s="18">
        <f>(F322-(0)+0-(J322*Ventas!AE319*1))</f>
        <v>21.640957142857143</v>
      </c>
      <c r="L322" s="20">
        <f>(K322/(Ventas!AE319*1)/80)</f>
        <v>1.0549800824558468</v>
      </c>
      <c r="M322" s="22">
        <f t="shared" si="116"/>
        <v>0</v>
      </c>
      <c r="N322" s="14"/>
      <c r="O322" s="25">
        <f t="shared" si="102"/>
        <v>0</v>
      </c>
      <c r="P322" s="16"/>
      <c r="Q322" s="12">
        <f t="shared" si="103"/>
        <v>21.640957142857143</v>
      </c>
      <c r="R322" s="5">
        <v>10</v>
      </c>
      <c r="S322" s="24">
        <v>0</v>
      </c>
      <c r="T322" s="26">
        <v>0</v>
      </c>
      <c r="U322" s="18">
        <f t="shared" si="104"/>
        <v>31.640957142857143</v>
      </c>
      <c r="V322" s="22">
        <f t="shared" si="105"/>
        <v>0</v>
      </c>
      <c r="W322" s="25">
        <f t="shared" si="106"/>
        <v>0</v>
      </c>
      <c r="X322" s="18">
        <v>6</v>
      </c>
      <c r="Y322" s="14"/>
      <c r="Z322" s="14"/>
      <c r="AA322" s="18">
        <v>12</v>
      </c>
      <c r="AB322" s="21">
        <v>7.136E-3</v>
      </c>
      <c r="AC322" s="11">
        <v>46313</v>
      </c>
      <c r="AD322" s="4">
        <v>92</v>
      </c>
      <c r="AE322" s="18">
        <f>(IF(K322&gt;0,K322+R322,R322)-(AD322*Ventas!AE319*1.0489))</f>
        <v>6.8972862685714276</v>
      </c>
      <c r="AF322" s="20">
        <f>(AE322/(Ventas!AE319*1.0489)/80)</f>
        <v>0.32056194285627043</v>
      </c>
      <c r="AG322" s="22">
        <f t="shared" si="117"/>
        <v>0</v>
      </c>
      <c r="AH322" s="14"/>
      <c r="AI322" s="25">
        <f t="shared" si="107"/>
        <v>0</v>
      </c>
      <c r="AJ322" s="16"/>
      <c r="AK322" s="12">
        <f t="shared" si="108"/>
        <v>6.8972862685714276</v>
      </c>
      <c r="AL322" s="19">
        <f t="shared" si="109"/>
        <v>0.28049169999923662</v>
      </c>
      <c r="AM322" s="18">
        <f>(180*(Ventas!AE319*0.9644) - IF(AE322&gt;0,AE322,0))</f>
        <v>37.614182417142871</v>
      </c>
      <c r="AN322" s="42">
        <v>30</v>
      </c>
      <c r="AO322" s="14"/>
      <c r="AP322" s="14">
        <f t="shared" si="120"/>
        <v>0</v>
      </c>
      <c r="AQ322" s="16">
        <f t="shared" si="110"/>
        <v>0.21407999999999999</v>
      </c>
      <c r="AR322" s="37">
        <f>_xlfn.XLOOKUP(C322,[1]Hoja2!$C$6:$C$24,[1]Hoja2!$D$6:$D$24,0,2,1)</f>
        <v>0</v>
      </c>
      <c r="AS322" s="18">
        <f t="shared" si="111"/>
        <v>36.897286268571428</v>
      </c>
      <c r="AT322" s="14"/>
      <c r="AU322" s="37">
        <f>_xlfn.XLOOKUP(D322,[1]Hoja2!$E$6:$E$24,[1]Hoja2!$F$6:$F$24,0,2,1)</f>
        <v>0</v>
      </c>
      <c r="AV322" s="27">
        <v>6</v>
      </c>
      <c r="AW322" s="5">
        <v>3016</v>
      </c>
      <c r="AX322" s="14">
        <v>0</v>
      </c>
      <c r="AY322" s="14"/>
      <c r="AZ322" s="16">
        <f>_xlfn.XLOOKUP(C322,[2]PI!$B$15:$B$99,[2]PI!$L$15:$L$99,0,2,1)</f>
        <v>6</v>
      </c>
      <c r="BA322" s="16">
        <f>_xlfn.XLOOKUP(D322,[2]PI!$B$15:$B$99,[2]PI!$L$15:$L$99,0,2,1)</f>
        <v>0</v>
      </c>
      <c r="BB322" s="18">
        <f>(AS322-(90*Ventas!AE319*0.9644))</f>
        <v>14.641551925714278</v>
      </c>
      <c r="BC322" s="20">
        <f>(BB322/(Ventas!AE319*0.9644)/80)</f>
        <v>0.74011244305291035</v>
      </c>
      <c r="BD322" s="14"/>
      <c r="BE322" s="14"/>
      <c r="BF322" s="16"/>
      <c r="BG322" s="16"/>
      <c r="BH322" s="12">
        <f t="shared" si="112"/>
        <v>14.641551925714278</v>
      </c>
      <c r="BI322" s="19">
        <f t="shared" si="113"/>
        <v>0.64759838767129652</v>
      </c>
      <c r="BJ322" s="1" t="s">
        <v>35</v>
      </c>
      <c r="BK322">
        <f t="shared" si="114"/>
        <v>180</v>
      </c>
      <c r="BL322">
        <f t="shared" si="115"/>
        <v>180</v>
      </c>
    </row>
    <row r="323" spans="1:64" x14ac:dyDescent="0.25">
      <c r="A323" s="1" t="s">
        <v>972</v>
      </c>
      <c r="B323" s="1" t="s">
        <v>971</v>
      </c>
      <c r="C323" s="13" t="s">
        <v>970</v>
      </c>
      <c r="D323" s="15"/>
      <c r="E323" s="17"/>
      <c r="F323" s="5">
        <v>98</v>
      </c>
      <c r="G323" s="14"/>
      <c r="H323" s="16"/>
      <c r="I323" s="11">
        <v>46221</v>
      </c>
      <c r="J323" s="4">
        <v>17</v>
      </c>
      <c r="K323" s="18">
        <f>(F323-(0)+0-(J323*Ventas!AE320*1))</f>
        <v>74.363928571428573</v>
      </c>
      <c r="L323" s="20">
        <f>(K323/(Ventas!AE320*1)/80)</f>
        <v>0.66856858463909585</v>
      </c>
      <c r="M323" s="22">
        <f t="shared" si="116"/>
        <v>0</v>
      </c>
      <c r="N323" s="14"/>
      <c r="O323" s="25">
        <f t="shared" si="102"/>
        <v>0</v>
      </c>
      <c r="P323" s="16"/>
      <c r="Q323" s="12">
        <f t="shared" si="103"/>
        <v>74.363928571428573</v>
      </c>
      <c r="R323" s="5">
        <v>240</v>
      </c>
      <c r="S323" s="24">
        <v>0</v>
      </c>
      <c r="T323" s="26">
        <v>0</v>
      </c>
      <c r="U323" s="18">
        <f t="shared" si="104"/>
        <v>314.36392857142857</v>
      </c>
      <c r="V323" s="22">
        <f t="shared" si="105"/>
        <v>0</v>
      </c>
      <c r="W323" s="25">
        <f t="shared" si="106"/>
        <v>0</v>
      </c>
      <c r="X323" s="18">
        <v>3.7</v>
      </c>
      <c r="Y323" s="14"/>
      <c r="Z323" s="14"/>
      <c r="AA323" s="18">
        <v>20</v>
      </c>
      <c r="AB323" s="21">
        <v>3.8860000000000001E-3</v>
      </c>
      <c r="AC323" s="11">
        <v>46313</v>
      </c>
      <c r="AD323" s="4">
        <v>92</v>
      </c>
      <c r="AE323" s="18">
        <f>(IF(K323&gt;0,K323+R323,R323)-(AD323*Ventas!AE320*1.0489))</f>
        <v>180.19613271428571</v>
      </c>
      <c r="AF323" s="20">
        <f>(AE323/(Ventas!AE320*1.0489)/80)</f>
        <v>1.544525281179062</v>
      </c>
      <c r="AG323" s="22">
        <f t="shared" si="117"/>
        <v>0</v>
      </c>
      <c r="AH323" s="14"/>
      <c r="AI323" s="25">
        <f t="shared" si="107"/>
        <v>0</v>
      </c>
      <c r="AJ323" s="16"/>
      <c r="AK323" s="12">
        <f t="shared" si="108"/>
        <v>180.19613271428571</v>
      </c>
      <c r="AL323" s="19">
        <f t="shared" si="109"/>
        <v>1.3514596210316792</v>
      </c>
      <c r="AM323" s="18">
        <f>(180*(Ventas!AE320*0.9644) - IF(AE323&gt;0,AE323,0))</f>
        <v>61.158744428571424</v>
      </c>
      <c r="AN323" s="18">
        <v>60</v>
      </c>
      <c r="AO323" s="14"/>
      <c r="AP323" s="14">
        <f t="shared" si="120"/>
        <v>0</v>
      </c>
      <c r="AQ323" s="16">
        <f t="shared" si="110"/>
        <v>0.23316000000000001</v>
      </c>
      <c r="AR323" s="37">
        <f>_xlfn.XLOOKUP(C323,[1]Hoja2!$C$6:$C$24,[1]Hoja2!$D$6:$D$24,0,2,1)</f>
        <v>0</v>
      </c>
      <c r="AS323" s="18">
        <f t="shared" si="111"/>
        <v>240.19613271428571</v>
      </c>
      <c r="AT323" s="14"/>
      <c r="AU323" s="37">
        <f>_xlfn.XLOOKUP(D323,[1]Hoja2!$E$6:$E$24,[1]Hoja2!$F$6:$F$24,0,2,1)</f>
        <v>0</v>
      </c>
      <c r="AV323" s="27">
        <v>3.7</v>
      </c>
      <c r="AW323" s="5">
        <v>3016</v>
      </c>
      <c r="AX323" s="14">
        <v>0</v>
      </c>
      <c r="AY323" s="14"/>
      <c r="AZ323" s="16">
        <f>_xlfn.XLOOKUP(C323,[2]PI!$B$15:$B$99,[2]PI!$L$15:$L$99,0,2,1)</f>
        <v>3.7</v>
      </c>
      <c r="BA323" s="16">
        <f>_xlfn.XLOOKUP(D323,[2]PI!$B$15:$B$99,[2]PI!$L$15:$L$99,0,2,1)</f>
        <v>0</v>
      </c>
      <c r="BB323" s="18">
        <f>(AS323-(90*Ventas!AE320*0.9644))</f>
        <v>119.51869414285714</v>
      </c>
      <c r="BC323" s="20">
        <f>(BB323/(Ventas!AE320*0.9644)/80)</f>
        <v>1.1141977531378306</v>
      </c>
      <c r="BD323" s="14"/>
      <c r="BE323" s="14"/>
      <c r="BF323" s="16"/>
      <c r="BG323" s="16"/>
      <c r="BH323" s="12">
        <f t="shared" si="112"/>
        <v>119.51869414285714</v>
      </c>
      <c r="BI323" s="19">
        <f t="shared" si="113"/>
        <v>0.97492303399560187</v>
      </c>
      <c r="BJ323" s="1" t="s">
        <v>35</v>
      </c>
      <c r="BK323">
        <f t="shared" si="114"/>
        <v>222</v>
      </c>
      <c r="BL323">
        <f t="shared" si="115"/>
        <v>222</v>
      </c>
    </row>
    <row r="324" spans="1:64" x14ac:dyDescent="0.25">
      <c r="A324" s="1" t="s">
        <v>975</v>
      </c>
      <c r="B324" s="1" t="s">
        <v>974</v>
      </c>
      <c r="C324" s="13" t="s">
        <v>973</v>
      </c>
      <c r="D324" s="29" t="s">
        <v>1639</v>
      </c>
      <c r="E324" s="17"/>
      <c r="F324" s="3"/>
      <c r="G324" s="14"/>
      <c r="H324" s="16"/>
      <c r="I324" s="11">
        <v>46221</v>
      </c>
      <c r="J324" s="4">
        <v>17</v>
      </c>
      <c r="K324" s="18">
        <f>(F324-(0)+0-(J324*Ventas!AE321*1))</f>
        <v>-2.0773999999999999</v>
      </c>
      <c r="L324" s="20">
        <f>(K324/(Ventas!AE321*1)/80)</f>
        <v>-0.21249999999999999</v>
      </c>
      <c r="M324" s="22">
        <f t="shared" si="116"/>
        <v>0</v>
      </c>
      <c r="N324" s="14"/>
      <c r="O324" s="25">
        <f t="shared" si="102"/>
        <v>0</v>
      </c>
      <c r="P324" s="16"/>
      <c r="Q324" s="12">
        <f t="shared" si="103"/>
        <v>-2.0773999999999999</v>
      </c>
      <c r="R324" s="5">
        <v>0</v>
      </c>
      <c r="S324" s="24">
        <v>0</v>
      </c>
      <c r="T324" s="26">
        <v>0</v>
      </c>
      <c r="U324" s="18">
        <f t="shared" si="104"/>
        <v>0</v>
      </c>
      <c r="V324" s="22">
        <f t="shared" si="105"/>
        <v>0</v>
      </c>
      <c r="W324" s="25">
        <f t="shared" si="106"/>
        <v>0</v>
      </c>
      <c r="X324" s="3"/>
      <c r="Y324" s="14"/>
      <c r="Z324" s="14"/>
      <c r="AA324" s="3"/>
      <c r="AB324" s="3">
        <v>6.783E-3</v>
      </c>
      <c r="AC324" s="11">
        <v>46313</v>
      </c>
      <c r="AD324" s="4">
        <v>92</v>
      </c>
      <c r="AE324" s="18">
        <f>(IF(K324&gt;0,K324+R324,R324)-(AD324*Ventas!AE321*1.0489))</f>
        <v>-11.792153359999999</v>
      </c>
      <c r="AF324" s="20">
        <f>(AE324/(Ventas!AE321*1.0489)/80)</f>
        <v>-1.1499999999999999</v>
      </c>
      <c r="AG324" s="22">
        <f t="shared" si="117"/>
        <v>0</v>
      </c>
      <c r="AH324" s="14"/>
      <c r="AI324" s="25">
        <f t="shared" si="107"/>
        <v>0</v>
      </c>
      <c r="AJ324" s="16"/>
      <c r="AK324" s="12">
        <f t="shared" si="108"/>
        <v>-11.792153359999999</v>
      </c>
      <c r="AL324" s="19">
        <f t="shared" si="109"/>
        <v>-1.0062499999999999</v>
      </c>
      <c r="AM324" s="18">
        <f>(180*(Ventas!AE321*0.9644) - IF(AE324&gt;0,AE324,0))</f>
        <v>21.212942400000003</v>
      </c>
      <c r="AN324" s="18">
        <v>20</v>
      </c>
      <c r="AO324" s="14"/>
      <c r="AP324" s="14"/>
      <c r="AQ324" s="16">
        <f t="shared" si="110"/>
        <v>0.13566</v>
      </c>
      <c r="AR324" s="37">
        <f>_xlfn.XLOOKUP(C324,[1]Hoja2!$C$6:$C$24,[1]Hoja2!$D$6:$D$24,0,2,1)</f>
        <v>0</v>
      </c>
      <c r="AS324" s="18">
        <f t="shared" si="111"/>
        <v>20</v>
      </c>
      <c r="AT324" s="14"/>
      <c r="AU324" s="37">
        <f>_xlfn.XLOOKUP(D324,[1]Hoja2!$E$6:$E$24,[1]Hoja2!$F$6:$F$24,0,2,1)</f>
        <v>0</v>
      </c>
      <c r="AV324" s="27">
        <v>3.6</v>
      </c>
      <c r="AW324" s="5">
        <v>3016</v>
      </c>
      <c r="AX324" s="14">
        <v>0</v>
      </c>
      <c r="AY324" s="14"/>
      <c r="AZ324" s="16">
        <f>_xlfn.XLOOKUP(C324,[2]PI!$B$15:$B$99,[2]PI!$L$15:$L$99,0,2,1)</f>
        <v>3.6</v>
      </c>
      <c r="BA324" s="16">
        <f>_xlfn.XLOOKUP(D324,[2]PI!$B$15:$B$99,[2]PI!$L$15:$L$99,0,2,1)</f>
        <v>0</v>
      </c>
      <c r="BB324" s="18">
        <f>(AS324-(90*Ventas!AE321*0.9644))</f>
        <v>9.3935287999999986</v>
      </c>
      <c r="BC324" s="20">
        <f>(BB324/(Ventas!AE321*0.9644)/80)</f>
        <v>0.99634644744050183</v>
      </c>
      <c r="BD324" s="14"/>
      <c r="BE324" s="14"/>
      <c r="BF324" s="16"/>
      <c r="BG324" s="16"/>
      <c r="BH324" s="12">
        <f t="shared" si="112"/>
        <v>9.3935287999999986</v>
      </c>
      <c r="BI324" s="19">
        <f t="shared" si="113"/>
        <v>0.87180314151043914</v>
      </c>
      <c r="BJ324" s="1" t="s">
        <v>35</v>
      </c>
      <c r="BK324">
        <f t="shared" si="114"/>
        <v>72</v>
      </c>
      <c r="BL324">
        <f t="shared" si="115"/>
        <v>72</v>
      </c>
    </row>
    <row r="325" spans="1:64" x14ac:dyDescent="0.25">
      <c r="A325" s="1" t="s">
        <v>978</v>
      </c>
      <c r="B325" s="1" t="s">
        <v>977</v>
      </c>
      <c r="C325" s="13" t="s">
        <v>976</v>
      </c>
      <c r="D325" s="15"/>
      <c r="E325" s="17"/>
      <c r="F325" s="3"/>
      <c r="G325" s="14"/>
      <c r="H325" s="16"/>
      <c r="I325" s="11">
        <v>46221</v>
      </c>
      <c r="J325" s="4">
        <v>17</v>
      </c>
      <c r="K325" s="18">
        <f>(F325-(0)+0-(J325*Ventas!AE322*1))</f>
        <v>0</v>
      </c>
      <c r="L325" s="3"/>
      <c r="M325" s="22">
        <f t="shared" si="116"/>
        <v>0</v>
      </c>
      <c r="N325" s="14"/>
      <c r="O325" s="25">
        <f t="shared" ref="O325:O388" si="122">(H325+0)</f>
        <v>0</v>
      </c>
      <c r="P325" s="16"/>
      <c r="Q325" s="12">
        <f t="shared" ref="Q325:Q388" si="123">(K325+M325+O325)</f>
        <v>0</v>
      </c>
      <c r="R325" s="5">
        <v>0</v>
      </c>
      <c r="S325" s="24">
        <v>0</v>
      </c>
      <c r="T325" s="26">
        <v>0</v>
      </c>
      <c r="U325" s="18">
        <f t="shared" ref="U325:U388" si="124">IF(K325&gt;0,K325+R325,R325)</f>
        <v>0</v>
      </c>
      <c r="V325" s="22">
        <f t="shared" ref="V325:V388" si="125">IF(M325&gt;0,M325+S325,S325)</f>
        <v>0</v>
      </c>
      <c r="W325" s="25">
        <f t="shared" ref="W325:W388" si="126">IF(O325&gt;0,O325+T325,T325)</f>
        <v>0</v>
      </c>
      <c r="X325" s="3"/>
      <c r="Y325" s="14"/>
      <c r="Z325" s="14"/>
      <c r="AA325" s="3"/>
      <c r="AB325" s="3"/>
      <c r="AC325" s="11">
        <v>46313</v>
      </c>
      <c r="AD325" s="4">
        <v>92</v>
      </c>
      <c r="AE325" s="18">
        <f>(IF(K325&gt;0,K325+R325,R325)-(AD325*Ventas!AE322*1.0489))</f>
        <v>0</v>
      </c>
      <c r="AF325" s="3"/>
      <c r="AG325" s="22">
        <f t="shared" si="117"/>
        <v>0</v>
      </c>
      <c r="AH325" s="14"/>
      <c r="AI325" s="25">
        <f t="shared" ref="AI325:AI388" si="127">(H325+0)</f>
        <v>0</v>
      </c>
      <c r="AJ325" s="16"/>
      <c r="AK325" s="12">
        <f t="shared" ref="AK325:AK388" si="128">(AE325+AG325+AI325)</f>
        <v>0</v>
      </c>
      <c r="AL325" s="19">
        <f t="shared" ref="AL325:AL388" si="129">(((AF325*7)+(AH325*1)+(AJ325*0))/8)</f>
        <v>0</v>
      </c>
      <c r="AM325" s="18">
        <f>(180*(Ventas!AE322*0.9644) - IF(AE325&gt;0,AE325,0))</f>
        <v>0</v>
      </c>
      <c r="AN325" s="18">
        <f t="shared" ref="AN325:AN344" si="130">IF(AM325&gt;3,CEILING(AM325,5),0)</f>
        <v>0</v>
      </c>
      <c r="AO325" s="14"/>
      <c r="AP325" s="14">
        <f t="shared" ref="AP325:AP356" si="131">IF(AO325&gt;3,CEILING(AO325,5),0)</f>
        <v>0</v>
      </c>
      <c r="AQ325" s="16">
        <f t="shared" ref="AQ325:AQ388" si="132">(AN325+AP325)*AB325</f>
        <v>0</v>
      </c>
      <c r="AR325" s="37">
        <f>_xlfn.XLOOKUP(C325,[1]Hoja2!$C$6:$C$24,[1]Hoja2!$D$6:$D$24,0,2,1)</f>
        <v>0</v>
      </c>
      <c r="AS325" s="18">
        <f t="shared" ref="AS325:AS388" si="133">IF(AE325&gt;0,AE325+IF(AN325&gt;0,AN325,0),AN325)</f>
        <v>0</v>
      </c>
      <c r="AT325" s="14"/>
      <c r="AU325" s="37">
        <f>_xlfn.XLOOKUP(D325,[1]Hoja2!$E$6:$E$24,[1]Hoja2!$F$6:$F$24,0,2,1)</f>
        <v>0</v>
      </c>
      <c r="AV325" s="3">
        <v>0</v>
      </c>
      <c r="AW325" s="3"/>
      <c r="AX325" s="14">
        <v>0</v>
      </c>
      <c r="AY325" s="14"/>
      <c r="AZ325" s="16">
        <f>_xlfn.XLOOKUP(C325,[2]PI!$B$15:$B$99,[2]PI!$L$15:$L$99,0,2,1)</f>
        <v>0</v>
      </c>
      <c r="BA325" s="16">
        <f>_xlfn.XLOOKUP(D325,[2]PI!$B$15:$B$99,[2]PI!$L$15:$L$99,0,2,1)</f>
        <v>0</v>
      </c>
      <c r="BB325" s="3"/>
      <c r="BC325" s="3"/>
      <c r="BD325" s="14"/>
      <c r="BE325" s="14"/>
      <c r="BF325" s="16"/>
      <c r="BG325" s="16"/>
      <c r="BH325" s="12">
        <f t="shared" ref="BH325:BH388" si="134">(IF(BB325&gt;0,BB325,0)+IF(BD325&gt;0,BD325,0)+IF(BF325&gt;0,BF325,0))</f>
        <v>0</v>
      </c>
      <c r="BI325" s="19">
        <f t="shared" ref="BI325:BI388" si="135">(((BC325*7)+(BE325*1)+(BG325*1))/8)</f>
        <v>0</v>
      </c>
      <c r="BJ325" s="1" t="s">
        <v>35</v>
      </c>
      <c r="BK325">
        <f t="shared" si="114"/>
        <v>0</v>
      </c>
      <c r="BL325">
        <f t="shared" si="115"/>
        <v>0</v>
      </c>
    </row>
    <row r="326" spans="1:64" x14ac:dyDescent="0.25">
      <c r="A326" s="1" t="s">
        <v>981</v>
      </c>
      <c r="B326" s="1" t="s">
        <v>980</v>
      </c>
      <c r="C326" s="13" t="s">
        <v>979</v>
      </c>
      <c r="D326" s="15"/>
      <c r="E326" s="17"/>
      <c r="F326" s="3"/>
      <c r="G326" s="14"/>
      <c r="H326" s="16"/>
      <c r="I326" s="11">
        <v>46221</v>
      </c>
      <c r="J326" s="4">
        <v>17</v>
      </c>
      <c r="K326" s="18">
        <f>(F326-(0)+0-(J326*Ventas!AE323*1))</f>
        <v>0</v>
      </c>
      <c r="L326" s="3"/>
      <c r="M326" s="22">
        <f t="shared" si="116"/>
        <v>0</v>
      </c>
      <c r="N326" s="14"/>
      <c r="O326" s="25">
        <f t="shared" si="122"/>
        <v>0</v>
      </c>
      <c r="P326" s="16"/>
      <c r="Q326" s="12">
        <f t="shared" si="123"/>
        <v>0</v>
      </c>
      <c r="R326" s="5">
        <v>0</v>
      </c>
      <c r="S326" s="24">
        <v>0</v>
      </c>
      <c r="T326" s="26">
        <v>0</v>
      </c>
      <c r="U326" s="18">
        <f t="shared" si="124"/>
        <v>0</v>
      </c>
      <c r="V326" s="22">
        <f t="shared" si="125"/>
        <v>0</v>
      </c>
      <c r="W326" s="25">
        <f t="shared" si="126"/>
        <v>0</v>
      </c>
      <c r="X326" s="3"/>
      <c r="Y326" s="14"/>
      <c r="Z326" s="14"/>
      <c r="AA326" s="3"/>
      <c r="AB326" s="3"/>
      <c r="AC326" s="11">
        <v>46313</v>
      </c>
      <c r="AD326" s="4">
        <v>92</v>
      </c>
      <c r="AE326" s="18">
        <f>(IF(K326&gt;0,K326+R326,R326)-(AD326*Ventas!AE323*1.0489))</f>
        <v>0</v>
      </c>
      <c r="AF326" s="3"/>
      <c r="AG326" s="22">
        <f t="shared" si="117"/>
        <v>0</v>
      </c>
      <c r="AH326" s="14"/>
      <c r="AI326" s="25">
        <f t="shared" si="127"/>
        <v>0</v>
      </c>
      <c r="AJ326" s="16"/>
      <c r="AK326" s="12">
        <f t="shared" si="128"/>
        <v>0</v>
      </c>
      <c r="AL326" s="19">
        <f t="shared" si="129"/>
        <v>0</v>
      </c>
      <c r="AM326" s="18">
        <f>(180*(Ventas!AE323*0.9644) - IF(AE326&gt;0,AE326,0))</f>
        <v>0</v>
      </c>
      <c r="AN326" s="18">
        <f t="shared" si="130"/>
        <v>0</v>
      </c>
      <c r="AO326" s="14"/>
      <c r="AP326" s="14">
        <f t="shared" si="131"/>
        <v>0</v>
      </c>
      <c r="AQ326" s="16">
        <f t="shared" si="132"/>
        <v>0</v>
      </c>
      <c r="AR326" s="37">
        <f>_xlfn.XLOOKUP(C326,[1]Hoja2!$C$6:$C$24,[1]Hoja2!$D$6:$D$24,0,2,1)</f>
        <v>0</v>
      </c>
      <c r="AS326" s="18">
        <f t="shared" si="133"/>
        <v>0</v>
      </c>
      <c r="AT326" s="14"/>
      <c r="AU326" s="37">
        <f>_xlfn.XLOOKUP(D326,[1]Hoja2!$E$6:$E$24,[1]Hoja2!$F$6:$F$24,0,2,1)</f>
        <v>0</v>
      </c>
      <c r="AV326" s="3">
        <v>0</v>
      </c>
      <c r="AW326" s="3"/>
      <c r="AX326" s="14">
        <v>0</v>
      </c>
      <c r="AY326" s="14"/>
      <c r="AZ326" s="16">
        <f>_xlfn.XLOOKUP(C326,[2]PI!$B$15:$B$99,[2]PI!$L$15:$L$99,0,2,1)</f>
        <v>0</v>
      </c>
      <c r="BA326" s="16">
        <f>_xlfn.XLOOKUP(D326,[2]PI!$B$15:$B$99,[2]PI!$L$15:$L$99,0,2,1)</f>
        <v>0</v>
      </c>
      <c r="BB326" s="3"/>
      <c r="BC326" s="3"/>
      <c r="BD326" s="14"/>
      <c r="BE326" s="14"/>
      <c r="BF326" s="16"/>
      <c r="BG326" s="16"/>
      <c r="BH326" s="12">
        <f t="shared" si="134"/>
        <v>0</v>
      </c>
      <c r="BI326" s="19">
        <f t="shared" si="135"/>
        <v>0</v>
      </c>
      <c r="BJ326" s="1" t="s">
        <v>35</v>
      </c>
      <c r="BK326">
        <f t="shared" ref="BK326:BK389" si="136">AV326*AN326+AP326*AX326</f>
        <v>0</v>
      </c>
      <c r="BL326">
        <f t="shared" ref="BL326:BL389" si="137">(AN326)*AZ326+AP326*BA326</f>
        <v>0</v>
      </c>
    </row>
    <row r="327" spans="1:64" x14ac:dyDescent="0.25">
      <c r="A327" s="1" t="s">
        <v>984</v>
      </c>
      <c r="B327" s="1" t="s">
        <v>983</v>
      </c>
      <c r="C327" s="13" t="s">
        <v>982</v>
      </c>
      <c r="D327" s="15"/>
      <c r="E327" s="17"/>
      <c r="F327" s="5">
        <v>17</v>
      </c>
      <c r="G327" s="14"/>
      <c r="H327" s="16"/>
      <c r="I327" s="11">
        <v>46221</v>
      </c>
      <c r="J327" s="4">
        <v>17</v>
      </c>
      <c r="K327" s="18">
        <f>(F327-(0)+0-(J327*Ventas!AE324*1))</f>
        <v>16.910142857142858</v>
      </c>
      <c r="L327" s="20">
        <f>(K327/(Ventas!AE324*1)/80)</f>
        <v>39.99020270270271</v>
      </c>
      <c r="M327" s="22">
        <f t="shared" si="116"/>
        <v>0</v>
      </c>
      <c r="N327" s="14"/>
      <c r="O327" s="25">
        <f t="shared" si="122"/>
        <v>0</v>
      </c>
      <c r="P327" s="16"/>
      <c r="Q327" s="12">
        <f t="shared" si="123"/>
        <v>16.910142857142858</v>
      </c>
      <c r="R327" s="5">
        <v>0</v>
      </c>
      <c r="S327" s="24">
        <v>0</v>
      </c>
      <c r="T327" s="26">
        <v>0</v>
      </c>
      <c r="U327" s="18">
        <f t="shared" si="124"/>
        <v>16.910142857142858</v>
      </c>
      <c r="V327" s="22">
        <f t="shared" si="125"/>
        <v>0</v>
      </c>
      <c r="W327" s="25">
        <f t="shared" si="126"/>
        <v>0</v>
      </c>
      <c r="X327" s="3"/>
      <c r="Y327" s="14"/>
      <c r="Z327" s="14"/>
      <c r="AA327" s="3"/>
      <c r="AB327" s="3"/>
      <c r="AC327" s="11">
        <v>46313</v>
      </c>
      <c r="AD327" s="4">
        <v>92</v>
      </c>
      <c r="AE327" s="18">
        <f>(IF(K327&gt;0,K327+R327,R327)-(AD327*Ventas!AE324*1.0489))</f>
        <v>16.400077771428574</v>
      </c>
      <c r="AF327" s="20">
        <f>(AE327/(Ventas!AE324*1.0489)/80)</f>
        <v>36.97584870121338</v>
      </c>
      <c r="AG327" s="22">
        <f t="shared" si="117"/>
        <v>0</v>
      </c>
      <c r="AH327" s="14"/>
      <c r="AI327" s="25">
        <f t="shared" si="127"/>
        <v>0</v>
      </c>
      <c r="AJ327" s="16"/>
      <c r="AK327" s="12">
        <f t="shared" si="128"/>
        <v>16.400077771428574</v>
      </c>
      <c r="AL327" s="19">
        <f t="shared" si="129"/>
        <v>32.353867613561704</v>
      </c>
      <c r="AM327" s="18">
        <f>(180*(Ventas!AE324*0.9644) - IF(AE327&gt;0,AE327,0))</f>
        <v>-15.48252005714286</v>
      </c>
      <c r="AN327" s="18">
        <f t="shared" si="130"/>
        <v>0</v>
      </c>
      <c r="AO327" s="14"/>
      <c r="AP327" s="14">
        <f t="shared" si="131"/>
        <v>0</v>
      </c>
      <c r="AQ327" s="16">
        <f t="shared" si="132"/>
        <v>0</v>
      </c>
      <c r="AR327" s="37">
        <f>_xlfn.XLOOKUP(C327,[1]Hoja2!$C$6:$C$24,[1]Hoja2!$D$6:$D$24,0,2,1)</f>
        <v>0</v>
      </c>
      <c r="AS327" s="18">
        <f t="shared" si="133"/>
        <v>16.400077771428574</v>
      </c>
      <c r="AT327" s="14"/>
      <c r="AU327" s="37">
        <f>_xlfn.XLOOKUP(D327,[1]Hoja2!$E$6:$E$24,[1]Hoja2!$F$6:$F$24,0,2,1)</f>
        <v>0</v>
      </c>
      <c r="AV327" s="27">
        <v>0</v>
      </c>
      <c r="AW327" s="5">
        <v>3016</v>
      </c>
      <c r="AX327" s="14">
        <v>0</v>
      </c>
      <c r="AY327" s="14"/>
      <c r="AZ327" s="16">
        <f>_xlfn.XLOOKUP(C327,[2]PI!$B$15:$B$99,[2]PI!$L$15:$L$99,0,2,1)</f>
        <v>0</v>
      </c>
      <c r="BA327" s="16">
        <f>_xlfn.XLOOKUP(D327,[2]PI!$B$15:$B$99,[2]PI!$L$15:$L$99,0,2,1)</f>
        <v>0</v>
      </c>
      <c r="BB327" s="18">
        <f>(AS327-(90*Ventas!AE324*0.9644))</f>
        <v>15.941298914285717</v>
      </c>
      <c r="BC327" s="20">
        <f>(BB327/(Ventas!AE324*0.9644)/80)</f>
        <v>39.090644652325501</v>
      </c>
      <c r="BD327" s="14"/>
      <c r="BE327" s="14"/>
      <c r="BF327" s="16"/>
      <c r="BG327" s="16"/>
      <c r="BH327" s="12">
        <f t="shared" si="134"/>
        <v>15.941298914285717</v>
      </c>
      <c r="BI327" s="19">
        <f t="shared" si="135"/>
        <v>34.204314070784811</v>
      </c>
      <c r="BJ327" s="1" t="s">
        <v>51</v>
      </c>
      <c r="BK327">
        <f t="shared" si="136"/>
        <v>0</v>
      </c>
      <c r="BL327">
        <f t="shared" si="137"/>
        <v>0</v>
      </c>
    </row>
    <row r="328" spans="1:64" x14ac:dyDescent="0.25">
      <c r="A328" s="1" t="s">
        <v>987</v>
      </c>
      <c r="B328" s="1" t="s">
        <v>986</v>
      </c>
      <c r="C328" s="13" t="s">
        <v>985</v>
      </c>
      <c r="D328" s="15"/>
      <c r="E328" s="17"/>
      <c r="F328" s="5">
        <v>21</v>
      </c>
      <c r="G328" s="14"/>
      <c r="H328" s="16"/>
      <c r="I328" s="11">
        <v>46221</v>
      </c>
      <c r="J328" s="4">
        <v>17</v>
      </c>
      <c r="K328" s="18">
        <f>(F328-(0)+0-(J328*Ventas!AE325*1))</f>
        <v>20.70832857142857</v>
      </c>
      <c r="L328" s="20">
        <f>(K328/(Ventas!AE325*1)/80)</f>
        <v>15.087250208159864</v>
      </c>
      <c r="M328" s="22">
        <f t="shared" si="116"/>
        <v>0</v>
      </c>
      <c r="N328" s="14"/>
      <c r="O328" s="25">
        <f t="shared" si="122"/>
        <v>0</v>
      </c>
      <c r="P328" s="16"/>
      <c r="Q328" s="12">
        <f t="shared" si="123"/>
        <v>20.70832857142857</v>
      </c>
      <c r="R328" s="5">
        <v>0</v>
      </c>
      <c r="S328" s="24">
        <v>0</v>
      </c>
      <c r="T328" s="26">
        <v>0</v>
      </c>
      <c r="U328" s="18">
        <f t="shared" si="124"/>
        <v>20.70832857142857</v>
      </c>
      <c r="V328" s="22">
        <f t="shared" si="125"/>
        <v>0</v>
      </c>
      <c r="W328" s="25">
        <f t="shared" si="126"/>
        <v>0</v>
      </c>
      <c r="X328" s="3"/>
      <c r="Y328" s="14"/>
      <c r="Z328" s="14"/>
      <c r="AA328" s="3"/>
      <c r="AB328" s="3"/>
      <c r="AC328" s="11">
        <v>46313</v>
      </c>
      <c r="AD328" s="4">
        <v>92</v>
      </c>
      <c r="AE328" s="18">
        <f>(IF(K328&gt;0,K328+R328,R328)-(AD328*Ventas!AE325*1.0489))</f>
        <v>19.052684874285713</v>
      </c>
      <c r="AF328" s="20">
        <f>(AE328/(Ventas!AE325*1.0489)/80)</f>
        <v>13.233878547201702</v>
      </c>
      <c r="AG328" s="22">
        <f t="shared" si="117"/>
        <v>0</v>
      </c>
      <c r="AH328" s="14"/>
      <c r="AI328" s="25">
        <f t="shared" si="127"/>
        <v>0</v>
      </c>
      <c r="AJ328" s="16"/>
      <c r="AK328" s="12">
        <f t="shared" si="128"/>
        <v>19.052684874285713</v>
      </c>
      <c r="AL328" s="19">
        <f t="shared" si="129"/>
        <v>11.579643728801489</v>
      </c>
      <c r="AM328" s="18">
        <f>(180*(Ventas!AE325*0.9644) - IF(AE328&gt;0,AE328,0))</f>
        <v>-16.074342131428569</v>
      </c>
      <c r="AN328" s="18">
        <f t="shared" si="130"/>
        <v>0</v>
      </c>
      <c r="AO328" s="14"/>
      <c r="AP328" s="14">
        <f t="shared" si="131"/>
        <v>0</v>
      </c>
      <c r="AQ328" s="16">
        <f t="shared" si="132"/>
        <v>0</v>
      </c>
      <c r="AR328" s="37">
        <f>_xlfn.XLOOKUP(C328,[1]Hoja2!$C$6:$C$24,[1]Hoja2!$D$6:$D$24,0,2,1)</f>
        <v>0</v>
      </c>
      <c r="AS328" s="18">
        <f t="shared" si="133"/>
        <v>19.052684874285713</v>
      </c>
      <c r="AT328" s="14"/>
      <c r="AU328" s="37">
        <f>_xlfn.XLOOKUP(D328,[1]Hoja2!$E$6:$E$24,[1]Hoja2!$F$6:$F$24,0,2,1)</f>
        <v>0</v>
      </c>
      <c r="AV328" s="27">
        <v>0</v>
      </c>
      <c r="AW328" s="5">
        <v>3016</v>
      </c>
      <c r="AX328" s="14">
        <v>0</v>
      </c>
      <c r="AY328" s="14"/>
      <c r="AZ328" s="16">
        <f>_xlfn.XLOOKUP(C328,[2]PI!$B$15:$B$99,[2]PI!$L$15:$L$99,0,2,1)</f>
        <v>0</v>
      </c>
      <c r="BA328" s="16">
        <f>_xlfn.XLOOKUP(D328,[2]PI!$B$15:$B$99,[2]PI!$L$15:$L$99,0,2,1)</f>
        <v>0</v>
      </c>
      <c r="BB328" s="18">
        <f>(AS328-(90*Ventas!AE325*0.9644))</f>
        <v>17.563513502857141</v>
      </c>
      <c r="BC328" s="20">
        <f>(BB328/(Ventas!AE325*0.9644)/80)</f>
        <v>13.268420995603345</v>
      </c>
      <c r="BD328" s="14"/>
      <c r="BE328" s="14"/>
      <c r="BF328" s="16"/>
      <c r="BG328" s="16"/>
      <c r="BH328" s="12">
        <f t="shared" si="134"/>
        <v>17.563513502857141</v>
      </c>
      <c r="BI328" s="19">
        <f t="shared" si="135"/>
        <v>11.609868371152926</v>
      </c>
      <c r="BJ328" s="1" t="s">
        <v>35</v>
      </c>
      <c r="BK328">
        <f t="shared" si="136"/>
        <v>0</v>
      </c>
      <c r="BL328">
        <f t="shared" si="137"/>
        <v>0</v>
      </c>
    </row>
    <row r="329" spans="1:64" x14ac:dyDescent="0.25">
      <c r="A329" s="1" t="s">
        <v>990</v>
      </c>
      <c r="B329" s="1" t="s">
        <v>989</v>
      </c>
      <c r="C329" s="13" t="s">
        <v>988</v>
      </c>
      <c r="D329" s="15"/>
      <c r="E329" s="17"/>
      <c r="F329" s="3"/>
      <c r="G329" s="14"/>
      <c r="H329" s="16"/>
      <c r="I329" s="11">
        <v>46221</v>
      </c>
      <c r="J329" s="4">
        <v>17</v>
      </c>
      <c r="K329" s="18">
        <f>(F329-(0)+0-(J329*Ventas!AE326*1))</f>
        <v>0</v>
      </c>
      <c r="L329" s="3"/>
      <c r="M329" s="22">
        <f t="shared" si="116"/>
        <v>0</v>
      </c>
      <c r="N329" s="14"/>
      <c r="O329" s="25">
        <f t="shared" si="122"/>
        <v>0</v>
      </c>
      <c r="P329" s="16"/>
      <c r="Q329" s="12">
        <f t="shared" si="123"/>
        <v>0</v>
      </c>
      <c r="R329" s="5">
        <v>0</v>
      </c>
      <c r="S329" s="24">
        <v>0</v>
      </c>
      <c r="T329" s="26">
        <v>0</v>
      </c>
      <c r="U329" s="18">
        <f t="shared" si="124"/>
        <v>0</v>
      </c>
      <c r="V329" s="22">
        <f t="shared" si="125"/>
        <v>0</v>
      </c>
      <c r="W329" s="25">
        <f t="shared" si="126"/>
        <v>0</v>
      </c>
      <c r="X329" s="3"/>
      <c r="Y329" s="14"/>
      <c r="Z329" s="14"/>
      <c r="AA329" s="3"/>
      <c r="AB329" s="3"/>
      <c r="AC329" s="11">
        <v>46313</v>
      </c>
      <c r="AD329" s="4">
        <v>92</v>
      </c>
      <c r="AE329" s="18">
        <f>(IF(K329&gt;0,K329+R329,R329)-(AD329*Ventas!AE326*1.0489))</f>
        <v>0</v>
      </c>
      <c r="AF329" s="3"/>
      <c r="AG329" s="22">
        <f t="shared" si="117"/>
        <v>0</v>
      </c>
      <c r="AH329" s="14"/>
      <c r="AI329" s="25">
        <f t="shared" si="127"/>
        <v>0</v>
      </c>
      <c r="AJ329" s="16"/>
      <c r="AK329" s="12">
        <f t="shared" si="128"/>
        <v>0</v>
      </c>
      <c r="AL329" s="19">
        <f t="shared" si="129"/>
        <v>0</v>
      </c>
      <c r="AM329" s="18">
        <f>(180*(Ventas!AE326*0.9644) - IF(AE329&gt;0,AE329,0))</f>
        <v>0</v>
      </c>
      <c r="AN329" s="18">
        <f t="shared" si="130"/>
        <v>0</v>
      </c>
      <c r="AO329" s="14"/>
      <c r="AP329" s="14">
        <f t="shared" si="131"/>
        <v>0</v>
      </c>
      <c r="AQ329" s="16">
        <f t="shared" si="132"/>
        <v>0</v>
      </c>
      <c r="AR329" s="37">
        <f>_xlfn.XLOOKUP(C329,[1]Hoja2!$C$6:$C$24,[1]Hoja2!$D$6:$D$24,0,2,1)</f>
        <v>0</v>
      </c>
      <c r="AS329" s="18">
        <f t="shared" si="133"/>
        <v>0</v>
      </c>
      <c r="AT329" s="14"/>
      <c r="AU329" s="37">
        <f>_xlfn.XLOOKUP(D329,[1]Hoja2!$E$6:$E$24,[1]Hoja2!$F$6:$F$24,0,2,1)</f>
        <v>0</v>
      </c>
      <c r="AV329" s="3">
        <v>0</v>
      </c>
      <c r="AW329" s="3"/>
      <c r="AX329" s="14">
        <v>0</v>
      </c>
      <c r="AY329" s="14"/>
      <c r="AZ329" s="16">
        <f>_xlfn.XLOOKUP(C329,[2]PI!$B$15:$B$99,[2]PI!$L$15:$L$99,0,2,1)</f>
        <v>0</v>
      </c>
      <c r="BA329" s="16">
        <f>_xlfn.XLOOKUP(D329,[2]PI!$B$15:$B$99,[2]PI!$L$15:$L$99,0,2,1)</f>
        <v>0</v>
      </c>
      <c r="BB329" s="3"/>
      <c r="BC329" s="3"/>
      <c r="BD329" s="14"/>
      <c r="BE329" s="14"/>
      <c r="BF329" s="16"/>
      <c r="BG329" s="16"/>
      <c r="BH329" s="12">
        <f t="shared" si="134"/>
        <v>0</v>
      </c>
      <c r="BI329" s="19">
        <f t="shared" si="135"/>
        <v>0</v>
      </c>
      <c r="BJ329" s="1" t="s">
        <v>35</v>
      </c>
      <c r="BK329">
        <f t="shared" si="136"/>
        <v>0</v>
      </c>
      <c r="BL329">
        <f t="shared" si="137"/>
        <v>0</v>
      </c>
    </row>
    <row r="330" spans="1:64" x14ac:dyDescent="0.25">
      <c r="A330" s="1" t="s">
        <v>993</v>
      </c>
      <c r="B330" s="1" t="s">
        <v>992</v>
      </c>
      <c r="C330" s="13" t="s">
        <v>991</v>
      </c>
      <c r="D330" s="15"/>
      <c r="E330" s="17"/>
      <c r="F330" s="3"/>
      <c r="G330" s="14"/>
      <c r="H330" s="16"/>
      <c r="I330" s="11">
        <v>46221</v>
      </c>
      <c r="J330" s="4">
        <v>17</v>
      </c>
      <c r="K330" s="18">
        <f>(F330-(0)+0-(J330*Ventas!AE327*1))</f>
        <v>0</v>
      </c>
      <c r="L330" s="3"/>
      <c r="M330" s="22">
        <f t="shared" si="116"/>
        <v>0</v>
      </c>
      <c r="N330" s="14"/>
      <c r="O330" s="25">
        <f t="shared" si="122"/>
        <v>0</v>
      </c>
      <c r="P330" s="16"/>
      <c r="Q330" s="12">
        <f t="shared" si="123"/>
        <v>0</v>
      </c>
      <c r="R330" s="5">
        <v>0</v>
      </c>
      <c r="S330" s="24">
        <v>0</v>
      </c>
      <c r="T330" s="26">
        <v>0</v>
      </c>
      <c r="U330" s="18">
        <f t="shared" si="124"/>
        <v>0</v>
      </c>
      <c r="V330" s="22">
        <f t="shared" si="125"/>
        <v>0</v>
      </c>
      <c r="W330" s="25">
        <f t="shared" si="126"/>
        <v>0</v>
      </c>
      <c r="X330" s="3"/>
      <c r="Y330" s="14"/>
      <c r="Z330" s="14"/>
      <c r="AA330" s="3"/>
      <c r="AB330" s="3"/>
      <c r="AC330" s="11">
        <v>46313</v>
      </c>
      <c r="AD330" s="4">
        <v>92</v>
      </c>
      <c r="AE330" s="18">
        <f>(IF(K330&gt;0,K330+R330,R330)-(AD330*Ventas!AE327*1.0489))</f>
        <v>0</v>
      </c>
      <c r="AF330" s="3"/>
      <c r="AG330" s="22">
        <f t="shared" si="117"/>
        <v>0</v>
      </c>
      <c r="AH330" s="14"/>
      <c r="AI330" s="25">
        <f t="shared" si="127"/>
        <v>0</v>
      </c>
      <c r="AJ330" s="16"/>
      <c r="AK330" s="12">
        <f t="shared" si="128"/>
        <v>0</v>
      </c>
      <c r="AL330" s="19">
        <f t="shared" si="129"/>
        <v>0</v>
      </c>
      <c r="AM330" s="18">
        <f>(180*(Ventas!AE327*0.9644) - IF(AE330&gt;0,AE330,0))</f>
        <v>0</v>
      </c>
      <c r="AN330" s="18">
        <f t="shared" si="130"/>
        <v>0</v>
      </c>
      <c r="AO330" s="14"/>
      <c r="AP330" s="14">
        <f t="shared" si="131"/>
        <v>0</v>
      </c>
      <c r="AQ330" s="16">
        <f t="shared" si="132"/>
        <v>0</v>
      </c>
      <c r="AR330" s="37">
        <f>_xlfn.XLOOKUP(C330,[1]Hoja2!$C$6:$C$24,[1]Hoja2!$D$6:$D$24,0,2,1)</f>
        <v>0</v>
      </c>
      <c r="AS330" s="18">
        <f t="shared" si="133"/>
        <v>0</v>
      </c>
      <c r="AT330" s="14"/>
      <c r="AU330" s="37">
        <f>_xlfn.XLOOKUP(D330,[1]Hoja2!$E$6:$E$24,[1]Hoja2!$F$6:$F$24,0,2,1)</f>
        <v>0</v>
      </c>
      <c r="AV330" s="3">
        <v>0</v>
      </c>
      <c r="AW330" s="3"/>
      <c r="AX330" s="14">
        <v>0</v>
      </c>
      <c r="AY330" s="14"/>
      <c r="AZ330" s="16">
        <f>_xlfn.XLOOKUP(C330,[2]PI!$B$15:$B$99,[2]PI!$L$15:$L$99,0,2,1)</f>
        <v>0</v>
      </c>
      <c r="BA330" s="16">
        <f>_xlfn.XLOOKUP(D330,[2]PI!$B$15:$B$99,[2]PI!$L$15:$L$99,0,2,1)</f>
        <v>0</v>
      </c>
      <c r="BB330" s="3"/>
      <c r="BC330" s="3"/>
      <c r="BD330" s="14"/>
      <c r="BE330" s="14"/>
      <c r="BF330" s="16"/>
      <c r="BG330" s="16"/>
      <c r="BH330" s="12">
        <f t="shared" si="134"/>
        <v>0</v>
      </c>
      <c r="BI330" s="19">
        <f t="shared" si="135"/>
        <v>0</v>
      </c>
      <c r="BJ330" s="1" t="s">
        <v>35</v>
      </c>
      <c r="BK330">
        <f t="shared" si="136"/>
        <v>0</v>
      </c>
      <c r="BL330">
        <f t="shared" si="137"/>
        <v>0</v>
      </c>
    </row>
    <row r="331" spans="1:64" x14ac:dyDescent="0.25">
      <c r="A331" s="1" t="s">
        <v>996</v>
      </c>
      <c r="B331" s="1" t="s">
        <v>995</v>
      </c>
      <c r="C331" s="13" t="s">
        <v>994</v>
      </c>
      <c r="D331" s="15"/>
      <c r="E331" s="17"/>
      <c r="F331" s="3"/>
      <c r="G331" s="14"/>
      <c r="H331" s="16"/>
      <c r="I331" s="11">
        <v>46221</v>
      </c>
      <c r="J331" s="4">
        <v>17</v>
      </c>
      <c r="K331" s="18">
        <f>(F331-(0)+0-(J331*Ventas!AE328*1))</f>
        <v>0</v>
      </c>
      <c r="L331" s="3"/>
      <c r="M331" s="22">
        <f t="shared" si="116"/>
        <v>0</v>
      </c>
      <c r="N331" s="14"/>
      <c r="O331" s="25">
        <f t="shared" si="122"/>
        <v>0</v>
      </c>
      <c r="P331" s="16"/>
      <c r="Q331" s="12">
        <f t="shared" si="123"/>
        <v>0</v>
      </c>
      <c r="R331" s="5">
        <v>0</v>
      </c>
      <c r="S331" s="24">
        <v>0</v>
      </c>
      <c r="T331" s="26">
        <v>0</v>
      </c>
      <c r="U331" s="18">
        <f t="shared" si="124"/>
        <v>0</v>
      </c>
      <c r="V331" s="22">
        <f t="shared" si="125"/>
        <v>0</v>
      </c>
      <c r="W331" s="25">
        <f t="shared" si="126"/>
        <v>0</v>
      </c>
      <c r="X331" s="3"/>
      <c r="Y331" s="14"/>
      <c r="Z331" s="14"/>
      <c r="AA331" s="3"/>
      <c r="AB331" s="3"/>
      <c r="AC331" s="11">
        <v>46313</v>
      </c>
      <c r="AD331" s="4">
        <v>92</v>
      </c>
      <c r="AE331" s="18">
        <f>(IF(K331&gt;0,K331+R331,R331)-(AD331*Ventas!AE328*1.0489))</f>
        <v>0</v>
      </c>
      <c r="AF331" s="3"/>
      <c r="AG331" s="22">
        <f t="shared" si="117"/>
        <v>0</v>
      </c>
      <c r="AH331" s="14"/>
      <c r="AI331" s="25">
        <f t="shared" si="127"/>
        <v>0</v>
      </c>
      <c r="AJ331" s="16"/>
      <c r="AK331" s="12">
        <f t="shared" si="128"/>
        <v>0</v>
      </c>
      <c r="AL331" s="19">
        <f t="shared" si="129"/>
        <v>0</v>
      </c>
      <c r="AM331" s="18">
        <f>(180*(Ventas!AE328*0.9644) - IF(AE331&gt;0,AE331,0))</f>
        <v>0</v>
      </c>
      <c r="AN331" s="18">
        <f t="shared" si="130"/>
        <v>0</v>
      </c>
      <c r="AO331" s="14"/>
      <c r="AP331" s="14">
        <f t="shared" si="131"/>
        <v>0</v>
      </c>
      <c r="AQ331" s="16">
        <f t="shared" si="132"/>
        <v>0</v>
      </c>
      <c r="AR331" s="37">
        <f>_xlfn.XLOOKUP(C331,[1]Hoja2!$C$6:$C$24,[1]Hoja2!$D$6:$D$24,0,2,1)</f>
        <v>0</v>
      </c>
      <c r="AS331" s="18">
        <f t="shared" si="133"/>
        <v>0</v>
      </c>
      <c r="AT331" s="14"/>
      <c r="AU331" s="37">
        <f>_xlfn.XLOOKUP(D331,[1]Hoja2!$E$6:$E$24,[1]Hoja2!$F$6:$F$24,0,2,1)</f>
        <v>0</v>
      </c>
      <c r="AV331" s="3">
        <v>0</v>
      </c>
      <c r="AW331" s="3"/>
      <c r="AX331" s="14">
        <v>0</v>
      </c>
      <c r="AY331" s="14"/>
      <c r="AZ331" s="16">
        <f>_xlfn.XLOOKUP(C331,[2]PI!$B$15:$B$99,[2]PI!$L$15:$L$99,0,2,1)</f>
        <v>0</v>
      </c>
      <c r="BA331" s="16">
        <f>_xlfn.XLOOKUP(D331,[2]PI!$B$15:$B$99,[2]PI!$L$15:$L$99,0,2,1)</f>
        <v>0</v>
      </c>
      <c r="BB331" s="3"/>
      <c r="BC331" s="3"/>
      <c r="BD331" s="14"/>
      <c r="BE331" s="14"/>
      <c r="BF331" s="16"/>
      <c r="BG331" s="16"/>
      <c r="BH331" s="12">
        <f t="shared" si="134"/>
        <v>0</v>
      </c>
      <c r="BI331" s="19">
        <f t="shared" si="135"/>
        <v>0</v>
      </c>
      <c r="BJ331" s="1" t="s">
        <v>35</v>
      </c>
      <c r="BK331">
        <f t="shared" si="136"/>
        <v>0</v>
      </c>
      <c r="BL331">
        <f t="shared" si="137"/>
        <v>0</v>
      </c>
    </row>
    <row r="332" spans="1:64" x14ac:dyDescent="0.25">
      <c r="A332" s="1" t="s">
        <v>999</v>
      </c>
      <c r="B332" s="1" t="s">
        <v>998</v>
      </c>
      <c r="C332" s="13" t="s">
        <v>997</v>
      </c>
      <c r="D332" s="15"/>
      <c r="E332" s="17"/>
      <c r="F332" s="3"/>
      <c r="G332" s="14"/>
      <c r="H332" s="16"/>
      <c r="I332" s="11">
        <v>46221</v>
      </c>
      <c r="J332" s="4">
        <v>17</v>
      </c>
      <c r="K332" s="18">
        <f>(F332-(0)+0-(J332*Ventas!AE329*1))</f>
        <v>0</v>
      </c>
      <c r="L332" s="3"/>
      <c r="M332" s="22">
        <f t="shared" si="116"/>
        <v>0</v>
      </c>
      <c r="N332" s="14"/>
      <c r="O332" s="25">
        <f t="shared" si="122"/>
        <v>0</v>
      </c>
      <c r="P332" s="16"/>
      <c r="Q332" s="12">
        <f t="shared" si="123"/>
        <v>0</v>
      </c>
      <c r="R332" s="5">
        <v>0</v>
      </c>
      <c r="S332" s="24">
        <v>0</v>
      </c>
      <c r="T332" s="26">
        <v>0</v>
      </c>
      <c r="U332" s="18">
        <f t="shared" si="124"/>
        <v>0</v>
      </c>
      <c r="V332" s="22">
        <f t="shared" si="125"/>
        <v>0</v>
      </c>
      <c r="W332" s="25">
        <f t="shared" si="126"/>
        <v>0</v>
      </c>
      <c r="X332" s="3"/>
      <c r="Y332" s="14"/>
      <c r="Z332" s="14"/>
      <c r="AA332" s="3"/>
      <c r="AB332" s="3"/>
      <c r="AC332" s="11">
        <v>46313</v>
      </c>
      <c r="AD332" s="4">
        <v>92</v>
      </c>
      <c r="AE332" s="18">
        <f>(IF(K332&gt;0,K332+R332,R332)-(AD332*Ventas!AE329*1.0489))</f>
        <v>0</v>
      </c>
      <c r="AF332" s="3"/>
      <c r="AG332" s="22">
        <f t="shared" si="117"/>
        <v>0</v>
      </c>
      <c r="AH332" s="14"/>
      <c r="AI332" s="25">
        <f t="shared" si="127"/>
        <v>0</v>
      </c>
      <c r="AJ332" s="16"/>
      <c r="AK332" s="12">
        <f t="shared" si="128"/>
        <v>0</v>
      </c>
      <c r="AL332" s="19">
        <f t="shared" si="129"/>
        <v>0</v>
      </c>
      <c r="AM332" s="18">
        <f>(180*(Ventas!AE329*0.9644) - IF(AE332&gt;0,AE332,0))</f>
        <v>0</v>
      </c>
      <c r="AN332" s="18">
        <f t="shared" si="130"/>
        <v>0</v>
      </c>
      <c r="AO332" s="14"/>
      <c r="AP332" s="14">
        <f t="shared" si="131"/>
        <v>0</v>
      </c>
      <c r="AQ332" s="16">
        <f t="shared" si="132"/>
        <v>0</v>
      </c>
      <c r="AR332" s="37">
        <f>_xlfn.XLOOKUP(C332,[1]Hoja2!$C$6:$C$24,[1]Hoja2!$D$6:$D$24,0,2,1)</f>
        <v>0</v>
      </c>
      <c r="AS332" s="18">
        <f t="shared" si="133"/>
        <v>0</v>
      </c>
      <c r="AT332" s="14"/>
      <c r="AU332" s="37">
        <f>_xlfn.XLOOKUP(D332,[1]Hoja2!$E$6:$E$24,[1]Hoja2!$F$6:$F$24,0,2,1)</f>
        <v>0</v>
      </c>
      <c r="AV332" s="3">
        <v>0</v>
      </c>
      <c r="AW332" s="3"/>
      <c r="AX332" s="14">
        <v>0</v>
      </c>
      <c r="AY332" s="14"/>
      <c r="AZ332" s="16">
        <f>_xlfn.XLOOKUP(C332,[2]PI!$B$15:$B$99,[2]PI!$L$15:$L$99,0,2,1)</f>
        <v>0</v>
      </c>
      <c r="BA332" s="16">
        <f>_xlfn.XLOOKUP(D332,[2]PI!$B$15:$B$99,[2]PI!$L$15:$L$99,0,2,1)</f>
        <v>0</v>
      </c>
      <c r="BB332" s="3"/>
      <c r="BC332" s="3"/>
      <c r="BD332" s="14"/>
      <c r="BE332" s="14"/>
      <c r="BF332" s="16"/>
      <c r="BG332" s="16"/>
      <c r="BH332" s="12">
        <f t="shared" si="134"/>
        <v>0</v>
      </c>
      <c r="BI332" s="19">
        <f t="shared" si="135"/>
        <v>0</v>
      </c>
      <c r="BJ332" s="1" t="s">
        <v>35</v>
      </c>
      <c r="BK332">
        <f t="shared" si="136"/>
        <v>0</v>
      </c>
      <c r="BL332">
        <f t="shared" si="137"/>
        <v>0</v>
      </c>
    </row>
    <row r="333" spans="1:64" x14ac:dyDescent="0.25">
      <c r="A333" s="1" t="s">
        <v>1002</v>
      </c>
      <c r="B333" s="1" t="s">
        <v>1001</v>
      </c>
      <c r="C333" s="13" t="s">
        <v>1000</v>
      </c>
      <c r="D333" s="15"/>
      <c r="E333" s="17"/>
      <c r="F333" s="5">
        <v>38</v>
      </c>
      <c r="G333" s="14"/>
      <c r="H333" s="16"/>
      <c r="I333" s="11">
        <v>46221</v>
      </c>
      <c r="J333" s="4">
        <v>17</v>
      </c>
      <c r="K333" s="18">
        <f>(F333-(0)+0-(J333*Ventas!AE330*1))</f>
        <v>36.219047619047622</v>
      </c>
      <c r="L333" s="20">
        <f>(K333/(Ventas!AE330*1)/80)</f>
        <v>4.3215909090909097</v>
      </c>
      <c r="M333" s="22">
        <f t="shared" si="116"/>
        <v>0</v>
      </c>
      <c r="N333" s="14"/>
      <c r="O333" s="25">
        <f t="shared" si="122"/>
        <v>0</v>
      </c>
      <c r="P333" s="16"/>
      <c r="Q333" s="12">
        <f t="shared" si="123"/>
        <v>36.219047619047622</v>
      </c>
      <c r="R333" s="5">
        <v>18</v>
      </c>
      <c r="S333" s="24">
        <v>0</v>
      </c>
      <c r="T333" s="26">
        <v>0</v>
      </c>
      <c r="U333" s="18">
        <f t="shared" si="124"/>
        <v>54.219047619047622</v>
      </c>
      <c r="V333" s="22">
        <f t="shared" si="125"/>
        <v>0</v>
      </c>
      <c r="W333" s="25">
        <f t="shared" si="126"/>
        <v>0</v>
      </c>
      <c r="X333" s="18">
        <v>8</v>
      </c>
      <c r="Y333" s="14"/>
      <c r="Z333" s="14"/>
      <c r="AA333" s="3"/>
      <c r="AB333" s="3"/>
      <c r="AC333" s="11">
        <v>46313</v>
      </c>
      <c r="AD333" s="4">
        <v>92</v>
      </c>
      <c r="AE333" s="18">
        <f>(IF(K333&gt;0,K333+R333,R333)-(AD333*Ventas!AE330*1.0489))</f>
        <v>44.10964952380953</v>
      </c>
      <c r="AF333" s="20">
        <f>(AE333/(Ventas!AE330*1.0489)/80)</f>
        <v>5.0177168288856731</v>
      </c>
      <c r="AG333" s="22">
        <f t="shared" si="117"/>
        <v>0</v>
      </c>
      <c r="AH333" s="14"/>
      <c r="AI333" s="25">
        <f t="shared" si="127"/>
        <v>0</v>
      </c>
      <c r="AJ333" s="16"/>
      <c r="AK333" s="12">
        <f t="shared" si="128"/>
        <v>44.10964952380953</v>
      </c>
      <c r="AL333" s="19">
        <f t="shared" si="129"/>
        <v>4.3905022252749637</v>
      </c>
      <c r="AM333" s="18">
        <f>(180*(Ventas!AE330*0.9644) - IF(AE333&gt;0,AE333,0))</f>
        <v>-25.923820952380957</v>
      </c>
      <c r="AN333" s="18">
        <f t="shared" si="130"/>
        <v>0</v>
      </c>
      <c r="AO333" s="14"/>
      <c r="AP333" s="14">
        <f t="shared" si="131"/>
        <v>0</v>
      </c>
      <c r="AQ333" s="16">
        <f t="shared" si="132"/>
        <v>0</v>
      </c>
      <c r="AR333" s="37">
        <f>_xlfn.XLOOKUP(C333,[1]Hoja2!$C$6:$C$24,[1]Hoja2!$D$6:$D$24,0,2,1)</f>
        <v>0</v>
      </c>
      <c r="AS333" s="18">
        <f t="shared" si="133"/>
        <v>44.10964952380953</v>
      </c>
      <c r="AT333" s="14"/>
      <c r="AU333" s="37">
        <f>_xlfn.XLOOKUP(D333,[1]Hoja2!$E$6:$E$24,[1]Hoja2!$F$6:$F$24,0,2,1)</f>
        <v>0</v>
      </c>
      <c r="AV333" s="27">
        <v>0</v>
      </c>
      <c r="AW333" s="5">
        <v>3016</v>
      </c>
      <c r="AX333" s="14">
        <v>0</v>
      </c>
      <c r="AY333" s="14"/>
      <c r="AZ333" s="16">
        <f>_xlfn.XLOOKUP(C333,[2]PI!$B$15:$B$99,[2]PI!$L$15:$L$99,0,2,1)</f>
        <v>0</v>
      </c>
      <c r="BA333" s="16">
        <f>_xlfn.XLOOKUP(D333,[2]PI!$B$15:$B$99,[2]PI!$L$15:$L$99,0,2,1)</f>
        <v>0</v>
      </c>
      <c r="BB333" s="18">
        <f>(AS333-(90*Ventas!AE330*0.9644))</f>
        <v>35.016735238095244</v>
      </c>
      <c r="BC333" s="20">
        <f>(BB333/(Ventas!AE330*0.9644)/80)</f>
        <v>4.3323653896911889</v>
      </c>
      <c r="BD333" s="14"/>
      <c r="BE333" s="14"/>
      <c r="BF333" s="16"/>
      <c r="BG333" s="16"/>
      <c r="BH333" s="12">
        <f t="shared" si="134"/>
        <v>35.016735238095244</v>
      </c>
      <c r="BI333" s="19">
        <f t="shared" si="135"/>
        <v>3.7908197159797901</v>
      </c>
      <c r="BJ333" s="1" t="s">
        <v>35</v>
      </c>
      <c r="BK333">
        <f t="shared" si="136"/>
        <v>0</v>
      </c>
      <c r="BL333">
        <f t="shared" si="137"/>
        <v>0</v>
      </c>
    </row>
    <row r="334" spans="1:64" x14ac:dyDescent="0.25">
      <c r="A334" s="1" t="s">
        <v>1005</v>
      </c>
      <c r="B334" s="1" t="s">
        <v>1004</v>
      </c>
      <c r="C334" s="13" t="s">
        <v>1003</v>
      </c>
      <c r="D334" s="15"/>
      <c r="E334" s="17"/>
      <c r="F334" s="3"/>
      <c r="G334" s="14"/>
      <c r="H334" s="16"/>
      <c r="I334" s="11">
        <v>46221</v>
      </c>
      <c r="J334" s="4">
        <v>17</v>
      </c>
      <c r="K334" s="18">
        <f>(F334-(0)+0-(J334*Ventas!AE331*1))</f>
        <v>0</v>
      </c>
      <c r="L334" s="3"/>
      <c r="M334" s="22">
        <f t="shared" si="116"/>
        <v>0</v>
      </c>
      <c r="N334" s="14"/>
      <c r="O334" s="25">
        <f t="shared" si="122"/>
        <v>0</v>
      </c>
      <c r="P334" s="16"/>
      <c r="Q334" s="12">
        <f t="shared" si="123"/>
        <v>0</v>
      </c>
      <c r="R334" s="5">
        <v>0</v>
      </c>
      <c r="S334" s="24">
        <v>0</v>
      </c>
      <c r="T334" s="26">
        <v>0</v>
      </c>
      <c r="U334" s="18">
        <f t="shared" si="124"/>
        <v>0</v>
      </c>
      <c r="V334" s="22">
        <f t="shared" si="125"/>
        <v>0</v>
      </c>
      <c r="W334" s="25">
        <f t="shared" si="126"/>
        <v>0</v>
      </c>
      <c r="X334" s="3"/>
      <c r="Y334" s="14"/>
      <c r="Z334" s="14"/>
      <c r="AA334" s="3"/>
      <c r="AB334" s="3"/>
      <c r="AC334" s="11">
        <v>46313</v>
      </c>
      <c r="AD334" s="4">
        <v>92</v>
      </c>
      <c r="AE334" s="18">
        <f>(IF(K334&gt;0,K334+R334,R334)-(AD334*Ventas!AE331*1.0489))</f>
        <v>0</v>
      </c>
      <c r="AF334" s="3"/>
      <c r="AG334" s="22">
        <f t="shared" si="117"/>
        <v>0</v>
      </c>
      <c r="AH334" s="14"/>
      <c r="AI334" s="25">
        <f t="shared" si="127"/>
        <v>0</v>
      </c>
      <c r="AJ334" s="16"/>
      <c r="AK334" s="12">
        <f t="shared" si="128"/>
        <v>0</v>
      </c>
      <c r="AL334" s="19">
        <f t="shared" si="129"/>
        <v>0</v>
      </c>
      <c r="AM334" s="18">
        <f>(180*(Ventas!AE331*0.9644) - IF(AE334&gt;0,AE334,0))</f>
        <v>0</v>
      </c>
      <c r="AN334" s="18">
        <f t="shared" si="130"/>
        <v>0</v>
      </c>
      <c r="AO334" s="14"/>
      <c r="AP334" s="14">
        <f t="shared" si="131"/>
        <v>0</v>
      </c>
      <c r="AQ334" s="16">
        <f t="shared" si="132"/>
        <v>0</v>
      </c>
      <c r="AR334" s="37">
        <f>_xlfn.XLOOKUP(C334,[1]Hoja2!$C$6:$C$24,[1]Hoja2!$D$6:$D$24,0,2,1)</f>
        <v>0</v>
      </c>
      <c r="AS334" s="18">
        <f t="shared" si="133"/>
        <v>0</v>
      </c>
      <c r="AT334" s="14"/>
      <c r="AU334" s="37">
        <f>_xlfn.XLOOKUP(D334,[1]Hoja2!$E$6:$E$24,[1]Hoja2!$F$6:$F$24,0,2,1)</f>
        <v>0</v>
      </c>
      <c r="AV334" s="3">
        <v>0</v>
      </c>
      <c r="AW334" s="3"/>
      <c r="AX334" s="14">
        <v>0</v>
      </c>
      <c r="AY334" s="14"/>
      <c r="AZ334" s="16">
        <f>_xlfn.XLOOKUP(C334,[2]PI!$B$15:$B$99,[2]PI!$L$15:$L$99,0,2,1)</f>
        <v>0</v>
      </c>
      <c r="BA334" s="16">
        <f>_xlfn.XLOOKUP(D334,[2]PI!$B$15:$B$99,[2]PI!$L$15:$L$99,0,2,1)</f>
        <v>0</v>
      </c>
      <c r="BB334" s="3"/>
      <c r="BC334" s="3"/>
      <c r="BD334" s="14"/>
      <c r="BE334" s="14"/>
      <c r="BF334" s="16"/>
      <c r="BG334" s="16"/>
      <c r="BH334" s="12">
        <f t="shared" si="134"/>
        <v>0</v>
      </c>
      <c r="BI334" s="19">
        <f t="shared" si="135"/>
        <v>0</v>
      </c>
      <c r="BJ334" s="1" t="s">
        <v>51</v>
      </c>
      <c r="BK334">
        <f t="shared" si="136"/>
        <v>0</v>
      </c>
      <c r="BL334">
        <f t="shared" si="137"/>
        <v>0</v>
      </c>
    </row>
    <row r="335" spans="1:64" x14ac:dyDescent="0.25">
      <c r="A335" s="1" t="s">
        <v>1008</v>
      </c>
      <c r="B335" s="1" t="s">
        <v>1007</v>
      </c>
      <c r="C335" s="13" t="s">
        <v>1006</v>
      </c>
      <c r="D335" s="15"/>
      <c r="E335" s="17"/>
      <c r="F335" s="3"/>
      <c r="G335" s="14"/>
      <c r="H335" s="16"/>
      <c r="I335" s="11">
        <v>46221</v>
      </c>
      <c r="J335" s="4">
        <v>17</v>
      </c>
      <c r="K335" s="18">
        <f>(F335-(0)+0-(J335*Ventas!AE332*1))</f>
        <v>-1.0979571428571426</v>
      </c>
      <c r="L335" s="20">
        <f>(K335/(Ventas!AE332*1)/80)</f>
        <v>-0.21249999999999999</v>
      </c>
      <c r="M335" s="22">
        <f t="shared" si="116"/>
        <v>0</v>
      </c>
      <c r="N335" s="14"/>
      <c r="O335" s="25">
        <f t="shared" si="122"/>
        <v>0</v>
      </c>
      <c r="P335" s="16"/>
      <c r="Q335" s="12">
        <f t="shared" si="123"/>
        <v>-1.0979571428571426</v>
      </c>
      <c r="R335" s="5">
        <v>20</v>
      </c>
      <c r="S335" s="24">
        <v>0</v>
      </c>
      <c r="T335" s="26">
        <v>0</v>
      </c>
      <c r="U335" s="18">
        <f t="shared" si="124"/>
        <v>20</v>
      </c>
      <c r="V335" s="22">
        <f t="shared" si="125"/>
        <v>0</v>
      </c>
      <c r="W335" s="25">
        <f t="shared" si="126"/>
        <v>0</v>
      </c>
      <c r="X335" s="18">
        <v>3.8</v>
      </c>
      <c r="Y335" s="14"/>
      <c r="Z335" s="14"/>
      <c r="AA335" s="3"/>
      <c r="AB335" s="3">
        <v>6.783E-3</v>
      </c>
      <c r="AC335" s="11">
        <v>46313</v>
      </c>
      <c r="AD335" s="4">
        <v>92</v>
      </c>
      <c r="AE335" s="18">
        <f>(IF(K335&gt;0,K335+R335,R335)-(AD335*Ventas!AE332*1.0489))</f>
        <v>13.767556074285714</v>
      </c>
      <c r="AF335" s="20">
        <f>(AE335/(Ventas!AE332*1.0489)/80)</f>
        <v>2.5403661347204225</v>
      </c>
      <c r="AG335" s="22">
        <f t="shared" si="117"/>
        <v>0</v>
      </c>
      <c r="AH335" s="14"/>
      <c r="AI335" s="25">
        <f t="shared" si="127"/>
        <v>0</v>
      </c>
      <c r="AJ335" s="16"/>
      <c r="AK335" s="12">
        <f t="shared" si="128"/>
        <v>13.767556074285714</v>
      </c>
      <c r="AL335" s="19">
        <f t="shared" si="129"/>
        <v>2.2228203678803697</v>
      </c>
      <c r="AM335" s="18">
        <f>(180*(Ventas!AE332*0.9644) - IF(AE335&gt;0,AE335,0))</f>
        <v>-2.5559927600000005</v>
      </c>
      <c r="AN335" s="18">
        <f t="shared" si="130"/>
        <v>0</v>
      </c>
      <c r="AO335" s="14"/>
      <c r="AP335" s="14">
        <f t="shared" si="131"/>
        <v>0</v>
      </c>
      <c r="AQ335" s="16">
        <f t="shared" si="132"/>
        <v>0</v>
      </c>
      <c r="AR335" s="37">
        <f>_xlfn.XLOOKUP(C335,[1]Hoja2!$C$6:$C$24,[1]Hoja2!$D$6:$D$24,0,2,1)</f>
        <v>0</v>
      </c>
      <c r="AS335" s="18">
        <f t="shared" si="133"/>
        <v>13.767556074285714</v>
      </c>
      <c r="AT335" s="14"/>
      <c r="AU335" s="37">
        <f>_xlfn.XLOOKUP(D335,[1]Hoja2!$E$6:$E$24,[1]Hoja2!$F$6:$F$24,0,2,1)</f>
        <v>0</v>
      </c>
      <c r="AV335" s="27">
        <v>0</v>
      </c>
      <c r="AW335" s="5">
        <v>3016</v>
      </c>
      <c r="AX335" s="14">
        <v>0</v>
      </c>
      <c r="AY335" s="14"/>
      <c r="AZ335" s="16">
        <f>_xlfn.XLOOKUP(C335,[2]PI!$B$15:$B$99,[2]PI!$L$15:$L$99,0,2,1)</f>
        <v>0</v>
      </c>
      <c r="BA335" s="16">
        <f>_xlfn.XLOOKUP(D335,[2]PI!$B$15:$B$99,[2]PI!$L$15:$L$99,0,2,1)</f>
        <v>0</v>
      </c>
      <c r="BB335" s="18">
        <f>(AS335-(90*Ventas!AE332*0.9644))</f>
        <v>8.1617744171428583</v>
      </c>
      <c r="BC335" s="20">
        <f>(BB335/(Ventas!AE332*0.9644)/80)</f>
        <v>1.6379510977895593</v>
      </c>
      <c r="BD335" s="14"/>
      <c r="BE335" s="14"/>
      <c r="BF335" s="16"/>
      <c r="BG335" s="16"/>
      <c r="BH335" s="12">
        <f t="shared" si="134"/>
        <v>8.1617744171428583</v>
      </c>
      <c r="BI335" s="19">
        <f t="shared" si="135"/>
        <v>1.4332072105658644</v>
      </c>
      <c r="BJ335" s="1" t="s">
        <v>35</v>
      </c>
      <c r="BK335">
        <f t="shared" si="136"/>
        <v>0</v>
      </c>
      <c r="BL335">
        <f t="shared" si="137"/>
        <v>0</v>
      </c>
    </row>
    <row r="336" spans="1:64" x14ac:dyDescent="0.25">
      <c r="A336" s="1" t="s">
        <v>1011</v>
      </c>
      <c r="B336" s="1" t="s">
        <v>1010</v>
      </c>
      <c r="C336" s="13" t="s">
        <v>1009</v>
      </c>
      <c r="D336" s="15"/>
      <c r="E336" s="17"/>
      <c r="F336" s="5">
        <v>12</v>
      </c>
      <c r="G336" s="14"/>
      <c r="H336" s="16"/>
      <c r="I336" s="11">
        <v>46221</v>
      </c>
      <c r="J336" s="4">
        <v>17</v>
      </c>
      <c r="K336" s="18">
        <f>(F336-(0)+0-(J336*Ventas!AE333*1))</f>
        <v>12</v>
      </c>
      <c r="L336" s="20" t="e">
        <f>(K336/(Ventas!AE333*1)/80)</f>
        <v>#DIV/0!</v>
      </c>
      <c r="M336" s="22">
        <f t="shared" si="116"/>
        <v>0</v>
      </c>
      <c r="N336" s="14"/>
      <c r="O336" s="25">
        <f t="shared" si="122"/>
        <v>0</v>
      </c>
      <c r="P336" s="16"/>
      <c r="Q336" s="12">
        <f t="shared" si="123"/>
        <v>12</v>
      </c>
      <c r="R336" s="5">
        <v>0</v>
      </c>
      <c r="S336" s="24">
        <v>0</v>
      </c>
      <c r="T336" s="26">
        <v>0</v>
      </c>
      <c r="U336" s="18">
        <f t="shared" si="124"/>
        <v>12</v>
      </c>
      <c r="V336" s="22">
        <f t="shared" si="125"/>
        <v>0</v>
      </c>
      <c r="W336" s="25">
        <f t="shared" si="126"/>
        <v>0</v>
      </c>
      <c r="X336" s="3"/>
      <c r="Y336" s="14"/>
      <c r="Z336" s="14"/>
      <c r="AA336" s="3"/>
      <c r="AB336" s="3"/>
      <c r="AC336" s="11">
        <v>46313</v>
      </c>
      <c r="AD336" s="4">
        <v>92</v>
      </c>
      <c r="AE336" s="18">
        <f>(IF(K336&gt;0,K336+R336,R336)-(AD336*Ventas!AE333*1.0489))</f>
        <v>12</v>
      </c>
      <c r="AF336" s="20" t="e">
        <f>(AE336/(Ventas!AE333*1.0489)/80)</f>
        <v>#DIV/0!</v>
      </c>
      <c r="AG336" s="22">
        <f t="shared" si="117"/>
        <v>0</v>
      </c>
      <c r="AH336" s="14"/>
      <c r="AI336" s="25">
        <f t="shared" si="127"/>
        <v>0</v>
      </c>
      <c r="AJ336" s="16"/>
      <c r="AK336" s="12">
        <f t="shared" si="128"/>
        <v>12</v>
      </c>
      <c r="AL336" s="19" t="e">
        <f t="shared" si="129"/>
        <v>#DIV/0!</v>
      </c>
      <c r="AM336" s="18">
        <f>(180*(Ventas!AE333*0.9644) - IF(AE336&gt;0,AE336,0))</f>
        <v>-12</v>
      </c>
      <c r="AN336" s="18">
        <f t="shared" si="130"/>
        <v>0</v>
      </c>
      <c r="AO336" s="14"/>
      <c r="AP336" s="14">
        <f t="shared" si="131"/>
        <v>0</v>
      </c>
      <c r="AQ336" s="16">
        <f t="shared" si="132"/>
        <v>0</v>
      </c>
      <c r="AR336" s="37">
        <f>_xlfn.XLOOKUP(C336,[1]Hoja2!$C$6:$C$24,[1]Hoja2!$D$6:$D$24,0,2,1)</f>
        <v>0</v>
      </c>
      <c r="AS336" s="18">
        <f t="shared" si="133"/>
        <v>12</v>
      </c>
      <c r="AT336" s="14"/>
      <c r="AU336" s="37">
        <f>_xlfn.XLOOKUP(D336,[1]Hoja2!$E$6:$E$24,[1]Hoja2!$F$6:$F$24,0,2,1)</f>
        <v>0</v>
      </c>
      <c r="AV336" s="27">
        <v>0</v>
      </c>
      <c r="AW336" s="5">
        <v>3016</v>
      </c>
      <c r="AX336" s="14">
        <v>0</v>
      </c>
      <c r="AY336" s="14"/>
      <c r="AZ336" s="16">
        <f>_xlfn.XLOOKUP(C336,[2]PI!$B$15:$B$99,[2]PI!$L$15:$L$99,0,2,1)</f>
        <v>0</v>
      </c>
      <c r="BA336" s="16">
        <f>_xlfn.XLOOKUP(D336,[2]PI!$B$15:$B$99,[2]PI!$L$15:$L$99,0,2,1)</f>
        <v>0</v>
      </c>
      <c r="BB336" s="18">
        <f>(AS336-(90*Ventas!AE333*0.9644))</f>
        <v>12</v>
      </c>
      <c r="BC336" s="20" t="e">
        <f>(BB336/(Ventas!AE333*0.9644)/80)</f>
        <v>#DIV/0!</v>
      </c>
      <c r="BD336" s="14"/>
      <c r="BE336" s="14"/>
      <c r="BF336" s="16"/>
      <c r="BG336" s="16"/>
      <c r="BH336" s="12">
        <f t="shared" si="134"/>
        <v>12</v>
      </c>
      <c r="BI336" s="19" t="e">
        <f t="shared" si="135"/>
        <v>#DIV/0!</v>
      </c>
      <c r="BJ336" s="1" t="s">
        <v>35</v>
      </c>
      <c r="BK336">
        <f t="shared" si="136"/>
        <v>0</v>
      </c>
      <c r="BL336">
        <f t="shared" si="137"/>
        <v>0</v>
      </c>
    </row>
    <row r="337" spans="1:64" x14ac:dyDescent="0.25">
      <c r="A337" s="1" t="s">
        <v>1014</v>
      </c>
      <c r="B337" s="1" t="s">
        <v>1013</v>
      </c>
      <c r="C337" s="13" t="s">
        <v>1012</v>
      </c>
      <c r="D337" s="15"/>
      <c r="E337" s="17"/>
      <c r="F337" s="3"/>
      <c r="G337" s="14"/>
      <c r="H337" s="16"/>
      <c r="I337" s="11">
        <v>46221</v>
      </c>
      <c r="J337" s="4">
        <v>17</v>
      </c>
      <c r="K337" s="18">
        <f>(F337-(0)+0-(J337*Ventas!AE334*1))</f>
        <v>0</v>
      </c>
      <c r="L337" s="3"/>
      <c r="M337" s="22">
        <f t="shared" si="116"/>
        <v>0</v>
      </c>
      <c r="N337" s="14"/>
      <c r="O337" s="25">
        <f t="shared" si="122"/>
        <v>0</v>
      </c>
      <c r="P337" s="16"/>
      <c r="Q337" s="12">
        <f t="shared" si="123"/>
        <v>0</v>
      </c>
      <c r="R337" s="5">
        <v>0</v>
      </c>
      <c r="S337" s="24">
        <v>0</v>
      </c>
      <c r="T337" s="26">
        <v>0</v>
      </c>
      <c r="U337" s="18">
        <f t="shared" si="124"/>
        <v>0</v>
      </c>
      <c r="V337" s="22">
        <f t="shared" si="125"/>
        <v>0</v>
      </c>
      <c r="W337" s="25">
        <f t="shared" si="126"/>
        <v>0</v>
      </c>
      <c r="X337" s="3"/>
      <c r="Y337" s="14"/>
      <c r="Z337" s="14"/>
      <c r="AA337" s="3"/>
      <c r="AB337" s="3"/>
      <c r="AC337" s="11">
        <v>46313</v>
      </c>
      <c r="AD337" s="4">
        <v>92</v>
      </c>
      <c r="AE337" s="18">
        <f>(IF(K337&gt;0,K337+R337,R337)-(AD337*Ventas!AE334*1.0489))</f>
        <v>0</v>
      </c>
      <c r="AF337" s="3"/>
      <c r="AG337" s="22">
        <f t="shared" si="117"/>
        <v>0</v>
      </c>
      <c r="AH337" s="14"/>
      <c r="AI337" s="25">
        <f t="shared" si="127"/>
        <v>0</v>
      </c>
      <c r="AJ337" s="16"/>
      <c r="AK337" s="12">
        <f t="shared" si="128"/>
        <v>0</v>
      </c>
      <c r="AL337" s="19">
        <f t="shared" si="129"/>
        <v>0</v>
      </c>
      <c r="AM337" s="18">
        <f>(180*(Ventas!AE334*0.9644) - IF(AE337&gt;0,AE337,0))</f>
        <v>0</v>
      </c>
      <c r="AN337" s="18">
        <f t="shared" si="130"/>
        <v>0</v>
      </c>
      <c r="AO337" s="14"/>
      <c r="AP337" s="14">
        <f t="shared" si="131"/>
        <v>0</v>
      </c>
      <c r="AQ337" s="16">
        <f t="shared" si="132"/>
        <v>0</v>
      </c>
      <c r="AR337" s="37">
        <f>_xlfn.XLOOKUP(C337,[1]Hoja2!$C$6:$C$24,[1]Hoja2!$D$6:$D$24,0,2,1)</f>
        <v>0</v>
      </c>
      <c r="AS337" s="18">
        <f t="shared" si="133"/>
        <v>0</v>
      </c>
      <c r="AT337" s="14"/>
      <c r="AU337" s="37">
        <f>_xlfn.XLOOKUP(D337,[1]Hoja2!$E$6:$E$24,[1]Hoja2!$F$6:$F$24,0,2,1)</f>
        <v>0</v>
      </c>
      <c r="AV337" s="3">
        <v>0</v>
      </c>
      <c r="AW337" s="3"/>
      <c r="AX337" s="14">
        <v>0</v>
      </c>
      <c r="AY337" s="14"/>
      <c r="AZ337" s="16">
        <f>_xlfn.XLOOKUP(C337,[2]PI!$B$15:$B$99,[2]PI!$L$15:$L$99,0,2,1)</f>
        <v>0</v>
      </c>
      <c r="BA337" s="16">
        <f>_xlfn.XLOOKUP(D337,[2]PI!$B$15:$B$99,[2]PI!$L$15:$L$99,0,2,1)</f>
        <v>0</v>
      </c>
      <c r="BB337" s="3"/>
      <c r="BC337" s="3"/>
      <c r="BD337" s="14"/>
      <c r="BE337" s="14"/>
      <c r="BF337" s="16"/>
      <c r="BG337" s="16"/>
      <c r="BH337" s="12">
        <f t="shared" si="134"/>
        <v>0</v>
      </c>
      <c r="BI337" s="19">
        <f t="shared" si="135"/>
        <v>0</v>
      </c>
      <c r="BJ337" s="1" t="s">
        <v>51</v>
      </c>
      <c r="BK337">
        <f t="shared" si="136"/>
        <v>0</v>
      </c>
      <c r="BL337">
        <f t="shared" si="137"/>
        <v>0</v>
      </c>
    </row>
    <row r="338" spans="1:64" x14ac:dyDescent="0.25">
      <c r="A338" s="1" t="s">
        <v>1017</v>
      </c>
      <c r="B338" s="1" t="s">
        <v>1016</v>
      </c>
      <c r="C338" s="13" t="s">
        <v>1015</v>
      </c>
      <c r="D338" s="15"/>
      <c r="E338" s="17"/>
      <c r="F338" s="3"/>
      <c r="G338" s="14"/>
      <c r="H338" s="16"/>
      <c r="I338" s="11">
        <v>46221</v>
      </c>
      <c r="J338" s="4">
        <v>17</v>
      </c>
      <c r="K338" s="18">
        <f>(F338-(0)+0-(J338*Ventas!AE335*1))</f>
        <v>0</v>
      </c>
      <c r="L338" s="3"/>
      <c r="M338" s="22">
        <f t="shared" si="116"/>
        <v>0</v>
      </c>
      <c r="N338" s="14"/>
      <c r="O338" s="25">
        <f t="shared" si="122"/>
        <v>0</v>
      </c>
      <c r="P338" s="16"/>
      <c r="Q338" s="12">
        <f t="shared" si="123"/>
        <v>0</v>
      </c>
      <c r="R338" s="5">
        <v>0</v>
      </c>
      <c r="S338" s="24">
        <v>0</v>
      </c>
      <c r="T338" s="26">
        <v>0</v>
      </c>
      <c r="U338" s="18">
        <f t="shared" si="124"/>
        <v>0</v>
      </c>
      <c r="V338" s="22">
        <f t="shared" si="125"/>
        <v>0</v>
      </c>
      <c r="W338" s="25">
        <f t="shared" si="126"/>
        <v>0</v>
      </c>
      <c r="X338" s="3"/>
      <c r="Y338" s="14"/>
      <c r="Z338" s="14"/>
      <c r="AA338" s="3"/>
      <c r="AB338" s="3"/>
      <c r="AC338" s="11">
        <v>46313</v>
      </c>
      <c r="AD338" s="4">
        <v>92</v>
      </c>
      <c r="AE338" s="18">
        <f>(IF(K338&gt;0,K338+R338,R338)-(AD338*Ventas!AE335*1.0489))</f>
        <v>0</v>
      </c>
      <c r="AF338" s="3"/>
      <c r="AG338" s="22">
        <f t="shared" si="117"/>
        <v>0</v>
      </c>
      <c r="AH338" s="14"/>
      <c r="AI338" s="25">
        <f t="shared" si="127"/>
        <v>0</v>
      </c>
      <c r="AJ338" s="16"/>
      <c r="AK338" s="12">
        <f t="shared" si="128"/>
        <v>0</v>
      </c>
      <c r="AL338" s="19">
        <f t="shared" si="129"/>
        <v>0</v>
      </c>
      <c r="AM338" s="18">
        <f>(180*(Ventas!AE335*0.9644) - IF(AE338&gt;0,AE338,0))</f>
        <v>0</v>
      </c>
      <c r="AN338" s="18">
        <f t="shared" si="130"/>
        <v>0</v>
      </c>
      <c r="AO338" s="14"/>
      <c r="AP338" s="14">
        <f t="shared" si="131"/>
        <v>0</v>
      </c>
      <c r="AQ338" s="16">
        <f t="shared" si="132"/>
        <v>0</v>
      </c>
      <c r="AR338" s="37">
        <f>_xlfn.XLOOKUP(C338,[1]Hoja2!$C$6:$C$24,[1]Hoja2!$D$6:$D$24,0,2,1)</f>
        <v>0</v>
      </c>
      <c r="AS338" s="18">
        <f t="shared" si="133"/>
        <v>0</v>
      </c>
      <c r="AT338" s="14"/>
      <c r="AU338" s="37">
        <f>_xlfn.XLOOKUP(D338,[1]Hoja2!$E$6:$E$24,[1]Hoja2!$F$6:$F$24,0,2,1)</f>
        <v>0</v>
      </c>
      <c r="AV338" s="3">
        <v>0</v>
      </c>
      <c r="AW338" s="3"/>
      <c r="AX338" s="14">
        <v>0</v>
      </c>
      <c r="AY338" s="14"/>
      <c r="AZ338" s="16">
        <f>_xlfn.XLOOKUP(C338,[2]PI!$B$15:$B$99,[2]PI!$L$15:$L$99,0,2,1)</f>
        <v>0</v>
      </c>
      <c r="BA338" s="16">
        <f>_xlfn.XLOOKUP(D338,[2]PI!$B$15:$B$99,[2]PI!$L$15:$L$99,0,2,1)</f>
        <v>0</v>
      </c>
      <c r="BB338" s="3"/>
      <c r="BC338" s="3"/>
      <c r="BD338" s="14"/>
      <c r="BE338" s="14"/>
      <c r="BF338" s="16"/>
      <c r="BG338" s="16"/>
      <c r="BH338" s="12">
        <f t="shared" si="134"/>
        <v>0</v>
      </c>
      <c r="BI338" s="19">
        <f t="shared" si="135"/>
        <v>0</v>
      </c>
      <c r="BJ338" s="1" t="s">
        <v>35</v>
      </c>
      <c r="BK338">
        <f t="shared" si="136"/>
        <v>0</v>
      </c>
      <c r="BL338">
        <f t="shared" si="137"/>
        <v>0</v>
      </c>
    </row>
    <row r="339" spans="1:64" x14ac:dyDescent="0.25">
      <c r="A339" s="1" t="s">
        <v>1020</v>
      </c>
      <c r="B339" s="1" t="s">
        <v>1019</v>
      </c>
      <c r="C339" s="13" t="s">
        <v>1018</v>
      </c>
      <c r="D339" s="15"/>
      <c r="E339" s="17"/>
      <c r="F339" s="3"/>
      <c r="G339" s="14"/>
      <c r="H339" s="16"/>
      <c r="I339" s="11">
        <v>46221</v>
      </c>
      <c r="J339" s="4">
        <v>17</v>
      </c>
      <c r="K339" s="18">
        <f>(F339-(0)+0-(J339*Ventas!AE336*1))</f>
        <v>0</v>
      </c>
      <c r="L339" s="3"/>
      <c r="M339" s="22">
        <f t="shared" si="116"/>
        <v>0</v>
      </c>
      <c r="N339" s="14"/>
      <c r="O339" s="25">
        <f t="shared" si="122"/>
        <v>0</v>
      </c>
      <c r="P339" s="16"/>
      <c r="Q339" s="12">
        <f t="shared" si="123"/>
        <v>0</v>
      </c>
      <c r="R339" s="5">
        <v>0</v>
      </c>
      <c r="S339" s="24">
        <v>0</v>
      </c>
      <c r="T339" s="26">
        <v>0</v>
      </c>
      <c r="U339" s="18">
        <f t="shared" si="124"/>
        <v>0</v>
      </c>
      <c r="V339" s="22">
        <f t="shared" si="125"/>
        <v>0</v>
      </c>
      <c r="W339" s="25">
        <f t="shared" si="126"/>
        <v>0</v>
      </c>
      <c r="X339" s="3"/>
      <c r="Y339" s="14"/>
      <c r="Z339" s="14"/>
      <c r="AA339" s="3"/>
      <c r="AB339" s="3"/>
      <c r="AC339" s="11">
        <v>46313</v>
      </c>
      <c r="AD339" s="4">
        <v>92</v>
      </c>
      <c r="AE339" s="18">
        <f>(IF(K339&gt;0,K339+R339,R339)-(AD339*Ventas!AE336*1.0489))</f>
        <v>0</v>
      </c>
      <c r="AF339" s="3"/>
      <c r="AG339" s="22">
        <f t="shared" si="117"/>
        <v>0</v>
      </c>
      <c r="AH339" s="14"/>
      <c r="AI339" s="25">
        <f t="shared" si="127"/>
        <v>0</v>
      </c>
      <c r="AJ339" s="16"/>
      <c r="AK339" s="12">
        <f t="shared" si="128"/>
        <v>0</v>
      </c>
      <c r="AL339" s="19">
        <f t="shared" si="129"/>
        <v>0</v>
      </c>
      <c r="AM339" s="18">
        <f>(180*(Ventas!AE336*0.9644) - IF(AE339&gt;0,AE339,0))</f>
        <v>0</v>
      </c>
      <c r="AN339" s="18">
        <f t="shared" si="130"/>
        <v>0</v>
      </c>
      <c r="AO339" s="14"/>
      <c r="AP339" s="14">
        <f t="shared" si="131"/>
        <v>0</v>
      </c>
      <c r="AQ339" s="16">
        <f t="shared" si="132"/>
        <v>0</v>
      </c>
      <c r="AR339" s="37">
        <f>_xlfn.XLOOKUP(C339,[1]Hoja2!$C$6:$C$24,[1]Hoja2!$D$6:$D$24,0,2,1)</f>
        <v>0</v>
      </c>
      <c r="AS339" s="18">
        <f t="shared" si="133"/>
        <v>0</v>
      </c>
      <c r="AT339" s="14"/>
      <c r="AU339" s="37">
        <f>_xlfn.XLOOKUP(D339,[1]Hoja2!$E$6:$E$24,[1]Hoja2!$F$6:$F$24,0,2,1)</f>
        <v>0</v>
      </c>
      <c r="AV339" s="3">
        <v>0</v>
      </c>
      <c r="AW339" s="3"/>
      <c r="AX339" s="14">
        <v>0</v>
      </c>
      <c r="AY339" s="14"/>
      <c r="AZ339" s="16">
        <f>_xlfn.XLOOKUP(C339,[2]PI!$B$15:$B$99,[2]PI!$L$15:$L$99,0,2,1)</f>
        <v>0</v>
      </c>
      <c r="BA339" s="16">
        <f>_xlfn.XLOOKUP(D339,[2]PI!$B$15:$B$99,[2]PI!$L$15:$L$99,0,2,1)</f>
        <v>0</v>
      </c>
      <c r="BB339" s="3"/>
      <c r="BC339" s="3"/>
      <c r="BD339" s="14"/>
      <c r="BE339" s="14"/>
      <c r="BF339" s="16"/>
      <c r="BG339" s="16"/>
      <c r="BH339" s="12">
        <f t="shared" si="134"/>
        <v>0</v>
      </c>
      <c r="BI339" s="19">
        <f t="shared" si="135"/>
        <v>0</v>
      </c>
      <c r="BJ339" s="1" t="s">
        <v>35</v>
      </c>
      <c r="BK339">
        <f t="shared" si="136"/>
        <v>0</v>
      </c>
      <c r="BL339">
        <f t="shared" si="137"/>
        <v>0</v>
      </c>
    </row>
    <row r="340" spans="1:64" x14ac:dyDescent="0.25">
      <c r="A340" s="1" t="s">
        <v>1023</v>
      </c>
      <c r="B340" s="1" t="s">
        <v>1022</v>
      </c>
      <c r="C340" s="13" t="s">
        <v>1021</v>
      </c>
      <c r="D340" s="15"/>
      <c r="E340" s="17"/>
      <c r="F340" s="3"/>
      <c r="G340" s="14"/>
      <c r="H340" s="16"/>
      <c r="I340" s="11">
        <v>46221</v>
      </c>
      <c r="J340" s="4">
        <v>17</v>
      </c>
      <c r="K340" s="18">
        <f>(F340-(0)+0-(J340*Ventas!AE337*1))</f>
        <v>0</v>
      </c>
      <c r="L340" s="3"/>
      <c r="M340" s="22">
        <f t="shared" si="116"/>
        <v>0</v>
      </c>
      <c r="N340" s="14"/>
      <c r="O340" s="25">
        <f t="shared" si="122"/>
        <v>0</v>
      </c>
      <c r="P340" s="16"/>
      <c r="Q340" s="12">
        <f t="shared" si="123"/>
        <v>0</v>
      </c>
      <c r="R340" s="5">
        <v>0</v>
      </c>
      <c r="S340" s="24">
        <v>0</v>
      </c>
      <c r="T340" s="26">
        <v>0</v>
      </c>
      <c r="U340" s="18">
        <f t="shared" si="124"/>
        <v>0</v>
      </c>
      <c r="V340" s="22">
        <f t="shared" si="125"/>
        <v>0</v>
      </c>
      <c r="W340" s="25">
        <f t="shared" si="126"/>
        <v>0</v>
      </c>
      <c r="X340" s="3"/>
      <c r="Y340" s="14"/>
      <c r="Z340" s="14"/>
      <c r="AA340" s="3"/>
      <c r="AB340" s="3"/>
      <c r="AC340" s="11">
        <v>46313</v>
      </c>
      <c r="AD340" s="4">
        <v>92</v>
      </c>
      <c r="AE340" s="18">
        <f>(IF(K340&gt;0,K340+R340,R340)-(AD340*Ventas!AE337*1.0489))</f>
        <v>0</v>
      </c>
      <c r="AF340" s="3"/>
      <c r="AG340" s="22">
        <f t="shared" si="117"/>
        <v>0</v>
      </c>
      <c r="AH340" s="14"/>
      <c r="AI340" s="25">
        <f t="shared" si="127"/>
        <v>0</v>
      </c>
      <c r="AJ340" s="16"/>
      <c r="AK340" s="12">
        <f t="shared" si="128"/>
        <v>0</v>
      </c>
      <c r="AL340" s="19">
        <f t="shared" si="129"/>
        <v>0</v>
      </c>
      <c r="AM340" s="18">
        <f>(180*(Ventas!AE337*0.9644) - IF(AE340&gt;0,AE340,0))</f>
        <v>0</v>
      </c>
      <c r="AN340" s="18">
        <f t="shared" si="130"/>
        <v>0</v>
      </c>
      <c r="AO340" s="14"/>
      <c r="AP340" s="14">
        <f t="shared" si="131"/>
        <v>0</v>
      </c>
      <c r="AQ340" s="16">
        <f t="shared" si="132"/>
        <v>0</v>
      </c>
      <c r="AR340" s="37">
        <f>_xlfn.XLOOKUP(C340,[1]Hoja2!$C$6:$C$24,[1]Hoja2!$D$6:$D$24,0,2,1)</f>
        <v>0</v>
      </c>
      <c r="AS340" s="18">
        <f t="shared" si="133"/>
        <v>0</v>
      </c>
      <c r="AT340" s="14"/>
      <c r="AU340" s="37">
        <f>_xlfn.XLOOKUP(D340,[1]Hoja2!$E$6:$E$24,[1]Hoja2!$F$6:$F$24,0,2,1)</f>
        <v>0</v>
      </c>
      <c r="AV340" s="3">
        <v>0</v>
      </c>
      <c r="AW340" s="3"/>
      <c r="AX340" s="14">
        <v>0</v>
      </c>
      <c r="AY340" s="14"/>
      <c r="AZ340" s="16">
        <f>_xlfn.XLOOKUP(C340,[2]PI!$B$15:$B$99,[2]PI!$L$15:$L$99,0,2,1)</f>
        <v>0</v>
      </c>
      <c r="BA340" s="16">
        <f>_xlfn.XLOOKUP(D340,[2]PI!$B$15:$B$99,[2]PI!$L$15:$L$99,0,2,1)</f>
        <v>0</v>
      </c>
      <c r="BB340" s="3"/>
      <c r="BC340" s="3"/>
      <c r="BD340" s="14"/>
      <c r="BE340" s="14"/>
      <c r="BF340" s="16"/>
      <c r="BG340" s="16"/>
      <c r="BH340" s="12">
        <f t="shared" si="134"/>
        <v>0</v>
      </c>
      <c r="BI340" s="19">
        <f t="shared" si="135"/>
        <v>0</v>
      </c>
      <c r="BJ340" s="1" t="s">
        <v>35</v>
      </c>
      <c r="BK340">
        <f t="shared" si="136"/>
        <v>0</v>
      </c>
      <c r="BL340">
        <f t="shared" si="137"/>
        <v>0</v>
      </c>
    </row>
    <row r="341" spans="1:64" x14ac:dyDescent="0.25">
      <c r="A341" s="1" t="s">
        <v>1026</v>
      </c>
      <c r="B341" s="1" t="s">
        <v>1025</v>
      </c>
      <c r="C341" s="13" t="s">
        <v>1024</v>
      </c>
      <c r="D341" s="15"/>
      <c r="E341" s="17"/>
      <c r="F341" s="3"/>
      <c r="G341" s="14"/>
      <c r="H341" s="16"/>
      <c r="I341" s="11">
        <v>46221</v>
      </c>
      <c r="J341" s="4">
        <v>17</v>
      </c>
      <c r="K341" s="18">
        <f>(F341-(0)+0-(J341*Ventas!AE338*1))</f>
        <v>0</v>
      </c>
      <c r="L341" s="3"/>
      <c r="M341" s="22">
        <f t="shared" si="116"/>
        <v>0</v>
      </c>
      <c r="N341" s="14"/>
      <c r="O341" s="25">
        <f t="shared" si="122"/>
        <v>0</v>
      </c>
      <c r="P341" s="16"/>
      <c r="Q341" s="12">
        <f t="shared" si="123"/>
        <v>0</v>
      </c>
      <c r="R341" s="5">
        <v>0</v>
      </c>
      <c r="S341" s="24">
        <v>0</v>
      </c>
      <c r="T341" s="26">
        <v>0</v>
      </c>
      <c r="U341" s="18">
        <f t="shared" si="124"/>
        <v>0</v>
      </c>
      <c r="V341" s="22">
        <f t="shared" si="125"/>
        <v>0</v>
      </c>
      <c r="W341" s="25">
        <f t="shared" si="126"/>
        <v>0</v>
      </c>
      <c r="X341" s="3"/>
      <c r="Y341" s="14"/>
      <c r="Z341" s="14"/>
      <c r="AA341" s="3"/>
      <c r="AB341" s="3"/>
      <c r="AC341" s="11">
        <v>46313</v>
      </c>
      <c r="AD341" s="4">
        <v>92</v>
      </c>
      <c r="AE341" s="18">
        <f>(IF(K341&gt;0,K341+R341,R341)-(AD341*Ventas!AE338*1.0489))</f>
        <v>0</v>
      </c>
      <c r="AF341" s="3"/>
      <c r="AG341" s="22">
        <f t="shared" si="117"/>
        <v>0</v>
      </c>
      <c r="AH341" s="14"/>
      <c r="AI341" s="25">
        <f t="shared" si="127"/>
        <v>0</v>
      </c>
      <c r="AJ341" s="16"/>
      <c r="AK341" s="12">
        <f t="shared" si="128"/>
        <v>0</v>
      </c>
      <c r="AL341" s="19">
        <f t="shared" si="129"/>
        <v>0</v>
      </c>
      <c r="AM341" s="18">
        <f>(180*(Ventas!AE338*0.9644) - IF(AE341&gt;0,AE341,0))</f>
        <v>0</v>
      </c>
      <c r="AN341" s="18">
        <f t="shared" si="130"/>
        <v>0</v>
      </c>
      <c r="AO341" s="14"/>
      <c r="AP341" s="14">
        <f t="shared" si="131"/>
        <v>0</v>
      </c>
      <c r="AQ341" s="16">
        <f t="shared" si="132"/>
        <v>0</v>
      </c>
      <c r="AR341" s="37">
        <f>_xlfn.XLOOKUP(C341,[1]Hoja2!$C$6:$C$24,[1]Hoja2!$D$6:$D$24,0,2,1)</f>
        <v>0</v>
      </c>
      <c r="AS341" s="18">
        <f t="shared" si="133"/>
        <v>0</v>
      </c>
      <c r="AT341" s="14"/>
      <c r="AU341" s="37">
        <f>_xlfn.XLOOKUP(D341,[1]Hoja2!$E$6:$E$24,[1]Hoja2!$F$6:$F$24,0,2,1)</f>
        <v>0</v>
      </c>
      <c r="AV341" s="3">
        <v>0</v>
      </c>
      <c r="AW341" s="3"/>
      <c r="AX341" s="14">
        <v>0</v>
      </c>
      <c r="AY341" s="14"/>
      <c r="AZ341" s="16">
        <f>_xlfn.XLOOKUP(C341,[2]PI!$B$15:$B$99,[2]PI!$L$15:$L$99,0,2,1)</f>
        <v>0</v>
      </c>
      <c r="BA341" s="16">
        <f>_xlfn.XLOOKUP(D341,[2]PI!$B$15:$B$99,[2]PI!$L$15:$L$99,0,2,1)</f>
        <v>0</v>
      </c>
      <c r="BB341" s="3"/>
      <c r="BC341" s="3"/>
      <c r="BD341" s="14"/>
      <c r="BE341" s="14"/>
      <c r="BF341" s="16"/>
      <c r="BG341" s="16"/>
      <c r="BH341" s="12">
        <f t="shared" si="134"/>
        <v>0</v>
      </c>
      <c r="BI341" s="19">
        <f t="shared" si="135"/>
        <v>0</v>
      </c>
      <c r="BJ341" s="1" t="s">
        <v>35</v>
      </c>
      <c r="BK341">
        <f t="shared" si="136"/>
        <v>0</v>
      </c>
      <c r="BL341">
        <f t="shared" si="137"/>
        <v>0</v>
      </c>
    </row>
    <row r="342" spans="1:64" x14ac:dyDescent="0.25">
      <c r="A342" s="1" t="s">
        <v>1029</v>
      </c>
      <c r="B342" s="1" t="s">
        <v>1028</v>
      </c>
      <c r="C342" s="13" t="s">
        <v>1027</v>
      </c>
      <c r="D342" s="15"/>
      <c r="E342" s="17"/>
      <c r="F342" s="5">
        <v>9</v>
      </c>
      <c r="G342" s="14"/>
      <c r="H342" s="16"/>
      <c r="I342" s="11">
        <v>46221</v>
      </c>
      <c r="J342" s="4">
        <v>17</v>
      </c>
      <c r="K342" s="18">
        <f>(F342-(0)+0-(J342*Ventas!AE339*1))</f>
        <v>8.9254428571428566</v>
      </c>
      <c r="L342" s="20">
        <f>(K342/(Ventas!AE339*1)/80)</f>
        <v>25.438965798045597</v>
      </c>
      <c r="M342" s="22">
        <f t="shared" si="116"/>
        <v>0</v>
      </c>
      <c r="N342" s="14"/>
      <c r="O342" s="25">
        <f t="shared" si="122"/>
        <v>0</v>
      </c>
      <c r="P342" s="16"/>
      <c r="Q342" s="12">
        <f t="shared" si="123"/>
        <v>8.9254428571428566</v>
      </c>
      <c r="R342" s="5">
        <v>0</v>
      </c>
      <c r="S342" s="24">
        <v>0</v>
      </c>
      <c r="T342" s="26">
        <v>0</v>
      </c>
      <c r="U342" s="18">
        <f t="shared" si="124"/>
        <v>8.9254428571428566</v>
      </c>
      <c r="V342" s="22">
        <f t="shared" si="125"/>
        <v>0</v>
      </c>
      <c r="W342" s="25">
        <f t="shared" si="126"/>
        <v>0</v>
      </c>
      <c r="X342" s="3"/>
      <c r="Y342" s="14"/>
      <c r="Z342" s="14"/>
      <c r="AA342" s="3"/>
      <c r="AB342" s="3"/>
      <c r="AC342" s="11">
        <v>46313</v>
      </c>
      <c r="AD342" s="4">
        <v>92</v>
      </c>
      <c r="AE342" s="18">
        <f>(IF(K342&gt;0,K342+R342,R342)-(AD342*Ventas!AE339*1.0489))</f>
        <v>8.5022266914285716</v>
      </c>
      <c r="AF342" s="20">
        <f>(AE342/(Ventas!AE339*1.0489)/80)</f>
        <v>23.102994373196303</v>
      </c>
      <c r="AG342" s="22">
        <f t="shared" si="117"/>
        <v>0</v>
      </c>
      <c r="AH342" s="14"/>
      <c r="AI342" s="25">
        <f t="shared" si="127"/>
        <v>0</v>
      </c>
      <c r="AJ342" s="16"/>
      <c r="AK342" s="12">
        <f t="shared" si="128"/>
        <v>8.5022266914285716</v>
      </c>
      <c r="AL342" s="19">
        <f t="shared" si="129"/>
        <v>20.215120076546764</v>
      </c>
      <c r="AM342" s="18">
        <f>(180*(Ventas!AE339*0.9644) - IF(AE342&gt;0,AE342,0))</f>
        <v>-7.7409017771428577</v>
      </c>
      <c r="AN342" s="18">
        <f t="shared" si="130"/>
        <v>0</v>
      </c>
      <c r="AO342" s="14"/>
      <c r="AP342" s="14">
        <f t="shared" si="131"/>
        <v>0</v>
      </c>
      <c r="AQ342" s="16">
        <f t="shared" si="132"/>
        <v>0</v>
      </c>
      <c r="AR342" s="37">
        <f>_xlfn.XLOOKUP(C342,[1]Hoja2!$C$6:$C$24,[1]Hoja2!$D$6:$D$24,0,2,1)</f>
        <v>0</v>
      </c>
      <c r="AS342" s="18">
        <f t="shared" si="133"/>
        <v>8.5022266914285716</v>
      </c>
      <c r="AT342" s="14"/>
      <c r="AU342" s="37">
        <f>_xlfn.XLOOKUP(D342,[1]Hoja2!$E$6:$E$24,[1]Hoja2!$F$6:$F$24,0,2,1)</f>
        <v>0</v>
      </c>
      <c r="AV342" s="27">
        <v>0</v>
      </c>
      <c r="AW342" s="5">
        <v>3016</v>
      </c>
      <c r="AX342" s="14">
        <v>0</v>
      </c>
      <c r="AY342" s="14"/>
      <c r="AZ342" s="16">
        <f>_xlfn.XLOOKUP(C342,[2]PI!$B$15:$B$99,[2]PI!$L$15:$L$99,0,2,1)</f>
        <v>0</v>
      </c>
      <c r="BA342" s="16">
        <f>_xlfn.XLOOKUP(D342,[2]PI!$B$15:$B$99,[2]PI!$L$15:$L$99,0,2,1)</f>
        <v>0</v>
      </c>
      <c r="BB342" s="18">
        <f>(AS342-(90*Ventas!AE339*0.9644))</f>
        <v>8.1215642342857137</v>
      </c>
      <c r="BC342" s="20">
        <f>(BB342/(Ventas!AE339*0.9644)/80)</f>
        <v>24.002261300337619</v>
      </c>
      <c r="BD342" s="14"/>
      <c r="BE342" s="14"/>
      <c r="BF342" s="16"/>
      <c r="BG342" s="16"/>
      <c r="BH342" s="12">
        <f t="shared" si="134"/>
        <v>8.1215642342857137</v>
      </c>
      <c r="BI342" s="19">
        <f t="shared" si="135"/>
        <v>21.001978637795418</v>
      </c>
      <c r="BJ342" s="1" t="s">
        <v>35</v>
      </c>
      <c r="BK342">
        <f t="shared" si="136"/>
        <v>0</v>
      </c>
      <c r="BL342">
        <f t="shared" si="137"/>
        <v>0</v>
      </c>
    </row>
    <row r="343" spans="1:64" x14ac:dyDescent="0.25">
      <c r="A343" s="1" t="s">
        <v>1032</v>
      </c>
      <c r="B343" s="1" t="s">
        <v>1031</v>
      </c>
      <c r="C343" s="13" t="s">
        <v>1030</v>
      </c>
      <c r="D343" s="15"/>
      <c r="E343" s="17"/>
      <c r="F343" s="3"/>
      <c r="G343" s="14"/>
      <c r="H343" s="16"/>
      <c r="I343" s="11">
        <v>46221</v>
      </c>
      <c r="J343" s="4">
        <v>17</v>
      </c>
      <c r="K343" s="18">
        <f>(F343-(0)+0-(J343*Ventas!AE340*1))</f>
        <v>0</v>
      </c>
      <c r="L343" s="3"/>
      <c r="M343" s="22">
        <f t="shared" si="116"/>
        <v>0</v>
      </c>
      <c r="N343" s="14"/>
      <c r="O343" s="25">
        <f t="shared" si="122"/>
        <v>0</v>
      </c>
      <c r="P343" s="16"/>
      <c r="Q343" s="12">
        <f t="shared" si="123"/>
        <v>0</v>
      </c>
      <c r="R343" s="5">
        <v>0</v>
      </c>
      <c r="S343" s="24">
        <v>0</v>
      </c>
      <c r="T343" s="26">
        <v>0</v>
      </c>
      <c r="U343" s="18">
        <f t="shared" si="124"/>
        <v>0</v>
      </c>
      <c r="V343" s="22">
        <f t="shared" si="125"/>
        <v>0</v>
      </c>
      <c r="W343" s="25">
        <f t="shared" si="126"/>
        <v>0</v>
      </c>
      <c r="X343" s="3"/>
      <c r="Y343" s="14"/>
      <c r="Z343" s="14"/>
      <c r="AA343" s="3"/>
      <c r="AB343" s="3"/>
      <c r="AC343" s="11">
        <v>46313</v>
      </c>
      <c r="AD343" s="4">
        <v>92</v>
      </c>
      <c r="AE343" s="18">
        <f>(IF(K343&gt;0,K343+R343,R343)-(AD343*Ventas!AE340*1.0489))</f>
        <v>0</v>
      </c>
      <c r="AF343" s="3"/>
      <c r="AG343" s="22">
        <f t="shared" si="117"/>
        <v>0</v>
      </c>
      <c r="AH343" s="14"/>
      <c r="AI343" s="25">
        <f t="shared" si="127"/>
        <v>0</v>
      </c>
      <c r="AJ343" s="16"/>
      <c r="AK343" s="12">
        <f t="shared" si="128"/>
        <v>0</v>
      </c>
      <c r="AL343" s="19">
        <f t="shared" si="129"/>
        <v>0</v>
      </c>
      <c r="AM343" s="18">
        <f>(180*(Ventas!AE340*0.9644) - IF(AE343&gt;0,AE343,0))</f>
        <v>0</v>
      </c>
      <c r="AN343" s="18">
        <f t="shared" si="130"/>
        <v>0</v>
      </c>
      <c r="AO343" s="14"/>
      <c r="AP343" s="14">
        <f t="shared" si="131"/>
        <v>0</v>
      </c>
      <c r="AQ343" s="16">
        <f t="shared" si="132"/>
        <v>0</v>
      </c>
      <c r="AR343" s="37">
        <f>_xlfn.XLOOKUP(C343,[1]Hoja2!$C$6:$C$24,[1]Hoja2!$D$6:$D$24,0,2,1)</f>
        <v>0</v>
      </c>
      <c r="AS343" s="18">
        <f t="shared" si="133"/>
        <v>0</v>
      </c>
      <c r="AT343" s="14"/>
      <c r="AU343" s="37">
        <f>_xlfn.XLOOKUP(D343,[1]Hoja2!$E$6:$E$24,[1]Hoja2!$F$6:$F$24,0,2,1)</f>
        <v>0</v>
      </c>
      <c r="AV343" s="3">
        <v>0</v>
      </c>
      <c r="AW343" s="3"/>
      <c r="AX343" s="14">
        <v>0</v>
      </c>
      <c r="AY343" s="14"/>
      <c r="AZ343" s="16">
        <f>_xlfn.XLOOKUP(C343,[2]PI!$B$15:$B$99,[2]PI!$L$15:$L$99,0,2,1)</f>
        <v>0</v>
      </c>
      <c r="BA343" s="16">
        <f>_xlfn.XLOOKUP(D343,[2]PI!$B$15:$B$99,[2]PI!$L$15:$L$99,0,2,1)</f>
        <v>0</v>
      </c>
      <c r="BB343" s="3"/>
      <c r="BC343" s="3"/>
      <c r="BD343" s="14"/>
      <c r="BE343" s="14"/>
      <c r="BF343" s="16"/>
      <c r="BG343" s="16"/>
      <c r="BH343" s="12">
        <f t="shared" si="134"/>
        <v>0</v>
      </c>
      <c r="BI343" s="19">
        <f t="shared" si="135"/>
        <v>0</v>
      </c>
      <c r="BJ343" s="1" t="s">
        <v>35</v>
      </c>
      <c r="BK343">
        <f t="shared" si="136"/>
        <v>0</v>
      </c>
      <c r="BL343">
        <f t="shared" si="137"/>
        <v>0</v>
      </c>
    </row>
    <row r="344" spans="1:64" x14ac:dyDescent="0.25">
      <c r="A344" s="1"/>
      <c r="B344" s="1" t="s">
        <v>1034</v>
      </c>
      <c r="C344" s="13" t="s">
        <v>1033</v>
      </c>
      <c r="D344" s="15"/>
      <c r="E344" s="17"/>
      <c r="F344" s="3"/>
      <c r="G344" s="14"/>
      <c r="H344" s="16"/>
      <c r="I344" s="11">
        <v>46221</v>
      </c>
      <c r="J344" s="4">
        <v>17</v>
      </c>
      <c r="K344" s="18">
        <f>(F344-(0)+0-(J344*Ventas!AE341*1))</f>
        <v>0</v>
      </c>
      <c r="L344" s="3"/>
      <c r="M344" s="22">
        <f t="shared" ref="M344:M407" si="138">(G344+0)</f>
        <v>0</v>
      </c>
      <c r="N344" s="14"/>
      <c r="O344" s="25">
        <f t="shared" si="122"/>
        <v>0</v>
      </c>
      <c r="P344" s="16"/>
      <c r="Q344" s="12">
        <f t="shared" si="123"/>
        <v>0</v>
      </c>
      <c r="R344" s="5">
        <v>0</v>
      </c>
      <c r="S344" s="24">
        <v>0</v>
      </c>
      <c r="T344" s="26">
        <v>0</v>
      </c>
      <c r="U344" s="18">
        <f t="shared" si="124"/>
        <v>0</v>
      </c>
      <c r="V344" s="22">
        <f t="shared" si="125"/>
        <v>0</v>
      </c>
      <c r="W344" s="25">
        <f t="shared" si="126"/>
        <v>0</v>
      </c>
      <c r="X344" s="3"/>
      <c r="Y344" s="14"/>
      <c r="Z344" s="14"/>
      <c r="AA344" s="3"/>
      <c r="AB344" s="3"/>
      <c r="AC344" s="11">
        <v>46313</v>
      </c>
      <c r="AD344" s="4">
        <v>92</v>
      </c>
      <c r="AE344" s="18">
        <f>(IF(K344&gt;0,K344+R344,R344)-(AD344*Ventas!AE341*1.0489))</f>
        <v>0</v>
      </c>
      <c r="AF344" s="3"/>
      <c r="AG344" s="22">
        <f t="shared" ref="AG344:AG407" si="139">(G344+0)</f>
        <v>0</v>
      </c>
      <c r="AH344" s="14"/>
      <c r="AI344" s="25">
        <f t="shared" si="127"/>
        <v>0</v>
      </c>
      <c r="AJ344" s="16"/>
      <c r="AK344" s="12">
        <f t="shared" si="128"/>
        <v>0</v>
      </c>
      <c r="AL344" s="19">
        <f t="shared" si="129"/>
        <v>0</v>
      </c>
      <c r="AM344" s="18">
        <f>(180*(Ventas!AE341*0.9644) - IF(AE344&gt;0,AE344,0))</f>
        <v>0</v>
      </c>
      <c r="AN344" s="18">
        <f t="shared" si="130"/>
        <v>0</v>
      </c>
      <c r="AO344" s="14"/>
      <c r="AP344" s="14">
        <f t="shared" si="131"/>
        <v>0</v>
      </c>
      <c r="AQ344" s="16">
        <f t="shared" si="132"/>
        <v>0</v>
      </c>
      <c r="AR344" s="37">
        <f>_xlfn.XLOOKUP(C344,[1]Hoja2!$C$6:$C$24,[1]Hoja2!$D$6:$D$24,0,2,1)</f>
        <v>0</v>
      </c>
      <c r="AS344" s="18">
        <f t="shared" si="133"/>
        <v>0</v>
      </c>
      <c r="AT344" s="14"/>
      <c r="AU344" s="37">
        <f>_xlfn.XLOOKUP(D344,[1]Hoja2!$E$6:$E$24,[1]Hoja2!$F$6:$F$24,0,2,1)</f>
        <v>0</v>
      </c>
      <c r="AV344" s="3">
        <v>0</v>
      </c>
      <c r="AW344" s="3"/>
      <c r="AX344" s="14">
        <v>0</v>
      </c>
      <c r="AY344" s="14"/>
      <c r="AZ344" s="16">
        <f>_xlfn.XLOOKUP(C344,[2]PI!$B$15:$B$99,[2]PI!$L$15:$L$99,0,2,1)</f>
        <v>0</v>
      </c>
      <c r="BA344" s="16">
        <f>_xlfn.XLOOKUP(D344,[2]PI!$B$15:$B$99,[2]PI!$L$15:$L$99,0,2,1)</f>
        <v>0</v>
      </c>
      <c r="BB344" s="3"/>
      <c r="BC344" s="3"/>
      <c r="BD344" s="14"/>
      <c r="BE344" s="14"/>
      <c r="BF344" s="16"/>
      <c r="BG344" s="16"/>
      <c r="BH344" s="12">
        <f t="shared" si="134"/>
        <v>0</v>
      </c>
      <c r="BI344" s="19">
        <f t="shared" si="135"/>
        <v>0</v>
      </c>
      <c r="BJ344" s="1" t="s">
        <v>51</v>
      </c>
      <c r="BK344">
        <f t="shared" si="136"/>
        <v>0</v>
      </c>
      <c r="BL344">
        <f t="shared" si="137"/>
        <v>0</v>
      </c>
    </row>
    <row r="345" spans="1:64" x14ac:dyDescent="0.25">
      <c r="A345" s="1" t="s">
        <v>1037</v>
      </c>
      <c r="B345" s="1" t="s">
        <v>1036</v>
      </c>
      <c r="C345" s="13" t="s">
        <v>1035</v>
      </c>
      <c r="D345" s="15"/>
      <c r="E345" s="17"/>
      <c r="F345" s="3"/>
      <c r="G345" s="14"/>
      <c r="H345" s="16"/>
      <c r="I345" s="11">
        <v>46221</v>
      </c>
      <c r="J345" s="4">
        <v>17</v>
      </c>
      <c r="K345" s="18">
        <f>(F345-(0)+0-(J345*Ventas!AE342*1))</f>
        <v>-4.4902666666666677</v>
      </c>
      <c r="L345" s="20">
        <f>(K345/(Ventas!AE342*1)/80)</f>
        <v>-0.21249999999999999</v>
      </c>
      <c r="M345" s="22">
        <f t="shared" si="138"/>
        <v>0</v>
      </c>
      <c r="N345" s="14"/>
      <c r="O345" s="25">
        <f t="shared" si="122"/>
        <v>0</v>
      </c>
      <c r="P345" s="16"/>
      <c r="Q345" s="12">
        <f t="shared" si="123"/>
        <v>-4.4902666666666677</v>
      </c>
      <c r="R345" s="5">
        <v>40</v>
      </c>
      <c r="S345" s="24">
        <v>0</v>
      </c>
      <c r="T345" s="26">
        <v>0</v>
      </c>
      <c r="U345" s="18">
        <f t="shared" si="124"/>
        <v>40</v>
      </c>
      <c r="V345" s="22">
        <f t="shared" si="125"/>
        <v>0</v>
      </c>
      <c r="W345" s="25">
        <f t="shared" si="126"/>
        <v>0</v>
      </c>
      <c r="X345" s="18">
        <v>4.5</v>
      </c>
      <c r="Y345" s="14"/>
      <c r="Z345" s="14"/>
      <c r="AA345" s="3"/>
      <c r="AB345" s="3">
        <v>6.783E-3</v>
      </c>
      <c r="AC345" s="11">
        <v>46313</v>
      </c>
      <c r="AD345" s="4">
        <v>92</v>
      </c>
      <c r="AE345" s="18">
        <f>(IF(K345&gt;0,K345+R345,R345)-(AD345*Ventas!AE342*1.0489))</f>
        <v>14.511450293333329</v>
      </c>
      <c r="AF345" s="20">
        <f>(AE345/(Ventas!AE342*1.0489)/80)</f>
        <v>0.65473194941995649</v>
      </c>
      <c r="AG345" s="22">
        <f t="shared" si="139"/>
        <v>0</v>
      </c>
      <c r="AH345" s="14"/>
      <c r="AI345" s="25">
        <f t="shared" si="127"/>
        <v>0</v>
      </c>
      <c r="AJ345" s="16"/>
      <c r="AK345" s="12">
        <f t="shared" si="128"/>
        <v>14.511450293333329</v>
      </c>
      <c r="AL345" s="19">
        <f t="shared" si="129"/>
        <v>0.57289045574246189</v>
      </c>
      <c r="AM345" s="18">
        <f>(180*(Ventas!AE342*0.9644) - IF(AE345&gt;0,AE345,0))</f>
        <v>31.339983306666685</v>
      </c>
      <c r="AN345" s="18">
        <v>30</v>
      </c>
      <c r="AO345" s="14"/>
      <c r="AP345" s="14">
        <f t="shared" si="131"/>
        <v>0</v>
      </c>
      <c r="AQ345" s="16">
        <f t="shared" si="132"/>
        <v>0.20349</v>
      </c>
      <c r="AR345" s="37">
        <f>_xlfn.XLOOKUP(C345,[1]Hoja2!$C$6:$C$24,[1]Hoja2!$D$6:$D$24,0,2,1)</f>
        <v>0</v>
      </c>
      <c r="AS345" s="18">
        <f t="shared" si="133"/>
        <v>44.511450293333326</v>
      </c>
      <c r="AT345" s="14"/>
      <c r="AU345" s="37">
        <f>_xlfn.XLOOKUP(D345,[1]Hoja2!$E$6:$E$24,[1]Hoja2!$F$6:$F$24,0,2,1)</f>
        <v>0</v>
      </c>
      <c r="AV345" s="27">
        <v>5.5</v>
      </c>
      <c r="AW345" s="5">
        <v>3016</v>
      </c>
      <c r="AX345" s="14">
        <v>0</v>
      </c>
      <c r="AY345" s="14"/>
      <c r="AZ345" s="16">
        <f>_xlfn.XLOOKUP(C345,[2]PI!$B$15:$B$99,[2]PI!$L$15:$L$99,0,2,1)</f>
        <v>5.5</v>
      </c>
      <c r="BA345" s="16">
        <f>_xlfn.XLOOKUP(D345,[2]PI!$B$15:$B$99,[2]PI!$L$15:$L$99,0,2,1)</f>
        <v>0</v>
      </c>
      <c r="BB345" s="18">
        <f>(AS345-(90*Ventas!AE342*0.9644))</f>
        <v>21.585733493333318</v>
      </c>
      <c r="BC345" s="20">
        <f>(BB345/(Ventas!AE342*0.9644)/80)</f>
        <v>1.0592449689511987</v>
      </c>
      <c r="BD345" s="14"/>
      <c r="BE345" s="14"/>
      <c r="BF345" s="16"/>
      <c r="BG345" s="16"/>
      <c r="BH345" s="12">
        <f t="shared" si="134"/>
        <v>21.585733493333318</v>
      </c>
      <c r="BI345" s="19">
        <f t="shared" si="135"/>
        <v>0.92683934783229882</v>
      </c>
      <c r="BJ345" s="1" t="s">
        <v>35</v>
      </c>
      <c r="BK345">
        <f t="shared" si="136"/>
        <v>165</v>
      </c>
      <c r="BL345">
        <f t="shared" si="137"/>
        <v>165</v>
      </c>
    </row>
    <row r="346" spans="1:64" x14ac:dyDescent="0.25">
      <c r="A346" s="1" t="s">
        <v>1040</v>
      </c>
      <c r="B346" s="1" t="s">
        <v>1039</v>
      </c>
      <c r="C346" s="13" t="s">
        <v>1038</v>
      </c>
      <c r="D346" s="15"/>
      <c r="E346" s="17"/>
      <c r="F346" s="5">
        <v>4</v>
      </c>
      <c r="G346" s="14"/>
      <c r="H346" s="16"/>
      <c r="I346" s="11">
        <v>46221</v>
      </c>
      <c r="J346" s="4">
        <v>17</v>
      </c>
      <c r="K346" s="18">
        <f>(F346-(0)+0-(J346*Ventas!AE343*1))</f>
        <v>4</v>
      </c>
      <c r="L346" s="20" t="e">
        <f>(K346/(Ventas!AE343*1)/80)</f>
        <v>#DIV/0!</v>
      </c>
      <c r="M346" s="22">
        <f t="shared" si="138"/>
        <v>0</v>
      </c>
      <c r="N346" s="14"/>
      <c r="O346" s="25">
        <f t="shared" si="122"/>
        <v>0</v>
      </c>
      <c r="P346" s="16"/>
      <c r="Q346" s="12">
        <f t="shared" si="123"/>
        <v>4</v>
      </c>
      <c r="R346" s="5">
        <v>0</v>
      </c>
      <c r="S346" s="24">
        <v>0</v>
      </c>
      <c r="T346" s="26">
        <v>0</v>
      </c>
      <c r="U346" s="18">
        <f t="shared" si="124"/>
        <v>4</v>
      </c>
      <c r="V346" s="22">
        <f t="shared" si="125"/>
        <v>0</v>
      </c>
      <c r="W346" s="25">
        <f t="shared" si="126"/>
        <v>0</v>
      </c>
      <c r="X346" s="3"/>
      <c r="Y346" s="14"/>
      <c r="Z346" s="14"/>
      <c r="AA346" s="3"/>
      <c r="AB346" s="3"/>
      <c r="AC346" s="11">
        <v>46313</v>
      </c>
      <c r="AD346" s="4">
        <v>92</v>
      </c>
      <c r="AE346" s="18">
        <f>(IF(K346&gt;0,K346+R346,R346)-(AD346*Ventas!AE343*1.0489))</f>
        <v>4</v>
      </c>
      <c r="AF346" s="20" t="e">
        <f>(AE346/(Ventas!AE343*1.0489)/80)</f>
        <v>#DIV/0!</v>
      </c>
      <c r="AG346" s="22">
        <f t="shared" si="139"/>
        <v>0</v>
      </c>
      <c r="AH346" s="14"/>
      <c r="AI346" s="25">
        <f t="shared" si="127"/>
        <v>0</v>
      </c>
      <c r="AJ346" s="16"/>
      <c r="AK346" s="12">
        <f t="shared" si="128"/>
        <v>4</v>
      </c>
      <c r="AL346" s="19" t="e">
        <f t="shared" si="129"/>
        <v>#DIV/0!</v>
      </c>
      <c r="AM346" s="18">
        <f>(180*(Ventas!AE343*0.9644) - IF(AE346&gt;0,AE346,0))</f>
        <v>-4</v>
      </c>
      <c r="AN346" s="18">
        <f t="shared" ref="AN346:AN383" si="140">IF(AM346&gt;3,CEILING(AM346,5),0)</f>
        <v>0</v>
      </c>
      <c r="AO346" s="14"/>
      <c r="AP346" s="14">
        <f t="shared" si="131"/>
        <v>0</v>
      </c>
      <c r="AQ346" s="16">
        <f t="shared" si="132"/>
        <v>0</v>
      </c>
      <c r="AR346" s="37">
        <f>_xlfn.XLOOKUP(C346,[1]Hoja2!$C$6:$C$24,[1]Hoja2!$D$6:$D$24,0,2,1)</f>
        <v>0</v>
      </c>
      <c r="AS346" s="18">
        <f t="shared" si="133"/>
        <v>4</v>
      </c>
      <c r="AT346" s="14"/>
      <c r="AU346" s="37">
        <f>_xlfn.XLOOKUP(D346,[1]Hoja2!$E$6:$E$24,[1]Hoja2!$F$6:$F$24,0,2,1)</f>
        <v>0</v>
      </c>
      <c r="AV346" s="27">
        <v>0</v>
      </c>
      <c r="AW346" s="5">
        <v>3016</v>
      </c>
      <c r="AX346" s="14">
        <v>0</v>
      </c>
      <c r="AY346" s="14"/>
      <c r="AZ346" s="16">
        <f>_xlfn.XLOOKUP(C346,[2]PI!$B$15:$B$99,[2]PI!$L$15:$L$99,0,2,1)</f>
        <v>0</v>
      </c>
      <c r="BA346" s="16">
        <f>_xlfn.XLOOKUP(D346,[2]PI!$B$15:$B$99,[2]PI!$L$15:$L$99,0,2,1)</f>
        <v>0</v>
      </c>
      <c r="BB346" s="18">
        <f>(AS346-(90*Ventas!AE343*0.9644))</f>
        <v>4</v>
      </c>
      <c r="BC346" s="20" t="e">
        <f>(BB346/(Ventas!AE343*0.9644)/80)</f>
        <v>#DIV/0!</v>
      </c>
      <c r="BD346" s="14"/>
      <c r="BE346" s="14"/>
      <c r="BF346" s="16"/>
      <c r="BG346" s="16"/>
      <c r="BH346" s="12">
        <f t="shared" si="134"/>
        <v>4</v>
      </c>
      <c r="BI346" s="19" t="e">
        <f t="shared" si="135"/>
        <v>#DIV/0!</v>
      </c>
      <c r="BJ346" s="1" t="s">
        <v>35</v>
      </c>
      <c r="BK346">
        <f t="shared" si="136"/>
        <v>0</v>
      </c>
      <c r="BL346">
        <f t="shared" si="137"/>
        <v>0</v>
      </c>
    </row>
    <row r="347" spans="1:64" x14ac:dyDescent="0.25">
      <c r="A347" s="1" t="s">
        <v>1043</v>
      </c>
      <c r="B347" s="1" t="s">
        <v>1042</v>
      </c>
      <c r="C347" s="13" t="s">
        <v>1041</v>
      </c>
      <c r="D347" s="15"/>
      <c r="E347" s="17"/>
      <c r="F347" s="3"/>
      <c r="G347" s="14"/>
      <c r="H347" s="16"/>
      <c r="I347" s="11">
        <v>46221</v>
      </c>
      <c r="J347" s="4">
        <v>17</v>
      </c>
      <c r="K347" s="18">
        <f>(F347-(0)+0-(J347*Ventas!AE344*1))</f>
        <v>0</v>
      </c>
      <c r="L347" s="3"/>
      <c r="M347" s="22">
        <f t="shared" si="138"/>
        <v>0</v>
      </c>
      <c r="N347" s="14"/>
      <c r="O347" s="25">
        <f t="shared" si="122"/>
        <v>0</v>
      </c>
      <c r="P347" s="16"/>
      <c r="Q347" s="12">
        <f t="shared" si="123"/>
        <v>0</v>
      </c>
      <c r="R347" s="5">
        <v>0</v>
      </c>
      <c r="S347" s="24">
        <v>0</v>
      </c>
      <c r="T347" s="26">
        <v>0</v>
      </c>
      <c r="U347" s="18">
        <f t="shared" si="124"/>
        <v>0</v>
      </c>
      <c r="V347" s="22">
        <f t="shared" si="125"/>
        <v>0</v>
      </c>
      <c r="W347" s="25">
        <f t="shared" si="126"/>
        <v>0</v>
      </c>
      <c r="X347" s="3"/>
      <c r="Y347" s="14"/>
      <c r="Z347" s="14"/>
      <c r="AA347" s="3"/>
      <c r="AB347" s="3"/>
      <c r="AC347" s="11">
        <v>46313</v>
      </c>
      <c r="AD347" s="4">
        <v>92</v>
      </c>
      <c r="AE347" s="18">
        <f>(IF(K347&gt;0,K347+R347,R347)-(AD347*Ventas!AE344*1.0489))</f>
        <v>0</v>
      </c>
      <c r="AF347" s="3"/>
      <c r="AG347" s="22">
        <f t="shared" si="139"/>
        <v>0</v>
      </c>
      <c r="AH347" s="14"/>
      <c r="AI347" s="25">
        <f t="shared" si="127"/>
        <v>0</v>
      </c>
      <c r="AJ347" s="16"/>
      <c r="AK347" s="12">
        <f t="shared" si="128"/>
        <v>0</v>
      </c>
      <c r="AL347" s="19">
        <f t="shared" si="129"/>
        <v>0</v>
      </c>
      <c r="AM347" s="18">
        <f>(180*(Ventas!AE344*0.9644) - IF(AE347&gt;0,AE347,0))</f>
        <v>0</v>
      </c>
      <c r="AN347" s="18">
        <f t="shared" si="140"/>
        <v>0</v>
      </c>
      <c r="AO347" s="14"/>
      <c r="AP347" s="14">
        <f t="shared" si="131"/>
        <v>0</v>
      </c>
      <c r="AQ347" s="16">
        <f t="shared" si="132"/>
        <v>0</v>
      </c>
      <c r="AR347" s="37">
        <f>_xlfn.XLOOKUP(C347,[1]Hoja2!$C$6:$C$24,[1]Hoja2!$D$6:$D$24,0,2,1)</f>
        <v>0</v>
      </c>
      <c r="AS347" s="18">
        <f t="shared" si="133"/>
        <v>0</v>
      </c>
      <c r="AT347" s="14"/>
      <c r="AU347" s="37">
        <f>_xlfn.XLOOKUP(D347,[1]Hoja2!$E$6:$E$24,[1]Hoja2!$F$6:$F$24,0,2,1)</f>
        <v>0</v>
      </c>
      <c r="AV347" s="3">
        <v>0</v>
      </c>
      <c r="AW347" s="3"/>
      <c r="AX347" s="14">
        <v>0</v>
      </c>
      <c r="AY347" s="14"/>
      <c r="AZ347" s="16">
        <f>_xlfn.XLOOKUP(C347,[2]PI!$B$15:$B$99,[2]PI!$L$15:$L$99,0,2,1)</f>
        <v>0</v>
      </c>
      <c r="BA347" s="16">
        <f>_xlfn.XLOOKUP(D347,[2]PI!$B$15:$B$99,[2]PI!$L$15:$L$99,0,2,1)</f>
        <v>0</v>
      </c>
      <c r="BB347" s="3"/>
      <c r="BC347" s="3"/>
      <c r="BD347" s="14"/>
      <c r="BE347" s="14"/>
      <c r="BF347" s="16"/>
      <c r="BG347" s="16"/>
      <c r="BH347" s="12">
        <f t="shared" si="134"/>
        <v>0</v>
      </c>
      <c r="BI347" s="19">
        <f t="shared" si="135"/>
        <v>0</v>
      </c>
      <c r="BJ347" s="1" t="s">
        <v>35</v>
      </c>
      <c r="BK347">
        <f t="shared" si="136"/>
        <v>0</v>
      </c>
      <c r="BL347">
        <f t="shared" si="137"/>
        <v>0</v>
      </c>
    </row>
    <row r="348" spans="1:64" x14ac:dyDescent="0.25">
      <c r="A348" s="1" t="s">
        <v>1046</v>
      </c>
      <c r="B348" s="1" t="s">
        <v>1045</v>
      </c>
      <c r="C348" s="13" t="s">
        <v>1044</v>
      </c>
      <c r="D348" s="15"/>
      <c r="E348" s="17"/>
      <c r="F348" s="3"/>
      <c r="G348" s="14"/>
      <c r="H348" s="16"/>
      <c r="I348" s="11">
        <v>46221</v>
      </c>
      <c r="J348" s="4">
        <v>17</v>
      </c>
      <c r="K348" s="18">
        <f>(F348-(0)+0-(J348*Ventas!AE345*1))</f>
        <v>0</v>
      </c>
      <c r="L348" s="3"/>
      <c r="M348" s="22">
        <f t="shared" si="138"/>
        <v>0</v>
      </c>
      <c r="N348" s="14"/>
      <c r="O348" s="25">
        <f t="shared" si="122"/>
        <v>0</v>
      </c>
      <c r="P348" s="16"/>
      <c r="Q348" s="12">
        <f t="shared" si="123"/>
        <v>0</v>
      </c>
      <c r="R348" s="5">
        <v>0</v>
      </c>
      <c r="S348" s="24">
        <v>0</v>
      </c>
      <c r="T348" s="26">
        <v>0</v>
      </c>
      <c r="U348" s="18">
        <f t="shared" si="124"/>
        <v>0</v>
      </c>
      <c r="V348" s="22">
        <f t="shared" si="125"/>
        <v>0</v>
      </c>
      <c r="W348" s="25">
        <f t="shared" si="126"/>
        <v>0</v>
      </c>
      <c r="X348" s="3"/>
      <c r="Y348" s="14"/>
      <c r="Z348" s="14"/>
      <c r="AA348" s="3"/>
      <c r="AB348" s="3"/>
      <c r="AC348" s="11">
        <v>46313</v>
      </c>
      <c r="AD348" s="4">
        <v>92</v>
      </c>
      <c r="AE348" s="18">
        <f>(IF(K348&gt;0,K348+R348,R348)-(AD348*Ventas!AE345*1.0489))</f>
        <v>0</v>
      </c>
      <c r="AF348" s="3"/>
      <c r="AG348" s="22">
        <f t="shared" si="139"/>
        <v>0</v>
      </c>
      <c r="AH348" s="14"/>
      <c r="AI348" s="25">
        <f t="shared" si="127"/>
        <v>0</v>
      </c>
      <c r="AJ348" s="16"/>
      <c r="AK348" s="12">
        <f t="shared" si="128"/>
        <v>0</v>
      </c>
      <c r="AL348" s="19">
        <f t="shared" si="129"/>
        <v>0</v>
      </c>
      <c r="AM348" s="18">
        <f>(180*(Ventas!AE345*0.9644) - IF(AE348&gt;0,AE348,0))</f>
        <v>0</v>
      </c>
      <c r="AN348" s="18">
        <f t="shared" si="140"/>
        <v>0</v>
      </c>
      <c r="AO348" s="14"/>
      <c r="AP348" s="14">
        <f t="shared" si="131"/>
        <v>0</v>
      </c>
      <c r="AQ348" s="16">
        <f t="shared" si="132"/>
        <v>0</v>
      </c>
      <c r="AR348" s="37">
        <f>_xlfn.XLOOKUP(C348,[1]Hoja2!$C$6:$C$24,[1]Hoja2!$D$6:$D$24,0,2,1)</f>
        <v>0</v>
      </c>
      <c r="AS348" s="18">
        <f t="shared" si="133"/>
        <v>0</v>
      </c>
      <c r="AT348" s="14"/>
      <c r="AU348" s="37">
        <f>_xlfn.XLOOKUP(D348,[1]Hoja2!$E$6:$E$24,[1]Hoja2!$F$6:$F$24,0,2,1)</f>
        <v>0</v>
      </c>
      <c r="AV348" s="3">
        <v>0</v>
      </c>
      <c r="AW348" s="3"/>
      <c r="AX348" s="14">
        <v>0</v>
      </c>
      <c r="AY348" s="14"/>
      <c r="AZ348" s="16">
        <f>_xlfn.XLOOKUP(C348,[2]PI!$B$15:$B$99,[2]PI!$L$15:$L$99,0,2,1)</f>
        <v>0</v>
      </c>
      <c r="BA348" s="16">
        <f>_xlfn.XLOOKUP(D348,[2]PI!$B$15:$B$99,[2]PI!$L$15:$L$99,0,2,1)</f>
        <v>0</v>
      </c>
      <c r="BB348" s="3"/>
      <c r="BC348" s="3"/>
      <c r="BD348" s="14"/>
      <c r="BE348" s="14"/>
      <c r="BF348" s="16"/>
      <c r="BG348" s="16"/>
      <c r="BH348" s="12">
        <f t="shared" si="134"/>
        <v>0</v>
      </c>
      <c r="BI348" s="19">
        <f t="shared" si="135"/>
        <v>0</v>
      </c>
      <c r="BJ348" s="1" t="s">
        <v>35</v>
      </c>
      <c r="BK348">
        <f t="shared" si="136"/>
        <v>0</v>
      </c>
      <c r="BL348">
        <f t="shared" si="137"/>
        <v>0</v>
      </c>
    </row>
    <row r="349" spans="1:64" x14ac:dyDescent="0.25">
      <c r="A349" s="1" t="s">
        <v>1049</v>
      </c>
      <c r="B349" s="1" t="s">
        <v>1048</v>
      </c>
      <c r="C349" s="13" t="s">
        <v>1047</v>
      </c>
      <c r="D349" s="15"/>
      <c r="E349" s="17"/>
      <c r="F349" s="3"/>
      <c r="G349" s="14"/>
      <c r="H349" s="16"/>
      <c r="I349" s="11">
        <v>46221</v>
      </c>
      <c r="J349" s="4">
        <v>17</v>
      </c>
      <c r="K349" s="18">
        <f>(F349-(0)+0-(J349*Ventas!AE346*1))</f>
        <v>0</v>
      </c>
      <c r="L349" s="3"/>
      <c r="M349" s="22">
        <f t="shared" si="138"/>
        <v>0</v>
      </c>
      <c r="N349" s="14"/>
      <c r="O349" s="25">
        <f t="shared" si="122"/>
        <v>0</v>
      </c>
      <c r="P349" s="16"/>
      <c r="Q349" s="12">
        <f t="shared" si="123"/>
        <v>0</v>
      </c>
      <c r="R349" s="5">
        <v>0</v>
      </c>
      <c r="S349" s="24">
        <v>0</v>
      </c>
      <c r="T349" s="26">
        <v>0</v>
      </c>
      <c r="U349" s="18">
        <f t="shared" si="124"/>
        <v>0</v>
      </c>
      <c r="V349" s="22">
        <f t="shared" si="125"/>
        <v>0</v>
      </c>
      <c r="W349" s="25">
        <f t="shared" si="126"/>
        <v>0</v>
      </c>
      <c r="X349" s="3"/>
      <c r="Y349" s="14"/>
      <c r="Z349" s="14"/>
      <c r="AA349" s="3"/>
      <c r="AB349" s="3"/>
      <c r="AC349" s="11">
        <v>46313</v>
      </c>
      <c r="AD349" s="4">
        <v>92</v>
      </c>
      <c r="AE349" s="18">
        <f>(IF(K349&gt;0,K349+R349,R349)-(AD349*Ventas!AE346*1.0489))</f>
        <v>0</v>
      </c>
      <c r="AF349" s="3"/>
      <c r="AG349" s="22">
        <f t="shared" si="139"/>
        <v>0</v>
      </c>
      <c r="AH349" s="14"/>
      <c r="AI349" s="25">
        <f t="shared" si="127"/>
        <v>0</v>
      </c>
      <c r="AJ349" s="16"/>
      <c r="AK349" s="12">
        <f t="shared" si="128"/>
        <v>0</v>
      </c>
      <c r="AL349" s="19">
        <f t="shared" si="129"/>
        <v>0</v>
      </c>
      <c r="AM349" s="18">
        <f>(180*(Ventas!AE346*0.9644) - IF(AE349&gt;0,AE349,0))</f>
        <v>0</v>
      </c>
      <c r="AN349" s="18">
        <f t="shared" si="140"/>
        <v>0</v>
      </c>
      <c r="AO349" s="14"/>
      <c r="AP349" s="14">
        <f t="shared" si="131"/>
        <v>0</v>
      </c>
      <c r="AQ349" s="16">
        <f t="shared" si="132"/>
        <v>0</v>
      </c>
      <c r="AR349" s="37">
        <f>_xlfn.XLOOKUP(C349,[1]Hoja2!$C$6:$C$24,[1]Hoja2!$D$6:$D$24,0,2,1)</f>
        <v>0</v>
      </c>
      <c r="AS349" s="18">
        <f t="shared" si="133"/>
        <v>0</v>
      </c>
      <c r="AT349" s="14"/>
      <c r="AU349" s="37">
        <f>_xlfn.XLOOKUP(D349,[1]Hoja2!$E$6:$E$24,[1]Hoja2!$F$6:$F$24,0,2,1)</f>
        <v>0</v>
      </c>
      <c r="AV349" s="3">
        <v>0</v>
      </c>
      <c r="AW349" s="3"/>
      <c r="AX349" s="14">
        <v>0</v>
      </c>
      <c r="AY349" s="14"/>
      <c r="AZ349" s="16">
        <f>_xlfn.XLOOKUP(C349,[2]PI!$B$15:$B$99,[2]PI!$L$15:$L$99,0,2,1)</f>
        <v>0</v>
      </c>
      <c r="BA349" s="16">
        <f>_xlfn.XLOOKUP(D349,[2]PI!$B$15:$B$99,[2]PI!$L$15:$L$99,0,2,1)</f>
        <v>0</v>
      </c>
      <c r="BB349" s="3"/>
      <c r="BC349" s="3"/>
      <c r="BD349" s="14"/>
      <c r="BE349" s="14"/>
      <c r="BF349" s="16"/>
      <c r="BG349" s="16"/>
      <c r="BH349" s="12">
        <f t="shared" si="134"/>
        <v>0</v>
      </c>
      <c r="BI349" s="19">
        <f t="shared" si="135"/>
        <v>0</v>
      </c>
      <c r="BJ349" s="1" t="s">
        <v>35</v>
      </c>
      <c r="BK349">
        <f t="shared" si="136"/>
        <v>0</v>
      </c>
      <c r="BL349">
        <f t="shared" si="137"/>
        <v>0</v>
      </c>
    </row>
    <row r="350" spans="1:64" x14ac:dyDescent="0.25">
      <c r="A350" s="1" t="s">
        <v>1052</v>
      </c>
      <c r="B350" s="1" t="s">
        <v>1051</v>
      </c>
      <c r="C350" s="13" t="s">
        <v>1050</v>
      </c>
      <c r="D350" s="15"/>
      <c r="E350" s="17"/>
      <c r="F350" s="3"/>
      <c r="G350" s="14"/>
      <c r="H350" s="16"/>
      <c r="I350" s="11">
        <v>46221</v>
      </c>
      <c r="J350" s="4">
        <v>17</v>
      </c>
      <c r="K350" s="18">
        <f>(F350-(0)+0-(J350*Ventas!AE347*1))</f>
        <v>0</v>
      </c>
      <c r="L350" s="3"/>
      <c r="M350" s="22">
        <f t="shared" si="138"/>
        <v>0</v>
      </c>
      <c r="N350" s="14"/>
      <c r="O350" s="25">
        <f t="shared" si="122"/>
        <v>0</v>
      </c>
      <c r="P350" s="16"/>
      <c r="Q350" s="12">
        <f t="shared" si="123"/>
        <v>0</v>
      </c>
      <c r="R350" s="5">
        <v>0</v>
      </c>
      <c r="S350" s="24">
        <v>0</v>
      </c>
      <c r="T350" s="26">
        <v>0</v>
      </c>
      <c r="U350" s="18">
        <f t="shared" si="124"/>
        <v>0</v>
      </c>
      <c r="V350" s="22">
        <f t="shared" si="125"/>
        <v>0</v>
      </c>
      <c r="W350" s="25">
        <f t="shared" si="126"/>
        <v>0</v>
      </c>
      <c r="X350" s="3"/>
      <c r="Y350" s="14"/>
      <c r="Z350" s="14"/>
      <c r="AA350" s="3"/>
      <c r="AB350" s="3"/>
      <c r="AC350" s="11">
        <v>46313</v>
      </c>
      <c r="AD350" s="4">
        <v>92</v>
      </c>
      <c r="AE350" s="18">
        <f>(IF(K350&gt;0,K350+R350,R350)-(AD350*Ventas!AE347*1.0489))</f>
        <v>0</v>
      </c>
      <c r="AF350" s="3"/>
      <c r="AG350" s="22">
        <f t="shared" si="139"/>
        <v>0</v>
      </c>
      <c r="AH350" s="14"/>
      <c r="AI350" s="25">
        <f t="shared" si="127"/>
        <v>0</v>
      </c>
      <c r="AJ350" s="16"/>
      <c r="AK350" s="12">
        <f t="shared" si="128"/>
        <v>0</v>
      </c>
      <c r="AL350" s="19">
        <f t="shared" si="129"/>
        <v>0</v>
      </c>
      <c r="AM350" s="18">
        <f>(180*(Ventas!AE347*0.9644) - IF(AE350&gt;0,AE350,0))</f>
        <v>0</v>
      </c>
      <c r="AN350" s="18">
        <f t="shared" si="140"/>
        <v>0</v>
      </c>
      <c r="AO350" s="14"/>
      <c r="AP350" s="14">
        <f t="shared" si="131"/>
        <v>0</v>
      </c>
      <c r="AQ350" s="16">
        <f t="shared" si="132"/>
        <v>0</v>
      </c>
      <c r="AR350" s="37">
        <f>_xlfn.XLOOKUP(C350,[1]Hoja2!$C$6:$C$24,[1]Hoja2!$D$6:$D$24,0,2,1)</f>
        <v>0</v>
      </c>
      <c r="AS350" s="18">
        <f t="shared" si="133"/>
        <v>0</v>
      </c>
      <c r="AT350" s="14"/>
      <c r="AU350" s="37">
        <f>_xlfn.XLOOKUP(D350,[1]Hoja2!$E$6:$E$24,[1]Hoja2!$F$6:$F$24,0,2,1)</f>
        <v>0</v>
      </c>
      <c r="AV350" s="3">
        <v>0</v>
      </c>
      <c r="AW350" s="3"/>
      <c r="AX350" s="14">
        <v>0</v>
      </c>
      <c r="AY350" s="14"/>
      <c r="AZ350" s="16">
        <f>_xlfn.XLOOKUP(C350,[2]PI!$B$15:$B$99,[2]PI!$L$15:$L$99,0,2,1)</f>
        <v>0</v>
      </c>
      <c r="BA350" s="16">
        <f>_xlfn.XLOOKUP(D350,[2]PI!$B$15:$B$99,[2]PI!$L$15:$L$99,0,2,1)</f>
        <v>0</v>
      </c>
      <c r="BB350" s="3"/>
      <c r="BC350" s="3"/>
      <c r="BD350" s="14"/>
      <c r="BE350" s="14"/>
      <c r="BF350" s="16"/>
      <c r="BG350" s="16"/>
      <c r="BH350" s="12">
        <f t="shared" si="134"/>
        <v>0</v>
      </c>
      <c r="BI350" s="19">
        <f t="shared" si="135"/>
        <v>0</v>
      </c>
      <c r="BJ350" s="1" t="s">
        <v>35</v>
      </c>
      <c r="BK350">
        <f t="shared" si="136"/>
        <v>0</v>
      </c>
      <c r="BL350">
        <f t="shared" si="137"/>
        <v>0</v>
      </c>
    </row>
    <row r="351" spans="1:64" x14ac:dyDescent="0.25">
      <c r="A351" s="1" t="s">
        <v>1055</v>
      </c>
      <c r="B351" s="1" t="s">
        <v>1054</v>
      </c>
      <c r="C351" s="13" t="s">
        <v>1053</v>
      </c>
      <c r="D351" s="15"/>
      <c r="E351" s="17"/>
      <c r="F351" s="3"/>
      <c r="G351" s="14"/>
      <c r="H351" s="16"/>
      <c r="I351" s="11">
        <v>46221</v>
      </c>
      <c r="J351" s="4">
        <v>17</v>
      </c>
      <c r="K351" s="18">
        <f>(F351-(0)+0-(J351*Ventas!AE348*1))</f>
        <v>0</v>
      </c>
      <c r="L351" s="3"/>
      <c r="M351" s="22">
        <f t="shared" si="138"/>
        <v>0</v>
      </c>
      <c r="N351" s="14"/>
      <c r="O351" s="25">
        <f t="shared" si="122"/>
        <v>0</v>
      </c>
      <c r="P351" s="16"/>
      <c r="Q351" s="12">
        <f t="shared" si="123"/>
        <v>0</v>
      </c>
      <c r="R351" s="5">
        <v>0</v>
      </c>
      <c r="S351" s="24">
        <v>0</v>
      </c>
      <c r="T351" s="26">
        <v>0</v>
      </c>
      <c r="U351" s="18">
        <f t="shared" si="124"/>
        <v>0</v>
      </c>
      <c r="V351" s="22">
        <f t="shared" si="125"/>
        <v>0</v>
      </c>
      <c r="W351" s="25">
        <f t="shared" si="126"/>
        <v>0</v>
      </c>
      <c r="X351" s="3"/>
      <c r="Y351" s="14"/>
      <c r="Z351" s="14"/>
      <c r="AA351" s="3"/>
      <c r="AB351" s="3"/>
      <c r="AC351" s="11">
        <v>46313</v>
      </c>
      <c r="AD351" s="4">
        <v>92</v>
      </c>
      <c r="AE351" s="18">
        <f>(IF(K351&gt;0,K351+R351,R351)-(AD351*Ventas!AE348*1.0489))</f>
        <v>0</v>
      </c>
      <c r="AF351" s="3"/>
      <c r="AG351" s="22">
        <f t="shared" si="139"/>
        <v>0</v>
      </c>
      <c r="AH351" s="14"/>
      <c r="AI351" s="25">
        <f t="shared" si="127"/>
        <v>0</v>
      </c>
      <c r="AJ351" s="16"/>
      <c r="AK351" s="12">
        <f t="shared" si="128"/>
        <v>0</v>
      </c>
      <c r="AL351" s="19">
        <f t="shared" si="129"/>
        <v>0</v>
      </c>
      <c r="AM351" s="18">
        <f>(180*(Ventas!AE348*0.9644) - IF(AE351&gt;0,AE351,0))</f>
        <v>0</v>
      </c>
      <c r="AN351" s="18">
        <f t="shared" si="140"/>
        <v>0</v>
      </c>
      <c r="AO351" s="14"/>
      <c r="AP351" s="14">
        <f t="shared" si="131"/>
        <v>0</v>
      </c>
      <c r="AQ351" s="16">
        <f t="shared" si="132"/>
        <v>0</v>
      </c>
      <c r="AR351" s="37">
        <f>_xlfn.XLOOKUP(C351,[1]Hoja2!$C$6:$C$24,[1]Hoja2!$D$6:$D$24,0,2,1)</f>
        <v>0</v>
      </c>
      <c r="AS351" s="18">
        <f t="shared" si="133"/>
        <v>0</v>
      </c>
      <c r="AT351" s="14"/>
      <c r="AU351" s="37">
        <f>_xlfn.XLOOKUP(D351,[1]Hoja2!$E$6:$E$24,[1]Hoja2!$F$6:$F$24,0,2,1)</f>
        <v>0</v>
      </c>
      <c r="AV351" s="3">
        <v>0</v>
      </c>
      <c r="AW351" s="3"/>
      <c r="AX351" s="14">
        <v>0</v>
      </c>
      <c r="AY351" s="14"/>
      <c r="AZ351" s="16">
        <f>_xlfn.XLOOKUP(C351,[2]PI!$B$15:$B$99,[2]PI!$L$15:$L$99,0,2,1)</f>
        <v>0</v>
      </c>
      <c r="BA351" s="16">
        <f>_xlfn.XLOOKUP(D351,[2]PI!$B$15:$B$99,[2]PI!$L$15:$L$99,0,2,1)</f>
        <v>0</v>
      </c>
      <c r="BB351" s="3"/>
      <c r="BC351" s="3"/>
      <c r="BD351" s="14"/>
      <c r="BE351" s="14"/>
      <c r="BF351" s="16"/>
      <c r="BG351" s="16"/>
      <c r="BH351" s="12">
        <f t="shared" si="134"/>
        <v>0</v>
      </c>
      <c r="BI351" s="19">
        <f t="shared" si="135"/>
        <v>0</v>
      </c>
      <c r="BJ351" s="1" t="s">
        <v>35</v>
      </c>
      <c r="BK351">
        <f t="shared" si="136"/>
        <v>0</v>
      </c>
      <c r="BL351">
        <f t="shared" si="137"/>
        <v>0</v>
      </c>
    </row>
    <row r="352" spans="1:64" x14ac:dyDescent="0.25">
      <c r="A352" s="1" t="s">
        <v>1058</v>
      </c>
      <c r="B352" s="1" t="s">
        <v>1057</v>
      </c>
      <c r="C352" s="13" t="s">
        <v>1056</v>
      </c>
      <c r="D352" s="15"/>
      <c r="E352" s="17"/>
      <c r="F352" s="3"/>
      <c r="G352" s="14"/>
      <c r="H352" s="16"/>
      <c r="I352" s="11">
        <v>46221</v>
      </c>
      <c r="J352" s="4">
        <v>17</v>
      </c>
      <c r="K352" s="18">
        <f>(F352-(0)+0-(J352*Ventas!AE349*1))</f>
        <v>0</v>
      </c>
      <c r="L352" s="3"/>
      <c r="M352" s="22">
        <f t="shared" si="138"/>
        <v>0</v>
      </c>
      <c r="N352" s="14"/>
      <c r="O352" s="25">
        <f t="shared" si="122"/>
        <v>0</v>
      </c>
      <c r="P352" s="16"/>
      <c r="Q352" s="12">
        <f t="shared" si="123"/>
        <v>0</v>
      </c>
      <c r="R352" s="5">
        <v>0</v>
      </c>
      <c r="S352" s="24">
        <v>0</v>
      </c>
      <c r="T352" s="26">
        <v>0</v>
      </c>
      <c r="U352" s="18">
        <f t="shared" si="124"/>
        <v>0</v>
      </c>
      <c r="V352" s="22">
        <f t="shared" si="125"/>
        <v>0</v>
      </c>
      <c r="W352" s="25">
        <f t="shared" si="126"/>
        <v>0</v>
      </c>
      <c r="X352" s="3"/>
      <c r="Y352" s="14"/>
      <c r="Z352" s="14"/>
      <c r="AA352" s="3"/>
      <c r="AB352" s="3"/>
      <c r="AC352" s="11">
        <v>46313</v>
      </c>
      <c r="AD352" s="4">
        <v>92</v>
      </c>
      <c r="AE352" s="18">
        <f>(IF(K352&gt;0,K352+R352,R352)-(AD352*Ventas!AE349*1.0489))</f>
        <v>0</v>
      </c>
      <c r="AF352" s="3"/>
      <c r="AG352" s="22">
        <f t="shared" si="139"/>
        <v>0</v>
      </c>
      <c r="AH352" s="14"/>
      <c r="AI352" s="25">
        <f t="shared" si="127"/>
        <v>0</v>
      </c>
      <c r="AJ352" s="16"/>
      <c r="AK352" s="12">
        <f t="shared" si="128"/>
        <v>0</v>
      </c>
      <c r="AL352" s="19">
        <f t="shared" si="129"/>
        <v>0</v>
      </c>
      <c r="AM352" s="18">
        <f>(180*(Ventas!AE349*0.9644) - IF(AE352&gt;0,AE352,0))</f>
        <v>0</v>
      </c>
      <c r="AN352" s="18">
        <f t="shared" si="140"/>
        <v>0</v>
      </c>
      <c r="AO352" s="14"/>
      <c r="AP352" s="14">
        <f t="shared" si="131"/>
        <v>0</v>
      </c>
      <c r="AQ352" s="16">
        <f t="shared" si="132"/>
        <v>0</v>
      </c>
      <c r="AR352" s="37">
        <f>_xlfn.XLOOKUP(C352,[1]Hoja2!$C$6:$C$24,[1]Hoja2!$D$6:$D$24,0,2,1)</f>
        <v>0</v>
      </c>
      <c r="AS352" s="18">
        <f t="shared" si="133"/>
        <v>0</v>
      </c>
      <c r="AT352" s="14"/>
      <c r="AU352" s="37">
        <f>_xlfn.XLOOKUP(D352,[1]Hoja2!$E$6:$E$24,[1]Hoja2!$F$6:$F$24,0,2,1)</f>
        <v>0</v>
      </c>
      <c r="AV352" s="3">
        <v>0</v>
      </c>
      <c r="AW352" s="3"/>
      <c r="AX352" s="14">
        <v>0</v>
      </c>
      <c r="AY352" s="14"/>
      <c r="AZ352" s="16">
        <f>_xlfn.XLOOKUP(C352,[2]PI!$B$15:$B$99,[2]PI!$L$15:$L$99,0,2,1)</f>
        <v>0</v>
      </c>
      <c r="BA352" s="16">
        <f>_xlfn.XLOOKUP(D352,[2]PI!$B$15:$B$99,[2]PI!$L$15:$L$99,0,2,1)</f>
        <v>0</v>
      </c>
      <c r="BB352" s="3"/>
      <c r="BC352" s="3"/>
      <c r="BD352" s="14"/>
      <c r="BE352" s="14"/>
      <c r="BF352" s="16"/>
      <c r="BG352" s="16"/>
      <c r="BH352" s="12">
        <f t="shared" si="134"/>
        <v>0</v>
      </c>
      <c r="BI352" s="19">
        <f t="shared" si="135"/>
        <v>0</v>
      </c>
      <c r="BJ352" s="1" t="s">
        <v>51</v>
      </c>
      <c r="BK352">
        <f t="shared" si="136"/>
        <v>0</v>
      </c>
      <c r="BL352">
        <f t="shared" si="137"/>
        <v>0</v>
      </c>
    </row>
    <row r="353" spans="1:64" x14ac:dyDescent="0.25">
      <c r="A353" s="1" t="s">
        <v>1061</v>
      </c>
      <c r="B353" s="1" t="s">
        <v>1060</v>
      </c>
      <c r="C353" s="13" t="s">
        <v>1059</v>
      </c>
      <c r="D353" s="15"/>
      <c r="E353" s="17"/>
      <c r="F353" s="3"/>
      <c r="G353" s="14"/>
      <c r="H353" s="16"/>
      <c r="I353" s="11">
        <v>46221</v>
      </c>
      <c r="J353" s="4">
        <v>17</v>
      </c>
      <c r="K353" s="18">
        <f>(F353-(0)+0-(J353*Ventas!AE350*1))</f>
        <v>0</v>
      </c>
      <c r="L353" s="3"/>
      <c r="M353" s="22">
        <f t="shared" si="138"/>
        <v>0</v>
      </c>
      <c r="N353" s="14"/>
      <c r="O353" s="25">
        <f t="shared" si="122"/>
        <v>0</v>
      </c>
      <c r="P353" s="16"/>
      <c r="Q353" s="12">
        <f t="shared" si="123"/>
        <v>0</v>
      </c>
      <c r="R353" s="5">
        <v>0</v>
      </c>
      <c r="S353" s="24">
        <v>0</v>
      </c>
      <c r="T353" s="26">
        <v>0</v>
      </c>
      <c r="U353" s="18">
        <f t="shared" si="124"/>
        <v>0</v>
      </c>
      <c r="V353" s="22">
        <f t="shared" si="125"/>
        <v>0</v>
      </c>
      <c r="W353" s="25">
        <f t="shared" si="126"/>
        <v>0</v>
      </c>
      <c r="X353" s="3"/>
      <c r="Y353" s="14"/>
      <c r="Z353" s="14"/>
      <c r="AA353" s="3"/>
      <c r="AB353" s="3"/>
      <c r="AC353" s="11">
        <v>46313</v>
      </c>
      <c r="AD353" s="4">
        <v>92</v>
      </c>
      <c r="AE353" s="18">
        <f>(IF(K353&gt;0,K353+R353,R353)-(AD353*Ventas!AE350*1.0489))</f>
        <v>0</v>
      </c>
      <c r="AF353" s="3"/>
      <c r="AG353" s="22">
        <f t="shared" si="139"/>
        <v>0</v>
      </c>
      <c r="AH353" s="14"/>
      <c r="AI353" s="25">
        <f t="shared" si="127"/>
        <v>0</v>
      </c>
      <c r="AJ353" s="16"/>
      <c r="AK353" s="12">
        <f t="shared" si="128"/>
        <v>0</v>
      </c>
      <c r="AL353" s="19">
        <f t="shared" si="129"/>
        <v>0</v>
      </c>
      <c r="AM353" s="18">
        <f>(180*(Ventas!AE350*0.9644) - IF(AE353&gt;0,AE353,0))</f>
        <v>0</v>
      </c>
      <c r="AN353" s="18">
        <f t="shared" si="140"/>
        <v>0</v>
      </c>
      <c r="AO353" s="14"/>
      <c r="AP353" s="14">
        <f t="shared" si="131"/>
        <v>0</v>
      </c>
      <c r="AQ353" s="16">
        <f t="shared" si="132"/>
        <v>0</v>
      </c>
      <c r="AR353" s="37">
        <f>_xlfn.XLOOKUP(C353,[1]Hoja2!$C$6:$C$24,[1]Hoja2!$D$6:$D$24,0,2,1)</f>
        <v>0</v>
      </c>
      <c r="AS353" s="18">
        <f t="shared" si="133"/>
        <v>0</v>
      </c>
      <c r="AT353" s="14"/>
      <c r="AU353" s="37">
        <f>_xlfn.XLOOKUP(D353,[1]Hoja2!$E$6:$E$24,[1]Hoja2!$F$6:$F$24,0,2,1)</f>
        <v>0</v>
      </c>
      <c r="AV353" s="3">
        <v>0</v>
      </c>
      <c r="AW353" s="3"/>
      <c r="AX353" s="14">
        <v>0</v>
      </c>
      <c r="AY353" s="14"/>
      <c r="AZ353" s="16">
        <f>_xlfn.XLOOKUP(C353,[2]PI!$B$15:$B$99,[2]PI!$L$15:$L$99,0,2,1)</f>
        <v>0</v>
      </c>
      <c r="BA353" s="16">
        <f>_xlfn.XLOOKUP(D353,[2]PI!$B$15:$B$99,[2]PI!$L$15:$L$99,0,2,1)</f>
        <v>0</v>
      </c>
      <c r="BB353" s="3"/>
      <c r="BC353" s="3"/>
      <c r="BD353" s="14"/>
      <c r="BE353" s="14"/>
      <c r="BF353" s="16"/>
      <c r="BG353" s="16"/>
      <c r="BH353" s="12">
        <f t="shared" si="134"/>
        <v>0</v>
      </c>
      <c r="BI353" s="19">
        <f t="shared" si="135"/>
        <v>0</v>
      </c>
      <c r="BJ353" s="1" t="s">
        <v>51</v>
      </c>
      <c r="BK353">
        <f t="shared" si="136"/>
        <v>0</v>
      </c>
      <c r="BL353">
        <f t="shared" si="137"/>
        <v>0</v>
      </c>
    </row>
    <row r="354" spans="1:64" x14ac:dyDescent="0.25">
      <c r="A354" s="1" t="s">
        <v>1064</v>
      </c>
      <c r="B354" s="1" t="s">
        <v>1063</v>
      </c>
      <c r="C354" s="13" t="s">
        <v>1062</v>
      </c>
      <c r="D354" s="15"/>
      <c r="E354" s="17"/>
      <c r="F354" s="3"/>
      <c r="G354" s="14"/>
      <c r="H354" s="16"/>
      <c r="I354" s="11">
        <v>46221</v>
      </c>
      <c r="J354" s="4">
        <v>17</v>
      </c>
      <c r="K354" s="18">
        <f>(F354-(0)+0-(J354*Ventas!AE351*1))</f>
        <v>0</v>
      </c>
      <c r="L354" s="3"/>
      <c r="M354" s="22">
        <f t="shared" si="138"/>
        <v>0</v>
      </c>
      <c r="N354" s="14"/>
      <c r="O354" s="25">
        <f t="shared" si="122"/>
        <v>0</v>
      </c>
      <c r="P354" s="16"/>
      <c r="Q354" s="12">
        <f t="shared" si="123"/>
        <v>0</v>
      </c>
      <c r="R354" s="5">
        <v>0</v>
      </c>
      <c r="S354" s="24">
        <v>0</v>
      </c>
      <c r="T354" s="26">
        <v>0</v>
      </c>
      <c r="U354" s="18">
        <f t="shared" si="124"/>
        <v>0</v>
      </c>
      <c r="V354" s="22">
        <f t="shared" si="125"/>
        <v>0</v>
      </c>
      <c r="W354" s="25">
        <f t="shared" si="126"/>
        <v>0</v>
      </c>
      <c r="X354" s="3"/>
      <c r="Y354" s="14"/>
      <c r="Z354" s="14"/>
      <c r="AA354" s="3"/>
      <c r="AB354" s="3"/>
      <c r="AC354" s="11">
        <v>46313</v>
      </c>
      <c r="AD354" s="4">
        <v>92</v>
      </c>
      <c r="AE354" s="18">
        <f>(IF(K354&gt;0,K354+R354,R354)-(AD354*Ventas!AE351*1.0489))</f>
        <v>0</v>
      </c>
      <c r="AF354" s="3"/>
      <c r="AG354" s="22">
        <f t="shared" si="139"/>
        <v>0</v>
      </c>
      <c r="AH354" s="14"/>
      <c r="AI354" s="25">
        <f t="shared" si="127"/>
        <v>0</v>
      </c>
      <c r="AJ354" s="16"/>
      <c r="AK354" s="12">
        <f t="shared" si="128"/>
        <v>0</v>
      </c>
      <c r="AL354" s="19">
        <f t="shared" si="129"/>
        <v>0</v>
      </c>
      <c r="AM354" s="18">
        <f>(180*(Ventas!AE351*0.9644) - IF(AE354&gt;0,AE354,0))</f>
        <v>0</v>
      </c>
      <c r="AN354" s="18">
        <f t="shared" si="140"/>
        <v>0</v>
      </c>
      <c r="AO354" s="14"/>
      <c r="AP354" s="14">
        <f t="shared" si="131"/>
        <v>0</v>
      </c>
      <c r="AQ354" s="16">
        <f t="shared" si="132"/>
        <v>0</v>
      </c>
      <c r="AR354" s="37">
        <f>_xlfn.XLOOKUP(C354,[1]Hoja2!$C$6:$C$24,[1]Hoja2!$D$6:$D$24,0,2,1)</f>
        <v>0</v>
      </c>
      <c r="AS354" s="18">
        <f t="shared" si="133"/>
        <v>0</v>
      </c>
      <c r="AT354" s="14"/>
      <c r="AU354" s="37">
        <f>_xlfn.XLOOKUP(D354,[1]Hoja2!$E$6:$E$24,[1]Hoja2!$F$6:$F$24,0,2,1)</f>
        <v>0</v>
      </c>
      <c r="AV354" s="3">
        <v>0</v>
      </c>
      <c r="AW354" s="3"/>
      <c r="AX354" s="14">
        <v>0</v>
      </c>
      <c r="AY354" s="14"/>
      <c r="AZ354" s="16">
        <f>_xlfn.XLOOKUP(C354,[2]PI!$B$15:$B$99,[2]PI!$L$15:$L$99,0,2,1)</f>
        <v>0</v>
      </c>
      <c r="BA354" s="16">
        <f>_xlfn.XLOOKUP(D354,[2]PI!$B$15:$B$99,[2]PI!$L$15:$L$99,0,2,1)</f>
        <v>0</v>
      </c>
      <c r="BB354" s="3"/>
      <c r="BC354" s="3"/>
      <c r="BD354" s="14"/>
      <c r="BE354" s="14"/>
      <c r="BF354" s="16"/>
      <c r="BG354" s="16"/>
      <c r="BH354" s="12">
        <f t="shared" si="134"/>
        <v>0</v>
      </c>
      <c r="BI354" s="19">
        <f t="shared" si="135"/>
        <v>0</v>
      </c>
      <c r="BJ354" s="1" t="s">
        <v>35</v>
      </c>
      <c r="BK354">
        <f t="shared" si="136"/>
        <v>0</v>
      </c>
      <c r="BL354">
        <f t="shared" si="137"/>
        <v>0</v>
      </c>
    </row>
    <row r="355" spans="1:64" x14ac:dyDescent="0.25">
      <c r="A355" s="1" t="s">
        <v>1067</v>
      </c>
      <c r="B355" s="1" t="s">
        <v>1066</v>
      </c>
      <c r="C355" s="13" t="s">
        <v>1065</v>
      </c>
      <c r="D355" s="15"/>
      <c r="E355" s="17"/>
      <c r="F355" s="5">
        <v>-2</v>
      </c>
      <c r="G355" s="14"/>
      <c r="H355" s="16"/>
      <c r="I355" s="11">
        <v>46221</v>
      </c>
      <c r="J355" s="4">
        <v>17</v>
      </c>
      <c r="K355" s="18">
        <f>(F355-(0)+0-(J355*Ventas!AE352*1))</f>
        <v>-2</v>
      </c>
      <c r="L355" s="3"/>
      <c r="M355" s="22">
        <f t="shared" si="138"/>
        <v>0</v>
      </c>
      <c r="N355" s="14"/>
      <c r="O355" s="25">
        <f t="shared" si="122"/>
        <v>0</v>
      </c>
      <c r="P355" s="16"/>
      <c r="Q355" s="12">
        <f t="shared" si="123"/>
        <v>-2</v>
      </c>
      <c r="R355" s="5">
        <v>0</v>
      </c>
      <c r="S355" s="24">
        <v>0</v>
      </c>
      <c r="T355" s="26">
        <v>0</v>
      </c>
      <c r="U355" s="18">
        <f t="shared" si="124"/>
        <v>0</v>
      </c>
      <c r="V355" s="22">
        <f t="shared" si="125"/>
        <v>0</v>
      </c>
      <c r="W355" s="25">
        <f t="shared" si="126"/>
        <v>0</v>
      </c>
      <c r="X355" s="3"/>
      <c r="Y355" s="14"/>
      <c r="Z355" s="14"/>
      <c r="AA355" s="3"/>
      <c r="AB355" s="3"/>
      <c r="AC355" s="11">
        <v>46313</v>
      </c>
      <c r="AD355" s="4">
        <v>92</v>
      </c>
      <c r="AE355" s="18">
        <f>(IF(K355&gt;0,K355+R355,R355)-(AD355*Ventas!AE352*1.0489))</f>
        <v>0</v>
      </c>
      <c r="AF355" s="3"/>
      <c r="AG355" s="22">
        <f t="shared" si="139"/>
        <v>0</v>
      </c>
      <c r="AH355" s="14"/>
      <c r="AI355" s="25">
        <f t="shared" si="127"/>
        <v>0</v>
      </c>
      <c r="AJ355" s="16"/>
      <c r="AK355" s="12">
        <f t="shared" si="128"/>
        <v>0</v>
      </c>
      <c r="AL355" s="19">
        <f t="shared" si="129"/>
        <v>0</v>
      </c>
      <c r="AM355" s="18">
        <f>(180*(Ventas!AE352*0.9644) - IF(AE355&gt;0,AE355,0))</f>
        <v>0</v>
      </c>
      <c r="AN355" s="18">
        <f t="shared" si="140"/>
        <v>0</v>
      </c>
      <c r="AO355" s="14"/>
      <c r="AP355" s="14">
        <f t="shared" si="131"/>
        <v>0</v>
      </c>
      <c r="AQ355" s="16">
        <f t="shared" si="132"/>
        <v>0</v>
      </c>
      <c r="AR355" s="37">
        <f>_xlfn.XLOOKUP(C355,[1]Hoja2!$C$6:$C$24,[1]Hoja2!$D$6:$D$24,0,2,1)</f>
        <v>0</v>
      </c>
      <c r="AS355" s="18">
        <f t="shared" si="133"/>
        <v>0</v>
      </c>
      <c r="AT355" s="14"/>
      <c r="AU355" s="37">
        <f>_xlfn.XLOOKUP(D355,[1]Hoja2!$E$6:$E$24,[1]Hoja2!$F$6:$F$24,0,2,1)</f>
        <v>0</v>
      </c>
      <c r="AV355" s="27">
        <v>0</v>
      </c>
      <c r="AW355" s="5">
        <v>3022</v>
      </c>
      <c r="AX355" s="14">
        <v>0</v>
      </c>
      <c r="AY355" s="14"/>
      <c r="AZ355" s="16">
        <f>_xlfn.XLOOKUP(C355,[2]PI!$B$15:$B$99,[2]PI!$L$15:$L$99,0,2,1)</f>
        <v>0</v>
      </c>
      <c r="BA355" s="16">
        <f>_xlfn.XLOOKUP(D355,[2]PI!$B$15:$B$99,[2]PI!$L$15:$L$99,0,2,1)</f>
        <v>0</v>
      </c>
      <c r="BB355" s="3"/>
      <c r="BC355" s="3"/>
      <c r="BD355" s="14"/>
      <c r="BE355" s="14"/>
      <c r="BF355" s="16"/>
      <c r="BG355" s="16"/>
      <c r="BH355" s="12">
        <f t="shared" si="134"/>
        <v>0</v>
      </c>
      <c r="BI355" s="19">
        <f t="shared" si="135"/>
        <v>0</v>
      </c>
      <c r="BJ355" s="1" t="s">
        <v>35</v>
      </c>
      <c r="BK355">
        <f t="shared" si="136"/>
        <v>0</v>
      </c>
      <c r="BL355">
        <f t="shared" si="137"/>
        <v>0</v>
      </c>
    </row>
    <row r="356" spans="1:64" x14ac:dyDescent="0.25">
      <c r="A356" s="1" t="s">
        <v>1070</v>
      </c>
      <c r="B356" s="1" t="s">
        <v>1069</v>
      </c>
      <c r="C356" s="13" t="s">
        <v>1068</v>
      </c>
      <c r="D356" s="15"/>
      <c r="E356" s="17"/>
      <c r="F356" s="5">
        <v>1</v>
      </c>
      <c r="G356" s="14"/>
      <c r="H356" s="16"/>
      <c r="I356" s="11">
        <v>46221</v>
      </c>
      <c r="J356" s="4">
        <v>17</v>
      </c>
      <c r="K356" s="18">
        <f>(F356-(0)+0-(J356*Ventas!AE353*1))</f>
        <v>1</v>
      </c>
      <c r="L356" s="3"/>
      <c r="M356" s="22">
        <f t="shared" si="138"/>
        <v>0</v>
      </c>
      <c r="N356" s="14"/>
      <c r="O356" s="25">
        <f t="shared" si="122"/>
        <v>0</v>
      </c>
      <c r="P356" s="16"/>
      <c r="Q356" s="12">
        <f t="shared" si="123"/>
        <v>1</v>
      </c>
      <c r="R356" s="5">
        <v>0</v>
      </c>
      <c r="S356" s="24">
        <v>0</v>
      </c>
      <c r="T356" s="26">
        <v>0</v>
      </c>
      <c r="U356" s="18">
        <f t="shared" si="124"/>
        <v>1</v>
      </c>
      <c r="V356" s="22">
        <f t="shared" si="125"/>
        <v>0</v>
      </c>
      <c r="W356" s="25">
        <f t="shared" si="126"/>
        <v>0</v>
      </c>
      <c r="X356" s="3"/>
      <c r="Y356" s="14"/>
      <c r="Z356" s="14"/>
      <c r="AA356" s="3"/>
      <c r="AB356" s="3"/>
      <c r="AC356" s="11">
        <v>46313</v>
      </c>
      <c r="AD356" s="4">
        <v>92</v>
      </c>
      <c r="AE356" s="18">
        <f>(IF(K356&gt;0,K356+R356,R356)-(AD356*Ventas!AE353*1.0489))</f>
        <v>1</v>
      </c>
      <c r="AF356" s="3"/>
      <c r="AG356" s="22">
        <f t="shared" si="139"/>
        <v>0</v>
      </c>
      <c r="AH356" s="14"/>
      <c r="AI356" s="25">
        <f t="shared" si="127"/>
        <v>0</v>
      </c>
      <c r="AJ356" s="16"/>
      <c r="AK356" s="12">
        <f t="shared" si="128"/>
        <v>1</v>
      </c>
      <c r="AL356" s="19">
        <f t="shared" si="129"/>
        <v>0</v>
      </c>
      <c r="AM356" s="18">
        <f>(180*(Ventas!AE353*0.9644) - IF(AE356&gt;0,AE356,0))</f>
        <v>-1</v>
      </c>
      <c r="AN356" s="18">
        <f t="shared" si="140"/>
        <v>0</v>
      </c>
      <c r="AO356" s="14"/>
      <c r="AP356" s="14">
        <f t="shared" si="131"/>
        <v>0</v>
      </c>
      <c r="AQ356" s="16">
        <f t="shared" si="132"/>
        <v>0</v>
      </c>
      <c r="AR356" s="37">
        <f>_xlfn.XLOOKUP(C356,[1]Hoja2!$C$6:$C$24,[1]Hoja2!$D$6:$D$24,0,2,1)</f>
        <v>0</v>
      </c>
      <c r="AS356" s="18">
        <f t="shared" si="133"/>
        <v>1</v>
      </c>
      <c r="AT356" s="14"/>
      <c r="AU356" s="37">
        <f>_xlfn.XLOOKUP(D356,[1]Hoja2!$E$6:$E$24,[1]Hoja2!$F$6:$F$24,0,2,1)</f>
        <v>0</v>
      </c>
      <c r="AV356" s="3">
        <v>0</v>
      </c>
      <c r="AW356" s="3"/>
      <c r="AX356" s="14">
        <v>0</v>
      </c>
      <c r="AY356" s="14"/>
      <c r="AZ356" s="16">
        <f>_xlfn.XLOOKUP(C356,[2]PI!$B$15:$B$99,[2]PI!$L$15:$L$99,0,2,1)</f>
        <v>0</v>
      </c>
      <c r="BA356" s="16">
        <f>_xlfn.XLOOKUP(D356,[2]PI!$B$15:$B$99,[2]PI!$L$15:$L$99,0,2,1)</f>
        <v>0</v>
      </c>
      <c r="BB356" s="3"/>
      <c r="BC356" s="3"/>
      <c r="BD356" s="14"/>
      <c r="BE356" s="14"/>
      <c r="BF356" s="16"/>
      <c r="BG356" s="16"/>
      <c r="BH356" s="12">
        <f t="shared" si="134"/>
        <v>0</v>
      </c>
      <c r="BI356" s="19">
        <f t="shared" si="135"/>
        <v>0</v>
      </c>
      <c r="BJ356" s="1" t="s">
        <v>35</v>
      </c>
      <c r="BK356">
        <f t="shared" si="136"/>
        <v>0</v>
      </c>
      <c r="BL356">
        <f t="shared" si="137"/>
        <v>0</v>
      </c>
    </row>
    <row r="357" spans="1:64" x14ac:dyDescent="0.25">
      <c r="A357" s="1" t="s">
        <v>1073</v>
      </c>
      <c r="B357" s="1" t="s">
        <v>1072</v>
      </c>
      <c r="C357" s="13" t="s">
        <v>1071</v>
      </c>
      <c r="D357" s="15"/>
      <c r="E357" s="17"/>
      <c r="F357" s="3"/>
      <c r="G357" s="14"/>
      <c r="H357" s="16"/>
      <c r="I357" s="11">
        <v>46221</v>
      </c>
      <c r="J357" s="4">
        <v>17</v>
      </c>
      <c r="K357" s="18">
        <f>(F357-(0)+0-(J357*Ventas!AE354*1))</f>
        <v>0</v>
      </c>
      <c r="L357" s="3"/>
      <c r="M357" s="22">
        <f t="shared" si="138"/>
        <v>0</v>
      </c>
      <c r="N357" s="14"/>
      <c r="O357" s="25">
        <f t="shared" si="122"/>
        <v>0</v>
      </c>
      <c r="P357" s="16"/>
      <c r="Q357" s="12">
        <f t="shared" si="123"/>
        <v>0</v>
      </c>
      <c r="R357" s="5">
        <v>0</v>
      </c>
      <c r="S357" s="24">
        <v>0</v>
      </c>
      <c r="T357" s="26">
        <v>0</v>
      </c>
      <c r="U357" s="18">
        <f t="shared" si="124"/>
        <v>0</v>
      </c>
      <c r="V357" s="22">
        <f t="shared" si="125"/>
        <v>0</v>
      </c>
      <c r="W357" s="25">
        <f t="shared" si="126"/>
        <v>0</v>
      </c>
      <c r="X357" s="3"/>
      <c r="Y357" s="14"/>
      <c r="Z357" s="14"/>
      <c r="AA357" s="3"/>
      <c r="AB357" s="3"/>
      <c r="AC357" s="11">
        <v>46313</v>
      </c>
      <c r="AD357" s="4">
        <v>92</v>
      </c>
      <c r="AE357" s="18">
        <f>(IF(K357&gt;0,K357+R357,R357)-(AD357*Ventas!AE354*1.0489))</f>
        <v>0</v>
      </c>
      <c r="AF357" s="3"/>
      <c r="AG357" s="22">
        <f t="shared" si="139"/>
        <v>0</v>
      </c>
      <c r="AH357" s="14"/>
      <c r="AI357" s="25">
        <f t="shared" si="127"/>
        <v>0</v>
      </c>
      <c r="AJ357" s="16"/>
      <c r="AK357" s="12">
        <f t="shared" si="128"/>
        <v>0</v>
      </c>
      <c r="AL357" s="19">
        <f t="shared" si="129"/>
        <v>0</v>
      </c>
      <c r="AM357" s="18">
        <f>(180*(Ventas!AE354*0.9644) - IF(AE357&gt;0,AE357,0))</f>
        <v>0</v>
      </c>
      <c r="AN357" s="18">
        <f t="shared" si="140"/>
        <v>0</v>
      </c>
      <c r="AO357" s="14"/>
      <c r="AP357" s="14">
        <f t="shared" ref="AP357:AP388" si="141">IF(AO357&gt;3,CEILING(AO357,5),0)</f>
        <v>0</v>
      </c>
      <c r="AQ357" s="16">
        <f t="shared" si="132"/>
        <v>0</v>
      </c>
      <c r="AR357" s="37">
        <f>_xlfn.XLOOKUP(C357,[1]Hoja2!$C$6:$C$24,[1]Hoja2!$D$6:$D$24,0,2,1)</f>
        <v>0</v>
      </c>
      <c r="AS357" s="18">
        <f t="shared" si="133"/>
        <v>0</v>
      </c>
      <c r="AT357" s="14"/>
      <c r="AU357" s="37">
        <f>_xlfn.XLOOKUP(D357,[1]Hoja2!$E$6:$E$24,[1]Hoja2!$F$6:$F$24,0,2,1)</f>
        <v>0</v>
      </c>
      <c r="AV357" s="3">
        <v>0</v>
      </c>
      <c r="AW357" s="3"/>
      <c r="AX357" s="14">
        <v>0</v>
      </c>
      <c r="AY357" s="14"/>
      <c r="AZ357" s="16">
        <f>_xlfn.XLOOKUP(C357,[2]PI!$B$15:$B$99,[2]PI!$L$15:$L$99,0,2,1)</f>
        <v>0</v>
      </c>
      <c r="BA357" s="16">
        <f>_xlfn.XLOOKUP(D357,[2]PI!$B$15:$B$99,[2]PI!$L$15:$L$99,0,2,1)</f>
        <v>0</v>
      </c>
      <c r="BB357" s="3"/>
      <c r="BC357" s="3"/>
      <c r="BD357" s="14"/>
      <c r="BE357" s="14"/>
      <c r="BF357" s="16"/>
      <c r="BG357" s="16"/>
      <c r="BH357" s="12">
        <f t="shared" si="134"/>
        <v>0</v>
      </c>
      <c r="BI357" s="19">
        <f t="shared" si="135"/>
        <v>0</v>
      </c>
      <c r="BJ357" s="1" t="s">
        <v>35</v>
      </c>
      <c r="BK357">
        <f t="shared" si="136"/>
        <v>0</v>
      </c>
      <c r="BL357">
        <f t="shared" si="137"/>
        <v>0</v>
      </c>
    </row>
    <row r="358" spans="1:64" x14ac:dyDescent="0.25">
      <c r="A358" s="1" t="s">
        <v>1076</v>
      </c>
      <c r="B358" s="1" t="s">
        <v>1075</v>
      </c>
      <c r="C358" s="13" t="s">
        <v>1074</v>
      </c>
      <c r="D358" s="15"/>
      <c r="E358" s="17"/>
      <c r="F358" s="3"/>
      <c r="G358" s="14"/>
      <c r="H358" s="16"/>
      <c r="I358" s="11">
        <v>46221</v>
      </c>
      <c r="J358" s="4">
        <v>17</v>
      </c>
      <c r="K358" s="18">
        <f>(F358-(0)+0-(J358*Ventas!AE355*1))</f>
        <v>0</v>
      </c>
      <c r="L358" s="3"/>
      <c r="M358" s="22">
        <f t="shared" si="138"/>
        <v>0</v>
      </c>
      <c r="N358" s="14"/>
      <c r="O358" s="25">
        <f t="shared" si="122"/>
        <v>0</v>
      </c>
      <c r="P358" s="16"/>
      <c r="Q358" s="12">
        <f t="shared" si="123"/>
        <v>0</v>
      </c>
      <c r="R358" s="5">
        <v>0</v>
      </c>
      <c r="S358" s="24">
        <v>0</v>
      </c>
      <c r="T358" s="26">
        <v>0</v>
      </c>
      <c r="U358" s="18">
        <f t="shared" si="124"/>
        <v>0</v>
      </c>
      <c r="V358" s="22">
        <f t="shared" si="125"/>
        <v>0</v>
      </c>
      <c r="W358" s="25">
        <f t="shared" si="126"/>
        <v>0</v>
      </c>
      <c r="X358" s="3"/>
      <c r="Y358" s="14"/>
      <c r="Z358" s="14"/>
      <c r="AA358" s="3"/>
      <c r="AB358" s="3"/>
      <c r="AC358" s="11">
        <v>46313</v>
      </c>
      <c r="AD358" s="4">
        <v>92</v>
      </c>
      <c r="AE358" s="18">
        <f>(IF(K358&gt;0,K358+R358,R358)-(AD358*Ventas!AE355*1.0489))</f>
        <v>0</v>
      </c>
      <c r="AF358" s="3"/>
      <c r="AG358" s="22">
        <f t="shared" si="139"/>
        <v>0</v>
      </c>
      <c r="AH358" s="14"/>
      <c r="AI358" s="25">
        <f t="shared" si="127"/>
        <v>0</v>
      </c>
      <c r="AJ358" s="16"/>
      <c r="AK358" s="12">
        <f t="shared" si="128"/>
        <v>0</v>
      </c>
      <c r="AL358" s="19">
        <f t="shared" si="129"/>
        <v>0</v>
      </c>
      <c r="AM358" s="18">
        <f>(180*(Ventas!AE355*0.9644) - IF(AE358&gt;0,AE358,0))</f>
        <v>0</v>
      </c>
      <c r="AN358" s="18">
        <f t="shared" si="140"/>
        <v>0</v>
      </c>
      <c r="AO358" s="14"/>
      <c r="AP358" s="14">
        <f t="shared" si="141"/>
        <v>0</v>
      </c>
      <c r="AQ358" s="16">
        <f t="shared" si="132"/>
        <v>0</v>
      </c>
      <c r="AR358" s="37">
        <f>_xlfn.XLOOKUP(C358,[1]Hoja2!$C$6:$C$24,[1]Hoja2!$D$6:$D$24,0,2,1)</f>
        <v>0</v>
      </c>
      <c r="AS358" s="18">
        <f t="shared" si="133"/>
        <v>0</v>
      </c>
      <c r="AT358" s="14"/>
      <c r="AU358" s="37">
        <f>_xlfn.XLOOKUP(D358,[1]Hoja2!$E$6:$E$24,[1]Hoja2!$F$6:$F$24,0,2,1)</f>
        <v>0</v>
      </c>
      <c r="AV358" s="3">
        <v>0</v>
      </c>
      <c r="AW358" s="3"/>
      <c r="AX358" s="14">
        <v>0</v>
      </c>
      <c r="AY358" s="14"/>
      <c r="AZ358" s="16">
        <f>_xlfn.XLOOKUP(C358,[2]PI!$B$15:$B$99,[2]PI!$L$15:$L$99,0,2,1)</f>
        <v>0</v>
      </c>
      <c r="BA358" s="16">
        <f>_xlfn.XLOOKUP(D358,[2]PI!$B$15:$B$99,[2]PI!$L$15:$L$99,0,2,1)</f>
        <v>0</v>
      </c>
      <c r="BB358" s="3"/>
      <c r="BC358" s="3"/>
      <c r="BD358" s="14"/>
      <c r="BE358" s="14"/>
      <c r="BF358" s="16"/>
      <c r="BG358" s="16"/>
      <c r="BH358" s="12">
        <f t="shared" si="134"/>
        <v>0</v>
      </c>
      <c r="BI358" s="19">
        <f t="shared" si="135"/>
        <v>0</v>
      </c>
      <c r="BJ358" s="1" t="s">
        <v>35</v>
      </c>
      <c r="BK358">
        <f t="shared" si="136"/>
        <v>0</v>
      </c>
      <c r="BL358">
        <f t="shared" si="137"/>
        <v>0</v>
      </c>
    </row>
    <row r="359" spans="1:64" x14ac:dyDescent="0.25">
      <c r="A359" s="1" t="s">
        <v>1079</v>
      </c>
      <c r="B359" s="1" t="s">
        <v>1078</v>
      </c>
      <c r="C359" s="13" t="s">
        <v>1077</v>
      </c>
      <c r="D359" s="15"/>
      <c r="E359" s="17"/>
      <c r="F359" s="3"/>
      <c r="G359" s="14"/>
      <c r="H359" s="16"/>
      <c r="I359" s="11">
        <v>46221</v>
      </c>
      <c r="J359" s="4">
        <v>17</v>
      </c>
      <c r="K359" s="18">
        <f>(F359-(0)+0-(J359*Ventas!AE356*1))</f>
        <v>0</v>
      </c>
      <c r="L359" s="3"/>
      <c r="M359" s="22">
        <f t="shared" si="138"/>
        <v>0</v>
      </c>
      <c r="N359" s="14"/>
      <c r="O359" s="25">
        <f t="shared" si="122"/>
        <v>0</v>
      </c>
      <c r="P359" s="16"/>
      <c r="Q359" s="12">
        <f t="shared" si="123"/>
        <v>0</v>
      </c>
      <c r="R359" s="5">
        <v>0</v>
      </c>
      <c r="S359" s="24">
        <v>0</v>
      </c>
      <c r="T359" s="26">
        <v>0</v>
      </c>
      <c r="U359" s="18">
        <f t="shared" si="124"/>
        <v>0</v>
      </c>
      <c r="V359" s="22">
        <f t="shared" si="125"/>
        <v>0</v>
      </c>
      <c r="W359" s="25">
        <f t="shared" si="126"/>
        <v>0</v>
      </c>
      <c r="X359" s="3"/>
      <c r="Y359" s="14"/>
      <c r="Z359" s="14"/>
      <c r="AA359" s="3"/>
      <c r="AB359" s="3"/>
      <c r="AC359" s="11">
        <v>46313</v>
      </c>
      <c r="AD359" s="4">
        <v>92</v>
      </c>
      <c r="AE359" s="18">
        <f>(IF(K359&gt;0,K359+R359,R359)-(AD359*Ventas!AE356*1.0489))</f>
        <v>0</v>
      </c>
      <c r="AF359" s="3"/>
      <c r="AG359" s="22">
        <f t="shared" si="139"/>
        <v>0</v>
      </c>
      <c r="AH359" s="14"/>
      <c r="AI359" s="25">
        <f t="shared" si="127"/>
        <v>0</v>
      </c>
      <c r="AJ359" s="16"/>
      <c r="AK359" s="12">
        <f t="shared" si="128"/>
        <v>0</v>
      </c>
      <c r="AL359" s="19">
        <f t="shared" si="129"/>
        <v>0</v>
      </c>
      <c r="AM359" s="18">
        <f>(180*(Ventas!AE356*0.9644) - IF(AE359&gt;0,AE359,0))</f>
        <v>0</v>
      </c>
      <c r="AN359" s="18">
        <f t="shared" si="140"/>
        <v>0</v>
      </c>
      <c r="AO359" s="14"/>
      <c r="AP359" s="14">
        <f t="shared" si="141"/>
        <v>0</v>
      </c>
      <c r="AQ359" s="16">
        <f t="shared" si="132"/>
        <v>0</v>
      </c>
      <c r="AR359" s="37">
        <f>_xlfn.XLOOKUP(C359,[1]Hoja2!$C$6:$C$24,[1]Hoja2!$D$6:$D$24,0,2,1)</f>
        <v>0</v>
      </c>
      <c r="AS359" s="18">
        <f t="shared" si="133"/>
        <v>0</v>
      </c>
      <c r="AT359" s="14"/>
      <c r="AU359" s="37">
        <f>_xlfn.XLOOKUP(D359,[1]Hoja2!$E$6:$E$24,[1]Hoja2!$F$6:$F$24,0,2,1)</f>
        <v>0</v>
      </c>
      <c r="AV359" s="3">
        <v>0</v>
      </c>
      <c r="AW359" s="3"/>
      <c r="AX359" s="14">
        <v>0</v>
      </c>
      <c r="AY359" s="14"/>
      <c r="AZ359" s="16">
        <f>_xlfn.XLOOKUP(C359,[2]PI!$B$15:$B$99,[2]PI!$L$15:$L$99,0,2,1)</f>
        <v>0</v>
      </c>
      <c r="BA359" s="16">
        <f>_xlfn.XLOOKUP(D359,[2]PI!$B$15:$B$99,[2]PI!$L$15:$L$99,0,2,1)</f>
        <v>0</v>
      </c>
      <c r="BB359" s="3"/>
      <c r="BC359" s="3"/>
      <c r="BD359" s="14"/>
      <c r="BE359" s="14"/>
      <c r="BF359" s="16"/>
      <c r="BG359" s="16"/>
      <c r="BH359" s="12">
        <f t="shared" si="134"/>
        <v>0</v>
      </c>
      <c r="BI359" s="19">
        <f t="shared" si="135"/>
        <v>0</v>
      </c>
      <c r="BJ359" s="1" t="s">
        <v>35</v>
      </c>
      <c r="BK359">
        <f t="shared" si="136"/>
        <v>0</v>
      </c>
      <c r="BL359">
        <f t="shared" si="137"/>
        <v>0</v>
      </c>
    </row>
    <row r="360" spans="1:64" x14ac:dyDescent="0.25">
      <c r="A360" s="1" t="s">
        <v>1082</v>
      </c>
      <c r="B360" s="1" t="s">
        <v>1081</v>
      </c>
      <c r="C360" s="13" t="s">
        <v>1080</v>
      </c>
      <c r="D360" s="15"/>
      <c r="E360" s="17"/>
      <c r="F360" s="5">
        <v>1</v>
      </c>
      <c r="G360" s="14"/>
      <c r="H360" s="16"/>
      <c r="I360" s="11">
        <v>46221</v>
      </c>
      <c r="J360" s="4">
        <v>17</v>
      </c>
      <c r="K360" s="18">
        <f>(F360-(0)+0-(J360*Ventas!AE357*1))</f>
        <v>0.55249523809523804</v>
      </c>
      <c r="L360" s="20">
        <f>(K360/(Ventas!AE357*1)/80)</f>
        <v>0.26235528219971049</v>
      </c>
      <c r="M360" s="22">
        <f t="shared" si="138"/>
        <v>0</v>
      </c>
      <c r="N360" s="14"/>
      <c r="O360" s="25">
        <f t="shared" si="122"/>
        <v>0</v>
      </c>
      <c r="P360" s="16"/>
      <c r="Q360" s="12">
        <f t="shared" si="123"/>
        <v>0.55249523809523804</v>
      </c>
      <c r="R360" s="5">
        <v>10</v>
      </c>
      <c r="S360" s="24">
        <v>0</v>
      </c>
      <c r="T360" s="26">
        <v>0</v>
      </c>
      <c r="U360" s="18">
        <f t="shared" si="124"/>
        <v>10.552495238095238</v>
      </c>
      <c r="V360" s="22">
        <f t="shared" si="125"/>
        <v>0</v>
      </c>
      <c r="W360" s="25">
        <f t="shared" si="126"/>
        <v>0</v>
      </c>
      <c r="X360" s="18">
        <v>4.3</v>
      </c>
      <c r="Y360" s="14"/>
      <c r="Z360" s="14"/>
      <c r="AA360" s="3"/>
      <c r="AB360" s="3"/>
      <c r="AC360" s="11">
        <v>46313</v>
      </c>
      <c r="AD360" s="4">
        <v>92</v>
      </c>
      <c r="AE360" s="18">
        <f>(IF(K360&gt;0,K360+R360,R360)-(AD360*Ventas!AE357*1.0489))</f>
        <v>8.0122792076190485</v>
      </c>
      <c r="AF360" s="20">
        <f>(AE360/(Ventas!AE357*1.0489)/80)</f>
        <v>3.6272982211810629</v>
      </c>
      <c r="AG360" s="22">
        <f t="shared" si="139"/>
        <v>0</v>
      </c>
      <c r="AH360" s="14"/>
      <c r="AI360" s="25">
        <f t="shared" si="127"/>
        <v>0</v>
      </c>
      <c r="AJ360" s="16"/>
      <c r="AK360" s="12">
        <f t="shared" si="128"/>
        <v>8.0122792076190485</v>
      </c>
      <c r="AL360" s="19">
        <f t="shared" si="129"/>
        <v>3.1738859435334299</v>
      </c>
      <c r="AM360" s="18">
        <f>(180*(Ventas!AE357*0.9644) - IF(AE360&gt;0,AE360,0))</f>
        <v>-3.442676464761905</v>
      </c>
      <c r="AN360" s="18">
        <f t="shared" si="140"/>
        <v>0</v>
      </c>
      <c r="AO360" s="14"/>
      <c r="AP360" s="14">
        <f t="shared" si="141"/>
        <v>0</v>
      </c>
      <c r="AQ360" s="16">
        <f t="shared" si="132"/>
        <v>0</v>
      </c>
      <c r="AR360" s="37">
        <f>_xlfn.XLOOKUP(C360,[1]Hoja2!$C$6:$C$24,[1]Hoja2!$D$6:$D$24,0,2,1)</f>
        <v>0</v>
      </c>
      <c r="AS360" s="18">
        <f t="shared" si="133"/>
        <v>8.0122792076190485</v>
      </c>
      <c r="AT360" s="14"/>
      <c r="AU360" s="37">
        <f>_xlfn.XLOOKUP(D360,[1]Hoja2!$E$6:$E$24,[1]Hoja2!$F$6:$F$24,0,2,1)</f>
        <v>0</v>
      </c>
      <c r="AV360" s="27">
        <v>0</v>
      </c>
      <c r="AW360" s="5">
        <v>3016</v>
      </c>
      <c r="AX360" s="14">
        <v>0</v>
      </c>
      <c r="AY360" s="14"/>
      <c r="AZ360" s="16">
        <f>_xlfn.XLOOKUP(C360,[2]PI!$B$15:$B$99,[2]PI!$L$15:$L$99,0,2,1)</f>
        <v>0</v>
      </c>
      <c r="BA360" s="16">
        <f>_xlfn.XLOOKUP(D360,[2]PI!$B$15:$B$99,[2]PI!$L$15:$L$99,0,2,1)</f>
        <v>0</v>
      </c>
      <c r="BB360" s="18">
        <f>(AS360-(90*Ventas!AE357*0.9644))</f>
        <v>5.7274778361904772</v>
      </c>
      <c r="BC360" s="20">
        <f>(BB360/(Ventas!AE357*0.9644)/80)</f>
        <v>2.8201193531696562</v>
      </c>
      <c r="BD360" s="14"/>
      <c r="BE360" s="14"/>
      <c r="BF360" s="16"/>
      <c r="BG360" s="16"/>
      <c r="BH360" s="12">
        <f t="shared" si="134"/>
        <v>5.7274778361904772</v>
      </c>
      <c r="BI360" s="19">
        <f t="shared" si="135"/>
        <v>2.4676044340234493</v>
      </c>
      <c r="BJ360" s="1" t="s">
        <v>35</v>
      </c>
      <c r="BK360">
        <f t="shared" si="136"/>
        <v>0</v>
      </c>
      <c r="BL360">
        <f t="shared" si="137"/>
        <v>0</v>
      </c>
    </row>
    <row r="361" spans="1:64" x14ac:dyDescent="0.25">
      <c r="A361" s="1" t="s">
        <v>1085</v>
      </c>
      <c r="B361" s="1" t="s">
        <v>1084</v>
      </c>
      <c r="C361" s="13" t="s">
        <v>1083</v>
      </c>
      <c r="D361" s="15"/>
      <c r="E361" s="17"/>
      <c r="F361" s="3"/>
      <c r="G361" s="14"/>
      <c r="H361" s="16"/>
      <c r="I361" s="11">
        <v>46221</v>
      </c>
      <c r="J361" s="4">
        <v>17</v>
      </c>
      <c r="K361" s="18">
        <f>(F361-(0)+0-(J361*Ventas!AE358*1))</f>
        <v>0</v>
      </c>
      <c r="L361" s="3"/>
      <c r="M361" s="22">
        <f t="shared" si="138"/>
        <v>0</v>
      </c>
      <c r="N361" s="14"/>
      <c r="O361" s="25">
        <f t="shared" si="122"/>
        <v>0</v>
      </c>
      <c r="P361" s="16"/>
      <c r="Q361" s="12">
        <f t="shared" si="123"/>
        <v>0</v>
      </c>
      <c r="R361" s="5">
        <v>0</v>
      </c>
      <c r="S361" s="24">
        <v>0</v>
      </c>
      <c r="T361" s="26">
        <v>0</v>
      </c>
      <c r="U361" s="18">
        <f t="shared" si="124"/>
        <v>0</v>
      </c>
      <c r="V361" s="22">
        <f t="shared" si="125"/>
        <v>0</v>
      </c>
      <c r="W361" s="25">
        <f t="shared" si="126"/>
        <v>0</v>
      </c>
      <c r="X361" s="3"/>
      <c r="Y361" s="14"/>
      <c r="Z361" s="14"/>
      <c r="AA361" s="3"/>
      <c r="AB361" s="3"/>
      <c r="AC361" s="11">
        <v>46313</v>
      </c>
      <c r="AD361" s="4">
        <v>92</v>
      </c>
      <c r="AE361" s="18">
        <f>(IF(K361&gt;0,K361+R361,R361)-(AD361*Ventas!AE358*1.0489))</f>
        <v>0</v>
      </c>
      <c r="AF361" s="3"/>
      <c r="AG361" s="22">
        <f t="shared" si="139"/>
        <v>0</v>
      </c>
      <c r="AH361" s="14"/>
      <c r="AI361" s="25">
        <f t="shared" si="127"/>
        <v>0</v>
      </c>
      <c r="AJ361" s="16"/>
      <c r="AK361" s="12">
        <f t="shared" si="128"/>
        <v>0</v>
      </c>
      <c r="AL361" s="19">
        <f t="shared" si="129"/>
        <v>0</v>
      </c>
      <c r="AM361" s="18">
        <f>(180*(Ventas!AE358*0.9644) - IF(AE361&gt;0,AE361,0))</f>
        <v>0</v>
      </c>
      <c r="AN361" s="18">
        <f t="shared" si="140"/>
        <v>0</v>
      </c>
      <c r="AO361" s="14"/>
      <c r="AP361" s="14">
        <f t="shared" si="141"/>
        <v>0</v>
      </c>
      <c r="AQ361" s="16">
        <f t="shared" si="132"/>
        <v>0</v>
      </c>
      <c r="AR361" s="37">
        <f>_xlfn.XLOOKUP(C361,[1]Hoja2!$C$6:$C$24,[1]Hoja2!$D$6:$D$24,0,2,1)</f>
        <v>0</v>
      </c>
      <c r="AS361" s="18">
        <f t="shared" si="133"/>
        <v>0</v>
      </c>
      <c r="AT361" s="14"/>
      <c r="AU361" s="37">
        <f>_xlfn.XLOOKUP(D361,[1]Hoja2!$E$6:$E$24,[1]Hoja2!$F$6:$F$24,0,2,1)</f>
        <v>0</v>
      </c>
      <c r="AV361" s="3">
        <v>0</v>
      </c>
      <c r="AW361" s="3"/>
      <c r="AX361" s="14">
        <v>0</v>
      </c>
      <c r="AY361" s="14"/>
      <c r="AZ361" s="16">
        <f>_xlfn.XLOOKUP(C361,[2]PI!$B$15:$B$99,[2]PI!$L$15:$L$99,0,2,1)</f>
        <v>0</v>
      </c>
      <c r="BA361" s="16">
        <f>_xlfn.XLOOKUP(D361,[2]PI!$B$15:$B$99,[2]PI!$L$15:$L$99,0,2,1)</f>
        <v>0</v>
      </c>
      <c r="BB361" s="3"/>
      <c r="BC361" s="3"/>
      <c r="BD361" s="14"/>
      <c r="BE361" s="14"/>
      <c r="BF361" s="16"/>
      <c r="BG361" s="16"/>
      <c r="BH361" s="12">
        <f t="shared" si="134"/>
        <v>0</v>
      </c>
      <c r="BI361" s="19">
        <f t="shared" si="135"/>
        <v>0</v>
      </c>
      <c r="BJ361" s="1" t="s">
        <v>35</v>
      </c>
      <c r="BK361">
        <f t="shared" si="136"/>
        <v>0</v>
      </c>
      <c r="BL361">
        <f t="shared" si="137"/>
        <v>0</v>
      </c>
    </row>
    <row r="362" spans="1:64" x14ac:dyDescent="0.25">
      <c r="A362" s="1" t="s">
        <v>1088</v>
      </c>
      <c r="B362" s="1" t="s">
        <v>1087</v>
      </c>
      <c r="C362" s="13" t="s">
        <v>1086</v>
      </c>
      <c r="D362" s="15"/>
      <c r="E362" s="17"/>
      <c r="F362" s="3"/>
      <c r="G362" s="14"/>
      <c r="H362" s="16"/>
      <c r="I362" s="11">
        <v>46221</v>
      </c>
      <c r="J362" s="4">
        <v>17</v>
      </c>
      <c r="K362" s="18">
        <f>(F362-(0)+0-(J362*Ventas!AE359*1))</f>
        <v>0</v>
      </c>
      <c r="L362" s="3"/>
      <c r="M362" s="22">
        <f t="shared" si="138"/>
        <v>0</v>
      </c>
      <c r="N362" s="14"/>
      <c r="O362" s="25">
        <f t="shared" si="122"/>
        <v>0</v>
      </c>
      <c r="P362" s="16"/>
      <c r="Q362" s="12">
        <f t="shared" si="123"/>
        <v>0</v>
      </c>
      <c r="R362" s="5">
        <v>0</v>
      </c>
      <c r="S362" s="24">
        <v>0</v>
      </c>
      <c r="T362" s="26">
        <v>0</v>
      </c>
      <c r="U362" s="18">
        <f t="shared" si="124"/>
        <v>0</v>
      </c>
      <c r="V362" s="22">
        <f t="shared" si="125"/>
        <v>0</v>
      </c>
      <c r="W362" s="25">
        <f t="shared" si="126"/>
        <v>0</v>
      </c>
      <c r="X362" s="3"/>
      <c r="Y362" s="14"/>
      <c r="Z362" s="14"/>
      <c r="AA362" s="3"/>
      <c r="AB362" s="3"/>
      <c r="AC362" s="11">
        <v>46313</v>
      </c>
      <c r="AD362" s="4">
        <v>92</v>
      </c>
      <c r="AE362" s="18">
        <f>(IF(K362&gt;0,K362+R362,R362)-(AD362*Ventas!AE359*1.0489))</f>
        <v>0</v>
      </c>
      <c r="AF362" s="3"/>
      <c r="AG362" s="22">
        <f t="shared" si="139"/>
        <v>0</v>
      </c>
      <c r="AH362" s="14"/>
      <c r="AI362" s="25">
        <f t="shared" si="127"/>
        <v>0</v>
      </c>
      <c r="AJ362" s="16"/>
      <c r="AK362" s="12">
        <f t="shared" si="128"/>
        <v>0</v>
      </c>
      <c r="AL362" s="19">
        <f t="shared" si="129"/>
        <v>0</v>
      </c>
      <c r="AM362" s="18">
        <f>(180*(Ventas!AE359*0.9644) - IF(AE362&gt;0,AE362,0))</f>
        <v>0</v>
      </c>
      <c r="AN362" s="18">
        <f t="shared" si="140"/>
        <v>0</v>
      </c>
      <c r="AO362" s="14"/>
      <c r="AP362" s="14">
        <f t="shared" si="141"/>
        <v>0</v>
      </c>
      <c r="AQ362" s="16">
        <f t="shared" si="132"/>
        <v>0</v>
      </c>
      <c r="AR362" s="37">
        <f>_xlfn.XLOOKUP(C362,[1]Hoja2!$C$6:$C$24,[1]Hoja2!$D$6:$D$24,0,2,1)</f>
        <v>0</v>
      </c>
      <c r="AS362" s="18">
        <f t="shared" si="133"/>
        <v>0</v>
      </c>
      <c r="AT362" s="14"/>
      <c r="AU362" s="37">
        <f>_xlfn.XLOOKUP(D362,[1]Hoja2!$E$6:$E$24,[1]Hoja2!$F$6:$F$24,0,2,1)</f>
        <v>0</v>
      </c>
      <c r="AV362" s="3">
        <v>0</v>
      </c>
      <c r="AW362" s="3"/>
      <c r="AX362" s="14">
        <v>0</v>
      </c>
      <c r="AY362" s="14"/>
      <c r="AZ362" s="16">
        <f>_xlfn.XLOOKUP(C362,[2]PI!$B$15:$B$99,[2]PI!$L$15:$L$99,0,2,1)</f>
        <v>0</v>
      </c>
      <c r="BA362" s="16">
        <f>_xlfn.XLOOKUP(D362,[2]PI!$B$15:$B$99,[2]PI!$L$15:$L$99,0,2,1)</f>
        <v>0</v>
      </c>
      <c r="BB362" s="3"/>
      <c r="BC362" s="3"/>
      <c r="BD362" s="14"/>
      <c r="BE362" s="14"/>
      <c r="BF362" s="16"/>
      <c r="BG362" s="16"/>
      <c r="BH362" s="12">
        <f t="shared" si="134"/>
        <v>0</v>
      </c>
      <c r="BI362" s="19">
        <f t="shared" si="135"/>
        <v>0</v>
      </c>
      <c r="BJ362" s="1" t="s">
        <v>35</v>
      </c>
      <c r="BK362">
        <f t="shared" si="136"/>
        <v>0</v>
      </c>
      <c r="BL362">
        <f t="shared" si="137"/>
        <v>0</v>
      </c>
    </row>
    <row r="363" spans="1:64" x14ac:dyDescent="0.25">
      <c r="A363" s="1" t="s">
        <v>1091</v>
      </c>
      <c r="B363" s="1" t="s">
        <v>1090</v>
      </c>
      <c r="C363" s="13" t="s">
        <v>1089</v>
      </c>
      <c r="D363" s="15"/>
      <c r="E363" s="17"/>
      <c r="F363" s="3"/>
      <c r="G363" s="14"/>
      <c r="H363" s="16"/>
      <c r="I363" s="11">
        <v>46221</v>
      </c>
      <c r="J363" s="4">
        <v>17</v>
      </c>
      <c r="K363" s="18">
        <f>(F363-(0)+0-(J363*Ventas!AE360*1))</f>
        <v>0</v>
      </c>
      <c r="L363" s="3"/>
      <c r="M363" s="22">
        <f t="shared" si="138"/>
        <v>0</v>
      </c>
      <c r="N363" s="14"/>
      <c r="O363" s="25">
        <f t="shared" si="122"/>
        <v>0</v>
      </c>
      <c r="P363" s="16"/>
      <c r="Q363" s="12">
        <f t="shared" si="123"/>
        <v>0</v>
      </c>
      <c r="R363" s="5">
        <v>0</v>
      </c>
      <c r="S363" s="24">
        <v>0</v>
      </c>
      <c r="T363" s="26">
        <v>0</v>
      </c>
      <c r="U363" s="18">
        <f t="shared" si="124"/>
        <v>0</v>
      </c>
      <c r="V363" s="22">
        <f t="shared" si="125"/>
        <v>0</v>
      </c>
      <c r="W363" s="25">
        <f t="shared" si="126"/>
        <v>0</v>
      </c>
      <c r="X363" s="3"/>
      <c r="Y363" s="14"/>
      <c r="Z363" s="14"/>
      <c r="AA363" s="3"/>
      <c r="AB363" s="3"/>
      <c r="AC363" s="11">
        <v>46313</v>
      </c>
      <c r="AD363" s="4">
        <v>92</v>
      </c>
      <c r="AE363" s="18">
        <f>(IF(K363&gt;0,K363+R363,R363)-(AD363*Ventas!AE360*1.0489))</f>
        <v>0</v>
      </c>
      <c r="AF363" s="3"/>
      <c r="AG363" s="22">
        <f t="shared" si="139"/>
        <v>0</v>
      </c>
      <c r="AH363" s="14"/>
      <c r="AI363" s="25">
        <f t="shared" si="127"/>
        <v>0</v>
      </c>
      <c r="AJ363" s="16"/>
      <c r="AK363" s="12">
        <f t="shared" si="128"/>
        <v>0</v>
      </c>
      <c r="AL363" s="19">
        <f t="shared" si="129"/>
        <v>0</v>
      </c>
      <c r="AM363" s="18">
        <f>(180*(Ventas!AE360*0.9644) - IF(AE363&gt;0,AE363,0))</f>
        <v>0</v>
      </c>
      <c r="AN363" s="18">
        <f t="shared" si="140"/>
        <v>0</v>
      </c>
      <c r="AO363" s="14"/>
      <c r="AP363" s="14">
        <f t="shared" si="141"/>
        <v>0</v>
      </c>
      <c r="AQ363" s="16">
        <f t="shared" si="132"/>
        <v>0</v>
      </c>
      <c r="AR363" s="37">
        <f>_xlfn.XLOOKUP(C363,[1]Hoja2!$C$6:$C$24,[1]Hoja2!$D$6:$D$24,0,2,1)</f>
        <v>0</v>
      </c>
      <c r="AS363" s="18">
        <f t="shared" si="133"/>
        <v>0</v>
      </c>
      <c r="AT363" s="14"/>
      <c r="AU363" s="37">
        <f>_xlfn.XLOOKUP(D363,[1]Hoja2!$E$6:$E$24,[1]Hoja2!$F$6:$F$24,0,2,1)</f>
        <v>0</v>
      </c>
      <c r="AV363" s="3">
        <v>0</v>
      </c>
      <c r="AW363" s="3"/>
      <c r="AX363" s="14">
        <v>0</v>
      </c>
      <c r="AY363" s="14"/>
      <c r="AZ363" s="16">
        <f>_xlfn.XLOOKUP(C363,[2]PI!$B$15:$B$99,[2]PI!$L$15:$L$99,0,2,1)</f>
        <v>0</v>
      </c>
      <c r="BA363" s="16">
        <f>_xlfn.XLOOKUP(D363,[2]PI!$B$15:$B$99,[2]PI!$L$15:$L$99,0,2,1)</f>
        <v>0</v>
      </c>
      <c r="BB363" s="3"/>
      <c r="BC363" s="3"/>
      <c r="BD363" s="14"/>
      <c r="BE363" s="14"/>
      <c r="BF363" s="16"/>
      <c r="BG363" s="16"/>
      <c r="BH363" s="12">
        <f t="shared" si="134"/>
        <v>0</v>
      </c>
      <c r="BI363" s="19">
        <f t="shared" si="135"/>
        <v>0</v>
      </c>
      <c r="BJ363" s="1" t="s">
        <v>35</v>
      </c>
      <c r="BK363">
        <f t="shared" si="136"/>
        <v>0</v>
      </c>
      <c r="BL363">
        <f t="shared" si="137"/>
        <v>0</v>
      </c>
    </row>
    <row r="364" spans="1:64" x14ac:dyDescent="0.25">
      <c r="A364" s="1" t="s">
        <v>1094</v>
      </c>
      <c r="B364" s="1" t="s">
        <v>1093</v>
      </c>
      <c r="C364" s="13" t="s">
        <v>1092</v>
      </c>
      <c r="D364" s="15"/>
      <c r="E364" s="17"/>
      <c r="F364" s="3"/>
      <c r="G364" s="14"/>
      <c r="H364" s="16"/>
      <c r="I364" s="11">
        <v>46221</v>
      </c>
      <c r="J364" s="4">
        <v>17</v>
      </c>
      <c r="K364" s="18">
        <f>(F364-(0)+0-(J364*Ventas!AE361*1))</f>
        <v>0</v>
      </c>
      <c r="L364" s="3"/>
      <c r="M364" s="22">
        <f t="shared" si="138"/>
        <v>0</v>
      </c>
      <c r="N364" s="14"/>
      <c r="O364" s="25">
        <f t="shared" si="122"/>
        <v>0</v>
      </c>
      <c r="P364" s="16"/>
      <c r="Q364" s="12">
        <f t="shared" si="123"/>
        <v>0</v>
      </c>
      <c r="R364" s="5">
        <v>0</v>
      </c>
      <c r="S364" s="24">
        <v>0</v>
      </c>
      <c r="T364" s="26">
        <v>0</v>
      </c>
      <c r="U364" s="18">
        <f t="shared" si="124"/>
        <v>0</v>
      </c>
      <c r="V364" s="22">
        <f t="shared" si="125"/>
        <v>0</v>
      </c>
      <c r="W364" s="25">
        <f t="shared" si="126"/>
        <v>0</v>
      </c>
      <c r="X364" s="3"/>
      <c r="Y364" s="14"/>
      <c r="Z364" s="14"/>
      <c r="AA364" s="3"/>
      <c r="AB364" s="3"/>
      <c r="AC364" s="11">
        <v>46313</v>
      </c>
      <c r="AD364" s="4">
        <v>92</v>
      </c>
      <c r="AE364" s="18">
        <f>(IF(K364&gt;0,K364+R364,R364)-(AD364*Ventas!AE361*1.0489))</f>
        <v>0</v>
      </c>
      <c r="AF364" s="3"/>
      <c r="AG364" s="22">
        <f t="shared" si="139"/>
        <v>0</v>
      </c>
      <c r="AH364" s="14"/>
      <c r="AI364" s="25">
        <f t="shared" si="127"/>
        <v>0</v>
      </c>
      <c r="AJ364" s="16"/>
      <c r="AK364" s="12">
        <f t="shared" si="128"/>
        <v>0</v>
      </c>
      <c r="AL364" s="19">
        <f t="shared" si="129"/>
        <v>0</v>
      </c>
      <c r="AM364" s="18">
        <f>(180*(Ventas!AE361*0.9644) - IF(AE364&gt;0,AE364,0))</f>
        <v>0</v>
      </c>
      <c r="AN364" s="18">
        <f t="shared" si="140"/>
        <v>0</v>
      </c>
      <c r="AO364" s="14"/>
      <c r="AP364" s="14">
        <f t="shared" si="141"/>
        <v>0</v>
      </c>
      <c r="AQ364" s="16">
        <f t="shared" si="132"/>
        <v>0</v>
      </c>
      <c r="AR364" s="37">
        <f>_xlfn.XLOOKUP(C364,[1]Hoja2!$C$6:$C$24,[1]Hoja2!$D$6:$D$24,0,2,1)</f>
        <v>0</v>
      </c>
      <c r="AS364" s="18">
        <f t="shared" si="133"/>
        <v>0</v>
      </c>
      <c r="AT364" s="14"/>
      <c r="AU364" s="37">
        <f>_xlfn.XLOOKUP(D364,[1]Hoja2!$E$6:$E$24,[1]Hoja2!$F$6:$F$24,0,2,1)</f>
        <v>0</v>
      </c>
      <c r="AV364" s="3">
        <v>0</v>
      </c>
      <c r="AW364" s="3"/>
      <c r="AX364" s="14">
        <v>0</v>
      </c>
      <c r="AY364" s="14"/>
      <c r="AZ364" s="16">
        <f>_xlfn.XLOOKUP(C364,[2]PI!$B$15:$B$99,[2]PI!$L$15:$L$99,0,2,1)</f>
        <v>0</v>
      </c>
      <c r="BA364" s="16">
        <f>_xlfn.XLOOKUP(D364,[2]PI!$B$15:$B$99,[2]PI!$L$15:$L$99,0,2,1)</f>
        <v>0</v>
      </c>
      <c r="BB364" s="3"/>
      <c r="BC364" s="3"/>
      <c r="BD364" s="14"/>
      <c r="BE364" s="14"/>
      <c r="BF364" s="16"/>
      <c r="BG364" s="16"/>
      <c r="BH364" s="12">
        <f t="shared" si="134"/>
        <v>0</v>
      </c>
      <c r="BI364" s="19">
        <f t="shared" si="135"/>
        <v>0</v>
      </c>
      <c r="BJ364" s="1" t="s">
        <v>35</v>
      </c>
      <c r="BK364">
        <f t="shared" si="136"/>
        <v>0</v>
      </c>
      <c r="BL364">
        <f t="shared" si="137"/>
        <v>0</v>
      </c>
    </row>
    <row r="365" spans="1:64" x14ac:dyDescent="0.25">
      <c r="A365" s="1" t="s">
        <v>1097</v>
      </c>
      <c r="B365" s="1" t="s">
        <v>1096</v>
      </c>
      <c r="C365" s="13" t="s">
        <v>1095</v>
      </c>
      <c r="D365" s="15"/>
      <c r="E365" s="17"/>
      <c r="F365" s="3"/>
      <c r="G365" s="14"/>
      <c r="H365" s="16"/>
      <c r="I365" s="11">
        <v>46221</v>
      </c>
      <c r="J365" s="4">
        <v>17</v>
      </c>
      <c r="K365" s="18">
        <f>(F365-(0)+0-(J365*Ventas!AE362*1))</f>
        <v>0</v>
      </c>
      <c r="L365" s="3"/>
      <c r="M365" s="22">
        <f t="shared" si="138"/>
        <v>0</v>
      </c>
      <c r="N365" s="14"/>
      <c r="O365" s="25">
        <f t="shared" si="122"/>
        <v>0</v>
      </c>
      <c r="P365" s="16"/>
      <c r="Q365" s="12">
        <f t="shared" si="123"/>
        <v>0</v>
      </c>
      <c r="R365" s="5">
        <v>0</v>
      </c>
      <c r="S365" s="24">
        <v>0</v>
      </c>
      <c r="T365" s="26">
        <v>0</v>
      </c>
      <c r="U365" s="18">
        <f t="shared" si="124"/>
        <v>0</v>
      </c>
      <c r="V365" s="22">
        <f t="shared" si="125"/>
        <v>0</v>
      </c>
      <c r="W365" s="25">
        <f t="shared" si="126"/>
        <v>0</v>
      </c>
      <c r="X365" s="3"/>
      <c r="Y365" s="14"/>
      <c r="Z365" s="14"/>
      <c r="AA365" s="3"/>
      <c r="AB365" s="3"/>
      <c r="AC365" s="11">
        <v>46313</v>
      </c>
      <c r="AD365" s="4">
        <v>92</v>
      </c>
      <c r="AE365" s="18">
        <f>(IF(K365&gt;0,K365+R365,R365)-(AD365*Ventas!AE362*1.0489))</f>
        <v>0</v>
      </c>
      <c r="AF365" s="3"/>
      <c r="AG365" s="22">
        <f t="shared" si="139"/>
        <v>0</v>
      </c>
      <c r="AH365" s="14"/>
      <c r="AI365" s="25">
        <f t="shared" si="127"/>
        <v>0</v>
      </c>
      <c r="AJ365" s="16"/>
      <c r="AK365" s="12">
        <f t="shared" si="128"/>
        <v>0</v>
      </c>
      <c r="AL365" s="19">
        <f t="shared" si="129"/>
        <v>0</v>
      </c>
      <c r="AM365" s="18">
        <f>(180*(Ventas!AE362*0.9644) - IF(AE365&gt;0,AE365,0))</f>
        <v>0</v>
      </c>
      <c r="AN365" s="18">
        <f t="shared" si="140"/>
        <v>0</v>
      </c>
      <c r="AO365" s="14"/>
      <c r="AP365" s="14">
        <f t="shared" si="141"/>
        <v>0</v>
      </c>
      <c r="AQ365" s="16">
        <f t="shared" si="132"/>
        <v>0</v>
      </c>
      <c r="AR365" s="37">
        <f>_xlfn.XLOOKUP(C365,[1]Hoja2!$C$6:$C$24,[1]Hoja2!$D$6:$D$24,0,2,1)</f>
        <v>0</v>
      </c>
      <c r="AS365" s="18">
        <f t="shared" si="133"/>
        <v>0</v>
      </c>
      <c r="AT365" s="14"/>
      <c r="AU365" s="37">
        <f>_xlfn.XLOOKUP(D365,[1]Hoja2!$E$6:$E$24,[1]Hoja2!$F$6:$F$24,0,2,1)</f>
        <v>0</v>
      </c>
      <c r="AV365" s="3">
        <v>0</v>
      </c>
      <c r="AW365" s="3"/>
      <c r="AX365" s="14">
        <v>0</v>
      </c>
      <c r="AY365" s="14"/>
      <c r="AZ365" s="16">
        <f>_xlfn.XLOOKUP(C365,[2]PI!$B$15:$B$99,[2]PI!$L$15:$L$99,0,2,1)</f>
        <v>0</v>
      </c>
      <c r="BA365" s="16">
        <f>_xlfn.XLOOKUP(D365,[2]PI!$B$15:$B$99,[2]PI!$L$15:$L$99,0,2,1)</f>
        <v>0</v>
      </c>
      <c r="BB365" s="3"/>
      <c r="BC365" s="3"/>
      <c r="BD365" s="14"/>
      <c r="BE365" s="14"/>
      <c r="BF365" s="16"/>
      <c r="BG365" s="16"/>
      <c r="BH365" s="12">
        <f t="shared" si="134"/>
        <v>0</v>
      </c>
      <c r="BI365" s="19">
        <f t="shared" si="135"/>
        <v>0</v>
      </c>
      <c r="BJ365" s="1" t="s">
        <v>35</v>
      </c>
      <c r="BK365">
        <f t="shared" si="136"/>
        <v>0</v>
      </c>
      <c r="BL365">
        <f t="shared" si="137"/>
        <v>0</v>
      </c>
    </row>
    <row r="366" spans="1:64" x14ac:dyDescent="0.25">
      <c r="A366" s="1" t="s">
        <v>1100</v>
      </c>
      <c r="B366" s="1" t="s">
        <v>1099</v>
      </c>
      <c r="C366" s="13" t="s">
        <v>1098</v>
      </c>
      <c r="D366" s="15"/>
      <c r="E366" s="17"/>
      <c r="F366" s="3"/>
      <c r="G366" s="14"/>
      <c r="H366" s="16"/>
      <c r="I366" s="11">
        <v>46221</v>
      </c>
      <c r="J366" s="4">
        <v>17</v>
      </c>
      <c r="K366" s="18">
        <f>(F366-(0)+0-(J366*Ventas!AE363*1))</f>
        <v>0</v>
      </c>
      <c r="L366" s="3"/>
      <c r="M366" s="22">
        <f t="shared" si="138"/>
        <v>0</v>
      </c>
      <c r="N366" s="14"/>
      <c r="O366" s="25">
        <f t="shared" si="122"/>
        <v>0</v>
      </c>
      <c r="P366" s="16"/>
      <c r="Q366" s="12">
        <f t="shared" si="123"/>
        <v>0</v>
      </c>
      <c r="R366" s="5">
        <v>0</v>
      </c>
      <c r="S366" s="24">
        <v>0</v>
      </c>
      <c r="T366" s="26">
        <v>0</v>
      </c>
      <c r="U366" s="18">
        <f t="shared" si="124"/>
        <v>0</v>
      </c>
      <c r="V366" s="22">
        <f t="shared" si="125"/>
        <v>0</v>
      </c>
      <c r="W366" s="25">
        <f t="shared" si="126"/>
        <v>0</v>
      </c>
      <c r="X366" s="3"/>
      <c r="Y366" s="14"/>
      <c r="Z366" s="14"/>
      <c r="AA366" s="3"/>
      <c r="AB366" s="3"/>
      <c r="AC366" s="11">
        <v>46313</v>
      </c>
      <c r="AD366" s="4">
        <v>92</v>
      </c>
      <c r="AE366" s="18">
        <f>(IF(K366&gt;0,K366+R366,R366)-(AD366*Ventas!AE363*1.0489))</f>
        <v>0</v>
      </c>
      <c r="AF366" s="3"/>
      <c r="AG366" s="22">
        <f t="shared" si="139"/>
        <v>0</v>
      </c>
      <c r="AH366" s="14"/>
      <c r="AI366" s="25">
        <f t="shared" si="127"/>
        <v>0</v>
      </c>
      <c r="AJ366" s="16"/>
      <c r="AK366" s="12">
        <f t="shared" si="128"/>
        <v>0</v>
      </c>
      <c r="AL366" s="19">
        <f t="shared" si="129"/>
        <v>0</v>
      </c>
      <c r="AM366" s="18">
        <f>(180*(Ventas!AE363*0.9644) - IF(AE366&gt;0,AE366,0))</f>
        <v>0</v>
      </c>
      <c r="AN366" s="18">
        <f t="shared" si="140"/>
        <v>0</v>
      </c>
      <c r="AO366" s="14"/>
      <c r="AP366" s="14">
        <f t="shared" si="141"/>
        <v>0</v>
      </c>
      <c r="AQ366" s="16">
        <f t="shared" si="132"/>
        <v>0</v>
      </c>
      <c r="AR366" s="37">
        <f>_xlfn.XLOOKUP(C366,[1]Hoja2!$C$6:$C$24,[1]Hoja2!$D$6:$D$24,0,2,1)</f>
        <v>0</v>
      </c>
      <c r="AS366" s="18">
        <f t="shared" si="133"/>
        <v>0</v>
      </c>
      <c r="AT366" s="14"/>
      <c r="AU366" s="37">
        <f>_xlfn.XLOOKUP(D366,[1]Hoja2!$E$6:$E$24,[1]Hoja2!$F$6:$F$24,0,2,1)</f>
        <v>0</v>
      </c>
      <c r="AV366" s="3">
        <v>0</v>
      </c>
      <c r="AW366" s="3"/>
      <c r="AX366" s="14">
        <v>0</v>
      </c>
      <c r="AY366" s="14"/>
      <c r="AZ366" s="16">
        <f>_xlfn.XLOOKUP(C366,[2]PI!$B$15:$B$99,[2]PI!$L$15:$L$99,0,2,1)</f>
        <v>0</v>
      </c>
      <c r="BA366" s="16">
        <f>_xlfn.XLOOKUP(D366,[2]PI!$B$15:$B$99,[2]PI!$L$15:$L$99,0,2,1)</f>
        <v>0</v>
      </c>
      <c r="BB366" s="3"/>
      <c r="BC366" s="3"/>
      <c r="BD366" s="14"/>
      <c r="BE366" s="14"/>
      <c r="BF366" s="16"/>
      <c r="BG366" s="16"/>
      <c r="BH366" s="12">
        <f t="shared" si="134"/>
        <v>0</v>
      </c>
      <c r="BI366" s="19">
        <f t="shared" si="135"/>
        <v>0</v>
      </c>
      <c r="BJ366" s="1" t="s">
        <v>35</v>
      </c>
      <c r="BK366">
        <f t="shared" si="136"/>
        <v>0</v>
      </c>
      <c r="BL366">
        <f t="shared" si="137"/>
        <v>0</v>
      </c>
    </row>
    <row r="367" spans="1:64" x14ac:dyDescent="0.25">
      <c r="A367" s="1" t="s">
        <v>1103</v>
      </c>
      <c r="B367" s="1" t="s">
        <v>1102</v>
      </c>
      <c r="C367" s="13" t="s">
        <v>1101</v>
      </c>
      <c r="D367" s="15"/>
      <c r="E367" s="17"/>
      <c r="F367" s="3"/>
      <c r="G367" s="14"/>
      <c r="H367" s="16"/>
      <c r="I367" s="11">
        <v>46221</v>
      </c>
      <c r="J367" s="4">
        <v>17</v>
      </c>
      <c r="K367" s="18">
        <f>(F367-(0)+0-(J367*Ventas!AE364*1))</f>
        <v>0</v>
      </c>
      <c r="L367" s="3"/>
      <c r="M367" s="22">
        <f t="shared" si="138"/>
        <v>0</v>
      </c>
      <c r="N367" s="14"/>
      <c r="O367" s="25">
        <f t="shared" si="122"/>
        <v>0</v>
      </c>
      <c r="P367" s="16"/>
      <c r="Q367" s="12">
        <f t="shared" si="123"/>
        <v>0</v>
      </c>
      <c r="R367" s="5">
        <v>0</v>
      </c>
      <c r="S367" s="24">
        <v>0</v>
      </c>
      <c r="T367" s="26">
        <v>0</v>
      </c>
      <c r="U367" s="18">
        <f t="shared" si="124"/>
        <v>0</v>
      </c>
      <c r="V367" s="22">
        <f t="shared" si="125"/>
        <v>0</v>
      </c>
      <c r="W367" s="25">
        <f t="shared" si="126"/>
        <v>0</v>
      </c>
      <c r="X367" s="3"/>
      <c r="Y367" s="14"/>
      <c r="Z367" s="14"/>
      <c r="AA367" s="3"/>
      <c r="AB367" s="3"/>
      <c r="AC367" s="11">
        <v>46313</v>
      </c>
      <c r="AD367" s="4">
        <v>92</v>
      </c>
      <c r="AE367" s="18">
        <f>(IF(K367&gt;0,K367+R367,R367)-(AD367*Ventas!AE364*1.0489))</f>
        <v>0</v>
      </c>
      <c r="AF367" s="3"/>
      <c r="AG367" s="22">
        <f t="shared" si="139"/>
        <v>0</v>
      </c>
      <c r="AH367" s="14"/>
      <c r="AI367" s="25">
        <f t="shared" si="127"/>
        <v>0</v>
      </c>
      <c r="AJ367" s="16"/>
      <c r="AK367" s="12">
        <f t="shared" si="128"/>
        <v>0</v>
      </c>
      <c r="AL367" s="19">
        <f t="shared" si="129"/>
        <v>0</v>
      </c>
      <c r="AM367" s="18">
        <f>(180*(Ventas!AE364*0.9644) - IF(AE367&gt;0,AE367,0))</f>
        <v>0</v>
      </c>
      <c r="AN367" s="18">
        <f t="shared" si="140"/>
        <v>0</v>
      </c>
      <c r="AO367" s="14"/>
      <c r="AP367" s="14">
        <f t="shared" si="141"/>
        <v>0</v>
      </c>
      <c r="AQ367" s="16">
        <f t="shared" si="132"/>
        <v>0</v>
      </c>
      <c r="AR367" s="37">
        <f>_xlfn.XLOOKUP(C367,[1]Hoja2!$C$6:$C$24,[1]Hoja2!$D$6:$D$24,0,2,1)</f>
        <v>0</v>
      </c>
      <c r="AS367" s="18">
        <f t="shared" si="133"/>
        <v>0</v>
      </c>
      <c r="AT367" s="14"/>
      <c r="AU367" s="37">
        <f>_xlfn.XLOOKUP(D367,[1]Hoja2!$E$6:$E$24,[1]Hoja2!$F$6:$F$24,0,2,1)</f>
        <v>0</v>
      </c>
      <c r="AV367" s="3">
        <v>0</v>
      </c>
      <c r="AW367" s="3"/>
      <c r="AX367" s="14">
        <v>0</v>
      </c>
      <c r="AY367" s="14"/>
      <c r="AZ367" s="16">
        <f>_xlfn.XLOOKUP(C367,[2]PI!$B$15:$B$99,[2]PI!$L$15:$L$99,0,2,1)</f>
        <v>0</v>
      </c>
      <c r="BA367" s="16">
        <f>_xlfn.XLOOKUP(D367,[2]PI!$B$15:$B$99,[2]PI!$L$15:$L$99,0,2,1)</f>
        <v>0</v>
      </c>
      <c r="BB367" s="3"/>
      <c r="BC367" s="3"/>
      <c r="BD367" s="14"/>
      <c r="BE367" s="14"/>
      <c r="BF367" s="16"/>
      <c r="BG367" s="16"/>
      <c r="BH367" s="12">
        <f t="shared" si="134"/>
        <v>0</v>
      </c>
      <c r="BI367" s="19">
        <f t="shared" si="135"/>
        <v>0</v>
      </c>
      <c r="BJ367" s="1" t="s">
        <v>35</v>
      </c>
      <c r="BK367">
        <f t="shared" si="136"/>
        <v>0</v>
      </c>
      <c r="BL367">
        <f t="shared" si="137"/>
        <v>0</v>
      </c>
    </row>
    <row r="368" spans="1:64" x14ac:dyDescent="0.25">
      <c r="A368" s="1" t="s">
        <v>1106</v>
      </c>
      <c r="B368" s="1" t="s">
        <v>1105</v>
      </c>
      <c r="C368" s="13" t="s">
        <v>1104</v>
      </c>
      <c r="D368" s="15"/>
      <c r="E368" s="17"/>
      <c r="F368" s="3"/>
      <c r="G368" s="14"/>
      <c r="H368" s="16"/>
      <c r="I368" s="11">
        <v>46221</v>
      </c>
      <c r="J368" s="4">
        <v>17</v>
      </c>
      <c r="K368" s="18">
        <f>(F368-(0)+0-(J368*Ventas!AE365*1))</f>
        <v>0</v>
      </c>
      <c r="L368" s="3"/>
      <c r="M368" s="22">
        <f t="shared" si="138"/>
        <v>0</v>
      </c>
      <c r="N368" s="14"/>
      <c r="O368" s="25">
        <f t="shared" si="122"/>
        <v>0</v>
      </c>
      <c r="P368" s="16"/>
      <c r="Q368" s="12">
        <f t="shared" si="123"/>
        <v>0</v>
      </c>
      <c r="R368" s="5">
        <v>0</v>
      </c>
      <c r="S368" s="24">
        <v>0</v>
      </c>
      <c r="T368" s="26">
        <v>0</v>
      </c>
      <c r="U368" s="18">
        <f t="shared" si="124"/>
        <v>0</v>
      </c>
      <c r="V368" s="22">
        <f t="shared" si="125"/>
        <v>0</v>
      </c>
      <c r="W368" s="25">
        <f t="shared" si="126"/>
        <v>0</v>
      </c>
      <c r="X368" s="3"/>
      <c r="Y368" s="14"/>
      <c r="Z368" s="14"/>
      <c r="AA368" s="3"/>
      <c r="AB368" s="3"/>
      <c r="AC368" s="11">
        <v>46313</v>
      </c>
      <c r="AD368" s="4">
        <v>92</v>
      </c>
      <c r="AE368" s="18">
        <f>(IF(K368&gt;0,K368+R368,R368)-(AD368*Ventas!AE365*1.0489))</f>
        <v>0</v>
      </c>
      <c r="AF368" s="3"/>
      <c r="AG368" s="22">
        <f t="shared" si="139"/>
        <v>0</v>
      </c>
      <c r="AH368" s="14"/>
      <c r="AI368" s="25">
        <f t="shared" si="127"/>
        <v>0</v>
      </c>
      <c r="AJ368" s="16"/>
      <c r="AK368" s="12">
        <f t="shared" si="128"/>
        <v>0</v>
      </c>
      <c r="AL368" s="19">
        <f t="shared" si="129"/>
        <v>0</v>
      </c>
      <c r="AM368" s="18">
        <f>(180*(Ventas!AE365*0.9644) - IF(AE368&gt;0,AE368,0))</f>
        <v>0</v>
      </c>
      <c r="AN368" s="18">
        <f t="shared" si="140"/>
        <v>0</v>
      </c>
      <c r="AO368" s="14"/>
      <c r="AP368" s="14">
        <f t="shared" si="141"/>
        <v>0</v>
      </c>
      <c r="AQ368" s="16">
        <f t="shared" si="132"/>
        <v>0</v>
      </c>
      <c r="AR368" s="37">
        <f>_xlfn.XLOOKUP(C368,[1]Hoja2!$C$6:$C$24,[1]Hoja2!$D$6:$D$24,0,2,1)</f>
        <v>0</v>
      </c>
      <c r="AS368" s="18">
        <f t="shared" si="133"/>
        <v>0</v>
      </c>
      <c r="AT368" s="14"/>
      <c r="AU368" s="37">
        <f>_xlfn.XLOOKUP(D368,[1]Hoja2!$E$6:$E$24,[1]Hoja2!$F$6:$F$24,0,2,1)</f>
        <v>0</v>
      </c>
      <c r="AV368" s="3">
        <v>0</v>
      </c>
      <c r="AW368" s="3"/>
      <c r="AX368" s="14">
        <v>0</v>
      </c>
      <c r="AY368" s="14"/>
      <c r="AZ368" s="16">
        <f>_xlfn.XLOOKUP(C368,[2]PI!$B$15:$B$99,[2]PI!$L$15:$L$99,0,2,1)</f>
        <v>0</v>
      </c>
      <c r="BA368" s="16">
        <f>_xlfn.XLOOKUP(D368,[2]PI!$B$15:$B$99,[2]PI!$L$15:$L$99,0,2,1)</f>
        <v>0</v>
      </c>
      <c r="BB368" s="3"/>
      <c r="BC368" s="3"/>
      <c r="BD368" s="14"/>
      <c r="BE368" s="14"/>
      <c r="BF368" s="16"/>
      <c r="BG368" s="16"/>
      <c r="BH368" s="12">
        <f t="shared" si="134"/>
        <v>0</v>
      </c>
      <c r="BI368" s="19">
        <f t="shared" si="135"/>
        <v>0</v>
      </c>
      <c r="BJ368" s="1" t="s">
        <v>35</v>
      </c>
      <c r="BK368">
        <f t="shared" si="136"/>
        <v>0</v>
      </c>
      <c r="BL368">
        <f t="shared" si="137"/>
        <v>0</v>
      </c>
    </row>
    <row r="369" spans="1:64" x14ac:dyDescent="0.25">
      <c r="A369" s="1" t="s">
        <v>1109</v>
      </c>
      <c r="B369" s="1" t="s">
        <v>1108</v>
      </c>
      <c r="C369" s="13" t="s">
        <v>1107</v>
      </c>
      <c r="D369" s="15"/>
      <c r="E369" s="17"/>
      <c r="F369" s="3"/>
      <c r="G369" s="14"/>
      <c r="H369" s="16"/>
      <c r="I369" s="11">
        <v>46221</v>
      </c>
      <c r="J369" s="4">
        <v>17</v>
      </c>
      <c r="K369" s="18">
        <f>(F369-(0)+0-(J369*Ventas!AE366*1))</f>
        <v>0</v>
      </c>
      <c r="L369" s="3"/>
      <c r="M369" s="22">
        <f t="shared" si="138"/>
        <v>0</v>
      </c>
      <c r="N369" s="14"/>
      <c r="O369" s="25">
        <f t="shared" si="122"/>
        <v>0</v>
      </c>
      <c r="P369" s="16"/>
      <c r="Q369" s="12">
        <f t="shared" si="123"/>
        <v>0</v>
      </c>
      <c r="R369" s="5">
        <v>0</v>
      </c>
      <c r="S369" s="24">
        <v>0</v>
      </c>
      <c r="T369" s="26">
        <v>0</v>
      </c>
      <c r="U369" s="18">
        <f t="shared" si="124"/>
        <v>0</v>
      </c>
      <c r="V369" s="22">
        <f t="shared" si="125"/>
        <v>0</v>
      </c>
      <c r="W369" s="25">
        <f t="shared" si="126"/>
        <v>0</v>
      </c>
      <c r="X369" s="3"/>
      <c r="Y369" s="14"/>
      <c r="Z369" s="14"/>
      <c r="AA369" s="3"/>
      <c r="AB369" s="3"/>
      <c r="AC369" s="11">
        <v>46313</v>
      </c>
      <c r="AD369" s="4">
        <v>92</v>
      </c>
      <c r="AE369" s="18">
        <f>(IF(K369&gt;0,K369+R369,R369)-(AD369*Ventas!AE366*1.0489))</f>
        <v>0</v>
      </c>
      <c r="AF369" s="3"/>
      <c r="AG369" s="22">
        <f t="shared" si="139"/>
        <v>0</v>
      </c>
      <c r="AH369" s="14"/>
      <c r="AI369" s="25">
        <f t="shared" si="127"/>
        <v>0</v>
      </c>
      <c r="AJ369" s="16"/>
      <c r="AK369" s="12">
        <f t="shared" si="128"/>
        <v>0</v>
      </c>
      <c r="AL369" s="19">
        <f t="shared" si="129"/>
        <v>0</v>
      </c>
      <c r="AM369" s="18">
        <f>(180*(Ventas!AE366*0.9644) - IF(AE369&gt;0,AE369,0))</f>
        <v>0</v>
      </c>
      <c r="AN369" s="18">
        <f t="shared" si="140"/>
        <v>0</v>
      </c>
      <c r="AO369" s="14"/>
      <c r="AP369" s="14">
        <f t="shared" si="141"/>
        <v>0</v>
      </c>
      <c r="AQ369" s="16">
        <f t="shared" si="132"/>
        <v>0</v>
      </c>
      <c r="AR369" s="37">
        <f>_xlfn.XLOOKUP(C369,[1]Hoja2!$C$6:$C$24,[1]Hoja2!$D$6:$D$24,0,2,1)</f>
        <v>0</v>
      </c>
      <c r="AS369" s="18">
        <f t="shared" si="133"/>
        <v>0</v>
      </c>
      <c r="AT369" s="14"/>
      <c r="AU369" s="37">
        <f>_xlfn.XLOOKUP(D369,[1]Hoja2!$E$6:$E$24,[1]Hoja2!$F$6:$F$24,0,2,1)</f>
        <v>0</v>
      </c>
      <c r="AV369" s="3">
        <v>0</v>
      </c>
      <c r="AW369" s="3"/>
      <c r="AX369" s="14">
        <v>0</v>
      </c>
      <c r="AY369" s="14"/>
      <c r="AZ369" s="16">
        <f>_xlfn.XLOOKUP(C369,[2]PI!$B$15:$B$99,[2]PI!$L$15:$L$99,0,2,1)</f>
        <v>0</v>
      </c>
      <c r="BA369" s="16">
        <f>_xlfn.XLOOKUP(D369,[2]PI!$B$15:$B$99,[2]PI!$L$15:$L$99,0,2,1)</f>
        <v>0</v>
      </c>
      <c r="BB369" s="3"/>
      <c r="BC369" s="3"/>
      <c r="BD369" s="14"/>
      <c r="BE369" s="14"/>
      <c r="BF369" s="16"/>
      <c r="BG369" s="16"/>
      <c r="BH369" s="12">
        <f t="shared" si="134"/>
        <v>0</v>
      </c>
      <c r="BI369" s="19">
        <f t="shared" si="135"/>
        <v>0</v>
      </c>
      <c r="BJ369" s="1" t="s">
        <v>35</v>
      </c>
      <c r="BK369">
        <f t="shared" si="136"/>
        <v>0</v>
      </c>
      <c r="BL369">
        <f t="shared" si="137"/>
        <v>0</v>
      </c>
    </row>
    <row r="370" spans="1:64" x14ac:dyDescent="0.25">
      <c r="A370" s="1" t="s">
        <v>1112</v>
      </c>
      <c r="B370" s="1" t="s">
        <v>1111</v>
      </c>
      <c r="C370" s="13" t="s">
        <v>1110</v>
      </c>
      <c r="D370" s="15"/>
      <c r="E370" s="17"/>
      <c r="F370" s="3"/>
      <c r="G370" s="14"/>
      <c r="H370" s="16"/>
      <c r="I370" s="11">
        <v>46221</v>
      </c>
      <c r="J370" s="4">
        <v>17</v>
      </c>
      <c r="K370" s="18">
        <f>(F370-(0)+0-(J370*Ventas!AE367*1))</f>
        <v>0</v>
      </c>
      <c r="L370" s="3"/>
      <c r="M370" s="22">
        <f t="shared" si="138"/>
        <v>0</v>
      </c>
      <c r="N370" s="14"/>
      <c r="O370" s="25">
        <f t="shared" si="122"/>
        <v>0</v>
      </c>
      <c r="P370" s="16"/>
      <c r="Q370" s="12">
        <f t="shared" si="123"/>
        <v>0</v>
      </c>
      <c r="R370" s="5">
        <v>0</v>
      </c>
      <c r="S370" s="24">
        <v>0</v>
      </c>
      <c r="T370" s="26">
        <v>0</v>
      </c>
      <c r="U370" s="18">
        <f t="shared" si="124"/>
        <v>0</v>
      </c>
      <c r="V370" s="22">
        <f t="shared" si="125"/>
        <v>0</v>
      </c>
      <c r="W370" s="25">
        <f t="shared" si="126"/>
        <v>0</v>
      </c>
      <c r="X370" s="3"/>
      <c r="Y370" s="14"/>
      <c r="Z370" s="14"/>
      <c r="AA370" s="3"/>
      <c r="AB370" s="3"/>
      <c r="AC370" s="11">
        <v>46313</v>
      </c>
      <c r="AD370" s="4">
        <v>92</v>
      </c>
      <c r="AE370" s="18">
        <f>(IF(K370&gt;0,K370+R370,R370)-(AD370*Ventas!AE367*1.0489))</f>
        <v>0</v>
      </c>
      <c r="AF370" s="3"/>
      <c r="AG370" s="22">
        <f t="shared" si="139"/>
        <v>0</v>
      </c>
      <c r="AH370" s="14"/>
      <c r="AI370" s="25">
        <f t="shared" si="127"/>
        <v>0</v>
      </c>
      <c r="AJ370" s="16"/>
      <c r="AK370" s="12">
        <f t="shared" si="128"/>
        <v>0</v>
      </c>
      <c r="AL370" s="19">
        <f t="shared" si="129"/>
        <v>0</v>
      </c>
      <c r="AM370" s="18">
        <f>(180*(Ventas!AE367*0.9644) - IF(AE370&gt;0,AE370,0))</f>
        <v>0</v>
      </c>
      <c r="AN370" s="18">
        <f t="shared" si="140"/>
        <v>0</v>
      </c>
      <c r="AO370" s="14"/>
      <c r="AP370" s="14">
        <f t="shared" si="141"/>
        <v>0</v>
      </c>
      <c r="AQ370" s="16">
        <f t="shared" si="132"/>
        <v>0</v>
      </c>
      <c r="AR370" s="37">
        <f>_xlfn.XLOOKUP(C370,[1]Hoja2!$C$6:$C$24,[1]Hoja2!$D$6:$D$24,0,2,1)</f>
        <v>0</v>
      </c>
      <c r="AS370" s="18">
        <f t="shared" si="133"/>
        <v>0</v>
      </c>
      <c r="AT370" s="14"/>
      <c r="AU370" s="37">
        <f>_xlfn.XLOOKUP(D370,[1]Hoja2!$E$6:$E$24,[1]Hoja2!$F$6:$F$24,0,2,1)</f>
        <v>0</v>
      </c>
      <c r="AV370" s="3">
        <v>0</v>
      </c>
      <c r="AW370" s="3"/>
      <c r="AX370" s="14">
        <v>0</v>
      </c>
      <c r="AY370" s="14"/>
      <c r="AZ370" s="16">
        <f>_xlfn.XLOOKUP(C370,[2]PI!$B$15:$B$99,[2]PI!$L$15:$L$99,0,2,1)</f>
        <v>0</v>
      </c>
      <c r="BA370" s="16">
        <f>_xlfn.XLOOKUP(D370,[2]PI!$B$15:$B$99,[2]PI!$L$15:$L$99,0,2,1)</f>
        <v>0</v>
      </c>
      <c r="BB370" s="3"/>
      <c r="BC370" s="3"/>
      <c r="BD370" s="14"/>
      <c r="BE370" s="14"/>
      <c r="BF370" s="16"/>
      <c r="BG370" s="16"/>
      <c r="BH370" s="12">
        <f t="shared" si="134"/>
        <v>0</v>
      </c>
      <c r="BI370" s="19">
        <f t="shared" si="135"/>
        <v>0</v>
      </c>
      <c r="BJ370" s="1" t="s">
        <v>35</v>
      </c>
      <c r="BK370">
        <f t="shared" si="136"/>
        <v>0</v>
      </c>
      <c r="BL370">
        <f t="shared" si="137"/>
        <v>0</v>
      </c>
    </row>
    <row r="371" spans="1:64" x14ac:dyDescent="0.25">
      <c r="A371" s="1" t="s">
        <v>1115</v>
      </c>
      <c r="B371" s="1" t="s">
        <v>1114</v>
      </c>
      <c r="C371" s="13" t="s">
        <v>1113</v>
      </c>
      <c r="D371" s="15"/>
      <c r="E371" s="17"/>
      <c r="F371" s="3"/>
      <c r="G371" s="14"/>
      <c r="H371" s="16"/>
      <c r="I371" s="11">
        <v>46221</v>
      </c>
      <c r="J371" s="4">
        <v>17</v>
      </c>
      <c r="K371" s="18">
        <f>(F371-(0)+0-(J371*Ventas!AE368*1))</f>
        <v>0</v>
      </c>
      <c r="L371" s="3"/>
      <c r="M371" s="22">
        <f t="shared" si="138"/>
        <v>0</v>
      </c>
      <c r="N371" s="14"/>
      <c r="O371" s="25">
        <f t="shared" si="122"/>
        <v>0</v>
      </c>
      <c r="P371" s="16"/>
      <c r="Q371" s="12">
        <f t="shared" si="123"/>
        <v>0</v>
      </c>
      <c r="R371" s="5">
        <v>0</v>
      </c>
      <c r="S371" s="24">
        <v>0</v>
      </c>
      <c r="T371" s="26">
        <v>0</v>
      </c>
      <c r="U371" s="18">
        <f t="shared" si="124"/>
        <v>0</v>
      </c>
      <c r="V371" s="22">
        <f t="shared" si="125"/>
        <v>0</v>
      </c>
      <c r="W371" s="25">
        <f t="shared" si="126"/>
        <v>0</v>
      </c>
      <c r="X371" s="3"/>
      <c r="Y371" s="14"/>
      <c r="Z371" s="14"/>
      <c r="AA371" s="3"/>
      <c r="AB371" s="3"/>
      <c r="AC371" s="11">
        <v>46313</v>
      </c>
      <c r="AD371" s="4">
        <v>92</v>
      </c>
      <c r="AE371" s="18">
        <f>(IF(K371&gt;0,K371+R371,R371)-(AD371*Ventas!AE368*1.0489))</f>
        <v>0</v>
      </c>
      <c r="AF371" s="3"/>
      <c r="AG371" s="22">
        <f t="shared" si="139"/>
        <v>0</v>
      </c>
      <c r="AH371" s="14"/>
      <c r="AI371" s="25">
        <f t="shared" si="127"/>
        <v>0</v>
      </c>
      <c r="AJ371" s="16"/>
      <c r="AK371" s="12">
        <f t="shared" si="128"/>
        <v>0</v>
      </c>
      <c r="AL371" s="19">
        <f t="shared" si="129"/>
        <v>0</v>
      </c>
      <c r="AM371" s="18">
        <f>(180*(Ventas!AE368*0.9644) - IF(AE371&gt;0,AE371,0))</f>
        <v>0</v>
      </c>
      <c r="AN371" s="18">
        <f t="shared" si="140"/>
        <v>0</v>
      </c>
      <c r="AO371" s="14"/>
      <c r="AP371" s="14">
        <f t="shared" si="141"/>
        <v>0</v>
      </c>
      <c r="AQ371" s="16">
        <f t="shared" si="132"/>
        <v>0</v>
      </c>
      <c r="AR371" s="37">
        <f>_xlfn.XLOOKUP(C371,[1]Hoja2!$C$6:$C$24,[1]Hoja2!$D$6:$D$24,0,2,1)</f>
        <v>0</v>
      </c>
      <c r="AS371" s="18">
        <f t="shared" si="133"/>
        <v>0</v>
      </c>
      <c r="AT371" s="14"/>
      <c r="AU371" s="37">
        <f>_xlfn.XLOOKUP(D371,[1]Hoja2!$E$6:$E$24,[1]Hoja2!$F$6:$F$24,0,2,1)</f>
        <v>0</v>
      </c>
      <c r="AV371" s="3">
        <v>0</v>
      </c>
      <c r="AW371" s="3"/>
      <c r="AX371" s="14">
        <v>0</v>
      </c>
      <c r="AY371" s="14"/>
      <c r="AZ371" s="16">
        <f>_xlfn.XLOOKUP(C371,[2]PI!$B$15:$B$99,[2]PI!$L$15:$L$99,0,2,1)</f>
        <v>0</v>
      </c>
      <c r="BA371" s="16">
        <f>_xlfn.XLOOKUP(D371,[2]PI!$B$15:$B$99,[2]PI!$L$15:$L$99,0,2,1)</f>
        <v>0</v>
      </c>
      <c r="BB371" s="3"/>
      <c r="BC371" s="3"/>
      <c r="BD371" s="14"/>
      <c r="BE371" s="14"/>
      <c r="BF371" s="16"/>
      <c r="BG371" s="16"/>
      <c r="BH371" s="12">
        <f t="shared" si="134"/>
        <v>0</v>
      </c>
      <c r="BI371" s="19">
        <f t="shared" si="135"/>
        <v>0</v>
      </c>
      <c r="BJ371" s="1" t="s">
        <v>35</v>
      </c>
      <c r="BK371">
        <f t="shared" si="136"/>
        <v>0</v>
      </c>
      <c r="BL371">
        <f t="shared" si="137"/>
        <v>0</v>
      </c>
    </row>
    <row r="372" spans="1:64" x14ac:dyDescent="0.25">
      <c r="A372" s="1" t="s">
        <v>1118</v>
      </c>
      <c r="B372" s="1" t="s">
        <v>1117</v>
      </c>
      <c r="C372" s="13" t="s">
        <v>1116</v>
      </c>
      <c r="D372" s="15"/>
      <c r="E372" s="17"/>
      <c r="F372" s="3"/>
      <c r="G372" s="14"/>
      <c r="H372" s="16"/>
      <c r="I372" s="11">
        <v>46221</v>
      </c>
      <c r="J372" s="4">
        <v>17</v>
      </c>
      <c r="K372" s="18">
        <f>(F372-(0)+0-(J372*Ventas!AE369*1))</f>
        <v>0</v>
      </c>
      <c r="L372" s="3"/>
      <c r="M372" s="22">
        <f t="shared" si="138"/>
        <v>0</v>
      </c>
      <c r="N372" s="14"/>
      <c r="O372" s="25">
        <f t="shared" si="122"/>
        <v>0</v>
      </c>
      <c r="P372" s="16"/>
      <c r="Q372" s="12">
        <f t="shared" si="123"/>
        <v>0</v>
      </c>
      <c r="R372" s="5">
        <v>0</v>
      </c>
      <c r="S372" s="24">
        <v>0</v>
      </c>
      <c r="T372" s="26">
        <v>0</v>
      </c>
      <c r="U372" s="18">
        <f t="shared" si="124"/>
        <v>0</v>
      </c>
      <c r="V372" s="22">
        <f t="shared" si="125"/>
        <v>0</v>
      </c>
      <c r="W372" s="25">
        <f t="shared" si="126"/>
        <v>0</v>
      </c>
      <c r="X372" s="3"/>
      <c r="Y372" s="14"/>
      <c r="Z372" s="14"/>
      <c r="AA372" s="3"/>
      <c r="AB372" s="3"/>
      <c r="AC372" s="11">
        <v>46313</v>
      </c>
      <c r="AD372" s="4">
        <v>92</v>
      </c>
      <c r="AE372" s="18">
        <f>(IF(K372&gt;0,K372+R372,R372)-(AD372*Ventas!AE369*1.0489))</f>
        <v>0</v>
      </c>
      <c r="AF372" s="3"/>
      <c r="AG372" s="22">
        <f t="shared" si="139"/>
        <v>0</v>
      </c>
      <c r="AH372" s="14"/>
      <c r="AI372" s="25">
        <f t="shared" si="127"/>
        <v>0</v>
      </c>
      <c r="AJ372" s="16"/>
      <c r="AK372" s="12">
        <f t="shared" si="128"/>
        <v>0</v>
      </c>
      <c r="AL372" s="19">
        <f t="shared" si="129"/>
        <v>0</v>
      </c>
      <c r="AM372" s="18">
        <f>(180*(Ventas!AE369*0.9644) - IF(AE372&gt;0,AE372,0))</f>
        <v>0</v>
      </c>
      <c r="AN372" s="18">
        <f t="shared" si="140"/>
        <v>0</v>
      </c>
      <c r="AO372" s="14"/>
      <c r="AP372" s="14">
        <f t="shared" si="141"/>
        <v>0</v>
      </c>
      <c r="AQ372" s="16">
        <f t="shared" si="132"/>
        <v>0</v>
      </c>
      <c r="AR372" s="37">
        <f>_xlfn.XLOOKUP(C372,[1]Hoja2!$C$6:$C$24,[1]Hoja2!$D$6:$D$24,0,2,1)</f>
        <v>0</v>
      </c>
      <c r="AS372" s="18">
        <f t="shared" si="133"/>
        <v>0</v>
      </c>
      <c r="AT372" s="14"/>
      <c r="AU372" s="37">
        <f>_xlfn.XLOOKUP(D372,[1]Hoja2!$E$6:$E$24,[1]Hoja2!$F$6:$F$24,0,2,1)</f>
        <v>0</v>
      </c>
      <c r="AV372" s="3">
        <v>0</v>
      </c>
      <c r="AW372" s="3"/>
      <c r="AX372" s="14">
        <v>0</v>
      </c>
      <c r="AY372" s="14"/>
      <c r="AZ372" s="16">
        <f>_xlfn.XLOOKUP(C372,[2]PI!$B$15:$B$99,[2]PI!$L$15:$L$99,0,2,1)</f>
        <v>0</v>
      </c>
      <c r="BA372" s="16">
        <f>_xlfn.XLOOKUP(D372,[2]PI!$B$15:$B$99,[2]PI!$L$15:$L$99,0,2,1)</f>
        <v>0</v>
      </c>
      <c r="BB372" s="3"/>
      <c r="BC372" s="3"/>
      <c r="BD372" s="14"/>
      <c r="BE372" s="14"/>
      <c r="BF372" s="16"/>
      <c r="BG372" s="16"/>
      <c r="BH372" s="12">
        <f t="shared" si="134"/>
        <v>0</v>
      </c>
      <c r="BI372" s="19">
        <f t="shared" si="135"/>
        <v>0</v>
      </c>
      <c r="BJ372" s="1" t="s">
        <v>35</v>
      </c>
      <c r="BK372">
        <f t="shared" si="136"/>
        <v>0</v>
      </c>
      <c r="BL372">
        <f t="shared" si="137"/>
        <v>0</v>
      </c>
    </row>
    <row r="373" spans="1:64" x14ac:dyDescent="0.25">
      <c r="A373" s="1" t="s">
        <v>1121</v>
      </c>
      <c r="B373" s="1" t="s">
        <v>1120</v>
      </c>
      <c r="C373" s="13" t="s">
        <v>1119</v>
      </c>
      <c r="D373" s="15"/>
      <c r="E373" s="17"/>
      <c r="F373" s="3"/>
      <c r="G373" s="14"/>
      <c r="H373" s="16"/>
      <c r="I373" s="11">
        <v>46221</v>
      </c>
      <c r="J373" s="4">
        <v>17</v>
      </c>
      <c r="K373" s="18">
        <f>(F373-(0)+0-(J373*Ventas!AE370*1))</f>
        <v>0</v>
      </c>
      <c r="L373" s="3"/>
      <c r="M373" s="22">
        <f t="shared" si="138"/>
        <v>0</v>
      </c>
      <c r="N373" s="14"/>
      <c r="O373" s="25">
        <f t="shared" si="122"/>
        <v>0</v>
      </c>
      <c r="P373" s="16"/>
      <c r="Q373" s="12">
        <f t="shared" si="123"/>
        <v>0</v>
      </c>
      <c r="R373" s="5">
        <v>0</v>
      </c>
      <c r="S373" s="24">
        <v>0</v>
      </c>
      <c r="T373" s="26">
        <v>0</v>
      </c>
      <c r="U373" s="18">
        <f t="shared" si="124"/>
        <v>0</v>
      </c>
      <c r="V373" s="22">
        <f t="shared" si="125"/>
        <v>0</v>
      </c>
      <c r="W373" s="25">
        <f t="shared" si="126"/>
        <v>0</v>
      </c>
      <c r="X373" s="3"/>
      <c r="Y373" s="14"/>
      <c r="Z373" s="14"/>
      <c r="AA373" s="3"/>
      <c r="AB373" s="3"/>
      <c r="AC373" s="11">
        <v>46313</v>
      </c>
      <c r="AD373" s="4">
        <v>92</v>
      </c>
      <c r="AE373" s="18">
        <f>(IF(K373&gt;0,K373+R373,R373)-(AD373*Ventas!AE370*1.0489))</f>
        <v>0</v>
      </c>
      <c r="AF373" s="3"/>
      <c r="AG373" s="22">
        <f t="shared" si="139"/>
        <v>0</v>
      </c>
      <c r="AH373" s="14"/>
      <c r="AI373" s="25">
        <f t="shared" si="127"/>
        <v>0</v>
      </c>
      <c r="AJ373" s="16"/>
      <c r="AK373" s="12">
        <f t="shared" si="128"/>
        <v>0</v>
      </c>
      <c r="AL373" s="19">
        <f t="shared" si="129"/>
        <v>0</v>
      </c>
      <c r="AM373" s="18">
        <f>(180*(Ventas!AE370*0.9644) - IF(AE373&gt;0,AE373,0))</f>
        <v>0</v>
      </c>
      <c r="AN373" s="18">
        <f t="shared" si="140"/>
        <v>0</v>
      </c>
      <c r="AO373" s="14"/>
      <c r="AP373" s="14">
        <f t="shared" si="141"/>
        <v>0</v>
      </c>
      <c r="AQ373" s="16">
        <f t="shared" si="132"/>
        <v>0</v>
      </c>
      <c r="AR373" s="37">
        <f>_xlfn.XLOOKUP(C373,[1]Hoja2!$C$6:$C$24,[1]Hoja2!$D$6:$D$24,0,2,1)</f>
        <v>0</v>
      </c>
      <c r="AS373" s="18">
        <f t="shared" si="133"/>
        <v>0</v>
      </c>
      <c r="AT373" s="14"/>
      <c r="AU373" s="37">
        <f>_xlfn.XLOOKUP(D373,[1]Hoja2!$E$6:$E$24,[1]Hoja2!$F$6:$F$24,0,2,1)</f>
        <v>0</v>
      </c>
      <c r="AV373" s="3">
        <v>0</v>
      </c>
      <c r="AW373" s="3"/>
      <c r="AX373" s="14">
        <v>0</v>
      </c>
      <c r="AY373" s="14"/>
      <c r="AZ373" s="16">
        <f>_xlfn.XLOOKUP(C373,[2]PI!$B$15:$B$99,[2]PI!$L$15:$L$99,0,2,1)</f>
        <v>0</v>
      </c>
      <c r="BA373" s="16">
        <f>_xlfn.XLOOKUP(D373,[2]PI!$B$15:$B$99,[2]PI!$L$15:$L$99,0,2,1)</f>
        <v>0</v>
      </c>
      <c r="BB373" s="3"/>
      <c r="BC373" s="3"/>
      <c r="BD373" s="14"/>
      <c r="BE373" s="14"/>
      <c r="BF373" s="16"/>
      <c r="BG373" s="16"/>
      <c r="BH373" s="12">
        <f t="shared" si="134"/>
        <v>0</v>
      </c>
      <c r="BI373" s="19">
        <f t="shared" si="135"/>
        <v>0</v>
      </c>
      <c r="BJ373" s="1" t="s">
        <v>35</v>
      </c>
      <c r="BK373">
        <f t="shared" si="136"/>
        <v>0</v>
      </c>
      <c r="BL373">
        <f t="shared" si="137"/>
        <v>0</v>
      </c>
    </row>
    <row r="374" spans="1:64" x14ac:dyDescent="0.25">
      <c r="A374" s="1" t="s">
        <v>1124</v>
      </c>
      <c r="B374" s="1" t="s">
        <v>1123</v>
      </c>
      <c r="C374" s="13" t="s">
        <v>1122</v>
      </c>
      <c r="D374" s="15"/>
      <c r="E374" s="17"/>
      <c r="F374" s="3"/>
      <c r="G374" s="14"/>
      <c r="H374" s="16"/>
      <c r="I374" s="11">
        <v>46221</v>
      </c>
      <c r="J374" s="4">
        <v>17</v>
      </c>
      <c r="K374" s="18">
        <f>(F374-(0)+0-(J374*Ventas!AE371*1))</f>
        <v>0</v>
      </c>
      <c r="L374" s="3"/>
      <c r="M374" s="22">
        <f t="shared" si="138"/>
        <v>0</v>
      </c>
      <c r="N374" s="14"/>
      <c r="O374" s="25">
        <f t="shared" si="122"/>
        <v>0</v>
      </c>
      <c r="P374" s="16"/>
      <c r="Q374" s="12">
        <f t="shared" si="123"/>
        <v>0</v>
      </c>
      <c r="R374" s="5">
        <v>0</v>
      </c>
      <c r="S374" s="24">
        <v>0</v>
      </c>
      <c r="T374" s="26">
        <v>0</v>
      </c>
      <c r="U374" s="18">
        <f t="shared" si="124"/>
        <v>0</v>
      </c>
      <c r="V374" s="22">
        <f t="shared" si="125"/>
        <v>0</v>
      </c>
      <c r="W374" s="25">
        <f t="shared" si="126"/>
        <v>0</v>
      </c>
      <c r="X374" s="3"/>
      <c r="Y374" s="14"/>
      <c r="Z374" s="14"/>
      <c r="AA374" s="3"/>
      <c r="AB374" s="3"/>
      <c r="AC374" s="11">
        <v>46313</v>
      </c>
      <c r="AD374" s="4">
        <v>92</v>
      </c>
      <c r="AE374" s="18">
        <f>(IF(K374&gt;0,K374+R374,R374)-(AD374*Ventas!AE371*1.0489))</f>
        <v>0</v>
      </c>
      <c r="AF374" s="3"/>
      <c r="AG374" s="22">
        <f t="shared" si="139"/>
        <v>0</v>
      </c>
      <c r="AH374" s="14"/>
      <c r="AI374" s="25">
        <f t="shared" si="127"/>
        <v>0</v>
      </c>
      <c r="AJ374" s="16"/>
      <c r="AK374" s="12">
        <f t="shared" si="128"/>
        <v>0</v>
      </c>
      <c r="AL374" s="19">
        <f t="shared" si="129"/>
        <v>0</v>
      </c>
      <c r="AM374" s="18">
        <f>(180*(Ventas!AE371*0.9644) - IF(AE374&gt;0,AE374,0))</f>
        <v>0</v>
      </c>
      <c r="AN374" s="18">
        <f t="shared" si="140"/>
        <v>0</v>
      </c>
      <c r="AO374" s="14"/>
      <c r="AP374" s="14">
        <f t="shared" si="141"/>
        <v>0</v>
      </c>
      <c r="AQ374" s="16">
        <f t="shared" si="132"/>
        <v>0</v>
      </c>
      <c r="AR374" s="37">
        <f>_xlfn.XLOOKUP(C374,[1]Hoja2!$C$6:$C$24,[1]Hoja2!$D$6:$D$24,0,2,1)</f>
        <v>0</v>
      </c>
      <c r="AS374" s="18">
        <f t="shared" si="133"/>
        <v>0</v>
      </c>
      <c r="AT374" s="14"/>
      <c r="AU374" s="37">
        <f>_xlfn.XLOOKUP(D374,[1]Hoja2!$E$6:$E$24,[1]Hoja2!$F$6:$F$24,0,2,1)</f>
        <v>0</v>
      </c>
      <c r="AV374" s="3">
        <v>0</v>
      </c>
      <c r="AW374" s="3"/>
      <c r="AX374" s="14">
        <v>0</v>
      </c>
      <c r="AY374" s="14"/>
      <c r="AZ374" s="16">
        <f>_xlfn.XLOOKUP(C374,[2]PI!$B$15:$B$99,[2]PI!$L$15:$L$99,0,2,1)</f>
        <v>0</v>
      </c>
      <c r="BA374" s="16">
        <f>_xlfn.XLOOKUP(D374,[2]PI!$B$15:$B$99,[2]PI!$L$15:$L$99,0,2,1)</f>
        <v>0</v>
      </c>
      <c r="BB374" s="3"/>
      <c r="BC374" s="3"/>
      <c r="BD374" s="14"/>
      <c r="BE374" s="14"/>
      <c r="BF374" s="16"/>
      <c r="BG374" s="16"/>
      <c r="BH374" s="12">
        <f t="shared" si="134"/>
        <v>0</v>
      </c>
      <c r="BI374" s="19">
        <f t="shared" si="135"/>
        <v>0</v>
      </c>
      <c r="BJ374" s="1" t="s">
        <v>35</v>
      </c>
      <c r="BK374">
        <f t="shared" si="136"/>
        <v>0</v>
      </c>
      <c r="BL374">
        <f t="shared" si="137"/>
        <v>0</v>
      </c>
    </row>
    <row r="375" spans="1:64" x14ac:dyDescent="0.25">
      <c r="A375" s="1" t="s">
        <v>1127</v>
      </c>
      <c r="B375" s="1" t="s">
        <v>1126</v>
      </c>
      <c r="C375" s="13" t="s">
        <v>1125</v>
      </c>
      <c r="D375" s="15"/>
      <c r="E375" s="17"/>
      <c r="F375" s="3"/>
      <c r="G375" s="14"/>
      <c r="H375" s="16"/>
      <c r="I375" s="11">
        <v>46221</v>
      </c>
      <c r="J375" s="4">
        <v>17</v>
      </c>
      <c r="K375" s="18">
        <f>(F375-(0)+0-(J375*Ventas!AE372*1))</f>
        <v>0</v>
      </c>
      <c r="L375" s="3"/>
      <c r="M375" s="22">
        <f t="shared" si="138"/>
        <v>0</v>
      </c>
      <c r="N375" s="14"/>
      <c r="O375" s="25">
        <f t="shared" si="122"/>
        <v>0</v>
      </c>
      <c r="P375" s="16"/>
      <c r="Q375" s="12">
        <f t="shared" si="123"/>
        <v>0</v>
      </c>
      <c r="R375" s="5">
        <v>0</v>
      </c>
      <c r="S375" s="24">
        <v>0</v>
      </c>
      <c r="T375" s="26">
        <v>0</v>
      </c>
      <c r="U375" s="18">
        <f t="shared" si="124"/>
        <v>0</v>
      </c>
      <c r="V375" s="22">
        <f t="shared" si="125"/>
        <v>0</v>
      </c>
      <c r="W375" s="25">
        <f t="shared" si="126"/>
        <v>0</v>
      </c>
      <c r="X375" s="3"/>
      <c r="Y375" s="14"/>
      <c r="Z375" s="14"/>
      <c r="AA375" s="3"/>
      <c r="AB375" s="3"/>
      <c r="AC375" s="11">
        <v>46313</v>
      </c>
      <c r="AD375" s="4">
        <v>92</v>
      </c>
      <c r="AE375" s="18">
        <f>(IF(K375&gt;0,K375+R375,R375)-(AD375*Ventas!AE372*1.0489))</f>
        <v>0</v>
      </c>
      <c r="AF375" s="3"/>
      <c r="AG375" s="22">
        <f t="shared" si="139"/>
        <v>0</v>
      </c>
      <c r="AH375" s="14"/>
      <c r="AI375" s="25">
        <f t="shared" si="127"/>
        <v>0</v>
      </c>
      <c r="AJ375" s="16"/>
      <c r="AK375" s="12">
        <f t="shared" si="128"/>
        <v>0</v>
      </c>
      <c r="AL375" s="19">
        <f t="shared" si="129"/>
        <v>0</v>
      </c>
      <c r="AM375" s="18">
        <f>(180*(Ventas!AE372*0.9644) - IF(AE375&gt;0,AE375,0))</f>
        <v>0</v>
      </c>
      <c r="AN375" s="18">
        <f t="shared" si="140"/>
        <v>0</v>
      </c>
      <c r="AO375" s="14"/>
      <c r="AP375" s="14">
        <f t="shared" si="141"/>
        <v>0</v>
      </c>
      <c r="AQ375" s="16">
        <f t="shared" si="132"/>
        <v>0</v>
      </c>
      <c r="AR375" s="37">
        <f>_xlfn.XLOOKUP(C375,[1]Hoja2!$C$6:$C$24,[1]Hoja2!$D$6:$D$24,0,2,1)</f>
        <v>0</v>
      </c>
      <c r="AS375" s="18">
        <f t="shared" si="133"/>
        <v>0</v>
      </c>
      <c r="AT375" s="14"/>
      <c r="AU375" s="37">
        <f>_xlfn.XLOOKUP(D375,[1]Hoja2!$E$6:$E$24,[1]Hoja2!$F$6:$F$24,0,2,1)</f>
        <v>0</v>
      </c>
      <c r="AV375" s="3">
        <v>0</v>
      </c>
      <c r="AW375" s="3"/>
      <c r="AX375" s="14">
        <v>0</v>
      </c>
      <c r="AY375" s="14"/>
      <c r="AZ375" s="16">
        <f>_xlfn.XLOOKUP(C375,[2]PI!$B$15:$B$99,[2]PI!$L$15:$L$99,0,2,1)</f>
        <v>0</v>
      </c>
      <c r="BA375" s="16">
        <f>_xlfn.XLOOKUP(D375,[2]PI!$B$15:$B$99,[2]PI!$L$15:$L$99,0,2,1)</f>
        <v>0</v>
      </c>
      <c r="BB375" s="3"/>
      <c r="BC375" s="3"/>
      <c r="BD375" s="14"/>
      <c r="BE375" s="14"/>
      <c r="BF375" s="16"/>
      <c r="BG375" s="16"/>
      <c r="BH375" s="12">
        <f t="shared" si="134"/>
        <v>0</v>
      </c>
      <c r="BI375" s="19">
        <f t="shared" si="135"/>
        <v>0</v>
      </c>
      <c r="BJ375" s="1" t="s">
        <v>35</v>
      </c>
      <c r="BK375">
        <f t="shared" si="136"/>
        <v>0</v>
      </c>
      <c r="BL375">
        <f t="shared" si="137"/>
        <v>0</v>
      </c>
    </row>
    <row r="376" spans="1:64" x14ac:dyDescent="0.25">
      <c r="A376" s="1" t="s">
        <v>1130</v>
      </c>
      <c r="B376" s="1" t="s">
        <v>1129</v>
      </c>
      <c r="C376" s="13" t="s">
        <v>1128</v>
      </c>
      <c r="D376" s="15"/>
      <c r="E376" s="17"/>
      <c r="F376" s="3"/>
      <c r="G376" s="14"/>
      <c r="H376" s="16"/>
      <c r="I376" s="11">
        <v>46221</v>
      </c>
      <c r="J376" s="4">
        <v>17</v>
      </c>
      <c r="K376" s="18">
        <f>(F376-(0)+0-(J376*Ventas!AE373*1))</f>
        <v>0</v>
      </c>
      <c r="L376" s="3"/>
      <c r="M376" s="22">
        <f t="shared" si="138"/>
        <v>0</v>
      </c>
      <c r="N376" s="14"/>
      <c r="O376" s="25">
        <f t="shared" si="122"/>
        <v>0</v>
      </c>
      <c r="P376" s="16"/>
      <c r="Q376" s="12">
        <f t="shared" si="123"/>
        <v>0</v>
      </c>
      <c r="R376" s="5">
        <v>0</v>
      </c>
      <c r="S376" s="24">
        <v>0</v>
      </c>
      <c r="T376" s="26">
        <v>0</v>
      </c>
      <c r="U376" s="18">
        <f t="shared" si="124"/>
        <v>0</v>
      </c>
      <c r="V376" s="22">
        <f t="shared" si="125"/>
        <v>0</v>
      </c>
      <c r="W376" s="25">
        <f t="shared" si="126"/>
        <v>0</v>
      </c>
      <c r="X376" s="3"/>
      <c r="Y376" s="14"/>
      <c r="Z376" s="14"/>
      <c r="AA376" s="3"/>
      <c r="AB376" s="3"/>
      <c r="AC376" s="11">
        <v>46313</v>
      </c>
      <c r="AD376" s="4">
        <v>92</v>
      </c>
      <c r="AE376" s="18">
        <f>(IF(K376&gt;0,K376+R376,R376)-(AD376*Ventas!AE373*1.0489))</f>
        <v>0</v>
      </c>
      <c r="AF376" s="3"/>
      <c r="AG376" s="22">
        <f t="shared" si="139"/>
        <v>0</v>
      </c>
      <c r="AH376" s="14"/>
      <c r="AI376" s="25">
        <f t="shared" si="127"/>
        <v>0</v>
      </c>
      <c r="AJ376" s="16"/>
      <c r="AK376" s="12">
        <f t="shared" si="128"/>
        <v>0</v>
      </c>
      <c r="AL376" s="19">
        <f t="shared" si="129"/>
        <v>0</v>
      </c>
      <c r="AM376" s="18">
        <f>(180*(Ventas!AE373*0.9644) - IF(AE376&gt;0,AE376,0))</f>
        <v>0</v>
      </c>
      <c r="AN376" s="18">
        <f t="shared" si="140"/>
        <v>0</v>
      </c>
      <c r="AO376" s="14"/>
      <c r="AP376" s="14">
        <f t="shared" si="141"/>
        <v>0</v>
      </c>
      <c r="AQ376" s="16">
        <f t="shared" si="132"/>
        <v>0</v>
      </c>
      <c r="AR376" s="37">
        <f>_xlfn.XLOOKUP(C376,[1]Hoja2!$C$6:$C$24,[1]Hoja2!$D$6:$D$24,0,2,1)</f>
        <v>0</v>
      </c>
      <c r="AS376" s="18">
        <f t="shared" si="133"/>
        <v>0</v>
      </c>
      <c r="AT376" s="14"/>
      <c r="AU376" s="37">
        <f>_xlfn.XLOOKUP(D376,[1]Hoja2!$E$6:$E$24,[1]Hoja2!$F$6:$F$24,0,2,1)</f>
        <v>0</v>
      </c>
      <c r="AV376" s="3">
        <v>0</v>
      </c>
      <c r="AW376" s="3"/>
      <c r="AX376" s="14">
        <v>0</v>
      </c>
      <c r="AY376" s="14"/>
      <c r="AZ376" s="16">
        <f>_xlfn.XLOOKUP(C376,[2]PI!$B$15:$B$99,[2]PI!$L$15:$L$99,0,2,1)</f>
        <v>0</v>
      </c>
      <c r="BA376" s="16">
        <f>_xlfn.XLOOKUP(D376,[2]PI!$B$15:$B$99,[2]PI!$L$15:$L$99,0,2,1)</f>
        <v>0</v>
      </c>
      <c r="BB376" s="3"/>
      <c r="BC376" s="3"/>
      <c r="BD376" s="14"/>
      <c r="BE376" s="14"/>
      <c r="BF376" s="16"/>
      <c r="BG376" s="16"/>
      <c r="BH376" s="12">
        <f t="shared" si="134"/>
        <v>0</v>
      </c>
      <c r="BI376" s="19">
        <f t="shared" si="135"/>
        <v>0</v>
      </c>
      <c r="BJ376" s="1" t="s">
        <v>35</v>
      </c>
      <c r="BK376">
        <f t="shared" si="136"/>
        <v>0</v>
      </c>
      <c r="BL376">
        <f t="shared" si="137"/>
        <v>0</v>
      </c>
    </row>
    <row r="377" spans="1:64" x14ac:dyDescent="0.25">
      <c r="A377" s="1" t="s">
        <v>1133</v>
      </c>
      <c r="B377" s="1" t="s">
        <v>1132</v>
      </c>
      <c r="C377" s="13" t="s">
        <v>1131</v>
      </c>
      <c r="D377" s="15"/>
      <c r="E377" s="17"/>
      <c r="F377" s="3"/>
      <c r="G377" s="14"/>
      <c r="H377" s="16"/>
      <c r="I377" s="11">
        <v>46221</v>
      </c>
      <c r="J377" s="4">
        <v>17</v>
      </c>
      <c r="K377" s="18">
        <f>(F377-(0)+0-(J377*Ventas!AE374*1))</f>
        <v>0</v>
      </c>
      <c r="L377" s="3"/>
      <c r="M377" s="22">
        <f t="shared" si="138"/>
        <v>0</v>
      </c>
      <c r="N377" s="14"/>
      <c r="O377" s="25">
        <f t="shared" si="122"/>
        <v>0</v>
      </c>
      <c r="P377" s="16"/>
      <c r="Q377" s="12">
        <f t="shared" si="123"/>
        <v>0</v>
      </c>
      <c r="R377" s="5">
        <v>0</v>
      </c>
      <c r="S377" s="24">
        <v>0</v>
      </c>
      <c r="T377" s="26">
        <v>0</v>
      </c>
      <c r="U377" s="18">
        <f t="shared" si="124"/>
        <v>0</v>
      </c>
      <c r="V377" s="22">
        <f t="shared" si="125"/>
        <v>0</v>
      </c>
      <c r="W377" s="25">
        <f t="shared" si="126"/>
        <v>0</v>
      </c>
      <c r="X377" s="3"/>
      <c r="Y377" s="14"/>
      <c r="Z377" s="14"/>
      <c r="AA377" s="3"/>
      <c r="AB377" s="3"/>
      <c r="AC377" s="11">
        <v>46313</v>
      </c>
      <c r="AD377" s="4">
        <v>92</v>
      </c>
      <c r="AE377" s="18">
        <f>(IF(K377&gt;0,K377+R377,R377)-(AD377*Ventas!AE374*1.0489))</f>
        <v>0</v>
      </c>
      <c r="AF377" s="3"/>
      <c r="AG377" s="22">
        <f t="shared" si="139"/>
        <v>0</v>
      </c>
      <c r="AH377" s="14"/>
      <c r="AI377" s="25">
        <f t="shared" si="127"/>
        <v>0</v>
      </c>
      <c r="AJ377" s="16"/>
      <c r="AK377" s="12">
        <f t="shared" si="128"/>
        <v>0</v>
      </c>
      <c r="AL377" s="19">
        <f t="shared" si="129"/>
        <v>0</v>
      </c>
      <c r="AM377" s="18">
        <f>(180*(Ventas!AE374*0.9644) - IF(AE377&gt;0,AE377,0))</f>
        <v>0</v>
      </c>
      <c r="AN377" s="18">
        <f t="shared" si="140"/>
        <v>0</v>
      </c>
      <c r="AO377" s="14"/>
      <c r="AP377" s="14">
        <f t="shared" si="141"/>
        <v>0</v>
      </c>
      <c r="AQ377" s="16">
        <f t="shared" si="132"/>
        <v>0</v>
      </c>
      <c r="AR377" s="37">
        <f>_xlfn.XLOOKUP(C377,[1]Hoja2!$C$6:$C$24,[1]Hoja2!$D$6:$D$24,0,2,1)</f>
        <v>0</v>
      </c>
      <c r="AS377" s="18">
        <f t="shared" si="133"/>
        <v>0</v>
      </c>
      <c r="AT377" s="14"/>
      <c r="AU377" s="37">
        <f>_xlfn.XLOOKUP(D377,[1]Hoja2!$E$6:$E$24,[1]Hoja2!$F$6:$F$24,0,2,1)</f>
        <v>0</v>
      </c>
      <c r="AV377" s="3">
        <v>0</v>
      </c>
      <c r="AW377" s="3"/>
      <c r="AX377" s="14">
        <v>0</v>
      </c>
      <c r="AY377" s="14"/>
      <c r="AZ377" s="16">
        <f>_xlfn.XLOOKUP(C377,[2]PI!$B$15:$B$99,[2]PI!$L$15:$L$99,0,2,1)</f>
        <v>0</v>
      </c>
      <c r="BA377" s="16">
        <f>_xlfn.XLOOKUP(D377,[2]PI!$B$15:$B$99,[2]PI!$L$15:$L$99,0,2,1)</f>
        <v>0</v>
      </c>
      <c r="BB377" s="3"/>
      <c r="BC377" s="3"/>
      <c r="BD377" s="14"/>
      <c r="BE377" s="14"/>
      <c r="BF377" s="16"/>
      <c r="BG377" s="16"/>
      <c r="BH377" s="12">
        <f t="shared" si="134"/>
        <v>0</v>
      </c>
      <c r="BI377" s="19">
        <f t="shared" si="135"/>
        <v>0</v>
      </c>
      <c r="BJ377" s="1" t="s">
        <v>35</v>
      </c>
      <c r="BK377">
        <f t="shared" si="136"/>
        <v>0</v>
      </c>
      <c r="BL377">
        <f t="shared" si="137"/>
        <v>0</v>
      </c>
    </row>
    <row r="378" spans="1:64" x14ac:dyDescent="0.25">
      <c r="A378" s="1" t="s">
        <v>1136</v>
      </c>
      <c r="B378" s="1" t="s">
        <v>1135</v>
      </c>
      <c r="C378" s="13" t="s">
        <v>1134</v>
      </c>
      <c r="D378" s="15"/>
      <c r="E378" s="17"/>
      <c r="F378" s="3"/>
      <c r="G378" s="14"/>
      <c r="H378" s="16"/>
      <c r="I378" s="11">
        <v>46221</v>
      </c>
      <c r="J378" s="4">
        <v>17</v>
      </c>
      <c r="K378" s="18">
        <f>(F378-(0)+0-(J378*Ventas!AE375*1))</f>
        <v>0</v>
      </c>
      <c r="L378" s="3"/>
      <c r="M378" s="22">
        <f t="shared" si="138"/>
        <v>0</v>
      </c>
      <c r="N378" s="14"/>
      <c r="O378" s="25">
        <f t="shared" si="122"/>
        <v>0</v>
      </c>
      <c r="P378" s="16"/>
      <c r="Q378" s="12">
        <f t="shared" si="123"/>
        <v>0</v>
      </c>
      <c r="R378" s="5">
        <v>0</v>
      </c>
      <c r="S378" s="24">
        <v>0</v>
      </c>
      <c r="T378" s="26">
        <v>0</v>
      </c>
      <c r="U378" s="18">
        <f t="shared" si="124"/>
        <v>0</v>
      </c>
      <c r="V378" s="22">
        <f t="shared" si="125"/>
        <v>0</v>
      </c>
      <c r="W378" s="25">
        <f t="shared" si="126"/>
        <v>0</v>
      </c>
      <c r="X378" s="3"/>
      <c r="Y378" s="14"/>
      <c r="Z378" s="14"/>
      <c r="AA378" s="3"/>
      <c r="AB378" s="3"/>
      <c r="AC378" s="11">
        <v>46313</v>
      </c>
      <c r="AD378" s="4">
        <v>92</v>
      </c>
      <c r="AE378" s="18">
        <f>(IF(K378&gt;0,K378+R378,R378)-(AD378*Ventas!AE375*1.0489))</f>
        <v>0</v>
      </c>
      <c r="AF378" s="3"/>
      <c r="AG378" s="22">
        <f t="shared" si="139"/>
        <v>0</v>
      </c>
      <c r="AH378" s="14"/>
      <c r="AI378" s="25">
        <f t="shared" si="127"/>
        <v>0</v>
      </c>
      <c r="AJ378" s="16"/>
      <c r="AK378" s="12">
        <f t="shared" si="128"/>
        <v>0</v>
      </c>
      <c r="AL378" s="19">
        <f t="shared" si="129"/>
        <v>0</v>
      </c>
      <c r="AM378" s="18">
        <f>(180*(Ventas!AE375*0.9644) - IF(AE378&gt;0,AE378,0))</f>
        <v>0</v>
      </c>
      <c r="AN378" s="18">
        <f t="shared" si="140"/>
        <v>0</v>
      </c>
      <c r="AO378" s="14"/>
      <c r="AP378" s="14">
        <f t="shared" si="141"/>
        <v>0</v>
      </c>
      <c r="AQ378" s="16">
        <f t="shared" si="132"/>
        <v>0</v>
      </c>
      <c r="AR378" s="37">
        <f>_xlfn.XLOOKUP(C378,[1]Hoja2!$C$6:$C$24,[1]Hoja2!$D$6:$D$24,0,2,1)</f>
        <v>0</v>
      </c>
      <c r="AS378" s="18">
        <f t="shared" si="133"/>
        <v>0</v>
      </c>
      <c r="AT378" s="14"/>
      <c r="AU378" s="37">
        <f>_xlfn.XLOOKUP(D378,[1]Hoja2!$E$6:$E$24,[1]Hoja2!$F$6:$F$24,0,2,1)</f>
        <v>0</v>
      </c>
      <c r="AV378" s="3">
        <v>0</v>
      </c>
      <c r="AW378" s="3"/>
      <c r="AX378" s="14">
        <v>0</v>
      </c>
      <c r="AY378" s="14"/>
      <c r="AZ378" s="16">
        <f>_xlfn.XLOOKUP(C378,[2]PI!$B$15:$B$99,[2]PI!$L$15:$L$99,0,2,1)</f>
        <v>0</v>
      </c>
      <c r="BA378" s="16">
        <f>_xlfn.XLOOKUP(D378,[2]PI!$B$15:$B$99,[2]PI!$L$15:$L$99,0,2,1)</f>
        <v>0</v>
      </c>
      <c r="BB378" s="3"/>
      <c r="BC378" s="3"/>
      <c r="BD378" s="14"/>
      <c r="BE378" s="14"/>
      <c r="BF378" s="16"/>
      <c r="BG378" s="16"/>
      <c r="BH378" s="12">
        <f t="shared" si="134"/>
        <v>0</v>
      </c>
      <c r="BI378" s="19">
        <f t="shared" si="135"/>
        <v>0</v>
      </c>
      <c r="BJ378" s="1" t="s">
        <v>35</v>
      </c>
      <c r="BK378">
        <f t="shared" si="136"/>
        <v>0</v>
      </c>
      <c r="BL378">
        <f t="shared" si="137"/>
        <v>0</v>
      </c>
    </row>
    <row r="379" spans="1:64" x14ac:dyDescent="0.25">
      <c r="A379" s="1" t="s">
        <v>1139</v>
      </c>
      <c r="B379" s="1" t="s">
        <v>1138</v>
      </c>
      <c r="C379" s="13" t="s">
        <v>1137</v>
      </c>
      <c r="D379" s="15"/>
      <c r="E379" s="17"/>
      <c r="F379" s="3"/>
      <c r="G379" s="14"/>
      <c r="H379" s="16"/>
      <c r="I379" s="11">
        <v>46221</v>
      </c>
      <c r="J379" s="4">
        <v>17</v>
      </c>
      <c r="K379" s="18">
        <f>(F379-(0)+0-(J379*Ventas!AE376*1))</f>
        <v>0</v>
      </c>
      <c r="L379" s="3"/>
      <c r="M379" s="22">
        <f t="shared" si="138"/>
        <v>0</v>
      </c>
      <c r="N379" s="14"/>
      <c r="O379" s="25">
        <f t="shared" si="122"/>
        <v>0</v>
      </c>
      <c r="P379" s="16"/>
      <c r="Q379" s="12">
        <f t="shared" si="123"/>
        <v>0</v>
      </c>
      <c r="R379" s="5">
        <v>0</v>
      </c>
      <c r="S379" s="24">
        <v>0</v>
      </c>
      <c r="T379" s="26">
        <v>0</v>
      </c>
      <c r="U379" s="18">
        <f t="shared" si="124"/>
        <v>0</v>
      </c>
      <c r="V379" s="22">
        <f t="shared" si="125"/>
        <v>0</v>
      </c>
      <c r="W379" s="25">
        <f t="shared" si="126"/>
        <v>0</v>
      </c>
      <c r="X379" s="3"/>
      <c r="Y379" s="14"/>
      <c r="Z379" s="14"/>
      <c r="AA379" s="3"/>
      <c r="AB379" s="3"/>
      <c r="AC379" s="11">
        <v>46313</v>
      </c>
      <c r="AD379" s="4">
        <v>92</v>
      </c>
      <c r="AE379" s="18">
        <f>(IF(K379&gt;0,K379+R379,R379)-(AD379*Ventas!AE376*1.0489))</f>
        <v>0</v>
      </c>
      <c r="AF379" s="3"/>
      <c r="AG379" s="22">
        <f t="shared" si="139"/>
        <v>0</v>
      </c>
      <c r="AH379" s="14"/>
      <c r="AI379" s="25">
        <f t="shared" si="127"/>
        <v>0</v>
      </c>
      <c r="AJ379" s="16"/>
      <c r="AK379" s="12">
        <f t="shared" si="128"/>
        <v>0</v>
      </c>
      <c r="AL379" s="19">
        <f t="shared" si="129"/>
        <v>0</v>
      </c>
      <c r="AM379" s="18">
        <f>(180*(Ventas!AE376*0.9644) - IF(AE379&gt;0,AE379,0))</f>
        <v>0</v>
      </c>
      <c r="AN379" s="18">
        <f t="shared" si="140"/>
        <v>0</v>
      </c>
      <c r="AO379" s="14"/>
      <c r="AP379" s="14">
        <f t="shared" si="141"/>
        <v>0</v>
      </c>
      <c r="AQ379" s="16">
        <f t="shared" si="132"/>
        <v>0</v>
      </c>
      <c r="AR379" s="37">
        <f>_xlfn.XLOOKUP(C379,[1]Hoja2!$C$6:$C$24,[1]Hoja2!$D$6:$D$24,0,2,1)</f>
        <v>0</v>
      </c>
      <c r="AS379" s="18">
        <f t="shared" si="133"/>
        <v>0</v>
      </c>
      <c r="AT379" s="14"/>
      <c r="AU379" s="37">
        <f>_xlfn.XLOOKUP(D379,[1]Hoja2!$E$6:$E$24,[1]Hoja2!$F$6:$F$24,0,2,1)</f>
        <v>0</v>
      </c>
      <c r="AV379" s="3">
        <v>0</v>
      </c>
      <c r="AW379" s="3"/>
      <c r="AX379" s="14">
        <v>0</v>
      </c>
      <c r="AY379" s="14"/>
      <c r="AZ379" s="16">
        <f>_xlfn.XLOOKUP(C379,[2]PI!$B$15:$B$99,[2]PI!$L$15:$L$99,0,2,1)</f>
        <v>0</v>
      </c>
      <c r="BA379" s="16">
        <f>_xlfn.XLOOKUP(D379,[2]PI!$B$15:$B$99,[2]PI!$L$15:$L$99,0,2,1)</f>
        <v>0</v>
      </c>
      <c r="BB379" s="3"/>
      <c r="BC379" s="3"/>
      <c r="BD379" s="14"/>
      <c r="BE379" s="14"/>
      <c r="BF379" s="16"/>
      <c r="BG379" s="16"/>
      <c r="BH379" s="12">
        <f t="shared" si="134"/>
        <v>0</v>
      </c>
      <c r="BI379" s="19">
        <f t="shared" si="135"/>
        <v>0</v>
      </c>
      <c r="BJ379" s="1" t="s">
        <v>35</v>
      </c>
      <c r="BK379">
        <f t="shared" si="136"/>
        <v>0</v>
      </c>
      <c r="BL379">
        <f t="shared" si="137"/>
        <v>0</v>
      </c>
    </row>
    <row r="380" spans="1:64" x14ac:dyDescent="0.25">
      <c r="A380" s="1" t="s">
        <v>1142</v>
      </c>
      <c r="B380" s="1" t="s">
        <v>1141</v>
      </c>
      <c r="C380" s="13" t="s">
        <v>1140</v>
      </c>
      <c r="D380" s="15"/>
      <c r="E380" s="17"/>
      <c r="F380" s="3"/>
      <c r="G380" s="14"/>
      <c r="H380" s="16"/>
      <c r="I380" s="11">
        <v>46221</v>
      </c>
      <c r="J380" s="4">
        <v>17</v>
      </c>
      <c r="K380" s="18">
        <f>(F380-(0)+0-(J380*Ventas!AE377*1))</f>
        <v>0</v>
      </c>
      <c r="L380" s="3"/>
      <c r="M380" s="22">
        <f t="shared" si="138"/>
        <v>0</v>
      </c>
      <c r="N380" s="14"/>
      <c r="O380" s="25">
        <f t="shared" si="122"/>
        <v>0</v>
      </c>
      <c r="P380" s="16"/>
      <c r="Q380" s="12">
        <f t="shared" si="123"/>
        <v>0</v>
      </c>
      <c r="R380" s="5">
        <v>0</v>
      </c>
      <c r="S380" s="24">
        <v>0</v>
      </c>
      <c r="T380" s="26">
        <v>0</v>
      </c>
      <c r="U380" s="18">
        <f t="shared" si="124"/>
        <v>0</v>
      </c>
      <c r="V380" s="22">
        <f t="shared" si="125"/>
        <v>0</v>
      </c>
      <c r="W380" s="25">
        <f t="shared" si="126"/>
        <v>0</v>
      </c>
      <c r="X380" s="3"/>
      <c r="Y380" s="14"/>
      <c r="Z380" s="14"/>
      <c r="AA380" s="3"/>
      <c r="AB380" s="3"/>
      <c r="AC380" s="11">
        <v>46313</v>
      </c>
      <c r="AD380" s="4">
        <v>92</v>
      </c>
      <c r="AE380" s="18">
        <f>(IF(K380&gt;0,K380+R380,R380)-(AD380*Ventas!AE377*1.0489))</f>
        <v>0</v>
      </c>
      <c r="AF380" s="3"/>
      <c r="AG380" s="22">
        <f t="shared" si="139"/>
        <v>0</v>
      </c>
      <c r="AH380" s="14"/>
      <c r="AI380" s="25">
        <f t="shared" si="127"/>
        <v>0</v>
      </c>
      <c r="AJ380" s="16"/>
      <c r="AK380" s="12">
        <f t="shared" si="128"/>
        <v>0</v>
      </c>
      <c r="AL380" s="19">
        <f t="shared" si="129"/>
        <v>0</v>
      </c>
      <c r="AM380" s="18">
        <f>(180*(Ventas!AE377*0.9644) - IF(AE380&gt;0,AE380,0))</f>
        <v>0</v>
      </c>
      <c r="AN380" s="18">
        <f t="shared" si="140"/>
        <v>0</v>
      </c>
      <c r="AO380" s="14"/>
      <c r="AP380" s="14">
        <f t="shared" si="141"/>
        <v>0</v>
      </c>
      <c r="AQ380" s="16">
        <f t="shared" si="132"/>
        <v>0</v>
      </c>
      <c r="AR380" s="37">
        <f>_xlfn.XLOOKUP(C380,[1]Hoja2!$C$6:$C$24,[1]Hoja2!$D$6:$D$24,0,2,1)</f>
        <v>0</v>
      </c>
      <c r="AS380" s="18">
        <f t="shared" si="133"/>
        <v>0</v>
      </c>
      <c r="AT380" s="14"/>
      <c r="AU380" s="37">
        <f>_xlfn.XLOOKUP(D380,[1]Hoja2!$E$6:$E$24,[1]Hoja2!$F$6:$F$24,0,2,1)</f>
        <v>0</v>
      </c>
      <c r="AV380" s="3">
        <v>0</v>
      </c>
      <c r="AW380" s="3"/>
      <c r="AX380" s="14">
        <v>0</v>
      </c>
      <c r="AY380" s="14"/>
      <c r="AZ380" s="16">
        <f>_xlfn.XLOOKUP(C380,[2]PI!$B$15:$B$99,[2]PI!$L$15:$L$99,0,2,1)</f>
        <v>0</v>
      </c>
      <c r="BA380" s="16">
        <f>_xlfn.XLOOKUP(D380,[2]PI!$B$15:$B$99,[2]PI!$L$15:$L$99,0,2,1)</f>
        <v>0</v>
      </c>
      <c r="BB380" s="3"/>
      <c r="BC380" s="3"/>
      <c r="BD380" s="14"/>
      <c r="BE380" s="14"/>
      <c r="BF380" s="16"/>
      <c r="BG380" s="16"/>
      <c r="BH380" s="12">
        <f t="shared" si="134"/>
        <v>0</v>
      </c>
      <c r="BI380" s="19">
        <f t="shared" si="135"/>
        <v>0</v>
      </c>
      <c r="BJ380" s="1" t="s">
        <v>35</v>
      </c>
      <c r="BK380">
        <f t="shared" si="136"/>
        <v>0</v>
      </c>
      <c r="BL380">
        <f t="shared" si="137"/>
        <v>0</v>
      </c>
    </row>
    <row r="381" spans="1:64" x14ac:dyDescent="0.25">
      <c r="A381" s="1" t="s">
        <v>1145</v>
      </c>
      <c r="B381" s="1" t="s">
        <v>1144</v>
      </c>
      <c r="C381" s="13" t="s">
        <v>1143</v>
      </c>
      <c r="D381" s="15"/>
      <c r="E381" s="17"/>
      <c r="F381" s="3"/>
      <c r="G381" s="14"/>
      <c r="H381" s="16"/>
      <c r="I381" s="11">
        <v>46221</v>
      </c>
      <c r="J381" s="4">
        <v>17</v>
      </c>
      <c r="K381" s="18">
        <f>(F381-(0)+0-(J381*Ventas!AE378*1))</f>
        <v>0</v>
      </c>
      <c r="L381" s="3"/>
      <c r="M381" s="22">
        <f t="shared" si="138"/>
        <v>0</v>
      </c>
      <c r="N381" s="14"/>
      <c r="O381" s="25">
        <f t="shared" si="122"/>
        <v>0</v>
      </c>
      <c r="P381" s="16"/>
      <c r="Q381" s="12">
        <f t="shared" si="123"/>
        <v>0</v>
      </c>
      <c r="R381" s="5">
        <v>0</v>
      </c>
      <c r="S381" s="24">
        <v>0</v>
      </c>
      <c r="T381" s="26">
        <v>0</v>
      </c>
      <c r="U381" s="18">
        <f t="shared" si="124"/>
        <v>0</v>
      </c>
      <c r="V381" s="22">
        <f t="shared" si="125"/>
        <v>0</v>
      </c>
      <c r="W381" s="25">
        <f t="shared" si="126"/>
        <v>0</v>
      </c>
      <c r="X381" s="3"/>
      <c r="Y381" s="14"/>
      <c r="Z381" s="14"/>
      <c r="AA381" s="3"/>
      <c r="AB381" s="3"/>
      <c r="AC381" s="11">
        <v>46313</v>
      </c>
      <c r="AD381" s="4">
        <v>92</v>
      </c>
      <c r="AE381" s="18">
        <f>(IF(K381&gt;0,K381+R381,R381)-(AD381*Ventas!AE378*1.0489))</f>
        <v>0</v>
      </c>
      <c r="AF381" s="3"/>
      <c r="AG381" s="22">
        <f t="shared" si="139"/>
        <v>0</v>
      </c>
      <c r="AH381" s="14"/>
      <c r="AI381" s="25">
        <f t="shared" si="127"/>
        <v>0</v>
      </c>
      <c r="AJ381" s="16"/>
      <c r="AK381" s="12">
        <f t="shared" si="128"/>
        <v>0</v>
      </c>
      <c r="AL381" s="19">
        <f t="shared" si="129"/>
        <v>0</v>
      </c>
      <c r="AM381" s="18">
        <f>(180*(Ventas!AE378*0.9644) - IF(AE381&gt;0,AE381,0))</f>
        <v>0</v>
      </c>
      <c r="AN381" s="18">
        <f t="shared" si="140"/>
        <v>0</v>
      </c>
      <c r="AO381" s="14"/>
      <c r="AP381" s="14">
        <f t="shared" si="141"/>
        <v>0</v>
      </c>
      <c r="AQ381" s="16">
        <f t="shared" si="132"/>
        <v>0</v>
      </c>
      <c r="AR381" s="37">
        <f>_xlfn.XLOOKUP(C381,[1]Hoja2!$C$6:$C$24,[1]Hoja2!$D$6:$D$24,0,2,1)</f>
        <v>0</v>
      </c>
      <c r="AS381" s="18">
        <f t="shared" si="133"/>
        <v>0</v>
      </c>
      <c r="AT381" s="14"/>
      <c r="AU381" s="37">
        <f>_xlfn.XLOOKUP(D381,[1]Hoja2!$E$6:$E$24,[1]Hoja2!$F$6:$F$24,0,2,1)</f>
        <v>0</v>
      </c>
      <c r="AV381" s="3">
        <v>0</v>
      </c>
      <c r="AW381" s="3"/>
      <c r="AX381" s="14">
        <v>0</v>
      </c>
      <c r="AY381" s="14"/>
      <c r="AZ381" s="16">
        <f>_xlfn.XLOOKUP(C381,[2]PI!$B$15:$B$99,[2]PI!$L$15:$L$99,0,2,1)</f>
        <v>0</v>
      </c>
      <c r="BA381" s="16">
        <f>_xlfn.XLOOKUP(D381,[2]PI!$B$15:$B$99,[2]PI!$L$15:$L$99,0,2,1)</f>
        <v>0</v>
      </c>
      <c r="BB381" s="3"/>
      <c r="BC381" s="3"/>
      <c r="BD381" s="14"/>
      <c r="BE381" s="14"/>
      <c r="BF381" s="16"/>
      <c r="BG381" s="16"/>
      <c r="BH381" s="12">
        <f t="shared" si="134"/>
        <v>0</v>
      </c>
      <c r="BI381" s="19">
        <f t="shared" si="135"/>
        <v>0</v>
      </c>
      <c r="BJ381" s="1" t="s">
        <v>35</v>
      </c>
      <c r="BK381">
        <f t="shared" si="136"/>
        <v>0</v>
      </c>
      <c r="BL381">
        <f t="shared" si="137"/>
        <v>0</v>
      </c>
    </row>
    <row r="382" spans="1:64" x14ac:dyDescent="0.25">
      <c r="A382" s="1" t="s">
        <v>1148</v>
      </c>
      <c r="B382" s="1" t="s">
        <v>1147</v>
      </c>
      <c r="C382" s="13" t="s">
        <v>1146</v>
      </c>
      <c r="D382" s="15"/>
      <c r="E382" s="17"/>
      <c r="F382" s="3"/>
      <c r="G382" s="14"/>
      <c r="H382" s="16"/>
      <c r="I382" s="11">
        <v>46221</v>
      </c>
      <c r="J382" s="4">
        <v>17</v>
      </c>
      <c r="K382" s="18">
        <f>(F382-(0)+0-(J382*Ventas!AE379*1))</f>
        <v>0</v>
      </c>
      <c r="L382" s="3"/>
      <c r="M382" s="22">
        <f t="shared" si="138"/>
        <v>0</v>
      </c>
      <c r="N382" s="14"/>
      <c r="O382" s="25">
        <f t="shared" si="122"/>
        <v>0</v>
      </c>
      <c r="P382" s="16"/>
      <c r="Q382" s="12">
        <f t="shared" si="123"/>
        <v>0</v>
      </c>
      <c r="R382" s="5">
        <v>0</v>
      </c>
      <c r="S382" s="24">
        <v>0</v>
      </c>
      <c r="T382" s="26">
        <v>0</v>
      </c>
      <c r="U382" s="18">
        <f t="shared" si="124"/>
        <v>0</v>
      </c>
      <c r="V382" s="22">
        <f t="shared" si="125"/>
        <v>0</v>
      </c>
      <c r="W382" s="25">
        <f t="shared" si="126"/>
        <v>0</v>
      </c>
      <c r="X382" s="3"/>
      <c r="Y382" s="14"/>
      <c r="Z382" s="14"/>
      <c r="AA382" s="3"/>
      <c r="AB382" s="3"/>
      <c r="AC382" s="11">
        <v>46313</v>
      </c>
      <c r="AD382" s="4">
        <v>92</v>
      </c>
      <c r="AE382" s="18">
        <f>(IF(K382&gt;0,K382+R382,R382)-(AD382*Ventas!AE379*1.0489))</f>
        <v>0</v>
      </c>
      <c r="AF382" s="3"/>
      <c r="AG382" s="22">
        <f t="shared" si="139"/>
        <v>0</v>
      </c>
      <c r="AH382" s="14"/>
      <c r="AI382" s="25">
        <f t="shared" si="127"/>
        <v>0</v>
      </c>
      <c r="AJ382" s="16"/>
      <c r="AK382" s="12">
        <f t="shared" si="128"/>
        <v>0</v>
      </c>
      <c r="AL382" s="19">
        <f t="shared" si="129"/>
        <v>0</v>
      </c>
      <c r="AM382" s="18">
        <f>(180*(Ventas!AE379*0.9644) - IF(AE382&gt;0,AE382,0))</f>
        <v>0</v>
      </c>
      <c r="AN382" s="18">
        <f t="shared" si="140"/>
        <v>0</v>
      </c>
      <c r="AO382" s="14"/>
      <c r="AP382" s="14">
        <f t="shared" si="141"/>
        <v>0</v>
      </c>
      <c r="AQ382" s="16">
        <f t="shared" si="132"/>
        <v>0</v>
      </c>
      <c r="AR382" s="37">
        <f>_xlfn.XLOOKUP(C382,[1]Hoja2!$C$6:$C$24,[1]Hoja2!$D$6:$D$24,0,2,1)</f>
        <v>0</v>
      </c>
      <c r="AS382" s="18">
        <f t="shared" si="133"/>
        <v>0</v>
      </c>
      <c r="AT382" s="14"/>
      <c r="AU382" s="37">
        <f>_xlfn.XLOOKUP(D382,[1]Hoja2!$E$6:$E$24,[1]Hoja2!$F$6:$F$24,0,2,1)</f>
        <v>0</v>
      </c>
      <c r="AV382" s="3">
        <v>0</v>
      </c>
      <c r="AW382" s="3"/>
      <c r="AX382" s="14">
        <v>0</v>
      </c>
      <c r="AY382" s="14"/>
      <c r="AZ382" s="16">
        <f>_xlfn.XLOOKUP(C382,[2]PI!$B$15:$B$99,[2]PI!$L$15:$L$99,0,2,1)</f>
        <v>0</v>
      </c>
      <c r="BA382" s="16">
        <f>_xlfn.XLOOKUP(D382,[2]PI!$B$15:$B$99,[2]PI!$L$15:$L$99,0,2,1)</f>
        <v>0</v>
      </c>
      <c r="BB382" s="3"/>
      <c r="BC382" s="3"/>
      <c r="BD382" s="14"/>
      <c r="BE382" s="14"/>
      <c r="BF382" s="16"/>
      <c r="BG382" s="16"/>
      <c r="BH382" s="12">
        <f t="shared" si="134"/>
        <v>0</v>
      </c>
      <c r="BI382" s="19">
        <f t="shared" si="135"/>
        <v>0</v>
      </c>
      <c r="BJ382" s="1" t="s">
        <v>35</v>
      </c>
      <c r="BK382">
        <f t="shared" si="136"/>
        <v>0</v>
      </c>
      <c r="BL382">
        <f t="shared" si="137"/>
        <v>0</v>
      </c>
    </row>
    <row r="383" spans="1:64" x14ac:dyDescent="0.25">
      <c r="A383" s="1" t="s">
        <v>1151</v>
      </c>
      <c r="B383" s="1" t="s">
        <v>1150</v>
      </c>
      <c r="C383" s="13" t="s">
        <v>1149</v>
      </c>
      <c r="D383" s="15"/>
      <c r="E383" s="17"/>
      <c r="F383" s="3"/>
      <c r="G383" s="14"/>
      <c r="H383" s="16"/>
      <c r="I383" s="11">
        <v>46221</v>
      </c>
      <c r="J383" s="4">
        <v>17</v>
      </c>
      <c r="K383" s="18">
        <f>(F383-(0)+0-(J383*Ventas!AE380*1))</f>
        <v>0</v>
      </c>
      <c r="L383" s="3"/>
      <c r="M383" s="22">
        <f t="shared" si="138"/>
        <v>0</v>
      </c>
      <c r="N383" s="14"/>
      <c r="O383" s="25">
        <f t="shared" si="122"/>
        <v>0</v>
      </c>
      <c r="P383" s="16"/>
      <c r="Q383" s="12">
        <f t="shared" si="123"/>
        <v>0</v>
      </c>
      <c r="R383" s="5">
        <v>0</v>
      </c>
      <c r="S383" s="24">
        <v>0</v>
      </c>
      <c r="T383" s="26">
        <v>0</v>
      </c>
      <c r="U383" s="18">
        <f t="shared" si="124"/>
        <v>0</v>
      </c>
      <c r="V383" s="22">
        <f t="shared" si="125"/>
        <v>0</v>
      </c>
      <c r="W383" s="25">
        <f t="shared" si="126"/>
        <v>0</v>
      </c>
      <c r="X383" s="3"/>
      <c r="Y383" s="14"/>
      <c r="Z383" s="14"/>
      <c r="AA383" s="3"/>
      <c r="AB383" s="3"/>
      <c r="AC383" s="11">
        <v>46313</v>
      </c>
      <c r="AD383" s="4">
        <v>92</v>
      </c>
      <c r="AE383" s="18">
        <f>(IF(K383&gt;0,K383+R383,R383)-(AD383*Ventas!AE380*1.0489))</f>
        <v>0</v>
      </c>
      <c r="AF383" s="3"/>
      <c r="AG383" s="22">
        <f t="shared" si="139"/>
        <v>0</v>
      </c>
      <c r="AH383" s="14"/>
      <c r="AI383" s="25">
        <f t="shared" si="127"/>
        <v>0</v>
      </c>
      <c r="AJ383" s="16"/>
      <c r="AK383" s="12">
        <f t="shared" si="128"/>
        <v>0</v>
      </c>
      <c r="AL383" s="19">
        <f t="shared" si="129"/>
        <v>0</v>
      </c>
      <c r="AM383" s="18">
        <f>(180*(Ventas!AE380*0.9644) - IF(AE383&gt;0,AE383,0))</f>
        <v>0</v>
      </c>
      <c r="AN383" s="18">
        <f t="shared" si="140"/>
        <v>0</v>
      </c>
      <c r="AO383" s="14"/>
      <c r="AP383" s="14">
        <f t="shared" si="141"/>
        <v>0</v>
      </c>
      <c r="AQ383" s="16">
        <f t="shared" si="132"/>
        <v>0</v>
      </c>
      <c r="AR383" s="37">
        <f>_xlfn.XLOOKUP(C383,[1]Hoja2!$C$6:$C$24,[1]Hoja2!$D$6:$D$24,0,2,1)</f>
        <v>0</v>
      </c>
      <c r="AS383" s="18">
        <f t="shared" si="133"/>
        <v>0</v>
      </c>
      <c r="AT383" s="14"/>
      <c r="AU383" s="37">
        <f>_xlfn.XLOOKUP(D383,[1]Hoja2!$E$6:$E$24,[1]Hoja2!$F$6:$F$24,0,2,1)</f>
        <v>0</v>
      </c>
      <c r="AV383" s="3">
        <v>0</v>
      </c>
      <c r="AW383" s="3"/>
      <c r="AX383" s="14">
        <v>0</v>
      </c>
      <c r="AY383" s="14"/>
      <c r="AZ383" s="16">
        <f>_xlfn.XLOOKUP(C383,[2]PI!$B$15:$B$99,[2]PI!$L$15:$L$99,0,2,1)</f>
        <v>0</v>
      </c>
      <c r="BA383" s="16">
        <f>_xlfn.XLOOKUP(D383,[2]PI!$B$15:$B$99,[2]PI!$L$15:$L$99,0,2,1)</f>
        <v>0</v>
      </c>
      <c r="BB383" s="3"/>
      <c r="BC383" s="3"/>
      <c r="BD383" s="14"/>
      <c r="BE383" s="14"/>
      <c r="BF383" s="16"/>
      <c r="BG383" s="16"/>
      <c r="BH383" s="12">
        <f t="shared" si="134"/>
        <v>0</v>
      </c>
      <c r="BI383" s="19">
        <f t="shared" si="135"/>
        <v>0</v>
      </c>
      <c r="BJ383" s="1" t="s">
        <v>35</v>
      </c>
      <c r="BK383">
        <f t="shared" si="136"/>
        <v>0</v>
      </c>
      <c r="BL383">
        <f t="shared" si="137"/>
        <v>0</v>
      </c>
    </row>
    <row r="384" spans="1:64" x14ac:dyDescent="0.25">
      <c r="A384" s="1" t="s">
        <v>1154</v>
      </c>
      <c r="B384" s="1" t="s">
        <v>1153</v>
      </c>
      <c r="C384" s="13" t="s">
        <v>1152</v>
      </c>
      <c r="D384" s="15"/>
      <c r="E384" s="17"/>
      <c r="F384" s="3"/>
      <c r="G384" s="14"/>
      <c r="H384" s="16"/>
      <c r="I384" s="11">
        <v>46221</v>
      </c>
      <c r="J384" s="4">
        <v>17</v>
      </c>
      <c r="K384" s="18">
        <f>(F384-(0)+0-(J384*Ventas!AE381*1))</f>
        <v>-0.48571428571428577</v>
      </c>
      <c r="L384" s="3"/>
      <c r="M384" s="22">
        <f t="shared" si="138"/>
        <v>0</v>
      </c>
      <c r="N384" s="14"/>
      <c r="O384" s="25">
        <f t="shared" si="122"/>
        <v>0</v>
      </c>
      <c r="P384" s="16"/>
      <c r="Q384" s="12">
        <f t="shared" si="123"/>
        <v>-0.48571428571428577</v>
      </c>
      <c r="R384" s="5">
        <v>0</v>
      </c>
      <c r="S384" s="24">
        <v>0</v>
      </c>
      <c r="T384" s="26">
        <v>0</v>
      </c>
      <c r="U384" s="18">
        <f t="shared" si="124"/>
        <v>0</v>
      </c>
      <c r="V384" s="22">
        <f t="shared" si="125"/>
        <v>0</v>
      </c>
      <c r="W384" s="25">
        <f t="shared" si="126"/>
        <v>0</v>
      </c>
      <c r="X384" s="3"/>
      <c r="Y384" s="14"/>
      <c r="Z384" s="14"/>
      <c r="AA384" s="3"/>
      <c r="AB384" s="3">
        <v>6.783E-3</v>
      </c>
      <c r="AC384" s="11">
        <v>46313</v>
      </c>
      <c r="AD384" s="4">
        <v>92</v>
      </c>
      <c r="AE384" s="18">
        <f>(IF(K384&gt;0,K384+R384,R384)-(AD384*Ventas!AE381*1.0489))</f>
        <v>-2.7571085714285717</v>
      </c>
      <c r="AF384" s="3"/>
      <c r="AG384" s="22">
        <f t="shared" si="139"/>
        <v>0</v>
      </c>
      <c r="AH384" s="14"/>
      <c r="AI384" s="25">
        <f t="shared" si="127"/>
        <v>0</v>
      </c>
      <c r="AJ384" s="16"/>
      <c r="AK384" s="12">
        <f t="shared" si="128"/>
        <v>-2.7571085714285717</v>
      </c>
      <c r="AL384" s="19">
        <f t="shared" si="129"/>
        <v>0</v>
      </c>
      <c r="AM384" s="18">
        <f>(180*(Ventas!AE381*0.9644) - IF(AE384&gt;0,AE384,0))</f>
        <v>4.9597714285714289</v>
      </c>
      <c r="AN384" s="40">
        <v>0</v>
      </c>
      <c r="AO384" s="14"/>
      <c r="AP384" s="14">
        <f t="shared" si="141"/>
        <v>0</v>
      </c>
      <c r="AQ384" s="16">
        <f t="shared" si="132"/>
        <v>0</v>
      </c>
      <c r="AR384" s="37">
        <f>_xlfn.XLOOKUP(C384,[1]Hoja2!$C$6:$C$24,[1]Hoja2!$D$6:$D$24,0,2,1)</f>
        <v>0</v>
      </c>
      <c r="AS384" s="18">
        <f t="shared" si="133"/>
        <v>0</v>
      </c>
      <c r="AT384" s="14"/>
      <c r="AU384" s="37">
        <f>_xlfn.XLOOKUP(D384,[1]Hoja2!$E$6:$E$24,[1]Hoja2!$F$6:$F$24,0,2,1)</f>
        <v>0</v>
      </c>
      <c r="AV384" s="3">
        <v>0</v>
      </c>
      <c r="AW384" s="3"/>
      <c r="AX384" s="14">
        <v>0</v>
      </c>
      <c r="AY384" s="14"/>
      <c r="AZ384" s="16">
        <f>_xlfn.XLOOKUP(C384,[2]PI!$B$15:$B$99,[2]PI!$L$15:$L$99,0,2,1)</f>
        <v>0</v>
      </c>
      <c r="BA384" s="16">
        <f>_xlfn.XLOOKUP(D384,[2]PI!$B$15:$B$99,[2]PI!$L$15:$L$99,0,2,1)</f>
        <v>0</v>
      </c>
      <c r="BB384" s="3"/>
      <c r="BC384" s="3"/>
      <c r="BD384" s="14"/>
      <c r="BE384" s="14"/>
      <c r="BF384" s="16"/>
      <c r="BG384" s="16"/>
      <c r="BH384" s="12">
        <f t="shared" si="134"/>
        <v>0</v>
      </c>
      <c r="BI384" s="19">
        <f t="shared" si="135"/>
        <v>0</v>
      </c>
      <c r="BJ384" s="1" t="s">
        <v>35</v>
      </c>
      <c r="BK384">
        <f t="shared" si="136"/>
        <v>0</v>
      </c>
      <c r="BL384">
        <f t="shared" si="137"/>
        <v>0</v>
      </c>
    </row>
    <row r="385" spans="1:64" x14ac:dyDescent="0.25">
      <c r="A385" s="1" t="s">
        <v>1157</v>
      </c>
      <c r="B385" s="1" t="s">
        <v>1156</v>
      </c>
      <c r="C385" s="13" t="s">
        <v>1155</v>
      </c>
      <c r="D385" s="15"/>
      <c r="E385" s="17"/>
      <c r="F385" s="3"/>
      <c r="G385" s="14"/>
      <c r="H385" s="16"/>
      <c r="I385" s="11">
        <v>46221</v>
      </c>
      <c r="J385" s="4">
        <v>17</v>
      </c>
      <c r="K385" s="18">
        <f>(F385-(0)+0-(J385*Ventas!AE382*1))</f>
        <v>0</v>
      </c>
      <c r="L385" s="3"/>
      <c r="M385" s="22">
        <f t="shared" si="138"/>
        <v>0</v>
      </c>
      <c r="N385" s="14"/>
      <c r="O385" s="25">
        <f t="shared" si="122"/>
        <v>0</v>
      </c>
      <c r="P385" s="16"/>
      <c r="Q385" s="12">
        <f t="shared" si="123"/>
        <v>0</v>
      </c>
      <c r="R385" s="5">
        <v>0</v>
      </c>
      <c r="S385" s="24">
        <v>0</v>
      </c>
      <c r="T385" s="26">
        <v>0</v>
      </c>
      <c r="U385" s="18">
        <f t="shared" si="124"/>
        <v>0</v>
      </c>
      <c r="V385" s="22">
        <f t="shared" si="125"/>
        <v>0</v>
      </c>
      <c r="W385" s="25">
        <f t="shared" si="126"/>
        <v>0</v>
      </c>
      <c r="X385" s="3"/>
      <c r="Y385" s="14"/>
      <c r="Z385" s="14"/>
      <c r="AA385" s="3"/>
      <c r="AB385" s="3"/>
      <c r="AC385" s="11">
        <v>46313</v>
      </c>
      <c r="AD385" s="4">
        <v>92</v>
      </c>
      <c r="AE385" s="18">
        <f>(IF(K385&gt;0,K385+R385,R385)-(AD385*Ventas!AE382*1.0489))</f>
        <v>0</v>
      </c>
      <c r="AF385" s="3"/>
      <c r="AG385" s="22">
        <f t="shared" si="139"/>
        <v>0</v>
      </c>
      <c r="AH385" s="14"/>
      <c r="AI385" s="25">
        <f t="shared" si="127"/>
        <v>0</v>
      </c>
      <c r="AJ385" s="16"/>
      <c r="AK385" s="12">
        <f t="shared" si="128"/>
        <v>0</v>
      </c>
      <c r="AL385" s="19">
        <f t="shared" si="129"/>
        <v>0</v>
      </c>
      <c r="AM385" s="18">
        <f>(180*(Ventas!AE382*0.9644) - IF(AE385&gt;0,AE385,0))</f>
        <v>0</v>
      </c>
      <c r="AN385" s="18">
        <f t="shared" ref="AN385:AN416" si="142">IF(AM385&gt;3,CEILING(AM385,5),0)</f>
        <v>0</v>
      </c>
      <c r="AO385" s="14"/>
      <c r="AP385" s="14">
        <f t="shared" si="141"/>
        <v>0</v>
      </c>
      <c r="AQ385" s="16">
        <f t="shared" si="132"/>
        <v>0</v>
      </c>
      <c r="AR385" s="37">
        <f>_xlfn.XLOOKUP(C385,[1]Hoja2!$C$6:$C$24,[1]Hoja2!$D$6:$D$24,0,2,1)</f>
        <v>0</v>
      </c>
      <c r="AS385" s="18">
        <f t="shared" si="133"/>
        <v>0</v>
      </c>
      <c r="AT385" s="14"/>
      <c r="AU385" s="37">
        <f>_xlfn.XLOOKUP(D385,[1]Hoja2!$E$6:$E$24,[1]Hoja2!$F$6:$F$24,0,2,1)</f>
        <v>0</v>
      </c>
      <c r="AV385" s="3">
        <v>0</v>
      </c>
      <c r="AW385" s="3"/>
      <c r="AX385" s="14">
        <v>0</v>
      </c>
      <c r="AY385" s="14"/>
      <c r="AZ385" s="16">
        <f>_xlfn.XLOOKUP(C385,[2]PI!$B$15:$B$99,[2]PI!$L$15:$L$99,0,2,1)</f>
        <v>0</v>
      </c>
      <c r="BA385" s="16">
        <f>_xlfn.XLOOKUP(D385,[2]PI!$B$15:$B$99,[2]PI!$L$15:$L$99,0,2,1)</f>
        <v>0</v>
      </c>
      <c r="BB385" s="3"/>
      <c r="BC385" s="3"/>
      <c r="BD385" s="14"/>
      <c r="BE385" s="14"/>
      <c r="BF385" s="16"/>
      <c r="BG385" s="16"/>
      <c r="BH385" s="12">
        <f t="shared" si="134"/>
        <v>0</v>
      </c>
      <c r="BI385" s="19">
        <f t="shared" si="135"/>
        <v>0</v>
      </c>
      <c r="BJ385" s="1" t="s">
        <v>35</v>
      </c>
      <c r="BK385">
        <f t="shared" si="136"/>
        <v>0</v>
      </c>
      <c r="BL385">
        <f t="shared" si="137"/>
        <v>0</v>
      </c>
    </row>
    <row r="386" spans="1:64" x14ac:dyDescent="0.25">
      <c r="A386" s="1" t="s">
        <v>1160</v>
      </c>
      <c r="B386" s="1" t="s">
        <v>1159</v>
      </c>
      <c r="C386" s="13" t="s">
        <v>1158</v>
      </c>
      <c r="D386" s="15"/>
      <c r="E386" s="17"/>
      <c r="F386" s="3"/>
      <c r="G386" s="14"/>
      <c r="H386" s="16"/>
      <c r="I386" s="11">
        <v>46221</v>
      </c>
      <c r="J386" s="4">
        <v>17</v>
      </c>
      <c r="K386" s="18">
        <f>(F386-(0)+0-(J386*Ventas!AE383*1))</f>
        <v>0</v>
      </c>
      <c r="L386" s="3"/>
      <c r="M386" s="22">
        <f t="shared" si="138"/>
        <v>0</v>
      </c>
      <c r="N386" s="14"/>
      <c r="O386" s="25">
        <f t="shared" si="122"/>
        <v>0</v>
      </c>
      <c r="P386" s="16"/>
      <c r="Q386" s="12">
        <f t="shared" si="123"/>
        <v>0</v>
      </c>
      <c r="R386" s="5">
        <v>0</v>
      </c>
      <c r="S386" s="24">
        <v>0</v>
      </c>
      <c r="T386" s="26">
        <v>0</v>
      </c>
      <c r="U386" s="18">
        <f t="shared" si="124"/>
        <v>0</v>
      </c>
      <c r="V386" s="22">
        <f t="shared" si="125"/>
        <v>0</v>
      </c>
      <c r="W386" s="25">
        <f t="shared" si="126"/>
        <v>0</v>
      </c>
      <c r="X386" s="3"/>
      <c r="Y386" s="14"/>
      <c r="Z386" s="14"/>
      <c r="AA386" s="3"/>
      <c r="AB386" s="3"/>
      <c r="AC386" s="11">
        <v>46313</v>
      </c>
      <c r="AD386" s="4">
        <v>92</v>
      </c>
      <c r="AE386" s="18">
        <f>(IF(K386&gt;0,K386+R386,R386)-(AD386*Ventas!AE383*1.0489))</f>
        <v>0</v>
      </c>
      <c r="AF386" s="3"/>
      <c r="AG386" s="22">
        <f t="shared" si="139"/>
        <v>0</v>
      </c>
      <c r="AH386" s="14"/>
      <c r="AI386" s="25">
        <f t="shared" si="127"/>
        <v>0</v>
      </c>
      <c r="AJ386" s="16"/>
      <c r="AK386" s="12">
        <f t="shared" si="128"/>
        <v>0</v>
      </c>
      <c r="AL386" s="19">
        <f t="shared" si="129"/>
        <v>0</v>
      </c>
      <c r="AM386" s="18">
        <f>(180*(Ventas!AE383*0.9644) - IF(AE386&gt;0,AE386,0))</f>
        <v>0</v>
      </c>
      <c r="AN386" s="18">
        <f t="shared" si="142"/>
        <v>0</v>
      </c>
      <c r="AO386" s="14"/>
      <c r="AP386" s="14">
        <f t="shared" si="141"/>
        <v>0</v>
      </c>
      <c r="AQ386" s="16">
        <f t="shared" si="132"/>
        <v>0</v>
      </c>
      <c r="AR386" s="37">
        <f>_xlfn.XLOOKUP(C386,[1]Hoja2!$C$6:$C$24,[1]Hoja2!$D$6:$D$24,0,2,1)</f>
        <v>0</v>
      </c>
      <c r="AS386" s="18">
        <f t="shared" si="133"/>
        <v>0</v>
      </c>
      <c r="AT386" s="14"/>
      <c r="AU386" s="37">
        <f>_xlfn.XLOOKUP(D386,[1]Hoja2!$E$6:$E$24,[1]Hoja2!$F$6:$F$24,0,2,1)</f>
        <v>0</v>
      </c>
      <c r="AV386" s="3">
        <v>0</v>
      </c>
      <c r="AW386" s="3"/>
      <c r="AX386" s="14">
        <v>0</v>
      </c>
      <c r="AY386" s="14"/>
      <c r="AZ386" s="16">
        <f>_xlfn.XLOOKUP(C386,[2]PI!$B$15:$B$99,[2]PI!$L$15:$L$99,0,2,1)</f>
        <v>0</v>
      </c>
      <c r="BA386" s="16">
        <f>_xlfn.XLOOKUP(D386,[2]PI!$B$15:$B$99,[2]PI!$L$15:$L$99,0,2,1)</f>
        <v>0</v>
      </c>
      <c r="BB386" s="3"/>
      <c r="BC386" s="3"/>
      <c r="BD386" s="14"/>
      <c r="BE386" s="14"/>
      <c r="BF386" s="16"/>
      <c r="BG386" s="16"/>
      <c r="BH386" s="12">
        <f t="shared" si="134"/>
        <v>0</v>
      </c>
      <c r="BI386" s="19">
        <f t="shared" si="135"/>
        <v>0</v>
      </c>
      <c r="BJ386" s="1" t="s">
        <v>35</v>
      </c>
      <c r="BK386">
        <f t="shared" si="136"/>
        <v>0</v>
      </c>
      <c r="BL386">
        <f t="shared" si="137"/>
        <v>0</v>
      </c>
    </row>
    <row r="387" spans="1:64" x14ac:dyDescent="0.25">
      <c r="A387" s="1" t="s">
        <v>1163</v>
      </c>
      <c r="B387" s="1" t="s">
        <v>1162</v>
      </c>
      <c r="C387" s="13" t="s">
        <v>1161</v>
      </c>
      <c r="D387" s="15"/>
      <c r="E387" s="17"/>
      <c r="F387" s="3"/>
      <c r="G387" s="14"/>
      <c r="H387" s="16"/>
      <c r="I387" s="11">
        <v>46221</v>
      </c>
      <c r="J387" s="4">
        <v>17</v>
      </c>
      <c r="K387" s="18">
        <f>(F387-(0)+0-(J387*Ventas!AE384*1))</f>
        <v>0</v>
      </c>
      <c r="L387" s="3"/>
      <c r="M387" s="22">
        <f t="shared" si="138"/>
        <v>0</v>
      </c>
      <c r="N387" s="14"/>
      <c r="O387" s="25">
        <f t="shared" si="122"/>
        <v>0</v>
      </c>
      <c r="P387" s="16"/>
      <c r="Q387" s="12">
        <f t="shared" si="123"/>
        <v>0</v>
      </c>
      <c r="R387" s="5">
        <v>0</v>
      </c>
      <c r="S387" s="24">
        <v>0</v>
      </c>
      <c r="T387" s="26">
        <v>0</v>
      </c>
      <c r="U387" s="18">
        <f t="shared" si="124"/>
        <v>0</v>
      </c>
      <c r="V387" s="22">
        <f t="shared" si="125"/>
        <v>0</v>
      </c>
      <c r="W387" s="25">
        <f t="shared" si="126"/>
        <v>0</v>
      </c>
      <c r="X387" s="3"/>
      <c r="Y387" s="14"/>
      <c r="Z387" s="14"/>
      <c r="AA387" s="3"/>
      <c r="AB387" s="3"/>
      <c r="AC387" s="11">
        <v>46313</v>
      </c>
      <c r="AD387" s="4">
        <v>92</v>
      </c>
      <c r="AE387" s="18">
        <f>(IF(K387&gt;0,K387+R387,R387)-(AD387*Ventas!AE384*1.0489))</f>
        <v>0</v>
      </c>
      <c r="AF387" s="3"/>
      <c r="AG387" s="22">
        <f t="shared" si="139"/>
        <v>0</v>
      </c>
      <c r="AH387" s="14"/>
      <c r="AI387" s="25">
        <f t="shared" si="127"/>
        <v>0</v>
      </c>
      <c r="AJ387" s="16"/>
      <c r="AK387" s="12">
        <f t="shared" si="128"/>
        <v>0</v>
      </c>
      <c r="AL387" s="19">
        <f t="shared" si="129"/>
        <v>0</v>
      </c>
      <c r="AM387" s="18">
        <f>(180*(Ventas!AE384*0.9644) - IF(AE387&gt;0,AE387,0))</f>
        <v>0</v>
      </c>
      <c r="AN387" s="18">
        <f t="shared" si="142"/>
        <v>0</v>
      </c>
      <c r="AO387" s="14"/>
      <c r="AP387" s="14">
        <f t="shared" si="141"/>
        <v>0</v>
      </c>
      <c r="AQ387" s="16">
        <f t="shared" si="132"/>
        <v>0</v>
      </c>
      <c r="AR387" s="37">
        <f>_xlfn.XLOOKUP(C387,[1]Hoja2!$C$6:$C$24,[1]Hoja2!$D$6:$D$24,0,2,1)</f>
        <v>0</v>
      </c>
      <c r="AS387" s="18">
        <f t="shared" si="133"/>
        <v>0</v>
      </c>
      <c r="AT387" s="14"/>
      <c r="AU387" s="37">
        <f>_xlfn.XLOOKUP(D387,[1]Hoja2!$E$6:$E$24,[1]Hoja2!$F$6:$F$24,0,2,1)</f>
        <v>0</v>
      </c>
      <c r="AV387" s="3">
        <v>0</v>
      </c>
      <c r="AW387" s="3"/>
      <c r="AX387" s="14">
        <v>0</v>
      </c>
      <c r="AY387" s="14"/>
      <c r="AZ387" s="16">
        <f>_xlfn.XLOOKUP(C387,[2]PI!$B$15:$B$99,[2]PI!$L$15:$L$99,0,2,1)</f>
        <v>0</v>
      </c>
      <c r="BA387" s="16">
        <f>_xlfn.XLOOKUP(D387,[2]PI!$B$15:$B$99,[2]PI!$L$15:$L$99,0,2,1)</f>
        <v>0</v>
      </c>
      <c r="BB387" s="3"/>
      <c r="BC387" s="3"/>
      <c r="BD387" s="14"/>
      <c r="BE387" s="14"/>
      <c r="BF387" s="16"/>
      <c r="BG387" s="16"/>
      <c r="BH387" s="12">
        <f t="shared" si="134"/>
        <v>0</v>
      </c>
      <c r="BI387" s="19">
        <f t="shared" si="135"/>
        <v>0</v>
      </c>
      <c r="BJ387" s="1" t="s">
        <v>35</v>
      </c>
      <c r="BK387">
        <f t="shared" si="136"/>
        <v>0</v>
      </c>
      <c r="BL387">
        <f t="shared" si="137"/>
        <v>0</v>
      </c>
    </row>
    <row r="388" spans="1:64" x14ac:dyDescent="0.25">
      <c r="A388" s="1" t="s">
        <v>1166</v>
      </c>
      <c r="B388" s="1" t="s">
        <v>1165</v>
      </c>
      <c r="C388" s="13" t="s">
        <v>1164</v>
      </c>
      <c r="D388" s="15"/>
      <c r="E388" s="17"/>
      <c r="F388" s="3"/>
      <c r="G388" s="14"/>
      <c r="H388" s="16"/>
      <c r="I388" s="11">
        <v>46221</v>
      </c>
      <c r="J388" s="4">
        <v>17</v>
      </c>
      <c r="K388" s="18">
        <f>(F388-(0)+0-(J388*Ventas!AE385*1))</f>
        <v>0</v>
      </c>
      <c r="L388" s="3"/>
      <c r="M388" s="22">
        <f t="shared" si="138"/>
        <v>0</v>
      </c>
      <c r="N388" s="14"/>
      <c r="O388" s="25">
        <f t="shared" si="122"/>
        <v>0</v>
      </c>
      <c r="P388" s="16"/>
      <c r="Q388" s="12">
        <f t="shared" si="123"/>
        <v>0</v>
      </c>
      <c r="R388" s="5">
        <v>0</v>
      </c>
      <c r="S388" s="24">
        <v>0</v>
      </c>
      <c r="T388" s="26">
        <v>0</v>
      </c>
      <c r="U388" s="18">
        <f t="shared" si="124"/>
        <v>0</v>
      </c>
      <c r="V388" s="22">
        <f t="shared" si="125"/>
        <v>0</v>
      </c>
      <c r="W388" s="25">
        <f t="shared" si="126"/>
        <v>0</v>
      </c>
      <c r="X388" s="3"/>
      <c r="Y388" s="14"/>
      <c r="Z388" s="14"/>
      <c r="AA388" s="3"/>
      <c r="AB388" s="3"/>
      <c r="AC388" s="11">
        <v>46313</v>
      </c>
      <c r="AD388" s="4">
        <v>92</v>
      </c>
      <c r="AE388" s="18">
        <f>(IF(K388&gt;0,K388+R388,R388)-(AD388*Ventas!AE385*1.0489))</f>
        <v>0</v>
      </c>
      <c r="AF388" s="3"/>
      <c r="AG388" s="22">
        <f t="shared" si="139"/>
        <v>0</v>
      </c>
      <c r="AH388" s="14"/>
      <c r="AI388" s="25">
        <f t="shared" si="127"/>
        <v>0</v>
      </c>
      <c r="AJ388" s="16"/>
      <c r="AK388" s="12">
        <f t="shared" si="128"/>
        <v>0</v>
      </c>
      <c r="AL388" s="19">
        <f t="shared" si="129"/>
        <v>0</v>
      </c>
      <c r="AM388" s="18">
        <f>(180*(Ventas!AE385*0.9644) - IF(AE388&gt;0,AE388,0))</f>
        <v>0</v>
      </c>
      <c r="AN388" s="18">
        <f t="shared" si="142"/>
        <v>0</v>
      </c>
      <c r="AO388" s="14"/>
      <c r="AP388" s="14">
        <f t="shared" si="141"/>
        <v>0</v>
      </c>
      <c r="AQ388" s="16">
        <f t="shared" si="132"/>
        <v>0</v>
      </c>
      <c r="AR388" s="37">
        <f>_xlfn.XLOOKUP(C388,[1]Hoja2!$C$6:$C$24,[1]Hoja2!$D$6:$D$24,0,2,1)</f>
        <v>0</v>
      </c>
      <c r="AS388" s="18">
        <f t="shared" si="133"/>
        <v>0</v>
      </c>
      <c r="AT388" s="14"/>
      <c r="AU388" s="37">
        <f>_xlfn.XLOOKUP(D388,[1]Hoja2!$E$6:$E$24,[1]Hoja2!$F$6:$F$24,0,2,1)</f>
        <v>0</v>
      </c>
      <c r="AV388" s="3">
        <v>0</v>
      </c>
      <c r="AW388" s="3"/>
      <c r="AX388" s="14">
        <v>0</v>
      </c>
      <c r="AY388" s="14"/>
      <c r="AZ388" s="16">
        <f>_xlfn.XLOOKUP(C388,[2]PI!$B$15:$B$99,[2]PI!$L$15:$L$99,0,2,1)</f>
        <v>0</v>
      </c>
      <c r="BA388" s="16">
        <f>_xlfn.XLOOKUP(D388,[2]PI!$B$15:$B$99,[2]PI!$L$15:$L$99,0,2,1)</f>
        <v>0</v>
      </c>
      <c r="BB388" s="3"/>
      <c r="BC388" s="3"/>
      <c r="BD388" s="14"/>
      <c r="BE388" s="14"/>
      <c r="BF388" s="16"/>
      <c r="BG388" s="16"/>
      <c r="BH388" s="12">
        <f t="shared" si="134"/>
        <v>0</v>
      </c>
      <c r="BI388" s="19">
        <f t="shared" si="135"/>
        <v>0</v>
      </c>
      <c r="BJ388" s="1" t="s">
        <v>35</v>
      </c>
      <c r="BK388">
        <f t="shared" si="136"/>
        <v>0</v>
      </c>
      <c r="BL388">
        <f t="shared" si="137"/>
        <v>0</v>
      </c>
    </row>
    <row r="389" spans="1:64" x14ac:dyDescent="0.25">
      <c r="A389" s="1" t="s">
        <v>1169</v>
      </c>
      <c r="B389" s="1" t="s">
        <v>1168</v>
      </c>
      <c r="C389" s="13" t="s">
        <v>1167</v>
      </c>
      <c r="D389" s="15"/>
      <c r="E389" s="17"/>
      <c r="F389" s="3"/>
      <c r="G389" s="14"/>
      <c r="H389" s="16"/>
      <c r="I389" s="11">
        <v>46221</v>
      </c>
      <c r="J389" s="4">
        <v>17</v>
      </c>
      <c r="K389" s="18">
        <f>(F389-(0)+0-(J389*Ventas!AE386*1))</f>
        <v>0</v>
      </c>
      <c r="L389" s="3"/>
      <c r="M389" s="22">
        <f t="shared" si="138"/>
        <v>0</v>
      </c>
      <c r="N389" s="14"/>
      <c r="O389" s="25">
        <f t="shared" ref="O389:O452" si="143">(H389+0)</f>
        <v>0</v>
      </c>
      <c r="P389" s="16"/>
      <c r="Q389" s="12">
        <f t="shared" ref="Q389:Q452" si="144">(K389+M389+O389)</f>
        <v>0</v>
      </c>
      <c r="R389" s="5">
        <v>0</v>
      </c>
      <c r="S389" s="24">
        <v>0</v>
      </c>
      <c r="T389" s="26">
        <v>0</v>
      </c>
      <c r="U389" s="18">
        <f t="shared" ref="U389:U452" si="145">IF(K389&gt;0,K389+R389,R389)</f>
        <v>0</v>
      </c>
      <c r="V389" s="22">
        <f t="shared" ref="V389:V452" si="146">IF(M389&gt;0,M389+S389,S389)</f>
        <v>0</v>
      </c>
      <c r="W389" s="25">
        <f t="shared" ref="W389:W452" si="147">IF(O389&gt;0,O389+T389,T389)</f>
        <v>0</v>
      </c>
      <c r="X389" s="3"/>
      <c r="Y389" s="14"/>
      <c r="Z389" s="14"/>
      <c r="AA389" s="3"/>
      <c r="AB389" s="3"/>
      <c r="AC389" s="11">
        <v>46313</v>
      </c>
      <c r="AD389" s="4">
        <v>92</v>
      </c>
      <c r="AE389" s="18">
        <f>(IF(K389&gt;0,K389+R389,R389)-(AD389*Ventas!AE386*1.0489))</f>
        <v>0</v>
      </c>
      <c r="AF389" s="3"/>
      <c r="AG389" s="22">
        <f t="shared" si="139"/>
        <v>0</v>
      </c>
      <c r="AH389" s="14"/>
      <c r="AI389" s="25">
        <f t="shared" ref="AI389:AI452" si="148">(H389+0)</f>
        <v>0</v>
      </c>
      <c r="AJ389" s="16"/>
      <c r="AK389" s="12">
        <f t="shared" ref="AK389:AK452" si="149">(AE389+AG389+AI389)</f>
        <v>0</v>
      </c>
      <c r="AL389" s="19">
        <f t="shared" ref="AL389:AL452" si="150">(((AF389*7)+(AH389*1)+(AJ389*0))/8)</f>
        <v>0</v>
      </c>
      <c r="AM389" s="18">
        <f>(180*(Ventas!AE386*0.9644) - IF(AE389&gt;0,AE389,0))</f>
        <v>0</v>
      </c>
      <c r="AN389" s="18">
        <f t="shared" si="142"/>
        <v>0</v>
      </c>
      <c r="AO389" s="14"/>
      <c r="AP389" s="14">
        <f t="shared" ref="AP389:AP420" si="151">IF(AO389&gt;3,CEILING(AO389,5),0)</f>
        <v>0</v>
      </c>
      <c r="AQ389" s="16">
        <f t="shared" ref="AQ389:AQ452" si="152">(AN389+AP389)*AB389</f>
        <v>0</v>
      </c>
      <c r="AR389" s="37">
        <f>_xlfn.XLOOKUP(C389,[1]Hoja2!$C$6:$C$24,[1]Hoja2!$D$6:$D$24,0,2,1)</f>
        <v>0</v>
      </c>
      <c r="AS389" s="18">
        <f t="shared" ref="AS389:AS452" si="153">IF(AE389&gt;0,AE389+IF(AN389&gt;0,AN389,0),AN389)</f>
        <v>0</v>
      </c>
      <c r="AT389" s="14"/>
      <c r="AU389" s="37">
        <f>_xlfn.XLOOKUP(D389,[1]Hoja2!$E$6:$E$24,[1]Hoja2!$F$6:$F$24,0,2,1)</f>
        <v>0</v>
      </c>
      <c r="AV389" s="3">
        <v>0</v>
      </c>
      <c r="AW389" s="3"/>
      <c r="AX389" s="14">
        <v>0</v>
      </c>
      <c r="AY389" s="14"/>
      <c r="AZ389" s="16">
        <f>_xlfn.XLOOKUP(C389,[2]PI!$B$15:$B$99,[2]PI!$L$15:$L$99,0,2,1)</f>
        <v>0</v>
      </c>
      <c r="BA389" s="16">
        <f>_xlfn.XLOOKUP(D389,[2]PI!$B$15:$B$99,[2]PI!$L$15:$L$99,0,2,1)</f>
        <v>0</v>
      </c>
      <c r="BB389" s="3"/>
      <c r="BC389" s="3"/>
      <c r="BD389" s="14"/>
      <c r="BE389" s="14"/>
      <c r="BF389" s="16"/>
      <c r="BG389" s="16"/>
      <c r="BH389" s="12">
        <f t="shared" ref="BH389:BH452" si="154">(IF(BB389&gt;0,BB389,0)+IF(BD389&gt;0,BD389,0)+IF(BF389&gt;0,BF389,0))</f>
        <v>0</v>
      </c>
      <c r="BI389" s="19">
        <f t="shared" ref="BI389:BI452" si="155">(((BC389*7)+(BE389*1)+(BG389*1))/8)</f>
        <v>0</v>
      </c>
      <c r="BJ389" s="1" t="s">
        <v>35</v>
      </c>
      <c r="BK389">
        <f t="shared" si="136"/>
        <v>0</v>
      </c>
      <c r="BL389">
        <f t="shared" si="137"/>
        <v>0</v>
      </c>
    </row>
    <row r="390" spans="1:64" x14ac:dyDescent="0.25">
      <c r="A390" s="1" t="s">
        <v>1172</v>
      </c>
      <c r="B390" s="1" t="s">
        <v>1171</v>
      </c>
      <c r="C390" s="13" t="s">
        <v>1170</v>
      </c>
      <c r="D390" s="15"/>
      <c r="E390" s="17"/>
      <c r="F390" s="3"/>
      <c r="G390" s="14"/>
      <c r="H390" s="16"/>
      <c r="I390" s="11">
        <v>46221</v>
      </c>
      <c r="J390" s="4">
        <v>17</v>
      </c>
      <c r="K390" s="18">
        <f>(F390-(0)+0-(J390*Ventas!AE387*1))</f>
        <v>0</v>
      </c>
      <c r="L390" s="3"/>
      <c r="M390" s="22">
        <f t="shared" si="138"/>
        <v>0</v>
      </c>
      <c r="N390" s="14"/>
      <c r="O390" s="25">
        <f t="shared" si="143"/>
        <v>0</v>
      </c>
      <c r="P390" s="16"/>
      <c r="Q390" s="12">
        <f t="shared" si="144"/>
        <v>0</v>
      </c>
      <c r="R390" s="5">
        <v>0</v>
      </c>
      <c r="S390" s="24">
        <v>0</v>
      </c>
      <c r="T390" s="26">
        <v>0</v>
      </c>
      <c r="U390" s="18">
        <f t="shared" si="145"/>
        <v>0</v>
      </c>
      <c r="V390" s="22">
        <f t="shared" si="146"/>
        <v>0</v>
      </c>
      <c r="W390" s="25">
        <f t="shared" si="147"/>
        <v>0</v>
      </c>
      <c r="X390" s="3"/>
      <c r="Y390" s="14"/>
      <c r="Z390" s="14"/>
      <c r="AA390" s="3"/>
      <c r="AB390" s="3"/>
      <c r="AC390" s="11">
        <v>46313</v>
      </c>
      <c r="AD390" s="4">
        <v>92</v>
      </c>
      <c r="AE390" s="18">
        <f>(IF(K390&gt;0,K390+R390,R390)-(AD390*Ventas!AE387*1.0489))</f>
        <v>0</v>
      </c>
      <c r="AF390" s="3"/>
      <c r="AG390" s="22">
        <f t="shared" si="139"/>
        <v>0</v>
      </c>
      <c r="AH390" s="14"/>
      <c r="AI390" s="25">
        <f t="shared" si="148"/>
        <v>0</v>
      </c>
      <c r="AJ390" s="16"/>
      <c r="AK390" s="12">
        <f t="shared" si="149"/>
        <v>0</v>
      </c>
      <c r="AL390" s="19">
        <f t="shared" si="150"/>
        <v>0</v>
      </c>
      <c r="AM390" s="18">
        <f>(180*(Ventas!AE387*0.9644) - IF(AE390&gt;0,AE390,0))</f>
        <v>0</v>
      </c>
      <c r="AN390" s="18">
        <f t="shared" si="142"/>
        <v>0</v>
      </c>
      <c r="AO390" s="14"/>
      <c r="AP390" s="14">
        <f t="shared" si="151"/>
        <v>0</v>
      </c>
      <c r="AQ390" s="16">
        <f t="shared" si="152"/>
        <v>0</v>
      </c>
      <c r="AR390" s="37">
        <f>_xlfn.XLOOKUP(C390,[1]Hoja2!$C$6:$C$24,[1]Hoja2!$D$6:$D$24,0,2,1)</f>
        <v>0</v>
      </c>
      <c r="AS390" s="18">
        <f t="shared" si="153"/>
        <v>0</v>
      </c>
      <c r="AT390" s="14"/>
      <c r="AU390" s="37">
        <f>_xlfn.XLOOKUP(D390,[1]Hoja2!$E$6:$E$24,[1]Hoja2!$F$6:$F$24,0,2,1)</f>
        <v>0</v>
      </c>
      <c r="AV390" s="3">
        <v>0</v>
      </c>
      <c r="AW390" s="3"/>
      <c r="AX390" s="14">
        <v>0</v>
      </c>
      <c r="AY390" s="14"/>
      <c r="AZ390" s="16">
        <f>_xlfn.XLOOKUP(C390,[2]PI!$B$15:$B$99,[2]PI!$L$15:$L$99,0,2,1)</f>
        <v>0</v>
      </c>
      <c r="BA390" s="16">
        <f>_xlfn.XLOOKUP(D390,[2]PI!$B$15:$B$99,[2]PI!$L$15:$L$99,0,2,1)</f>
        <v>0</v>
      </c>
      <c r="BB390" s="3"/>
      <c r="BC390" s="3"/>
      <c r="BD390" s="14"/>
      <c r="BE390" s="14"/>
      <c r="BF390" s="16"/>
      <c r="BG390" s="16"/>
      <c r="BH390" s="12">
        <f t="shared" si="154"/>
        <v>0</v>
      </c>
      <c r="BI390" s="19">
        <f t="shared" si="155"/>
        <v>0</v>
      </c>
      <c r="BJ390" s="1" t="s">
        <v>35</v>
      </c>
      <c r="BK390">
        <f t="shared" ref="BK390:BK453" si="156">AV390*AN390+AP390*AX390</f>
        <v>0</v>
      </c>
      <c r="BL390">
        <f t="shared" ref="BL390:BL453" si="157">(AN390)*AZ390+AP390*BA390</f>
        <v>0</v>
      </c>
    </row>
    <row r="391" spans="1:64" x14ac:dyDescent="0.25">
      <c r="A391" s="1" t="s">
        <v>1175</v>
      </c>
      <c r="B391" s="1" t="s">
        <v>1174</v>
      </c>
      <c r="C391" s="13" t="s">
        <v>1173</v>
      </c>
      <c r="D391" s="15"/>
      <c r="E391" s="17"/>
      <c r="F391" s="3"/>
      <c r="G391" s="14"/>
      <c r="H391" s="16"/>
      <c r="I391" s="11">
        <v>46221</v>
      </c>
      <c r="J391" s="4">
        <v>17</v>
      </c>
      <c r="K391" s="18">
        <f>(F391-(0)+0-(J391*Ventas!AE388*1))</f>
        <v>0</v>
      </c>
      <c r="L391" s="3"/>
      <c r="M391" s="22">
        <f t="shared" si="138"/>
        <v>0</v>
      </c>
      <c r="N391" s="14"/>
      <c r="O391" s="25">
        <f t="shared" si="143"/>
        <v>0</v>
      </c>
      <c r="P391" s="16"/>
      <c r="Q391" s="12">
        <f t="shared" si="144"/>
        <v>0</v>
      </c>
      <c r="R391" s="5">
        <v>0</v>
      </c>
      <c r="S391" s="24">
        <v>0</v>
      </c>
      <c r="T391" s="26">
        <v>0</v>
      </c>
      <c r="U391" s="18">
        <f t="shared" si="145"/>
        <v>0</v>
      </c>
      <c r="V391" s="22">
        <f t="shared" si="146"/>
        <v>0</v>
      </c>
      <c r="W391" s="25">
        <f t="shared" si="147"/>
        <v>0</v>
      </c>
      <c r="X391" s="3"/>
      <c r="Y391" s="14"/>
      <c r="Z391" s="14"/>
      <c r="AA391" s="3"/>
      <c r="AB391" s="3"/>
      <c r="AC391" s="11">
        <v>46313</v>
      </c>
      <c r="AD391" s="4">
        <v>92</v>
      </c>
      <c r="AE391" s="18">
        <f>(IF(K391&gt;0,K391+R391,R391)-(AD391*Ventas!AE388*1.0489))</f>
        <v>0</v>
      </c>
      <c r="AF391" s="3"/>
      <c r="AG391" s="22">
        <f t="shared" si="139"/>
        <v>0</v>
      </c>
      <c r="AH391" s="14"/>
      <c r="AI391" s="25">
        <f t="shared" si="148"/>
        <v>0</v>
      </c>
      <c r="AJ391" s="16"/>
      <c r="AK391" s="12">
        <f t="shared" si="149"/>
        <v>0</v>
      </c>
      <c r="AL391" s="19">
        <f t="shared" si="150"/>
        <v>0</v>
      </c>
      <c r="AM391" s="18">
        <f>(180*(Ventas!AE388*0.9644) - IF(AE391&gt;0,AE391,0))</f>
        <v>0</v>
      </c>
      <c r="AN391" s="18">
        <f t="shared" si="142"/>
        <v>0</v>
      </c>
      <c r="AO391" s="14"/>
      <c r="AP391" s="14">
        <f t="shared" si="151"/>
        <v>0</v>
      </c>
      <c r="AQ391" s="16">
        <f t="shared" si="152"/>
        <v>0</v>
      </c>
      <c r="AR391" s="37">
        <f>_xlfn.XLOOKUP(C391,[1]Hoja2!$C$6:$C$24,[1]Hoja2!$D$6:$D$24,0,2,1)</f>
        <v>0</v>
      </c>
      <c r="AS391" s="18">
        <f t="shared" si="153"/>
        <v>0</v>
      </c>
      <c r="AT391" s="14"/>
      <c r="AU391" s="37">
        <f>_xlfn.XLOOKUP(D391,[1]Hoja2!$E$6:$E$24,[1]Hoja2!$F$6:$F$24,0,2,1)</f>
        <v>0</v>
      </c>
      <c r="AV391" s="3">
        <v>0</v>
      </c>
      <c r="AW391" s="3"/>
      <c r="AX391" s="14">
        <v>0</v>
      </c>
      <c r="AY391" s="14"/>
      <c r="AZ391" s="16">
        <f>_xlfn.XLOOKUP(C391,[2]PI!$B$15:$B$99,[2]PI!$L$15:$L$99,0,2,1)</f>
        <v>0</v>
      </c>
      <c r="BA391" s="16">
        <f>_xlfn.XLOOKUP(D391,[2]PI!$B$15:$B$99,[2]PI!$L$15:$L$99,0,2,1)</f>
        <v>0</v>
      </c>
      <c r="BB391" s="3"/>
      <c r="BC391" s="3"/>
      <c r="BD391" s="14"/>
      <c r="BE391" s="14"/>
      <c r="BF391" s="16"/>
      <c r="BG391" s="16"/>
      <c r="BH391" s="12">
        <f t="shared" si="154"/>
        <v>0</v>
      </c>
      <c r="BI391" s="19">
        <f t="shared" si="155"/>
        <v>0</v>
      </c>
      <c r="BJ391" s="1" t="s">
        <v>35</v>
      </c>
      <c r="BK391">
        <f t="shared" si="156"/>
        <v>0</v>
      </c>
      <c r="BL391">
        <f t="shared" si="157"/>
        <v>0</v>
      </c>
    </row>
    <row r="392" spans="1:64" x14ac:dyDescent="0.25">
      <c r="A392" s="1" t="s">
        <v>1178</v>
      </c>
      <c r="B392" s="1" t="s">
        <v>1177</v>
      </c>
      <c r="C392" s="13" t="s">
        <v>1176</v>
      </c>
      <c r="D392" s="15"/>
      <c r="E392" s="17"/>
      <c r="F392" s="3"/>
      <c r="G392" s="14"/>
      <c r="H392" s="16"/>
      <c r="I392" s="11">
        <v>46221</v>
      </c>
      <c r="J392" s="4">
        <v>17</v>
      </c>
      <c r="K392" s="18">
        <f>(F392-(0)+0-(J392*Ventas!AE389*1))</f>
        <v>0</v>
      </c>
      <c r="L392" s="3"/>
      <c r="M392" s="22">
        <f t="shared" si="138"/>
        <v>0</v>
      </c>
      <c r="N392" s="14"/>
      <c r="O392" s="25">
        <f t="shared" si="143"/>
        <v>0</v>
      </c>
      <c r="P392" s="16"/>
      <c r="Q392" s="12">
        <f t="shared" si="144"/>
        <v>0</v>
      </c>
      <c r="R392" s="5">
        <v>0</v>
      </c>
      <c r="S392" s="24">
        <v>0</v>
      </c>
      <c r="T392" s="26">
        <v>0</v>
      </c>
      <c r="U392" s="18">
        <f t="shared" si="145"/>
        <v>0</v>
      </c>
      <c r="V392" s="22">
        <f t="shared" si="146"/>
        <v>0</v>
      </c>
      <c r="W392" s="25">
        <f t="shared" si="147"/>
        <v>0</v>
      </c>
      <c r="X392" s="3"/>
      <c r="Y392" s="14"/>
      <c r="Z392" s="14"/>
      <c r="AA392" s="3"/>
      <c r="AB392" s="3"/>
      <c r="AC392" s="11">
        <v>46313</v>
      </c>
      <c r="AD392" s="4">
        <v>92</v>
      </c>
      <c r="AE392" s="18">
        <f>(IF(K392&gt;0,K392+R392,R392)-(AD392*Ventas!AE389*1.0489))</f>
        <v>0</v>
      </c>
      <c r="AF392" s="3"/>
      <c r="AG392" s="22">
        <f t="shared" si="139"/>
        <v>0</v>
      </c>
      <c r="AH392" s="14"/>
      <c r="AI392" s="25">
        <f t="shared" si="148"/>
        <v>0</v>
      </c>
      <c r="AJ392" s="16"/>
      <c r="AK392" s="12">
        <f t="shared" si="149"/>
        <v>0</v>
      </c>
      <c r="AL392" s="19">
        <f t="shared" si="150"/>
        <v>0</v>
      </c>
      <c r="AM392" s="18">
        <f>(180*(Ventas!AE389*0.9644) - IF(AE392&gt;0,AE392,0))</f>
        <v>0</v>
      </c>
      <c r="AN392" s="18">
        <f t="shared" si="142"/>
        <v>0</v>
      </c>
      <c r="AO392" s="14"/>
      <c r="AP392" s="14">
        <f t="shared" si="151"/>
        <v>0</v>
      </c>
      <c r="AQ392" s="16">
        <f t="shared" si="152"/>
        <v>0</v>
      </c>
      <c r="AR392" s="37">
        <f>_xlfn.XLOOKUP(C392,[1]Hoja2!$C$6:$C$24,[1]Hoja2!$D$6:$D$24,0,2,1)</f>
        <v>0</v>
      </c>
      <c r="AS392" s="18">
        <f t="shared" si="153"/>
        <v>0</v>
      </c>
      <c r="AT392" s="14"/>
      <c r="AU392" s="37">
        <f>_xlfn.XLOOKUP(D392,[1]Hoja2!$E$6:$E$24,[1]Hoja2!$F$6:$F$24,0,2,1)</f>
        <v>0</v>
      </c>
      <c r="AV392" s="3">
        <v>0</v>
      </c>
      <c r="AW392" s="3"/>
      <c r="AX392" s="14">
        <v>0</v>
      </c>
      <c r="AY392" s="14"/>
      <c r="AZ392" s="16">
        <f>_xlfn.XLOOKUP(C392,[2]PI!$B$15:$B$99,[2]PI!$L$15:$L$99,0,2,1)</f>
        <v>0</v>
      </c>
      <c r="BA392" s="16">
        <f>_xlfn.XLOOKUP(D392,[2]PI!$B$15:$B$99,[2]PI!$L$15:$L$99,0,2,1)</f>
        <v>0</v>
      </c>
      <c r="BB392" s="3"/>
      <c r="BC392" s="3"/>
      <c r="BD392" s="14"/>
      <c r="BE392" s="14"/>
      <c r="BF392" s="16"/>
      <c r="BG392" s="16"/>
      <c r="BH392" s="12">
        <f t="shared" si="154"/>
        <v>0</v>
      </c>
      <c r="BI392" s="19">
        <f t="shared" si="155"/>
        <v>0</v>
      </c>
      <c r="BJ392" s="1" t="s">
        <v>35</v>
      </c>
      <c r="BK392">
        <f t="shared" si="156"/>
        <v>0</v>
      </c>
      <c r="BL392">
        <f t="shared" si="157"/>
        <v>0</v>
      </c>
    </row>
    <row r="393" spans="1:64" x14ac:dyDescent="0.25">
      <c r="A393" s="1" t="s">
        <v>1181</v>
      </c>
      <c r="B393" s="1" t="s">
        <v>1180</v>
      </c>
      <c r="C393" s="13" t="s">
        <v>1179</v>
      </c>
      <c r="D393" s="15"/>
      <c r="E393" s="17"/>
      <c r="F393" s="3"/>
      <c r="G393" s="14"/>
      <c r="H393" s="16"/>
      <c r="I393" s="11">
        <v>46221</v>
      </c>
      <c r="J393" s="4">
        <v>17</v>
      </c>
      <c r="K393" s="18">
        <f>(F393-(0)+0-(J393*Ventas!AE390*1))</f>
        <v>0</v>
      </c>
      <c r="L393" s="3"/>
      <c r="M393" s="22">
        <f t="shared" si="138"/>
        <v>0</v>
      </c>
      <c r="N393" s="14"/>
      <c r="O393" s="25">
        <f t="shared" si="143"/>
        <v>0</v>
      </c>
      <c r="P393" s="16"/>
      <c r="Q393" s="12">
        <f t="shared" si="144"/>
        <v>0</v>
      </c>
      <c r="R393" s="5">
        <v>0</v>
      </c>
      <c r="S393" s="24">
        <v>0</v>
      </c>
      <c r="T393" s="26">
        <v>0</v>
      </c>
      <c r="U393" s="18">
        <f t="shared" si="145"/>
        <v>0</v>
      </c>
      <c r="V393" s="22">
        <f t="shared" si="146"/>
        <v>0</v>
      </c>
      <c r="W393" s="25">
        <f t="shared" si="147"/>
        <v>0</v>
      </c>
      <c r="X393" s="3"/>
      <c r="Y393" s="14"/>
      <c r="Z393" s="14"/>
      <c r="AA393" s="3"/>
      <c r="AB393" s="3"/>
      <c r="AC393" s="11">
        <v>46313</v>
      </c>
      <c r="AD393" s="4">
        <v>92</v>
      </c>
      <c r="AE393" s="18">
        <f>(IF(K393&gt;0,K393+R393,R393)-(AD393*Ventas!AE390*1.0489))</f>
        <v>0</v>
      </c>
      <c r="AF393" s="3"/>
      <c r="AG393" s="22">
        <f t="shared" si="139"/>
        <v>0</v>
      </c>
      <c r="AH393" s="14"/>
      <c r="AI393" s="25">
        <f t="shared" si="148"/>
        <v>0</v>
      </c>
      <c r="AJ393" s="16"/>
      <c r="AK393" s="12">
        <f t="shared" si="149"/>
        <v>0</v>
      </c>
      <c r="AL393" s="19">
        <f t="shared" si="150"/>
        <v>0</v>
      </c>
      <c r="AM393" s="18">
        <f>(180*(Ventas!AE390*0.9644) - IF(AE393&gt;0,AE393,0))</f>
        <v>0</v>
      </c>
      <c r="AN393" s="18">
        <f t="shared" si="142"/>
        <v>0</v>
      </c>
      <c r="AO393" s="14"/>
      <c r="AP393" s="14">
        <f t="shared" si="151"/>
        <v>0</v>
      </c>
      <c r="AQ393" s="16">
        <f t="shared" si="152"/>
        <v>0</v>
      </c>
      <c r="AR393" s="37">
        <f>_xlfn.XLOOKUP(C393,[1]Hoja2!$C$6:$C$24,[1]Hoja2!$D$6:$D$24,0,2,1)</f>
        <v>0</v>
      </c>
      <c r="AS393" s="18">
        <f t="shared" si="153"/>
        <v>0</v>
      </c>
      <c r="AT393" s="14"/>
      <c r="AU393" s="37">
        <f>_xlfn.XLOOKUP(D393,[1]Hoja2!$E$6:$E$24,[1]Hoja2!$F$6:$F$24,0,2,1)</f>
        <v>0</v>
      </c>
      <c r="AV393" s="3">
        <v>0</v>
      </c>
      <c r="AW393" s="3"/>
      <c r="AX393" s="14">
        <v>0</v>
      </c>
      <c r="AY393" s="14"/>
      <c r="AZ393" s="16">
        <f>_xlfn.XLOOKUP(C393,[2]PI!$B$15:$B$99,[2]PI!$L$15:$L$99,0,2,1)</f>
        <v>0</v>
      </c>
      <c r="BA393" s="16">
        <f>_xlfn.XLOOKUP(D393,[2]PI!$B$15:$B$99,[2]PI!$L$15:$L$99,0,2,1)</f>
        <v>0</v>
      </c>
      <c r="BB393" s="3"/>
      <c r="BC393" s="3"/>
      <c r="BD393" s="14"/>
      <c r="BE393" s="14"/>
      <c r="BF393" s="16"/>
      <c r="BG393" s="16"/>
      <c r="BH393" s="12">
        <f t="shared" si="154"/>
        <v>0</v>
      </c>
      <c r="BI393" s="19">
        <f t="shared" si="155"/>
        <v>0</v>
      </c>
      <c r="BJ393" s="1" t="s">
        <v>35</v>
      </c>
      <c r="BK393">
        <f t="shared" si="156"/>
        <v>0</v>
      </c>
      <c r="BL393">
        <f t="shared" si="157"/>
        <v>0</v>
      </c>
    </row>
    <row r="394" spans="1:64" x14ac:dyDescent="0.25">
      <c r="A394" s="1" t="s">
        <v>1184</v>
      </c>
      <c r="B394" s="1" t="s">
        <v>1183</v>
      </c>
      <c r="C394" s="13" t="s">
        <v>1182</v>
      </c>
      <c r="D394" s="15"/>
      <c r="E394" s="17"/>
      <c r="F394" s="3"/>
      <c r="G394" s="14"/>
      <c r="H394" s="16"/>
      <c r="I394" s="11">
        <v>46221</v>
      </c>
      <c r="J394" s="4">
        <v>17</v>
      </c>
      <c r="K394" s="18">
        <f>(F394-(0)+0-(J394*Ventas!AE391*1))</f>
        <v>0</v>
      </c>
      <c r="L394" s="3"/>
      <c r="M394" s="22">
        <f t="shared" si="138"/>
        <v>0</v>
      </c>
      <c r="N394" s="14"/>
      <c r="O394" s="25">
        <f t="shared" si="143"/>
        <v>0</v>
      </c>
      <c r="P394" s="16"/>
      <c r="Q394" s="12">
        <f t="shared" si="144"/>
        <v>0</v>
      </c>
      <c r="R394" s="5">
        <v>0</v>
      </c>
      <c r="S394" s="24">
        <v>0</v>
      </c>
      <c r="T394" s="26">
        <v>0</v>
      </c>
      <c r="U394" s="18">
        <f t="shared" si="145"/>
        <v>0</v>
      </c>
      <c r="V394" s="22">
        <f t="shared" si="146"/>
        <v>0</v>
      </c>
      <c r="W394" s="25">
        <f t="shared" si="147"/>
        <v>0</v>
      </c>
      <c r="X394" s="3"/>
      <c r="Y394" s="14"/>
      <c r="Z394" s="14"/>
      <c r="AA394" s="3"/>
      <c r="AB394" s="3"/>
      <c r="AC394" s="11">
        <v>46313</v>
      </c>
      <c r="AD394" s="4">
        <v>92</v>
      </c>
      <c r="AE394" s="18">
        <f>(IF(K394&gt;0,K394+R394,R394)-(AD394*Ventas!AE391*1.0489))</f>
        <v>0</v>
      </c>
      <c r="AF394" s="3"/>
      <c r="AG394" s="22">
        <f t="shared" si="139"/>
        <v>0</v>
      </c>
      <c r="AH394" s="14"/>
      <c r="AI394" s="25">
        <f t="shared" si="148"/>
        <v>0</v>
      </c>
      <c r="AJ394" s="16"/>
      <c r="AK394" s="12">
        <f t="shared" si="149"/>
        <v>0</v>
      </c>
      <c r="AL394" s="19">
        <f t="shared" si="150"/>
        <v>0</v>
      </c>
      <c r="AM394" s="18">
        <f>(180*(Ventas!AE391*0.9644) - IF(AE394&gt;0,AE394,0))</f>
        <v>0</v>
      </c>
      <c r="AN394" s="18">
        <f t="shared" si="142"/>
        <v>0</v>
      </c>
      <c r="AO394" s="14"/>
      <c r="AP394" s="14">
        <f t="shared" si="151"/>
        <v>0</v>
      </c>
      <c r="AQ394" s="16">
        <f t="shared" si="152"/>
        <v>0</v>
      </c>
      <c r="AR394" s="37">
        <f>_xlfn.XLOOKUP(C394,[1]Hoja2!$C$6:$C$24,[1]Hoja2!$D$6:$D$24,0,2,1)</f>
        <v>0</v>
      </c>
      <c r="AS394" s="18">
        <f t="shared" si="153"/>
        <v>0</v>
      </c>
      <c r="AT394" s="14"/>
      <c r="AU394" s="37">
        <f>_xlfn.XLOOKUP(D394,[1]Hoja2!$E$6:$E$24,[1]Hoja2!$F$6:$F$24,0,2,1)</f>
        <v>0</v>
      </c>
      <c r="AV394" s="3">
        <v>0</v>
      </c>
      <c r="AW394" s="3"/>
      <c r="AX394" s="14">
        <v>0</v>
      </c>
      <c r="AY394" s="14"/>
      <c r="AZ394" s="16">
        <f>_xlfn.XLOOKUP(C394,[2]PI!$B$15:$B$99,[2]PI!$L$15:$L$99,0,2,1)</f>
        <v>0</v>
      </c>
      <c r="BA394" s="16">
        <f>_xlfn.XLOOKUP(D394,[2]PI!$B$15:$B$99,[2]PI!$L$15:$L$99,0,2,1)</f>
        <v>0</v>
      </c>
      <c r="BB394" s="3"/>
      <c r="BC394" s="3"/>
      <c r="BD394" s="14"/>
      <c r="BE394" s="14"/>
      <c r="BF394" s="16"/>
      <c r="BG394" s="16"/>
      <c r="BH394" s="12">
        <f t="shared" si="154"/>
        <v>0</v>
      </c>
      <c r="BI394" s="19">
        <f t="shared" si="155"/>
        <v>0</v>
      </c>
      <c r="BJ394" s="1" t="s">
        <v>35</v>
      </c>
      <c r="BK394">
        <f t="shared" si="156"/>
        <v>0</v>
      </c>
      <c r="BL394">
        <f t="shared" si="157"/>
        <v>0</v>
      </c>
    </row>
    <row r="395" spans="1:64" x14ac:dyDescent="0.25">
      <c r="A395" s="1" t="s">
        <v>1187</v>
      </c>
      <c r="B395" s="1" t="s">
        <v>1186</v>
      </c>
      <c r="C395" s="13" t="s">
        <v>1185</v>
      </c>
      <c r="D395" s="15"/>
      <c r="E395" s="17"/>
      <c r="F395" s="3"/>
      <c r="G395" s="14"/>
      <c r="H395" s="16"/>
      <c r="I395" s="11">
        <v>46221</v>
      </c>
      <c r="J395" s="4">
        <v>17</v>
      </c>
      <c r="K395" s="18">
        <f>(F395-(0)+0-(J395*Ventas!AE392*1))</f>
        <v>0</v>
      </c>
      <c r="L395" s="3"/>
      <c r="M395" s="22">
        <f t="shared" si="138"/>
        <v>0</v>
      </c>
      <c r="N395" s="14"/>
      <c r="O395" s="25">
        <f t="shared" si="143"/>
        <v>0</v>
      </c>
      <c r="P395" s="16"/>
      <c r="Q395" s="12">
        <f t="shared" si="144"/>
        <v>0</v>
      </c>
      <c r="R395" s="5">
        <v>0</v>
      </c>
      <c r="S395" s="24">
        <v>0</v>
      </c>
      <c r="T395" s="26">
        <v>0</v>
      </c>
      <c r="U395" s="18">
        <f t="shared" si="145"/>
        <v>0</v>
      </c>
      <c r="V395" s="22">
        <f t="shared" si="146"/>
        <v>0</v>
      </c>
      <c r="W395" s="25">
        <f t="shared" si="147"/>
        <v>0</v>
      </c>
      <c r="X395" s="3"/>
      <c r="Y395" s="14"/>
      <c r="Z395" s="14"/>
      <c r="AA395" s="3"/>
      <c r="AB395" s="3"/>
      <c r="AC395" s="11">
        <v>46313</v>
      </c>
      <c r="AD395" s="4">
        <v>92</v>
      </c>
      <c r="AE395" s="18">
        <f>(IF(K395&gt;0,K395+R395,R395)-(AD395*Ventas!AE392*1.0489))</f>
        <v>0</v>
      </c>
      <c r="AF395" s="3"/>
      <c r="AG395" s="22">
        <f t="shared" si="139"/>
        <v>0</v>
      </c>
      <c r="AH395" s="14"/>
      <c r="AI395" s="25">
        <f t="shared" si="148"/>
        <v>0</v>
      </c>
      <c r="AJ395" s="16"/>
      <c r="AK395" s="12">
        <f t="shared" si="149"/>
        <v>0</v>
      </c>
      <c r="AL395" s="19">
        <f t="shared" si="150"/>
        <v>0</v>
      </c>
      <c r="AM395" s="18">
        <f>(180*(Ventas!AE392*0.9644) - IF(AE395&gt;0,AE395,0))</f>
        <v>0</v>
      </c>
      <c r="AN395" s="18">
        <f t="shared" si="142"/>
        <v>0</v>
      </c>
      <c r="AO395" s="14"/>
      <c r="AP395" s="14">
        <f t="shared" si="151"/>
        <v>0</v>
      </c>
      <c r="AQ395" s="16">
        <f t="shared" si="152"/>
        <v>0</v>
      </c>
      <c r="AR395" s="37">
        <f>_xlfn.XLOOKUP(C395,[1]Hoja2!$C$6:$C$24,[1]Hoja2!$D$6:$D$24,0,2,1)</f>
        <v>0</v>
      </c>
      <c r="AS395" s="18">
        <f t="shared" si="153"/>
        <v>0</v>
      </c>
      <c r="AT395" s="14"/>
      <c r="AU395" s="37">
        <f>_xlfn.XLOOKUP(D395,[1]Hoja2!$E$6:$E$24,[1]Hoja2!$F$6:$F$24,0,2,1)</f>
        <v>0</v>
      </c>
      <c r="AV395" s="3">
        <v>0</v>
      </c>
      <c r="AW395" s="3"/>
      <c r="AX395" s="14">
        <v>0</v>
      </c>
      <c r="AY395" s="14"/>
      <c r="AZ395" s="16">
        <f>_xlfn.XLOOKUP(C395,[2]PI!$B$15:$B$99,[2]PI!$L$15:$L$99,0,2,1)</f>
        <v>0</v>
      </c>
      <c r="BA395" s="16">
        <f>_xlfn.XLOOKUP(D395,[2]PI!$B$15:$B$99,[2]PI!$L$15:$L$99,0,2,1)</f>
        <v>0</v>
      </c>
      <c r="BB395" s="3"/>
      <c r="BC395" s="3"/>
      <c r="BD395" s="14"/>
      <c r="BE395" s="14"/>
      <c r="BF395" s="16"/>
      <c r="BG395" s="16"/>
      <c r="BH395" s="12">
        <f t="shared" si="154"/>
        <v>0</v>
      </c>
      <c r="BI395" s="19">
        <f t="shared" si="155"/>
        <v>0</v>
      </c>
      <c r="BJ395" s="1" t="s">
        <v>35</v>
      </c>
      <c r="BK395">
        <f t="shared" si="156"/>
        <v>0</v>
      </c>
      <c r="BL395">
        <f t="shared" si="157"/>
        <v>0</v>
      </c>
    </row>
    <row r="396" spans="1:64" x14ac:dyDescent="0.25">
      <c r="A396" s="1" t="s">
        <v>1190</v>
      </c>
      <c r="B396" s="1" t="s">
        <v>1189</v>
      </c>
      <c r="C396" s="13" t="s">
        <v>1188</v>
      </c>
      <c r="D396" s="15"/>
      <c r="E396" s="17"/>
      <c r="F396" s="3"/>
      <c r="G396" s="14"/>
      <c r="H396" s="16"/>
      <c r="I396" s="11">
        <v>46221</v>
      </c>
      <c r="J396" s="4">
        <v>17</v>
      </c>
      <c r="K396" s="18">
        <f>(F396-(0)+0-(J396*Ventas!AE393*1))</f>
        <v>0</v>
      </c>
      <c r="L396" s="3"/>
      <c r="M396" s="22">
        <f t="shared" si="138"/>
        <v>0</v>
      </c>
      <c r="N396" s="14"/>
      <c r="O396" s="25">
        <f t="shared" si="143"/>
        <v>0</v>
      </c>
      <c r="P396" s="16"/>
      <c r="Q396" s="12">
        <f t="shared" si="144"/>
        <v>0</v>
      </c>
      <c r="R396" s="5">
        <v>0</v>
      </c>
      <c r="S396" s="24">
        <v>0</v>
      </c>
      <c r="T396" s="26">
        <v>0</v>
      </c>
      <c r="U396" s="18">
        <f t="shared" si="145"/>
        <v>0</v>
      </c>
      <c r="V396" s="22">
        <f t="shared" si="146"/>
        <v>0</v>
      </c>
      <c r="W396" s="25">
        <f t="shared" si="147"/>
        <v>0</v>
      </c>
      <c r="X396" s="3"/>
      <c r="Y396" s="14"/>
      <c r="Z396" s="14"/>
      <c r="AA396" s="3"/>
      <c r="AB396" s="3"/>
      <c r="AC396" s="11">
        <v>46313</v>
      </c>
      <c r="AD396" s="4">
        <v>92</v>
      </c>
      <c r="AE396" s="18">
        <f>(IF(K396&gt;0,K396+R396,R396)-(AD396*Ventas!AE393*1.0489))</f>
        <v>0</v>
      </c>
      <c r="AF396" s="3"/>
      <c r="AG396" s="22">
        <f t="shared" si="139"/>
        <v>0</v>
      </c>
      <c r="AH396" s="14"/>
      <c r="AI396" s="25">
        <f t="shared" si="148"/>
        <v>0</v>
      </c>
      <c r="AJ396" s="16"/>
      <c r="AK396" s="12">
        <f t="shared" si="149"/>
        <v>0</v>
      </c>
      <c r="AL396" s="19">
        <f t="shared" si="150"/>
        <v>0</v>
      </c>
      <c r="AM396" s="18">
        <f>(180*(Ventas!AE393*0.9644) - IF(AE396&gt;0,AE396,0))</f>
        <v>0</v>
      </c>
      <c r="AN396" s="18">
        <f t="shared" si="142"/>
        <v>0</v>
      </c>
      <c r="AO396" s="14"/>
      <c r="AP396" s="14">
        <f t="shared" si="151"/>
        <v>0</v>
      </c>
      <c r="AQ396" s="16">
        <f t="shared" si="152"/>
        <v>0</v>
      </c>
      <c r="AR396" s="37">
        <f>_xlfn.XLOOKUP(C396,[1]Hoja2!$C$6:$C$24,[1]Hoja2!$D$6:$D$24,0,2,1)</f>
        <v>0</v>
      </c>
      <c r="AS396" s="18">
        <f t="shared" si="153"/>
        <v>0</v>
      </c>
      <c r="AT396" s="14"/>
      <c r="AU396" s="37">
        <f>_xlfn.XLOOKUP(D396,[1]Hoja2!$E$6:$E$24,[1]Hoja2!$F$6:$F$24,0,2,1)</f>
        <v>0</v>
      </c>
      <c r="AV396" s="3">
        <v>0</v>
      </c>
      <c r="AW396" s="3"/>
      <c r="AX396" s="14">
        <v>0</v>
      </c>
      <c r="AY396" s="14"/>
      <c r="AZ396" s="16">
        <f>_xlfn.XLOOKUP(C396,[2]PI!$B$15:$B$99,[2]PI!$L$15:$L$99,0,2,1)</f>
        <v>0</v>
      </c>
      <c r="BA396" s="16">
        <f>_xlfn.XLOOKUP(D396,[2]PI!$B$15:$B$99,[2]PI!$L$15:$L$99,0,2,1)</f>
        <v>0</v>
      </c>
      <c r="BB396" s="3"/>
      <c r="BC396" s="3"/>
      <c r="BD396" s="14"/>
      <c r="BE396" s="14"/>
      <c r="BF396" s="16"/>
      <c r="BG396" s="16"/>
      <c r="BH396" s="12">
        <f t="shared" si="154"/>
        <v>0</v>
      </c>
      <c r="BI396" s="19">
        <f t="shared" si="155"/>
        <v>0</v>
      </c>
      <c r="BJ396" s="1" t="s">
        <v>35</v>
      </c>
      <c r="BK396">
        <f t="shared" si="156"/>
        <v>0</v>
      </c>
      <c r="BL396">
        <f t="shared" si="157"/>
        <v>0</v>
      </c>
    </row>
    <row r="397" spans="1:64" x14ac:dyDescent="0.25">
      <c r="A397" s="1" t="s">
        <v>1193</v>
      </c>
      <c r="B397" s="1" t="s">
        <v>1192</v>
      </c>
      <c r="C397" s="13" t="s">
        <v>1191</v>
      </c>
      <c r="D397" s="15"/>
      <c r="E397" s="17"/>
      <c r="F397" s="3"/>
      <c r="G397" s="14"/>
      <c r="H397" s="16"/>
      <c r="I397" s="11">
        <v>46221</v>
      </c>
      <c r="J397" s="4">
        <v>17</v>
      </c>
      <c r="K397" s="18">
        <f>(F397-(0)+0-(J397*Ventas!AE394*1))</f>
        <v>0</v>
      </c>
      <c r="L397" s="3"/>
      <c r="M397" s="22">
        <f t="shared" si="138"/>
        <v>0</v>
      </c>
      <c r="N397" s="14"/>
      <c r="O397" s="25">
        <f t="shared" si="143"/>
        <v>0</v>
      </c>
      <c r="P397" s="16"/>
      <c r="Q397" s="12">
        <f t="shared" si="144"/>
        <v>0</v>
      </c>
      <c r="R397" s="5">
        <v>0</v>
      </c>
      <c r="S397" s="24">
        <v>0</v>
      </c>
      <c r="T397" s="26">
        <v>0</v>
      </c>
      <c r="U397" s="18">
        <f t="shared" si="145"/>
        <v>0</v>
      </c>
      <c r="V397" s="22">
        <f t="shared" si="146"/>
        <v>0</v>
      </c>
      <c r="W397" s="25">
        <f t="shared" si="147"/>
        <v>0</v>
      </c>
      <c r="X397" s="3"/>
      <c r="Y397" s="14"/>
      <c r="Z397" s="14"/>
      <c r="AA397" s="3"/>
      <c r="AB397" s="3"/>
      <c r="AC397" s="11">
        <v>46313</v>
      </c>
      <c r="AD397" s="4">
        <v>92</v>
      </c>
      <c r="AE397" s="18">
        <f>(IF(K397&gt;0,K397+R397,R397)-(AD397*Ventas!AE394*1.0489))</f>
        <v>0</v>
      </c>
      <c r="AF397" s="3"/>
      <c r="AG397" s="22">
        <f t="shared" si="139"/>
        <v>0</v>
      </c>
      <c r="AH397" s="14"/>
      <c r="AI397" s="25">
        <f t="shared" si="148"/>
        <v>0</v>
      </c>
      <c r="AJ397" s="16"/>
      <c r="AK397" s="12">
        <f t="shared" si="149"/>
        <v>0</v>
      </c>
      <c r="AL397" s="19">
        <f t="shared" si="150"/>
        <v>0</v>
      </c>
      <c r="AM397" s="18">
        <f>(180*(Ventas!AE394*0.9644) - IF(AE397&gt;0,AE397,0))</f>
        <v>0</v>
      </c>
      <c r="AN397" s="18">
        <f t="shared" si="142"/>
        <v>0</v>
      </c>
      <c r="AO397" s="14"/>
      <c r="AP397" s="14">
        <f t="shared" si="151"/>
        <v>0</v>
      </c>
      <c r="AQ397" s="16">
        <f t="shared" si="152"/>
        <v>0</v>
      </c>
      <c r="AR397" s="37">
        <f>_xlfn.XLOOKUP(C397,[1]Hoja2!$C$6:$C$24,[1]Hoja2!$D$6:$D$24,0,2,1)</f>
        <v>0</v>
      </c>
      <c r="AS397" s="18">
        <f t="shared" si="153"/>
        <v>0</v>
      </c>
      <c r="AT397" s="14"/>
      <c r="AU397" s="37">
        <f>_xlfn.XLOOKUP(D397,[1]Hoja2!$E$6:$E$24,[1]Hoja2!$F$6:$F$24,0,2,1)</f>
        <v>0</v>
      </c>
      <c r="AV397" s="3">
        <v>0</v>
      </c>
      <c r="AW397" s="3"/>
      <c r="AX397" s="14">
        <v>0</v>
      </c>
      <c r="AY397" s="14"/>
      <c r="AZ397" s="16">
        <f>_xlfn.XLOOKUP(C397,[2]PI!$B$15:$B$99,[2]PI!$L$15:$L$99,0,2,1)</f>
        <v>0</v>
      </c>
      <c r="BA397" s="16">
        <f>_xlfn.XLOOKUP(D397,[2]PI!$B$15:$B$99,[2]PI!$L$15:$L$99,0,2,1)</f>
        <v>0</v>
      </c>
      <c r="BB397" s="3"/>
      <c r="BC397" s="3"/>
      <c r="BD397" s="14"/>
      <c r="BE397" s="14"/>
      <c r="BF397" s="16"/>
      <c r="BG397" s="16"/>
      <c r="BH397" s="12">
        <f t="shared" si="154"/>
        <v>0</v>
      </c>
      <c r="BI397" s="19">
        <f t="shared" si="155"/>
        <v>0</v>
      </c>
      <c r="BJ397" s="1" t="s">
        <v>35</v>
      </c>
      <c r="BK397">
        <f t="shared" si="156"/>
        <v>0</v>
      </c>
      <c r="BL397">
        <f t="shared" si="157"/>
        <v>0</v>
      </c>
    </row>
    <row r="398" spans="1:64" x14ac:dyDescent="0.25">
      <c r="A398" s="1" t="s">
        <v>1196</v>
      </c>
      <c r="B398" s="1" t="s">
        <v>1195</v>
      </c>
      <c r="C398" s="13" t="s">
        <v>1194</v>
      </c>
      <c r="D398" s="15"/>
      <c r="E398" s="17"/>
      <c r="F398" s="3"/>
      <c r="G398" s="14"/>
      <c r="H398" s="16"/>
      <c r="I398" s="11">
        <v>46221</v>
      </c>
      <c r="J398" s="4">
        <v>17</v>
      </c>
      <c r="K398" s="18">
        <f>(F398-(0)+0-(J398*Ventas!AE395*1))</f>
        <v>0</v>
      </c>
      <c r="L398" s="3"/>
      <c r="M398" s="22">
        <f t="shared" si="138"/>
        <v>0</v>
      </c>
      <c r="N398" s="14"/>
      <c r="O398" s="25">
        <f t="shared" si="143"/>
        <v>0</v>
      </c>
      <c r="P398" s="16"/>
      <c r="Q398" s="12">
        <f t="shared" si="144"/>
        <v>0</v>
      </c>
      <c r="R398" s="5">
        <v>0</v>
      </c>
      <c r="S398" s="24">
        <v>0</v>
      </c>
      <c r="T398" s="26">
        <v>0</v>
      </c>
      <c r="U398" s="18">
        <f t="shared" si="145"/>
        <v>0</v>
      </c>
      <c r="V398" s="22">
        <f t="shared" si="146"/>
        <v>0</v>
      </c>
      <c r="W398" s="25">
        <f t="shared" si="147"/>
        <v>0</v>
      </c>
      <c r="X398" s="3"/>
      <c r="Y398" s="14"/>
      <c r="Z398" s="14"/>
      <c r="AA398" s="3"/>
      <c r="AB398" s="3"/>
      <c r="AC398" s="11">
        <v>46313</v>
      </c>
      <c r="AD398" s="4">
        <v>92</v>
      </c>
      <c r="AE398" s="18">
        <f>(IF(K398&gt;0,K398+R398,R398)-(AD398*Ventas!AE395*1.0489))</f>
        <v>0</v>
      </c>
      <c r="AF398" s="3"/>
      <c r="AG398" s="22">
        <f t="shared" si="139"/>
        <v>0</v>
      </c>
      <c r="AH398" s="14"/>
      <c r="AI398" s="25">
        <f t="shared" si="148"/>
        <v>0</v>
      </c>
      <c r="AJ398" s="16"/>
      <c r="AK398" s="12">
        <f t="shared" si="149"/>
        <v>0</v>
      </c>
      <c r="AL398" s="19">
        <f t="shared" si="150"/>
        <v>0</v>
      </c>
      <c r="AM398" s="18">
        <f>(180*(Ventas!AE395*0.9644) - IF(AE398&gt;0,AE398,0))</f>
        <v>0</v>
      </c>
      <c r="AN398" s="18">
        <f t="shared" si="142"/>
        <v>0</v>
      </c>
      <c r="AO398" s="14"/>
      <c r="AP398" s="14">
        <f t="shared" si="151"/>
        <v>0</v>
      </c>
      <c r="AQ398" s="16">
        <f t="shared" si="152"/>
        <v>0</v>
      </c>
      <c r="AR398" s="37">
        <f>_xlfn.XLOOKUP(C398,[1]Hoja2!$C$6:$C$24,[1]Hoja2!$D$6:$D$24,0,2,1)</f>
        <v>0</v>
      </c>
      <c r="AS398" s="18">
        <f t="shared" si="153"/>
        <v>0</v>
      </c>
      <c r="AT398" s="14"/>
      <c r="AU398" s="37">
        <f>_xlfn.XLOOKUP(D398,[1]Hoja2!$E$6:$E$24,[1]Hoja2!$F$6:$F$24,0,2,1)</f>
        <v>0</v>
      </c>
      <c r="AV398" s="3">
        <v>0</v>
      </c>
      <c r="AW398" s="3"/>
      <c r="AX398" s="14">
        <v>0</v>
      </c>
      <c r="AY398" s="14"/>
      <c r="AZ398" s="16">
        <f>_xlfn.XLOOKUP(C398,[2]PI!$B$15:$B$99,[2]PI!$L$15:$L$99,0,2,1)</f>
        <v>0</v>
      </c>
      <c r="BA398" s="16">
        <f>_xlfn.XLOOKUP(D398,[2]PI!$B$15:$B$99,[2]PI!$L$15:$L$99,0,2,1)</f>
        <v>0</v>
      </c>
      <c r="BB398" s="3"/>
      <c r="BC398" s="3"/>
      <c r="BD398" s="14"/>
      <c r="BE398" s="14"/>
      <c r="BF398" s="16"/>
      <c r="BG398" s="16"/>
      <c r="BH398" s="12">
        <f t="shared" si="154"/>
        <v>0</v>
      </c>
      <c r="BI398" s="19">
        <f t="shared" si="155"/>
        <v>0</v>
      </c>
      <c r="BJ398" s="1" t="s">
        <v>35</v>
      </c>
      <c r="BK398">
        <f t="shared" si="156"/>
        <v>0</v>
      </c>
      <c r="BL398">
        <f t="shared" si="157"/>
        <v>0</v>
      </c>
    </row>
    <row r="399" spans="1:64" x14ac:dyDescent="0.25">
      <c r="A399" s="1" t="s">
        <v>1199</v>
      </c>
      <c r="B399" s="1" t="s">
        <v>1198</v>
      </c>
      <c r="C399" s="13" t="s">
        <v>1197</v>
      </c>
      <c r="D399" s="15"/>
      <c r="E399" s="17"/>
      <c r="F399" s="3"/>
      <c r="G399" s="14"/>
      <c r="H399" s="16"/>
      <c r="I399" s="11">
        <v>46221</v>
      </c>
      <c r="J399" s="4">
        <v>17</v>
      </c>
      <c r="K399" s="18">
        <f>(F399-(0)+0-(J399*Ventas!AE396*1))</f>
        <v>0</v>
      </c>
      <c r="L399" s="3"/>
      <c r="M399" s="22">
        <f t="shared" si="138"/>
        <v>0</v>
      </c>
      <c r="N399" s="14"/>
      <c r="O399" s="25">
        <f t="shared" si="143"/>
        <v>0</v>
      </c>
      <c r="P399" s="16"/>
      <c r="Q399" s="12">
        <f t="shared" si="144"/>
        <v>0</v>
      </c>
      <c r="R399" s="5">
        <v>0</v>
      </c>
      <c r="S399" s="24">
        <v>0</v>
      </c>
      <c r="T399" s="26">
        <v>0</v>
      </c>
      <c r="U399" s="18">
        <f t="shared" si="145"/>
        <v>0</v>
      </c>
      <c r="V399" s="22">
        <f t="shared" si="146"/>
        <v>0</v>
      </c>
      <c r="W399" s="25">
        <f t="shared" si="147"/>
        <v>0</v>
      </c>
      <c r="X399" s="3"/>
      <c r="Y399" s="14"/>
      <c r="Z399" s="14"/>
      <c r="AA399" s="3"/>
      <c r="AB399" s="3"/>
      <c r="AC399" s="11">
        <v>46313</v>
      </c>
      <c r="AD399" s="4">
        <v>92</v>
      </c>
      <c r="AE399" s="18">
        <f>(IF(K399&gt;0,K399+R399,R399)-(AD399*Ventas!AE396*1.0489))</f>
        <v>0</v>
      </c>
      <c r="AF399" s="3"/>
      <c r="AG399" s="22">
        <f t="shared" si="139"/>
        <v>0</v>
      </c>
      <c r="AH399" s="14"/>
      <c r="AI399" s="25">
        <f t="shared" si="148"/>
        <v>0</v>
      </c>
      <c r="AJ399" s="16"/>
      <c r="AK399" s="12">
        <f t="shared" si="149"/>
        <v>0</v>
      </c>
      <c r="AL399" s="19">
        <f t="shared" si="150"/>
        <v>0</v>
      </c>
      <c r="AM399" s="18">
        <f>(180*(Ventas!AE396*0.9644) - IF(AE399&gt;0,AE399,0))</f>
        <v>0</v>
      </c>
      <c r="AN399" s="18">
        <f t="shared" si="142"/>
        <v>0</v>
      </c>
      <c r="AO399" s="14"/>
      <c r="AP399" s="14">
        <f t="shared" si="151"/>
        <v>0</v>
      </c>
      <c r="AQ399" s="16">
        <f t="shared" si="152"/>
        <v>0</v>
      </c>
      <c r="AR399" s="37">
        <f>_xlfn.XLOOKUP(C399,[1]Hoja2!$C$6:$C$24,[1]Hoja2!$D$6:$D$24,0,2,1)</f>
        <v>0</v>
      </c>
      <c r="AS399" s="18">
        <f t="shared" si="153"/>
        <v>0</v>
      </c>
      <c r="AT399" s="14"/>
      <c r="AU399" s="37">
        <f>_xlfn.XLOOKUP(D399,[1]Hoja2!$E$6:$E$24,[1]Hoja2!$F$6:$F$24,0,2,1)</f>
        <v>0</v>
      </c>
      <c r="AV399" s="3">
        <v>0</v>
      </c>
      <c r="AW399" s="3"/>
      <c r="AX399" s="14">
        <v>0</v>
      </c>
      <c r="AY399" s="14"/>
      <c r="AZ399" s="16">
        <f>_xlfn.XLOOKUP(C399,[2]PI!$B$15:$B$99,[2]PI!$L$15:$L$99,0,2,1)</f>
        <v>0</v>
      </c>
      <c r="BA399" s="16">
        <f>_xlfn.XLOOKUP(D399,[2]PI!$B$15:$B$99,[2]PI!$L$15:$L$99,0,2,1)</f>
        <v>0</v>
      </c>
      <c r="BB399" s="3"/>
      <c r="BC399" s="3"/>
      <c r="BD399" s="14"/>
      <c r="BE399" s="14"/>
      <c r="BF399" s="16"/>
      <c r="BG399" s="16"/>
      <c r="BH399" s="12">
        <f t="shared" si="154"/>
        <v>0</v>
      </c>
      <c r="BI399" s="19">
        <f t="shared" si="155"/>
        <v>0</v>
      </c>
      <c r="BJ399" s="1" t="s">
        <v>35</v>
      </c>
      <c r="BK399">
        <f t="shared" si="156"/>
        <v>0</v>
      </c>
      <c r="BL399">
        <f t="shared" si="157"/>
        <v>0</v>
      </c>
    </row>
    <row r="400" spans="1:64" x14ac:dyDescent="0.25">
      <c r="A400" s="1" t="s">
        <v>1202</v>
      </c>
      <c r="B400" s="1" t="s">
        <v>1201</v>
      </c>
      <c r="C400" s="13" t="s">
        <v>1200</v>
      </c>
      <c r="D400" s="15"/>
      <c r="E400" s="17"/>
      <c r="F400" s="3"/>
      <c r="G400" s="14"/>
      <c r="H400" s="16"/>
      <c r="I400" s="11">
        <v>46221</v>
      </c>
      <c r="J400" s="4">
        <v>17</v>
      </c>
      <c r="K400" s="18">
        <f>(F400-(0)+0-(J400*Ventas!AE397*1))</f>
        <v>0</v>
      </c>
      <c r="L400" s="3"/>
      <c r="M400" s="22">
        <f t="shared" si="138"/>
        <v>0</v>
      </c>
      <c r="N400" s="14"/>
      <c r="O400" s="25">
        <f t="shared" si="143"/>
        <v>0</v>
      </c>
      <c r="P400" s="16"/>
      <c r="Q400" s="12">
        <f t="shared" si="144"/>
        <v>0</v>
      </c>
      <c r="R400" s="5">
        <v>0</v>
      </c>
      <c r="S400" s="24">
        <v>0</v>
      </c>
      <c r="T400" s="26">
        <v>0</v>
      </c>
      <c r="U400" s="18">
        <f t="shared" si="145"/>
        <v>0</v>
      </c>
      <c r="V400" s="22">
        <f t="shared" si="146"/>
        <v>0</v>
      </c>
      <c r="W400" s="25">
        <f t="shared" si="147"/>
        <v>0</v>
      </c>
      <c r="X400" s="3"/>
      <c r="Y400" s="14"/>
      <c r="Z400" s="14"/>
      <c r="AA400" s="3"/>
      <c r="AB400" s="3"/>
      <c r="AC400" s="11">
        <v>46313</v>
      </c>
      <c r="AD400" s="4">
        <v>92</v>
      </c>
      <c r="AE400" s="18">
        <f>(IF(K400&gt;0,K400+R400,R400)-(AD400*Ventas!AE397*1.0489))</f>
        <v>0</v>
      </c>
      <c r="AF400" s="3"/>
      <c r="AG400" s="22">
        <f t="shared" si="139"/>
        <v>0</v>
      </c>
      <c r="AH400" s="14"/>
      <c r="AI400" s="25">
        <f t="shared" si="148"/>
        <v>0</v>
      </c>
      <c r="AJ400" s="16"/>
      <c r="AK400" s="12">
        <f t="shared" si="149"/>
        <v>0</v>
      </c>
      <c r="AL400" s="19">
        <f t="shared" si="150"/>
        <v>0</v>
      </c>
      <c r="AM400" s="18">
        <f>(180*(Ventas!AE397*0.9644) - IF(AE400&gt;0,AE400,0))</f>
        <v>0</v>
      </c>
      <c r="AN400" s="18">
        <f t="shared" si="142"/>
        <v>0</v>
      </c>
      <c r="AO400" s="14"/>
      <c r="AP400" s="14">
        <f t="shared" si="151"/>
        <v>0</v>
      </c>
      <c r="AQ400" s="16">
        <f t="shared" si="152"/>
        <v>0</v>
      </c>
      <c r="AR400" s="37">
        <f>_xlfn.XLOOKUP(C400,[1]Hoja2!$C$6:$C$24,[1]Hoja2!$D$6:$D$24,0,2,1)</f>
        <v>0</v>
      </c>
      <c r="AS400" s="18">
        <f t="shared" si="153"/>
        <v>0</v>
      </c>
      <c r="AT400" s="14"/>
      <c r="AU400" s="37">
        <f>_xlfn.XLOOKUP(D400,[1]Hoja2!$E$6:$E$24,[1]Hoja2!$F$6:$F$24,0,2,1)</f>
        <v>0</v>
      </c>
      <c r="AV400" s="3">
        <v>0</v>
      </c>
      <c r="AW400" s="3"/>
      <c r="AX400" s="14">
        <v>0</v>
      </c>
      <c r="AY400" s="14"/>
      <c r="AZ400" s="16">
        <f>_xlfn.XLOOKUP(C400,[2]PI!$B$15:$B$99,[2]PI!$L$15:$L$99,0,2,1)</f>
        <v>0</v>
      </c>
      <c r="BA400" s="16">
        <f>_xlfn.XLOOKUP(D400,[2]PI!$B$15:$B$99,[2]PI!$L$15:$L$99,0,2,1)</f>
        <v>0</v>
      </c>
      <c r="BB400" s="3"/>
      <c r="BC400" s="3"/>
      <c r="BD400" s="14"/>
      <c r="BE400" s="14"/>
      <c r="BF400" s="16"/>
      <c r="BG400" s="16"/>
      <c r="BH400" s="12">
        <f t="shared" si="154"/>
        <v>0</v>
      </c>
      <c r="BI400" s="19">
        <f t="shared" si="155"/>
        <v>0</v>
      </c>
      <c r="BJ400" s="1" t="s">
        <v>35</v>
      </c>
      <c r="BK400">
        <f t="shared" si="156"/>
        <v>0</v>
      </c>
      <c r="BL400">
        <f t="shared" si="157"/>
        <v>0</v>
      </c>
    </row>
    <row r="401" spans="1:64" x14ac:dyDescent="0.25">
      <c r="A401" s="1" t="s">
        <v>1205</v>
      </c>
      <c r="B401" s="1" t="s">
        <v>1204</v>
      </c>
      <c r="C401" s="13" t="s">
        <v>1203</v>
      </c>
      <c r="D401" s="15"/>
      <c r="E401" s="17"/>
      <c r="F401" s="3"/>
      <c r="G401" s="14"/>
      <c r="H401" s="16"/>
      <c r="I401" s="11">
        <v>46221</v>
      </c>
      <c r="J401" s="4">
        <v>17</v>
      </c>
      <c r="K401" s="18">
        <f>(F401-(0)+0-(J401*Ventas!AE398*1))</f>
        <v>0</v>
      </c>
      <c r="L401" s="3"/>
      <c r="M401" s="22">
        <f t="shared" si="138"/>
        <v>0</v>
      </c>
      <c r="N401" s="14"/>
      <c r="O401" s="25">
        <f t="shared" si="143"/>
        <v>0</v>
      </c>
      <c r="P401" s="16"/>
      <c r="Q401" s="12">
        <f t="shared" si="144"/>
        <v>0</v>
      </c>
      <c r="R401" s="5">
        <v>0</v>
      </c>
      <c r="S401" s="24">
        <v>0</v>
      </c>
      <c r="T401" s="26">
        <v>0</v>
      </c>
      <c r="U401" s="18">
        <f t="shared" si="145"/>
        <v>0</v>
      </c>
      <c r="V401" s="22">
        <f t="shared" si="146"/>
        <v>0</v>
      </c>
      <c r="W401" s="25">
        <f t="shared" si="147"/>
        <v>0</v>
      </c>
      <c r="X401" s="3"/>
      <c r="Y401" s="14"/>
      <c r="Z401" s="14"/>
      <c r="AA401" s="3"/>
      <c r="AB401" s="3">
        <v>6.783E-3</v>
      </c>
      <c r="AC401" s="11">
        <v>46313</v>
      </c>
      <c r="AD401" s="4">
        <v>92</v>
      </c>
      <c r="AE401" s="18">
        <f>(IF(K401&gt;0,K401+R401,R401)-(AD401*Ventas!AE398*1.0489))</f>
        <v>0</v>
      </c>
      <c r="AF401" s="3"/>
      <c r="AG401" s="22">
        <f t="shared" si="139"/>
        <v>0</v>
      </c>
      <c r="AH401" s="14"/>
      <c r="AI401" s="25">
        <f t="shared" si="148"/>
        <v>0</v>
      </c>
      <c r="AJ401" s="16"/>
      <c r="AK401" s="12">
        <f t="shared" si="149"/>
        <v>0</v>
      </c>
      <c r="AL401" s="19">
        <f t="shared" si="150"/>
        <v>0</v>
      </c>
      <c r="AM401" s="18">
        <f>(180*(Ventas!AE398*0.9644) - IF(AE401&gt;0,AE401,0))</f>
        <v>0</v>
      </c>
      <c r="AN401" s="18">
        <f t="shared" si="142"/>
        <v>0</v>
      </c>
      <c r="AO401" s="14"/>
      <c r="AP401" s="14">
        <f t="shared" si="151"/>
        <v>0</v>
      </c>
      <c r="AQ401" s="16">
        <f t="shared" si="152"/>
        <v>0</v>
      </c>
      <c r="AR401" s="37">
        <f>_xlfn.XLOOKUP(C401,[1]Hoja2!$C$6:$C$24,[1]Hoja2!$D$6:$D$24,0,2,1)</f>
        <v>0</v>
      </c>
      <c r="AS401" s="18">
        <f t="shared" si="153"/>
        <v>0</v>
      </c>
      <c r="AT401" s="14"/>
      <c r="AU401" s="37">
        <f>_xlfn.XLOOKUP(D401,[1]Hoja2!$E$6:$E$24,[1]Hoja2!$F$6:$F$24,0,2,1)</f>
        <v>0</v>
      </c>
      <c r="AV401" s="3">
        <v>0</v>
      </c>
      <c r="AW401" s="3"/>
      <c r="AX401" s="14">
        <v>0</v>
      </c>
      <c r="AY401" s="14"/>
      <c r="AZ401" s="16">
        <f>_xlfn.XLOOKUP(C401,[2]PI!$B$15:$B$99,[2]PI!$L$15:$L$99,0,2,1)</f>
        <v>0</v>
      </c>
      <c r="BA401" s="16">
        <f>_xlfn.XLOOKUP(D401,[2]PI!$B$15:$B$99,[2]PI!$L$15:$L$99,0,2,1)</f>
        <v>0</v>
      </c>
      <c r="BB401" s="3"/>
      <c r="BC401" s="3"/>
      <c r="BD401" s="14"/>
      <c r="BE401" s="14"/>
      <c r="BF401" s="16"/>
      <c r="BG401" s="16"/>
      <c r="BH401" s="12">
        <f t="shared" si="154"/>
        <v>0</v>
      </c>
      <c r="BI401" s="19">
        <f t="shared" si="155"/>
        <v>0</v>
      </c>
      <c r="BJ401" s="1" t="s">
        <v>35</v>
      </c>
      <c r="BK401">
        <f t="shared" si="156"/>
        <v>0</v>
      </c>
      <c r="BL401">
        <f t="shared" si="157"/>
        <v>0</v>
      </c>
    </row>
    <row r="402" spans="1:64" x14ac:dyDescent="0.25">
      <c r="A402" s="1" t="s">
        <v>1208</v>
      </c>
      <c r="B402" s="1" t="s">
        <v>1207</v>
      </c>
      <c r="C402" s="13" t="s">
        <v>1206</v>
      </c>
      <c r="D402" s="15"/>
      <c r="E402" s="17"/>
      <c r="F402" s="3"/>
      <c r="G402" s="14"/>
      <c r="H402" s="16"/>
      <c r="I402" s="11">
        <v>46221</v>
      </c>
      <c r="J402" s="4">
        <v>17</v>
      </c>
      <c r="K402" s="18">
        <f>(F402-(0)+0-(J402*Ventas!AE399*1))</f>
        <v>0</v>
      </c>
      <c r="L402" s="3"/>
      <c r="M402" s="22">
        <f t="shared" si="138"/>
        <v>0</v>
      </c>
      <c r="N402" s="14"/>
      <c r="O402" s="25">
        <f t="shared" si="143"/>
        <v>0</v>
      </c>
      <c r="P402" s="16"/>
      <c r="Q402" s="12">
        <f t="shared" si="144"/>
        <v>0</v>
      </c>
      <c r="R402" s="5">
        <v>0</v>
      </c>
      <c r="S402" s="24">
        <v>0</v>
      </c>
      <c r="T402" s="26">
        <v>0</v>
      </c>
      <c r="U402" s="18">
        <f t="shared" si="145"/>
        <v>0</v>
      </c>
      <c r="V402" s="22">
        <f t="shared" si="146"/>
        <v>0</v>
      </c>
      <c r="W402" s="25">
        <f t="shared" si="147"/>
        <v>0</v>
      </c>
      <c r="X402" s="3"/>
      <c r="Y402" s="14"/>
      <c r="Z402" s="14"/>
      <c r="AA402" s="3"/>
      <c r="AB402" s="3">
        <v>6.783E-3</v>
      </c>
      <c r="AC402" s="11">
        <v>46313</v>
      </c>
      <c r="AD402" s="4">
        <v>92</v>
      </c>
      <c r="AE402" s="18">
        <f>(IF(K402&gt;0,K402+R402,R402)-(AD402*Ventas!AE399*1.0489))</f>
        <v>0</v>
      </c>
      <c r="AF402" s="3"/>
      <c r="AG402" s="22">
        <f t="shared" si="139"/>
        <v>0</v>
      </c>
      <c r="AH402" s="14"/>
      <c r="AI402" s="25">
        <f t="shared" si="148"/>
        <v>0</v>
      </c>
      <c r="AJ402" s="16"/>
      <c r="AK402" s="12">
        <f t="shared" si="149"/>
        <v>0</v>
      </c>
      <c r="AL402" s="19">
        <f t="shared" si="150"/>
        <v>0</v>
      </c>
      <c r="AM402" s="18">
        <f>(180*(Ventas!AE399*0.9644) - IF(AE402&gt;0,AE402,0))</f>
        <v>0</v>
      </c>
      <c r="AN402" s="18">
        <f t="shared" si="142"/>
        <v>0</v>
      </c>
      <c r="AO402" s="14"/>
      <c r="AP402" s="14">
        <f t="shared" si="151"/>
        <v>0</v>
      </c>
      <c r="AQ402" s="16">
        <f t="shared" si="152"/>
        <v>0</v>
      </c>
      <c r="AR402" s="37">
        <f>_xlfn.XLOOKUP(C402,[1]Hoja2!$C$6:$C$24,[1]Hoja2!$D$6:$D$24,0,2,1)</f>
        <v>0</v>
      </c>
      <c r="AS402" s="18">
        <f t="shared" si="153"/>
        <v>0</v>
      </c>
      <c r="AT402" s="14"/>
      <c r="AU402" s="37">
        <f>_xlfn.XLOOKUP(D402,[1]Hoja2!$E$6:$E$24,[1]Hoja2!$F$6:$F$24,0,2,1)</f>
        <v>0</v>
      </c>
      <c r="AV402" s="3">
        <v>0</v>
      </c>
      <c r="AW402" s="3"/>
      <c r="AX402" s="14">
        <v>0</v>
      </c>
      <c r="AY402" s="14"/>
      <c r="AZ402" s="16">
        <f>_xlfn.XLOOKUP(C402,[2]PI!$B$15:$B$99,[2]PI!$L$15:$L$99,0,2,1)</f>
        <v>0</v>
      </c>
      <c r="BA402" s="16">
        <f>_xlfn.XLOOKUP(D402,[2]PI!$B$15:$B$99,[2]PI!$L$15:$L$99,0,2,1)</f>
        <v>0</v>
      </c>
      <c r="BB402" s="3"/>
      <c r="BC402" s="3"/>
      <c r="BD402" s="14"/>
      <c r="BE402" s="14"/>
      <c r="BF402" s="16"/>
      <c r="BG402" s="16"/>
      <c r="BH402" s="12">
        <f t="shared" si="154"/>
        <v>0</v>
      </c>
      <c r="BI402" s="19">
        <f t="shared" si="155"/>
        <v>0</v>
      </c>
      <c r="BJ402" s="1" t="s">
        <v>35</v>
      </c>
      <c r="BK402">
        <f t="shared" si="156"/>
        <v>0</v>
      </c>
      <c r="BL402">
        <f t="shared" si="157"/>
        <v>0</v>
      </c>
    </row>
    <row r="403" spans="1:64" x14ac:dyDescent="0.25">
      <c r="A403" s="1" t="s">
        <v>1211</v>
      </c>
      <c r="B403" s="1" t="s">
        <v>1210</v>
      </c>
      <c r="C403" s="13" t="s">
        <v>1209</v>
      </c>
      <c r="D403" s="15"/>
      <c r="E403" s="17"/>
      <c r="F403" s="3"/>
      <c r="G403" s="14"/>
      <c r="H403" s="16"/>
      <c r="I403" s="11">
        <v>46221</v>
      </c>
      <c r="J403" s="4">
        <v>17</v>
      </c>
      <c r="K403" s="18">
        <f>(F403-(0)+0-(J403*Ventas!AE400*1))</f>
        <v>0</v>
      </c>
      <c r="L403" s="3"/>
      <c r="M403" s="22">
        <f t="shared" si="138"/>
        <v>0</v>
      </c>
      <c r="N403" s="14"/>
      <c r="O403" s="25">
        <f t="shared" si="143"/>
        <v>0</v>
      </c>
      <c r="P403" s="16"/>
      <c r="Q403" s="12">
        <f t="shared" si="144"/>
        <v>0</v>
      </c>
      <c r="R403" s="5">
        <v>0</v>
      </c>
      <c r="S403" s="24">
        <v>0</v>
      </c>
      <c r="T403" s="26">
        <v>0</v>
      </c>
      <c r="U403" s="18">
        <f t="shared" si="145"/>
        <v>0</v>
      </c>
      <c r="V403" s="22">
        <f t="shared" si="146"/>
        <v>0</v>
      </c>
      <c r="W403" s="25">
        <f t="shared" si="147"/>
        <v>0</v>
      </c>
      <c r="X403" s="3"/>
      <c r="Y403" s="14"/>
      <c r="Z403" s="14"/>
      <c r="AA403" s="3"/>
      <c r="AB403" s="3">
        <v>6.783E-3</v>
      </c>
      <c r="AC403" s="11">
        <v>46313</v>
      </c>
      <c r="AD403" s="4">
        <v>92</v>
      </c>
      <c r="AE403" s="18">
        <f>(IF(K403&gt;0,K403+R403,R403)-(AD403*Ventas!AE400*1.0489))</f>
        <v>0</v>
      </c>
      <c r="AF403" s="3"/>
      <c r="AG403" s="22">
        <f t="shared" si="139"/>
        <v>0</v>
      </c>
      <c r="AH403" s="14"/>
      <c r="AI403" s="25">
        <f t="shared" si="148"/>
        <v>0</v>
      </c>
      <c r="AJ403" s="16"/>
      <c r="AK403" s="12">
        <f t="shared" si="149"/>
        <v>0</v>
      </c>
      <c r="AL403" s="19">
        <f t="shared" si="150"/>
        <v>0</v>
      </c>
      <c r="AM403" s="18">
        <f>(180*(Ventas!AE400*0.9644) - IF(AE403&gt;0,AE403,0))</f>
        <v>0</v>
      </c>
      <c r="AN403" s="18">
        <f t="shared" si="142"/>
        <v>0</v>
      </c>
      <c r="AO403" s="14"/>
      <c r="AP403" s="14">
        <f t="shared" si="151"/>
        <v>0</v>
      </c>
      <c r="AQ403" s="16">
        <f t="shared" si="152"/>
        <v>0</v>
      </c>
      <c r="AR403" s="37">
        <f>_xlfn.XLOOKUP(C403,[1]Hoja2!$C$6:$C$24,[1]Hoja2!$D$6:$D$24,0,2,1)</f>
        <v>0</v>
      </c>
      <c r="AS403" s="18">
        <f t="shared" si="153"/>
        <v>0</v>
      </c>
      <c r="AT403" s="14"/>
      <c r="AU403" s="37">
        <f>_xlfn.XLOOKUP(D403,[1]Hoja2!$E$6:$E$24,[1]Hoja2!$F$6:$F$24,0,2,1)</f>
        <v>0</v>
      </c>
      <c r="AV403" s="3">
        <v>0</v>
      </c>
      <c r="AW403" s="3"/>
      <c r="AX403" s="14">
        <v>0</v>
      </c>
      <c r="AY403" s="14"/>
      <c r="AZ403" s="16">
        <f>_xlfn.XLOOKUP(C403,[2]PI!$B$15:$B$99,[2]PI!$L$15:$L$99,0,2,1)</f>
        <v>0</v>
      </c>
      <c r="BA403" s="16">
        <f>_xlfn.XLOOKUP(D403,[2]PI!$B$15:$B$99,[2]PI!$L$15:$L$99,0,2,1)</f>
        <v>0</v>
      </c>
      <c r="BB403" s="3"/>
      <c r="BC403" s="3"/>
      <c r="BD403" s="14"/>
      <c r="BE403" s="14"/>
      <c r="BF403" s="16"/>
      <c r="BG403" s="16"/>
      <c r="BH403" s="12">
        <f t="shared" si="154"/>
        <v>0</v>
      </c>
      <c r="BI403" s="19">
        <f t="shared" si="155"/>
        <v>0</v>
      </c>
      <c r="BJ403" s="1" t="s">
        <v>35</v>
      </c>
      <c r="BK403">
        <f t="shared" si="156"/>
        <v>0</v>
      </c>
      <c r="BL403">
        <f t="shared" si="157"/>
        <v>0</v>
      </c>
    </row>
    <row r="404" spans="1:64" x14ac:dyDescent="0.25">
      <c r="A404" s="1" t="s">
        <v>1214</v>
      </c>
      <c r="B404" s="1" t="s">
        <v>1213</v>
      </c>
      <c r="C404" s="13" t="s">
        <v>1212</v>
      </c>
      <c r="D404" s="15"/>
      <c r="E404" s="17"/>
      <c r="F404" s="3"/>
      <c r="G404" s="14"/>
      <c r="H404" s="16"/>
      <c r="I404" s="11">
        <v>46221</v>
      </c>
      <c r="J404" s="4">
        <v>17</v>
      </c>
      <c r="K404" s="18">
        <f>(F404-(0)+0-(J404*Ventas!AE401*1))</f>
        <v>0</v>
      </c>
      <c r="L404" s="3"/>
      <c r="M404" s="22">
        <f t="shared" si="138"/>
        <v>0</v>
      </c>
      <c r="N404" s="14"/>
      <c r="O404" s="25">
        <f t="shared" si="143"/>
        <v>0</v>
      </c>
      <c r="P404" s="16"/>
      <c r="Q404" s="12">
        <f t="shared" si="144"/>
        <v>0</v>
      </c>
      <c r="R404" s="5">
        <v>0</v>
      </c>
      <c r="S404" s="24">
        <v>0</v>
      </c>
      <c r="T404" s="26">
        <v>0</v>
      </c>
      <c r="U404" s="18">
        <f t="shared" si="145"/>
        <v>0</v>
      </c>
      <c r="V404" s="22">
        <f t="shared" si="146"/>
        <v>0</v>
      </c>
      <c r="W404" s="25">
        <f t="shared" si="147"/>
        <v>0</v>
      </c>
      <c r="X404" s="3"/>
      <c r="Y404" s="14"/>
      <c r="Z404" s="14"/>
      <c r="AA404" s="3"/>
      <c r="AB404" s="3">
        <v>6.783E-3</v>
      </c>
      <c r="AC404" s="11">
        <v>46313</v>
      </c>
      <c r="AD404" s="4">
        <v>92</v>
      </c>
      <c r="AE404" s="18">
        <f>(IF(K404&gt;0,K404+R404,R404)-(AD404*Ventas!AE401*1.0489))</f>
        <v>0</v>
      </c>
      <c r="AF404" s="3"/>
      <c r="AG404" s="22">
        <f t="shared" si="139"/>
        <v>0</v>
      </c>
      <c r="AH404" s="14"/>
      <c r="AI404" s="25">
        <f t="shared" si="148"/>
        <v>0</v>
      </c>
      <c r="AJ404" s="16"/>
      <c r="AK404" s="12">
        <f t="shared" si="149"/>
        <v>0</v>
      </c>
      <c r="AL404" s="19">
        <f t="shared" si="150"/>
        <v>0</v>
      </c>
      <c r="AM404" s="18">
        <f>(180*(Ventas!AE401*0.9644) - IF(AE404&gt;0,AE404,0))</f>
        <v>0</v>
      </c>
      <c r="AN404" s="18">
        <f t="shared" si="142"/>
        <v>0</v>
      </c>
      <c r="AO404" s="14"/>
      <c r="AP404" s="14">
        <f t="shared" si="151"/>
        <v>0</v>
      </c>
      <c r="AQ404" s="16">
        <f t="shared" si="152"/>
        <v>0</v>
      </c>
      <c r="AR404" s="37">
        <f>_xlfn.XLOOKUP(C404,[1]Hoja2!$C$6:$C$24,[1]Hoja2!$D$6:$D$24,0,2,1)</f>
        <v>0</v>
      </c>
      <c r="AS404" s="18">
        <f t="shared" si="153"/>
        <v>0</v>
      </c>
      <c r="AT404" s="14"/>
      <c r="AU404" s="37">
        <f>_xlfn.XLOOKUP(D404,[1]Hoja2!$E$6:$E$24,[1]Hoja2!$F$6:$F$24,0,2,1)</f>
        <v>0</v>
      </c>
      <c r="AV404" s="3">
        <v>0</v>
      </c>
      <c r="AW404" s="3"/>
      <c r="AX404" s="14">
        <v>0</v>
      </c>
      <c r="AY404" s="14"/>
      <c r="AZ404" s="16">
        <f>_xlfn.XLOOKUP(C404,[2]PI!$B$15:$B$99,[2]PI!$L$15:$L$99,0,2,1)</f>
        <v>0</v>
      </c>
      <c r="BA404" s="16">
        <f>_xlfn.XLOOKUP(D404,[2]PI!$B$15:$B$99,[2]PI!$L$15:$L$99,0,2,1)</f>
        <v>0</v>
      </c>
      <c r="BB404" s="3"/>
      <c r="BC404" s="3"/>
      <c r="BD404" s="14"/>
      <c r="BE404" s="14"/>
      <c r="BF404" s="16"/>
      <c r="BG404" s="16"/>
      <c r="BH404" s="12">
        <f t="shared" si="154"/>
        <v>0</v>
      </c>
      <c r="BI404" s="19">
        <f t="shared" si="155"/>
        <v>0</v>
      </c>
      <c r="BJ404" s="1" t="s">
        <v>35</v>
      </c>
      <c r="BK404">
        <f t="shared" si="156"/>
        <v>0</v>
      </c>
      <c r="BL404">
        <f t="shared" si="157"/>
        <v>0</v>
      </c>
    </row>
    <row r="405" spans="1:64" x14ac:dyDescent="0.25">
      <c r="A405" s="1" t="s">
        <v>1217</v>
      </c>
      <c r="B405" s="1" t="s">
        <v>1216</v>
      </c>
      <c r="C405" s="13" t="s">
        <v>1215</v>
      </c>
      <c r="D405" s="15"/>
      <c r="E405" s="17"/>
      <c r="F405" s="3"/>
      <c r="G405" s="14"/>
      <c r="H405" s="16"/>
      <c r="I405" s="11">
        <v>46221</v>
      </c>
      <c r="J405" s="4">
        <v>17</v>
      </c>
      <c r="K405" s="18">
        <f>(F405-(0)+0-(J405*Ventas!AE402*1))</f>
        <v>0</v>
      </c>
      <c r="L405" s="3"/>
      <c r="M405" s="22">
        <f t="shared" si="138"/>
        <v>0</v>
      </c>
      <c r="N405" s="14"/>
      <c r="O405" s="25">
        <f t="shared" si="143"/>
        <v>0</v>
      </c>
      <c r="P405" s="16"/>
      <c r="Q405" s="12">
        <f t="shared" si="144"/>
        <v>0</v>
      </c>
      <c r="R405" s="5">
        <v>0</v>
      </c>
      <c r="S405" s="24">
        <v>0</v>
      </c>
      <c r="T405" s="26">
        <v>0</v>
      </c>
      <c r="U405" s="18">
        <f t="shared" si="145"/>
        <v>0</v>
      </c>
      <c r="V405" s="22">
        <f t="shared" si="146"/>
        <v>0</v>
      </c>
      <c r="W405" s="25">
        <f t="shared" si="147"/>
        <v>0</v>
      </c>
      <c r="X405" s="3"/>
      <c r="Y405" s="14"/>
      <c r="Z405" s="14"/>
      <c r="AA405" s="3"/>
      <c r="AB405" s="3">
        <v>6.783E-3</v>
      </c>
      <c r="AC405" s="11">
        <v>46313</v>
      </c>
      <c r="AD405" s="4">
        <v>92</v>
      </c>
      <c r="AE405" s="18">
        <f>(IF(K405&gt;0,K405+R405,R405)-(AD405*Ventas!AE402*1.0489))</f>
        <v>0</v>
      </c>
      <c r="AF405" s="3"/>
      <c r="AG405" s="22">
        <f t="shared" si="139"/>
        <v>0</v>
      </c>
      <c r="AH405" s="14"/>
      <c r="AI405" s="25">
        <f t="shared" si="148"/>
        <v>0</v>
      </c>
      <c r="AJ405" s="16"/>
      <c r="AK405" s="12">
        <f t="shared" si="149"/>
        <v>0</v>
      </c>
      <c r="AL405" s="19">
        <f t="shared" si="150"/>
        <v>0</v>
      </c>
      <c r="AM405" s="18">
        <f>(180*(Ventas!AE402*0.9644) - IF(AE405&gt;0,AE405,0))</f>
        <v>0</v>
      </c>
      <c r="AN405" s="18">
        <f t="shared" si="142"/>
        <v>0</v>
      </c>
      <c r="AO405" s="14"/>
      <c r="AP405" s="14">
        <f t="shared" si="151"/>
        <v>0</v>
      </c>
      <c r="AQ405" s="16">
        <f t="shared" si="152"/>
        <v>0</v>
      </c>
      <c r="AR405" s="37">
        <f>_xlfn.XLOOKUP(C405,[1]Hoja2!$C$6:$C$24,[1]Hoja2!$D$6:$D$24,0,2,1)</f>
        <v>0</v>
      </c>
      <c r="AS405" s="18">
        <f t="shared" si="153"/>
        <v>0</v>
      </c>
      <c r="AT405" s="14"/>
      <c r="AU405" s="37">
        <f>_xlfn.XLOOKUP(D405,[1]Hoja2!$E$6:$E$24,[1]Hoja2!$F$6:$F$24,0,2,1)</f>
        <v>0</v>
      </c>
      <c r="AV405" s="3">
        <v>0</v>
      </c>
      <c r="AW405" s="3"/>
      <c r="AX405" s="14">
        <v>0</v>
      </c>
      <c r="AY405" s="14"/>
      <c r="AZ405" s="16">
        <f>_xlfn.XLOOKUP(C405,[2]PI!$B$15:$B$99,[2]PI!$L$15:$L$99,0,2,1)</f>
        <v>0</v>
      </c>
      <c r="BA405" s="16">
        <f>_xlfn.XLOOKUP(D405,[2]PI!$B$15:$B$99,[2]PI!$L$15:$L$99,0,2,1)</f>
        <v>0</v>
      </c>
      <c r="BB405" s="3"/>
      <c r="BC405" s="3"/>
      <c r="BD405" s="14"/>
      <c r="BE405" s="14"/>
      <c r="BF405" s="16"/>
      <c r="BG405" s="16"/>
      <c r="BH405" s="12">
        <f t="shared" si="154"/>
        <v>0</v>
      </c>
      <c r="BI405" s="19">
        <f t="shared" si="155"/>
        <v>0</v>
      </c>
      <c r="BJ405" s="1" t="s">
        <v>35</v>
      </c>
      <c r="BK405">
        <f t="shared" si="156"/>
        <v>0</v>
      </c>
      <c r="BL405">
        <f t="shared" si="157"/>
        <v>0</v>
      </c>
    </row>
    <row r="406" spans="1:64" x14ac:dyDescent="0.25">
      <c r="A406" s="1" t="s">
        <v>1220</v>
      </c>
      <c r="B406" s="1" t="s">
        <v>1219</v>
      </c>
      <c r="C406" s="13" t="s">
        <v>1218</v>
      </c>
      <c r="D406" s="15"/>
      <c r="E406" s="17"/>
      <c r="F406" s="3"/>
      <c r="G406" s="14"/>
      <c r="H406" s="16"/>
      <c r="I406" s="11">
        <v>46221</v>
      </c>
      <c r="J406" s="4">
        <v>17</v>
      </c>
      <c r="K406" s="18">
        <f>(F406-(0)+0-(J406*Ventas!AE403*1))</f>
        <v>0</v>
      </c>
      <c r="L406" s="3"/>
      <c r="M406" s="22">
        <f t="shared" si="138"/>
        <v>0</v>
      </c>
      <c r="N406" s="14"/>
      <c r="O406" s="25">
        <f t="shared" si="143"/>
        <v>0</v>
      </c>
      <c r="P406" s="16"/>
      <c r="Q406" s="12">
        <f t="shared" si="144"/>
        <v>0</v>
      </c>
      <c r="R406" s="5">
        <v>0</v>
      </c>
      <c r="S406" s="24">
        <v>0</v>
      </c>
      <c r="T406" s="26">
        <v>0</v>
      </c>
      <c r="U406" s="18">
        <f t="shared" si="145"/>
        <v>0</v>
      </c>
      <c r="V406" s="22">
        <f t="shared" si="146"/>
        <v>0</v>
      </c>
      <c r="W406" s="25">
        <f t="shared" si="147"/>
        <v>0</v>
      </c>
      <c r="X406" s="3"/>
      <c r="Y406" s="14"/>
      <c r="Z406" s="14"/>
      <c r="AA406" s="3"/>
      <c r="AB406" s="3">
        <v>6.783E-3</v>
      </c>
      <c r="AC406" s="11">
        <v>46313</v>
      </c>
      <c r="AD406" s="4">
        <v>92</v>
      </c>
      <c r="AE406" s="18">
        <f>(IF(K406&gt;0,K406+R406,R406)-(AD406*Ventas!AE403*1.0489))</f>
        <v>0</v>
      </c>
      <c r="AF406" s="3"/>
      <c r="AG406" s="22">
        <f t="shared" si="139"/>
        <v>0</v>
      </c>
      <c r="AH406" s="14"/>
      <c r="AI406" s="25">
        <f t="shared" si="148"/>
        <v>0</v>
      </c>
      <c r="AJ406" s="16"/>
      <c r="AK406" s="12">
        <f t="shared" si="149"/>
        <v>0</v>
      </c>
      <c r="AL406" s="19">
        <f t="shared" si="150"/>
        <v>0</v>
      </c>
      <c r="AM406" s="18">
        <f>(180*(Ventas!AE403*0.9644) - IF(AE406&gt;0,AE406,0))</f>
        <v>0</v>
      </c>
      <c r="AN406" s="18">
        <f t="shared" si="142"/>
        <v>0</v>
      </c>
      <c r="AO406" s="14"/>
      <c r="AP406" s="14">
        <f t="shared" si="151"/>
        <v>0</v>
      </c>
      <c r="AQ406" s="16">
        <f t="shared" si="152"/>
        <v>0</v>
      </c>
      <c r="AR406" s="37">
        <f>_xlfn.XLOOKUP(C406,[1]Hoja2!$C$6:$C$24,[1]Hoja2!$D$6:$D$24,0,2,1)</f>
        <v>0</v>
      </c>
      <c r="AS406" s="18">
        <f t="shared" si="153"/>
        <v>0</v>
      </c>
      <c r="AT406" s="14"/>
      <c r="AU406" s="37">
        <f>_xlfn.XLOOKUP(D406,[1]Hoja2!$E$6:$E$24,[1]Hoja2!$F$6:$F$24,0,2,1)</f>
        <v>0</v>
      </c>
      <c r="AV406" s="3">
        <v>0</v>
      </c>
      <c r="AW406" s="3"/>
      <c r="AX406" s="14">
        <v>0</v>
      </c>
      <c r="AY406" s="14"/>
      <c r="AZ406" s="16">
        <f>_xlfn.XLOOKUP(C406,[2]PI!$B$15:$B$99,[2]PI!$L$15:$L$99,0,2,1)</f>
        <v>0</v>
      </c>
      <c r="BA406" s="16">
        <f>_xlfn.XLOOKUP(D406,[2]PI!$B$15:$B$99,[2]PI!$L$15:$L$99,0,2,1)</f>
        <v>0</v>
      </c>
      <c r="BB406" s="3"/>
      <c r="BC406" s="3"/>
      <c r="BD406" s="14"/>
      <c r="BE406" s="14"/>
      <c r="BF406" s="16"/>
      <c r="BG406" s="16"/>
      <c r="BH406" s="12">
        <f t="shared" si="154"/>
        <v>0</v>
      </c>
      <c r="BI406" s="19">
        <f t="shared" si="155"/>
        <v>0</v>
      </c>
      <c r="BJ406" s="1" t="s">
        <v>35</v>
      </c>
      <c r="BK406">
        <f t="shared" si="156"/>
        <v>0</v>
      </c>
      <c r="BL406">
        <f t="shared" si="157"/>
        <v>0</v>
      </c>
    </row>
    <row r="407" spans="1:64" x14ac:dyDescent="0.25">
      <c r="A407" s="1" t="s">
        <v>1223</v>
      </c>
      <c r="B407" s="1" t="s">
        <v>1222</v>
      </c>
      <c r="C407" s="13" t="s">
        <v>1221</v>
      </c>
      <c r="D407" s="15"/>
      <c r="E407" s="17"/>
      <c r="F407" s="3"/>
      <c r="G407" s="14"/>
      <c r="H407" s="16"/>
      <c r="I407" s="11">
        <v>46221</v>
      </c>
      <c r="J407" s="4">
        <v>17</v>
      </c>
      <c r="K407" s="18">
        <f>(F407-(0)+0-(J407*Ventas!AE404*1))</f>
        <v>0</v>
      </c>
      <c r="L407" s="3"/>
      <c r="M407" s="22">
        <f t="shared" si="138"/>
        <v>0</v>
      </c>
      <c r="N407" s="14"/>
      <c r="O407" s="25">
        <f t="shared" si="143"/>
        <v>0</v>
      </c>
      <c r="P407" s="16"/>
      <c r="Q407" s="12">
        <f t="shared" si="144"/>
        <v>0</v>
      </c>
      <c r="R407" s="5">
        <v>0</v>
      </c>
      <c r="S407" s="24">
        <v>0</v>
      </c>
      <c r="T407" s="26">
        <v>0</v>
      </c>
      <c r="U407" s="18">
        <f t="shared" si="145"/>
        <v>0</v>
      </c>
      <c r="V407" s="22">
        <f t="shared" si="146"/>
        <v>0</v>
      </c>
      <c r="W407" s="25">
        <f t="shared" si="147"/>
        <v>0</v>
      </c>
      <c r="X407" s="3"/>
      <c r="Y407" s="14"/>
      <c r="Z407" s="14"/>
      <c r="AA407" s="3"/>
      <c r="AB407" s="3">
        <v>6.783E-3</v>
      </c>
      <c r="AC407" s="11">
        <v>46313</v>
      </c>
      <c r="AD407" s="4">
        <v>92</v>
      </c>
      <c r="AE407" s="18">
        <f>(IF(K407&gt;0,K407+R407,R407)-(AD407*Ventas!AE404*1.0489))</f>
        <v>0</v>
      </c>
      <c r="AF407" s="3"/>
      <c r="AG407" s="22">
        <f t="shared" si="139"/>
        <v>0</v>
      </c>
      <c r="AH407" s="14"/>
      <c r="AI407" s="25">
        <f t="shared" si="148"/>
        <v>0</v>
      </c>
      <c r="AJ407" s="16"/>
      <c r="AK407" s="12">
        <f t="shared" si="149"/>
        <v>0</v>
      </c>
      <c r="AL407" s="19">
        <f t="shared" si="150"/>
        <v>0</v>
      </c>
      <c r="AM407" s="18">
        <f>(180*(Ventas!AE404*0.9644) - IF(AE407&gt;0,AE407,0))</f>
        <v>0</v>
      </c>
      <c r="AN407" s="18">
        <f t="shared" si="142"/>
        <v>0</v>
      </c>
      <c r="AO407" s="14"/>
      <c r="AP407" s="14">
        <f t="shared" si="151"/>
        <v>0</v>
      </c>
      <c r="AQ407" s="16">
        <f t="shared" si="152"/>
        <v>0</v>
      </c>
      <c r="AR407" s="37">
        <f>_xlfn.XLOOKUP(C407,[1]Hoja2!$C$6:$C$24,[1]Hoja2!$D$6:$D$24,0,2,1)</f>
        <v>0</v>
      </c>
      <c r="AS407" s="18">
        <f t="shared" si="153"/>
        <v>0</v>
      </c>
      <c r="AT407" s="14"/>
      <c r="AU407" s="37">
        <f>_xlfn.XLOOKUP(D407,[1]Hoja2!$E$6:$E$24,[1]Hoja2!$F$6:$F$24,0,2,1)</f>
        <v>0</v>
      </c>
      <c r="AV407" s="3">
        <v>0</v>
      </c>
      <c r="AW407" s="3"/>
      <c r="AX407" s="14">
        <v>0</v>
      </c>
      <c r="AY407" s="14"/>
      <c r="AZ407" s="16">
        <f>_xlfn.XLOOKUP(C407,[2]PI!$B$15:$B$99,[2]PI!$L$15:$L$99,0,2,1)</f>
        <v>0</v>
      </c>
      <c r="BA407" s="16">
        <f>_xlfn.XLOOKUP(D407,[2]PI!$B$15:$B$99,[2]PI!$L$15:$L$99,0,2,1)</f>
        <v>0</v>
      </c>
      <c r="BB407" s="3"/>
      <c r="BC407" s="3"/>
      <c r="BD407" s="14"/>
      <c r="BE407" s="14"/>
      <c r="BF407" s="16"/>
      <c r="BG407" s="16"/>
      <c r="BH407" s="12">
        <f t="shared" si="154"/>
        <v>0</v>
      </c>
      <c r="BI407" s="19">
        <f t="shared" si="155"/>
        <v>0</v>
      </c>
      <c r="BJ407" s="1" t="s">
        <v>35</v>
      </c>
      <c r="BK407">
        <f t="shared" si="156"/>
        <v>0</v>
      </c>
      <c r="BL407">
        <f t="shared" si="157"/>
        <v>0</v>
      </c>
    </row>
    <row r="408" spans="1:64" x14ac:dyDescent="0.25">
      <c r="A408" s="1" t="s">
        <v>1226</v>
      </c>
      <c r="B408" s="1" t="s">
        <v>1225</v>
      </c>
      <c r="C408" s="13" t="s">
        <v>1224</v>
      </c>
      <c r="D408" s="15"/>
      <c r="E408" s="17"/>
      <c r="F408" s="3"/>
      <c r="G408" s="14"/>
      <c r="H408" s="16"/>
      <c r="I408" s="11">
        <v>46221</v>
      </c>
      <c r="J408" s="4">
        <v>17</v>
      </c>
      <c r="K408" s="18">
        <f>(F408-(0)+0-(J408*Ventas!AE405*1))</f>
        <v>0</v>
      </c>
      <c r="L408" s="3"/>
      <c r="M408" s="22">
        <f t="shared" ref="M408:M471" si="158">(G408+0)</f>
        <v>0</v>
      </c>
      <c r="N408" s="14"/>
      <c r="O408" s="25">
        <f t="shared" si="143"/>
        <v>0</v>
      </c>
      <c r="P408" s="16"/>
      <c r="Q408" s="12">
        <f t="shared" si="144"/>
        <v>0</v>
      </c>
      <c r="R408" s="5">
        <v>0</v>
      </c>
      <c r="S408" s="24">
        <v>0</v>
      </c>
      <c r="T408" s="26">
        <v>0</v>
      </c>
      <c r="U408" s="18">
        <f t="shared" si="145"/>
        <v>0</v>
      </c>
      <c r="V408" s="22">
        <f t="shared" si="146"/>
        <v>0</v>
      </c>
      <c r="W408" s="25">
        <f t="shared" si="147"/>
        <v>0</v>
      </c>
      <c r="X408" s="3"/>
      <c r="Y408" s="14"/>
      <c r="Z408" s="14"/>
      <c r="AA408" s="3"/>
      <c r="AB408" s="3">
        <v>6.783E-3</v>
      </c>
      <c r="AC408" s="11">
        <v>46313</v>
      </c>
      <c r="AD408" s="4">
        <v>92</v>
      </c>
      <c r="AE408" s="18">
        <f>(IF(K408&gt;0,K408+R408,R408)-(AD408*Ventas!AE405*1.0489))</f>
        <v>0</v>
      </c>
      <c r="AF408" s="3"/>
      <c r="AG408" s="22">
        <f t="shared" ref="AG408:AG471" si="159">(G408+0)</f>
        <v>0</v>
      </c>
      <c r="AH408" s="14"/>
      <c r="AI408" s="25">
        <f t="shared" si="148"/>
        <v>0</v>
      </c>
      <c r="AJ408" s="16"/>
      <c r="AK408" s="12">
        <f t="shared" si="149"/>
        <v>0</v>
      </c>
      <c r="AL408" s="19">
        <f t="shared" si="150"/>
        <v>0</v>
      </c>
      <c r="AM408" s="18">
        <f>(180*(Ventas!AE405*0.9644) - IF(AE408&gt;0,AE408,0))</f>
        <v>0</v>
      </c>
      <c r="AN408" s="18">
        <f t="shared" si="142"/>
        <v>0</v>
      </c>
      <c r="AO408" s="14"/>
      <c r="AP408" s="14">
        <f t="shared" si="151"/>
        <v>0</v>
      </c>
      <c r="AQ408" s="16">
        <f t="shared" si="152"/>
        <v>0</v>
      </c>
      <c r="AR408" s="37">
        <f>_xlfn.XLOOKUP(C408,[1]Hoja2!$C$6:$C$24,[1]Hoja2!$D$6:$D$24,0,2,1)</f>
        <v>0</v>
      </c>
      <c r="AS408" s="18">
        <f t="shared" si="153"/>
        <v>0</v>
      </c>
      <c r="AT408" s="14"/>
      <c r="AU408" s="37">
        <f>_xlfn.XLOOKUP(D408,[1]Hoja2!$E$6:$E$24,[1]Hoja2!$F$6:$F$24,0,2,1)</f>
        <v>0</v>
      </c>
      <c r="AV408" s="3">
        <v>0</v>
      </c>
      <c r="AW408" s="3"/>
      <c r="AX408" s="14">
        <v>0</v>
      </c>
      <c r="AY408" s="14"/>
      <c r="AZ408" s="16">
        <f>_xlfn.XLOOKUP(C408,[2]PI!$B$15:$B$99,[2]PI!$L$15:$L$99,0,2,1)</f>
        <v>0</v>
      </c>
      <c r="BA408" s="16">
        <f>_xlfn.XLOOKUP(D408,[2]PI!$B$15:$B$99,[2]PI!$L$15:$L$99,0,2,1)</f>
        <v>0</v>
      </c>
      <c r="BB408" s="3"/>
      <c r="BC408" s="3"/>
      <c r="BD408" s="14"/>
      <c r="BE408" s="14"/>
      <c r="BF408" s="16"/>
      <c r="BG408" s="16"/>
      <c r="BH408" s="12">
        <f t="shared" si="154"/>
        <v>0</v>
      </c>
      <c r="BI408" s="19">
        <f t="shared" si="155"/>
        <v>0</v>
      </c>
      <c r="BJ408" s="1" t="s">
        <v>35</v>
      </c>
      <c r="BK408">
        <f t="shared" si="156"/>
        <v>0</v>
      </c>
      <c r="BL408">
        <f t="shared" si="157"/>
        <v>0</v>
      </c>
    </row>
    <row r="409" spans="1:64" x14ac:dyDescent="0.25">
      <c r="A409" s="1" t="s">
        <v>1229</v>
      </c>
      <c r="B409" s="1" t="s">
        <v>1228</v>
      </c>
      <c r="C409" s="13" t="s">
        <v>1227</v>
      </c>
      <c r="D409" s="15"/>
      <c r="E409" s="17"/>
      <c r="F409" s="3"/>
      <c r="G409" s="14"/>
      <c r="H409" s="16"/>
      <c r="I409" s="11">
        <v>46221</v>
      </c>
      <c r="J409" s="4">
        <v>17</v>
      </c>
      <c r="K409" s="18">
        <f>(F409-(0)+0-(J409*Ventas!AE406*1))</f>
        <v>0</v>
      </c>
      <c r="L409" s="3"/>
      <c r="M409" s="22">
        <f t="shared" si="158"/>
        <v>0</v>
      </c>
      <c r="N409" s="14"/>
      <c r="O409" s="25">
        <f t="shared" si="143"/>
        <v>0</v>
      </c>
      <c r="P409" s="16"/>
      <c r="Q409" s="12">
        <f t="shared" si="144"/>
        <v>0</v>
      </c>
      <c r="R409" s="5">
        <v>0</v>
      </c>
      <c r="S409" s="24">
        <v>0</v>
      </c>
      <c r="T409" s="26">
        <v>0</v>
      </c>
      <c r="U409" s="18">
        <f t="shared" si="145"/>
        <v>0</v>
      </c>
      <c r="V409" s="22">
        <f t="shared" si="146"/>
        <v>0</v>
      </c>
      <c r="W409" s="25">
        <f t="shared" si="147"/>
        <v>0</v>
      </c>
      <c r="X409" s="3"/>
      <c r="Y409" s="14"/>
      <c r="Z409" s="14"/>
      <c r="AA409" s="3"/>
      <c r="AB409" s="3">
        <v>6.783E-3</v>
      </c>
      <c r="AC409" s="11">
        <v>46313</v>
      </c>
      <c r="AD409" s="4">
        <v>92</v>
      </c>
      <c r="AE409" s="18">
        <f>(IF(K409&gt;0,K409+R409,R409)-(AD409*Ventas!AE406*1.0489))</f>
        <v>0</v>
      </c>
      <c r="AF409" s="3"/>
      <c r="AG409" s="22">
        <f t="shared" si="159"/>
        <v>0</v>
      </c>
      <c r="AH409" s="14"/>
      <c r="AI409" s="25">
        <f t="shared" si="148"/>
        <v>0</v>
      </c>
      <c r="AJ409" s="16"/>
      <c r="AK409" s="12">
        <f t="shared" si="149"/>
        <v>0</v>
      </c>
      <c r="AL409" s="19">
        <f t="shared" si="150"/>
        <v>0</v>
      </c>
      <c r="AM409" s="18">
        <f>(180*(Ventas!AE406*0.9644) - IF(AE409&gt;0,AE409,0))</f>
        <v>0</v>
      </c>
      <c r="AN409" s="18">
        <f t="shared" si="142"/>
        <v>0</v>
      </c>
      <c r="AO409" s="14"/>
      <c r="AP409" s="14">
        <f t="shared" si="151"/>
        <v>0</v>
      </c>
      <c r="AQ409" s="16">
        <f t="shared" si="152"/>
        <v>0</v>
      </c>
      <c r="AR409" s="37">
        <f>_xlfn.XLOOKUP(C409,[1]Hoja2!$C$6:$C$24,[1]Hoja2!$D$6:$D$24,0,2,1)</f>
        <v>0</v>
      </c>
      <c r="AS409" s="18">
        <f t="shared" si="153"/>
        <v>0</v>
      </c>
      <c r="AT409" s="14"/>
      <c r="AU409" s="37">
        <f>_xlfn.XLOOKUP(D409,[1]Hoja2!$E$6:$E$24,[1]Hoja2!$F$6:$F$24,0,2,1)</f>
        <v>0</v>
      </c>
      <c r="AV409" s="3">
        <v>0</v>
      </c>
      <c r="AW409" s="3"/>
      <c r="AX409" s="14">
        <v>0</v>
      </c>
      <c r="AY409" s="14"/>
      <c r="AZ409" s="16">
        <f>_xlfn.XLOOKUP(C409,[2]PI!$B$15:$B$99,[2]PI!$L$15:$L$99,0,2,1)</f>
        <v>0</v>
      </c>
      <c r="BA409" s="16">
        <f>_xlfn.XLOOKUP(D409,[2]PI!$B$15:$B$99,[2]PI!$L$15:$L$99,0,2,1)</f>
        <v>0</v>
      </c>
      <c r="BB409" s="3"/>
      <c r="BC409" s="3"/>
      <c r="BD409" s="14"/>
      <c r="BE409" s="14"/>
      <c r="BF409" s="16"/>
      <c r="BG409" s="16"/>
      <c r="BH409" s="12">
        <f t="shared" si="154"/>
        <v>0</v>
      </c>
      <c r="BI409" s="19">
        <f t="shared" si="155"/>
        <v>0</v>
      </c>
      <c r="BJ409" s="1" t="s">
        <v>35</v>
      </c>
      <c r="BK409">
        <f t="shared" si="156"/>
        <v>0</v>
      </c>
      <c r="BL409">
        <f t="shared" si="157"/>
        <v>0</v>
      </c>
    </row>
    <row r="410" spans="1:64" x14ac:dyDescent="0.25">
      <c r="A410" s="1" t="s">
        <v>1232</v>
      </c>
      <c r="B410" s="1" t="s">
        <v>1231</v>
      </c>
      <c r="C410" s="13" t="s">
        <v>1230</v>
      </c>
      <c r="D410" s="15"/>
      <c r="E410" s="17"/>
      <c r="F410" s="3"/>
      <c r="G410" s="14"/>
      <c r="H410" s="16"/>
      <c r="I410" s="11">
        <v>46221</v>
      </c>
      <c r="J410" s="4">
        <v>17</v>
      </c>
      <c r="K410" s="18">
        <f>(F410-(0)+0-(J410*Ventas!AE407*1))</f>
        <v>0</v>
      </c>
      <c r="L410" s="3"/>
      <c r="M410" s="22">
        <f t="shared" si="158"/>
        <v>0</v>
      </c>
      <c r="N410" s="14"/>
      <c r="O410" s="25">
        <f t="shared" si="143"/>
        <v>0</v>
      </c>
      <c r="P410" s="16"/>
      <c r="Q410" s="12">
        <f t="shared" si="144"/>
        <v>0</v>
      </c>
      <c r="R410" s="5">
        <v>0</v>
      </c>
      <c r="S410" s="24">
        <v>0</v>
      </c>
      <c r="T410" s="26">
        <v>0</v>
      </c>
      <c r="U410" s="18">
        <f t="shared" si="145"/>
        <v>0</v>
      </c>
      <c r="V410" s="22">
        <f t="shared" si="146"/>
        <v>0</v>
      </c>
      <c r="W410" s="25">
        <f t="shared" si="147"/>
        <v>0</v>
      </c>
      <c r="X410" s="3"/>
      <c r="Y410" s="14"/>
      <c r="Z410" s="14"/>
      <c r="AA410" s="3"/>
      <c r="AB410" s="3">
        <v>6.783E-3</v>
      </c>
      <c r="AC410" s="11">
        <v>46313</v>
      </c>
      <c r="AD410" s="4">
        <v>92</v>
      </c>
      <c r="AE410" s="18">
        <f>(IF(K410&gt;0,K410+R410,R410)-(AD410*Ventas!AE407*1.0489))</f>
        <v>0</v>
      </c>
      <c r="AF410" s="3"/>
      <c r="AG410" s="22">
        <f t="shared" si="159"/>
        <v>0</v>
      </c>
      <c r="AH410" s="14"/>
      <c r="AI410" s="25">
        <f t="shared" si="148"/>
        <v>0</v>
      </c>
      <c r="AJ410" s="16"/>
      <c r="AK410" s="12">
        <f t="shared" si="149"/>
        <v>0</v>
      </c>
      <c r="AL410" s="19">
        <f t="shared" si="150"/>
        <v>0</v>
      </c>
      <c r="AM410" s="18">
        <f>(180*(Ventas!AE407*0.9644) - IF(AE410&gt;0,AE410,0))</f>
        <v>0</v>
      </c>
      <c r="AN410" s="18">
        <f t="shared" si="142"/>
        <v>0</v>
      </c>
      <c r="AO410" s="14"/>
      <c r="AP410" s="14">
        <f t="shared" si="151"/>
        <v>0</v>
      </c>
      <c r="AQ410" s="16">
        <f t="shared" si="152"/>
        <v>0</v>
      </c>
      <c r="AR410" s="37">
        <f>_xlfn.XLOOKUP(C410,[1]Hoja2!$C$6:$C$24,[1]Hoja2!$D$6:$D$24,0,2,1)</f>
        <v>0</v>
      </c>
      <c r="AS410" s="18">
        <f t="shared" si="153"/>
        <v>0</v>
      </c>
      <c r="AT410" s="14"/>
      <c r="AU410" s="37">
        <f>_xlfn.XLOOKUP(D410,[1]Hoja2!$E$6:$E$24,[1]Hoja2!$F$6:$F$24,0,2,1)</f>
        <v>0</v>
      </c>
      <c r="AV410" s="3">
        <v>0</v>
      </c>
      <c r="AW410" s="3"/>
      <c r="AX410" s="14">
        <v>0</v>
      </c>
      <c r="AY410" s="14"/>
      <c r="AZ410" s="16">
        <f>_xlfn.XLOOKUP(C410,[2]PI!$B$15:$B$99,[2]PI!$L$15:$L$99,0,2,1)</f>
        <v>0</v>
      </c>
      <c r="BA410" s="16">
        <f>_xlfn.XLOOKUP(D410,[2]PI!$B$15:$B$99,[2]PI!$L$15:$L$99,0,2,1)</f>
        <v>0</v>
      </c>
      <c r="BB410" s="3"/>
      <c r="BC410" s="3"/>
      <c r="BD410" s="14"/>
      <c r="BE410" s="14"/>
      <c r="BF410" s="16"/>
      <c r="BG410" s="16"/>
      <c r="BH410" s="12">
        <f t="shared" si="154"/>
        <v>0</v>
      </c>
      <c r="BI410" s="19">
        <f t="shared" si="155"/>
        <v>0</v>
      </c>
      <c r="BJ410" s="1" t="s">
        <v>35</v>
      </c>
      <c r="BK410">
        <f t="shared" si="156"/>
        <v>0</v>
      </c>
      <c r="BL410">
        <f t="shared" si="157"/>
        <v>0</v>
      </c>
    </row>
    <row r="411" spans="1:64" x14ac:dyDescent="0.25">
      <c r="A411" s="1" t="s">
        <v>1235</v>
      </c>
      <c r="B411" s="1" t="s">
        <v>1234</v>
      </c>
      <c r="C411" s="13" t="s">
        <v>1233</v>
      </c>
      <c r="D411" s="15"/>
      <c r="E411" s="17"/>
      <c r="F411" s="3"/>
      <c r="G411" s="14"/>
      <c r="H411" s="16"/>
      <c r="I411" s="11">
        <v>46221</v>
      </c>
      <c r="J411" s="4">
        <v>17</v>
      </c>
      <c r="K411" s="18">
        <f>(F411-(0)+0-(J411*Ventas!AE408*1))</f>
        <v>0</v>
      </c>
      <c r="L411" s="3"/>
      <c r="M411" s="22">
        <f t="shared" si="158"/>
        <v>0</v>
      </c>
      <c r="N411" s="14"/>
      <c r="O411" s="25">
        <f t="shared" si="143"/>
        <v>0</v>
      </c>
      <c r="P411" s="16"/>
      <c r="Q411" s="12">
        <f t="shared" si="144"/>
        <v>0</v>
      </c>
      <c r="R411" s="5">
        <v>0</v>
      </c>
      <c r="S411" s="24">
        <v>0</v>
      </c>
      <c r="T411" s="26">
        <v>0</v>
      </c>
      <c r="U411" s="18">
        <f t="shared" si="145"/>
        <v>0</v>
      </c>
      <c r="V411" s="22">
        <f t="shared" si="146"/>
        <v>0</v>
      </c>
      <c r="W411" s="25">
        <f t="shared" si="147"/>
        <v>0</v>
      </c>
      <c r="X411" s="3"/>
      <c r="Y411" s="14"/>
      <c r="Z411" s="14"/>
      <c r="AA411" s="3"/>
      <c r="AB411" s="3">
        <v>6.783E-3</v>
      </c>
      <c r="AC411" s="11">
        <v>46313</v>
      </c>
      <c r="AD411" s="4">
        <v>92</v>
      </c>
      <c r="AE411" s="18">
        <f>(IF(K411&gt;0,K411+R411,R411)-(AD411*Ventas!AE408*1.0489))</f>
        <v>0</v>
      </c>
      <c r="AF411" s="3"/>
      <c r="AG411" s="22">
        <f t="shared" si="159"/>
        <v>0</v>
      </c>
      <c r="AH411" s="14"/>
      <c r="AI411" s="25">
        <f t="shared" si="148"/>
        <v>0</v>
      </c>
      <c r="AJ411" s="16"/>
      <c r="AK411" s="12">
        <f t="shared" si="149"/>
        <v>0</v>
      </c>
      <c r="AL411" s="19">
        <f t="shared" si="150"/>
        <v>0</v>
      </c>
      <c r="AM411" s="18">
        <f>(180*(Ventas!AE408*0.9644) - IF(AE411&gt;0,AE411,0))</f>
        <v>0</v>
      </c>
      <c r="AN411" s="18">
        <f t="shared" si="142"/>
        <v>0</v>
      </c>
      <c r="AO411" s="14"/>
      <c r="AP411" s="14">
        <f t="shared" si="151"/>
        <v>0</v>
      </c>
      <c r="AQ411" s="16">
        <f t="shared" si="152"/>
        <v>0</v>
      </c>
      <c r="AR411" s="37">
        <f>_xlfn.XLOOKUP(C411,[1]Hoja2!$C$6:$C$24,[1]Hoja2!$D$6:$D$24,0,2,1)</f>
        <v>0</v>
      </c>
      <c r="AS411" s="18">
        <f t="shared" si="153"/>
        <v>0</v>
      </c>
      <c r="AT411" s="14"/>
      <c r="AU411" s="37">
        <f>_xlfn.XLOOKUP(D411,[1]Hoja2!$E$6:$E$24,[1]Hoja2!$F$6:$F$24,0,2,1)</f>
        <v>0</v>
      </c>
      <c r="AV411" s="3">
        <v>0</v>
      </c>
      <c r="AW411" s="3"/>
      <c r="AX411" s="14">
        <v>0</v>
      </c>
      <c r="AY411" s="14"/>
      <c r="AZ411" s="16">
        <f>_xlfn.XLOOKUP(C411,[2]PI!$B$15:$B$99,[2]PI!$L$15:$L$99,0,2,1)</f>
        <v>0</v>
      </c>
      <c r="BA411" s="16">
        <f>_xlfn.XLOOKUP(D411,[2]PI!$B$15:$B$99,[2]PI!$L$15:$L$99,0,2,1)</f>
        <v>0</v>
      </c>
      <c r="BB411" s="3"/>
      <c r="BC411" s="3"/>
      <c r="BD411" s="14"/>
      <c r="BE411" s="14"/>
      <c r="BF411" s="16"/>
      <c r="BG411" s="16"/>
      <c r="BH411" s="12">
        <f t="shared" si="154"/>
        <v>0</v>
      </c>
      <c r="BI411" s="19">
        <f t="shared" si="155"/>
        <v>0</v>
      </c>
      <c r="BJ411" s="1" t="s">
        <v>35</v>
      </c>
      <c r="BK411">
        <f t="shared" si="156"/>
        <v>0</v>
      </c>
      <c r="BL411">
        <f t="shared" si="157"/>
        <v>0</v>
      </c>
    </row>
    <row r="412" spans="1:64" x14ac:dyDescent="0.25">
      <c r="A412" s="1" t="s">
        <v>1238</v>
      </c>
      <c r="B412" s="1" t="s">
        <v>1237</v>
      </c>
      <c r="C412" s="13" t="s">
        <v>1236</v>
      </c>
      <c r="D412" s="15"/>
      <c r="E412" s="17"/>
      <c r="F412" s="3"/>
      <c r="G412" s="14"/>
      <c r="H412" s="16"/>
      <c r="I412" s="11">
        <v>46221</v>
      </c>
      <c r="J412" s="4">
        <v>17</v>
      </c>
      <c r="K412" s="18">
        <f>(F412-(0)+0-(J412*Ventas!AE409*1))</f>
        <v>0</v>
      </c>
      <c r="L412" s="3"/>
      <c r="M412" s="22">
        <f t="shared" si="158"/>
        <v>0</v>
      </c>
      <c r="N412" s="14"/>
      <c r="O412" s="25">
        <f t="shared" si="143"/>
        <v>0</v>
      </c>
      <c r="P412" s="16"/>
      <c r="Q412" s="12">
        <f t="shared" si="144"/>
        <v>0</v>
      </c>
      <c r="R412" s="5">
        <v>0</v>
      </c>
      <c r="S412" s="24">
        <v>0</v>
      </c>
      <c r="T412" s="26">
        <v>0</v>
      </c>
      <c r="U412" s="18">
        <f t="shared" si="145"/>
        <v>0</v>
      </c>
      <c r="V412" s="22">
        <f t="shared" si="146"/>
        <v>0</v>
      </c>
      <c r="W412" s="25">
        <f t="shared" si="147"/>
        <v>0</v>
      </c>
      <c r="X412" s="3"/>
      <c r="Y412" s="14"/>
      <c r="Z412" s="14"/>
      <c r="AA412" s="3"/>
      <c r="AB412" s="3">
        <v>6.783E-3</v>
      </c>
      <c r="AC412" s="11">
        <v>46313</v>
      </c>
      <c r="AD412" s="4">
        <v>92</v>
      </c>
      <c r="AE412" s="18">
        <f>(IF(K412&gt;0,K412+R412,R412)-(AD412*Ventas!AE409*1.0489))</f>
        <v>0</v>
      </c>
      <c r="AF412" s="3"/>
      <c r="AG412" s="22">
        <f t="shared" si="159"/>
        <v>0</v>
      </c>
      <c r="AH412" s="14"/>
      <c r="AI412" s="25">
        <f t="shared" si="148"/>
        <v>0</v>
      </c>
      <c r="AJ412" s="16"/>
      <c r="AK412" s="12">
        <f t="shared" si="149"/>
        <v>0</v>
      </c>
      <c r="AL412" s="19">
        <f t="shared" si="150"/>
        <v>0</v>
      </c>
      <c r="AM412" s="18">
        <f>(180*(Ventas!AE409*0.9644) - IF(AE412&gt;0,AE412,0))</f>
        <v>0</v>
      </c>
      <c r="AN412" s="18">
        <f t="shared" si="142"/>
        <v>0</v>
      </c>
      <c r="AO412" s="14"/>
      <c r="AP412" s="14">
        <f t="shared" si="151"/>
        <v>0</v>
      </c>
      <c r="AQ412" s="16">
        <f t="shared" si="152"/>
        <v>0</v>
      </c>
      <c r="AR412" s="37">
        <f>_xlfn.XLOOKUP(C412,[1]Hoja2!$C$6:$C$24,[1]Hoja2!$D$6:$D$24,0,2,1)</f>
        <v>0</v>
      </c>
      <c r="AS412" s="18">
        <f t="shared" si="153"/>
        <v>0</v>
      </c>
      <c r="AT412" s="14"/>
      <c r="AU412" s="37">
        <f>_xlfn.XLOOKUP(D412,[1]Hoja2!$E$6:$E$24,[1]Hoja2!$F$6:$F$24,0,2,1)</f>
        <v>0</v>
      </c>
      <c r="AV412" s="3">
        <v>0</v>
      </c>
      <c r="AW412" s="3"/>
      <c r="AX412" s="14">
        <v>0</v>
      </c>
      <c r="AY412" s="14"/>
      <c r="AZ412" s="16">
        <f>_xlfn.XLOOKUP(C412,[2]PI!$B$15:$B$99,[2]PI!$L$15:$L$99,0,2,1)</f>
        <v>0</v>
      </c>
      <c r="BA412" s="16">
        <f>_xlfn.XLOOKUP(D412,[2]PI!$B$15:$B$99,[2]PI!$L$15:$L$99,0,2,1)</f>
        <v>0</v>
      </c>
      <c r="BB412" s="3"/>
      <c r="BC412" s="3"/>
      <c r="BD412" s="14"/>
      <c r="BE412" s="14"/>
      <c r="BF412" s="16"/>
      <c r="BG412" s="16"/>
      <c r="BH412" s="12">
        <f t="shared" si="154"/>
        <v>0</v>
      </c>
      <c r="BI412" s="19">
        <f t="shared" si="155"/>
        <v>0</v>
      </c>
      <c r="BJ412" s="1" t="s">
        <v>35</v>
      </c>
      <c r="BK412">
        <f t="shared" si="156"/>
        <v>0</v>
      </c>
      <c r="BL412">
        <f t="shared" si="157"/>
        <v>0</v>
      </c>
    </row>
    <row r="413" spans="1:64" x14ac:dyDescent="0.25">
      <c r="A413" s="1" t="s">
        <v>1241</v>
      </c>
      <c r="B413" s="1" t="s">
        <v>1240</v>
      </c>
      <c r="C413" s="13" t="s">
        <v>1239</v>
      </c>
      <c r="D413" s="15"/>
      <c r="E413" s="17"/>
      <c r="F413" s="3"/>
      <c r="G413" s="14"/>
      <c r="H413" s="16"/>
      <c r="I413" s="11">
        <v>46221</v>
      </c>
      <c r="J413" s="4">
        <v>17</v>
      </c>
      <c r="K413" s="18">
        <f>(F413-(0)+0-(J413*Ventas!AE410*1))</f>
        <v>0</v>
      </c>
      <c r="L413" s="3"/>
      <c r="M413" s="22">
        <f t="shared" si="158"/>
        <v>0</v>
      </c>
      <c r="N413" s="14"/>
      <c r="O413" s="25">
        <f t="shared" si="143"/>
        <v>0</v>
      </c>
      <c r="P413" s="16"/>
      <c r="Q413" s="12">
        <f t="shared" si="144"/>
        <v>0</v>
      </c>
      <c r="R413" s="5">
        <v>0</v>
      </c>
      <c r="S413" s="24">
        <v>0</v>
      </c>
      <c r="T413" s="26">
        <v>0</v>
      </c>
      <c r="U413" s="18">
        <f t="shared" si="145"/>
        <v>0</v>
      </c>
      <c r="V413" s="22">
        <f t="shared" si="146"/>
        <v>0</v>
      </c>
      <c r="W413" s="25">
        <f t="shared" si="147"/>
        <v>0</v>
      </c>
      <c r="X413" s="3"/>
      <c r="Y413" s="14"/>
      <c r="Z413" s="14"/>
      <c r="AA413" s="3"/>
      <c r="AB413" s="3">
        <v>6.783E-3</v>
      </c>
      <c r="AC413" s="11">
        <v>46313</v>
      </c>
      <c r="AD413" s="4">
        <v>92</v>
      </c>
      <c r="AE413" s="18">
        <f>(IF(K413&gt;0,K413+R413,R413)-(AD413*Ventas!AE410*1.0489))</f>
        <v>0</v>
      </c>
      <c r="AF413" s="3"/>
      <c r="AG413" s="22">
        <f t="shared" si="159"/>
        <v>0</v>
      </c>
      <c r="AH413" s="14"/>
      <c r="AI413" s="25">
        <f t="shared" si="148"/>
        <v>0</v>
      </c>
      <c r="AJ413" s="16"/>
      <c r="AK413" s="12">
        <f t="shared" si="149"/>
        <v>0</v>
      </c>
      <c r="AL413" s="19">
        <f t="shared" si="150"/>
        <v>0</v>
      </c>
      <c r="AM413" s="18">
        <f>(180*(Ventas!AE410*0.9644) - IF(AE413&gt;0,AE413,0))</f>
        <v>0</v>
      </c>
      <c r="AN413" s="18">
        <f t="shared" si="142"/>
        <v>0</v>
      </c>
      <c r="AO413" s="14"/>
      <c r="AP413" s="14">
        <f t="shared" si="151"/>
        <v>0</v>
      </c>
      <c r="AQ413" s="16">
        <f t="shared" si="152"/>
        <v>0</v>
      </c>
      <c r="AR413" s="37">
        <f>_xlfn.XLOOKUP(C413,[1]Hoja2!$C$6:$C$24,[1]Hoja2!$D$6:$D$24,0,2,1)</f>
        <v>0</v>
      </c>
      <c r="AS413" s="18">
        <f t="shared" si="153"/>
        <v>0</v>
      </c>
      <c r="AT413" s="14"/>
      <c r="AU413" s="37">
        <f>_xlfn.XLOOKUP(D413,[1]Hoja2!$E$6:$E$24,[1]Hoja2!$F$6:$F$24,0,2,1)</f>
        <v>0</v>
      </c>
      <c r="AV413" s="3">
        <v>0</v>
      </c>
      <c r="AW413" s="3"/>
      <c r="AX413" s="14">
        <v>0</v>
      </c>
      <c r="AY413" s="14"/>
      <c r="AZ413" s="16">
        <f>_xlfn.XLOOKUP(C413,[2]PI!$B$15:$B$99,[2]PI!$L$15:$L$99,0,2,1)</f>
        <v>0</v>
      </c>
      <c r="BA413" s="16">
        <f>_xlfn.XLOOKUP(D413,[2]PI!$B$15:$B$99,[2]PI!$L$15:$L$99,0,2,1)</f>
        <v>0</v>
      </c>
      <c r="BB413" s="3"/>
      <c r="BC413" s="3"/>
      <c r="BD413" s="14"/>
      <c r="BE413" s="14"/>
      <c r="BF413" s="16"/>
      <c r="BG413" s="16"/>
      <c r="BH413" s="12">
        <f t="shared" si="154"/>
        <v>0</v>
      </c>
      <c r="BI413" s="19">
        <f t="shared" si="155"/>
        <v>0</v>
      </c>
      <c r="BJ413" s="1" t="s">
        <v>35</v>
      </c>
      <c r="BK413">
        <f t="shared" si="156"/>
        <v>0</v>
      </c>
      <c r="BL413">
        <f t="shared" si="157"/>
        <v>0</v>
      </c>
    </row>
    <row r="414" spans="1:64" x14ac:dyDescent="0.25">
      <c r="A414" s="1" t="s">
        <v>1244</v>
      </c>
      <c r="B414" s="1" t="s">
        <v>1243</v>
      </c>
      <c r="C414" s="13" t="s">
        <v>1242</v>
      </c>
      <c r="D414" s="15"/>
      <c r="E414" s="17"/>
      <c r="F414" s="3"/>
      <c r="G414" s="14"/>
      <c r="H414" s="16"/>
      <c r="I414" s="11">
        <v>46221</v>
      </c>
      <c r="J414" s="4">
        <v>17</v>
      </c>
      <c r="K414" s="18">
        <f>(F414-(0)+0-(J414*Ventas!AE411*1))</f>
        <v>0</v>
      </c>
      <c r="L414" s="3"/>
      <c r="M414" s="22">
        <f t="shared" si="158"/>
        <v>0</v>
      </c>
      <c r="N414" s="14"/>
      <c r="O414" s="25">
        <f t="shared" si="143"/>
        <v>0</v>
      </c>
      <c r="P414" s="16"/>
      <c r="Q414" s="12">
        <f t="shared" si="144"/>
        <v>0</v>
      </c>
      <c r="R414" s="5">
        <v>0</v>
      </c>
      <c r="S414" s="24">
        <v>0</v>
      </c>
      <c r="T414" s="26">
        <v>0</v>
      </c>
      <c r="U414" s="18">
        <f t="shared" si="145"/>
        <v>0</v>
      </c>
      <c r="V414" s="22">
        <f t="shared" si="146"/>
        <v>0</v>
      </c>
      <c r="W414" s="25">
        <f t="shared" si="147"/>
        <v>0</v>
      </c>
      <c r="X414" s="3"/>
      <c r="Y414" s="14"/>
      <c r="Z414" s="14"/>
      <c r="AA414" s="3"/>
      <c r="AB414" s="3">
        <v>6.783E-3</v>
      </c>
      <c r="AC414" s="11">
        <v>46313</v>
      </c>
      <c r="AD414" s="4">
        <v>92</v>
      </c>
      <c r="AE414" s="18">
        <f>(IF(K414&gt;0,K414+R414,R414)-(AD414*Ventas!AE411*1.0489))</f>
        <v>0</v>
      </c>
      <c r="AF414" s="3"/>
      <c r="AG414" s="22">
        <f t="shared" si="159"/>
        <v>0</v>
      </c>
      <c r="AH414" s="14"/>
      <c r="AI414" s="25">
        <f t="shared" si="148"/>
        <v>0</v>
      </c>
      <c r="AJ414" s="16"/>
      <c r="AK414" s="12">
        <f t="shared" si="149"/>
        <v>0</v>
      </c>
      <c r="AL414" s="19">
        <f t="shared" si="150"/>
        <v>0</v>
      </c>
      <c r="AM414" s="18">
        <f>(180*(Ventas!AE411*0.9644) - IF(AE414&gt;0,AE414,0))</f>
        <v>0</v>
      </c>
      <c r="AN414" s="18">
        <f t="shared" si="142"/>
        <v>0</v>
      </c>
      <c r="AO414" s="14"/>
      <c r="AP414" s="14">
        <f t="shared" si="151"/>
        <v>0</v>
      </c>
      <c r="AQ414" s="16">
        <f t="shared" si="152"/>
        <v>0</v>
      </c>
      <c r="AR414" s="37">
        <f>_xlfn.XLOOKUP(C414,[1]Hoja2!$C$6:$C$24,[1]Hoja2!$D$6:$D$24,0,2,1)</f>
        <v>0</v>
      </c>
      <c r="AS414" s="18">
        <f t="shared" si="153"/>
        <v>0</v>
      </c>
      <c r="AT414" s="14"/>
      <c r="AU414" s="37">
        <f>_xlfn.XLOOKUP(D414,[1]Hoja2!$E$6:$E$24,[1]Hoja2!$F$6:$F$24,0,2,1)</f>
        <v>0</v>
      </c>
      <c r="AV414" s="3">
        <v>0</v>
      </c>
      <c r="AW414" s="3"/>
      <c r="AX414" s="14">
        <v>0</v>
      </c>
      <c r="AY414" s="14"/>
      <c r="AZ414" s="16">
        <f>_xlfn.XLOOKUP(C414,[2]PI!$B$15:$B$99,[2]PI!$L$15:$L$99,0,2,1)</f>
        <v>0</v>
      </c>
      <c r="BA414" s="16">
        <f>_xlfn.XLOOKUP(D414,[2]PI!$B$15:$B$99,[2]PI!$L$15:$L$99,0,2,1)</f>
        <v>0</v>
      </c>
      <c r="BB414" s="3"/>
      <c r="BC414" s="3"/>
      <c r="BD414" s="14"/>
      <c r="BE414" s="14"/>
      <c r="BF414" s="16"/>
      <c r="BG414" s="16"/>
      <c r="BH414" s="12">
        <f t="shared" si="154"/>
        <v>0</v>
      </c>
      <c r="BI414" s="19">
        <f t="shared" si="155"/>
        <v>0</v>
      </c>
      <c r="BJ414" s="1" t="s">
        <v>35</v>
      </c>
      <c r="BK414">
        <f t="shared" si="156"/>
        <v>0</v>
      </c>
      <c r="BL414">
        <f t="shared" si="157"/>
        <v>0</v>
      </c>
    </row>
    <row r="415" spans="1:64" x14ac:dyDescent="0.25">
      <c r="A415" s="1" t="s">
        <v>1247</v>
      </c>
      <c r="B415" s="1" t="s">
        <v>1246</v>
      </c>
      <c r="C415" s="13" t="s">
        <v>1245</v>
      </c>
      <c r="D415" s="15"/>
      <c r="E415" s="17"/>
      <c r="F415" s="3"/>
      <c r="G415" s="14"/>
      <c r="H415" s="16"/>
      <c r="I415" s="11">
        <v>46221</v>
      </c>
      <c r="J415" s="4">
        <v>17</v>
      </c>
      <c r="K415" s="18">
        <f>(F415-(0)+0-(J415*Ventas!AE412*1))</f>
        <v>0</v>
      </c>
      <c r="L415" s="3"/>
      <c r="M415" s="22">
        <f t="shared" si="158"/>
        <v>0</v>
      </c>
      <c r="N415" s="14"/>
      <c r="O415" s="25">
        <f t="shared" si="143"/>
        <v>0</v>
      </c>
      <c r="P415" s="16"/>
      <c r="Q415" s="12">
        <f t="shared" si="144"/>
        <v>0</v>
      </c>
      <c r="R415" s="5">
        <v>0</v>
      </c>
      <c r="S415" s="24">
        <v>0</v>
      </c>
      <c r="T415" s="26">
        <v>0</v>
      </c>
      <c r="U415" s="18">
        <f t="shared" si="145"/>
        <v>0</v>
      </c>
      <c r="V415" s="22">
        <f t="shared" si="146"/>
        <v>0</v>
      </c>
      <c r="W415" s="25">
        <f t="shared" si="147"/>
        <v>0</v>
      </c>
      <c r="X415" s="3"/>
      <c r="Y415" s="14"/>
      <c r="Z415" s="14"/>
      <c r="AA415" s="3"/>
      <c r="AB415" s="3">
        <v>6.783E-3</v>
      </c>
      <c r="AC415" s="11">
        <v>46313</v>
      </c>
      <c r="AD415" s="4">
        <v>92</v>
      </c>
      <c r="AE415" s="18">
        <f>(IF(K415&gt;0,K415+R415,R415)-(AD415*Ventas!AE412*1.0489))</f>
        <v>0</v>
      </c>
      <c r="AF415" s="3"/>
      <c r="AG415" s="22">
        <f t="shared" si="159"/>
        <v>0</v>
      </c>
      <c r="AH415" s="14"/>
      <c r="AI415" s="25">
        <f t="shared" si="148"/>
        <v>0</v>
      </c>
      <c r="AJ415" s="16"/>
      <c r="AK415" s="12">
        <f t="shared" si="149"/>
        <v>0</v>
      </c>
      <c r="AL415" s="19">
        <f t="shared" si="150"/>
        <v>0</v>
      </c>
      <c r="AM415" s="18">
        <f>(180*(Ventas!AE412*0.9644) - IF(AE415&gt;0,AE415,0))</f>
        <v>0</v>
      </c>
      <c r="AN415" s="18">
        <f t="shared" si="142"/>
        <v>0</v>
      </c>
      <c r="AO415" s="14"/>
      <c r="AP415" s="14">
        <f t="shared" si="151"/>
        <v>0</v>
      </c>
      <c r="AQ415" s="16">
        <f t="shared" si="152"/>
        <v>0</v>
      </c>
      <c r="AR415" s="37">
        <f>_xlfn.XLOOKUP(C415,[1]Hoja2!$C$6:$C$24,[1]Hoja2!$D$6:$D$24,0,2,1)</f>
        <v>0</v>
      </c>
      <c r="AS415" s="18">
        <f t="shared" si="153"/>
        <v>0</v>
      </c>
      <c r="AT415" s="14"/>
      <c r="AU415" s="37">
        <f>_xlfn.XLOOKUP(D415,[1]Hoja2!$E$6:$E$24,[1]Hoja2!$F$6:$F$24,0,2,1)</f>
        <v>0</v>
      </c>
      <c r="AV415" s="3">
        <v>0</v>
      </c>
      <c r="AW415" s="3"/>
      <c r="AX415" s="14">
        <v>0</v>
      </c>
      <c r="AY415" s="14"/>
      <c r="AZ415" s="16">
        <f>_xlfn.XLOOKUP(C415,[2]PI!$B$15:$B$99,[2]PI!$L$15:$L$99,0,2,1)</f>
        <v>0</v>
      </c>
      <c r="BA415" s="16">
        <f>_xlfn.XLOOKUP(D415,[2]PI!$B$15:$B$99,[2]PI!$L$15:$L$99,0,2,1)</f>
        <v>0</v>
      </c>
      <c r="BB415" s="3"/>
      <c r="BC415" s="3"/>
      <c r="BD415" s="14"/>
      <c r="BE415" s="14"/>
      <c r="BF415" s="16"/>
      <c r="BG415" s="16"/>
      <c r="BH415" s="12">
        <f t="shared" si="154"/>
        <v>0</v>
      </c>
      <c r="BI415" s="19">
        <f t="shared" si="155"/>
        <v>0</v>
      </c>
      <c r="BJ415" s="1" t="s">
        <v>35</v>
      </c>
      <c r="BK415">
        <f t="shared" si="156"/>
        <v>0</v>
      </c>
      <c r="BL415">
        <f t="shared" si="157"/>
        <v>0</v>
      </c>
    </row>
    <row r="416" spans="1:64" x14ac:dyDescent="0.25">
      <c r="A416" s="1" t="s">
        <v>1250</v>
      </c>
      <c r="B416" s="1" t="s">
        <v>1249</v>
      </c>
      <c r="C416" s="13" t="s">
        <v>1248</v>
      </c>
      <c r="D416" s="15"/>
      <c r="E416" s="17"/>
      <c r="F416" s="3"/>
      <c r="G416" s="14"/>
      <c r="H416" s="16"/>
      <c r="I416" s="11">
        <v>46221</v>
      </c>
      <c r="J416" s="4">
        <v>17</v>
      </c>
      <c r="K416" s="18">
        <f>(F416-(0)+0-(J416*Ventas!AE413*1))</f>
        <v>0</v>
      </c>
      <c r="L416" s="3"/>
      <c r="M416" s="22">
        <f t="shared" si="158"/>
        <v>0</v>
      </c>
      <c r="N416" s="14"/>
      <c r="O416" s="25">
        <f t="shared" si="143"/>
        <v>0</v>
      </c>
      <c r="P416" s="16"/>
      <c r="Q416" s="12">
        <f t="shared" si="144"/>
        <v>0</v>
      </c>
      <c r="R416" s="5">
        <v>0</v>
      </c>
      <c r="S416" s="24">
        <v>0</v>
      </c>
      <c r="T416" s="26">
        <v>0</v>
      </c>
      <c r="U416" s="18">
        <f t="shared" si="145"/>
        <v>0</v>
      </c>
      <c r="V416" s="22">
        <f t="shared" si="146"/>
        <v>0</v>
      </c>
      <c r="W416" s="25">
        <f t="shared" si="147"/>
        <v>0</v>
      </c>
      <c r="X416" s="3"/>
      <c r="Y416" s="14"/>
      <c r="Z416" s="14"/>
      <c r="AA416" s="3"/>
      <c r="AB416" s="3">
        <v>6.783E-3</v>
      </c>
      <c r="AC416" s="11">
        <v>46313</v>
      </c>
      <c r="AD416" s="4">
        <v>92</v>
      </c>
      <c r="AE416" s="18">
        <f>(IF(K416&gt;0,K416+R416,R416)-(AD416*Ventas!AE413*1.0489))</f>
        <v>0</v>
      </c>
      <c r="AF416" s="3"/>
      <c r="AG416" s="22">
        <f t="shared" si="159"/>
        <v>0</v>
      </c>
      <c r="AH416" s="14"/>
      <c r="AI416" s="25">
        <f t="shared" si="148"/>
        <v>0</v>
      </c>
      <c r="AJ416" s="16"/>
      <c r="AK416" s="12">
        <f t="shared" si="149"/>
        <v>0</v>
      </c>
      <c r="AL416" s="19">
        <f t="shared" si="150"/>
        <v>0</v>
      </c>
      <c r="AM416" s="18">
        <f>(180*(Ventas!AE413*0.9644) - IF(AE416&gt;0,AE416,0))</f>
        <v>0</v>
      </c>
      <c r="AN416" s="18">
        <f t="shared" si="142"/>
        <v>0</v>
      </c>
      <c r="AO416" s="14"/>
      <c r="AP416" s="14">
        <f t="shared" si="151"/>
        <v>0</v>
      </c>
      <c r="AQ416" s="16">
        <f t="shared" si="152"/>
        <v>0</v>
      </c>
      <c r="AR416" s="37">
        <f>_xlfn.XLOOKUP(C416,[1]Hoja2!$C$6:$C$24,[1]Hoja2!$D$6:$D$24,0,2,1)</f>
        <v>0</v>
      </c>
      <c r="AS416" s="18">
        <f t="shared" si="153"/>
        <v>0</v>
      </c>
      <c r="AT416" s="14"/>
      <c r="AU416" s="37">
        <f>_xlfn.XLOOKUP(D416,[1]Hoja2!$E$6:$E$24,[1]Hoja2!$F$6:$F$24,0,2,1)</f>
        <v>0</v>
      </c>
      <c r="AV416" s="3">
        <v>0</v>
      </c>
      <c r="AW416" s="3"/>
      <c r="AX416" s="14">
        <v>0</v>
      </c>
      <c r="AY416" s="14"/>
      <c r="AZ416" s="16">
        <f>_xlfn.XLOOKUP(C416,[2]PI!$B$15:$B$99,[2]PI!$L$15:$L$99,0,2,1)</f>
        <v>0</v>
      </c>
      <c r="BA416" s="16">
        <f>_xlfn.XLOOKUP(D416,[2]PI!$B$15:$B$99,[2]PI!$L$15:$L$99,0,2,1)</f>
        <v>0</v>
      </c>
      <c r="BB416" s="3"/>
      <c r="BC416" s="3"/>
      <c r="BD416" s="14"/>
      <c r="BE416" s="14"/>
      <c r="BF416" s="16"/>
      <c r="BG416" s="16"/>
      <c r="BH416" s="12">
        <f t="shared" si="154"/>
        <v>0</v>
      </c>
      <c r="BI416" s="19">
        <f t="shared" si="155"/>
        <v>0</v>
      </c>
      <c r="BJ416" s="1" t="s">
        <v>35</v>
      </c>
      <c r="BK416">
        <f t="shared" si="156"/>
        <v>0</v>
      </c>
      <c r="BL416">
        <f t="shared" si="157"/>
        <v>0</v>
      </c>
    </row>
    <row r="417" spans="1:64" x14ac:dyDescent="0.25">
      <c r="A417" s="1" t="s">
        <v>1253</v>
      </c>
      <c r="B417" s="1" t="s">
        <v>1252</v>
      </c>
      <c r="C417" s="13" t="s">
        <v>1251</v>
      </c>
      <c r="D417" s="15"/>
      <c r="E417" s="17"/>
      <c r="F417" s="3"/>
      <c r="G417" s="14"/>
      <c r="H417" s="16"/>
      <c r="I417" s="11">
        <v>46221</v>
      </c>
      <c r="J417" s="4">
        <v>17</v>
      </c>
      <c r="K417" s="18">
        <f>(F417-(0)+0-(J417*Ventas!AE414*1))</f>
        <v>0</v>
      </c>
      <c r="L417" s="3"/>
      <c r="M417" s="22">
        <f t="shared" si="158"/>
        <v>0</v>
      </c>
      <c r="N417" s="14"/>
      <c r="O417" s="25">
        <f t="shared" si="143"/>
        <v>0</v>
      </c>
      <c r="P417" s="16"/>
      <c r="Q417" s="12">
        <f t="shared" si="144"/>
        <v>0</v>
      </c>
      <c r="R417" s="5">
        <v>0</v>
      </c>
      <c r="S417" s="24">
        <v>0</v>
      </c>
      <c r="T417" s="26">
        <v>0</v>
      </c>
      <c r="U417" s="18">
        <f t="shared" si="145"/>
        <v>0</v>
      </c>
      <c r="V417" s="22">
        <f t="shared" si="146"/>
        <v>0</v>
      </c>
      <c r="W417" s="25">
        <f t="shared" si="147"/>
        <v>0</v>
      </c>
      <c r="X417" s="3"/>
      <c r="Y417" s="14"/>
      <c r="Z417" s="14"/>
      <c r="AA417" s="3"/>
      <c r="AB417" s="3">
        <v>6.783E-3</v>
      </c>
      <c r="AC417" s="11">
        <v>46313</v>
      </c>
      <c r="AD417" s="4">
        <v>92</v>
      </c>
      <c r="AE417" s="18">
        <f>(IF(K417&gt;0,K417+R417,R417)-(AD417*Ventas!AE414*1.0489))</f>
        <v>0</v>
      </c>
      <c r="AF417" s="3"/>
      <c r="AG417" s="22">
        <f t="shared" si="159"/>
        <v>0</v>
      </c>
      <c r="AH417" s="14"/>
      <c r="AI417" s="25">
        <f t="shared" si="148"/>
        <v>0</v>
      </c>
      <c r="AJ417" s="16"/>
      <c r="AK417" s="12">
        <f t="shared" si="149"/>
        <v>0</v>
      </c>
      <c r="AL417" s="19">
        <f t="shared" si="150"/>
        <v>0</v>
      </c>
      <c r="AM417" s="18">
        <f>(180*(Ventas!AE414*0.9644) - IF(AE417&gt;0,AE417,0))</f>
        <v>0</v>
      </c>
      <c r="AN417" s="18">
        <f t="shared" ref="AN417:AN448" si="160">IF(AM417&gt;3,CEILING(AM417,5),0)</f>
        <v>0</v>
      </c>
      <c r="AO417" s="14"/>
      <c r="AP417" s="14">
        <f t="shared" si="151"/>
        <v>0</v>
      </c>
      <c r="AQ417" s="16">
        <f t="shared" si="152"/>
        <v>0</v>
      </c>
      <c r="AR417" s="37">
        <f>_xlfn.XLOOKUP(C417,[1]Hoja2!$C$6:$C$24,[1]Hoja2!$D$6:$D$24,0,2,1)</f>
        <v>0</v>
      </c>
      <c r="AS417" s="18">
        <f t="shared" si="153"/>
        <v>0</v>
      </c>
      <c r="AT417" s="14"/>
      <c r="AU417" s="37">
        <f>_xlfn.XLOOKUP(D417,[1]Hoja2!$E$6:$E$24,[1]Hoja2!$F$6:$F$24,0,2,1)</f>
        <v>0</v>
      </c>
      <c r="AV417" s="3">
        <v>0</v>
      </c>
      <c r="AW417" s="3"/>
      <c r="AX417" s="14">
        <v>0</v>
      </c>
      <c r="AY417" s="14"/>
      <c r="AZ417" s="16">
        <f>_xlfn.XLOOKUP(C417,[2]PI!$B$15:$B$99,[2]PI!$L$15:$L$99,0,2,1)</f>
        <v>0</v>
      </c>
      <c r="BA417" s="16">
        <f>_xlfn.XLOOKUP(D417,[2]PI!$B$15:$B$99,[2]PI!$L$15:$L$99,0,2,1)</f>
        <v>0</v>
      </c>
      <c r="BB417" s="3"/>
      <c r="BC417" s="3"/>
      <c r="BD417" s="14"/>
      <c r="BE417" s="14"/>
      <c r="BF417" s="16"/>
      <c r="BG417" s="16"/>
      <c r="BH417" s="12">
        <f t="shared" si="154"/>
        <v>0</v>
      </c>
      <c r="BI417" s="19">
        <f t="shared" si="155"/>
        <v>0</v>
      </c>
      <c r="BJ417" s="1" t="s">
        <v>35</v>
      </c>
      <c r="BK417">
        <f t="shared" si="156"/>
        <v>0</v>
      </c>
      <c r="BL417">
        <f t="shared" si="157"/>
        <v>0</v>
      </c>
    </row>
    <row r="418" spans="1:64" x14ac:dyDescent="0.25">
      <c r="A418" s="1" t="s">
        <v>1256</v>
      </c>
      <c r="B418" s="1" t="s">
        <v>1255</v>
      </c>
      <c r="C418" s="13" t="s">
        <v>1254</v>
      </c>
      <c r="D418" s="15"/>
      <c r="E418" s="17"/>
      <c r="F418" s="3"/>
      <c r="G418" s="14"/>
      <c r="H418" s="16"/>
      <c r="I418" s="11">
        <v>46221</v>
      </c>
      <c r="J418" s="4">
        <v>17</v>
      </c>
      <c r="K418" s="18">
        <f>(F418-(0)+0-(J418*Ventas!AE415*1))</f>
        <v>0</v>
      </c>
      <c r="L418" s="3"/>
      <c r="M418" s="22">
        <f t="shared" si="158"/>
        <v>0</v>
      </c>
      <c r="N418" s="14"/>
      <c r="O418" s="25">
        <f t="shared" si="143"/>
        <v>0</v>
      </c>
      <c r="P418" s="16"/>
      <c r="Q418" s="12">
        <f t="shared" si="144"/>
        <v>0</v>
      </c>
      <c r="R418" s="5">
        <v>0</v>
      </c>
      <c r="S418" s="24">
        <v>0</v>
      </c>
      <c r="T418" s="26">
        <v>0</v>
      </c>
      <c r="U418" s="18">
        <f t="shared" si="145"/>
        <v>0</v>
      </c>
      <c r="V418" s="22">
        <f t="shared" si="146"/>
        <v>0</v>
      </c>
      <c r="W418" s="25">
        <f t="shared" si="147"/>
        <v>0</v>
      </c>
      <c r="X418" s="3"/>
      <c r="Y418" s="14"/>
      <c r="Z418" s="14"/>
      <c r="AA418" s="3"/>
      <c r="AB418" s="3">
        <v>6.783E-3</v>
      </c>
      <c r="AC418" s="11">
        <v>46313</v>
      </c>
      <c r="AD418" s="4">
        <v>92</v>
      </c>
      <c r="AE418" s="18">
        <f>(IF(K418&gt;0,K418+R418,R418)-(AD418*Ventas!AE415*1.0489))</f>
        <v>0</v>
      </c>
      <c r="AF418" s="3"/>
      <c r="AG418" s="22">
        <f t="shared" si="159"/>
        <v>0</v>
      </c>
      <c r="AH418" s="14"/>
      <c r="AI418" s="25">
        <f t="shared" si="148"/>
        <v>0</v>
      </c>
      <c r="AJ418" s="16"/>
      <c r="AK418" s="12">
        <f t="shared" si="149"/>
        <v>0</v>
      </c>
      <c r="AL418" s="19">
        <f t="shared" si="150"/>
        <v>0</v>
      </c>
      <c r="AM418" s="18">
        <f>(180*(Ventas!AE415*0.9644) - IF(AE418&gt;0,AE418,0))</f>
        <v>0</v>
      </c>
      <c r="AN418" s="18">
        <f t="shared" si="160"/>
        <v>0</v>
      </c>
      <c r="AO418" s="14"/>
      <c r="AP418" s="14">
        <f t="shared" si="151"/>
        <v>0</v>
      </c>
      <c r="AQ418" s="16">
        <f t="shared" si="152"/>
        <v>0</v>
      </c>
      <c r="AR418" s="37">
        <f>_xlfn.XLOOKUP(C418,[1]Hoja2!$C$6:$C$24,[1]Hoja2!$D$6:$D$24,0,2,1)</f>
        <v>0</v>
      </c>
      <c r="AS418" s="18">
        <f t="shared" si="153"/>
        <v>0</v>
      </c>
      <c r="AT418" s="14"/>
      <c r="AU418" s="37">
        <f>_xlfn.XLOOKUP(D418,[1]Hoja2!$E$6:$E$24,[1]Hoja2!$F$6:$F$24,0,2,1)</f>
        <v>0</v>
      </c>
      <c r="AV418" s="3">
        <v>0</v>
      </c>
      <c r="AW418" s="3"/>
      <c r="AX418" s="14">
        <v>0</v>
      </c>
      <c r="AY418" s="14"/>
      <c r="AZ418" s="16">
        <f>_xlfn.XLOOKUP(C418,[2]PI!$B$15:$B$99,[2]PI!$L$15:$L$99,0,2,1)</f>
        <v>0</v>
      </c>
      <c r="BA418" s="16">
        <f>_xlfn.XLOOKUP(D418,[2]PI!$B$15:$B$99,[2]PI!$L$15:$L$99,0,2,1)</f>
        <v>0</v>
      </c>
      <c r="BB418" s="3"/>
      <c r="BC418" s="3"/>
      <c r="BD418" s="14"/>
      <c r="BE418" s="14"/>
      <c r="BF418" s="16"/>
      <c r="BG418" s="16"/>
      <c r="BH418" s="12">
        <f t="shared" si="154"/>
        <v>0</v>
      </c>
      <c r="BI418" s="19">
        <f t="shared" si="155"/>
        <v>0</v>
      </c>
      <c r="BJ418" s="1" t="s">
        <v>35</v>
      </c>
      <c r="BK418">
        <f t="shared" si="156"/>
        <v>0</v>
      </c>
      <c r="BL418">
        <f t="shared" si="157"/>
        <v>0</v>
      </c>
    </row>
    <row r="419" spans="1:64" x14ac:dyDescent="0.25">
      <c r="A419" s="1" t="s">
        <v>1259</v>
      </c>
      <c r="B419" s="1" t="s">
        <v>1258</v>
      </c>
      <c r="C419" s="13" t="s">
        <v>1257</v>
      </c>
      <c r="D419" s="15"/>
      <c r="E419" s="17"/>
      <c r="F419" s="3"/>
      <c r="G419" s="14"/>
      <c r="H419" s="16"/>
      <c r="I419" s="11">
        <v>46221</v>
      </c>
      <c r="J419" s="4">
        <v>17</v>
      </c>
      <c r="K419" s="18">
        <f>(F419-(0)+0-(J419*Ventas!AE416*1))</f>
        <v>0</v>
      </c>
      <c r="L419" s="3"/>
      <c r="M419" s="22">
        <f t="shared" si="158"/>
        <v>0</v>
      </c>
      <c r="N419" s="14"/>
      <c r="O419" s="25">
        <f t="shared" si="143"/>
        <v>0</v>
      </c>
      <c r="P419" s="16"/>
      <c r="Q419" s="12">
        <f t="shared" si="144"/>
        <v>0</v>
      </c>
      <c r="R419" s="5">
        <v>0</v>
      </c>
      <c r="S419" s="24">
        <v>0</v>
      </c>
      <c r="T419" s="26">
        <v>0</v>
      </c>
      <c r="U419" s="18">
        <f t="shared" si="145"/>
        <v>0</v>
      </c>
      <c r="V419" s="22">
        <f t="shared" si="146"/>
        <v>0</v>
      </c>
      <c r="W419" s="25">
        <f t="shared" si="147"/>
        <v>0</v>
      </c>
      <c r="X419" s="3"/>
      <c r="Y419" s="14"/>
      <c r="Z419" s="14"/>
      <c r="AA419" s="3"/>
      <c r="AB419" s="3">
        <v>6.783E-3</v>
      </c>
      <c r="AC419" s="11">
        <v>46313</v>
      </c>
      <c r="AD419" s="4">
        <v>92</v>
      </c>
      <c r="AE419" s="18">
        <f>(IF(K419&gt;0,K419+R419,R419)-(AD419*Ventas!AE416*1.0489))</f>
        <v>0</v>
      </c>
      <c r="AF419" s="3"/>
      <c r="AG419" s="22">
        <f t="shared" si="159"/>
        <v>0</v>
      </c>
      <c r="AH419" s="14"/>
      <c r="AI419" s="25">
        <f t="shared" si="148"/>
        <v>0</v>
      </c>
      <c r="AJ419" s="16"/>
      <c r="AK419" s="12">
        <f t="shared" si="149"/>
        <v>0</v>
      </c>
      <c r="AL419" s="19">
        <f t="shared" si="150"/>
        <v>0</v>
      </c>
      <c r="AM419" s="18">
        <f>(180*(Ventas!AE416*0.9644) - IF(AE419&gt;0,AE419,0))</f>
        <v>0</v>
      </c>
      <c r="AN419" s="18">
        <f t="shared" si="160"/>
        <v>0</v>
      </c>
      <c r="AO419" s="14"/>
      <c r="AP419" s="14">
        <f t="shared" si="151"/>
        <v>0</v>
      </c>
      <c r="AQ419" s="16">
        <f t="shared" si="152"/>
        <v>0</v>
      </c>
      <c r="AR419" s="37">
        <f>_xlfn.XLOOKUP(C419,[1]Hoja2!$C$6:$C$24,[1]Hoja2!$D$6:$D$24,0,2,1)</f>
        <v>0</v>
      </c>
      <c r="AS419" s="18">
        <f t="shared" si="153"/>
        <v>0</v>
      </c>
      <c r="AT419" s="14"/>
      <c r="AU419" s="37">
        <f>_xlfn.XLOOKUP(D419,[1]Hoja2!$E$6:$E$24,[1]Hoja2!$F$6:$F$24,0,2,1)</f>
        <v>0</v>
      </c>
      <c r="AV419" s="3">
        <v>0</v>
      </c>
      <c r="AW419" s="3"/>
      <c r="AX419" s="14">
        <v>0</v>
      </c>
      <c r="AY419" s="14"/>
      <c r="AZ419" s="16">
        <f>_xlfn.XLOOKUP(C419,[2]PI!$B$15:$B$99,[2]PI!$L$15:$L$99,0,2,1)</f>
        <v>0</v>
      </c>
      <c r="BA419" s="16">
        <f>_xlfn.XLOOKUP(D419,[2]PI!$B$15:$B$99,[2]PI!$L$15:$L$99,0,2,1)</f>
        <v>0</v>
      </c>
      <c r="BB419" s="3"/>
      <c r="BC419" s="3"/>
      <c r="BD419" s="14"/>
      <c r="BE419" s="14"/>
      <c r="BF419" s="16"/>
      <c r="BG419" s="16"/>
      <c r="BH419" s="12">
        <f t="shared" si="154"/>
        <v>0</v>
      </c>
      <c r="BI419" s="19">
        <f t="shared" si="155"/>
        <v>0</v>
      </c>
      <c r="BJ419" s="1" t="s">
        <v>35</v>
      </c>
      <c r="BK419">
        <f t="shared" si="156"/>
        <v>0</v>
      </c>
      <c r="BL419">
        <f t="shared" si="157"/>
        <v>0</v>
      </c>
    </row>
    <row r="420" spans="1:64" x14ac:dyDescent="0.25">
      <c r="A420" s="1" t="s">
        <v>1262</v>
      </c>
      <c r="B420" s="1" t="s">
        <v>1261</v>
      </c>
      <c r="C420" s="13" t="s">
        <v>1260</v>
      </c>
      <c r="D420" s="15"/>
      <c r="E420" s="17"/>
      <c r="F420" s="3"/>
      <c r="G420" s="14"/>
      <c r="H420" s="16"/>
      <c r="I420" s="11">
        <v>46221</v>
      </c>
      <c r="J420" s="4">
        <v>17</v>
      </c>
      <c r="K420" s="18">
        <f>(F420-(0)+0-(J420*Ventas!AE417*1))</f>
        <v>0</v>
      </c>
      <c r="L420" s="3"/>
      <c r="M420" s="22">
        <f t="shared" si="158"/>
        <v>0</v>
      </c>
      <c r="N420" s="14"/>
      <c r="O420" s="25">
        <f t="shared" si="143"/>
        <v>0</v>
      </c>
      <c r="P420" s="16"/>
      <c r="Q420" s="12">
        <f t="shared" si="144"/>
        <v>0</v>
      </c>
      <c r="R420" s="5">
        <v>0</v>
      </c>
      <c r="S420" s="24">
        <v>0</v>
      </c>
      <c r="T420" s="26">
        <v>0</v>
      </c>
      <c r="U420" s="18">
        <f t="shared" si="145"/>
        <v>0</v>
      </c>
      <c r="V420" s="22">
        <f t="shared" si="146"/>
        <v>0</v>
      </c>
      <c r="W420" s="25">
        <f t="shared" si="147"/>
        <v>0</v>
      </c>
      <c r="X420" s="3"/>
      <c r="Y420" s="14"/>
      <c r="Z420" s="14"/>
      <c r="AA420" s="3"/>
      <c r="AB420" s="3">
        <v>6.783E-3</v>
      </c>
      <c r="AC420" s="11">
        <v>46313</v>
      </c>
      <c r="AD420" s="4">
        <v>92</v>
      </c>
      <c r="AE420" s="18">
        <f>(IF(K420&gt;0,K420+R420,R420)-(AD420*Ventas!AE417*1.0489))</f>
        <v>0</v>
      </c>
      <c r="AF420" s="3"/>
      <c r="AG420" s="22">
        <f t="shared" si="159"/>
        <v>0</v>
      </c>
      <c r="AH420" s="14"/>
      <c r="AI420" s="25">
        <f t="shared" si="148"/>
        <v>0</v>
      </c>
      <c r="AJ420" s="16"/>
      <c r="AK420" s="12">
        <f t="shared" si="149"/>
        <v>0</v>
      </c>
      <c r="AL420" s="19">
        <f t="shared" si="150"/>
        <v>0</v>
      </c>
      <c r="AM420" s="18">
        <f>(180*(Ventas!AE417*0.9644) - IF(AE420&gt;0,AE420,0))</f>
        <v>0</v>
      </c>
      <c r="AN420" s="18">
        <f t="shared" si="160"/>
        <v>0</v>
      </c>
      <c r="AO420" s="14"/>
      <c r="AP420" s="14">
        <f t="shared" si="151"/>
        <v>0</v>
      </c>
      <c r="AQ420" s="16">
        <f t="shared" si="152"/>
        <v>0</v>
      </c>
      <c r="AR420" s="37">
        <f>_xlfn.XLOOKUP(C420,[1]Hoja2!$C$6:$C$24,[1]Hoja2!$D$6:$D$24,0,2,1)</f>
        <v>0</v>
      </c>
      <c r="AS420" s="18">
        <f t="shared" si="153"/>
        <v>0</v>
      </c>
      <c r="AT420" s="14"/>
      <c r="AU420" s="37">
        <f>_xlfn.XLOOKUP(D420,[1]Hoja2!$E$6:$E$24,[1]Hoja2!$F$6:$F$24,0,2,1)</f>
        <v>0</v>
      </c>
      <c r="AV420" s="3">
        <v>0</v>
      </c>
      <c r="AW420" s="3"/>
      <c r="AX420" s="14">
        <v>0</v>
      </c>
      <c r="AY420" s="14"/>
      <c r="AZ420" s="16">
        <f>_xlfn.XLOOKUP(C420,[2]PI!$B$15:$B$99,[2]PI!$L$15:$L$99,0,2,1)</f>
        <v>0</v>
      </c>
      <c r="BA420" s="16">
        <f>_xlfn.XLOOKUP(D420,[2]PI!$B$15:$B$99,[2]PI!$L$15:$L$99,0,2,1)</f>
        <v>0</v>
      </c>
      <c r="BB420" s="3"/>
      <c r="BC420" s="3"/>
      <c r="BD420" s="14"/>
      <c r="BE420" s="14"/>
      <c r="BF420" s="16"/>
      <c r="BG420" s="16"/>
      <c r="BH420" s="12">
        <f t="shared" si="154"/>
        <v>0</v>
      </c>
      <c r="BI420" s="19">
        <f t="shared" si="155"/>
        <v>0</v>
      </c>
      <c r="BJ420" s="1" t="s">
        <v>35</v>
      </c>
      <c r="BK420">
        <f t="shared" si="156"/>
        <v>0</v>
      </c>
      <c r="BL420">
        <f t="shared" si="157"/>
        <v>0</v>
      </c>
    </row>
    <row r="421" spans="1:64" x14ac:dyDescent="0.25">
      <c r="A421" s="1" t="s">
        <v>1265</v>
      </c>
      <c r="B421" s="1" t="s">
        <v>1264</v>
      </c>
      <c r="C421" s="13" t="s">
        <v>1263</v>
      </c>
      <c r="D421" s="15"/>
      <c r="E421" s="17"/>
      <c r="F421" s="3"/>
      <c r="G421" s="14"/>
      <c r="H421" s="16"/>
      <c r="I421" s="11">
        <v>46221</v>
      </c>
      <c r="J421" s="4">
        <v>17</v>
      </c>
      <c r="K421" s="18">
        <f>(F421-(0)+0-(J421*Ventas!AE418*1))</f>
        <v>0</v>
      </c>
      <c r="L421" s="3"/>
      <c r="M421" s="22">
        <f t="shared" si="158"/>
        <v>0</v>
      </c>
      <c r="N421" s="14"/>
      <c r="O421" s="25">
        <f t="shared" si="143"/>
        <v>0</v>
      </c>
      <c r="P421" s="16"/>
      <c r="Q421" s="12">
        <f t="shared" si="144"/>
        <v>0</v>
      </c>
      <c r="R421" s="5">
        <v>0</v>
      </c>
      <c r="S421" s="24">
        <v>0</v>
      </c>
      <c r="T421" s="26">
        <v>0</v>
      </c>
      <c r="U421" s="18">
        <f t="shared" si="145"/>
        <v>0</v>
      </c>
      <c r="V421" s="22">
        <f t="shared" si="146"/>
        <v>0</v>
      </c>
      <c r="W421" s="25">
        <f t="shared" si="147"/>
        <v>0</v>
      </c>
      <c r="X421" s="3"/>
      <c r="Y421" s="14"/>
      <c r="Z421" s="14"/>
      <c r="AA421" s="3"/>
      <c r="AB421" s="3">
        <v>6.783E-3</v>
      </c>
      <c r="AC421" s="11">
        <v>46313</v>
      </c>
      <c r="AD421" s="4">
        <v>92</v>
      </c>
      <c r="AE421" s="18">
        <f>(IF(K421&gt;0,K421+R421,R421)-(AD421*Ventas!AE418*1.0489))</f>
        <v>0</v>
      </c>
      <c r="AF421" s="3"/>
      <c r="AG421" s="22">
        <f t="shared" si="159"/>
        <v>0</v>
      </c>
      <c r="AH421" s="14"/>
      <c r="AI421" s="25">
        <f t="shared" si="148"/>
        <v>0</v>
      </c>
      <c r="AJ421" s="16"/>
      <c r="AK421" s="12">
        <f t="shared" si="149"/>
        <v>0</v>
      </c>
      <c r="AL421" s="19">
        <f t="shared" si="150"/>
        <v>0</v>
      </c>
      <c r="AM421" s="18">
        <f>(180*(Ventas!AE418*0.9644) - IF(AE421&gt;0,AE421,0))</f>
        <v>0</v>
      </c>
      <c r="AN421" s="18">
        <f t="shared" si="160"/>
        <v>0</v>
      </c>
      <c r="AO421" s="14"/>
      <c r="AP421" s="14">
        <f t="shared" ref="AP421:AP452" si="161">IF(AO421&gt;3,CEILING(AO421,5),0)</f>
        <v>0</v>
      </c>
      <c r="AQ421" s="16">
        <f t="shared" si="152"/>
        <v>0</v>
      </c>
      <c r="AR421" s="37">
        <f>_xlfn.XLOOKUP(C421,[1]Hoja2!$C$6:$C$24,[1]Hoja2!$D$6:$D$24,0,2,1)</f>
        <v>0</v>
      </c>
      <c r="AS421" s="18">
        <f t="shared" si="153"/>
        <v>0</v>
      </c>
      <c r="AT421" s="14"/>
      <c r="AU421" s="37">
        <f>_xlfn.XLOOKUP(D421,[1]Hoja2!$E$6:$E$24,[1]Hoja2!$F$6:$F$24,0,2,1)</f>
        <v>0</v>
      </c>
      <c r="AV421" s="3">
        <v>0</v>
      </c>
      <c r="AW421" s="3"/>
      <c r="AX421" s="14">
        <v>0</v>
      </c>
      <c r="AY421" s="14"/>
      <c r="AZ421" s="16">
        <f>_xlfn.XLOOKUP(C421,[2]PI!$B$15:$B$99,[2]PI!$L$15:$L$99,0,2,1)</f>
        <v>0</v>
      </c>
      <c r="BA421" s="16">
        <f>_xlfn.XLOOKUP(D421,[2]PI!$B$15:$B$99,[2]PI!$L$15:$L$99,0,2,1)</f>
        <v>0</v>
      </c>
      <c r="BB421" s="3"/>
      <c r="BC421" s="3"/>
      <c r="BD421" s="14"/>
      <c r="BE421" s="14"/>
      <c r="BF421" s="16"/>
      <c r="BG421" s="16"/>
      <c r="BH421" s="12">
        <f t="shared" si="154"/>
        <v>0</v>
      </c>
      <c r="BI421" s="19">
        <f t="shared" si="155"/>
        <v>0</v>
      </c>
      <c r="BJ421" s="1" t="s">
        <v>35</v>
      </c>
      <c r="BK421">
        <f t="shared" si="156"/>
        <v>0</v>
      </c>
      <c r="BL421">
        <f t="shared" si="157"/>
        <v>0</v>
      </c>
    </row>
    <row r="422" spans="1:64" x14ac:dyDescent="0.25">
      <c r="A422" s="1" t="s">
        <v>1268</v>
      </c>
      <c r="B422" s="1" t="s">
        <v>1267</v>
      </c>
      <c r="C422" s="13" t="s">
        <v>1266</v>
      </c>
      <c r="D422" s="15"/>
      <c r="E422" s="17"/>
      <c r="F422" s="3"/>
      <c r="G422" s="14"/>
      <c r="H422" s="16"/>
      <c r="I422" s="11">
        <v>46221</v>
      </c>
      <c r="J422" s="4">
        <v>17</v>
      </c>
      <c r="K422" s="18">
        <f>(F422-(0)+0-(J422*Ventas!AE419*1))</f>
        <v>0</v>
      </c>
      <c r="L422" s="3"/>
      <c r="M422" s="22">
        <f t="shared" si="158"/>
        <v>0</v>
      </c>
      <c r="N422" s="14"/>
      <c r="O422" s="25">
        <f t="shared" si="143"/>
        <v>0</v>
      </c>
      <c r="P422" s="16"/>
      <c r="Q422" s="12">
        <f t="shared" si="144"/>
        <v>0</v>
      </c>
      <c r="R422" s="5">
        <v>0</v>
      </c>
      <c r="S422" s="24">
        <v>0</v>
      </c>
      <c r="T422" s="26">
        <v>0</v>
      </c>
      <c r="U422" s="18">
        <f t="shared" si="145"/>
        <v>0</v>
      </c>
      <c r="V422" s="22">
        <f t="shared" si="146"/>
        <v>0</v>
      </c>
      <c r="W422" s="25">
        <f t="shared" si="147"/>
        <v>0</v>
      </c>
      <c r="X422" s="3"/>
      <c r="Y422" s="14"/>
      <c r="Z422" s="14"/>
      <c r="AA422" s="3"/>
      <c r="AB422" s="3">
        <v>6.783E-3</v>
      </c>
      <c r="AC422" s="11">
        <v>46313</v>
      </c>
      <c r="AD422" s="4">
        <v>92</v>
      </c>
      <c r="AE422" s="18">
        <f>(IF(K422&gt;0,K422+R422,R422)-(AD422*Ventas!AE419*1.0489))</f>
        <v>0</v>
      </c>
      <c r="AF422" s="3"/>
      <c r="AG422" s="22">
        <f t="shared" si="159"/>
        <v>0</v>
      </c>
      <c r="AH422" s="14"/>
      <c r="AI422" s="25">
        <f t="shared" si="148"/>
        <v>0</v>
      </c>
      <c r="AJ422" s="16"/>
      <c r="AK422" s="12">
        <f t="shared" si="149"/>
        <v>0</v>
      </c>
      <c r="AL422" s="19">
        <f t="shared" si="150"/>
        <v>0</v>
      </c>
      <c r="AM422" s="18">
        <f>(180*(Ventas!AE419*0.9644) - IF(AE422&gt;0,AE422,0))</f>
        <v>0</v>
      </c>
      <c r="AN422" s="18">
        <f t="shared" si="160"/>
        <v>0</v>
      </c>
      <c r="AO422" s="14"/>
      <c r="AP422" s="14">
        <f t="shared" si="161"/>
        <v>0</v>
      </c>
      <c r="AQ422" s="16">
        <f t="shared" si="152"/>
        <v>0</v>
      </c>
      <c r="AR422" s="37">
        <f>_xlfn.XLOOKUP(C422,[1]Hoja2!$C$6:$C$24,[1]Hoja2!$D$6:$D$24,0,2,1)</f>
        <v>0</v>
      </c>
      <c r="AS422" s="18">
        <f t="shared" si="153"/>
        <v>0</v>
      </c>
      <c r="AT422" s="14"/>
      <c r="AU422" s="37">
        <f>_xlfn.XLOOKUP(D422,[1]Hoja2!$E$6:$E$24,[1]Hoja2!$F$6:$F$24,0,2,1)</f>
        <v>0</v>
      </c>
      <c r="AV422" s="3">
        <v>0</v>
      </c>
      <c r="AW422" s="3"/>
      <c r="AX422" s="14">
        <v>0</v>
      </c>
      <c r="AY422" s="14"/>
      <c r="AZ422" s="16">
        <f>_xlfn.XLOOKUP(C422,[2]PI!$B$15:$B$99,[2]PI!$L$15:$L$99,0,2,1)</f>
        <v>0</v>
      </c>
      <c r="BA422" s="16">
        <f>_xlfn.XLOOKUP(D422,[2]PI!$B$15:$B$99,[2]PI!$L$15:$L$99,0,2,1)</f>
        <v>0</v>
      </c>
      <c r="BB422" s="3"/>
      <c r="BC422" s="3"/>
      <c r="BD422" s="14"/>
      <c r="BE422" s="14"/>
      <c r="BF422" s="16"/>
      <c r="BG422" s="16"/>
      <c r="BH422" s="12">
        <f t="shared" si="154"/>
        <v>0</v>
      </c>
      <c r="BI422" s="19">
        <f t="shared" si="155"/>
        <v>0</v>
      </c>
      <c r="BJ422" s="1" t="s">
        <v>35</v>
      </c>
      <c r="BK422">
        <f t="shared" si="156"/>
        <v>0</v>
      </c>
      <c r="BL422">
        <f t="shared" si="157"/>
        <v>0</v>
      </c>
    </row>
    <row r="423" spans="1:64" x14ac:dyDescent="0.25">
      <c r="A423" s="1" t="s">
        <v>1271</v>
      </c>
      <c r="B423" s="1" t="s">
        <v>1270</v>
      </c>
      <c r="C423" s="13" t="s">
        <v>1269</v>
      </c>
      <c r="D423" s="15"/>
      <c r="E423" s="17"/>
      <c r="F423" s="3"/>
      <c r="G423" s="14"/>
      <c r="H423" s="16"/>
      <c r="I423" s="11">
        <v>46221</v>
      </c>
      <c r="J423" s="4">
        <v>17</v>
      </c>
      <c r="K423" s="18">
        <f>(F423-(0)+0-(J423*Ventas!AE420*1))</f>
        <v>0</v>
      </c>
      <c r="L423" s="3"/>
      <c r="M423" s="22">
        <f t="shared" si="158"/>
        <v>0</v>
      </c>
      <c r="N423" s="14"/>
      <c r="O423" s="25">
        <f t="shared" si="143"/>
        <v>0</v>
      </c>
      <c r="P423" s="16"/>
      <c r="Q423" s="12">
        <f t="shared" si="144"/>
        <v>0</v>
      </c>
      <c r="R423" s="5">
        <v>0</v>
      </c>
      <c r="S423" s="24">
        <v>0</v>
      </c>
      <c r="T423" s="26">
        <v>0</v>
      </c>
      <c r="U423" s="18">
        <f t="shared" si="145"/>
        <v>0</v>
      </c>
      <c r="V423" s="22">
        <f t="shared" si="146"/>
        <v>0</v>
      </c>
      <c r="W423" s="25">
        <f t="shared" si="147"/>
        <v>0</v>
      </c>
      <c r="X423" s="3"/>
      <c r="Y423" s="14"/>
      <c r="Z423" s="14"/>
      <c r="AA423" s="3"/>
      <c r="AB423" s="3">
        <v>6.783E-3</v>
      </c>
      <c r="AC423" s="11">
        <v>46313</v>
      </c>
      <c r="AD423" s="4">
        <v>92</v>
      </c>
      <c r="AE423" s="18">
        <f>(IF(K423&gt;0,K423+R423,R423)-(AD423*Ventas!AE420*1.0489))</f>
        <v>0</v>
      </c>
      <c r="AF423" s="3"/>
      <c r="AG423" s="22">
        <f t="shared" si="159"/>
        <v>0</v>
      </c>
      <c r="AH423" s="14"/>
      <c r="AI423" s="25">
        <f t="shared" si="148"/>
        <v>0</v>
      </c>
      <c r="AJ423" s="16"/>
      <c r="AK423" s="12">
        <f t="shared" si="149"/>
        <v>0</v>
      </c>
      <c r="AL423" s="19">
        <f t="shared" si="150"/>
        <v>0</v>
      </c>
      <c r="AM423" s="18">
        <f>(180*(Ventas!AE420*0.9644) - IF(AE423&gt;0,AE423,0))</f>
        <v>0</v>
      </c>
      <c r="AN423" s="18">
        <f t="shared" si="160"/>
        <v>0</v>
      </c>
      <c r="AO423" s="14"/>
      <c r="AP423" s="14">
        <f t="shared" si="161"/>
        <v>0</v>
      </c>
      <c r="AQ423" s="16">
        <f t="shared" si="152"/>
        <v>0</v>
      </c>
      <c r="AR423" s="37">
        <f>_xlfn.XLOOKUP(C423,[1]Hoja2!$C$6:$C$24,[1]Hoja2!$D$6:$D$24,0,2,1)</f>
        <v>0</v>
      </c>
      <c r="AS423" s="18">
        <f t="shared" si="153"/>
        <v>0</v>
      </c>
      <c r="AT423" s="14"/>
      <c r="AU423" s="37">
        <f>_xlfn.XLOOKUP(D423,[1]Hoja2!$E$6:$E$24,[1]Hoja2!$F$6:$F$24,0,2,1)</f>
        <v>0</v>
      </c>
      <c r="AV423" s="3">
        <v>0</v>
      </c>
      <c r="AW423" s="3"/>
      <c r="AX423" s="14">
        <v>0</v>
      </c>
      <c r="AY423" s="14"/>
      <c r="AZ423" s="16">
        <f>_xlfn.XLOOKUP(C423,[2]PI!$B$15:$B$99,[2]PI!$L$15:$L$99,0,2,1)</f>
        <v>0</v>
      </c>
      <c r="BA423" s="16">
        <f>_xlfn.XLOOKUP(D423,[2]PI!$B$15:$B$99,[2]PI!$L$15:$L$99,0,2,1)</f>
        <v>0</v>
      </c>
      <c r="BB423" s="3"/>
      <c r="BC423" s="3"/>
      <c r="BD423" s="14"/>
      <c r="BE423" s="14"/>
      <c r="BF423" s="16"/>
      <c r="BG423" s="16"/>
      <c r="BH423" s="12">
        <f t="shared" si="154"/>
        <v>0</v>
      </c>
      <c r="BI423" s="19">
        <f t="shared" si="155"/>
        <v>0</v>
      </c>
      <c r="BJ423" s="1" t="s">
        <v>35</v>
      </c>
      <c r="BK423">
        <f t="shared" si="156"/>
        <v>0</v>
      </c>
      <c r="BL423">
        <f t="shared" si="157"/>
        <v>0</v>
      </c>
    </row>
    <row r="424" spans="1:64" x14ac:dyDescent="0.25">
      <c r="A424" s="1" t="s">
        <v>1274</v>
      </c>
      <c r="B424" s="1" t="s">
        <v>1273</v>
      </c>
      <c r="C424" s="13" t="s">
        <v>1272</v>
      </c>
      <c r="D424" s="15"/>
      <c r="E424" s="17"/>
      <c r="F424" s="3"/>
      <c r="G424" s="14"/>
      <c r="H424" s="16"/>
      <c r="I424" s="11">
        <v>46221</v>
      </c>
      <c r="J424" s="4">
        <v>17</v>
      </c>
      <c r="K424" s="18">
        <f>(F424-(0)+0-(J424*Ventas!AE421*1))</f>
        <v>0</v>
      </c>
      <c r="L424" s="3"/>
      <c r="M424" s="22">
        <f t="shared" si="158"/>
        <v>0</v>
      </c>
      <c r="N424" s="14"/>
      <c r="O424" s="25">
        <f t="shared" si="143"/>
        <v>0</v>
      </c>
      <c r="P424" s="16"/>
      <c r="Q424" s="12">
        <f t="shared" si="144"/>
        <v>0</v>
      </c>
      <c r="R424" s="5">
        <v>0</v>
      </c>
      <c r="S424" s="24">
        <v>0</v>
      </c>
      <c r="T424" s="26">
        <v>0</v>
      </c>
      <c r="U424" s="18">
        <f t="shared" si="145"/>
        <v>0</v>
      </c>
      <c r="V424" s="22">
        <f t="shared" si="146"/>
        <v>0</v>
      </c>
      <c r="W424" s="25">
        <f t="shared" si="147"/>
        <v>0</v>
      </c>
      <c r="X424" s="3"/>
      <c r="Y424" s="14"/>
      <c r="Z424" s="14"/>
      <c r="AA424" s="3"/>
      <c r="AB424" s="3">
        <v>6.783E-3</v>
      </c>
      <c r="AC424" s="11">
        <v>46313</v>
      </c>
      <c r="AD424" s="4">
        <v>92</v>
      </c>
      <c r="AE424" s="18">
        <f>(IF(K424&gt;0,K424+R424,R424)-(AD424*Ventas!AE421*1.0489))</f>
        <v>0</v>
      </c>
      <c r="AF424" s="3"/>
      <c r="AG424" s="22">
        <f t="shared" si="159"/>
        <v>0</v>
      </c>
      <c r="AH424" s="14"/>
      <c r="AI424" s="25">
        <f t="shared" si="148"/>
        <v>0</v>
      </c>
      <c r="AJ424" s="16"/>
      <c r="AK424" s="12">
        <f t="shared" si="149"/>
        <v>0</v>
      </c>
      <c r="AL424" s="19">
        <f t="shared" si="150"/>
        <v>0</v>
      </c>
      <c r="AM424" s="18">
        <f>(180*(Ventas!AE421*0.9644) - IF(AE424&gt;0,AE424,0))</f>
        <v>0</v>
      </c>
      <c r="AN424" s="18">
        <f t="shared" si="160"/>
        <v>0</v>
      </c>
      <c r="AO424" s="14"/>
      <c r="AP424" s="14">
        <f t="shared" si="161"/>
        <v>0</v>
      </c>
      <c r="AQ424" s="16">
        <f t="shared" si="152"/>
        <v>0</v>
      </c>
      <c r="AR424" s="37">
        <f>_xlfn.XLOOKUP(C424,[1]Hoja2!$C$6:$C$24,[1]Hoja2!$D$6:$D$24,0,2,1)</f>
        <v>0</v>
      </c>
      <c r="AS424" s="18">
        <f t="shared" si="153"/>
        <v>0</v>
      </c>
      <c r="AT424" s="14"/>
      <c r="AU424" s="37">
        <f>_xlfn.XLOOKUP(D424,[1]Hoja2!$E$6:$E$24,[1]Hoja2!$F$6:$F$24,0,2,1)</f>
        <v>0</v>
      </c>
      <c r="AV424" s="3">
        <v>0</v>
      </c>
      <c r="AW424" s="3"/>
      <c r="AX424" s="14">
        <v>0</v>
      </c>
      <c r="AY424" s="14"/>
      <c r="AZ424" s="16">
        <f>_xlfn.XLOOKUP(C424,[2]PI!$B$15:$B$99,[2]PI!$L$15:$L$99,0,2,1)</f>
        <v>0</v>
      </c>
      <c r="BA424" s="16">
        <f>_xlfn.XLOOKUP(D424,[2]PI!$B$15:$B$99,[2]PI!$L$15:$L$99,0,2,1)</f>
        <v>0</v>
      </c>
      <c r="BB424" s="3"/>
      <c r="BC424" s="3"/>
      <c r="BD424" s="14"/>
      <c r="BE424" s="14"/>
      <c r="BF424" s="16"/>
      <c r="BG424" s="16"/>
      <c r="BH424" s="12">
        <f t="shared" si="154"/>
        <v>0</v>
      </c>
      <c r="BI424" s="19">
        <f t="shared" si="155"/>
        <v>0</v>
      </c>
      <c r="BJ424" s="1" t="s">
        <v>35</v>
      </c>
      <c r="BK424">
        <f t="shared" si="156"/>
        <v>0</v>
      </c>
      <c r="BL424">
        <f t="shared" si="157"/>
        <v>0</v>
      </c>
    </row>
    <row r="425" spans="1:64" x14ac:dyDescent="0.25">
      <c r="A425" s="1" t="s">
        <v>1277</v>
      </c>
      <c r="B425" s="1" t="s">
        <v>1276</v>
      </c>
      <c r="C425" s="13" t="s">
        <v>1275</v>
      </c>
      <c r="D425" s="15"/>
      <c r="E425" s="17"/>
      <c r="F425" s="3"/>
      <c r="G425" s="14"/>
      <c r="H425" s="16"/>
      <c r="I425" s="11">
        <v>46221</v>
      </c>
      <c r="J425" s="4">
        <v>17</v>
      </c>
      <c r="K425" s="18">
        <f>(F425-(0)+0-(J425*Ventas!AE422*1))</f>
        <v>0</v>
      </c>
      <c r="L425" s="3"/>
      <c r="M425" s="22">
        <f t="shared" si="158"/>
        <v>0</v>
      </c>
      <c r="N425" s="14"/>
      <c r="O425" s="25">
        <f t="shared" si="143"/>
        <v>0</v>
      </c>
      <c r="P425" s="16"/>
      <c r="Q425" s="12">
        <f t="shared" si="144"/>
        <v>0</v>
      </c>
      <c r="R425" s="5">
        <v>0</v>
      </c>
      <c r="S425" s="24">
        <v>0</v>
      </c>
      <c r="T425" s="26">
        <v>0</v>
      </c>
      <c r="U425" s="18">
        <f t="shared" si="145"/>
        <v>0</v>
      </c>
      <c r="V425" s="22">
        <f t="shared" si="146"/>
        <v>0</v>
      </c>
      <c r="W425" s="25">
        <f t="shared" si="147"/>
        <v>0</v>
      </c>
      <c r="X425" s="3"/>
      <c r="Y425" s="14"/>
      <c r="Z425" s="14"/>
      <c r="AA425" s="3"/>
      <c r="AB425" s="3">
        <v>6.783E-3</v>
      </c>
      <c r="AC425" s="11">
        <v>46313</v>
      </c>
      <c r="AD425" s="4">
        <v>92</v>
      </c>
      <c r="AE425" s="18">
        <f>(IF(K425&gt;0,K425+R425,R425)-(AD425*Ventas!AE422*1.0489))</f>
        <v>0</v>
      </c>
      <c r="AF425" s="3"/>
      <c r="AG425" s="22">
        <f t="shared" si="159"/>
        <v>0</v>
      </c>
      <c r="AH425" s="14"/>
      <c r="AI425" s="25">
        <f t="shared" si="148"/>
        <v>0</v>
      </c>
      <c r="AJ425" s="16"/>
      <c r="AK425" s="12">
        <f t="shared" si="149"/>
        <v>0</v>
      </c>
      <c r="AL425" s="19">
        <f t="shared" si="150"/>
        <v>0</v>
      </c>
      <c r="AM425" s="18">
        <f>(180*(Ventas!AE422*0.9644) - IF(AE425&gt;0,AE425,0))</f>
        <v>0</v>
      </c>
      <c r="AN425" s="18">
        <f t="shared" si="160"/>
        <v>0</v>
      </c>
      <c r="AO425" s="14"/>
      <c r="AP425" s="14">
        <f t="shared" si="161"/>
        <v>0</v>
      </c>
      <c r="AQ425" s="16">
        <f t="shared" si="152"/>
        <v>0</v>
      </c>
      <c r="AR425" s="37">
        <f>_xlfn.XLOOKUP(C425,[1]Hoja2!$C$6:$C$24,[1]Hoja2!$D$6:$D$24,0,2,1)</f>
        <v>0</v>
      </c>
      <c r="AS425" s="18">
        <f t="shared" si="153"/>
        <v>0</v>
      </c>
      <c r="AT425" s="14"/>
      <c r="AU425" s="37">
        <f>_xlfn.XLOOKUP(D425,[1]Hoja2!$E$6:$E$24,[1]Hoja2!$F$6:$F$24,0,2,1)</f>
        <v>0</v>
      </c>
      <c r="AV425" s="3">
        <v>0</v>
      </c>
      <c r="AW425" s="3"/>
      <c r="AX425" s="14">
        <v>0</v>
      </c>
      <c r="AY425" s="14"/>
      <c r="AZ425" s="16">
        <f>_xlfn.XLOOKUP(C425,[2]PI!$B$15:$B$99,[2]PI!$L$15:$L$99,0,2,1)</f>
        <v>0</v>
      </c>
      <c r="BA425" s="16">
        <f>_xlfn.XLOOKUP(D425,[2]PI!$B$15:$B$99,[2]PI!$L$15:$L$99,0,2,1)</f>
        <v>0</v>
      </c>
      <c r="BB425" s="3"/>
      <c r="BC425" s="3"/>
      <c r="BD425" s="14"/>
      <c r="BE425" s="14"/>
      <c r="BF425" s="16"/>
      <c r="BG425" s="16"/>
      <c r="BH425" s="12">
        <f t="shared" si="154"/>
        <v>0</v>
      </c>
      <c r="BI425" s="19">
        <f t="shared" si="155"/>
        <v>0</v>
      </c>
      <c r="BJ425" s="1" t="s">
        <v>35</v>
      </c>
      <c r="BK425">
        <f t="shared" si="156"/>
        <v>0</v>
      </c>
      <c r="BL425">
        <f t="shared" si="157"/>
        <v>0</v>
      </c>
    </row>
    <row r="426" spans="1:64" x14ac:dyDescent="0.25">
      <c r="A426" s="1" t="s">
        <v>1280</v>
      </c>
      <c r="B426" s="1" t="s">
        <v>1279</v>
      </c>
      <c r="C426" s="13" t="s">
        <v>1278</v>
      </c>
      <c r="D426" s="15"/>
      <c r="E426" s="17"/>
      <c r="F426" s="3"/>
      <c r="G426" s="14"/>
      <c r="H426" s="16"/>
      <c r="I426" s="11">
        <v>46221</v>
      </c>
      <c r="J426" s="4">
        <v>17</v>
      </c>
      <c r="K426" s="18">
        <f>(F426-(0)+0-(J426*Ventas!AE423*1))</f>
        <v>0</v>
      </c>
      <c r="L426" s="3"/>
      <c r="M426" s="22">
        <f t="shared" si="158"/>
        <v>0</v>
      </c>
      <c r="N426" s="14"/>
      <c r="O426" s="25">
        <f t="shared" si="143"/>
        <v>0</v>
      </c>
      <c r="P426" s="16"/>
      <c r="Q426" s="12">
        <f t="shared" si="144"/>
        <v>0</v>
      </c>
      <c r="R426" s="5">
        <v>0</v>
      </c>
      <c r="S426" s="24">
        <v>0</v>
      </c>
      <c r="T426" s="26">
        <v>0</v>
      </c>
      <c r="U426" s="18">
        <f t="shared" si="145"/>
        <v>0</v>
      </c>
      <c r="V426" s="22">
        <f t="shared" si="146"/>
        <v>0</v>
      </c>
      <c r="W426" s="25">
        <f t="shared" si="147"/>
        <v>0</v>
      </c>
      <c r="X426" s="3"/>
      <c r="Y426" s="14"/>
      <c r="Z426" s="14"/>
      <c r="AA426" s="3"/>
      <c r="AB426" s="3">
        <v>6.783E-3</v>
      </c>
      <c r="AC426" s="11">
        <v>46313</v>
      </c>
      <c r="AD426" s="4">
        <v>92</v>
      </c>
      <c r="AE426" s="18">
        <f>(IF(K426&gt;0,K426+R426,R426)-(AD426*Ventas!AE423*1.0489))</f>
        <v>0</v>
      </c>
      <c r="AF426" s="3"/>
      <c r="AG426" s="22">
        <f t="shared" si="159"/>
        <v>0</v>
      </c>
      <c r="AH426" s="14"/>
      <c r="AI426" s="25">
        <f t="shared" si="148"/>
        <v>0</v>
      </c>
      <c r="AJ426" s="16"/>
      <c r="AK426" s="12">
        <f t="shared" si="149"/>
        <v>0</v>
      </c>
      <c r="AL426" s="19">
        <f t="shared" si="150"/>
        <v>0</v>
      </c>
      <c r="AM426" s="18">
        <f>(180*(Ventas!AE423*0.9644) - IF(AE426&gt;0,AE426,0))</f>
        <v>0</v>
      </c>
      <c r="AN426" s="18">
        <f t="shared" si="160"/>
        <v>0</v>
      </c>
      <c r="AO426" s="14"/>
      <c r="AP426" s="14">
        <f t="shared" si="161"/>
        <v>0</v>
      </c>
      <c r="AQ426" s="16">
        <f t="shared" si="152"/>
        <v>0</v>
      </c>
      <c r="AR426" s="37">
        <f>_xlfn.XLOOKUP(C426,[1]Hoja2!$C$6:$C$24,[1]Hoja2!$D$6:$D$24,0,2,1)</f>
        <v>0</v>
      </c>
      <c r="AS426" s="18">
        <f t="shared" si="153"/>
        <v>0</v>
      </c>
      <c r="AT426" s="14"/>
      <c r="AU426" s="37">
        <f>_xlfn.XLOOKUP(D426,[1]Hoja2!$E$6:$E$24,[1]Hoja2!$F$6:$F$24,0,2,1)</f>
        <v>0</v>
      </c>
      <c r="AV426" s="3">
        <v>0</v>
      </c>
      <c r="AW426" s="3"/>
      <c r="AX426" s="14">
        <v>0</v>
      </c>
      <c r="AY426" s="14"/>
      <c r="AZ426" s="16">
        <f>_xlfn.XLOOKUP(C426,[2]PI!$B$15:$B$99,[2]PI!$L$15:$L$99,0,2,1)</f>
        <v>0</v>
      </c>
      <c r="BA426" s="16">
        <f>_xlfn.XLOOKUP(D426,[2]PI!$B$15:$B$99,[2]PI!$L$15:$L$99,0,2,1)</f>
        <v>0</v>
      </c>
      <c r="BB426" s="3"/>
      <c r="BC426" s="3"/>
      <c r="BD426" s="14"/>
      <c r="BE426" s="14"/>
      <c r="BF426" s="16"/>
      <c r="BG426" s="16"/>
      <c r="BH426" s="12">
        <f t="shared" si="154"/>
        <v>0</v>
      </c>
      <c r="BI426" s="19">
        <f t="shared" si="155"/>
        <v>0</v>
      </c>
      <c r="BJ426" s="1" t="s">
        <v>35</v>
      </c>
      <c r="BK426">
        <f t="shared" si="156"/>
        <v>0</v>
      </c>
      <c r="BL426">
        <f t="shared" si="157"/>
        <v>0</v>
      </c>
    </row>
    <row r="427" spans="1:64" x14ac:dyDescent="0.25">
      <c r="A427" s="1" t="s">
        <v>1283</v>
      </c>
      <c r="B427" s="1" t="s">
        <v>1282</v>
      </c>
      <c r="C427" s="13" t="s">
        <v>1281</v>
      </c>
      <c r="D427" s="15"/>
      <c r="E427" s="17"/>
      <c r="F427" s="5">
        <v>1</v>
      </c>
      <c r="G427" s="14"/>
      <c r="H427" s="16"/>
      <c r="I427" s="11">
        <v>46221</v>
      </c>
      <c r="J427" s="4">
        <v>17</v>
      </c>
      <c r="K427" s="18">
        <f>(F427-(0)+0-(J427*Ventas!AE424*1))</f>
        <v>1</v>
      </c>
      <c r="L427" s="3"/>
      <c r="M427" s="22">
        <f t="shared" si="158"/>
        <v>0</v>
      </c>
      <c r="N427" s="14"/>
      <c r="O427" s="25">
        <f t="shared" si="143"/>
        <v>0</v>
      </c>
      <c r="P427" s="16"/>
      <c r="Q427" s="12">
        <f t="shared" si="144"/>
        <v>1</v>
      </c>
      <c r="R427" s="5">
        <v>0</v>
      </c>
      <c r="S427" s="24">
        <v>0</v>
      </c>
      <c r="T427" s="26">
        <v>0</v>
      </c>
      <c r="U427" s="18">
        <f t="shared" si="145"/>
        <v>1</v>
      </c>
      <c r="V427" s="22">
        <f t="shared" si="146"/>
        <v>0</v>
      </c>
      <c r="W427" s="25">
        <f t="shared" si="147"/>
        <v>0</v>
      </c>
      <c r="X427" s="3"/>
      <c r="Y427" s="14"/>
      <c r="Z427" s="14"/>
      <c r="AA427" s="3"/>
      <c r="AB427" s="3">
        <v>6.783E-3</v>
      </c>
      <c r="AC427" s="11">
        <v>46313</v>
      </c>
      <c r="AD427" s="4">
        <v>92</v>
      </c>
      <c r="AE427" s="18">
        <f>(IF(K427&gt;0,K427+R427,R427)-(AD427*Ventas!AE424*1.0489))</f>
        <v>1</v>
      </c>
      <c r="AF427" s="3"/>
      <c r="AG427" s="22">
        <f t="shared" si="159"/>
        <v>0</v>
      </c>
      <c r="AH427" s="14"/>
      <c r="AI427" s="25">
        <f t="shared" si="148"/>
        <v>0</v>
      </c>
      <c r="AJ427" s="16"/>
      <c r="AK427" s="12">
        <f t="shared" si="149"/>
        <v>1</v>
      </c>
      <c r="AL427" s="19">
        <f t="shared" si="150"/>
        <v>0</v>
      </c>
      <c r="AM427" s="18">
        <f>(180*(Ventas!AE424*0.9644) - IF(AE427&gt;0,AE427,0))</f>
        <v>-1</v>
      </c>
      <c r="AN427" s="18">
        <f t="shared" si="160"/>
        <v>0</v>
      </c>
      <c r="AO427" s="14"/>
      <c r="AP427" s="14">
        <f t="shared" si="161"/>
        <v>0</v>
      </c>
      <c r="AQ427" s="16">
        <f t="shared" si="152"/>
        <v>0</v>
      </c>
      <c r="AR427" s="37">
        <f>_xlfn.XLOOKUP(C427,[1]Hoja2!$C$6:$C$24,[1]Hoja2!$D$6:$D$24,0,2,1)</f>
        <v>0</v>
      </c>
      <c r="AS427" s="18">
        <f t="shared" si="153"/>
        <v>1</v>
      </c>
      <c r="AT427" s="14"/>
      <c r="AU427" s="37">
        <f>_xlfn.XLOOKUP(D427,[1]Hoja2!$E$6:$E$24,[1]Hoja2!$F$6:$F$24,0,2,1)</f>
        <v>0</v>
      </c>
      <c r="AV427" s="3">
        <v>0</v>
      </c>
      <c r="AW427" s="3"/>
      <c r="AX427" s="14">
        <v>0</v>
      </c>
      <c r="AY427" s="14"/>
      <c r="AZ427" s="16">
        <f>_xlfn.XLOOKUP(C427,[2]PI!$B$15:$B$99,[2]PI!$L$15:$L$99,0,2,1)</f>
        <v>0</v>
      </c>
      <c r="BA427" s="16">
        <f>_xlfn.XLOOKUP(D427,[2]PI!$B$15:$B$99,[2]PI!$L$15:$L$99,0,2,1)</f>
        <v>0</v>
      </c>
      <c r="BB427" s="3"/>
      <c r="BC427" s="3"/>
      <c r="BD427" s="14"/>
      <c r="BE427" s="14"/>
      <c r="BF427" s="16"/>
      <c r="BG427" s="16"/>
      <c r="BH427" s="12">
        <f t="shared" si="154"/>
        <v>0</v>
      </c>
      <c r="BI427" s="19">
        <f t="shared" si="155"/>
        <v>0</v>
      </c>
      <c r="BJ427" s="1" t="s">
        <v>35</v>
      </c>
      <c r="BK427">
        <f t="shared" si="156"/>
        <v>0</v>
      </c>
      <c r="BL427">
        <f t="shared" si="157"/>
        <v>0</v>
      </c>
    </row>
    <row r="428" spans="1:64" x14ac:dyDescent="0.25">
      <c r="A428" s="1" t="s">
        <v>1286</v>
      </c>
      <c r="B428" s="1" t="s">
        <v>1285</v>
      </c>
      <c r="C428" s="13" t="s">
        <v>1284</v>
      </c>
      <c r="D428" s="15"/>
      <c r="E428" s="17"/>
      <c r="F428" s="3"/>
      <c r="G428" s="14"/>
      <c r="H428" s="16"/>
      <c r="I428" s="11">
        <v>46221</v>
      </c>
      <c r="J428" s="4">
        <v>17</v>
      </c>
      <c r="K428" s="18">
        <f>(F428-(0)+0-(J428*Ventas!AE425*1))</f>
        <v>0</v>
      </c>
      <c r="L428" s="3"/>
      <c r="M428" s="22">
        <f t="shared" si="158"/>
        <v>0</v>
      </c>
      <c r="N428" s="14"/>
      <c r="O428" s="25">
        <f t="shared" si="143"/>
        <v>0</v>
      </c>
      <c r="P428" s="16"/>
      <c r="Q428" s="12">
        <f t="shared" si="144"/>
        <v>0</v>
      </c>
      <c r="R428" s="5">
        <v>0</v>
      </c>
      <c r="S428" s="24">
        <v>0</v>
      </c>
      <c r="T428" s="26">
        <v>0</v>
      </c>
      <c r="U428" s="18">
        <f t="shared" si="145"/>
        <v>0</v>
      </c>
      <c r="V428" s="22">
        <f t="shared" si="146"/>
        <v>0</v>
      </c>
      <c r="W428" s="25">
        <f t="shared" si="147"/>
        <v>0</v>
      </c>
      <c r="X428" s="3"/>
      <c r="Y428" s="14"/>
      <c r="Z428" s="14"/>
      <c r="AA428" s="3"/>
      <c r="AB428" s="3">
        <v>6.783E-3</v>
      </c>
      <c r="AC428" s="11">
        <v>46313</v>
      </c>
      <c r="AD428" s="4">
        <v>92</v>
      </c>
      <c r="AE428" s="18">
        <f>(IF(K428&gt;0,K428+R428,R428)-(AD428*Ventas!AE425*1.0489))</f>
        <v>0</v>
      </c>
      <c r="AF428" s="3"/>
      <c r="AG428" s="22">
        <f t="shared" si="159"/>
        <v>0</v>
      </c>
      <c r="AH428" s="14"/>
      <c r="AI428" s="25">
        <f t="shared" si="148"/>
        <v>0</v>
      </c>
      <c r="AJ428" s="16"/>
      <c r="AK428" s="12">
        <f t="shared" si="149"/>
        <v>0</v>
      </c>
      <c r="AL428" s="19">
        <f t="shared" si="150"/>
        <v>0</v>
      </c>
      <c r="AM428" s="18">
        <f>(180*(Ventas!AE425*0.9644) - IF(AE428&gt;0,AE428,0))</f>
        <v>0</v>
      </c>
      <c r="AN428" s="18">
        <f t="shared" si="160"/>
        <v>0</v>
      </c>
      <c r="AO428" s="14"/>
      <c r="AP428" s="14">
        <f t="shared" si="161"/>
        <v>0</v>
      </c>
      <c r="AQ428" s="16">
        <f t="shared" si="152"/>
        <v>0</v>
      </c>
      <c r="AR428" s="37">
        <f>_xlfn.XLOOKUP(C428,[1]Hoja2!$C$6:$C$24,[1]Hoja2!$D$6:$D$24,0,2,1)</f>
        <v>0</v>
      </c>
      <c r="AS428" s="18">
        <f t="shared" si="153"/>
        <v>0</v>
      </c>
      <c r="AT428" s="14"/>
      <c r="AU428" s="37">
        <f>_xlfn.XLOOKUP(D428,[1]Hoja2!$E$6:$E$24,[1]Hoja2!$F$6:$F$24,0,2,1)</f>
        <v>0</v>
      </c>
      <c r="AV428" s="3">
        <v>0</v>
      </c>
      <c r="AW428" s="3"/>
      <c r="AX428" s="14">
        <v>0</v>
      </c>
      <c r="AY428" s="14"/>
      <c r="AZ428" s="16">
        <f>_xlfn.XLOOKUP(C428,[2]PI!$B$15:$B$99,[2]PI!$L$15:$L$99,0,2,1)</f>
        <v>0</v>
      </c>
      <c r="BA428" s="16">
        <f>_xlfn.XLOOKUP(D428,[2]PI!$B$15:$B$99,[2]PI!$L$15:$L$99,0,2,1)</f>
        <v>0</v>
      </c>
      <c r="BB428" s="3"/>
      <c r="BC428" s="3"/>
      <c r="BD428" s="14"/>
      <c r="BE428" s="14"/>
      <c r="BF428" s="16"/>
      <c r="BG428" s="16"/>
      <c r="BH428" s="12">
        <f t="shared" si="154"/>
        <v>0</v>
      </c>
      <c r="BI428" s="19">
        <f t="shared" si="155"/>
        <v>0</v>
      </c>
      <c r="BJ428" s="1" t="s">
        <v>35</v>
      </c>
      <c r="BK428">
        <f t="shared" si="156"/>
        <v>0</v>
      </c>
      <c r="BL428">
        <f t="shared" si="157"/>
        <v>0</v>
      </c>
    </row>
    <row r="429" spans="1:64" x14ac:dyDescent="0.25">
      <c r="A429" s="1" t="s">
        <v>1289</v>
      </c>
      <c r="B429" s="1" t="s">
        <v>1288</v>
      </c>
      <c r="C429" s="13" t="s">
        <v>1287</v>
      </c>
      <c r="D429" s="15"/>
      <c r="E429" s="17"/>
      <c r="F429" s="3"/>
      <c r="G429" s="14"/>
      <c r="H429" s="16"/>
      <c r="I429" s="11">
        <v>46221</v>
      </c>
      <c r="J429" s="4">
        <v>17</v>
      </c>
      <c r="K429" s="18">
        <f>(F429-(0)+0-(J429*Ventas!AE426*1))</f>
        <v>0</v>
      </c>
      <c r="L429" s="3"/>
      <c r="M429" s="22">
        <f t="shared" si="158"/>
        <v>0</v>
      </c>
      <c r="N429" s="14"/>
      <c r="O429" s="25">
        <f t="shared" si="143"/>
        <v>0</v>
      </c>
      <c r="P429" s="16"/>
      <c r="Q429" s="12">
        <f t="shared" si="144"/>
        <v>0</v>
      </c>
      <c r="R429" s="5">
        <v>0</v>
      </c>
      <c r="S429" s="24">
        <v>0</v>
      </c>
      <c r="T429" s="26">
        <v>0</v>
      </c>
      <c r="U429" s="18">
        <f t="shared" si="145"/>
        <v>0</v>
      </c>
      <c r="V429" s="22">
        <f t="shared" si="146"/>
        <v>0</v>
      </c>
      <c r="W429" s="25">
        <f t="shared" si="147"/>
        <v>0</v>
      </c>
      <c r="X429" s="3"/>
      <c r="Y429" s="14"/>
      <c r="Z429" s="14"/>
      <c r="AA429" s="3"/>
      <c r="AB429" s="3">
        <v>6.783E-3</v>
      </c>
      <c r="AC429" s="11">
        <v>46313</v>
      </c>
      <c r="AD429" s="4">
        <v>92</v>
      </c>
      <c r="AE429" s="18">
        <f>(IF(K429&gt;0,K429+R429,R429)-(AD429*Ventas!AE426*1.0489))</f>
        <v>0</v>
      </c>
      <c r="AF429" s="3"/>
      <c r="AG429" s="22">
        <f t="shared" si="159"/>
        <v>0</v>
      </c>
      <c r="AH429" s="14"/>
      <c r="AI429" s="25">
        <f t="shared" si="148"/>
        <v>0</v>
      </c>
      <c r="AJ429" s="16"/>
      <c r="AK429" s="12">
        <f t="shared" si="149"/>
        <v>0</v>
      </c>
      <c r="AL429" s="19">
        <f t="shared" si="150"/>
        <v>0</v>
      </c>
      <c r="AM429" s="18">
        <f>(180*(Ventas!AE426*0.9644) - IF(AE429&gt;0,AE429,0))</f>
        <v>0</v>
      </c>
      <c r="AN429" s="18">
        <f t="shared" si="160"/>
        <v>0</v>
      </c>
      <c r="AO429" s="14"/>
      <c r="AP429" s="14">
        <f t="shared" si="161"/>
        <v>0</v>
      </c>
      <c r="AQ429" s="16">
        <f t="shared" si="152"/>
        <v>0</v>
      </c>
      <c r="AR429" s="37">
        <f>_xlfn.XLOOKUP(C429,[1]Hoja2!$C$6:$C$24,[1]Hoja2!$D$6:$D$24,0,2,1)</f>
        <v>0</v>
      </c>
      <c r="AS429" s="18">
        <f t="shared" si="153"/>
        <v>0</v>
      </c>
      <c r="AT429" s="14"/>
      <c r="AU429" s="37">
        <f>_xlfn.XLOOKUP(D429,[1]Hoja2!$E$6:$E$24,[1]Hoja2!$F$6:$F$24,0,2,1)</f>
        <v>0</v>
      </c>
      <c r="AV429" s="3">
        <v>0</v>
      </c>
      <c r="AW429" s="3"/>
      <c r="AX429" s="14">
        <v>0</v>
      </c>
      <c r="AY429" s="14"/>
      <c r="AZ429" s="16">
        <f>_xlfn.XLOOKUP(C429,[2]PI!$B$15:$B$99,[2]PI!$L$15:$L$99,0,2,1)</f>
        <v>0</v>
      </c>
      <c r="BA429" s="16">
        <f>_xlfn.XLOOKUP(D429,[2]PI!$B$15:$B$99,[2]PI!$L$15:$L$99,0,2,1)</f>
        <v>0</v>
      </c>
      <c r="BB429" s="3"/>
      <c r="BC429" s="3"/>
      <c r="BD429" s="14"/>
      <c r="BE429" s="14"/>
      <c r="BF429" s="16"/>
      <c r="BG429" s="16"/>
      <c r="BH429" s="12">
        <f t="shared" si="154"/>
        <v>0</v>
      </c>
      <c r="BI429" s="19">
        <f t="shared" si="155"/>
        <v>0</v>
      </c>
      <c r="BJ429" s="1" t="s">
        <v>35</v>
      </c>
      <c r="BK429">
        <f t="shared" si="156"/>
        <v>0</v>
      </c>
      <c r="BL429">
        <f t="shared" si="157"/>
        <v>0</v>
      </c>
    </row>
    <row r="430" spans="1:64" x14ac:dyDescent="0.25">
      <c r="A430" s="1" t="s">
        <v>1292</v>
      </c>
      <c r="B430" s="1" t="s">
        <v>1291</v>
      </c>
      <c r="C430" s="13" t="s">
        <v>1290</v>
      </c>
      <c r="D430" s="15"/>
      <c r="E430" s="17"/>
      <c r="F430" s="3"/>
      <c r="G430" s="14"/>
      <c r="H430" s="16"/>
      <c r="I430" s="11">
        <v>46221</v>
      </c>
      <c r="J430" s="4">
        <v>17</v>
      </c>
      <c r="K430" s="18">
        <f>(F430-(0)+0-(J430*Ventas!AE427*1))</f>
        <v>0</v>
      </c>
      <c r="L430" s="3"/>
      <c r="M430" s="22">
        <f t="shared" si="158"/>
        <v>0</v>
      </c>
      <c r="N430" s="14"/>
      <c r="O430" s="25">
        <f t="shared" si="143"/>
        <v>0</v>
      </c>
      <c r="P430" s="16"/>
      <c r="Q430" s="12">
        <f t="shared" si="144"/>
        <v>0</v>
      </c>
      <c r="R430" s="5">
        <v>0</v>
      </c>
      <c r="S430" s="24">
        <v>0</v>
      </c>
      <c r="T430" s="26">
        <v>0</v>
      </c>
      <c r="U430" s="18">
        <f t="shared" si="145"/>
        <v>0</v>
      </c>
      <c r="V430" s="22">
        <f t="shared" si="146"/>
        <v>0</v>
      </c>
      <c r="W430" s="25">
        <f t="shared" si="147"/>
        <v>0</v>
      </c>
      <c r="X430" s="3"/>
      <c r="Y430" s="14"/>
      <c r="Z430" s="14"/>
      <c r="AA430" s="3"/>
      <c r="AB430" s="3">
        <v>6.783E-3</v>
      </c>
      <c r="AC430" s="11">
        <v>46313</v>
      </c>
      <c r="AD430" s="4">
        <v>92</v>
      </c>
      <c r="AE430" s="18">
        <f>(IF(K430&gt;0,K430+R430,R430)-(AD430*Ventas!AE427*1.0489))</f>
        <v>0</v>
      </c>
      <c r="AF430" s="3"/>
      <c r="AG430" s="22">
        <f t="shared" si="159"/>
        <v>0</v>
      </c>
      <c r="AH430" s="14"/>
      <c r="AI430" s="25">
        <f t="shared" si="148"/>
        <v>0</v>
      </c>
      <c r="AJ430" s="16"/>
      <c r="AK430" s="12">
        <f t="shared" si="149"/>
        <v>0</v>
      </c>
      <c r="AL430" s="19">
        <f t="shared" si="150"/>
        <v>0</v>
      </c>
      <c r="AM430" s="18">
        <f>(180*(Ventas!AE427*0.9644) - IF(AE430&gt;0,AE430,0))</f>
        <v>0</v>
      </c>
      <c r="AN430" s="18">
        <f t="shared" si="160"/>
        <v>0</v>
      </c>
      <c r="AO430" s="14"/>
      <c r="AP430" s="14">
        <f t="shared" si="161"/>
        <v>0</v>
      </c>
      <c r="AQ430" s="16">
        <f t="shared" si="152"/>
        <v>0</v>
      </c>
      <c r="AR430" s="37">
        <f>_xlfn.XLOOKUP(C430,[1]Hoja2!$C$6:$C$24,[1]Hoja2!$D$6:$D$24,0,2,1)</f>
        <v>0</v>
      </c>
      <c r="AS430" s="18">
        <f t="shared" si="153"/>
        <v>0</v>
      </c>
      <c r="AT430" s="14"/>
      <c r="AU430" s="37">
        <f>_xlfn.XLOOKUP(D430,[1]Hoja2!$E$6:$E$24,[1]Hoja2!$F$6:$F$24,0,2,1)</f>
        <v>0</v>
      </c>
      <c r="AV430" s="3">
        <v>0</v>
      </c>
      <c r="AW430" s="3"/>
      <c r="AX430" s="14">
        <v>0</v>
      </c>
      <c r="AY430" s="14"/>
      <c r="AZ430" s="16">
        <f>_xlfn.XLOOKUP(C430,[2]PI!$B$15:$B$99,[2]PI!$L$15:$L$99,0,2,1)</f>
        <v>0</v>
      </c>
      <c r="BA430" s="16">
        <f>_xlfn.XLOOKUP(D430,[2]PI!$B$15:$B$99,[2]PI!$L$15:$L$99,0,2,1)</f>
        <v>0</v>
      </c>
      <c r="BB430" s="3"/>
      <c r="BC430" s="3"/>
      <c r="BD430" s="14"/>
      <c r="BE430" s="14"/>
      <c r="BF430" s="16"/>
      <c r="BG430" s="16"/>
      <c r="BH430" s="12">
        <f t="shared" si="154"/>
        <v>0</v>
      </c>
      <c r="BI430" s="19">
        <f t="shared" si="155"/>
        <v>0</v>
      </c>
      <c r="BJ430" s="1" t="s">
        <v>35</v>
      </c>
      <c r="BK430">
        <f t="shared" si="156"/>
        <v>0</v>
      </c>
      <c r="BL430">
        <f t="shared" si="157"/>
        <v>0</v>
      </c>
    </row>
    <row r="431" spans="1:64" x14ac:dyDescent="0.25">
      <c r="A431" s="1" t="s">
        <v>1295</v>
      </c>
      <c r="B431" s="1" t="s">
        <v>1294</v>
      </c>
      <c r="C431" s="13" t="s">
        <v>1293</v>
      </c>
      <c r="D431" s="15"/>
      <c r="E431" s="17"/>
      <c r="F431" s="3"/>
      <c r="G431" s="14"/>
      <c r="H431" s="16"/>
      <c r="I431" s="11">
        <v>46221</v>
      </c>
      <c r="J431" s="4">
        <v>17</v>
      </c>
      <c r="K431" s="18">
        <f>(F431-(0)+0-(J431*Ventas!AE428*1))</f>
        <v>0</v>
      </c>
      <c r="L431" s="3"/>
      <c r="M431" s="22">
        <f t="shared" si="158"/>
        <v>0</v>
      </c>
      <c r="N431" s="14"/>
      <c r="O431" s="25">
        <f t="shared" si="143"/>
        <v>0</v>
      </c>
      <c r="P431" s="16"/>
      <c r="Q431" s="12">
        <f t="shared" si="144"/>
        <v>0</v>
      </c>
      <c r="R431" s="5">
        <v>0</v>
      </c>
      <c r="S431" s="24">
        <v>0</v>
      </c>
      <c r="T431" s="26">
        <v>0</v>
      </c>
      <c r="U431" s="18">
        <f t="shared" si="145"/>
        <v>0</v>
      </c>
      <c r="V431" s="22">
        <f t="shared" si="146"/>
        <v>0</v>
      </c>
      <c r="W431" s="25">
        <f t="shared" si="147"/>
        <v>0</v>
      </c>
      <c r="X431" s="3"/>
      <c r="Y431" s="14"/>
      <c r="Z431" s="14"/>
      <c r="AA431" s="3"/>
      <c r="AB431" s="3">
        <v>6.783E-3</v>
      </c>
      <c r="AC431" s="11">
        <v>46313</v>
      </c>
      <c r="AD431" s="4">
        <v>92</v>
      </c>
      <c r="AE431" s="18">
        <f>(IF(K431&gt;0,K431+R431,R431)-(AD431*Ventas!AE428*1.0489))</f>
        <v>0</v>
      </c>
      <c r="AF431" s="3"/>
      <c r="AG431" s="22">
        <f t="shared" si="159"/>
        <v>0</v>
      </c>
      <c r="AH431" s="14"/>
      <c r="AI431" s="25">
        <f t="shared" si="148"/>
        <v>0</v>
      </c>
      <c r="AJ431" s="16"/>
      <c r="AK431" s="12">
        <f t="shared" si="149"/>
        <v>0</v>
      </c>
      <c r="AL431" s="19">
        <f t="shared" si="150"/>
        <v>0</v>
      </c>
      <c r="AM431" s="18">
        <f>(180*(Ventas!AE428*0.9644) - IF(AE431&gt;0,AE431,0))</f>
        <v>0</v>
      </c>
      <c r="AN431" s="18">
        <f t="shared" si="160"/>
        <v>0</v>
      </c>
      <c r="AO431" s="14"/>
      <c r="AP431" s="14">
        <f t="shared" si="161"/>
        <v>0</v>
      </c>
      <c r="AQ431" s="16">
        <f t="shared" si="152"/>
        <v>0</v>
      </c>
      <c r="AR431" s="37">
        <f>_xlfn.XLOOKUP(C431,[1]Hoja2!$C$6:$C$24,[1]Hoja2!$D$6:$D$24,0,2,1)</f>
        <v>0</v>
      </c>
      <c r="AS431" s="18">
        <f t="shared" si="153"/>
        <v>0</v>
      </c>
      <c r="AT431" s="14"/>
      <c r="AU431" s="37">
        <f>_xlfn.XLOOKUP(D431,[1]Hoja2!$E$6:$E$24,[1]Hoja2!$F$6:$F$24,0,2,1)</f>
        <v>0</v>
      </c>
      <c r="AV431" s="3">
        <v>0</v>
      </c>
      <c r="AW431" s="3"/>
      <c r="AX431" s="14">
        <v>0</v>
      </c>
      <c r="AY431" s="14"/>
      <c r="AZ431" s="16">
        <f>_xlfn.XLOOKUP(C431,[2]PI!$B$15:$B$99,[2]PI!$L$15:$L$99,0,2,1)</f>
        <v>0</v>
      </c>
      <c r="BA431" s="16">
        <f>_xlfn.XLOOKUP(D431,[2]PI!$B$15:$B$99,[2]PI!$L$15:$L$99,0,2,1)</f>
        <v>0</v>
      </c>
      <c r="BB431" s="3"/>
      <c r="BC431" s="3"/>
      <c r="BD431" s="14"/>
      <c r="BE431" s="14"/>
      <c r="BF431" s="16"/>
      <c r="BG431" s="16"/>
      <c r="BH431" s="12">
        <f t="shared" si="154"/>
        <v>0</v>
      </c>
      <c r="BI431" s="19">
        <f t="shared" si="155"/>
        <v>0</v>
      </c>
      <c r="BJ431" s="1" t="s">
        <v>35</v>
      </c>
      <c r="BK431">
        <f t="shared" si="156"/>
        <v>0</v>
      </c>
      <c r="BL431">
        <f t="shared" si="157"/>
        <v>0</v>
      </c>
    </row>
    <row r="432" spans="1:64" x14ac:dyDescent="0.25">
      <c r="A432" s="1" t="s">
        <v>1298</v>
      </c>
      <c r="B432" s="1" t="s">
        <v>1297</v>
      </c>
      <c r="C432" s="13" t="s">
        <v>1296</v>
      </c>
      <c r="D432" s="15"/>
      <c r="E432" s="17"/>
      <c r="F432" s="3"/>
      <c r="G432" s="14"/>
      <c r="H432" s="16"/>
      <c r="I432" s="11">
        <v>46221</v>
      </c>
      <c r="J432" s="4">
        <v>17</v>
      </c>
      <c r="K432" s="18">
        <f>(F432-(0)+0-(J432*Ventas!AE429*1))</f>
        <v>0</v>
      </c>
      <c r="L432" s="3"/>
      <c r="M432" s="22">
        <f t="shared" si="158"/>
        <v>0</v>
      </c>
      <c r="N432" s="14"/>
      <c r="O432" s="25">
        <f t="shared" si="143"/>
        <v>0</v>
      </c>
      <c r="P432" s="16"/>
      <c r="Q432" s="12">
        <f t="shared" si="144"/>
        <v>0</v>
      </c>
      <c r="R432" s="5">
        <v>0</v>
      </c>
      <c r="S432" s="24">
        <v>0</v>
      </c>
      <c r="T432" s="26">
        <v>0</v>
      </c>
      <c r="U432" s="18">
        <f t="shared" si="145"/>
        <v>0</v>
      </c>
      <c r="V432" s="22">
        <f t="shared" si="146"/>
        <v>0</v>
      </c>
      <c r="W432" s="25">
        <f t="shared" si="147"/>
        <v>0</v>
      </c>
      <c r="X432" s="3"/>
      <c r="Y432" s="14"/>
      <c r="Z432" s="14"/>
      <c r="AA432" s="3"/>
      <c r="AB432" s="3">
        <v>6.783E-3</v>
      </c>
      <c r="AC432" s="11">
        <v>46313</v>
      </c>
      <c r="AD432" s="4">
        <v>92</v>
      </c>
      <c r="AE432" s="18">
        <f>(IF(K432&gt;0,K432+R432,R432)-(AD432*Ventas!AE429*1.0489))</f>
        <v>0</v>
      </c>
      <c r="AF432" s="3"/>
      <c r="AG432" s="22">
        <f t="shared" si="159"/>
        <v>0</v>
      </c>
      <c r="AH432" s="14"/>
      <c r="AI432" s="25">
        <f t="shared" si="148"/>
        <v>0</v>
      </c>
      <c r="AJ432" s="16"/>
      <c r="AK432" s="12">
        <f t="shared" si="149"/>
        <v>0</v>
      </c>
      <c r="AL432" s="19">
        <f t="shared" si="150"/>
        <v>0</v>
      </c>
      <c r="AM432" s="18">
        <f>(180*(Ventas!AE429*0.9644) - IF(AE432&gt;0,AE432,0))</f>
        <v>0</v>
      </c>
      <c r="AN432" s="18">
        <f t="shared" si="160"/>
        <v>0</v>
      </c>
      <c r="AO432" s="14"/>
      <c r="AP432" s="14">
        <f t="shared" si="161"/>
        <v>0</v>
      </c>
      <c r="AQ432" s="16">
        <f t="shared" si="152"/>
        <v>0</v>
      </c>
      <c r="AR432" s="37">
        <f>_xlfn.XLOOKUP(C432,[1]Hoja2!$C$6:$C$24,[1]Hoja2!$D$6:$D$24,0,2,1)</f>
        <v>0</v>
      </c>
      <c r="AS432" s="18">
        <f t="shared" si="153"/>
        <v>0</v>
      </c>
      <c r="AT432" s="14"/>
      <c r="AU432" s="37">
        <f>_xlfn.XLOOKUP(D432,[1]Hoja2!$E$6:$E$24,[1]Hoja2!$F$6:$F$24,0,2,1)</f>
        <v>0</v>
      </c>
      <c r="AV432" s="3">
        <v>0</v>
      </c>
      <c r="AW432" s="3"/>
      <c r="AX432" s="14">
        <v>0</v>
      </c>
      <c r="AY432" s="14"/>
      <c r="AZ432" s="16">
        <f>_xlfn.XLOOKUP(C432,[2]PI!$B$15:$B$99,[2]PI!$L$15:$L$99,0,2,1)</f>
        <v>0</v>
      </c>
      <c r="BA432" s="16">
        <f>_xlfn.XLOOKUP(D432,[2]PI!$B$15:$B$99,[2]PI!$L$15:$L$99,0,2,1)</f>
        <v>0</v>
      </c>
      <c r="BB432" s="3"/>
      <c r="BC432" s="3"/>
      <c r="BD432" s="14"/>
      <c r="BE432" s="14"/>
      <c r="BF432" s="16"/>
      <c r="BG432" s="16"/>
      <c r="BH432" s="12">
        <f t="shared" si="154"/>
        <v>0</v>
      </c>
      <c r="BI432" s="19">
        <f t="shared" si="155"/>
        <v>0</v>
      </c>
      <c r="BJ432" s="1" t="s">
        <v>35</v>
      </c>
      <c r="BK432">
        <f t="shared" si="156"/>
        <v>0</v>
      </c>
      <c r="BL432">
        <f t="shared" si="157"/>
        <v>0</v>
      </c>
    </row>
    <row r="433" spans="1:64" x14ac:dyDescent="0.25">
      <c r="A433" s="1" t="s">
        <v>1301</v>
      </c>
      <c r="B433" s="1" t="s">
        <v>1300</v>
      </c>
      <c r="C433" s="13" t="s">
        <v>1299</v>
      </c>
      <c r="D433" s="15"/>
      <c r="E433" s="17"/>
      <c r="F433" s="3"/>
      <c r="G433" s="14"/>
      <c r="H433" s="16"/>
      <c r="I433" s="11">
        <v>46221</v>
      </c>
      <c r="J433" s="4">
        <v>17</v>
      </c>
      <c r="K433" s="18">
        <f>(F433-(0)+0-(J433*Ventas!AE430*1))</f>
        <v>0</v>
      </c>
      <c r="L433" s="3"/>
      <c r="M433" s="22">
        <f t="shared" si="158"/>
        <v>0</v>
      </c>
      <c r="N433" s="14"/>
      <c r="O433" s="25">
        <f t="shared" si="143"/>
        <v>0</v>
      </c>
      <c r="P433" s="16"/>
      <c r="Q433" s="12">
        <f t="shared" si="144"/>
        <v>0</v>
      </c>
      <c r="R433" s="5">
        <v>0</v>
      </c>
      <c r="S433" s="24">
        <v>0</v>
      </c>
      <c r="T433" s="26">
        <v>0</v>
      </c>
      <c r="U433" s="18">
        <f t="shared" si="145"/>
        <v>0</v>
      </c>
      <c r="V433" s="22">
        <f t="shared" si="146"/>
        <v>0</v>
      </c>
      <c r="W433" s="25">
        <f t="shared" si="147"/>
        <v>0</v>
      </c>
      <c r="X433" s="3"/>
      <c r="Y433" s="14"/>
      <c r="Z433" s="14"/>
      <c r="AA433" s="3"/>
      <c r="AB433" s="3">
        <v>6.783E-3</v>
      </c>
      <c r="AC433" s="11">
        <v>46313</v>
      </c>
      <c r="AD433" s="4">
        <v>92</v>
      </c>
      <c r="AE433" s="18">
        <f>(IF(K433&gt;0,K433+R433,R433)-(AD433*Ventas!AE430*1.0489))</f>
        <v>0</v>
      </c>
      <c r="AF433" s="3"/>
      <c r="AG433" s="22">
        <f t="shared" si="159"/>
        <v>0</v>
      </c>
      <c r="AH433" s="14"/>
      <c r="AI433" s="25">
        <f t="shared" si="148"/>
        <v>0</v>
      </c>
      <c r="AJ433" s="16"/>
      <c r="AK433" s="12">
        <f t="shared" si="149"/>
        <v>0</v>
      </c>
      <c r="AL433" s="19">
        <f t="shared" si="150"/>
        <v>0</v>
      </c>
      <c r="AM433" s="18">
        <f>(180*(Ventas!AE430*0.9644) - IF(AE433&gt;0,AE433,0))</f>
        <v>0</v>
      </c>
      <c r="AN433" s="18">
        <f t="shared" si="160"/>
        <v>0</v>
      </c>
      <c r="AO433" s="14"/>
      <c r="AP433" s="14">
        <f t="shared" si="161"/>
        <v>0</v>
      </c>
      <c r="AQ433" s="16">
        <f t="shared" si="152"/>
        <v>0</v>
      </c>
      <c r="AR433" s="37">
        <f>_xlfn.XLOOKUP(C433,[1]Hoja2!$C$6:$C$24,[1]Hoja2!$D$6:$D$24,0,2,1)</f>
        <v>0</v>
      </c>
      <c r="AS433" s="18">
        <f t="shared" si="153"/>
        <v>0</v>
      </c>
      <c r="AT433" s="14"/>
      <c r="AU433" s="37">
        <f>_xlfn.XLOOKUP(D433,[1]Hoja2!$E$6:$E$24,[1]Hoja2!$F$6:$F$24,0,2,1)</f>
        <v>0</v>
      </c>
      <c r="AV433" s="3">
        <v>0</v>
      </c>
      <c r="AW433" s="3"/>
      <c r="AX433" s="14">
        <v>0</v>
      </c>
      <c r="AY433" s="14"/>
      <c r="AZ433" s="16">
        <f>_xlfn.XLOOKUP(C433,[2]PI!$B$15:$B$99,[2]PI!$L$15:$L$99,0,2,1)</f>
        <v>0</v>
      </c>
      <c r="BA433" s="16">
        <f>_xlfn.XLOOKUP(D433,[2]PI!$B$15:$B$99,[2]PI!$L$15:$L$99,0,2,1)</f>
        <v>0</v>
      </c>
      <c r="BB433" s="3"/>
      <c r="BC433" s="3"/>
      <c r="BD433" s="14"/>
      <c r="BE433" s="14"/>
      <c r="BF433" s="16"/>
      <c r="BG433" s="16"/>
      <c r="BH433" s="12">
        <f t="shared" si="154"/>
        <v>0</v>
      </c>
      <c r="BI433" s="19">
        <f t="shared" si="155"/>
        <v>0</v>
      </c>
      <c r="BJ433" s="1" t="s">
        <v>35</v>
      </c>
      <c r="BK433">
        <f t="shared" si="156"/>
        <v>0</v>
      </c>
      <c r="BL433">
        <f t="shared" si="157"/>
        <v>0</v>
      </c>
    </row>
    <row r="434" spans="1:64" x14ac:dyDescent="0.25">
      <c r="A434" s="1" t="s">
        <v>1304</v>
      </c>
      <c r="B434" s="1" t="s">
        <v>1303</v>
      </c>
      <c r="C434" s="13" t="s">
        <v>1302</v>
      </c>
      <c r="D434" s="15"/>
      <c r="E434" s="17"/>
      <c r="F434" s="3"/>
      <c r="G434" s="14"/>
      <c r="H434" s="16"/>
      <c r="I434" s="11">
        <v>46221</v>
      </c>
      <c r="J434" s="4">
        <v>17</v>
      </c>
      <c r="K434" s="18">
        <f>(F434-(0)+0-(J434*Ventas!AE431*1))</f>
        <v>0</v>
      </c>
      <c r="L434" s="3"/>
      <c r="M434" s="22">
        <f t="shared" si="158"/>
        <v>0</v>
      </c>
      <c r="N434" s="14"/>
      <c r="O434" s="25">
        <f t="shared" si="143"/>
        <v>0</v>
      </c>
      <c r="P434" s="16"/>
      <c r="Q434" s="12">
        <f t="shared" si="144"/>
        <v>0</v>
      </c>
      <c r="R434" s="5">
        <v>0</v>
      </c>
      <c r="S434" s="24">
        <v>0</v>
      </c>
      <c r="T434" s="26">
        <v>0</v>
      </c>
      <c r="U434" s="18">
        <f t="shared" si="145"/>
        <v>0</v>
      </c>
      <c r="V434" s="22">
        <f t="shared" si="146"/>
        <v>0</v>
      </c>
      <c r="W434" s="25">
        <f t="shared" si="147"/>
        <v>0</v>
      </c>
      <c r="X434" s="3"/>
      <c r="Y434" s="14"/>
      <c r="Z434" s="14"/>
      <c r="AA434" s="3"/>
      <c r="AB434" s="3">
        <v>6.783E-3</v>
      </c>
      <c r="AC434" s="11">
        <v>46313</v>
      </c>
      <c r="AD434" s="4">
        <v>92</v>
      </c>
      <c r="AE434" s="18">
        <f>(IF(K434&gt;0,K434+R434,R434)-(AD434*Ventas!AE431*1.0489))</f>
        <v>0</v>
      </c>
      <c r="AF434" s="3"/>
      <c r="AG434" s="22">
        <f t="shared" si="159"/>
        <v>0</v>
      </c>
      <c r="AH434" s="14"/>
      <c r="AI434" s="25">
        <f t="shared" si="148"/>
        <v>0</v>
      </c>
      <c r="AJ434" s="16"/>
      <c r="AK434" s="12">
        <f t="shared" si="149"/>
        <v>0</v>
      </c>
      <c r="AL434" s="19">
        <f t="shared" si="150"/>
        <v>0</v>
      </c>
      <c r="AM434" s="18">
        <f>(180*(Ventas!AE431*0.9644) - IF(AE434&gt;0,AE434,0))</f>
        <v>0</v>
      </c>
      <c r="AN434" s="18">
        <f t="shared" si="160"/>
        <v>0</v>
      </c>
      <c r="AO434" s="14"/>
      <c r="AP434" s="14">
        <f t="shared" si="161"/>
        <v>0</v>
      </c>
      <c r="AQ434" s="16">
        <f t="shared" si="152"/>
        <v>0</v>
      </c>
      <c r="AR434" s="37">
        <f>_xlfn.XLOOKUP(C434,[1]Hoja2!$C$6:$C$24,[1]Hoja2!$D$6:$D$24,0,2,1)</f>
        <v>0</v>
      </c>
      <c r="AS434" s="18">
        <f t="shared" si="153"/>
        <v>0</v>
      </c>
      <c r="AT434" s="14"/>
      <c r="AU434" s="37">
        <f>_xlfn.XLOOKUP(D434,[1]Hoja2!$E$6:$E$24,[1]Hoja2!$F$6:$F$24,0,2,1)</f>
        <v>0</v>
      </c>
      <c r="AV434" s="3">
        <v>0</v>
      </c>
      <c r="AW434" s="3"/>
      <c r="AX434" s="14">
        <v>0</v>
      </c>
      <c r="AY434" s="14"/>
      <c r="AZ434" s="16">
        <f>_xlfn.XLOOKUP(C434,[2]PI!$B$15:$B$99,[2]PI!$L$15:$L$99,0,2,1)</f>
        <v>0</v>
      </c>
      <c r="BA434" s="16">
        <f>_xlfn.XLOOKUP(D434,[2]PI!$B$15:$B$99,[2]PI!$L$15:$L$99,0,2,1)</f>
        <v>0</v>
      </c>
      <c r="BB434" s="3"/>
      <c r="BC434" s="3"/>
      <c r="BD434" s="14"/>
      <c r="BE434" s="14"/>
      <c r="BF434" s="16"/>
      <c r="BG434" s="16"/>
      <c r="BH434" s="12">
        <f t="shared" si="154"/>
        <v>0</v>
      </c>
      <c r="BI434" s="19">
        <f t="shared" si="155"/>
        <v>0</v>
      </c>
      <c r="BJ434" s="1" t="s">
        <v>35</v>
      </c>
      <c r="BK434">
        <f t="shared" si="156"/>
        <v>0</v>
      </c>
      <c r="BL434">
        <f t="shared" si="157"/>
        <v>0</v>
      </c>
    </row>
    <row r="435" spans="1:64" x14ac:dyDescent="0.25">
      <c r="A435" s="1" t="s">
        <v>1307</v>
      </c>
      <c r="B435" s="1" t="s">
        <v>1306</v>
      </c>
      <c r="C435" s="13" t="s">
        <v>1305</v>
      </c>
      <c r="D435" s="15"/>
      <c r="E435" s="17"/>
      <c r="F435" s="3"/>
      <c r="G435" s="14"/>
      <c r="H435" s="16"/>
      <c r="I435" s="11">
        <v>46221</v>
      </c>
      <c r="J435" s="4">
        <v>17</v>
      </c>
      <c r="K435" s="18">
        <f>(F435-(0)+0-(J435*Ventas!AE432*1))</f>
        <v>0</v>
      </c>
      <c r="L435" s="3"/>
      <c r="M435" s="22">
        <f t="shared" si="158"/>
        <v>0</v>
      </c>
      <c r="N435" s="14"/>
      <c r="O435" s="25">
        <f t="shared" si="143"/>
        <v>0</v>
      </c>
      <c r="P435" s="16"/>
      <c r="Q435" s="12">
        <f t="shared" si="144"/>
        <v>0</v>
      </c>
      <c r="R435" s="5">
        <v>0</v>
      </c>
      <c r="S435" s="24">
        <v>0</v>
      </c>
      <c r="T435" s="26">
        <v>0</v>
      </c>
      <c r="U435" s="18">
        <f t="shared" si="145"/>
        <v>0</v>
      </c>
      <c r="V435" s="22">
        <f t="shared" si="146"/>
        <v>0</v>
      </c>
      <c r="W435" s="25">
        <f t="shared" si="147"/>
        <v>0</v>
      </c>
      <c r="X435" s="3"/>
      <c r="Y435" s="14"/>
      <c r="Z435" s="14"/>
      <c r="AA435" s="3"/>
      <c r="AB435" s="3">
        <v>6.783E-3</v>
      </c>
      <c r="AC435" s="11">
        <v>46313</v>
      </c>
      <c r="AD435" s="4">
        <v>92</v>
      </c>
      <c r="AE435" s="18">
        <f>(IF(K435&gt;0,K435+R435,R435)-(AD435*Ventas!AE432*1.0489))</f>
        <v>0</v>
      </c>
      <c r="AF435" s="3"/>
      <c r="AG435" s="22">
        <f t="shared" si="159"/>
        <v>0</v>
      </c>
      <c r="AH435" s="14"/>
      <c r="AI435" s="25">
        <f t="shared" si="148"/>
        <v>0</v>
      </c>
      <c r="AJ435" s="16"/>
      <c r="AK435" s="12">
        <f t="shared" si="149"/>
        <v>0</v>
      </c>
      <c r="AL435" s="19">
        <f t="shared" si="150"/>
        <v>0</v>
      </c>
      <c r="AM435" s="18">
        <f>(180*(Ventas!AE432*0.9644) - IF(AE435&gt;0,AE435,0))</f>
        <v>0</v>
      </c>
      <c r="AN435" s="18">
        <f t="shared" si="160"/>
        <v>0</v>
      </c>
      <c r="AO435" s="14"/>
      <c r="AP435" s="14">
        <f t="shared" si="161"/>
        <v>0</v>
      </c>
      <c r="AQ435" s="16">
        <f t="shared" si="152"/>
        <v>0</v>
      </c>
      <c r="AR435" s="37">
        <f>_xlfn.XLOOKUP(C435,[1]Hoja2!$C$6:$C$24,[1]Hoja2!$D$6:$D$24,0,2,1)</f>
        <v>0</v>
      </c>
      <c r="AS435" s="18">
        <f t="shared" si="153"/>
        <v>0</v>
      </c>
      <c r="AT435" s="14"/>
      <c r="AU435" s="37">
        <f>_xlfn.XLOOKUP(D435,[1]Hoja2!$E$6:$E$24,[1]Hoja2!$F$6:$F$24,0,2,1)</f>
        <v>0</v>
      </c>
      <c r="AV435" s="3">
        <v>0</v>
      </c>
      <c r="AW435" s="3"/>
      <c r="AX435" s="14">
        <v>0</v>
      </c>
      <c r="AY435" s="14"/>
      <c r="AZ435" s="16">
        <f>_xlfn.XLOOKUP(C435,[2]PI!$B$15:$B$99,[2]PI!$L$15:$L$99,0,2,1)</f>
        <v>0</v>
      </c>
      <c r="BA435" s="16">
        <f>_xlfn.XLOOKUP(D435,[2]PI!$B$15:$B$99,[2]PI!$L$15:$L$99,0,2,1)</f>
        <v>0</v>
      </c>
      <c r="BB435" s="3"/>
      <c r="BC435" s="3"/>
      <c r="BD435" s="14"/>
      <c r="BE435" s="14"/>
      <c r="BF435" s="16"/>
      <c r="BG435" s="16"/>
      <c r="BH435" s="12">
        <f t="shared" si="154"/>
        <v>0</v>
      </c>
      <c r="BI435" s="19">
        <f t="shared" si="155"/>
        <v>0</v>
      </c>
      <c r="BJ435" s="1" t="s">
        <v>35</v>
      </c>
      <c r="BK435">
        <f t="shared" si="156"/>
        <v>0</v>
      </c>
      <c r="BL435">
        <f t="shared" si="157"/>
        <v>0</v>
      </c>
    </row>
    <row r="436" spans="1:64" x14ac:dyDescent="0.25">
      <c r="A436" s="1" t="s">
        <v>1310</v>
      </c>
      <c r="B436" s="1" t="s">
        <v>1309</v>
      </c>
      <c r="C436" s="13" t="s">
        <v>1308</v>
      </c>
      <c r="D436" s="15"/>
      <c r="E436" s="17"/>
      <c r="F436" s="3"/>
      <c r="G436" s="14"/>
      <c r="H436" s="16"/>
      <c r="I436" s="11">
        <v>46221</v>
      </c>
      <c r="J436" s="4">
        <v>17</v>
      </c>
      <c r="K436" s="18">
        <f>(F436-(0)+0-(J436*Ventas!AE433*1))</f>
        <v>0</v>
      </c>
      <c r="L436" s="3"/>
      <c r="M436" s="22">
        <f t="shared" si="158"/>
        <v>0</v>
      </c>
      <c r="N436" s="14"/>
      <c r="O436" s="25">
        <f t="shared" si="143"/>
        <v>0</v>
      </c>
      <c r="P436" s="16"/>
      <c r="Q436" s="12">
        <f t="shared" si="144"/>
        <v>0</v>
      </c>
      <c r="R436" s="5">
        <v>0</v>
      </c>
      <c r="S436" s="24">
        <v>0</v>
      </c>
      <c r="T436" s="26">
        <v>0</v>
      </c>
      <c r="U436" s="18">
        <f t="shared" si="145"/>
        <v>0</v>
      </c>
      <c r="V436" s="22">
        <f t="shared" si="146"/>
        <v>0</v>
      </c>
      <c r="W436" s="25">
        <f t="shared" si="147"/>
        <v>0</v>
      </c>
      <c r="X436" s="3"/>
      <c r="Y436" s="14"/>
      <c r="Z436" s="14"/>
      <c r="AA436" s="3"/>
      <c r="AB436" s="3">
        <v>6.783E-3</v>
      </c>
      <c r="AC436" s="11">
        <v>46313</v>
      </c>
      <c r="AD436" s="4">
        <v>92</v>
      </c>
      <c r="AE436" s="18">
        <f>(IF(K436&gt;0,K436+R436,R436)-(AD436*Ventas!AE433*1.0489))</f>
        <v>0</v>
      </c>
      <c r="AF436" s="3"/>
      <c r="AG436" s="22">
        <f t="shared" si="159"/>
        <v>0</v>
      </c>
      <c r="AH436" s="14"/>
      <c r="AI436" s="25">
        <f t="shared" si="148"/>
        <v>0</v>
      </c>
      <c r="AJ436" s="16"/>
      <c r="AK436" s="12">
        <f t="shared" si="149"/>
        <v>0</v>
      </c>
      <c r="AL436" s="19">
        <f t="shared" si="150"/>
        <v>0</v>
      </c>
      <c r="AM436" s="18">
        <f>(180*(Ventas!AE433*0.9644) - IF(AE436&gt;0,AE436,0))</f>
        <v>0</v>
      </c>
      <c r="AN436" s="18">
        <f t="shared" si="160"/>
        <v>0</v>
      </c>
      <c r="AO436" s="14"/>
      <c r="AP436" s="14">
        <f t="shared" si="161"/>
        <v>0</v>
      </c>
      <c r="AQ436" s="16">
        <f t="shared" si="152"/>
        <v>0</v>
      </c>
      <c r="AR436" s="37">
        <f>_xlfn.XLOOKUP(C436,[1]Hoja2!$C$6:$C$24,[1]Hoja2!$D$6:$D$24,0,2,1)</f>
        <v>0</v>
      </c>
      <c r="AS436" s="18">
        <f t="shared" si="153"/>
        <v>0</v>
      </c>
      <c r="AT436" s="14"/>
      <c r="AU436" s="37">
        <f>_xlfn.XLOOKUP(D436,[1]Hoja2!$E$6:$E$24,[1]Hoja2!$F$6:$F$24,0,2,1)</f>
        <v>0</v>
      </c>
      <c r="AV436" s="3">
        <v>0</v>
      </c>
      <c r="AW436" s="3"/>
      <c r="AX436" s="14">
        <v>0</v>
      </c>
      <c r="AY436" s="14"/>
      <c r="AZ436" s="16">
        <f>_xlfn.XLOOKUP(C436,[2]PI!$B$15:$B$99,[2]PI!$L$15:$L$99,0,2,1)</f>
        <v>0</v>
      </c>
      <c r="BA436" s="16">
        <f>_xlfn.XLOOKUP(D436,[2]PI!$B$15:$B$99,[2]PI!$L$15:$L$99,0,2,1)</f>
        <v>0</v>
      </c>
      <c r="BB436" s="3"/>
      <c r="BC436" s="3"/>
      <c r="BD436" s="14"/>
      <c r="BE436" s="14"/>
      <c r="BF436" s="16"/>
      <c r="BG436" s="16"/>
      <c r="BH436" s="12">
        <f t="shared" si="154"/>
        <v>0</v>
      </c>
      <c r="BI436" s="19">
        <f t="shared" si="155"/>
        <v>0</v>
      </c>
      <c r="BJ436" s="1" t="s">
        <v>35</v>
      </c>
      <c r="BK436">
        <f t="shared" si="156"/>
        <v>0</v>
      </c>
      <c r="BL436">
        <f t="shared" si="157"/>
        <v>0</v>
      </c>
    </row>
    <row r="437" spans="1:64" x14ac:dyDescent="0.25">
      <c r="A437" s="1" t="s">
        <v>1313</v>
      </c>
      <c r="B437" s="1" t="s">
        <v>1312</v>
      </c>
      <c r="C437" s="13" t="s">
        <v>1311</v>
      </c>
      <c r="D437" s="15"/>
      <c r="E437" s="17"/>
      <c r="F437" s="3"/>
      <c r="G437" s="14"/>
      <c r="H437" s="16"/>
      <c r="I437" s="11">
        <v>46221</v>
      </c>
      <c r="J437" s="4">
        <v>17</v>
      </c>
      <c r="K437" s="18">
        <f>(F437-(0)+0-(J437*Ventas!AE434*1))</f>
        <v>0</v>
      </c>
      <c r="L437" s="3"/>
      <c r="M437" s="22">
        <f t="shared" si="158"/>
        <v>0</v>
      </c>
      <c r="N437" s="14"/>
      <c r="O437" s="25">
        <f t="shared" si="143"/>
        <v>0</v>
      </c>
      <c r="P437" s="16"/>
      <c r="Q437" s="12">
        <f t="shared" si="144"/>
        <v>0</v>
      </c>
      <c r="R437" s="5">
        <v>0</v>
      </c>
      <c r="S437" s="24">
        <v>0</v>
      </c>
      <c r="T437" s="26">
        <v>0</v>
      </c>
      <c r="U437" s="18">
        <f t="shared" si="145"/>
        <v>0</v>
      </c>
      <c r="V437" s="22">
        <f t="shared" si="146"/>
        <v>0</v>
      </c>
      <c r="W437" s="25">
        <f t="shared" si="147"/>
        <v>0</v>
      </c>
      <c r="X437" s="3"/>
      <c r="Y437" s="14"/>
      <c r="Z437" s="14"/>
      <c r="AA437" s="3"/>
      <c r="AB437" s="3">
        <v>6.783E-3</v>
      </c>
      <c r="AC437" s="11">
        <v>46313</v>
      </c>
      <c r="AD437" s="4">
        <v>92</v>
      </c>
      <c r="AE437" s="18">
        <f>(IF(K437&gt;0,K437+R437,R437)-(AD437*Ventas!AE434*1.0489))</f>
        <v>0</v>
      </c>
      <c r="AF437" s="3"/>
      <c r="AG437" s="22">
        <f t="shared" si="159"/>
        <v>0</v>
      </c>
      <c r="AH437" s="14"/>
      <c r="AI437" s="25">
        <f t="shared" si="148"/>
        <v>0</v>
      </c>
      <c r="AJ437" s="16"/>
      <c r="AK437" s="12">
        <f t="shared" si="149"/>
        <v>0</v>
      </c>
      <c r="AL437" s="19">
        <f t="shared" si="150"/>
        <v>0</v>
      </c>
      <c r="AM437" s="18">
        <f>(180*(Ventas!AE434*0.9644) - IF(AE437&gt;0,AE437,0))</f>
        <v>0</v>
      </c>
      <c r="AN437" s="18">
        <f t="shared" si="160"/>
        <v>0</v>
      </c>
      <c r="AO437" s="14"/>
      <c r="AP437" s="14">
        <f t="shared" si="161"/>
        <v>0</v>
      </c>
      <c r="AQ437" s="16">
        <f t="shared" si="152"/>
        <v>0</v>
      </c>
      <c r="AR437" s="37">
        <f>_xlfn.XLOOKUP(C437,[1]Hoja2!$C$6:$C$24,[1]Hoja2!$D$6:$D$24,0,2,1)</f>
        <v>0</v>
      </c>
      <c r="AS437" s="18">
        <f t="shared" si="153"/>
        <v>0</v>
      </c>
      <c r="AT437" s="14"/>
      <c r="AU437" s="37">
        <f>_xlfn.XLOOKUP(D437,[1]Hoja2!$E$6:$E$24,[1]Hoja2!$F$6:$F$24,0,2,1)</f>
        <v>0</v>
      </c>
      <c r="AV437" s="3">
        <v>0</v>
      </c>
      <c r="AW437" s="3"/>
      <c r="AX437" s="14">
        <v>0</v>
      </c>
      <c r="AY437" s="14"/>
      <c r="AZ437" s="16">
        <f>_xlfn.XLOOKUP(C437,[2]PI!$B$15:$B$99,[2]PI!$L$15:$L$99,0,2,1)</f>
        <v>0</v>
      </c>
      <c r="BA437" s="16">
        <f>_xlfn.XLOOKUP(D437,[2]PI!$B$15:$B$99,[2]PI!$L$15:$L$99,0,2,1)</f>
        <v>0</v>
      </c>
      <c r="BB437" s="3"/>
      <c r="BC437" s="3"/>
      <c r="BD437" s="14"/>
      <c r="BE437" s="14"/>
      <c r="BF437" s="16"/>
      <c r="BG437" s="16"/>
      <c r="BH437" s="12">
        <f t="shared" si="154"/>
        <v>0</v>
      </c>
      <c r="BI437" s="19">
        <f t="shared" si="155"/>
        <v>0</v>
      </c>
      <c r="BJ437" s="1" t="s">
        <v>35</v>
      </c>
      <c r="BK437">
        <f t="shared" si="156"/>
        <v>0</v>
      </c>
      <c r="BL437">
        <f t="shared" si="157"/>
        <v>0</v>
      </c>
    </row>
    <row r="438" spans="1:64" x14ac:dyDescent="0.25">
      <c r="A438" s="1" t="s">
        <v>1316</v>
      </c>
      <c r="B438" s="1" t="s">
        <v>1315</v>
      </c>
      <c r="C438" s="13" t="s">
        <v>1314</v>
      </c>
      <c r="D438" s="15"/>
      <c r="E438" s="17"/>
      <c r="F438" s="3"/>
      <c r="G438" s="14"/>
      <c r="H438" s="16"/>
      <c r="I438" s="11">
        <v>46221</v>
      </c>
      <c r="J438" s="4">
        <v>17</v>
      </c>
      <c r="K438" s="18">
        <f>(F438-(0)+0-(J438*Ventas!AE435*1))</f>
        <v>0</v>
      </c>
      <c r="L438" s="3"/>
      <c r="M438" s="22">
        <f t="shared" si="158"/>
        <v>0</v>
      </c>
      <c r="N438" s="14"/>
      <c r="O438" s="25">
        <f t="shared" si="143"/>
        <v>0</v>
      </c>
      <c r="P438" s="16"/>
      <c r="Q438" s="12">
        <f t="shared" si="144"/>
        <v>0</v>
      </c>
      <c r="R438" s="5">
        <v>0</v>
      </c>
      <c r="S438" s="24">
        <v>0</v>
      </c>
      <c r="T438" s="26">
        <v>0</v>
      </c>
      <c r="U438" s="18">
        <f t="shared" si="145"/>
        <v>0</v>
      </c>
      <c r="V438" s="22">
        <f t="shared" si="146"/>
        <v>0</v>
      </c>
      <c r="W438" s="25">
        <f t="shared" si="147"/>
        <v>0</v>
      </c>
      <c r="X438" s="3"/>
      <c r="Y438" s="14"/>
      <c r="Z438" s="14"/>
      <c r="AA438" s="3"/>
      <c r="AB438" s="3">
        <v>6.783E-3</v>
      </c>
      <c r="AC438" s="11">
        <v>46313</v>
      </c>
      <c r="AD438" s="4">
        <v>92</v>
      </c>
      <c r="AE438" s="18">
        <f>(IF(K438&gt;0,K438+R438,R438)-(AD438*Ventas!AE435*1.0489))</f>
        <v>0</v>
      </c>
      <c r="AF438" s="3"/>
      <c r="AG438" s="22">
        <f t="shared" si="159"/>
        <v>0</v>
      </c>
      <c r="AH438" s="14"/>
      <c r="AI438" s="25">
        <f t="shared" si="148"/>
        <v>0</v>
      </c>
      <c r="AJ438" s="16"/>
      <c r="AK438" s="12">
        <f t="shared" si="149"/>
        <v>0</v>
      </c>
      <c r="AL438" s="19">
        <f t="shared" si="150"/>
        <v>0</v>
      </c>
      <c r="AM438" s="18">
        <f>(180*(Ventas!AE435*0.9644) - IF(AE438&gt;0,AE438,0))</f>
        <v>0</v>
      </c>
      <c r="AN438" s="18">
        <f t="shared" si="160"/>
        <v>0</v>
      </c>
      <c r="AO438" s="14"/>
      <c r="AP438" s="14">
        <f t="shared" si="161"/>
        <v>0</v>
      </c>
      <c r="AQ438" s="16">
        <f t="shared" si="152"/>
        <v>0</v>
      </c>
      <c r="AR438" s="37">
        <f>_xlfn.XLOOKUP(C438,[1]Hoja2!$C$6:$C$24,[1]Hoja2!$D$6:$D$24,0,2,1)</f>
        <v>0</v>
      </c>
      <c r="AS438" s="18">
        <f t="shared" si="153"/>
        <v>0</v>
      </c>
      <c r="AT438" s="14"/>
      <c r="AU438" s="37">
        <f>_xlfn.XLOOKUP(D438,[1]Hoja2!$E$6:$E$24,[1]Hoja2!$F$6:$F$24,0,2,1)</f>
        <v>0</v>
      </c>
      <c r="AV438" s="3">
        <v>0</v>
      </c>
      <c r="AW438" s="3"/>
      <c r="AX438" s="14">
        <v>0</v>
      </c>
      <c r="AY438" s="14"/>
      <c r="AZ438" s="16">
        <f>_xlfn.XLOOKUP(C438,[2]PI!$B$15:$B$99,[2]PI!$L$15:$L$99,0,2,1)</f>
        <v>0</v>
      </c>
      <c r="BA438" s="16">
        <f>_xlfn.XLOOKUP(D438,[2]PI!$B$15:$B$99,[2]PI!$L$15:$L$99,0,2,1)</f>
        <v>0</v>
      </c>
      <c r="BB438" s="3"/>
      <c r="BC438" s="3"/>
      <c r="BD438" s="14"/>
      <c r="BE438" s="14"/>
      <c r="BF438" s="16"/>
      <c r="BG438" s="16"/>
      <c r="BH438" s="12">
        <f t="shared" si="154"/>
        <v>0</v>
      </c>
      <c r="BI438" s="19">
        <f t="shared" si="155"/>
        <v>0</v>
      </c>
      <c r="BJ438" s="1" t="s">
        <v>35</v>
      </c>
      <c r="BK438">
        <f t="shared" si="156"/>
        <v>0</v>
      </c>
      <c r="BL438">
        <f t="shared" si="157"/>
        <v>0</v>
      </c>
    </row>
    <row r="439" spans="1:64" x14ac:dyDescent="0.25">
      <c r="A439" s="1" t="s">
        <v>1319</v>
      </c>
      <c r="B439" s="1" t="s">
        <v>1318</v>
      </c>
      <c r="C439" s="13" t="s">
        <v>1317</v>
      </c>
      <c r="D439" s="15"/>
      <c r="E439" s="17"/>
      <c r="F439" s="3"/>
      <c r="G439" s="14"/>
      <c r="H439" s="16"/>
      <c r="I439" s="11">
        <v>46221</v>
      </c>
      <c r="J439" s="4">
        <v>17</v>
      </c>
      <c r="K439" s="18">
        <f>(F439-(0)+0-(J439*Ventas!AE436*1))</f>
        <v>0</v>
      </c>
      <c r="L439" s="3"/>
      <c r="M439" s="22">
        <f t="shared" si="158"/>
        <v>0</v>
      </c>
      <c r="N439" s="14"/>
      <c r="O439" s="25">
        <f t="shared" si="143"/>
        <v>0</v>
      </c>
      <c r="P439" s="16"/>
      <c r="Q439" s="12">
        <f t="shared" si="144"/>
        <v>0</v>
      </c>
      <c r="R439" s="5">
        <v>0</v>
      </c>
      <c r="S439" s="24">
        <v>0</v>
      </c>
      <c r="T439" s="26">
        <v>0</v>
      </c>
      <c r="U439" s="18">
        <f t="shared" si="145"/>
        <v>0</v>
      </c>
      <c r="V439" s="22">
        <f t="shared" si="146"/>
        <v>0</v>
      </c>
      <c r="W439" s="25">
        <f t="shared" si="147"/>
        <v>0</v>
      </c>
      <c r="X439" s="3"/>
      <c r="Y439" s="14"/>
      <c r="Z439" s="14"/>
      <c r="AA439" s="3"/>
      <c r="AB439" s="3">
        <v>6.783E-3</v>
      </c>
      <c r="AC439" s="11">
        <v>46313</v>
      </c>
      <c r="AD439" s="4">
        <v>92</v>
      </c>
      <c r="AE439" s="18">
        <f>(IF(K439&gt;0,K439+R439,R439)-(AD439*Ventas!AE436*1.0489))</f>
        <v>0</v>
      </c>
      <c r="AF439" s="3"/>
      <c r="AG439" s="22">
        <f t="shared" si="159"/>
        <v>0</v>
      </c>
      <c r="AH439" s="14"/>
      <c r="AI439" s="25">
        <f t="shared" si="148"/>
        <v>0</v>
      </c>
      <c r="AJ439" s="16"/>
      <c r="AK439" s="12">
        <f t="shared" si="149"/>
        <v>0</v>
      </c>
      <c r="AL439" s="19">
        <f t="shared" si="150"/>
        <v>0</v>
      </c>
      <c r="AM439" s="18">
        <f>(180*(Ventas!AE436*0.9644) - IF(AE439&gt;0,AE439,0))</f>
        <v>0</v>
      </c>
      <c r="AN439" s="18">
        <f t="shared" si="160"/>
        <v>0</v>
      </c>
      <c r="AO439" s="14"/>
      <c r="AP439" s="14">
        <f t="shared" si="161"/>
        <v>0</v>
      </c>
      <c r="AQ439" s="16">
        <f t="shared" si="152"/>
        <v>0</v>
      </c>
      <c r="AR439" s="37">
        <f>_xlfn.XLOOKUP(C439,[1]Hoja2!$C$6:$C$24,[1]Hoja2!$D$6:$D$24,0,2,1)</f>
        <v>0</v>
      </c>
      <c r="AS439" s="18">
        <f t="shared" si="153"/>
        <v>0</v>
      </c>
      <c r="AT439" s="14"/>
      <c r="AU439" s="37">
        <f>_xlfn.XLOOKUP(D439,[1]Hoja2!$E$6:$E$24,[1]Hoja2!$F$6:$F$24,0,2,1)</f>
        <v>0</v>
      </c>
      <c r="AV439" s="3">
        <v>0</v>
      </c>
      <c r="AW439" s="3"/>
      <c r="AX439" s="14">
        <v>0</v>
      </c>
      <c r="AY439" s="14"/>
      <c r="AZ439" s="16">
        <f>_xlfn.XLOOKUP(C439,[2]PI!$B$15:$B$99,[2]PI!$L$15:$L$99,0,2,1)</f>
        <v>0</v>
      </c>
      <c r="BA439" s="16">
        <f>_xlfn.XLOOKUP(D439,[2]PI!$B$15:$B$99,[2]PI!$L$15:$L$99,0,2,1)</f>
        <v>0</v>
      </c>
      <c r="BB439" s="3"/>
      <c r="BC439" s="3"/>
      <c r="BD439" s="14"/>
      <c r="BE439" s="14"/>
      <c r="BF439" s="16"/>
      <c r="BG439" s="16"/>
      <c r="BH439" s="12">
        <f t="shared" si="154"/>
        <v>0</v>
      </c>
      <c r="BI439" s="19">
        <f t="shared" si="155"/>
        <v>0</v>
      </c>
      <c r="BJ439" s="1" t="s">
        <v>35</v>
      </c>
      <c r="BK439">
        <f t="shared" si="156"/>
        <v>0</v>
      </c>
      <c r="BL439">
        <f t="shared" si="157"/>
        <v>0</v>
      </c>
    </row>
    <row r="440" spans="1:64" x14ac:dyDescent="0.25">
      <c r="A440" s="1" t="s">
        <v>1322</v>
      </c>
      <c r="B440" s="1" t="s">
        <v>1321</v>
      </c>
      <c r="C440" s="13" t="s">
        <v>1320</v>
      </c>
      <c r="D440" s="15"/>
      <c r="E440" s="17"/>
      <c r="F440" s="3"/>
      <c r="G440" s="14"/>
      <c r="H440" s="16"/>
      <c r="I440" s="11">
        <v>46221</v>
      </c>
      <c r="J440" s="4">
        <v>17</v>
      </c>
      <c r="K440" s="18">
        <f>(F440-(0)+0-(J440*Ventas!AE437*1))</f>
        <v>0</v>
      </c>
      <c r="L440" s="3"/>
      <c r="M440" s="22">
        <f t="shared" si="158"/>
        <v>0</v>
      </c>
      <c r="N440" s="14"/>
      <c r="O440" s="25">
        <f t="shared" si="143"/>
        <v>0</v>
      </c>
      <c r="P440" s="16"/>
      <c r="Q440" s="12">
        <f t="shared" si="144"/>
        <v>0</v>
      </c>
      <c r="R440" s="5">
        <v>0</v>
      </c>
      <c r="S440" s="24">
        <v>0</v>
      </c>
      <c r="T440" s="26">
        <v>0</v>
      </c>
      <c r="U440" s="18">
        <f t="shared" si="145"/>
        <v>0</v>
      </c>
      <c r="V440" s="22">
        <f t="shared" si="146"/>
        <v>0</v>
      </c>
      <c r="W440" s="25">
        <f t="shared" si="147"/>
        <v>0</v>
      </c>
      <c r="X440" s="3"/>
      <c r="Y440" s="14"/>
      <c r="Z440" s="14"/>
      <c r="AA440" s="3"/>
      <c r="AB440" s="3">
        <v>6.783E-3</v>
      </c>
      <c r="AC440" s="11">
        <v>46313</v>
      </c>
      <c r="AD440" s="4">
        <v>92</v>
      </c>
      <c r="AE440" s="18">
        <f>(IF(K440&gt;0,K440+R440,R440)-(AD440*Ventas!AE437*1.0489))</f>
        <v>0</v>
      </c>
      <c r="AF440" s="3"/>
      <c r="AG440" s="22">
        <f t="shared" si="159"/>
        <v>0</v>
      </c>
      <c r="AH440" s="14"/>
      <c r="AI440" s="25">
        <f t="shared" si="148"/>
        <v>0</v>
      </c>
      <c r="AJ440" s="16"/>
      <c r="AK440" s="12">
        <f t="shared" si="149"/>
        <v>0</v>
      </c>
      <c r="AL440" s="19">
        <f t="shared" si="150"/>
        <v>0</v>
      </c>
      <c r="AM440" s="18">
        <f>(180*(Ventas!AE437*0.9644) - IF(AE440&gt;0,AE440,0))</f>
        <v>0</v>
      </c>
      <c r="AN440" s="18">
        <f t="shared" si="160"/>
        <v>0</v>
      </c>
      <c r="AO440" s="14"/>
      <c r="AP440" s="14">
        <f t="shared" si="161"/>
        <v>0</v>
      </c>
      <c r="AQ440" s="16">
        <f t="shared" si="152"/>
        <v>0</v>
      </c>
      <c r="AR440" s="37">
        <f>_xlfn.XLOOKUP(C440,[1]Hoja2!$C$6:$C$24,[1]Hoja2!$D$6:$D$24,0,2,1)</f>
        <v>0</v>
      </c>
      <c r="AS440" s="18">
        <f t="shared" si="153"/>
        <v>0</v>
      </c>
      <c r="AT440" s="14"/>
      <c r="AU440" s="37">
        <f>_xlfn.XLOOKUP(D440,[1]Hoja2!$E$6:$E$24,[1]Hoja2!$F$6:$F$24,0,2,1)</f>
        <v>0</v>
      </c>
      <c r="AV440" s="3">
        <v>0</v>
      </c>
      <c r="AW440" s="3"/>
      <c r="AX440" s="14">
        <v>0</v>
      </c>
      <c r="AY440" s="14"/>
      <c r="AZ440" s="16">
        <f>_xlfn.XLOOKUP(C440,[2]PI!$B$15:$B$99,[2]PI!$L$15:$L$99,0,2,1)</f>
        <v>0</v>
      </c>
      <c r="BA440" s="16">
        <f>_xlfn.XLOOKUP(D440,[2]PI!$B$15:$B$99,[2]PI!$L$15:$L$99,0,2,1)</f>
        <v>0</v>
      </c>
      <c r="BB440" s="3"/>
      <c r="BC440" s="3"/>
      <c r="BD440" s="14"/>
      <c r="BE440" s="14"/>
      <c r="BF440" s="16"/>
      <c r="BG440" s="16"/>
      <c r="BH440" s="12">
        <f t="shared" si="154"/>
        <v>0</v>
      </c>
      <c r="BI440" s="19">
        <f t="shared" si="155"/>
        <v>0</v>
      </c>
      <c r="BJ440" s="1" t="s">
        <v>35</v>
      </c>
      <c r="BK440">
        <f t="shared" si="156"/>
        <v>0</v>
      </c>
      <c r="BL440">
        <f t="shared" si="157"/>
        <v>0</v>
      </c>
    </row>
    <row r="441" spans="1:64" x14ac:dyDescent="0.25">
      <c r="A441" s="1" t="s">
        <v>1325</v>
      </c>
      <c r="B441" s="1" t="s">
        <v>1324</v>
      </c>
      <c r="C441" s="13" t="s">
        <v>1323</v>
      </c>
      <c r="D441" s="15"/>
      <c r="E441" s="17"/>
      <c r="F441" s="3"/>
      <c r="G441" s="14"/>
      <c r="H441" s="16"/>
      <c r="I441" s="11">
        <v>46221</v>
      </c>
      <c r="J441" s="4">
        <v>17</v>
      </c>
      <c r="K441" s="18">
        <f>(F441-(0)+0-(J441*Ventas!AE438*1))</f>
        <v>0</v>
      </c>
      <c r="L441" s="3"/>
      <c r="M441" s="22">
        <f t="shared" si="158"/>
        <v>0</v>
      </c>
      <c r="N441" s="14"/>
      <c r="O441" s="25">
        <f t="shared" si="143"/>
        <v>0</v>
      </c>
      <c r="P441" s="16"/>
      <c r="Q441" s="12">
        <f t="shared" si="144"/>
        <v>0</v>
      </c>
      <c r="R441" s="5">
        <v>0</v>
      </c>
      <c r="S441" s="24">
        <v>0</v>
      </c>
      <c r="T441" s="26">
        <v>0</v>
      </c>
      <c r="U441" s="18">
        <f t="shared" si="145"/>
        <v>0</v>
      </c>
      <c r="V441" s="22">
        <f t="shared" si="146"/>
        <v>0</v>
      </c>
      <c r="W441" s="25">
        <f t="shared" si="147"/>
        <v>0</v>
      </c>
      <c r="X441" s="3"/>
      <c r="Y441" s="14"/>
      <c r="Z441" s="14"/>
      <c r="AA441" s="3"/>
      <c r="AB441" s="3">
        <v>6.783E-3</v>
      </c>
      <c r="AC441" s="11">
        <v>46313</v>
      </c>
      <c r="AD441" s="4">
        <v>92</v>
      </c>
      <c r="AE441" s="18">
        <f>(IF(K441&gt;0,K441+R441,R441)-(AD441*Ventas!AE438*1.0489))</f>
        <v>0</v>
      </c>
      <c r="AF441" s="3"/>
      <c r="AG441" s="22">
        <f t="shared" si="159"/>
        <v>0</v>
      </c>
      <c r="AH441" s="14"/>
      <c r="AI441" s="25">
        <f t="shared" si="148"/>
        <v>0</v>
      </c>
      <c r="AJ441" s="16"/>
      <c r="AK441" s="12">
        <f t="shared" si="149"/>
        <v>0</v>
      </c>
      <c r="AL441" s="19">
        <f t="shared" si="150"/>
        <v>0</v>
      </c>
      <c r="AM441" s="18">
        <f>(180*(Ventas!AE438*0.9644) - IF(AE441&gt;0,AE441,0))</f>
        <v>0</v>
      </c>
      <c r="AN441" s="18">
        <f t="shared" si="160"/>
        <v>0</v>
      </c>
      <c r="AO441" s="14"/>
      <c r="AP441" s="14">
        <f t="shared" si="161"/>
        <v>0</v>
      </c>
      <c r="AQ441" s="16">
        <f t="shared" si="152"/>
        <v>0</v>
      </c>
      <c r="AR441" s="37">
        <f>_xlfn.XLOOKUP(C441,[1]Hoja2!$C$6:$C$24,[1]Hoja2!$D$6:$D$24,0,2,1)</f>
        <v>0</v>
      </c>
      <c r="AS441" s="18">
        <f t="shared" si="153"/>
        <v>0</v>
      </c>
      <c r="AT441" s="14"/>
      <c r="AU441" s="37">
        <f>_xlfn.XLOOKUP(D441,[1]Hoja2!$E$6:$E$24,[1]Hoja2!$F$6:$F$24,0,2,1)</f>
        <v>0</v>
      </c>
      <c r="AV441" s="3">
        <v>0</v>
      </c>
      <c r="AW441" s="3"/>
      <c r="AX441" s="14">
        <v>0</v>
      </c>
      <c r="AY441" s="14"/>
      <c r="AZ441" s="16">
        <f>_xlfn.XLOOKUP(C441,[2]PI!$B$15:$B$99,[2]PI!$L$15:$L$99,0,2,1)</f>
        <v>0</v>
      </c>
      <c r="BA441" s="16">
        <f>_xlfn.XLOOKUP(D441,[2]PI!$B$15:$B$99,[2]PI!$L$15:$L$99,0,2,1)</f>
        <v>0</v>
      </c>
      <c r="BB441" s="3"/>
      <c r="BC441" s="3"/>
      <c r="BD441" s="14"/>
      <c r="BE441" s="14"/>
      <c r="BF441" s="16"/>
      <c r="BG441" s="16"/>
      <c r="BH441" s="12">
        <f t="shared" si="154"/>
        <v>0</v>
      </c>
      <c r="BI441" s="19">
        <f t="shared" si="155"/>
        <v>0</v>
      </c>
      <c r="BJ441" s="1" t="s">
        <v>35</v>
      </c>
      <c r="BK441">
        <f t="shared" si="156"/>
        <v>0</v>
      </c>
      <c r="BL441">
        <f t="shared" si="157"/>
        <v>0</v>
      </c>
    </row>
    <row r="442" spans="1:64" x14ac:dyDescent="0.25">
      <c r="A442" s="1" t="s">
        <v>1328</v>
      </c>
      <c r="B442" s="1" t="s">
        <v>1327</v>
      </c>
      <c r="C442" s="13" t="s">
        <v>1326</v>
      </c>
      <c r="D442" s="15"/>
      <c r="E442" s="17"/>
      <c r="F442" s="3"/>
      <c r="G442" s="14"/>
      <c r="H442" s="16"/>
      <c r="I442" s="11">
        <v>46221</v>
      </c>
      <c r="J442" s="4">
        <v>17</v>
      </c>
      <c r="K442" s="18">
        <f>(F442-(0)+0-(J442*Ventas!AE439*1))</f>
        <v>0</v>
      </c>
      <c r="L442" s="3"/>
      <c r="M442" s="22">
        <f t="shared" si="158"/>
        <v>0</v>
      </c>
      <c r="N442" s="14"/>
      <c r="O442" s="25">
        <f t="shared" si="143"/>
        <v>0</v>
      </c>
      <c r="P442" s="16"/>
      <c r="Q442" s="12">
        <f t="shared" si="144"/>
        <v>0</v>
      </c>
      <c r="R442" s="5">
        <v>0</v>
      </c>
      <c r="S442" s="24">
        <v>0</v>
      </c>
      <c r="T442" s="26">
        <v>0</v>
      </c>
      <c r="U442" s="18">
        <f t="shared" si="145"/>
        <v>0</v>
      </c>
      <c r="V442" s="22">
        <f t="shared" si="146"/>
        <v>0</v>
      </c>
      <c r="W442" s="25">
        <f t="shared" si="147"/>
        <v>0</v>
      </c>
      <c r="X442" s="3"/>
      <c r="Y442" s="14"/>
      <c r="Z442" s="14"/>
      <c r="AA442" s="3"/>
      <c r="AB442" s="3">
        <v>6.783E-3</v>
      </c>
      <c r="AC442" s="11">
        <v>46313</v>
      </c>
      <c r="AD442" s="4">
        <v>92</v>
      </c>
      <c r="AE442" s="18">
        <f>(IF(K442&gt;0,K442+R442,R442)-(AD442*Ventas!AE439*1.0489))</f>
        <v>0</v>
      </c>
      <c r="AF442" s="3"/>
      <c r="AG442" s="22">
        <f t="shared" si="159"/>
        <v>0</v>
      </c>
      <c r="AH442" s="14"/>
      <c r="AI442" s="25">
        <f t="shared" si="148"/>
        <v>0</v>
      </c>
      <c r="AJ442" s="16"/>
      <c r="AK442" s="12">
        <f t="shared" si="149"/>
        <v>0</v>
      </c>
      <c r="AL442" s="19">
        <f t="shared" si="150"/>
        <v>0</v>
      </c>
      <c r="AM442" s="18">
        <f>(180*(Ventas!AE439*0.9644) - IF(AE442&gt;0,AE442,0))</f>
        <v>0</v>
      </c>
      <c r="AN442" s="18">
        <f t="shared" si="160"/>
        <v>0</v>
      </c>
      <c r="AO442" s="14"/>
      <c r="AP442" s="14">
        <f t="shared" si="161"/>
        <v>0</v>
      </c>
      <c r="AQ442" s="16">
        <f t="shared" si="152"/>
        <v>0</v>
      </c>
      <c r="AR442" s="37">
        <f>_xlfn.XLOOKUP(C442,[1]Hoja2!$C$6:$C$24,[1]Hoja2!$D$6:$D$24,0,2,1)</f>
        <v>0</v>
      </c>
      <c r="AS442" s="18">
        <f t="shared" si="153"/>
        <v>0</v>
      </c>
      <c r="AT442" s="14"/>
      <c r="AU442" s="37">
        <f>_xlfn.XLOOKUP(D442,[1]Hoja2!$E$6:$E$24,[1]Hoja2!$F$6:$F$24,0,2,1)</f>
        <v>0</v>
      </c>
      <c r="AV442" s="3">
        <v>0</v>
      </c>
      <c r="AW442" s="3"/>
      <c r="AX442" s="14">
        <v>0</v>
      </c>
      <c r="AY442" s="14"/>
      <c r="AZ442" s="16">
        <f>_xlfn.XLOOKUP(C442,[2]PI!$B$15:$B$99,[2]PI!$L$15:$L$99,0,2,1)</f>
        <v>0</v>
      </c>
      <c r="BA442" s="16">
        <f>_xlfn.XLOOKUP(D442,[2]PI!$B$15:$B$99,[2]PI!$L$15:$L$99,0,2,1)</f>
        <v>0</v>
      </c>
      <c r="BB442" s="3"/>
      <c r="BC442" s="3"/>
      <c r="BD442" s="14"/>
      <c r="BE442" s="14"/>
      <c r="BF442" s="16"/>
      <c r="BG442" s="16"/>
      <c r="BH442" s="12">
        <f t="shared" si="154"/>
        <v>0</v>
      </c>
      <c r="BI442" s="19">
        <f t="shared" si="155"/>
        <v>0</v>
      </c>
      <c r="BJ442" s="1" t="s">
        <v>35</v>
      </c>
      <c r="BK442">
        <f t="shared" si="156"/>
        <v>0</v>
      </c>
      <c r="BL442">
        <f t="shared" si="157"/>
        <v>0</v>
      </c>
    </row>
    <row r="443" spans="1:64" x14ac:dyDescent="0.25">
      <c r="A443" s="1" t="s">
        <v>1331</v>
      </c>
      <c r="B443" s="1" t="s">
        <v>1330</v>
      </c>
      <c r="C443" s="13" t="s">
        <v>1329</v>
      </c>
      <c r="D443" s="15"/>
      <c r="E443" s="17"/>
      <c r="F443" s="3"/>
      <c r="G443" s="14"/>
      <c r="H443" s="16"/>
      <c r="I443" s="11">
        <v>46221</v>
      </c>
      <c r="J443" s="4">
        <v>17</v>
      </c>
      <c r="K443" s="18">
        <f>(F443-(0)+0-(J443*Ventas!AE440*1))</f>
        <v>0</v>
      </c>
      <c r="L443" s="3"/>
      <c r="M443" s="22">
        <f t="shared" si="158"/>
        <v>0</v>
      </c>
      <c r="N443" s="14"/>
      <c r="O443" s="25">
        <f t="shared" si="143"/>
        <v>0</v>
      </c>
      <c r="P443" s="16"/>
      <c r="Q443" s="12">
        <f t="shared" si="144"/>
        <v>0</v>
      </c>
      <c r="R443" s="5">
        <v>0</v>
      </c>
      <c r="S443" s="24">
        <v>0</v>
      </c>
      <c r="T443" s="26">
        <v>0</v>
      </c>
      <c r="U443" s="18">
        <f t="shared" si="145"/>
        <v>0</v>
      </c>
      <c r="V443" s="22">
        <f t="shared" si="146"/>
        <v>0</v>
      </c>
      <c r="W443" s="25">
        <f t="shared" si="147"/>
        <v>0</v>
      </c>
      <c r="X443" s="3"/>
      <c r="Y443" s="14"/>
      <c r="Z443" s="14"/>
      <c r="AA443" s="3"/>
      <c r="AB443" s="3">
        <v>6.783E-3</v>
      </c>
      <c r="AC443" s="11">
        <v>46313</v>
      </c>
      <c r="AD443" s="4">
        <v>92</v>
      </c>
      <c r="AE443" s="18">
        <f>(IF(K443&gt;0,K443+R443,R443)-(AD443*Ventas!AE440*1.0489))</f>
        <v>0</v>
      </c>
      <c r="AF443" s="3"/>
      <c r="AG443" s="22">
        <f t="shared" si="159"/>
        <v>0</v>
      </c>
      <c r="AH443" s="14"/>
      <c r="AI443" s="25">
        <f t="shared" si="148"/>
        <v>0</v>
      </c>
      <c r="AJ443" s="16"/>
      <c r="AK443" s="12">
        <f t="shared" si="149"/>
        <v>0</v>
      </c>
      <c r="AL443" s="19">
        <f t="shared" si="150"/>
        <v>0</v>
      </c>
      <c r="AM443" s="18">
        <f>(180*(Ventas!AE440*0.9644) - IF(AE443&gt;0,AE443,0))</f>
        <v>0</v>
      </c>
      <c r="AN443" s="18">
        <f t="shared" si="160"/>
        <v>0</v>
      </c>
      <c r="AO443" s="14"/>
      <c r="AP443" s="14">
        <f t="shared" si="161"/>
        <v>0</v>
      </c>
      <c r="AQ443" s="16">
        <f t="shared" si="152"/>
        <v>0</v>
      </c>
      <c r="AR443" s="37">
        <f>_xlfn.XLOOKUP(C443,[1]Hoja2!$C$6:$C$24,[1]Hoja2!$D$6:$D$24,0,2,1)</f>
        <v>0</v>
      </c>
      <c r="AS443" s="18">
        <f t="shared" si="153"/>
        <v>0</v>
      </c>
      <c r="AT443" s="14"/>
      <c r="AU443" s="37">
        <f>_xlfn.XLOOKUP(D443,[1]Hoja2!$E$6:$E$24,[1]Hoja2!$F$6:$F$24,0,2,1)</f>
        <v>0</v>
      </c>
      <c r="AV443" s="3">
        <v>0</v>
      </c>
      <c r="AW443" s="3"/>
      <c r="AX443" s="14">
        <v>0</v>
      </c>
      <c r="AY443" s="14"/>
      <c r="AZ443" s="16">
        <f>_xlfn.XLOOKUP(C443,[2]PI!$B$15:$B$99,[2]PI!$L$15:$L$99,0,2,1)</f>
        <v>0</v>
      </c>
      <c r="BA443" s="16">
        <f>_xlfn.XLOOKUP(D443,[2]PI!$B$15:$B$99,[2]PI!$L$15:$L$99,0,2,1)</f>
        <v>0</v>
      </c>
      <c r="BB443" s="3"/>
      <c r="BC443" s="3"/>
      <c r="BD443" s="14"/>
      <c r="BE443" s="14"/>
      <c r="BF443" s="16"/>
      <c r="BG443" s="16"/>
      <c r="BH443" s="12">
        <f t="shared" si="154"/>
        <v>0</v>
      </c>
      <c r="BI443" s="19">
        <f t="shared" si="155"/>
        <v>0</v>
      </c>
      <c r="BJ443" s="1" t="s">
        <v>35</v>
      </c>
      <c r="BK443">
        <f t="shared" si="156"/>
        <v>0</v>
      </c>
      <c r="BL443">
        <f t="shared" si="157"/>
        <v>0</v>
      </c>
    </row>
    <row r="444" spans="1:64" x14ac:dyDescent="0.25">
      <c r="A444" s="1" t="s">
        <v>1334</v>
      </c>
      <c r="B444" s="1" t="s">
        <v>1333</v>
      </c>
      <c r="C444" s="13" t="s">
        <v>1332</v>
      </c>
      <c r="D444" s="15"/>
      <c r="E444" s="17"/>
      <c r="F444" s="3"/>
      <c r="G444" s="14"/>
      <c r="H444" s="16"/>
      <c r="I444" s="11">
        <v>46221</v>
      </c>
      <c r="J444" s="4">
        <v>17</v>
      </c>
      <c r="K444" s="18">
        <f>(F444-(0)+0-(J444*Ventas!AE441*1))</f>
        <v>0</v>
      </c>
      <c r="L444" s="3"/>
      <c r="M444" s="22">
        <f t="shared" si="158"/>
        <v>0</v>
      </c>
      <c r="N444" s="14"/>
      <c r="O444" s="25">
        <f t="shared" si="143"/>
        <v>0</v>
      </c>
      <c r="P444" s="16"/>
      <c r="Q444" s="12">
        <f t="shared" si="144"/>
        <v>0</v>
      </c>
      <c r="R444" s="5">
        <v>0</v>
      </c>
      <c r="S444" s="24">
        <v>0</v>
      </c>
      <c r="T444" s="26">
        <v>0</v>
      </c>
      <c r="U444" s="18">
        <f t="shared" si="145"/>
        <v>0</v>
      </c>
      <c r="V444" s="22">
        <f t="shared" si="146"/>
        <v>0</v>
      </c>
      <c r="W444" s="25">
        <f t="shared" si="147"/>
        <v>0</v>
      </c>
      <c r="X444" s="3"/>
      <c r="Y444" s="14"/>
      <c r="Z444" s="14"/>
      <c r="AA444" s="3"/>
      <c r="AB444" s="3">
        <v>6.783E-3</v>
      </c>
      <c r="AC444" s="11">
        <v>46313</v>
      </c>
      <c r="AD444" s="4">
        <v>92</v>
      </c>
      <c r="AE444" s="18">
        <f>(IF(K444&gt;0,K444+R444,R444)-(AD444*Ventas!AE441*1.0489))</f>
        <v>0</v>
      </c>
      <c r="AF444" s="3"/>
      <c r="AG444" s="22">
        <f t="shared" si="159"/>
        <v>0</v>
      </c>
      <c r="AH444" s="14"/>
      <c r="AI444" s="25">
        <f t="shared" si="148"/>
        <v>0</v>
      </c>
      <c r="AJ444" s="16"/>
      <c r="AK444" s="12">
        <f t="shared" si="149"/>
        <v>0</v>
      </c>
      <c r="AL444" s="19">
        <f t="shared" si="150"/>
        <v>0</v>
      </c>
      <c r="AM444" s="18">
        <f>(180*(Ventas!AE441*0.9644) - IF(AE444&gt;0,AE444,0))</f>
        <v>0</v>
      </c>
      <c r="AN444" s="18">
        <f t="shared" si="160"/>
        <v>0</v>
      </c>
      <c r="AO444" s="14"/>
      <c r="AP444" s="14">
        <f t="shared" si="161"/>
        <v>0</v>
      </c>
      <c r="AQ444" s="16">
        <f t="shared" si="152"/>
        <v>0</v>
      </c>
      <c r="AR444" s="37">
        <f>_xlfn.XLOOKUP(C444,[1]Hoja2!$C$6:$C$24,[1]Hoja2!$D$6:$D$24,0,2,1)</f>
        <v>0</v>
      </c>
      <c r="AS444" s="18">
        <f t="shared" si="153"/>
        <v>0</v>
      </c>
      <c r="AT444" s="14"/>
      <c r="AU444" s="37">
        <f>_xlfn.XLOOKUP(D444,[1]Hoja2!$E$6:$E$24,[1]Hoja2!$F$6:$F$24,0,2,1)</f>
        <v>0</v>
      </c>
      <c r="AV444" s="3">
        <v>0</v>
      </c>
      <c r="AW444" s="3"/>
      <c r="AX444" s="14">
        <v>0</v>
      </c>
      <c r="AY444" s="14"/>
      <c r="AZ444" s="16">
        <f>_xlfn.XLOOKUP(C444,[2]PI!$B$15:$B$99,[2]PI!$L$15:$L$99,0,2,1)</f>
        <v>0</v>
      </c>
      <c r="BA444" s="16">
        <f>_xlfn.XLOOKUP(D444,[2]PI!$B$15:$B$99,[2]PI!$L$15:$L$99,0,2,1)</f>
        <v>0</v>
      </c>
      <c r="BB444" s="3"/>
      <c r="BC444" s="3"/>
      <c r="BD444" s="14"/>
      <c r="BE444" s="14"/>
      <c r="BF444" s="16"/>
      <c r="BG444" s="16"/>
      <c r="BH444" s="12">
        <f t="shared" si="154"/>
        <v>0</v>
      </c>
      <c r="BI444" s="19">
        <f t="shared" si="155"/>
        <v>0</v>
      </c>
      <c r="BJ444" s="1" t="s">
        <v>35</v>
      </c>
      <c r="BK444">
        <f t="shared" si="156"/>
        <v>0</v>
      </c>
      <c r="BL444">
        <f t="shared" si="157"/>
        <v>0</v>
      </c>
    </row>
    <row r="445" spans="1:64" x14ac:dyDescent="0.25">
      <c r="A445" s="1" t="s">
        <v>1337</v>
      </c>
      <c r="B445" s="1" t="s">
        <v>1336</v>
      </c>
      <c r="C445" s="13" t="s">
        <v>1335</v>
      </c>
      <c r="D445" s="15"/>
      <c r="E445" s="17"/>
      <c r="F445" s="3"/>
      <c r="G445" s="14"/>
      <c r="H445" s="16"/>
      <c r="I445" s="11">
        <v>46221</v>
      </c>
      <c r="J445" s="4">
        <v>17</v>
      </c>
      <c r="K445" s="18">
        <f>(F445-(0)+0-(J445*Ventas!AE442*1))</f>
        <v>0</v>
      </c>
      <c r="L445" s="3"/>
      <c r="M445" s="22">
        <f t="shared" si="158"/>
        <v>0</v>
      </c>
      <c r="N445" s="14"/>
      <c r="O445" s="25">
        <f t="shared" si="143"/>
        <v>0</v>
      </c>
      <c r="P445" s="16"/>
      <c r="Q445" s="12">
        <f t="shared" si="144"/>
        <v>0</v>
      </c>
      <c r="R445" s="5">
        <v>0</v>
      </c>
      <c r="S445" s="24">
        <v>0</v>
      </c>
      <c r="T445" s="26">
        <v>0</v>
      </c>
      <c r="U445" s="18">
        <f t="shared" si="145"/>
        <v>0</v>
      </c>
      <c r="V445" s="22">
        <f t="shared" si="146"/>
        <v>0</v>
      </c>
      <c r="W445" s="25">
        <f t="shared" si="147"/>
        <v>0</v>
      </c>
      <c r="X445" s="3"/>
      <c r="Y445" s="14"/>
      <c r="Z445" s="14"/>
      <c r="AA445" s="3"/>
      <c r="AB445" s="3">
        <v>6.783E-3</v>
      </c>
      <c r="AC445" s="11">
        <v>46313</v>
      </c>
      <c r="AD445" s="4">
        <v>92</v>
      </c>
      <c r="AE445" s="18">
        <f>(IF(K445&gt;0,K445+R445,R445)-(AD445*Ventas!AE442*1.0489))</f>
        <v>0</v>
      </c>
      <c r="AF445" s="3"/>
      <c r="AG445" s="22">
        <f t="shared" si="159"/>
        <v>0</v>
      </c>
      <c r="AH445" s="14"/>
      <c r="AI445" s="25">
        <f t="shared" si="148"/>
        <v>0</v>
      </c>
      <c r="AJ445" s="16"/>
      <c r="AK445" s="12">
        <f t="shared" si="149"/>
        <v>0</v>
      </c>
      <c r="AL445" s="19">
        <f t="shared" si="150"/>
        <v>0</v>
      </c>
      <c r="AM445" s="18">
        <f>(180*(Ventas!AE442*0.9644) - IF(AE445&gt;0,AE445,0))</f>
        <v>0</v>
      </c>
      <c r="AN445" s="18">
        <f t="shared" si="160"/>
        <v>0</v>
      </c>
      <c r="AO445" s="14"/>
      <c r="AP445" s="14">
        <f t="shared" si="161"/>
        <v>0</v>
      </c>
      <c r="AQ445" s="16">
        <f t="shared" si="152"/>
        <v>0</v>
      </c>
      <c r="AR445" s="37">
        <f>_xlfn.XLOOKUP(C445,[1]Hoja2!$C$6:$C$24,[1]Hoja2!$D$6:$D$24,0,2,1)</f>
        <v>0</v>
      </c>
      <c r="AS445" s="18">
        <f t="shared" si="153"/>
        <v>0</v>
      </c>
      <c r="AT445" s="14"/>
      <c r="AU445" s="37">
        <f>_xlfn.XLOOKUP(D445,[1]Hoja2!$E$6:$E$24,[1]Hoja2!$F$6:$F$24,0,2,1)</f>
        <v>0</v>
      </c>
      <c r="AV445" s="3">
        <v>0</v>
      </c>
      <c r="AW445" s="3"/>
      <c r="AX445" s="14">
        <v>0</v>
      </c>
      <c r="AY445" s="14"/>
      <c r="AZ445" s="16">
        <f>_xlfn.XLOOKUP(C445,[2]PI!$B$15:$B$99,[2]PI!$L$15:$L$99,0,2,1)</f>
        <v>0</v>
      </c>
      <c r="BA445" s="16">
        <f>_xlfn.XLOOKUP(D445,[2]PI!$B$15:$B$99,[2]PI!$L$15:$L$99,0,2,1)</f>
        <v>0</v>
      </c>
      <c r="BB445" s="3"/>
      <c r="BC445" s="3"/>
      <c r="BD445" s="14"/>
      <c r="BE445" s="14"/>
      <c r="BF445" s="16"/>
      <c r="BG445" s="16"/>
      <c r="BH445" s="12">
        <f t="shared" si="154"/>
        <v>0</v>
      </c>
      <c r="BI445" s="19">
        <f t="shared" si="155"/>
        <v>0</v>
      </c>
      <c r="BJ445" s="1" t="s">
        <v>35</v>
      </c>
      <c r="BK445">
        <f t="shared" si="156"/>
        <v>0</v>
      </c>
      <c r="BL445">
        <f t="shared" si="157"/>
        <v>0</v>
      </c>
    </row>
    <row r="446" spans="1:64" x14ac:dyDescent="0.25">
      <c r="A446" s="1" t="s">
        <v>1340</v>
      </c>
      <c r="B446" s="1" t="s">
        <v>1339</v>
      </c>
      <c r="C446" s="13" t="s">
        <v>1338</v>
      </c>
      <c r="D446" s="15"/>
      <c r="E446" s="17"/>
      <c r="F446" s="3"/>
      <c r="G446" s="14"/>
      <c r="H446" s="16"/>
      <c r="I446" s="11">
        <v>46221</v>
      </c>
      <c r="J446" s="4">
        <v>17</v>
      </c>
      <c r="K446" s="18">
        <f>(F446-(0)+0-(J446*Ventas!AE443*1))</f>
        <v>0</v>
      </c>
      <c r="L446" s="3"/>
      <c r="M446" s="22">
        <f t="shared" si="158"/>
        <v>0</v>
      </c>
      <c r="N446" s="14"/>
      <c r="O446" s="25">
        <f t="shared" si="143"/>
        <v>0</v>
      </c>
      <c r="P446" s="16"/>
      <c r="Q446" s="12">
        <f t="shared" si="144"/>
        <v>0</v>
      </c>
      <c r="R446" s="5">
        <v>0</v>
      </c>
      <c r="S446" s="24">
        <v>0</v>
      </c>
      <c r="T446" s="26">
        <v>0</v>
      </c>
      <c r="U446" s="18">
        <f t="shared" si="145"/>
        <v>0</v>
      </c>
      <c r="V446" s="22">
        <f t="shared" si="146"/>
        <v>0</v>
      </c>
      <c r="W446" s="25">
        <f t="shared" si="147"/>
        <v>0</v>
      </c>
      <c r="X446" s="3"/>
      <c r="Y446" s="14"/>
      <c r="Z446" s="14"/>
      <c r="AA446" s="3"/>
      <c r="AB446" s="3">
        <v>6.783E-3</v>
      </c>
      <c r="AC446" s="11">
        <v>46313</v>
      </c>
      <c r="AD446" s="4">
        <v>92</v>
      </c>
      <c r="AE446" s="18">
        <f>(IF(K446&gt;0,K446+R446,R446)-(AD446*Ventas!AE443*1.0489))</f>
        <v>0</v>
      </c>
      <c r="AF446" s="3"/>
      <c r="AG446" s="22">
        <f t="shared" si="159"/>
        <v>0</v>
      </c>
      <c r="AH446" s="14"/>
      <c r="AI446" s="25">
        <f t="shared" si="148"/>
        <v>0</v>
      </c>
      <c r="AJ446" s="16"/>
      <c r="AK446" s="12">
        <f t="shared" si="149"/>
        <v>0</v>
      </c>
      <c r="AL446" s="19">
        <f t="shared" si="150"/>
        <v>0</v>
      </c>
      <c r="AM446" s="18">
        <f>(180*(Ventas!AE443*0.9644) - IF(AE446&gt;0,AE446,0))</f>
        <v>0</v>
      </c>
      <c r="AN446" s="18">
        <f t="shared" si="160"/>
        <v>0</v>
      </c>
      <c r="AO446" s="14"/>
      <c r="AP446" s="14">
        <f t="shared" si="161"/>
        <v>0</v>
      </c>
      <c r="AQ446" s="16">
        <f t="shared" si="152"/>
        <v>0</v>
      </c>
      <c r="AR446" s="37">
        <f>_xlfn.XLOOKUP(C446,[1]Hoja2!$C$6:$C$24,[1]Hoja2!$D$6:$D$24,0,2,1)</f>
        <v>0</v>
      </c>
      <c r="AS446" s="18">
        <f t="shared" si="153"/>
        <v>0</v>
      </c>
      <c r="AT446" s="14"/>
      <c r="AU446" s="37">
        <f>_xlfn.XLOOKUP(D446,[1]Hoja2!$E$6:$E$24,[1]Hoja2!$F$6:$F$24,0,2,1)</f>
        <v>0</v>
      </c>
      <c r="AV446" s="3">
        <v>0</v>
      </c>
      <c r="AW446" s="3"/>
      <c r="AX446" s="14">
        <v>0</v>
      </c>
      <c r="AY446" s="14"/>
      <c r="AZ446" s="16">
        <f>_xlfn.XLOOKUP(C446,[2]PI!$B$15:$B$99,[2]PI!$L$15:$L$99,0,2,1)</f>
        <v>0</v>
      </c>
      <c r="BA446" s="16">
        <f>_xlfn.XLOOKUP(D446,[2]PI!$B$15:$B$99,[2]PI!$L$15:$L$99,0,2,1)</f>
        <v>0</v>
      </c>
      <c r="BB446" s="3"/>
      <c r="BC446" s="3"/>
      <c r="BD446" s="14"/>
      <c r="BE446" s="14"/>
      <c r="BF446" s="16"/>
      <c r="BG446" s="16"/>
      <c r="BH446" s="12">
        <f t="shared" si="154"/>
        <v>0</v>
      </c>
      <c r="BI446" s="19">
        <f t="shared" si="155"/>
        <v>0</v>
      </c>
      <c r="BJ446" s="1" t="s">
        <v>35</v>
      </c>
      <c r="BK446">
        <f t="shared" si="156"/>
        <v>0</v>
      </c>
      <c r="BL446">
        <f t="shared" si="157"/>
        <v>0</v>
      </c>
    </row>
    <row r="447" spans="1:64" x14ac:dyDescent="0.25">
      <c r="A447" s="1" t="s">
        <v>1343</v>
      </c>
      <c r="B447" s="1" t="s">
        <v>1342</v>
      </c>
      <c r="C447" s="13" t="s">
        <v>1341</v>
      </c>
      <c r="D447" s="15"/>
      <c r="E447" s="17"/>
      <c r="F447" s="3"/>
      <c r="G447" s="14"/>
      <c r="H447" s="16"/>
      <c r="I447" s="11">
        <v>46221</v>
      </c>
      <c r="J447" s="4">
        <v>17</v>
      </c>
      <c r="K447" s="18">
        <f>(F447-(0)+0-(J447*Ventas!AE444*1))</f>
        <v>0</v>
      </c>
      <c r="L447" s="3"/>
      <c r="M447" s="22">
        <f t="shared" si="158"/>
        <v>0</v>
      </c>
      <c r="N447" s="14"/>
      <c r="O447" s="25">
        <f t="shared" si="143"/>
        <v>0</v>
      </c>
      <c r="P447" s="16"/>
      <c r="Q447" s="12">
        <f t="shared" si="144"/>
        <v>0</v>
      </c>
      <c r="R447" s="5">
        <v>0</v>
      </c>
      <c r="S447" s="24">
        <v>0</v>
      </c>
      <c r="T447" s="26">
        <v>0</v>
      </c>
      <c r="U447" s="18">
        <f t="shared" si="145"/>
        <v>0</v>
      </c>
      <c r="V447" s="22">
        <f t="shared" si="146"/>
        <v>0</v>
      </c>
      <c r="W447" s="25">
        <f t="shared" si="147"/>
        <v>0</v>
      </c>
      <c r="X447" s="3"/>
      <c r="Y447" s="14"/>
      <c r="Z447" s="14"/>
      <c r="AA447" s="3"/>
      <c r="AB447" s="3">
        <v>6.783E-3</v>
      </c>
      <c r="AC447" s="11">
        <v>46313</v>
      </c>
      <c r="AD447" s="4">
        <v>92</v>
      </c>
      <c r="AE447" s="18">
        <f>(IF(K447&gt;0,K447+R447,R447)-(AD447*Ventas!AE444*1.0489))</f>
        <v>0</v>
      </c>
      <c r="AF447" s="3"/>
      <c r="AG447" s="22">
        <f t="shared" si="159"/>
        <v>0</v>
      </c>
      <c r="AH447" s="14"/>
      <c r="AI447" s="25">
        <f t="shared" si="148"/>
        <v>0</v>
      </c>
      <c r="AJ447" s="16"/>
      <c r="AK447" s="12">
        <f t="shared" si="149"/>
        <v>0</v>
      </c>
      <c r="AL447" s="19">
        <f t="shared" si="150"/>
        <v>0</v>
      </c>
      <c r="AM447" s="18">
        <f>(180*(Ventas!AE444*0.9644) - IF(AE447&gt;0,AE447,0))</f>
        <v>0</v>
      </c>
      <c r="AN447" s="18">
        <f t="shared" si="160"/>
        <v>0</v>
      </c>
      <c r="AO447" s="14"/>
      <c r="AP447" s="14">
        <f t="shared" si="161"/>
        <v>0</v>
      </c>
      <c r="AQ447" s="16">
        <f t="shared" si="152"/>
        <v>0</v>
      </c>
      <c r="AR447" s="37">
        <f>_xlfn.XLOOKUP(C447,[1]Hoja2!$C$6:$C$24,[1]Hoja2!$D$6:$D$24,0,2,1)</f>
        <v>0</v>
      </c>
      <c r="AS447" s="18">
        <f t="shared" si="153"/>
        <v>0</v>
      </c>
      <c r="AT447" s="14"/>
      <c r="AU447" s="37">
        <f>_xlfn.XLOOKUP(D447,[1]Hoja2!$E$6:$E$24,[1]Hoja2!$F$6:$F$24,0,2,1)</f>
        <v>0</v>
      </c>
      <c r="AV447" s="3">
        <v>0</v>
      </c>
      <c r="AW447" s="3"/>
      <c r="AX447" s="14">
        <v>0</v>
      </c>
      <c r="AY447" s="14"/>
      <c r="AZ447" s="16">
        <f>_xlfn.XLOOKUP(C447,[2]PI!$B$15:$B$99,[2]PI!$L$15:$L$99,0,2,1)</f>
        <v>0</v>
      </c>
      <c r="BA447" s="16">
        <f>_xlfn.XLOOKUP(D447,[2]PI!$B$15:$B$99,[2]PI!$L$15:$L$99,0,2,1)</f>
        <v>0</v>
      </c>
      <c r="BB447" s="3"/>
      <c r="BC447" s="3"/>
      <c r="BD447" s="14"/>
      <c r="BE447" s="14"/>
      <c r="BF447" s="16"/>
      <c r="BG447" s="16"/>
      <c r="BH447" s="12">
        <f t="shared" si="154"/>
        <v>0</v>
      </c>
      <c r="BI447" s="19">
        <f t="shared" si="155"/>
        <v>0</v>
      </c>
      <c r="BJ447" s="1" t="s">
        <v>35</v>
      </c>
      <c r="BK447">
        <f t="shared" si="156"/>
        <v>0</v>
      </c>
      <c r="BL447">
        <f t="shared" si="157"/>
        <v>0</v>
      </c>
    </row>
    <row r="448" spans="1:64" x14ac:dyDescent="0.25">
      <c r="A448" s="1" t="s">
        <v>1346</v>
      </c>
      <c r="B448" s="1" t="s">
        <v>1345</v>
      </c>
      <c r="C448" s="13" t="s">
        <v>1344</v>
      </c>
      <c r="D448" s="15"/>
      <c r="E448" s="17"/>
      <c r="F448" s="3"/>
      <c r="G448" s="14"/>
      <c r="H448" s="16"/>
      <c r="I448" s="11">
        <v>46221</v>
      </c>
      <c r="J448" s="4">
        <v>17</v>
      </c>
      <c r="K448" s="18">
        <f>(F448-(0)+0-(J448*Ventas!AE445*1))</f>
        <v>0</v>
      </c>
      <c r="L448" s="3"/>
      <c r="M448" s="22">
        <f t="shared" si="158"/>
        <v>0</v>
      </c>
      <c r="N448" s="14"/>
      <c r="O448" s="25">
        <f t="shared" si="143"/>
        <v>0</v>
      </c>
      <c r="P448" s="16"/>
      <c r="Q448" s="12">
        <f t="shared" si="144"/>
        <v>0</v>
      </c>
      <c r="R448" s="5">
        <v>0</v>
      </c>
      <c r="S448" s="24">
        <v>0</v>
      </c>
      <c r="T448" s="26">
        <v>0</v>
      </c>
      <c r="U448" s="18">
        <f t="shared" si="145"/>
        <v>0</v>
      </c>
      <c r="V448" s="22">
        <f t="shared" si="146"/>
        <v>0</v>
      </c>
      <c r="W448" s="25">
        <f t="shared" si="147"/>
        <v>0</v>
      </c>
      <c r="X448" s="3"/>
      <c r="Y448" s="14"/>
      <c r="Z448" s="14"/>
      <c r="AA448" s="3"/>
      <c r="AB448" s="3">
        <v>6.783E-3</v>
      </c>
      <c r="AC448" s="11">
        <v>46313</v>
      </c>
      <c r="AD448" s="4">
        <v>92</v>
      </c>
      <c r="AE448" s="18">
        <f>(IF(K448&gt;0,K448+R448,R448)-(AD448*Ventas!AE445*1.0489))</f>
        <v>0</v>
      </c>
      <c r="AF448" s="3"/>
      <c r="AG448" s="22">
        <f t="shared" si="159"/>
        <v>0</v>
      </c>
      <c r="AH448" s="14"/>
      <c r="AI448" s="25">
        <f t="shared" si="148"/>
        <v>0</v>
      </c>
      <c r="AJ448" s="16"/>
      <c r="AK448" s="12">
        <f t="shared" si="149"/>
        <v>0</v>
      </c>
      <c r="AL448" s="19">
        <f t="shared" si="150"/>
        <v>0</v>
      </c>
      <c r="AM448" s="18">
        <f>(180*(Ventas!AE445*0.9644) - IF(AE448&gt;0,AE448,0))</f>
        <v>0</v>
      </c>
      <c r="AN448" s="18">
        <f t="shared" si="160"/>
        <v>0</v>
      </c>
      <c r="AO448" s="14"/>
      <c r="AP448" s="14">
        <f t="shared" si="161"/>
        <v>0</v>
      </c>
      <c r="AQ448" s="16">
        <f t="shared" si="152"/>
        <v>0</v>
      </c>
      <c r="AR448" s="37">
        <f>_xlfn.XLOOKUP(C448,[1]Hoja2!$C$6:$C$24,[1]Hoja2!$D$6:$D$24,0,2,1)</f>
        <v>0</v>
      </c>
      <c r="AS448" s="18">
        <f t="shared" si="153"/>
        <v>0</v>
      </c>
      <c r="AT448" s="14"/>
      <c r="AU448" s="37">
        <f>_xlfn.XLOOKUP(D448,[1]Hoja2!$E$6:$E$24,[1]Hoja2!$F$6:$F$24,0,2,1)</f>
        <v>0</v>
      </c>
      <c r="AV448" s="3">
        <v>0</v>
      </c>
      <c r="AW448" s="3"/>
      <c r="AX448" s="14">
        <v>0</v>
      </c>
      <c r="AY448" s="14"/>
      <c r="AZ448" s="16">
        <f>_xlfn.XLOOKUP(C448,[2]PI!$B$15:$B$99,[2]PI!$L$15:$L$99,0,2,1)</f>
        <v>0</v>
      </c>
      <c r="BA448" s="16">
        <f>_xlfn.XLOOKUP(D448,[2]PI!$B$15:$B$99,[2]PI!$L$15:$L$99,0,2,1)</f>
        <v>0</v>
      </c>
      <c r="BB448" s="3"/>
      <c r="BC448" s="3"/>
      <c r="BD448" s="14"/>
      <c r="BE448" s="14"/>
      <c r="BF448" s="16"/>
      <c r="BG448" s="16"/>
      <c r="BH448" s="12">
        <f t="shared" si="154"/>
        <v>0</v>
      </c>
      <c r="BI448" s="19">
        <f t="shared" si="155"/>
        <v>0</v>
      </c>
      <c r="BJ448" s="1" t="s">
        <v>35</v>
      </c>
      <c r="BK448">
        <f t="shared" si="156"/>
        <v>0</v>
      </c>
      <c r="BL448">
        <f t="shared" si="157"/>
        <v>0</v>
      </c>
    </row>
    <row r="449" spans="1:64" x14ac:dyDescent="0.25">
      <c r="A449" s="1" t="s">
        <v>1349</v>
      </c>
      <c r="B449" s="1" t="s">
        <v>1348</v>
      </c>
      <c r="C449" s="13" t="s">
        <v>1347</v>
      </c>
      <c r="D449" s="15"/>
      <c r="E449" s="17"/>
      <c r="F449" s="3"/>
      <c r="G449" s="14"/>
      <c r="H449" s="16"/>
      <c r="I449" s="11">
        <v>46221</v>
      </c>
      <c r="J449" s="4">
        <v>17</v>
      </c>
      <c r="K449" s="18">
        <f>(F449-(0)+0-(J449*Ventas!AE446*1))</f>
        <v>0</v>
      </c>
      <c r="L449" s="3"/>
      <c r="M449" s="22">
        <f t="shared" si="158"/>
        <v>0</v>
      </c>
      <c r="N449" s="14"/>
      <c r="O449" s="25">
        <f t="shared" si="143"/>
        <v>0</v>
      </c>
      <c r="P449" s="16"/>
      <c r="Q449" s="12">
        <f t="shared" si="144"/>
        <v>0</v>
      </c>
      <c r="R449" s="5">
        <v>0</v>
      </c>
      <c r="S449" s="24">
        <v>0</v>
      </c>
      <c r="T449" s="26">
        <v>0</v>
      </c>
      <c r="U449" s="18">
        <f t="shared" si="145"/>
        <v>0</v>
      </c>
      <c r="V449" s="22">
        <f t="shared" si="146"/>
        <v>0</v>
      </c>
      <c r="W449" s="25">
        <f t="shared" si="147"/>
        <v>0</v>
      </c>
      <c r="X449" s="3"/>
      <c r="Y449" s="14"/>
      <c r="Z449" s="14"/>
      <c r="AA449" s="3"/>
      <c r="AB449" s="3">
        <v>6.783E-3</v>
      </c>
      <c r="AC449" s="11">
        <v>46313</v>
      </c>
      <c r="AD449" s="4">
        <v>92</v>
      </c>
      <c r="AE449" s="18">
        <f>(IF(K449&gt;0,K449+R449,R449)-(AD449*Ventas!AE446*1.0489))</f>
        <v>0</v>
      </c>
      <c r="AF449" s="3"/>
      <c r="AG449" s="22">
        <f t="shared" si="159"/>
        <v>0</v>
      </c>
      <c r="AH449" s="14"/>
      <c r="AI449" s="25">
        <f t="shared" si="148"/>
        <v>0</v>
      </c>
      <c r="AJ449" s="16"/>
      <c r="AK449" s="12">
        <f t="shared" si="149"/>
        <v>0</v>
      </c>
      <c r="AL449" s="19">
        <f t="shared" si="150"/>
        <v>0</v>
      </c>
      <c r="AM449" s="18">
        <f>(180*(Ventas!AE446*0.9644) - IF(AE449&gt;0,AE449,0))</f>
        <v>0</v>
      </c>
      <c r="AN449" s="18">
        <f t="shared" ref="AN449:AN478" si="162">IF(AM449&gt;3,CEILING(AM449,5),0)</f>
        <v>0</v>
      </c>
      <c r="AO449" s="14"/>
      <c r="AP449" s="14">
        <f t="shared" si="161"/>
        <v>0</v>
      </c>
      <c r="AQ449" s="16">
        <f t="shared" si="152"/>
        <v>0</v>
      </c>
      <c r="AR449" s="37">
        <f>_xlfn.XLOOKUP(C449,[1]Hoja2!$C$6:$C$24,[1]Hoja2!$D$6:$D$24,0,2,1)</f>
        <v>0</v>
      </c>
      <c r="AS449" s="18">
        <f t="shared" si="153"/>
        <v>0</v>
      </c>
      <c r="AT449" s="14"/>
      <c r="AU449" s="37">
        <f>_xlfn.XLOOKUP(D449,[1]Hoja2!$E$6:$E$24,[1]Hoja2!$F$6:$F$24,0,2,1)</f>
        <v>0</v>
      </c>
      <c r="AV449" s="3">
        <v>0</v>
      </c>
      <c r="AW449" s="3"/>
      <c r="AX449" s="14">
        <v>0</v>
      </c>
      <c r="AY449" s="14"/>
      <c r="AZ449" s="16">
        <f>_xlfn.XLOOKUP(C449,[2]PI!$B$15:$B$99,[2]PI!$L$15:$L$99,0,2,1)</f>
        <v>0</v>
      </c>
      <c r="BA449" s="16">
        <f>_xlfn.XLOOKUP(D449,[2]PI!$B$15:$B$99,[2]PI!$L$15:$L$99,0,2,1)</f>
        <v>0</v>
      </c>
      <c r="BB449" s="3"/>
      <c r="BC449" s="3"/>
      <c r="BD449" s="14"/>
      <c r="BE449" s="14"/>
      <c r="BF449" s="16"/>
      <c r="BG449" s="16"/>
      <c r="BH449" s="12">
        <f t="shared" si="154"/>
        <v>0</v>
      </c>
      <c r="BI449" s="19">
        <f t="shared" si="155"/>
        <v>0</v>
      </c>
      <c r="BJ449" s="1" t="s">
        <v>35</v>
      </c>
      <c r="BK449">
        <f t="shared" si="156"/>
        <v>0</v>
      </c>
      <c r="BL449">
        <f t="shared" si="157"/>
        <v>0</v>
      </c>
    </row>
    <row r="450" spans="1:64" x14ac:dyDescent="0.25">
      <c r="A450" s="1" t="s">
        <v>1352</v>
      </c>
      <c r="B450" s="1" t="s">
        <v>1351</v>
      </c>
      <c r="C450" s="13" t="s">
        <v>1350</v>
      </c>
      <c r="D450" s="15"/>
      <c r="E450" s="17"/>
      <c r="F450" s="3"/>
      <c r="G450" s="14"/>
      <c r="H450" s="16"/>
      <c r="I450" s="11">
        <v>46221</v>
      </c>
      <c r="J450" s="4">
        <v>17</v>
      </c>
      <c r="K450" s="18">
        <f>(F450-(0)+0-(J450*Ventas!AE447*1))</f>
        <v>0</v>
      </c>
      <c r="L450" s="3"/>
      <c r="M450" s="22">
        <f t="shared" si="158"/>
        <v>0</v>
      </c>
      <c r="N450" s="14"/>
      <c r="O450" s="25">
        <f t="shared" si="143"/>
        <v>0</v>
      </c>
      <c r="P450" s="16"/>
      <c r="Q450" s="12">
        <f t="shared" si="144"/>
        <v>0</v>
      </c>
      <c r="R450" s="5">
        <v>0</v>
      </c>
      <c r="S450" s="24">
        <v>0</v>
      </c>
      <c r="T450" s="26">
        <v>0</v>
      </c>
      <c r="U450" s="18">
        <f t="shared" si="145"/>
        <v>0</v>
      </c>
      <c r="V450" s="22">
        <f t="shared" si="146"/>
        <v>0</v>
      </c>
      <c r="W450" s="25">
        <f t="shared" si="147"/>
        <v>0</v>
      </c>
      <c r="X450" s="3"/>
      <c r="Y450" s="14"/>
      <c r="Z450" s="14"/>
      <c r="AA450" s="3"/>
      <c r="AB450" s="3">
        <v>6.783E-3</v>
      </c>
      <c r="AC450" s="11">
        <v>46313</v>
      </c>
      <c r="AD450" s="4">
        <v>92</v>
      </c>
      <c r="AE450" s="18">
        <f>(IF(K450&gt;0,K450+R450,R450)-(AD450*Ventas!AE447*1.0489))</f>
        <v>0</v>
      </c>
      <c r="AF450" s="3"/>
      <c r="AG450" s="22">
        <f t="shared" si="159"/>
        <v>0</v>
      </c>
      <c r="AH450" s="14"/>
      <c r="AI450" s="25">
        <f t="shared" si="148"/>
        <v>0</v>
      </c>
      <c r="AJ450" s="16"/>
      <c r="AK450" s="12">
        <f t="shared" si="149"/>
        <v>0</v>
      </c>
      <c r="AL450" s="19">
        <f t="shared" si="150"/>
        <v>0</v>
      </c>
      <c r="AM450" s="18">
        <f>(180*(Ventas!AE447*0.9644) - IF(AE450&gt;0,AE450,0))</f>
        <v>0</v>
      </c>
      <c r="AN450" s="18">
        <f t="shared" si="162"/>
        <v>0</v>
      </c>
      <c r="AO450" s="14"/>
      <c r="AP450" s="14">
        <f t="shared" si="161"/>
        <v>0</v>
      </c>
      <c r="AQ450" s="16">
        <f t="shared" si="152"/>
        <v>0</v>
      </c>
      <c r="AR450" s="37">
        <f>_xlfn.XLOOKUP(C450,[1]Hoja2!$C$6:$C$24,[1]Hoja2!$D$6:$D$24,0,2,1)</f>
        <v>0</v>
      </c>
      <c r="AS450" s="18">
        <f t="shared" si="153"/>
        <v>0</v>
      </c>
      <c r="AT450" s="14"/>
      <c r="AU450" s="37">
        <f>_xlfn.XLOOKUP(D450,[1]Hoja2!$E$6:$E$24,[1]Hoja2!$F$6:$F$24,0,2,1)</f>
        <v>0</v>
      </c>
      <c r="AV450" s="3">
        <v>0</v>
      </c>
      <c r="AW450" s="3"/>
      <c r="AX450" s="14">
        <v>0</v>
      </c>
      <c r="AY450" s="14"/>
      <c r="AZ450" s="16">
        <f>_xlfn.XLOOKUP(C450,[2]PI!$B$15:$B$99,[2]PI!$L$15:$L$99,0,2,1)</f>
        <v>0</v>
      </c>
      <c r="BA450" s="16">
        <f>_xlfn.XLOOKUP(D450,[2]PI!$B$15:$B$99,[2]PI!$L$15:$L$99,0,2,1)</f>
        <v>0</v>
      </c>
      <c r="BB450" s="3"/>
      <c r="BC450" s="3"/>
      <c r="BD450" s="14"/>
      <c r="BE450" s="14"/>
      <c r="BF450" s="16"/>
      <c r="BG450" s="16"/>
      <c r="BH450" s="12">
        <f t="shared" si="154"/>
        <v>0</v>
      </c>
      <c r="BI450" s="19">
        <f t="shared" si="155"/>
        <v>0</v>
      </c>
      <c r="BJ450" s="1" t="s">
        <v>35</v>
      </c>
      <c r="BK450">
        <f t="shared" si="156"/>
        <v>0</v>
      </c>
      <c r="BL450">
        <f t="shared" si="157"/>
        <v>0</v>
      </c>
    </row>
    <row r="451" spans="1:64" x14ac:dyDescent="0.25">
      <c r="A451" s="1" t="s">
        <v>1355</v>
      </c>
      <c r="B451" s="1" t="s">
        <v>1354</v>
      </c>
      <c r="C451" s="13" t="s">
        <v>1353</v>
      </c>
      <c r="D451" s="15"/>
      <c r="E451" s="17"/>
      <c r="F451" s="3"/>
      <c r="G451" s="14"/>
      <c r="H451" s="16"/>
      <c r="I451" s="11">
        <v>46221</v>
      </c>
      <c r="J451" s="4">
        <v>17</v>
      </c>
      <c r="K451" s="18">
        <f>(F451-(0)+0-(J451*Ventas!AE448*1))</f>
        <v>0</v>
      </c>
      <c r="L451" s="3"/>
      <c r="M451" s="22">
        <f t="shared" si="158"/>
        <v>0</v>
      </c>
      <c r="N451" s="14"/>
      <c r="O451" s="25">
        <f t="shared" si="143"/>
        <v>0</v>
      </c>
      <c r="P451" s="16"/>
      <c r="Q451" s="12">
        <f t="shared" si="144"/>
        <v>0</v>
      </c>
      <c r="R451" s="5">
        <v>0</v>
      </c>
      <c r="S451" s="24">
        <v>0</v>
      </c>
      <c r="T451" s="26">
        <v>0</v>
      </c>
      <c r="U451" s="18">
        <f t="shared" si="145"/>
        <v>0</v>
      </c>
      <c r="V451" s="22">
        <f t="shared" si="146"/>
        <v>0</v>
      </c>
      <c r="W451" s="25">
        <f t="shared" si="147"/>
        <v>0</v>
      </c>
      <c r="X451" s="3"/>
      <c r="Y451" s="14"/>
      <c r="Z451" s="14"/>
      <c r="AA451" s="3"/>
      <c r="AB451" s="3">
        <v>6.783E-3</v>
      </c>
      <c r="AC451" s="11">
        <v>46313</v>
      </c>
      <c r="AD451" s="4">
        <v>92</v>
      </c>
      <c r="AE451" s="18">
        <f>(IF(K451&gt;0,K451+R451,R451)-(AD451*Ventas!AE448*1.0489))</f>
        <v>0</v>
      </c>
      <c r="AF451" s="3"/>
      <c r="AG451" s="22">
        <f t="shared" si="159"/>
        <v>0</v>
      </c>
      <c r="AH451" s="14"/>
      <c r="AI451" s="25">
        <f t="shared" si="148"/>
        <v>0</v>
      </c>
      <c r="AJ451" s="16"/>
      <c r="AK451" s="12">
        <f t="shared" si="149"/>
        <v>0</v>
      </c>
      <c r="AL451" s="19">
        <f t="shared" si="150"/>
        <v>0</v>
      </c>
      <c r="AM451" s="18">
        <f>(180*(Ventas!AE448*0.9644) - IF(AE451&gt;0,AE451,0))</f>
        <v>0</v>
      </c>
      <c r="AN451" s="18">
        <f t="shared" si="162"/>
        <v>0</v>
      </c>
      <c r="AO451" s="14"/>
      <c r="AP451" s="14">
        <f t="shared" si="161"/>
        <v>0</v>
      </c>
      <c r="AQ451" s="16">
        <f t="shared" si="152"/>
        <v>0</v>
      </c>
      <c r="AR451" s="37">
        <f>_xlfn.XLOOKUP(C451,[1]Hoja2!$C$6:$C$24,[1]Hoja2!$D$6:$D$24,0,2,1)</f>
        <v>0</v>
      </c>
      <c r="AS451" s="18">
        <f t="shared" si="153"/>
        <v>0</v>
      </c>
      <c r="AT451" s="14"/>
      <c r="AU451" s="37">
        <f>_xlfn.XLOOKUP(D451,[1]Hoja2!$E$6:$E$24,[1]Hoja2!$F$6:$F$24,0,2,1)</f>
        <v>0</v>
      </c>
      <c r="AV451" s="3">
        <v>0</v>
      </c>
      <c r="AW451" s="3"/>
      <c r="AX451" s="14">
        <v>0</v>
      </c>
      <c r="AY451" s="14"/>
      <c r="AZ451" s="16">
        <f>_xlfn.XLOOKUP(C451,[2]PI!$B$15:$B$99,[2]PI!$L$15:$L$99,0,2,1)</f>
        <v>0</v>
      </c>
      <c r="BA451" s="16">
        <f>_xlfn.XLOOKUP(D451,[2]PI!$B$15:$B$99,[2]PI!$L$15:$L$99,0,2,1)</f>
        <v>0</v>
      </c>
      <c r="BB451" s="3"/>
      <c r="BC451" s="3"/>
      <c r="BD451" s="14"/>
      <c r="BE451" s="14"/>
      <c r="BF451" s="16"/>
      <c r="BG451" s="16"/>
      <c r="BH451" s="12">
        <f t="shared" si="154"/>
        <v>0</v>
      </c>
      <c r="BI451" s="19">
        <f t="shared" si="155"/>
        <v>0</v>
      </c>
      <c r="BJ451" s="1" t="s">
        <v>35</v>
      </c>
      <c r="BK451">
        <f t="shared" si="156"/>
        <v>0</v>
      </c>
      <c r="BL451">
        <f t="shared" si="157"/>
        <v>0</v>
      </c>
    </row>
    <row r="452" spans="1:64" x14ac:dyDescent="0.25">
      <c r="A452" s="1" t="s">
        <v>1358</v>
      </c>
      <c r="B452" s="1" t="s">
        <v>1357</v>
      </c>
      <c r="C452" s="13" t="s">
        <v>1356</v>
      </c>
      <c r="D452" s="15"/>
      <c r="E452" s="17"/>
      <c r="F452" s="3"/>
      <c r="G452" s="14"/>
      <c r="H452" s="16"/>
      <c r="I452" s="11">
        <v>46221</v>
      </c>
      <c r="J452" s="4">
        <v>17</v>
      </c>
      <c r="K452" s="18">
        <f>(F452-(0)+0-(J452*Ventas!AE449*1))</f>
        <v>0</v>
      </c>
      <c r="L452" s="3"/>
      <c r="M452" s="22">
        <f t="shared" si="158"/>
        <v>0</v>
      </c>
      <c r="N452" s="14"/>
      <c r="O452" s="25">
        <f t="shared" si="143"/>
        <v>0</v>
      </c>
      <c r="P452" s="16"/>
      <c r="Q452" s="12">
        <f t="shared" si="144"/>
        <v>0</v>
      </c>
      <c r="R452" s="5">
        <v>0</v>
      </c>
      <c r="S452" s="24">
        <v>0</v>
      </c>
      <c r="T452" s="26">
        <v>0</v>
      </c>
      <c r="U452" s="18">
        <f t="shared" si="145"/>
        <v>0</v>
      </c>
      <c r="V452" s="22">
        <f t="shared" si="146"/>
        <v>0</v>
      </c>
      <c r="W452" s="25">
        <f t="shared" si="147"/>
        <v>0</v>
      </c>
      <c r="X452" s="3"/>
      <c r="Y452" s="14"/>
      <c r="Z452" s="14"/>
      <c r="AA452" s="3"/>
      <c r="AB452" s="3">
        <v>6.783E-3</v>
      </c>
      <c r="AC452" s="11">
        <v>46313</v>
      </c>
      <c r="AD452" s="4">
        <v>92</v>
      </c>
      <c r="AE452" s="18">
        <f>(IF(K452&gt;0,K452+R452,R452)-(AD452*Ventas!AE449*1.0489))</f>
        <v>0</v>
      </c>
      <c r="AF452" s="3"/>
      <c r="AG452" s="22">
        <f t="shared" si="159"/>
        <v>0</v>
      </c>
      <c r="AH452" s="14"/>
      <c r="AI452" s="25">
        <f t="shared" si="148"/>
        <v>0</v>
      </c>
      <c r="AJ452" s="16"/>
      <c r="AK452" s="12">
        <f t="shared" si="149"/>
        <v>0</v>
      </c>
      <c r="AL452" s="19">
        <f t="shared" si="150"/>
        <v>0</v>
      </c>
      <c r="AM452" s="18">
        <f>(180*(Ventas!AE449*0.9644) - IF(AE452&gt;0,AE452,0))</f>
        <v>0</v>
      </c>
      <c r="AN452" s="18">
        <f t="shared" si="162"/>
        <v>0</v>
      </c>
      <c r="AO452" s="14"/>
      <c r="AP452" s="14">
        <f t="shared" si="161"/>
        <v>0</v>
      </c>
      <c r="AQ452" s="16">
        <f t="shared" si="152"/>
        <v>0</v>
      </c>
      <c r="AR452" s="37">
        <f>_xlfn.XLOOKUP(C452,[1]Hoja2!$C$6:$C$24,[1]Hoja2!$D$6:$D$24,0,2,1)</f>
        <v>0</v>
      </c>
      <c r="AS452" s="18">
        <f t="shared" si="153"/>
        <v>0</v>
      </c>
      <c r="AT452" s="14"/>
      <c r="AU452" s="37">
        <f>_xlfn.XLOOKUP(D452,[1]Hoja2!$E$6:$E$24,[1]Hoja2!$F$6:$F$24,0,2,1)</f>
        <v>0</v>
      </c>
      <c r="AV452" s="3">
        <v>0</v>
      </c>
      <c r="AW452" s="3"/>
      <c r="AX452" s="14">
        <v>0</v>
      </c>
      <c r="AY452" s="14"/>
      <c r="AZ452" s="16">
        <f>_xlfn.XLOOKUP(C452,[2]PI!$B$15:$B$99,[2]PI!$L$15:$L$99,0,2,1)</f>
        <v>0</v>
      </c>
      <c r="BA452" s="16">
        <f>_xlfn.XLOOKUP(D452,[2]PI!$B$15:$B$99,[2]PI!$L$15:$L$99,0,2,1)</f>
        <v>0</v>
      </c>
      <c r="BB452" s="3"/>
      <c r="BC452" s="3"/>
      <c r="BD452" s="14"/>
      <c r="BE452" s="14"/>
      <c r="BF452" s="16"/>
      <c r="BG452" s="16"/>
      <c r="BH452" s="12">
        <f t="shared" si="154"/>
        <v>0</v>
      </c>
      <c r="BI452" s="19">
        <f t="shared" si="155"/>
        <v>0</v>
      </c>
      <c r="BJ452" s="1" t="s">
        <v>35</v>
      </c>
      <c r="BK452">
        <f t="shared" si="156"/>
        <v>0</v>
      </c>
      <c r="BL452">
        <f t="shared" si="157"/>
        <v>0</v>
      </c>
    </row>
    <row r="453" spans="1:64" x14ac:dyDescent="0.25">
      <c r="A453" s="1" t="s">
        <v>1361</v>
      </c>
      <c r="B453" s="1" t="s">
        <v>1360</v>
      </c>
      <c r="C453" s="13" t="s">
        <v>1359</v>
      </c>
      <c r="D453" s="15"/>
      <c r="E453" s="17"/>
      <c r="F453" s="3"/>
      <c r="G453" s="14"/>
      <c r="H453" s="16"/>
      <c r="I453" s="11">
        <v>46221</v>
      </c>
      <c r="J453" s="4">
        <v>17</v>
      </c>
      <c r="K453" s="18">
        <f>(F453-(0)+0-(J453*Ventas!AE450*1))</f>
        <v>0</v>
      </c>
      <c r="L453" s="3"/>
      <c r="M453" s="22">
        <f t="shared" si="158"/>
        <v>0</v>
      </c>
      <c r="N453" s="14"/>
      <c r="O453" s="25">
        <f t="shared" ref="O453:O497" si="163">(H453+0)</f>
        <v>0</v>
      </c>
      <c r="P453" s="16"/>
      <c r="Q453" s="12">
        <f t="shared" ref="Q453:Q497" si="164">(K453+M453+O453)</f>
        <v>0</v>
      </c>
      <c r="R453" s="5">
        <v>0</v>
      </c>
      <c r="S453" s="24">
        <v>0</v>
      </c>
      <c r="T453" s="26">
        <v>0</v>
      </c>
      <c r="U453" s="18">
        <f t="shared" ref="U453:U497" si="165">IF(K453&gt;0,K453+R453,R453)</f>
        <v>0</v>
      </c>
      <c r="V453" s="22">
        <f t="shared" ref="V453:V497" si="166">IF(M453&gt;0,M453+S453,S453)</f>
        <v>0</v>
      </c>
      <c r="W453" s="25">
        <f t="shared" ref="W453:W497" si="167">IF(O453&gt;0,O453+T453,T453)</f>
        <v>0</v>
      </c>
      <c r="X453" s="3"/>
      <c r="Y453" s="14"/>
      <c r="Z453" s="14"/>
      <c r="AA453" s="3"/>
      <c r="AB453" s="3">
        <v>6.783E-3</v>
      </c>
      <c r="AC453" s="11">
        <v>46313</v>
      </c>
      <c r="AD453" s="4">
        <v>92</v>
      </c>
      <c r="AE453" s="18">
        <f>(IF(K453&gt;0,K453+R453,R453)-(AD453*Ventas!AE450*1.0489))</f>
        <v>0</v>
      </c>
      <c r="AF453" s="3"/>
      <c r="AG453" s="22">
        <f t="shared" si="159"/>
        <v>0</v>
      </c>
      <c r="AH453" s="14"/>
      <c r="AI453" s="25">
        <f t="shared" ref="AI453:AI497" si="168">(H453+0)</f>
        <v>0</v>
      </c>
      <c r="AJ453" s="16"/>
      <c r="AK453" s="12">
        <f t="shared" ref="AK453:AK497" si="169">(AE453+AG453+AI453)</f>
        <v>0</v>
      </c>
      <c r="AL453" s="19">
        <f t="shared" ref="AL453:AL497" si="170">(((AF453*7)+(AH453*1)+(AJ453*0))/8)</f>
        <v>0</v>
      </c>
      <c r="AM453" s="18">
        <f>(180*(Ventas!AE450*0.9644) - IF(AE453&gt;0,AE453,0))</f>
        <v>0</v>
      </c>
      <c r="AN453" s="18">
        <f t="shared" si="162"/>
        <v>0</v>
      </c>
      <c r="AO453" s="14"/>
      <c r="AP453" s="14">
        <f t="shared" ref="AP453:AP478" si="171">IF(AO453&gt;3,CEILING(AO453,5),0)</f>
        <v>0</v>
      </c>
      <c r="AQ453" s="16">
        <f t="shared" ref="AQ453:AQ516" si="172">(AN453+AP453)*AB453</f>
        <v>0</v>
      </c>
      <c r="AR453" s="37">
        <f>_xlfn.XLOOKUP(C453,[1]Hoja2!$C$6:$C$24,[1]Hoja2!$D$6:$D$24,0,2,1)</f>
        <v>0</v>
      </c>
      <c r="AS453" s="18">
        <f t="shared" ref="AS453:AS497" si="173">IF(AE453&gt;0,AE453+IF(AN453&gt;0,AN453,0),AN453)</f>
        <v>0</v>
      </c>
      <c r="AT453" s="14"/>
      <c r="AU453" s="37">
        <f>_xlfn.XLOOKUP(D453,[1]Hoja2!$E$6:$E$24,[1]Hoja2!$F$6:$F$24,0,2,1)</f>
        <v>0</v>
      </c>
      <c r="AV453" s="3">
        <v>0</v>
      </c>
      <c r="AW453" s="3"/>
      <c r="AX453" s="14">
        <v>0</v>
      </c>
      <c r="AY453" s="14"/>
      <c r="AZ453" s="16">
        <f>_xlfn.XLOOKUP(C453,[2]PI!$B$15:$B$99,[2]PI!$L$15:$L$99,0,2,1)</f>
        <v>0</v>
      </c>
      <c r="BA453" s="16">
        <f>_xlfn.XLOOKUP(D453,[2]PI!$B$15:$B$99,[2]PI!$L$15:$L$99,0,2,1)</f>
        <v>0</v>
      </c>
      <c r="BB453" s="3"/>
      <c r="BC453" s="3"/>
      <c r="BD453" s="14"/>
      <c r="BE453" s="14"/>
      <c r="BF453" s="16"/>
      <c r="BG453" s="16"/>
      <c r="BH453" s="12">
        <f t="shared" ref="BH453:BH497" si="174">(IF(BB453&gt;0,BB453,0)+IF(BD453&gt;0,BD453,0)+IF(BF453&gt;0,BF453,0))</f>
        <v>0</v>
      </c>
      <c r="BI453" s="19">
        <f t="shared" ref="BI453:BI497" si="175">(((BC453*7)+(BE453*1)+(BG453*1))/8)</f>
        <v>0</v>
      </c>
      <c r="BJ453" s="1" t="s">
        <v>35</v>
      </c>
      <c r="BK453">
        <f t="shared" si="156"/>
        <v>0</v>
      </c>
      <c r="BL453">
        <f t="shared" si="157"/>
        <v>0</v>
      </c>
    </row>
    <row r="454" spans="1:64" x14ac:dyDescent="0.25">
      <c r="A454" s="1" t="s">
        <v>1364</v>
      </c>
      <c r="B454" s="1" t="s">
        <v>1363</v>
      </c>
      <c r="C454" s="13" t="s">
        <v>1362</v>
      </c>
      <c r="D454" s="15"/>
      <c r="E454" s="17"/>
      <c r="F454" s="3"/>
      <c r="G454" s="14"/>
      <c r="H454" s="16"/>
      <c r="I454" s="11">
        <v>46221</v>
      </c>
      <c r="J454" s="4">
        <v>17</v>
      </c>
      <c r="K454" s="18">
        <f>(F454-(0)+0-(J454*Ventas!AE451*1))</f>
        <v>0</v>
      </c>
      <c r="L454" s="3"/>
      <c r="M454" s="22">
        <f t="shared" si="158"/>
        <v>0</v>
      </c>
      <c r="N454" s="14"/>
      <c r="O454" s="25">
        <f t="shared" si="163"/>
        <v>0</v>
      </c>
      <c r="P454" s="16"/>
      <c r="Q454" s="12">
        <f t="shared" si="164"/>
        <v>0</v>
      </c>
      <c r="R454" s="5">
        <v>0</v>
      </c>
      <c r="S454" s="24">
        <v>0</v>
      </c>
      <c r="T454" s="26">
        <v>0</v>
      </c>
      <c r="U454" s="18">
        <f t="shared" si="165"/>
        <v>0</v>
      </c>
      <c r="V454" s="22">
        <f t="shared" si="166"/>
        <v>0</v>
      </c>
      <c r="W454" s="25">
        <f t="shared" si="167"/>
        <v>0</v>
      </c>
      <c r="X454" s="3"/>
      <c r="Y454" s="14"/>
      <c r="Z454" s="14"/>
      <c r="AA454" s="3"/>
      <c r="AB454" s="3">
        <v>6.783E-3</v>
      </c>
      <c r="AC454" s="11">
        <v>46313</v>
      </c>
      <c r="AD454" s="4">
        <v>92</v>
      </c>
      <c r="AE454" s="18">
        <f>(IF(K454&gt;0,K454+R454,R454)-(AD454*Ventas!AE451*1.0489))</f>
        <v>0</v>
      </c>
      <c r="AF454" s="3"/>
      <c r="AG454" s="22">
        <f t="shared" si="159"/>
        <v>0</v>
      </c>
      <c r="AH454" s="14"/>
      <c r="AI454" s="25">
        <f t="shared" si="168"/>
        <v>0</v>
      </c>
      <c r="AJ454" s="16"/>
      <c r="AK454" s="12">
        <f t="shared" si="169"/>
        <v>0</v>
      </c>
      <c r="AL454" s="19">
        <f t="shared" si="170"/>
        <v>0</v>
      </c>
      <c r="AM454" s="18">
        <f>(180*(Ventas!AE451*0.9644) - IF(AE454&gt;0,AE454,0))</f>
        <v>0</v>
      </c>
      <c r="AN454" s="18">
        <f t="shared" si="162"/>
        <v>0</v>
      </c>
      <c r="AO454" s="14"/>
      <c r="AP454" s="14">
        <f t="shared" si="171"/>
        <v>0</v>
      </c>
      <c r="AQ454" s="16">
        <f t="shared" si="172"/>
        <v>0</v>
      </c>
      <c r="AR454" s="37">
        <f>_xlfn.XLOOKUP(C454,[1]Hoja2!$C$6:$C$24,[1]Hoja2!$D$6:$D$24,0,2,1)</f>
        <v>0</v>
      </c>
      <c r="AS454" s="18">
        <f t="shared" si="173"/>
        <v>0</v>
      </c>
      <c r="AT454" s="14"/>
      <c r="AU454" s="37">
        <f>_xlfn.XLOOKUP(D454,[1]Hoja2!$E$6:$E$24,[1]Hoja2!$F$6:$F$24,0,2,1)</f>
        <v>0</v>
      </c>
      <c r="AV454" s="3">
        <v>0</v>
      </c>
      <c r="AW454" s="3"/>
      <c r="AX454" s="14">
        <v>0</v>
      </c>
      <c r="AY454" s="14"/>
      <c r="AZ454" s="16">
        <f>_xlfn.XLOOKUP(C454,[2]PI!$B$15:$B$99,[2]PI!$L$15:$L$99,0,2,1)</f>
        <v>0</v>
      </c>
      <c r="BA454" s="16">
        <f>_xlfn.XLOOKUP(D454,[2]PI!$B$15:$B$99,[2]PI!$L$15:$L$99,0,2,1)</f>
        <v>0</v>
      </c>
      <c r="BB454" s="3"/>
      <c r="BC454" s="3"/>
      <c r="BD454" s="14"/>
      <c r="BE454" s="14"/>
      <c r="BF454" s="16"/>
      <c r="BG454" s="16"/>
      <c r="BH454" s="12">
        <f t="shared" si="174"/>
        <v>0</v>
      </c>
      <c r="BI454" s="19">
        <f t="shared" si="175"/>
        <v>0</v>
      </c>
      <c r="BJ454" s="1" t="s">
        <v>35</v>
      </c>
      <c r="BK454">
        <f t="shared" ref="BK454:BK500" si="176">AV454*AN454+AP454*AX454</f>
        <v>0</v>
      </c>
      <c r="BL454">
        <f t="shared" ref="BL454:BL500" si="177">(AN454)*AZ454+AP454*BA454</f>
        <v>0</v>
      </c>
    </row>
    <row r="455" spans="1:64" x14ac:dyDescent="0.25">
      <c r="A455" s="1" t="s">
        <v>1367</v>
      </c>
      <c r="B455" s="1" t="s">
        <v>1366</v>
      </c>
      <c r="C455" s="13" t="s">
        <v>1365</v>
      </c>
      <c r="D455" s="15"/>
      <c r="E455" s="17"/>
      <c r="F455" s="3"/>
      <c r="G455" s="14"/>
      <c r="H455" s="16"/>
      <c r="I455" s="11">
        <v>46221</v>
      </c>
      <c r="J455" s="4">
        <v>17</v>
      </c>
      <c r="K455" s="18">
        <f>(F455-(0)+0-(J455*Ventas!AE452*1))</f>
        <v>0</v>
      </c>
      <c r="L455" s="3"/>
      <c r="M455" s="22">
        <f t="shared" si="158"/>
        <v>0</v>
      </c>
      <c r="N455" s="14"/>
      <c r="O455" s="25">
        <f t="shared" si="163"/>
        <v>0</v>
      </c>
      <c r="P455" s="16"/>
      <c r="Q455" s="12">
        <f t="shared" si="164"/>
        <v>0</v>
      </c>
      <c r="R455" s="5">
        <v>0</v>
      </c>
      <c r="S455" s="24">
        <v>0</v>
      </c>
      <c r="T455" s="26">
        <v>0</v>
      </c>
      <c r="U455" s="18">
        <f t="shared" si="165"/>
        <v>0</v>
      </c>
      <c r="V455" s="22">
        <f t="shared" si="166"/>
        <v>0</v>
      </c>
      <c r="W455" s="25">
        <f t="shared" si="167"/>
        <v>0</v>
      </c>
      <c r="X455" s="3"/>
      <c r="Y455" s="14"/>
      <c r="Z455" s="14"/>
      <c r="AA455" s="3"/>
      <c r="AB455" s="3">
        <v>6.783E-3</v>
      </c>
      <c r="AC455" s="11">
        <v>46313</v>
      </c>
      <c r="AD455" s="4">
        <v>92</v>
      </c>
      <c r="AE455" s="18">
        <f>(IF(K455&gt;0,K455+R455,R455)-(AD455*Ventas!AE452*1.0489))</f>
        <v>0</v>
      </c>
      <c r="AF455" s="3"/>
      <c r="AG455" s="22">
        <f t="shared" si="159"/>
        <v>0</v>
      </c>
      <c r="AH455" s="14"/>
      <c r="AI455" s="25">
        <f t="shared" si="168"/>
        <v>0</v>
      </c>
      <c r="AJ455" s="16"/>
      <c r="AK455" s="12">
        <f t="shared" si="169"/>
        <v>0</v>
      </c>
      <c r="AL455" s="19">
        <f t="shared" si="170"/>
        <v>0</v>
      </c>
      <c r="AM455" s="18">
        <f>(180*(Ventas!AE452*0.9644) - IF(AE455&gt;0,AE455,0))</f>
        <v>0</v>
      </c>
      <c r="AN455" s="18">
        <f t="shared" si="162"/>
        <v>0</v>
      </c>
      <c r="AO455" s="14"/>
      <c r="AP455" s="14">
        <f t="shared" si="171"/>
        <v>0</v>
      </c>
      <c r="AQ455" s="16">
        <f t="shared" si="172"/>
        <v>0</v>
      </c>
      <c r="AR455" s="37">
        <f>_xlfn.XLOOKUP(C455,[1]Hoja2!$C$6:$C$24,[1]Hoja2!$D$6:$D$24,0,2,1)</f>
        <v>0</v>
      </c>
      <c r="AS455" s="18">
        <f t="shared" si="173"/>
        <v>0</v>
      </c>
      <c r="AT455" s="14"/>
      <c r="AU455" s="37">
        <f>_xlfn.XLOOKUP(D455,[1]Hoja2!$E$6:$E$24,[1]Hoja2!$F$6:$F$24,0,2,1)</f>
        <v>0</v>
      </c>
      <c r="AV455" s="3">
        <v>0</v>
      </c>
      <c r="AW455" s="3"/>
      <c r="AX455" s="14">
        <v>0</v>
      </c>
      <c r="AY455" s="14"/>
      <c r="AZ455" s="16">
        <f>_xlfn.XLOOKUP(C455,[2]PI!$B$15:$B$99,[2]PI!$L$15:$L$99,0,2,1)</f>
        <v>0</v>
      </c>
      <c r="BA455" s="16">
        <f>_xlfn.XLOOKUP(D455,[2]PI!$B$15:$B$99,[2]PI!$L$15:$L$99,0,2,1)</f>
        <v>0</v>
      </c>
      <c r="BB455" s="3"/>
      <c r="BC455" s="3"/>
      <c r="BD455" s="14"/>
      <c r="BE455" s="14"/>
      <c r="BF455" s="16"/>
      <c r="BG455" s="16"/>
      <c r="BH455" s="12">
        <f t="shared" si="174"/>
        <v>0</v>
      </c>
      <c r="BI455" s="19">
        <f t="shared" si="175"/>
        <v>0</v>
      </c>
      <c r="BJ455" s="1" t="s">
        <v>35</v>
      </c>
      <c r="BK455">
        <f t="shared" si="176"/>
        <v>0</v>
      </c>
      <c r="BL455">
        <f t="shared" si="177"/>
        <v>0</v>
      </c>
    </row>
    <row r="456" spans="1:64" x14ac:dyDescent="0.25">
      <c r="A456" s="1" t="s">
        <v>1370</v>
      </c>
      <c r="B456" s="1" t="s">
        <v>1369</v>
      </c>
      <c r="C456" s="13" t="s">
        <v>1368</v>
      </c>
      <c r="D456" s="15"/>
      <c r="E456" s="17"/>
      <c r="F456" s="3"/>
      <c r="G456" s="14"/>
      <c r="H456" s="16"/>
      <c r="I456" s="11">
        <v>46221</v>
      </c>
      <c r="J456" s="4">
        <v>17</v>
      </c>
      <c r="K456" s="18">
        <f>(F456-(0)+0-(J456*Ventas!AE453*1))</f>
        <v>0</v>
      </c>
      <c r="L456" s="3"/>
      <c r="M456" s="22">
        <f t="shared" si="158"/>
        <v>0</v>
      </c>
      <c r="N456" s="14"/>
      <c r="O456" s="25">
        <f t="shared" si="163"/>
        <v>0</v>
      </c>
      <c r="P456" s="16"/>
      <c r="Q456" s="12">
        <f t="shared" si="164"/>
        <v>0</v>
      </c>
      <c r="R456" s="5">
        <v>0</v>
      </c>
      <c r="S456" s="24">
        <v>0</v>
      </c>
      <c r="T456" s="26">
        <v>0</v>
      </c>
      <c r="U456" s="18">
        <f t="shared" si="165"/>
        <v>0</v>
      </c>
      <c r="V456" s="22">
        <f t="shared" si="166"/>
        <v>0</v>
      </c>
      <c r="W456" s="25">
        <f t="shared" si="167"/>
        <v>0</v>
      </c>
      <c r="X456" s="3"/>
      <c r="Y456" s="14"/>
      <c r="Z456" s="14"/>
      <c r="AA456" s="3"/>
      <c r="AB456" s="3">
        <v>6.783E-3</v>
      </c>
      <c r="AC456" s="11">
        <v>46313</v>
      </c>
      <c r="AD456" s="4">
        <v>92</v>
      </c>
      <c r="AE456" s="18">
        <f>(IF(K456&gt;0,K456+R456,R456)-(AD456*Ventas!AE453*1.0489))</f>
        <v>0</v>
      </c>
      <c r="AF456" s="3"/>
      <c r="AG456" s="22">
        <f t="shared" si="159"/>
        <v>0</v>
      </c>
      <c r="AH456" s="14"/>
      <c r="AI456" s="25">
        <f t="shared" si="168"/>
        <v>0</v>
      </c>
      <c r="AJ456" s="16"/>
      <c r="AK456" s="12">
        <f t="shared" si="169"/>
        <v>0</v>
      </c>
      <c r="AL456" s="19">
        <f t="shared" si="170"/>
        <v>0</v>
      </c>
      <c r="AM456" s="18">
        <f>(180*(Ventas!AE453*0.9644) - IF(AE456&gt;0,AE456,0))</f>
        <v>0</v>
      </c>
      <c r="AN456" s="18">
        <f t="shared" si="162"/>
        <v>0</v>
      </c>
      <c r="AO456" s="14"/>
      <c r="AP456" s="14">
        <f t="shared" si="171"/>
        <v>0</v>
      </c>
      <c r="AQ456" s="16">
        <f t="shared" si="172"/>
        <v>0</v>
      </c>
      <c r="AR456" s="37">
        <f>_xlfn.XLOOKUP(C456,[1]Hoja2!$C$6:$C$24,[1]Hoja2!$D$6:$D$24,0,2,1)</f>
        <v>0</v>
      </c>
      <c r="AS456" s="18">
        <f t="shared" si="173"/>
        <v>0</v>
      </c>
      <c r="AT456" s="14"/>
      <c r="AU456" s="37">
        <f>_xlfn.XLOOKUP(D456,[1]Hoja2!$E$6:$E$24,[1]Hoja2!$F$6:$F$24,0,2,1)</f>
        <v>0</v>
      </c>
      <c r="AV456" s="3">
        <v>0</v>
      </c>
      <c r="AW456" s="3"/>
      <c r="AX456" s="14">
        <v>0</v>
      </c>
      <c r="AY456" s="14"/>
      <c r="AZ456" s="16">
        <f>_xlfn.XLOOKUP(C456,[2]PI!$B$15:$B$99,[2]PI!$L$15:$L$99,0,2,1)</f>
        <v>0</v>
      </c>
      <c r="BA456" s="16">
        <f>_xlfn.XLOOKUP(D456,[2]PI!$B$15:$B$99,[2]PI!$L$15:$L$99,0,2,1)</f>
        <v>0</v>
      </c>
      <c r="BB456" s="3"/>
      <c r="BC456" s="3"/>
      <c r="BD456" s="14"/>
      <c r="BE456" s="14"/>
      <c r="BF456" s="16"/>
      <c r="BG456" s="16"/>
      <c r="BH456" s="12">
        <f t="shared" si="174"/>
        <v>0</v>
      </c>
      <c r="BI456" s="19">
        <f t="shared" si="175"/>
        <v>0</v>
      </c>
      <c r="BJ456" s="1" t="s">
        <v>35</v>
      </c>
      <c r="BK456">
        <f t="shared" si="176"/>
        <v>0</v>
      </c>
      <c r="BL456">
        <f t="shared" si="177"/>
        <v>0</v>
      </c>
    </row>
    <row r="457" spans="1:64" x14ac:dyDescent="0.25">
      <c r="A457" s="1" t="s">
        <v>1373</v>
      </c>
      <c r="B457" s="1" t="s">
        <v>1372</v>
      </c>
      <c r="C457" s="13" t="s">
        <v>1371</v>
      </c>
      <c r="D457" s="15"/>
      <c r="E457" s="17"/>
      <c r="F457" s="3"/>
      <c r="G457" s="14"/>
      <c r="H457" s="16"/>
      <c r="I457" s="11">
        <v>46221</v>
      </c>
      <c r="J457" s="4">
        <v>17</v>
      </c>
      <c r="K457" s="18">
        <f>(F457-(0)+0-(J457*Ventas!AE454*1))</f>
        <v>0</v>
      </c>
      <c r="L457" s="3"/>
      <c r="M457" s="22">
        <f t="shared" si="158"/>
        <v>0</v>
      </c>
      <c r="N457" s="14"/>
      <c r="O457" s="25">
        <f t="shared" si="163"/>
        <v>0</v>
      </c>
      <c r="P457" s="16"/>
      <c r="Q457" s="12">
        <f t="shared" si="164"/>
        <v>0</v>
      </c>
      <c r="R457" s="5">
        <v>0</v>
      </c>
      <c r="S457" s="24">
        <v>0</v>
      </c>
      <c r="T457" s="26">
        <v>0</v>
      </c>
      <c r="U457" s="18">
        <f t="shared" si="165"/>
        <v>0</v>
      </c>
      <c r="V457" s="22">
        <f t="shared" si="166"/>
        <v>0</v>
      </c>
      <c r="W457" s="25">
        <f t="shared" si="167"/>
        <v>0</v>
      </c>
      <c r="X457" s="3"/>
      <c r="Y457" s="14"/>
      <c r="Z457" s="14"/>
      <c r="AA457" s="3"/>
      <c r="AB457" s="3">
        <v>6.783E-3</v>
      </c>
      <c r="AC457" s="11">
        <v>46313</v>
      </c>
      <c r="AD457" s="4">
        <v>92</v>
      </c>
      <c r="AE457" s="18">
        <f>(IF(K457&gt;0,K457+R457,R457)-(AD457*Ventas!AE454*1.0489))</f>
        <v>0</v>
      </c>
      <c r="AF457" s="3"/>
      <c r="AG457" s="22">
        <f t="shared" si="159"/>
        <v>0</v>
      </c>
      <c r="AH457" s="14"/>
      <c r="AI457" s="25">
        <f t="shared" si="168"/>
        <v>0</v>
      </c>
      <c r="AJ457" s="16"/>
      <c r="AK457" s="12">
        <f t="shared" si="169"/>
        <v>0</v>
      </c>
      <c r="AL457" s="19">
        <f t="shared" si="170"/>
        <v>0</v>
      </c>
      <c r="AM457" s="18">
        <f>(180*(Ventas!AE454*0.9644) - IF(AE457&gt;0,AE457,0))</f>
        <v>0</v>
      </c>
      <c r="AN457" s="18">
        <f t="shared" si="162"/>
        <v>0</v>
      </c>
      <c r="AO457" s="14"/>
      <c r="AP457" s="14">
        <f t="shared" si="171"/>
        <v>0</v>
      </c>
      <c r="AQ457" s="16">
        <f t="shared" si="172"/>
        <v>0</v>
      </c>
      <c r="AR457" s="37">
        <f>_xlfn.XLOOKUP(C457,[1]Hoja2!$C$6:$C$24,[1]Hoja2!$D$6:$D$24,0,2,1)</f>
        <v>0</v>
      </c>
      <c r="AS457" s="18">
        <f t="shared" si="173"/>
        <v>0</v>
      </c>
      <c r="AT457" s="14"/>
      <c r="AU457" s="37">
        <f>_xlfn.XLOOKUP(D457,[1]Hoja2!$E$6:$E$24,[1]Hoja2!$F$6:$F$24,0,2,1)</f>
        <v>0</v>
      </c>
      <c r="AV457" s="3">
        <v>0</v>
      </c>
      <c r="AW457" s="3"/>
      <c r="AX457" s="14">
        <v>0</v>
      </c>
      <c r="AY457" s="14"/>
      <c r="AZ457" s="16">
        <f>_xlfn.XLOOKUP(C457,[2]PI!$B$15:$B$99,[2]PI!$L$15:$L$99,0,2,1)</f>
        <v>0</v>
      </c>
      <c r="BA457" s="16">
        <f>_xlfn.XLOOKUP(D457,[2]PI!$B$15:$B$99,[2]PI!$L$15:$L$99,0,2,1)</f>
        <v>0</v>
      </c>
      <c r="BB457" s="3"/>
      <c r="BC457" s="3"/>
      <c r="BD457" s="14"/>
      <c r="BE457" s="14"/>
      <c r="BF457" s="16"/>
      <c r="BG457" s="16"/>
      <c r="BH457" s="12">
        <f t="shared" si="174"/>
        <v>0</v>
      </c>
      <c r="BI457" s="19">
        <f t="shared" si="175"/>
        <v>0</v>
      </c>
      <c r="BJ457" s="1" t="s">
        <v>35</v>
      </c>
      <c r="BK457">
        <f t="shared" si="176"/>
        <v>0</v>
      </c>
      <c r="BL457">
        <f t="shared" si="177"/>
        <v>0</v>
      </c>
    </row>
    <row r="458" spans="1:64" x14ac:dyDescent="0.25">
      <c r="A458" s="1" t="s">
        <v>1376</v>
      </c>
      <c r="B458" s="1" t="s">
        <v>1375</v>
      </c>
      <c r="C458" s="13" t="s">
        <v>1374</v>
      </c>
      <c r="D458" s="15"/>
      <c r="E458" s="17"/>
      <c r="F458" s="3"/>
      <c r="G458" s="14"/>
      <c r="H458" s="16"/>
      <c r="I458" s="11">
        <v>46221</v>
      </c>
      <c r="J458" s="4">
        <v>17</v>
      </c>
      <c r="K458" s="18">
        <f>(F458-(0)+0-(J458*Ventas!AE455*1))</f>
        <v>0</v>
      </c>
      <c r="L458" s="3"/>
      <c r="M458" s="22">
        <f t="shared" si="158"/>
        <v>0</v>
      </c>
      <c r="N458" s="14"/>
      <c r="O458" s="25">
        <f t="shared" si="163"/>
        <v>0</v>
      </c>
      <c r="P458" s="16"/>
      <c r="Q458" s="12">
        <f t="shared" si="164"/>
        <v>0</v>
      </c>
      <c r="R458" s="5">
        <v>0</v>
      </c>
      <c r="S458" s="24">
        <v>0</v>
      </c>
      <c r="T458" s="26">
        <v>0</v>
      </c>
      <c r="U458" s="18">
        <f t="shared" si="165"/>
        <v>0</v>
      </c>
      <c r="V458" s="22">
        <f t="shared" si="166"/>
        <v>0</v>
      </c>
      <c r="W458" s="25">
        <f t="shared" si="167"/>
        <v>0</v>
      </c>
      <c r="X458" s="3"/>
      <c r="Y458" s="14"/>
      <c r="Z458" s="14"/>
      <c r="AA458" s="3"/>
      <c r="AB458" s="3">
        <v>6.783E-3</v>
      </c>
      <c r="AC458" s="11">
        <v>46313</v>
      </c>
      <c r="AD458" s="4">
        <v>92</v>
      </c>
      <c r="AE458" s="18">
        <f>(IF(K458&gt;0,K458+R458,R458)-(AD458*Ventas!AE455*1.0489))</f>
        <v>0</v>
      </c>
      <c r="AF458" s="3"/>
      <c r="AG458" s="22">
        <f t="shared" si="159"/>
        <v>0</v>
      </c>
      <c r="AH458" s="14"/>
      <c r="AI458" s="25">
        <f t="shared" si="168"/>
        <v>0</v>
      </c>
      <c r="AJ458" s="16"/>
      <c r="AK458" s="12">
        <f t="shared" si="169"/>
        <v>0</v>
      </c>
      <c r="AL458" s="19">
        <f t="shared" si="170"/>
        <v>0</v>
      </c>
      <c r="AM458" s="18">
        <f>(180*(Ventas!AE455*0.9644) - IF(AE458&gt;0,AE458,0))</f>
        <v>0</v>
      </c>
      <c r="AN458" s="18">
        <f t="shared" si="162"/>
        <v>0</v>
      </c>
      <c r="AO458" s="14"/>
      <c r="AP458" s="14">
        <f t="shared" si="171"/>
        <v>0</v>
      </c>
      <c r="AQ458" s="16">
        <f t="shared" si="172"/>
        <v>0</v>
      </c>
      <c r="AR458" s="37">
        <f>_xlfn.XLOOKUP(C458,[1]Hoja2!$C$6:$C$24,[1]Hoja2!$D$6:$D$24,0,2,1)</f>
        <v>0</v>
      </c>
      <c r="AS458" s="18">
        <f t="shared" si="173"/>
        <v>0</v>
      </c>
      <c r="AT458" s="14"/>
      <c r="AU458" s="37">
        <f>_xlfn.XLOOKUP(D458,[1]Hoja2!$E$6:$E$24,[1]Hoja2!$F$6:$F$24,0,2,1)</f>
        <v>0</v>
      </c>
      <c r="AV458" s="3">
        <v>0</v>
      </c>
      <c r="AW458" s="3"/>
      <c r="AX458" s="14">
        <v>0</v>
      </c>
      <c r="AY458" s="14"/>
      <c r="AZ458" s="16">
        <f>_xlfn.XLOOKUP(C458,[2]PI!$B$15:$B$99,[2]PI!$L$15:$L$99,0,2,1)</f>
        <v>0</v>
      </c>
      <c r="BA458" s="16">
        <f>_xlfn.XLOOKUP(D458,[2]PI!$B$15:$B$99,[2]PI!$L$15:$L$99,0,2,1)</f>
        <v>0</v>
      </c>
      <c r="BB458" s="3"/>
      <c r="BC458" s="3"/>
      <c r="BD458" s="14"/>
      <c r="BE458" s="14"/>
      <c r="BF458" s="16"/>
      <c r="BG458" s="16"/>
      <c r="BH458" s="12">
        <f t="shared" si="174"/>
        <v>0</v>
      </c>
      <c r="BI458" s="19">
        <f t="shared" si="175"/>
        <v>0</v>
      </c>
      <c r="BJ458" s="1" t="s">
        <v>35</v>
      </c>
      <c r="BK458">
        <f t="shared" si="176"/>
        <v>0</v>
      </c>
      <c r="BL458">
        <f t="shared" si="177"/>
        <v>0</v>
      </c>
    </row>
    <row r="459" spans="1:64" x14ac:dyDescent="0.25">
      <c r="A459" s="1" t="s">
        <v>1379</v>
      </c>
      <c r="B459" s="1" t="s">
        <v>1378</v>
      </c>
      <c r="C459" s="13" t="s">
        <v>1377</v>
      </c>
      <c r="D459" s="15"/>
      <c r="E459" s="17"/>
      <c r="F459" s="3"/>
      <c r="G459" s="14"/>
      <c r="H459" s="16"/>
      <c r="I459" s="11">
        <v>46221</v>
      </c>
      <c r="J459" s="4">
        <v>17</v>
      </c>
      <c r="K459" s="18">
        <f>(F459-(0)+0-(J459*Ventas!AE456*1))</f>
        <v>0</v>
      </c>
      <c r="L459" s="3"/>
      <c r="M459" s="22">
        <f t="shared" si="158"/>
        <v>0</v>
      </c>
      <c r="N459" s="14"/>
      <c r="O459" s="25">
        <f t="shared" si="163"/>
        <v>0</v>
      </c>
      <c r="P459" s="16"/>
      <c r="Q459" s="12">
        <f t="shared" si="164"/>
        <v>0</v>
      </c>
      <c r="R459" s="5">
        <v>0</v>
      </c>
      <c r="S459" s="24">
        <v>0</v>
      </c>
      <c r="T459" s="26">
        <v>0</v>
      </c>
      <c r="U459" s="18">
        <f t="shared" si="165"/>
        <v>0</v>
      </c>
      <c r="V459" s="22">
        <f t="shared" si="166"/>
        <v>0</v>
      </c>
      <c r="W459" s="25">
        <f t="shared" si="167"/>
        <v>0</v>
      </c>
      <c r="X459" s="3"/>
      <c r="Y459" s="14"/>
      <c r="Z459" s="14"/>
      <c r="AA459" s="3"/>
      <c r="AB459" s="3">
        <v>6.783E-3</v>
      </c>
      <c r="AC459" s="11">
        <v>46313</v>
      </c>
      <c r="AD459" s="4">
        <v>92</v>
      </c>
      <c r="AE459" s="18">
        <f>(IF(K459&gt;0,K459+R459,R459)-(AD459*Ventas!AE456*1.0489))</f>
        <v>0</v>
      </c>
      <c r="AF459" s="3"/>
      <c r="AG459" s="22">
        <f t="shared" si="159"/>
        <v>0</v>
      </c>
      <c r="AH459" s="14"/>
      <c r="AI459" s="25">
        <f t="shared" si="168"/>
        <v>0</v>
      </c>
      <c r="AJ459" s="16"/>
      <c r="AK459" s="12">
        <f t="shared" si="169"/>
        <v>0</v>
      </c>
      <c r="AL459" s="19">
        <f t="shared" si="170"/>
        <v>0</v>
      </c>
      <c r="AM459" s="18">
        <f>(180*(Ventas!AE456*0.9644) - IF(AE459&gt;0,AE459,0))</f>
        <v>0</v>
      </c>
      <c r="AN459" s="18">
        <f t="shared" si="162"/>
        <v>0</v>
      </c>
      <c r="AO459" s="14"/>
      <c r="AP459" s="14">
        <f t="shared" si="171"/>
        <v>0</v>
      </c>
      <c r="AQ459" s="16">
        <f t="shared" si="172"/>
        <v>0</v>
      </c>
      <c r="AR459" s="37">
        <f>_xlfn.XLOOKUP(C459,[1]Hoja2!$C$6:$C$24,[1]Hoja2!$D$6:$D$24,0,2,1)</f>
        <v>0</v>
      </c>
      <c r="AS459" s="18">
        <f t="shared" si="173"/>
        <v>0</v>
      </c>
      <c r="AT459" s="14"/>
      <c r="AU459" s="37">
        <f>_xlfn.XLOOKUP(D459,[1]Hoja2!$E$6:$E$24,[1]Hoja2!$F$6:$F$24,0,2,1)</f>
        <v>0</v>
      </c>
      <c r="AV459" s="3">
        <v>0</v>
      </c>
      <c r="AW459" s="3"/>
      <c r="AX459" s="14">
        <v>0</v>
      </c>
      <c r="AY459" s="14"/>
      <c r="AZ459" s="16">
        <f>_xlfn.XLOOKUP(C459,[2]PI!$B$15:$B$99,[2]PI!$L$15:$L$99,0,2,1)</f>
        <v>0</v>
      </c>
      <c r="BA459" s="16">
        <f>_xlfn.XLOOKUP(D459,[2]PI!$B$15:$B$99,[2]PI!$L$15:$L$99,0,2,1)</f>
        <v>0</v>
      </c>
      <c r="BB459" s="3"/>
      <c r="BC459" s="3"/>
      <c r="BD459" s="14"/>
      <c r="BE459" s="14"/>
      <c r="BF459" s="16"/>
      <c r="BG459" s="16"/>
      <c r="BH459" s="12">
        <f t="shared" si="174"/>
        <v>0</v>
      </c>
      <c r="BI459" s="19">
        <f t="shared" si="175"/>
        <v>0</v>
      </c>
      <c r="BJ459" s="1" t="s">
        <v>35</v>
      </c>
      <c r="BK459">
        <f t="shared" si="176"/>
        <v>0</v>
      </c>
      <c r="BL459">
        <f t="shared" si="177"/>
        <v>0</v>
      </c>
    </row>
    <row r="460" spans="1:64" x14ac:dyDescent="0.25">
      <c r="A460" s="1" t="s">
        <v>1382</v>
      </c>
      <c r="B460" s="1" t="s">
        <v>1381</v>
      </c>
      <c r="C460" s="13" t="s">
        <v>1380</v>
      </c>
      <c r="D460" s="15"/>
      <c r="E460" s="17"/>
      <c r="F460" s="3"/>
      <c r="G460" s="14"/>
      <c r="H460" s="16"/>
      <c r="I460" s="11">
        <v>46221</v>
      </c>
      <c r="J460" s="4">
        <v>17</v>
      </c>
      <c r="K460" s="18">
        <f>(F460-(0)+0-(J460*Ventas!AE457*1))</f>
        <v>0</v>
      </c>
      <c r="L460" s="3"/>
      <c r="M460" s="22">
        <f t="shared" si="158"/>
        <v>0</v>
      </c>
      <c r="N460" s="14"/>
      <c r="O460" s="25">
        <f t="shared" si="163"/>
        <v>0</v>
      </c>
      <c r="P460" s="16"/>
      <c r="Q460" s="12">
        <f t="shared" si="164"/>
        <v>0</v>
      </c>
      <c r="R460" s="5">
        <v>0</v>
      </c>
      <c r="S460" s="24">
        <v>0</v>
      </c>
      <c r="T460" s="26">
        <v>0</v>
      </c>
      <c r="U460" s="18">
        <f t="shared" si="165"/>
        <v>0</v>
      </c>
      <c r="V460" s="22">
        <f t="shared" si="166"/>
        <v>0</v>
      </c>
      <c r="W460" s="25">
        <f t="shared" si="167"/>
        <v>0</v>
      </c>
      <c r="X460" s="3"/>
      <c r="Y460" s="14"/>
      <c r="Z460" s="14"/>
      <c r="AA460" s="3"/>
      <c r="AB460" s="3">
        <v>6.783E-3</v>
      </c>
      <c r="AC460" s="11">
        <v>46313</v>
      </c>
      <c r="AD460" s="4">
        <v>92</v>
      </c>
      <c r="AE460" s="18">
        <f>(IF(K460&gt;0,K460+R460,R460)-(AD460*Ventas!AE457*1.0489))</f>
        <v>0</v>
      </c>
      <c r="AF460" s="3"/>
      <c r="AG460" s="22">
        <f t="shared" si="159"/>
        <v>0</v>
      </c>
      <c r="AH460" s="14"/>
      <c r="AI460" s="25">
        <f t="shared" si="168"/>
        <v>0</v>
      </c>
      <c r="AJ460" s="16"/>
      <c r="AK460" s="12">
        <f t="shared" si="169"/>
        <v>0</v>
      </c>
      <c r="AL460" s="19">
        <f t="shared" si="170"/>
        <v>0</v>
      </c>
      <c r="AM460" s="18">
        <f>(180*(Ventas!AE457*0.9644) - IF(AE460&gt;0,AE460,0))</f>
        <v>0</v>
      </c>
      <c r="AN460" s="18">
        <f t="shared" si="162"/>
        <v>0</v>
      </c>
      <c r="AO460" s="14"/>
      <c r="AP460" s="14">
        <f t="shared" si="171"/>
        <v>0</v>
      </c>
      <c r="AQ460" s="16">
        <f t="shared" si="172"/>
        <v>0</v>
      </c>
      <c r="AR460" s="37">
        <f>_xlfn.XLOOKUP(C460,[1]Hoja2!$C$6:$C$24,[1]Hoja2!$D$6:$D$24,0,2,1)</f>
        <v>0</v>
      </c>
      <c r="AS460" s="18">
        <f t="shared" si="173"/>
        <v>0</v>
      </c>
      <c r="AT460" s="14"/>
      <c r="AU460" s="37">
        <f>_xlfn.XLOOKUP(D460,[1]Hoja2!$E$6:$E$24,[1]Hoja2!$F$6:$F$24,0,2,1)</f>
        <v>0</v>
      </c>
      <c r="AV460" s="3">
        <v>0</v>
      </c>
      <c r="AW460" s="3"/>
      <c r="AX460" s="14">
        <v>0</v>
      </c>
      <c r="AY460" s="14"/>
      <c r="AZ460" s="16">
        <f>_xlfn.XLOOKUP(C460,[2]PI!$B$15:$B$99,[2]PI!$L$15:$L$99,0,2,1)</f>
        <v>0</v>
      </c>
      <c r="BA460" s="16">
        <f>_xlfn.XLOOKUP(D460,[2]PI!$B$15:$B$99,[2]PI!$L$15:$L$99,0,2,1)</f>
        <v>0</v>
      </c>
      <c r="BB460" s="3"/>
      <c r="BC460" s="3"/>
      <c r="BD460" s="14"/>
      <c r="BE460" s="14"/>
      <c r="BF460" s="16"/>
      <c r="BG460" s="16"/>
      <c r="BH460" s="12">
        <f t="shared" si="174"/>
        <v>0</v>
      </c>
      <c r="BI460" s="19">
        <f t="shared" si="175"/>
        <v>0</v>
      </c>
      <c r="BJ460" s="1" t="s">
        <v>35</v>
      </c>
      <c r="BK460">
        <f t="shared" si="176"/>
        <v>0</v>
      </c>
      <c r="BL460">
        <f t="shared" si="177"/>
        <v>0</v>
      </c>
    </row>
    <row r="461" spans="1:64" x14ac:dyDescent="0.25">
      <c r="A461" s="1" t="s">
        <v>1385</v>
      </c>
      <c r="B461" s="1" t="s">
        <v>1384</v>
      </c>
      <c r="C461" s="13" t="s">
        <v>1383</v>
      </c>
      <c r="D461" s="15"/>
      <c r="E461" s="17"/>
      <c r="F461" s="3"/>
      <c r="G461" s="14"/>
      <c r="H461" s="16"/>
      <c r="I461" s="11">
        <v>46221</v>
      </c>
      <c r="J461" s="4">
        <v>17</v>
      </c>
      <c r="K461" s="18">
        <f>(F461-(0)+0-(J461*Ventas!AE458*1))</f>
        <v>0</v>
      </c>
      <c r="L461" s="3"/>
      <c r="M461" s="22">
        <f t="shared" si="158"/>
        <v>0</v>
      </c>
      <c r="N461" s="14"/>
      <c r="O461" s="25">
        <f t="shared" si="163"/>
        <v>0</v>
      </c>
      <c r="P461" s="16"/>
      <c r="Q461" s="12">
        <f t="shared" si="164"/>
        <v>0</v>
      </c>
      <c r="R461" s="5">
        <v>0</v>
      </c>
      <c r="S461" s="24">
        <v>0</v>
      </c>
      <c r="T461" s="26">
        <v>0</v>
      </c>
      <c r="U461" s="18">
        <f t="shared" si="165"/>
        <v>0</v>
      </c>
      <c r="V461" s="22">
        <f t="shared" si="166"/>
        <v>0</v>
      </c>
      <c r="W461" s="25">
        <f t="shared" si="167"/>
        <v>0</v>
      </c>
      <c r="X461" s="3"/>
      <c r="Y461" s="14"/>
      <c r="Z461" s="14"/>
      <c r="AA461" s="3"/>
      <c r="AB461" s="3">
        <v>6.783E-3</v>
      </c>
      <c r="AC461" s="11">
        <v>46313</v>
      </c>
      <c r="AD461" s="4">
        <v>92</v>
      </c>
      <c r="AE461" s="18">
        <f>(IF(K461&gt;0,K461+R461,R461)-(AD461*Ventas!AE458*1.0489))</f>
        <v>0</v>
      </c>
      <c r="AF461" s="3"/>
      <c r="AG461" s="22">
        <f t="shared" si="159"/>
        <v>0</v>
      </c>
      <c r="AH461" s="14"/>
      <c r="AI461" s="25">
        <f t="shared" si="168"/>
        <v>0</v>
      </c>
      <c r="AJ461" s="16"/>
      <c r="AK461" s="12">
        <f t="shared" si="169"/>
        <v>0</v>
      </c>
      <c r="AL461" s="19">
        <f t="shared" si="170"/>
        <v>0</v>
      </c>
      <c r="AM461" s="18">
        <f>(180*(Ventas!AE458*0.9644) - IF(AE461&gt;0,AE461,0))</f>
        <v>0</v>
      </c>
      <c r="AN461" s="18">
        <f t="shared" si="162"/>
        <v>0</v>
      </c>
      <c r="AO461" s="14"/>
      <c r="AP461" s="14">
        <f t="shared" si="171"/>
        <v>0</v>
      </c>
      <c r="AQ461" s="16">
        <f t="shared" si="172"/>
        <v>0</v>
      </c>
      <c r="AR461" s="37">
        <f>_xlfn.XLOOKUP(C461,[1]Hoja2!$C$6:$C$24,[1]Hoja2!$D$6:$D$24,0,2,1)</f>
        <v>0</v>
      </c>
      <c r="AS461" s="18">
        <f t="shared" si="173"/>
        <v>0</v>
      </c>
      <c r="AT461" s="14"/>
      <c r="AU461" s="37">
        <f>_xlfn.XLOOKUP(D461,[1]Hoja2!$E$6:$E$24,[1]Hoja2!$F$6:$F$24,0,2,1)</f>
        <v>0</v>
      </c>
      <c r="AV461" s="3">
        <v>0</v>
      </c>
      <c r="AW461" s="3"/>
      <c r="AX461" s="14">
        <v>0</v>
      </c>
      <c r="AY461" s="14"/>
      <c r="AZ461" s="16">
        <f>_xlfn.XLOOKUP(C461,[2]PI!$B$15:$B$99,[2]PI!$L$15:$L$99,0,2,1)</f>
        <v>0</v>
      </c>
      <c r="BA461" s="16">
        <f>_xlfn.XLOOKUP(D461,[2]PI!$B$15:$B$99,[2]PI!$L$15:$L$99,0,2,1)</f>
        <v>0</v>
      </c>
      <c r="BB461" s="3"/>
      <c r="BC461" s="3"/>
      <c r="BD461" s="14"/>
      <c r="BE461" s="14"/>
      <c r="BF461" s="16"/>
      <c r="BG461" s="16"/>
      <c r="BH461" s="12">
        <f t="shared" si="174"/>
        <v>0</v>
      </c>
      <c r="BI461" s="19">
        <f t="shared" si="175"/>
        <v>0</v>
      </c>
      <c r="BJ461" s="1" t="s">
        <v>35</v>
      </c>
      <c r="BK461">
        <f t="shared" si="176"/>
        <v>0</v>
      </c>
      <c r="BL461">
        <f t="shared" si="177"/>
        <v>0</v>
      </c>
    </row>
    <row r="462" spans="1:64" x14ac:dyDescent="0.25">
      <c r="A462" s="1" t="s">
        <v>1388</v>
      </c>
      <c r="B462" s="1" t="s">
        <v>1387</v>
      </c>
      <c r="C462" s="13" t="s">
        <v>1386</v>
      </c>
      <c r="D462" s="15"/>
      <c r="E462" s="17"/>
      <c r="F462" s="3"/>
      <c r="G462" s="14"/>
      <c r="H462" s="16"/>
      <c r="I462" s="11">
        <v>46221</v>
      </c>
      <c r="J462" s="4">
        <v>17</v>
      </c>
      <c r="K462" s="18">
        <f>(F462-(0)+0-(J462*Ventas!AE459*1))</f>
        <v>0</v>
      </c>
      <c r="L462" s="3"/>
      <c r="M462" s="22">
        <f t="shared" si="158"/>
        <v>0</v>
      </c>
      <c r="N462" s="14"/>
      <c r="O462" s="25">
        <f t="shared" si="163"/>
        <v>0</v>
      </c>
      <c r="P462" s="16"/>
      <c r="Q462" s="12">
        <f t="shared" si="164"/>
        <v>0</v>
      </c>
      <c r="R462" s="5">
        <v>0</v>
      </c>
      <c r="S462" s="24">
        <v>0</v>
      </c>
      <c r="T462" s="26">
        <v>0</v>
      </c>
      <c r="U462" s="18">
        <f t="shared" si="165"/>
        <v>0</v>
      </c>
      <c r="V462" s="22">
        <f t="shared" si="166"/>
        <v>0</v>
      </c>
      <c r="W462" s="25">
        <f t="shared" si="167"/>
        <v>0</v>
      </c>
      <c r="X462" s="3"/>
      <c r="Y462" s="14"/>
      <c r="Z462" s="14"/>
      <c r="AA462" s="3"/>
      <c r="AB462" s="3">
        <v>6.783E-3</v>
      </c>
      <c r="AC462" s="11">
        <v>46313</v>
      </c>
      <c r="AD462" s="4">
        <v>92</v>
      </c>
      <c r="AE462" s="18">
        <f>(IF(K462&gt;0,K462+R462,R462)-(AD462*Ventas!AE459*1.0489))</f>
        <v>0</v>
      </c>
      <c r="AF462" s="3"/>
      <c r="AG462" s="22">
        <f t="shared" si="159"/>
        <v>0</v>
      </c>
      <c r="AH462" s="14"/>
      <c r="AI462" s="25">
        <f t="shared" si="168"/>
        <v>0</v>
      </c>
      <c r="AJ462" s="16"/>
      <c r="AK462" s="12">
        <f t="shared" si="169"/>
        <v>0</v>
      </c>
      <c r="AL462" s="19">
        <f t="shared" si="170"/>
        <v>0</v>
      </c>
      <c r="AM462" s="18">
        <f>(180*(Ventas!AE459*0.9644) - IF(AE462&gt;0,AE462,0))</f>
        <v>0</v>
      </c>
      <c r="AN462" s="18">
        <f t="shared" si="162"/>
        <v>0</v>
      </c>
      <c r="AO462" s="14"/>
      <c r="AP462" s="14">
        <f t="shared" si="171"/>
        <v>0</v>
      </c>
      <c r="AQ462" s="16">
        <f t="shared" si="172"/>
        <v>0</v>
      </c>
      <c r="AR462" s="37">
        <f>_xlfn.XLOOKUP(C462,[1]Hoja2!$C$6:$C$24,[1]Hoja2!$D$6:$D$24,0,2,1)</f>
        <v>0</v>
      </c>
      <c r="AS462" s="18">
        <f t="shared" si="173"/>
        <v>0</v>
      </c>
      <c r="AT462" s="14"/>
      <c r="AU462" s="37">
        <f>_xlfn.XLOOKUP(D462,[1]Hoja2!$E$6:$E$24,[1]Hoja2!$F$6:$F$24,0,2,1)</f>
        <v>0</v>
      </c>
      <c r="AV462" s="3">
        <v>0</v>
      </c>
      <c r="AW462" s="3"/>
      <c r="AX462" s="14">
        <v>0</v>
      </c>
      <c r="AY462" s="14"/>
      <c r="AZ462" s="16">
        <f>_xlfn.XLOOKUP(C462,[2]PI!$B$15:$B$99,[2]PI!$L$15:$L$99,0,2,1)</f>
        <v>0</v>
      </c>
      <c r="BA462" s="16">
        <f>_xlfn.XLOOKUP(D462,[2]PI!$B$15:$B$99,[2]PI!$L$15:$L$99,0,2,1)</f>
        <v>0</v>
      </c>
      <c r="BB462" s="3"/>
      <c r="BC462" s="3"/>
      <c r="BD462" s="14"/>
      <c r="BE462" s="14"/>
      <c r="BF462" s="16"/>
      <c r="BG462" s="16"/>
      <c r="BH462" s="12">
        <f t="shared" si="174"/>
        <v>0</v>
      </c>
      <c r="BI462" s="19">
        <f t="shared" si="175"/>
        <v>0</v>
      </c>
      <c r="BJ462" s="1" t="s">
        <v>35</v>
      </c>
      <c r="BK462">
        <f t="shared" si="176"/>
        <v>0</v>
      </c>
      <c r="BL462">
        <f t="shared" si="177"/>
        <v>0</v>
      </c>
    </row>
    <row r="463" spans="1:64" x14ac:dyDescent="0.25">
      <c r="A463" s="1" t="s">
        <v>1391</v>
      </c>
      <c r="B463" s="1" t="s">
        <v>1390</v>
      </c>
      <c r="C463" s="13" t="s">
        <v>1389</v>
      </c>
      <c r="D463" s="15"/>
      <c r="E463" s="17"/>
      <c r="F463" s="3"/>
      <c r="G463" s="14"/>
      <c r="H463" s="16"/>
      <c r="I463" s="11">
        <v>46221</v>
      </c>
      <c r="J463" s="4">
        <v>17</v>
      </c>
      <c r="K463" s="18">
        <f>(F463-(0)+0-(J463*Ventas!AE460*1))</f>
        <v>0</v>
      </c>
      <c r="L463" s="3"/>
      <c r="M463" s="22">
        <f t="shared" si="158"/>
        <v>0</v>
      </c>
      <c r="N463" s="14"/>
      <c r="O463" s="25">
        <f t="shared" si="163"/>
        <v>0</v>
      </c>
      <c r="P463" s="16"/>
      <c r="Q463" s="12">
        <f t="shared" si="164"/>
        <v>0</v>
      </c>
      <c r="R463" s="5">
        <v>0</v>
      </c>
      <c r="S463" s="24">
        <v>0</v>
      </c>
      <c r="T463" s="26">
        <v>0</v>
      </c>
      <c r="U463" s="18">
        <f t="shared" si="165"/>
        <v>0</v>
      </c>
      <c r="V463" s="22">
        <f t="shared" si="166"/>
        <v>0</v>
      </c>
      <c r="W463" s="25">
        <f t="shared" si="167"/>
        <v>0</v>
      </c>
      <c r="X463" s="3"/>
      <c r="Y463" s="14"/>
      <c r="Z463" s="14"/>
      <c r="AA463" s="3"/>
      <c r="AB463" s="3">
        <v>6.783E-3</v>
      </c>
      <c r="AC463" s="11">
        <v>46313</v>
      </c>
      <c r="AD463" s="4">
        <v>92</v>
      </c>
      <c r="AE463" s="18">
        <f>(IF(K463&gt;0,K463+R463,R463)-(AD463*Ventas!AE460*1.0489))</f>
        <v>0</v>
      </c>
      <c r="AF463" s="3"/>
      <c r="AG463" s="22">
        <f t="shared" si="159"/>
        <v>0</v>
      </c>
      <c r="AH463" s="14"/>
      <c r="AI463" s="25">
        <f t="shared" si="168"/>
        <v>0</v>
      </c>
      <c r="AJ463" s="16"/>
      <c r="AK463" s="12">
        <f t="shared" si="169"/>
        <v>0</v>
      </c>
      <c r="AL463" s="19">
        <f t="shared" si="170"/>
        <v>0</v>
      </c>
      <c r="AM463" s="18">
        <f>(180*(Ventas!AE460*0.9644) - IF(AE463&gt;0,AE463,0))</f>
        <v>0</v>
      </c>
      <c r="AN463" s="18">
        <f t="shared" si="162"/>
        <v>0</v>
      </c>
      <c r="AO463" s="14"/>
      <c r="AP463" s="14">
        <f t="shared" si="171"/>
        <v>0</v>
      </c>
      <c r="AQ463" s="16">
        <f t="shared" si="172"/>
        <v>0</v>
      </c>
      <c r="AR463" s="37">
        <f>_xlfn.XLOOKUP(C463,[1]Hoja2!$C$6:$C$24,[1]Hoja2!$D$6:$D$24,0,2,1)</f>
        <v>0</v>
      </c>
      <c r="AS463" s="18">
        <f t="shared" si="173"/>
        <v>0</v>
      </c>
      <c r="AT463" s="14"/>
      <c r="AU463" s="37">
        <f>_xlfn.XLOOKUP(D463,[1]Hoja2!$E$6:$E$24,[1]Hoja2!$F$6:$F$24,0,2,1)</f>
        <v>0</v>
      </c>
      <c r="AV463" s="3">
        <v>0</v>
      </c>
      <c r="AW463" s="3"/>
      <c r="AX463" s="14">
        <v>0</v>
      </c>
      <c r="AY463" s="14"/>
      <c r="AZ463" s="16">
        <f>_xlfn.XLOOKUP(C463,[2]PI!$B$15:$B$99,[2]PI!$L$15:$L$99,0,2,1)</f>
        <v>0</v>
      </c>
      <c r="BA463" s="16">
        <f>_xlfn.XLOOKUP(D463,[2]PI!$B$15:$B$99,[2]PI!$L$15:$L$99,0,2,1)</f>
        <v>0</v>
      </c>
      <c r="BB463" s="3"/>
      <c r="BC463" s="3"/>
      <c r="BD463" s="14"/>
      <c r="BE463" s="14"/>
      <c r="BF463" s="16"/>
      <c r="BG463" s="16"/>
      <c r="BH463" s="12">
        <f t="shared" si="174"/>
        <v>0</v>
      </c>
      <c r="BI463" s="19">
        <f t="shared" si="175"/>
        <v>0</v>
      </c>
      <c r="BJ463" s="1" t="s">
        <v>35</v>
      </c>
      <c r="BK463">
        <f t="shared" si="176"/>
        <v>0</v>
      </c>
      <c r="BL463">
        <f t="shared" si="177"/>
        <v>0</v>
      </c>
    </row>
    <row r="464" spans="1:64" x14ac:dyDescent="0.25">
      <c r="A464" s="1" t="s">
        <v>1393</v>
      </c>
      <c r="B464" s="1" t="s">
        <v>1276</v>
      </c>
      <c r="C464" s="13" t="s">
        <v>1392</v>
      </c>
      <c r="D464" s="15"/>
      <c r="E464" s="17"/>
      <c r="F464" s="3"/>
      <c r="G464" s="14"/>
      <c r="H464" s="16"/>
      <c r="I464" s="11">
        <v>46221</v>
      </c>
      <c r="J464" s="4">
        <v>17</v>
      </c>
      <c r="K464" s="18">
        <f>(F464-(0)+0-(J464*Ventas!AE461*1))</f>
        <v>0</v>
      </c>
      <c r="L464" s="3"/>
      <c r="M464" s="22">
        <f t="shared" si="158"/>
        <v>0</v>
      </c>
      <c r="N464" s="14"/>
      <c r="O464" s="25">
        <f t="shared" si="163"/>
        <v>0</v>
      </c>
      <c r="P464" s="16"/>
      <c r="Q464" s="12">
        <f t="shared" si="164"/>
        <v>0</v>
      </c>
      <c r="R464" s="5">
        <v>0</v>
      </c>
      <c r="S464" s="24">
        <v>0</v>
      </c>
      <c r="T464" s="26">
        <v>0</v>
      </c>
      <c r="U464" s="18">
        <f t="shared" si="165"/>
        <v>0</v>
      </c>
      <c r="V464" s="22">
        <f t="shared" si="166"/>
        <v>0</v>
      </c>
      <c r="W464" s="25">
        <f t="shared" si="167"/>
        <v>0</v>
      </c>
      <c r="X464" s="3"/>
      <c r="Y464" s="14"/>
      <c r="Z464" s="14"/>
      <c r="AA464" s="3"/>
      <c r="AB464" s="3">
        <v>6.783E-3</v>
      </c>
      <c r="AC464" s="11">
        <v>46313</v>
      </c>
      <c r="AD464" s="4">
        <v>92</v>
      </c>
      <c r="AE464" s="18">
        <f>(IF(K464&gt;0,K464+R464,R464)-(AD464*Ventas!AE461*1.0489))</f>
        <v>0</v>
      </c>
      <c r="AF464" s="3"/>
      <c r="AG464" s="22">
        <f t="shared" si="159"/>
        <v>0</v>
      </c>
      <c r="AH464" s="14"/>
      <c r="AI464" s="25">
        <f t="shared" si="168"/>
        <v>0</v>
      </c>
      <c r="AJ464" s="16"/>
      <c r="AK464" s="12">
        <f t="shared" si="169"/>
        <v>0</v>
      </c>
      <c r="AL464" s="19">
        <f t="shared" si="170"/>
        <v>0</v>
      </c>
      <c r="AM464" s="18">
        <f>(180*(Ventas!AE461*0.9644) - IF(AE464&gt;0,AE464,0))</f>
        <v>0</v>
      </c>
      <c r="AN464" s="18">
        <f t="shared" si="162"/>
        <v>0</v>
      </c>
      <c r="AO464" s="14"/>
      <c r="AP464" s="14">
        <f t="shared" si="171"/>
        <v>0</v>
      </c>
      <c r="AQ464" s="16">
        <f t="shared" si="172"/>
        <v>0</v>
      </c>
      <c r="AR464" s="37">
        <f>_xlfn.XLOOKUP(C464,[1]Hoja2!$C$6:$C$24,[1]Hoja2!$D$6:$D$24,0,2,1)</f>
        <v>0</v>
      </c>
      <c r="AS464" s="18">
        <f t="shared" si="173"/>
        <v>0</v>
      </c>
      <c r="AT464" s="14"/>
      <c r="AU464" s="37">
        <f>_xlfn.XLOOKUP(D464,[1]Hoja2!$E$6:$E$24,[1]Hoja2!$F$6:$F$24,0,2,1)</f>
        <v>0</v>
      </c>
      <c r="AV464" s="3">
        <v>0</v>
      </c>
      <c r="AW464" s="3"/>
      <c r="AX464" s="14">
        <v>0</v>
      </c>
      <c r="AY464" s="14"/>
      <c r="AZ464" s="16">
        <f>_xlfn.XLOOKUP(C464,[2]PI!$B$15:$B$99,[2]PI!$L$15:$L$99,0,2,1)</f>
        <v>0</v>
      </c>
      <c r="BA464" s="16">
        <f>_xlfn.XLOOKUP(D464,[2]PI!$B$15:$B$99,[2]PI!$L$15:$L$99,0,2,1)</f>
        <v>0</v>
      </c>
      <c r="BB464" s="3"/>
      <c r="BC464" s="3"/>
      <c r="BD464" s="14"/>
      <c r="BE464" s="14"/>
      <c r="BF464" s="16"/>
      <c r="BG464" s="16"/>
      <c r="BH464" s="12">
        <f t="shared" si="174"/>
        <v>0</v>
      </c>
      <c r="BI464" s="19">
        <f t="shared" si="175"/>
        <v>0</v>
      </c>
      <c r="BJ464" s="1" t="s">
        <v>35</v>
      </c>
      <c r="BK464">
        <f t="shared" si="176"/>
        <v>0</v>
      </c>
      <c r="BL464">
        <f t="shared" si="177"/>
        <v>0</v>
      </c>
    </row>
    <row r="465" spans="1:64" x14ac:dyDescent="0.25">
      <c r="A465" s="1" t="s">
        <v>1396</v>
      </c>
      <c r="B465" s="1" t="s">
        <v>1395</v>
      </c>
      <c r="C465" s="13" t="s">
        <v>1394</v>
      </c>
      <c r="D465" s="15"/>
      <c r="E465" s="17"/>
      <c r="F465" s="5">
        <v>8</v>
      </c>
      <c r="G465" s="14"/>
      <c r="H465" s="16"/>
      <c r="I465" s="11">
        <v>46221</v>
      </c>
      <c r="J465" s="4">
        <v>17</v>
      </c>
      <c r="K465" s="18">
        <f>(F465-(0)+0-(J465*Ventas!AE462*1))</f>
        <v>6.47</v>
      </c>
      <c r="L465" s="20">
        <f>(K465/(Ventas!AE462*1)/80)</f>
        <v>0.89861111111111103</v>
      </c>
      <c r="M465" s="22">
        <f t="shared" si="158"/>
        <v>0</v>
      </c>
      <c r="N465" s="14"/>
      <c r="O465" s="25">
        <f t="shared" si="163"/>
        <v>0</v>
      </c>
      <c r="P465" s="16"/>
      <c r="Q465" s="12">
        <f t="shared" si="164"/>
        <v>6.47</v>
      </c>
      <c r="R465" s="5">
        <v>40</v>
      </c>
      <c r="S465" s="24">
        <v>0</v>
      </c>
      <c r="T465" s="26">
        <v>0</v>
      </c>
      <c r="U465" s="18">
        <f t="shared" si="165"/>
        <v>46.47</v>
      </c>
      <c r="V465" s="22">
        <f t="shared" si="166"/>
        <v>0</v>
      </c>
      <c r="W465" s="25">
        <f t="shared" si="167"/>
        <v>0</v>
      </c>
      <c r="X465" s="18">
        <v>1.95</v>
      </c>
      <c r="Y465" s="14"/>
      <c r="Z465" s="14"/>
      <c r="AA465" s="3"/>
      <c r="AB465" s="3"/>
      <c r="AC465" s="11">
        <v>46313</v>
      </c>
      <c r="AD465" s="4">
        <v>92</v>
      </c>
      <c r="AE465" s="18">
        <f>(IF(K465&gt;0,K465+R465,R465)-(AD465*Ventas!AE462*1.0489))</f>
        <v>37.785108000000001</v>
      </c>
      <c r="AF465" s="20">
        <f>(AE465/(Ventas!AE462*1.0489)/80)</f>
        <v>5.003271681444053</v>
      </c>
      <c r="AG465" s="22">
        <f t="shared" si="159"/>
        <v>0</v>
      </c>
      <c r="AH465" s="14"/>
      <c r="AI465" s="25">
        <f t="shared" si="168"/>
        <v>0</v>
      </c>
      <c r="AJ465" s="16"/>
      <c r="AK465" s="12">
        <f t="shared" si="169"/>
        <v>37.785108000000001</v>
      </c>
      <c r="AL465" s="19">
        <f t="shared" si="170"/>
        <v>4.3778627212635461</v>
      </c>
      <c r="AM465" s="18">
        <f>(180*(Ventas!AE462*0.9644) - IF(AE465&gt;0,AE465,0))</f>
        <v>-22.161828</v>
      </c>
      <c r="AN465" s="18">
        <f t="shared" si="162"/>
        <v>0</v>
      </c>
      <c r="AO465" s="14"/>
      <c r="AP465" s="14">
        <f t="shared" si="171"/>
        <v>0</v>
      </c>
      <c r="AQ465" s="16">
        <f t="shared" si="172"/>
        <v>0</v>
      </c>
      <c r="AR465" s="37">
        <f>_xlfn.XLOOKUP(C465,[1]Hoja2!$C$6:$C$24,[1]Hoja2!$D$6:$D$24,0,2,1)</f>
        <v>0</v>
      </c>
      <c r="AS465" s="18">
        <f t="shared" si="173"/>
        <v>37.785108000000001</v>
      </c>
      <c r="AT465" s="14"/>
      <c r="AU465" s="37">
        <f>_xlfn.XLOOKUP(D465,[1]Hoja2!$E$6:$E$24,[1]Hoja2!$F$6:$F$24,0,2,1)</f>
        <v>0</v>
      </c>
      <c r="AV465" s="27">
        <v>0</v>
      </c>
      <c r="AW465" s="5">
        <v>3016</v>
      </c>
      <c r="AX465" s="14">
        <v>0</v>
      </c>
      <c r="AY465" s="14"/>
      <c r="AZ465" s="16">
        <f>_xlfn.XLOOKUP(C465,[2]PI!$B$15:$B$99,[2]PI!$L$15:$L$99,0,2,1)</f>
        <v>0</v>
      </c>
      <c r="BA465" s="16">
        <f>_xlfn.XLOOKUP(D465,[2]PI!$B$15:$B$99,[2]PI!$L$15:$L$99,0,2,1)</f>
        <v>0</v>
      </c>
      <c r="BB465" s="18">
        <f>(AS465-(90*Ventas!AE462*0.9644))</f>
        <v>29.973468</v>
      </c>
      <c r="BC465" s="20">
        <f>(BB465/(Ventas!AE462*0.9644)/80)</f>
        <v>4.3166545693349923</v>
      </c>
      <c r="BD465" s="14"/>
      <c r="BE465" s="14"/>
      <c r="BF465" s="16"/>
      <c r="BG465" s="16"/>
      <c r="BH465" s="12">
        <f t="shared" si="174"/>
        <v>29.973468</v>
      </c>
      <c r="BI465" s="19">
        <f t="shared" si="175"/>
        <v>3.7770727481681181</v>
      </c>
      <c r="BJ465" s="1" t="s">
        <v>35</v>
      </c>
      <c r="BK465">
        <f t="shared" si="176"/>
        <v>0</v>
      </c>
      <c r="BL465">
        <f t="shared" si="177"/>
        <v>0</v>
      </c>
    </row>
    <row r="466" spans="1:64" x14ac:dyDescent="0.25">
      <c r="A466" s="1" t="s">
        <v>1399</v>
      </c>
      <c r="B466" s="1" t="s">
        <v>1398</v>
      </c>
      <c r="C466" s="13" t="s">
        <v>1397</v>
      </c>
      <c r="D466" s="15"/>
      <c r="E466" s="17"/>
      <c r="F466" s="3"/>
      <c r="G466" s="14"/>
      <c r="H466" s="16"/>
      <c r="I466" s="11">
        <v>46221</v>
      </c>
      <c r="J466" s="4">
        <v>17</v>
      </c>
      <c r="K466" s="18">
        <f>(F466-(0)+0-(J466*Ventas!AE463*1))</f>
        <v>0</v>
      </c>
      <c r="L466" s="3"/>
      <c r="M466" s="22">
        <f t="shared" si="158"/>
        <v>0</v>
      </c>
      <c r="N466" s="14"/>
      <c r="O466" s="25">
        <f t="shared" si="163"/>
        <v>0</v>
      </c>
      <c r="P466" s="16"/>
      <c r="Q466" s="12">
        <f t="shared" si="164"/>
        <v>0</v>
      </c>
      <c r="R466" s="5">
        <v>0</v>
      </c>
      <c r="S466" s="24">
        <v>0</v>
      </c>
      <c r="T466" s="26">
        <v>0</v>
      </c>
      <c r="U466" s="18">
        <f t="shared" si="165"/>
        <v>0</v>
      </c>
      <c r="V466" s="22">
        <f t="shared" si="166"/>
        <v>0</v>
      </c>
      <c r="W466" s="25">
        <f t="shared" si="167"/>
        <v>0</v>
      </c>
      <c r="X466" s="3"/>
      <c r="Y466" s="14"/>
      <c r="Z466" s="14"/>
      <c r="AA466" s="3"/>
      <c r="AB466" s="3">
        <v>6.783E-3</v>
      </c>
      <c r="AC466" s="11">
        <v>46313</v>
      </c>
      <c r="AD466" s="4">
        <v>92</v>
      </c>
      <c r="AE466" s="18">
        <f>(IF(K466&gt;0,K466+R466,R466)-(AD466*Ventas!AE463*1.0489))</f>
        <v>0</v>
      </c>
      <c r="AF466" s="3"/>
      <c r="AG466" s="22">
        <f t="shared" si="159"/>
        <v>0</v>
      </c>
      <c r="AH466" s="14"/>
      <c r="AI466" s="25">
        <f t="shared" si="168"/>
        <v>0</v>
      </c>
      <c r="AJ466" s="16"/>
      <c r="AK466" s="12">
        <f t="shared" si="169"/>
        <v>0</v>
      </c>
      <c r="AL466" s="19">
        <f t="shared" si="170"/>
        <v>0</v>
      </c>
      <c r="AM466" s="18">
        <f>(180*(Ventas!AE463*0.9644) - IF(AE466&gt;0,AE466,0))</f>
        <v>0</v>
      </c>
      <c r="AN466" s="18">
        <f t="shared" si="162"/>
        <v>0</v>
      </c>
      <c r="AO466" s="14"/>
      <c r="AP466" s="14">
        <f t="shared" si="171"/>
        <v>0</v>
      </c>
      <c r="AQ466" s="16">
        <f t="shared" si="172"/>
        <v>0</v>
      </c>
      <c r="AR466" s="37">
        <f>_xlfn.XLOOKUP(C466,[1]Hoja2!$C$6:$C$24,[1]Hoja2!$D$6:$D$24,0,2,1)</f>
        <v>0</v>
      </c>
      <c r="AS466" s="18">
        <f t="shared" si="173"/>
        <v>0</v>
      </c>
      <c r="AT466" s="14"/>
      <c r="AU466" s="37">
        <f>_xlfn.XLOOKUP(D466,[1]Hoja2!$E$6:$E$24,[1]Hoja2!$F$6:$F$24,0,2,1)</f>
        <v>0</v>
      </c>
      <c r="AV466" s="3">
        <v>0</v>
      </c>
      <c r="AW466" s="3"/>
      <c r="AX466" s="14">
        <v>0</v>
      </c>
      <c r="AY466" s="14"/>
      <c r="AZ466" s="16">
        <f>_xlfn.XLOOKUP(C466,[2]PI!$B$15:$B$99,[2]PI!$L$15:$L$99,0,2,1)</f>
        <v>0</v>
      </c>
      <c r="BA466" s="16">
        <f>_xlfn.XLOOKUP(D466,[2]PI!$B$15:$B$99,[2]PI!$L$15:$L$99,0,2,1)</f>
        <v>0</v>
      </c>
      <c r="BB466" s="3"/>
      <c r="BC466" s="3"/>
      <c r="BD466" s="14"/>
      <c r="BE466" s="14"/>
      <c r="BF466" s="16"/>
      <c r="BG466" s="16"/>
      <c r="BH466" s="12">
        <f t="shared" si="174"/>
        <v>0</v>
      </c>
      <c r="BI466" s="19">
        <f t="shared" si="175"/>
        <v>0</v>
      </c>
      <c r="BJ466" s="1" t="s">
        <v>35</v>
      </c>
      <c r="BK466">
        <f t="shared" si="176"/>
        <v>0</v>
      </c>
      <c r="BL466">
        <f t="shared" si="177"/>
        <v>0</v>
      </c>
    </row>
    <row r="467" spans="1:64" x14ac:dyDescent="0.25">
      <c r="A467" s="1" t="s">
        <v>1402</v>
      </c>
      <c r="B467" s="1" t="s">
        <v>1401</v>
      </c>
      <c r="C467" s="13" t="s">
        <v>1400</v>
      </c>
      <c r="D467" s="15"/>
      <c r="E467" s="17"/>
      <c r="F467" s="3"/>
      <c r="G467" s="14"/>
      <c r="H467" s="16"/>
      <c r="I467" s="11">
        <v>46221</v>
      </c>
      <c r="J467" s="4">
        <v>17</v>
      </c>
      <c r="K467" s="18">
        <f>(F467-(0)+0-(J467*Ventas!AE464*1))</f>
        <v>0</v>
      </c>
      <c r="L467" s="3"/>
      <c r="M467" s="22">
        <f t="shared" si="158"/>
        <v>0</v>
      </c>
      <c r="N467" s="14"/>
      <c r="O467" s="25">
        <f t="shared" si="163"/>
        <v>0</v>
      </c>
      <c r="P467" s="16"/>
      <c r="Q467" s="12">
        <f t="shared" si="164"/>
        <v>0</v>
      </c>
      <c r="R467" s="5">
        <v>0</v>
      </c>
      <c r="S467" s="24">
        <v>0</v>
      </c>
      <c r="T467" s="26">
        <v>0</v>
      </c>
      <c r="U467" s="18">
        <f t="shared" si="165"/>
        <v>0</v>
      </c>
      <c r="V467" s="22">
        <f t="shared" si="166"/>
        <v>0</v>
      </c>
      <c r="W467" s="25">
        <f t="shared" si="167"/>
        <v>0</v>
      </c>
      <c r="X467" s="3"/>
      <c r="Y467" s="14"/>
      <c r="Z467" s="14"/>
      <c r="AA467" s="3"/>
      <c r="AB467" s="3">
        <v>6.783E-3</v>
      </c>
      <c r="AC467" s="11">
        <v>46313</v>
      </c>
      <c r="AD467" s="4">
        <v>92</v>
      </c>
      <c r="AE467" s="18">
        <f>(IF(K467&gt;0,K467+R467,R467)-(AD467*Ventas!AE464*1.0489))</f>
        <v>0</v>
      </c>
      <c r="AF467" s="3"/>
      <c r="AG467" s="22">
        <f t="shared" si="159"/>
        <v>0</v>
      </c>
      <c r="AH467" s="14"/>
      <c r="AI467" s="25">
        <f t="shared" si="168"/>
        <v>0</v>
      </c>
      <c r="AJ467" s="16"/>
      <c r="AK467" s="12">
        <f t="shared" si="169"/>
        <v>0</v>
      </c>
      <c r="AL467" s="19">
        <f t="shared" si="170"/>
        <v>0</v>
      </c>
      <c r="AM467" s="18">
        <f>(180*(Ventas!AE464*0.9644) - IF(AE467&gt;0,AE467,0))</f>
        <v>0</v>
      </c>
      <c r="AN467" s="18">
        <f t="shared" si="162"/>
        <v>0</v>
      </c>
      <c r="AO467" s="14"/>
      <c r="AP467" s="14">
        <f t="shared" si="171"/>
        <v>0</v>
      </c>
      <c r="AQ467" s="16">
        <f t="shared" si="172"/>
        <v>0</v>
      </c>
      <c r="AR467" s="37">
        <f>_xlfn.XLOOKUP(C467,[1]Hoja2!$C$6:$C$24,[1]Hoja2!$D$6:$D$24,0,2,1)</f>
        <v>0</v>
      </c>
      <c r="AS467" s="18">
        <f t="shared" si="173"/>
        <v>0</v>
      </c>
      <c r="AT467" s="14"/>
      <c r="AU467" s="37">
        <f>_xlfn.XLOOKUP(D467,[1]Hoja2!$E$6:$E$24,[1]Hoja2!$F$6:$F$24,0,2,1)</f>
        <v>0</v>
      </c>
      <c r="AV467" s="3">
        <v>0</v>
      </c>
      <c r="AW467" s="3"/>
      <c r="AX467" s="14">
        <v>0</v>
      </c>
      <c r="AY467" s="14"/>
      <c r="AZ467" s="16">
        <f>_xlfn.XLOOKUP(C467,[2]PI!$B$15:$B$99,[2]PI!$L$15:$L$99,0,2,1)</f>
        <v>0</v>
      </c>
      <c r="BA467" s="16">
        <f>_xlfn.XLOOKUP(D467,[2]PI!$B$15:$B$99,[2]PI!$L$15:$L$99,0,2,1)</f>
        <v>0</v>
      </c>
      <c r="BB467" s="3"/>
      <c r="BC467" s="3"/>
      <c r="BD467" s="14"/>
      <c r="BE467" s="14"/>
      <c r="BF467" s="16"/>
      <c r="BG467" s="16"/>
      <c r="BH467" s="12">
        <f t="shared" si="174"/>
        <v>0</v>
      </c>
      <c r="BI467" s="19">
        <f t="shared" si="175"/>
        <v>0</v>
      </c>
      <c r="BJ467" s="1" t="s">
        <v>35</v>
      </c>
      <c r="BK467">
        <f t="shared" si="176"/>
        <v>0</v>
      </c>
      <c r="BL467">
        <f t="shared" si="177"/>
        <v>0</v>
      </c>
    </row>
    <row r="468" spans="1:64" x14ac:dyDescent="0.25">
      <c r="A468" s="1" t="s">
        <v>1405</v>
      </c>
      <c r="B468" s="1" t="s">
        <v>1404</v>
      </c>
      <c r="C468" s="13" t="s">
        <v>1403</v>
      </c>
      <c r="D468" s="15"/>
      <c r="E468" s="17"/>
      <c r="F468" s="3"/>
      <c r="G468" s="14"/>
      <c r="H468" s="16"/>
      <c r="I468" s="11">
        <v>46221</v>
      </c>
      <c r="J468" s="4">
        <v>17</v>
      </c>
      <c r="K468" s="18">
        <f>(F468-(0)+0-(J468*Ventas!AE465*1))</f>
        <v>0</v>
      </c>
      <c r="L468" s="3"/>
      <c r="M468" s="22">
        <f t="shared" si="158"/>
        <v>0</v>
      </c>
      <c r="N468" s="14"/>
      <c r="O468" s="25">
        <f t="shared" si="163"/>
        <v>0</v>
      </c>
      <c r="P468" s="16"/>
      <c r="Q468" s="12">
        <f t="shared" si="164"/>
        <v>0</v>
      </c>
      <c r="R468" s="5">
        <v>0</v>
      </c>
      <c r="S468" s="24">
        <v>0</v>
      </c>
      <c r="T468" s="26">
        <v>0</v>
      </c>
      <c r="U468" s="18">
        <f t="shared" si="165"/>
        <v>0</v>
      </c>
      <c r="V468" s="22">
        <f t="shared" si="166"/>
        <v>0</v>
      </c>
      <c r="W468" s="25">
        <f t="shared" si="167"/>
        <v>0</v>
      </c>
      <c r="X468" s="3"/>
      <c r="Y468" s="14"/>
      <c r="Z468" s="14"/>
      <c r="AA468" s="3"/>
      <c r="AB468" s="3">
        <v>6.783E-3</v>
      </c>
      <c r="AC468" s="11">
        <v>46313</v>
      </c>
      <c r="AD468" s="4">
        <v>92</v>
      </c>
      <c r="AE468" s="18">
        <f>(IF(K468&gt;0,K468+R468,R468)-(AD468*Ventas!AE465*1.0489))</f>
        <v>0</v>
      </c>
      <c r="AF468" s="3"/>
      <c r="AG468" s="22">
        <f t="shared" si="159"/>
        <v>0</v>
      </c>
      <c r="AH468" s="14"/>
      <c r="AI468" s="25">
        <f t="shared" si="168"/>
        <v>0</v>
      </c>
      <c r="AJ468" s="16"/>
      <c r="AK468" s="12">
        <f t="shared" si="169"/>
        <v>0</v>
      </c>
      <c r="AL468" s="19">
        <f t="shared" si="170"/>
        <v>0</v>
      </c>
      <c r="AM468" s="18">
        <f>(180*(Ventas!AE465*0.9644) - IF(AE468&gt;0,AE468,0))</f>
        <v>0</v>
      </c>
      <c r="AN468" s="18">
        <f t="shared" si="162"/>
        <v>0</v>
      </c>
      <c r="AO468" s="14"/>
      <c r="AP468" s="14">
        <f t="shared" si="171"/>
        <v>0</v>
      </c>
      <c r="AQ468" s="16">
        <f t="shared" si="172"/>
        <v>0</v>
      </c>
      <c r="AR468" s="37">
        <f>_xlfn.XLOOKUP(C468,[1]Hoja2!$C$6:$C$24,[1]Hoja2!$D$6:$D$24,0,2,1)</f>
        <v>0</v>
      </c>
      <c r="AS468" s="18">
        <f t="shared" si="173"/>
        <v>0</v>
      </c>
      <c r="AT468" s="14"/>
      <c r="AU468" s="37">
        <f>_xlfn.XLOOKUP(D468,[1]Hoja2!$E$6:$E$24,[1]Hoja2!$F$6:$F$24,0,2,1)</f>
        <v>0</v>
      </c>
      <c r="AV468" s="3">
        <v>0</v>
      </c>
      <c r="AW468" s="3"/>
      <c r="AX468" s="14">
        <v>0</v>
      </c>
      <c r="AY468" s="14"/>
      <c r="AZ468" s="16">
        <f>_xlfn.XLOOKUP(C468,[2]PI!$B$15:$B$99,[2]PI!$L$15:$L$99,0,2,1)</f>
        <v>0</v>
      </c>
      <c r="BA468" s="16">
        <f>_xlfn.XLOOKUP(D468,[2]PI!$B$15:$B$99,[2]PI!$L$15:$L$99,0,2,1)</f>
        <v>0</v>
      </c>
      <c r="BB468" s="3"/>
      <c r="BC468" s="3"/>
      <c r="BD468" s="14"/>
      <c r="BE468" s="14"/>
      <c r="BF468" s="16"/>
      <c r="BG468" s="16"/>
      <c r="BH468" s="12">
        <f t="shared" si="174"/>
        <v>0</v>
      </c>
      <c r="BI468" s="19">
        <f t="shared" si="175"/>
        <v>0</v>
      </c>
      <c r="BJ468" s="1" t="s">
        <v>35</v>
      </c>
      <c r="BK468">
        <f t="shared" si="176"/>
        <v>0</v>
      </c>
      <c r="BL468">
        <f t="shared" si="177"/>
        <v>0</v>
      </c>
    </row>
    <row r="469" spans="1:64" x14ac:dyDescent="0.25">
      <c r="A469" s="1" t="s">
        <v>1408</v>
      </c>
      <c r="B469" s="1" t="s">
        <v>1407</v>
      </c>
      <c r="C469" s="13" t="s">
        <v>1406</v>
      </c>
      <c r="D469" s="15"/>
      <c r="E469" s="17"/>
      <c r="F469" s="3"/>
      <c r="G469" s="14"/>
      <c r="H469" s="16"/>
      <c r="I469" s="11">
        <v>46221</v>
      </c>
      <c r="J469" s="4">
        <v>17</v>
      </c>
      <c r="K469" s="18">
        <f>(F469-(0)+0-(J469*Ventas!AE466*1))</f>
        <v>0</v>
      </c>
      <c r="L469" s="3"/>
      <c r="M469" s="22">
        <f t="shared" si="158"/>
        <v>0</v>
      </c>
      <c r="N469" s="14"/>
      <c r="O469" s="25">
        <f t="shared" si="163"/>
        <v>0</v>
      </c>
      <c r="P469" s="16"/>
      <c r="Q469" s="12">
        <f t="shared" si="164"/>
        <v>0</v>
      </c>
      <c r="R469" s="5">
        <v>0</v>
      </c>
      <c r="S469" s="24">
        <v>0</v>
      </c>
      <c r="T469" s="26">
        <v>0</v>
      </c>
      <c r="U469" s="18">
        <f t="shared" si="165"/>
        <v>0</v>
      </c>
      <c r="V469" s="22">
        <f t="shared" si="166"/>
        <v>0</v>
      </c>
      <c r="W469" s="25">
        <f t="shared" si="167"/>
        <v>0</v>
      </c>
      <c r="X469" s="3"/>
      <c r="Y469" s="14"/>
      <c r="Z469" s="14"/>
      <c r="AA469" s="3"/>
      <c r="AB469" s="3">
        <v>6.783E-3</v>
      </c>
      <c r="AC469" s="11">
        <v>46313</v>
      </c>
      <c r="AD469" s="4">
        <v>92</v>
      </c>
      <c r="AE469" s="18">
        <f>(IF(K469&gt;0,K469+R469,R469)-(AD469*Ventas!AE466*1.0489))</f>
        <v>0</v>
      </c>
      <c r="AF469" s="3"/>
      <c r="AG469" s="22">
        <f t="shared" si="159"/>
        <v>0</v>
      </c>
      <c r="AH469" s="14"/>
      <c r="AI469" s="25">
        <f t="shared" si="168"/>
        <v>0</v>
      </c>
      <c r="AJ469" s="16"/>
      <c r="AK469" s="12">
        <f t="shared" si="169"/>
        <v>0</v>
      </c>
      <c r="AL469" s="19">
        <f t="shared" si="170"/>
        <v>0</v>
      </c>
      <c r="AM469" s="18">
        <f>(180*(Ventas!AE466*0.9644) - IF(AE469&gt;0,AE469,0))</f>
        <v>0</v>
      </c>
      <c r="AN469" s="18">
        <f t="shared" si="162"/>
        <v>0</v>
      </c>
      <c r="AO469" s="14"/>
      <c r="AP469" s="14">
        <f t="shared" si="171"/>
        <v>0</v>
      </c>
      <c r="AQ469" s="16">
        <f t="shared" si="172"/>
        <v>0</v>
      </c>
      <c r="AR469" s="37">
        <f>_xlfn.XLOOKUP(C469,[1]Hoja2!$C$6:$C$24,[1]Hoja2!$D$6:$D$24,0,2,1)</f>
        <v>0</v>
      </c>
      <c r="AS469" s="18">
        <f t="shared" si="173"/>
        <v>0</v>
      </c>
      <c r="AT469" s="14"/>
      <c r="AU469" s="37">
        <f>_xlfn.XLOOKUP(D469,[1]Hoja2!$E$6:$E$24,[1]Hoja2!$F$6:$F$24,0,2,1)</f>
        <v>0</v>
      </c>
      <c r="AV469" s="3">
        <v>0</v>
      </c>
      <c r="AW469" s="3"/>
      <c r="AX469" s="14">
        <v>0</v>
      </c>
      <c r="AY469" s="14"/>
      <c r="AZ469" s="16">
        <f>_xlfn.XLOOKUP(C469,[2]PI!$B$15:$B$99,[2]PI!$L$15:$L$99,0,2,1)</f>
        <v>0</v>
      </c>
      <c r="BA469" s="16">
        <f>_xlfn.XLOOKUP(D469,[2]PI!$B$15:$B$99,[2]PI!$L$15:$L$99,0,2,1)</f>
        <v>0</v>
      </c>
      <c r="BB469" s="3"/>
      <c r="BC469" s="3"/>
      <c r="BD469" s="14"/>
      <c r="BE469" s="14"/>
      <c r="BF469" s="16"/>
      <c r="BG469" s="16"/>
      <c r="BH469" s="12">
        <f t="shared" si="174"/>
        <v>0</v>
      </c>
      <c r="BI469" s="19">
        <f t="shared" si="175"/>
        <v>0</v>
      </c>
      <c r="BJ469" s="1" t="s">
        <v>35</v>
      </c>
      <c r="BK469">
        <f t="shared" si="176"/>
        <v>0</v>
      </c>
      <c r="BL469">
        <f t="shared" si="177"/>
        <v>0</v>
      </c>
    </row>
    <row r="470" spans="1:64" x14ac:dyDescent="0.25">
      <c r="A470" s="1" t="s">
        <v>1411</v>
      </c>
      <c r="B470" s="1" t="s">
        <v>1410</v>
      </c>
      <c r="C470" s="13" t="s">
        <v>1409</v>
      </c>
      <c r="D470" s="15"/>
      <c r="E470" s="17"/>
      <c r="F470" s="3"/>
      <c r="G470" s="14"/>
      <c r="H470" s="16"/>
      <c r="I470" s="11">
        <v>46221</v>
      </c>
      <c r="J470" s="4">
        <v>17</v>
      </c>
      <c r="K470" s="18">
        <f>(F470-(0)+0-(J470*Ventas!AE467*1))</f>
        <v>0</v>
      </c>
      <c r="L470" s="3"/>
      <c r="M470" s="22">
        <f t="shared" si="158"/>
        <v>0</v>
      </c>
      <c r="N470" s="14"/>
      <c r="O470" s="25">
        <f t="shared" si="163"/>
        <v>0</v>
      </c>
      <c r="P470" s="16"/>
      <c r="Q470" s="12">
        <f t="shared" si="164"/>
        <v>0</v>
      </c>
      <c r="R470" s="5">
        <v>0</v>
      </c>
      <c r="S470" s="24">
        <v>0</v>
      </c>
      <c r="T470" s="26">
        <v>0</v>
      </c>
      <c r="U470" s="18">
        <f t="shared" si="165"/>
        <v>0</v>
      </c>
      <c r="V470" s="22">
        <f t="shared" si="166"/>
        <v>0</v>
      </c>
      <c r="W470" s="25">
        <f t="shared" si="167"/>
        <v>0</v>
      </c>
      <c r="X470" s="3"/>
      <c r="Y470" s="14"/>
      <c r="Z470" s="14"/>
      <c r="AA470" s="3"/>
      <c r="AB470" s="3">
        <v>6.783E-3</v>
      </c>
      <c r="AC470" s="11">
        <v>46313</v>
      </c>
      <c r="AD470" s="4">
        <v>92</v>
      </c>
      <c r="AE470" s="18">
        <f>(IF(K470&gt;0,K470+R470,R470)-(AD470*Ventas!AE467*1.0489))</f>
        <v>0</v>
      </c>
      <c r="AF470" s="3"/>
      <c r="AG470" s="22">
        <f t="shared" si="159"/>
        <v>0</v>
      </c>
      <c r="AH470" s="14"/>
      <c r="AI470" s="25">
        <f t="shared" si="168"/>
        <v>0</v>
      </c>
      <c r="AJ470" s="16"/>
      <c r="AK470" s="12">
        <f t="shared" si="169"/>
        <v>0</v>
      </c>
      <c r="AL470" s="19">
        <f t="shared" si="170"/>
        <v>0</v>
      </c>
      <c r="AM470" s="18">
        <f>(180*(Ventas!AE467*0.9644) - IF(AE470&gt;0,AE470,0))</f>
        <v>0</v>
      </c>
      <c r="AN470" s="18">
        <f t="shared" si="162"/>
        <v>0</v>
      </c>
      <c r="AO470" s="14"/>
      <c r="AP470" s="14">
        <f t="shared" si="171"/>
        <v>0</v>
      </c>
      <c r="AQ470" s="16">
        <f t="shared" si="172"/>
        <v>0</v>
      </c>
      <c r="AR470" s="37">
        <f>_xlfn.XLOOKUP(C470,[1]Hoja2!$C$6:$C$24,[1]Hoja2!$D$6:$D$24,0,2,1)</f>
        <v>0</v>
      </c>
      <c r="AS470" s="18">
        <f t="shared" si="173"/>
        <v>0</v>
      </c>
      <c r="AT470" s="14"/>
      <c r="AU470" s="37">
        <f>_xlfn.XLOOKUP(D470,[1]Hoja2!$E$6:$E$24,[1]Hoja2!$F$6:$F$24,0,2,1)</f>
        <v>0</v>
      </c>
      <c r="AV470" s="3">
        <v>0</v>
      </c>
      <c r="AW470" s="3"/>
      <c r="AX470" s="14">
        <v>0</v>
      </c>
      <c r="AY470" s="14"/>
      <c r="AZ470" s="16">
        <f>_xlfn.XLOOKUP(C470,[2]PI!$B$15:$B$99,[2]PI!$L$15:$L$99,0,2,1)</f>
        <v>0</v>
      </c>
      <c r="BA470" s="16">
        <f>_xlfn.XLOOKUP(D470,[2]PI!$B$15:$B$99,[2]PI!$L$15:$L$99,0,2,1)</f>
        <v>0</v>
      </c>
      <c r="BB470" s="3"/>
      <c r="BC470" s="3"/>
      <c r="BD470" s="14"/>
      <c r="BE470" s="14"/>
      <c r="BF470" s="16"/>
      <c r="BG470" s="16"/>
      <c r="BH470" s="12">
        <f t="shared" si="174"/>
        <v>0</v>
      </c>
      <c r="BI470" s="19">
        <f t="shared" si="175"/>
        <v>0</v>
      </c>
      <c r="BJ470" s="1" t="s">
        <v>35</v>
      </c>
      <c r="BK470">
        <f t="shared" si="176"/>
        <v>0</v>
      </c>
      <c r="BL470">
        <f t="shared" si="177"/>
        <v>0</v>
      </c>
    </row>
    <row r="471" spans="1:64" x14ac:dyDescent="0.25">
      <c r="A471" s="1" t="s">
        <v>1414</v>
      </c>
      <c r="B471" s="1" t="s">
        <v>1413</v>
      </c>
      <c r="C471" s="13" t="s">
        <v>1412</v>
      </c>
      <c r="D471" s="15"/>
      <c r="E471" s="17"/>
      <c r="F471" s="3"/>
      <c r="G471" s="14"/>
      <c r="H471" s="16"/>
      <c r="I471" s="11">
        <v>46221</v>
      </c>
      <c r="J471" s="4">
        <v>17</v>
      </c>
      <c r="K471" s="18">
        <f>(F471-(0)+0-(J471*Ventas!AE468*1))</f>
        <v>0</v>
      </c>
      <c r="L471" s="3"/>
      <c r="M471" s="22">
        <f t="shared" si="158"/>
        <v>0</v>
      </c>
      <c r="N471" s="14"/>
      <c r="O471" s="25">
        <f t="shared" si="163"/>
        <v>0</v>
      </c>
      <c r="P471" s="16"/>
      <c r="Q471" s="12">
        <f t="shared" si="164"/>
        <v>0</v>
      </c>
      <c r="R471" s="5">
        <v>0</v>
      </c>
      <c r="S471" s="24">
        <v>0</v>
      </c>
      <c r="T471" s="26">
        <v>0</v>
      </c>
      <c r="U471" s="18">
        <f t="shared" si="165"/>
        <v>0</v>
      </c>
      <c r="V471" s="22">
        <f t="shared" si="166"/>
        <v>0</v>
      </c>
      <c r="W471" s="25">
        <f t="shared" si="167"/>
        <v>0</v>
      </c>
      <c r="X471" s="3"/>
      <c r="Y471" s="14"/>
      <c r="Z471" s="14"/>
      <c r="AA471" s="3"/>
      <c r="AB471" s="3">
        <v>6.783E-3</v>
      </c>
      <c r="AC471" s="11">
        <v>46313</v>
      </c>
      <c r="AD471" s="4">
        <v>92</v>
      </c>
      <c r="AE471" s="18">
        <f>(IF(K471&gt;0,K471+R471,R471)-(AD471*Ventas!AE468*1.0489))</f>
        <v>0</v>
      </c>
      <c r="AF471" s="3"/>
      <c r="AG471" s="22">
        <f t="shared" si="159"/>
        <v>0</v>
      </c>
      <c r="AH471" s="14"/>
      <c r="AI471" s="25">
        <f t="shared" si="168"/>
        <v>0</v>
      </c>
      <c r="AJ471" s="16"/>
      <c r="AK471" s="12">
        <f t="shared" si="169"/>
        <v>0</v>
      </c>
      <c r="AL471" s="19">
        <f t="shared" si="170"/>
        <v>0</v>
      </c>
      <c r="AM471" s="18">
        <f>(180*(Ventas!AE468*0.9644) - IF(AE471&gt;0,AE471,0))</f>
        <v>0</v>
      </c>
      <c r="AN471" s="18">
        <f t="shared" si="162"/>
        <v>0</v>
      </c>
      <c r="AO471" s="14"/>
      <c r="AP471" s="14">
        <f t="shared" si="171"/>
        <v>0</v>
      </c>
      <c r="AQ471" s="16">
        <f t="shared" si="172"/>
        <v>0</v>
      </c>
      <c r="AR471" s="37">
        <f>_xlfn.XLOOKUP(C471,[1]Hoja2!$C$6:$C$24,[1]Hoja2!$D$6:$D$24,0,2,1)</f>
        <v>0</v>
      </c>
      <c r="AS471" s="18">
        <f t="shared" si="173"/>
        <v>0</v>
      </c>
      <c r="AT471" s="14"/>
      <c r="AU471" s="37">
        <f>_xlfn.XLOOKUP(D471,[1]Hoja2!$E$6:$E$24,[1]Hoja2!$F$6:$F$24,0,2,1)</f>
        <v>0</v>
      </c>
      <c r="AV471" s="3">
        <v>0</v>
      </c>
      <c r="AW471" s="3"/>
      <c r="AX471" s="14">
        <v>0</v>
      </c>
      <c r="AY471" s="14"/>
      <c r="AZ471" s="16">
        <f>_xlfn.XLOOKUP(C471,[2]PI!$B$15:$B$99,[2]PI!$L$15:$L$99,0,2,1)</f>
        <v>0</v>
      </c>
      <c r="BA471" s="16">
        <f>_xlfn.XLOOKUP(D471,[2]PI!$B$15:$B$99,[2]PI!$L$15:$L$99,0,2,1)</f>
        <v>0</v>
      </c>
      <c r="BB471" s="3"/>
      <c r="BC471" s="3"/>
      <c r="BD471" s="14"/>
      <c r="BE471" s="14"/>
      <c r="BF471" s="16"/>
      <c r="BG471" s="16"/>
      <c r="BH471" s="12">
        <f t="shared" si="174"/>
        <v>0</v>
      </c>
      <c r="BI471" s="19">
        <f t="shared" si="175"/>
        <v>0</v>
      </c>
      <c r="BJ471" s="1" t="s">
        <v>35</v>
      </c>
      <c r="BK471">
        <f t="shared" si="176"/>
        <v>0</v>
      </c>
      <c r="BL471">
        <f t="shared" si="177"/>
        <v>0</v>
      </c>
    </row>
    <row r="472" spans="1:64" x14ac:dyDescent="0.25">
      <c r="A472" s="1" t="s">
        <v>1417</v>
      </c>
      <c r="B472" s="1" t="s">
        <v>1416</v>
      </c>
      <c r="C472" s="13" t="s">
        <v>1415</v>
      </c>
      <c r="D472" s="15"/>
      <c r="E472" s="17"/>
      <c r="F472" s="3"/>
      <c r="G472" s="14"/>
      <c r="H472" s="16"/>
      <c r="I472" s="11">
        <v>46221</v>
      </c>
      <c r="J472" s="4">
        <v>17</v>
      </c>
      <c r="K472" s="18">
        <f>(F472-(0)+0-(J472*Ventas!AE469*1))</f>
        <v>0</v>
      </c>
      <c r="L472" s="3"/>
      <c r="M472" s="22">
        <f t="shared" ref="M472:M497" si="178">(G472+0)</f>
        <v>0</v>
      </c>
      <c r="N472" s="14"/>
      <c r="O472" s="25">
        <f t="shared" si="163"/>
        <v>0</v>
      </c>
      <c r="P472" s="16"/>
      <c r="Q472" s="12">
        <f t="shared" si="164"/>
        <v>0</v>
      </c>
      <c r="R472" s="5">
        <v>0</v>
      </c>
      <c r="S472" s="24">
        <v>0</v>
      </c>
      <c r="T472" s="26">
        <v>0</v>
      </c>
      <c r="U472" s="18">
        <f t="shared" si="165"/>
        <v>0</v>
      </c>
      <c r="V472" s="22">
        <f t="shared" si="166"/>
        <v>0</v>
      </c>
      <c r="W472" s="25">
        <f t="shared" si="167"/>
        <v>0</v>
      </c>
      <c r="X472" s="3"/>
      <c r="Y472" s="14"/>
      <c r="Z472" s="14"/>
      <c r="AA472" s="3"/>
      <c r="AB472" s="3">
        <v>6.783E-3</v>
      </c>
      <c r="AC472" s="11">
        <v>46313</v>
      </c>
      <c r="AD472" s="4">
        <v>92</v>
      </c>
      <c r="AE472" s="18">
        <f>(IF(K472&gt;0,K472+R472,R472)-(AD472*Ventas!AE469*1.0489))</f>
        <v>0</v>
      </c>
      <c r="AF472" s="3"/>
      <c r="AG472" s="22">
        <f t="shared" ref="AG472:AG497" si="179">(G472+0)</f>
        <v>0</v>
      </c>
      <c r="AH472" s="14"/>
      <c r="AI472" s="25">
        <f t="shared" si="168"/>
        <v>0</v>
      </c>
      <c r="AJ472" s="16"/>
      <c r="AK472" s="12">
        <f t="shared" si="169"/>
        <v>0</v>
      </c>
      <c r="AL472" s="19">
        <f t="shared" si="170"/>
        <v>0</v>
      </c>
      <c r="AM472" s="18">
        <f>(180*(Ventas!AE469*0.9644) - IF(AE472&gt;0,AE472,0))</f>
        <v>0</v>
      </c>
      <c r="AN472" s="18">
        <f t="shared" si="162"/>
        <v>0</v>
      </c>
      <c r="AO472" s="14"/>
      <c r="AP472" s="14">
        <f t="shared" si="171"/>
        <v>0</v>
      </c>
      <c r="AQ472" s="16">
        <f t="shared" si="172"/>
        <v>0</v>
      </c>
      <c r="AR472" s="37">
        <f>_xlfn.XLOOKUP(C472,[1]Hoja2!$C$6:$C$24,[1]Hoja2!$D$6:$D$24,0,2,1)</f>
        <v>0</v>
      </c>
      <c r="AS472" s="18">
        <f t="shared" si="173"/>
        <v>0</v>
      </c>
      <c r="AT472" s="14"/>
      <c r="AU472" s="37">
        <f>_xlfn.XLOOKUP(D472,[1]Hoja2!$E$6:$E$24,[1]Hoja2!$F$6:$F$24,0,2,1)</f>
        <v>0</v>
      </c>
      <c r="AV472" s="3">
        <v>0</v>
      </c>
      <c r="AW472" s="3"/>
      <c r="AX472" s="14">
        <v>0</v>
      </c>
      <c r="AY472" s="14"/>
      <c r="AZ472" s="16">
        <f>_xlfn.XLOOKUP(C472,[2]PI!$B$15:$B$99,[2]PI!$L$15:$L$99,0,2,1)</f>
        <v>0</v>
      </c>
      <c r="BA472" s="16">
        <f>_xlfn.XLOOKUP(D472,[2]PI!$B$15:$B$99,[2]PI!$L$15:$L$99,0,2,1)</f>
        <v>0</v>
      </c>
      <c r="BB472" s="3"/>
      <c r="BC472" s="3"/>
      <c r="BD472" s="14"/>
      <c r="BE472" s="14"/>
      <c r="BF472" s="16"/>
      <c r="BG472" s="16"/>
      <c r="BH472" s="12">
        <f t="shared" si="174"/>
        <v>0</v>
      </c>
      <c r="BI472" s="19">
        <f t="shared" si="175"/>
        <v>0</v>
      </c>
      <c r="BJ472" s="1" t="s">
        <v>35</v>
      </c>
      <c r="BK472">
        <f t="shared" si="176"/>
        <v>0</v>
      </c>
      <c r="BL472">
        <f t="shared" si="177"/>
        <v>0</v>
      </c>
    </row>
    <row r="473" spans="1:64" x14ac:dyDescent="0.25">
      <c r="A473" s="1" t="s">
        <v>1420</v>
      </c>
      <c r="B473" s="1" t="s">
        <v>1419</v>
      </c>
      <c r="C473" s="13" t="s">
        <v>1418</v>
      </c>
      <c r="D473" s="15"/>
      <c r="E473" s="17"/>
      <c r="F473" s="3"/>
      <c r="G473" s="14"/>
      <c r="H473" s="16"/>
      <c r="I473" s="11">
        <v>46221</v>
      </c>
      <c r="J473" s="4">
        <v>17</v>
      </c>
      <c r="K473" s="18">
        <f>(F473-(0)+0-(J473*Ventas!AE470*1))</f>
        <v>0</v>
      </c>
      <c r="L473" s="3"/>
      <c r="M473" s="22">
        <f t="shared" si="178"/>
        <v>0</v>
      </c>
      <c r="N473" s="14"/>
      <c r="O473" s="25">
        <f t="shared" si="163"/>
        <v>0</v>
      </c>
      <c r="P473" s="16"/>
      <c r="Q473" s="12">
        <f t="shared" si="164"/>
        <v>0</v>
      </c>
      <c r="R473" s="5">
        <v>0</v>
      </c>
      <c r="S473" s="24">
        <v>0</v>
      </c>
      <c r="T473" s="26">
        <v>0</v>
      </c>
      <c r="U473" s="18">
        <f t="shared" si="165"/>
        <v>0</v>
      </c>
      <c r="V473" s="22">
        <f t="shared" si="166"/>
        <v>0</v>
      </c>
      <c r="W473" s="25">
        <f t="shared" si="167"/>
        <v>0</v>
      </c>
      <c r="X473" s="3"/>
      <c r="Y473" s="14"/>
      <c r="Z473" s="14"/>
      <c r="AA473" s="3"/>
      <c r="AB473" s="3">
        <v>6.783E-3</v>
      </c>
      <c r="AC473" s="11">
        <v>46313</v>
      </c>
      <c r="AD473" s="4">
        <v>92</v>
      </c>
      <c r="AE473" s="18">
        <f>(IF(K473&gt;0,K473+R473,R473)-(AD473*Ventas!AE470*1.0489))</f>
        <v>0</v>
      </c>
      <c r="AF473" s="3"/>
      <c r="AG473" s="22">
        <f t="shared" si="179"/>
        <v>0</v>
      </c>
      <c r="AH473" s="14"/>
      <c r="AI473" s="25">
        <f t="shared" si="168"/>
        <v>0</v>
      </c>
      <c r="AJ473" s="16"/>
      <c r="AK473" s="12">
        <f t="shared" si="169"/>
        <v>0</v>
      </c>
      <c r="AL473" s="19">
        <f t="shared" si="170"/>
        <v>0</v>
      </c>
      <c r="AM473" s="18">
        <f>(180*(Ventas!AE470*0.9644) - IF(AE473&gt;0,AE473,0))</f>
        <v>0</v>
      </c>
      <c r="AN473" s="18">
        <f t="shared" si="162"/>
        <v>0</v>
      </c>
      <c r="AO473" s="14"/>
      <c r="AP473" s="14">
        <f t="shared" si="171"/>
        <v>0</v>
      </c>
      <c r="AQ473" s="16">
        <f t="shared" si="172"/>
        <v>0</v>
      </c>
      <c r="AR473" s="37">
        <f>_xlfn.XLOOKUP(C473,[1]Hoja2!$C$6:$C$24,[1]Hoja2!$D$6:$D$24,0,2,1)</f>
        <v>0</v>
      </c>
      <c r="AS473" s="18">
        <f t="shared" si="173"/>
        <v>0</v>
      </c>
      <c r="AT473" s="14"/>
      <c r="AU473" s="37">
        <f>_xlfn.XLOOKUP(D473,[1]Hoja2!$E$6:$E$24,[1]Hoja2!$F$6:$F$24,0,2,1)</f>
        <v>0</v>
      </c>
      <c r="AV473" s="3">
        <v>0</v>
      </c>
      <c r="AW473" s="3"/>
      <c r="AX473" s="14">
        <v>0</v>
      </c>
      <c r="AY473" s="14"/>
      <c r="AZ473" s="16">
        <f>_xlfn.XLOOKUP(C473,[2]PI!$B$15:$B$99,[2]PI!$L$15:$L$99,0,2,1)</f>
        <v>0</v>
      </c>
      <c r="BA473" s="16">
        <f>_xlfn.XLOOKUP(D473,[2]PI!$B$15:$B$99,[2]PI!$L$15:$L$99,0,2,1)</f>
        <v>0</v>
      </c>
      <c r="BB473" s="3"/>
      <c r="BC473" s="3"/>
      <c r="BD473" s="14"/>
      <c r="BE473" s="14"/>
      <c r="BF473" s="16"/>
      <c r="BG473" s="16"/>
      <c r="BH473" s="12">
        <f t="shared" si="174"/>
        <v>0</v>
      </c>
      <c r="BI473" s="19">
        <f t="shared" si="175"/>
        <v>0</v>
      </c>
      <c r="BJ473" s="1" t="s">
        <v>35</v>
      </c>
      <c r="BK473">
        <f t="shared" si="176"/>
        <v>0</v>
      </c>
      <c r="BL473">
        <f t="shared" si="177"/>
        <v>0</v>
      </c>
    </row>
    <row r="474" spans="1:64" x14ac:dyDescent="0.25">
      <c r="A474" s="1" t="s">
        <v>1423</v>
      </c>
      <c r="B474" s="1" t="s">
        <v>1422</v>
      </c>
      <c r="C474" s="13" t="s">
        <v>1421</v>
      </c>
      <c r="D474" s="15"/>
      <c r="E474" s="17"/>
      <c r="F474" s="3"/>
      <c r="G474" s="14"/>
      <c r="H474" s="16"/>
      <c r="I474" s="11">
        <v>46221</v>
      </c>
      <c r="J474" s="4">
        <v>17</v>
      </c>
      <c r="K474" s="18">
        <f>(F474-(0)+0-(J474*Ventas!AE471*1))</f>
        <v>0</v>
      </c>
      <c r="L474" s="3"/>
      <c r="M474" s="22">
        <f t="shared" si="178"/>
        <v>0</v>
      </c>
      <c r="N474" s="14"/>
      <c r="O474" s="25">
        <f t="shared" si="163"/>
        <v>0</v>
      </c>
      <c r="P474" s="16"/>
      <c r="Q474" s="12">
        <f t="shared" si="164"/>
        <v>0</v>
      </c>
      <c r="R474" s="5">
        <v>0</v>
      </c>
      <c r="S474" s="24">
        <v>0</v>
      </c>
      <c r="T474" s="26">
        <v>0</v>
      </c>
      <c r="U474" s="18">
        <f t="shared" si="165"/>
        <v>0</v>
      </c>
      <c r="V474" s="22">
        <f t="shared" si="166"/>
        <v>0</v>
      </c>
      <c r="W474" s="25">
        <f t="shared" si="167"/>
        <v>0</v>
      </c>
      <c r="X474" s="3"/>
      <c r="Y474" s="14"/>
      <c r="Z474" s="14"/>
      <c r="AA474" s="3"/>
      <c r="AB474" s="3">
        <v>6.783E-3</v>
      </c>
      <c r="AC474" s="11">
        <v>46313</v>
      </c>
      <c r="AD474" s="4">
        <v>92</v>
      </c>
      <c r="AE474" s="18">
        <f>(IF(K474&gt;0,K474+R474,R474)-(AD474*Ventas!AE471*1.0489))</f>
        <v>0</v>
      </c>
      <c r="AF474" s="3"/>
      <c r="AG474" s="22">
        <f t="shared" si="179"/>
        <v>0</v>
      </c>
      <c r="AH474" s="14"/>
      <c r="AI474" s="25">
        <f t="shared" si="168"/>
        <v>0</v>
      </c>
      <c r="AJ474" s="16"/>
      <c r="AK474" s="12">
        <f t="shared" si="169"/>
        <v>0</v>
      </c>
      <c r="AL474" s="19">
        <f t="shared" si="170"/>
        <v>0</v>
      </c>
      <c r="AM474" s="18">
        <f>(180*(Ventas!AE471*0.9644) - IF(AE474&gt;0,AE474,0))</f>
        <v>0</v>
      </c>
      <c r="AN474" s="18">
        <f t="shared" si="162"/>
        <v>0</v>
      </c>
      <c r="AO474" s="14"/>
      <c r="AP474" s="14">
        <f t="shared" si="171"/>
        <v>0</v>
      </c>
      <c r="AQ474" s="16">
        <f t="shared" si="172"/>
        <v>0</v>
      </c>
      <c r="AR474" s="37">
        <f>_xlfn.XLOOKUP(C474,[1]Hoja2!$C$6:$C$24,[1]Hoja2!$D$6:$D$24,0,2,1)</f>
        <v>0</v>
      </c>
      <c r="AS474" s="18">
        <f t="shared" si="173"/>
        <v>0</v>
      </c>
      <c r="AT474" s="14"/>
      <c r="AU474" s="37">
        <f>_xlfn.XLOOKUP(D474,[1]Hoja2!$E$6:$E$24,[1]Hoja2!$F$6:$F$24,0,2,1)</f>
        <v>0</v>
      </c>
      <c r="AV474" s="3">
        <v>0</v>
      </c>
      <c r="AW474" s="3"/>
      <c r="AX474" s="14">
        <v>0</v>
      </c>
      <c r="AY474" s="14"/>
      <c r="AZ474" s="16">
        <f>_xlfn.XLOOKUP(C474,[2]PI!$B$15:$B$99,[2]PI!$L$15:$L$99,0,2,1)</f>
        <v>0</v>
      </c>
      <c r="BA474" s="16">
        <f>_xlfn.XLOOKUP(D474,[2]PI!$B$15:$B$99,[2]PI!$L$15:$L$99,0,2,1)</f>
        <v>0</v>
      </c>
      <c r="BB474" s="3"/>
      <c r="BC474" s="3"/>
      <c r="BD474" s="14"/>
      <c r="BE474" s="14"/>
      <c r="BF474" s="16"/>
      <c r="BG474" s="16"/>
      <c r="BH474" s="12">
        <f t="shared" si="174"/>
        <v>0</v>
      </c>
      <c r="BI474" s="19">
        <f t="shared" si="175"/>
        <v>0</v>
      </c>
      <c r="BJ474" s="1" t="s">
        <v>35</v>
      </c>
      <c r="BK474">
        <f t="shared" si="176"/>
        <v>0</v>
      </c>
      <c r="BL474">
        <f t="shared" si="177"/>
        <v>0</v>
      </c>
    </row>
    <row r="475" spans="1:64" x14ac:dyDescent="0.25">
      <c r="A475" s="1" t="s">
        <v>1426</v>
      </c>
      <c r="B475" s="1" t="s">
        <v>1425</v>
      </c>
      <c r="C475" s="13" t="s">
        <v>1424</v>
      </c>
      <c r="D475" s="15"/>
      <c r="E475" s="17"/>
      <c r="F475" s="3"/>
      <c r="G475" s="14"/>
      <c r="H475" s="16"/>
      <c r="I475" s="11">
        <v>46221</v>
      </c>
      <c r="J475" s="4">
        <v>17</v>
      </c>
      <c r="K475" s="18">
        <f>(F475-(0)+0-(J475*Ventas!AE472*1))</f>
        <v>0</v>
      </c>
      <c r="L475" s="3"/>
      <c r="M475" s="22">
        <f t="shared" si="178"/>
        <v>0</v>
      </c>
      <c r="N475" s="14"/>
      <c r="O475" s="25">
        <f t="shared" si="163"/>
        <v>0</v>
      </c>
      <c r="P475" s="16"/>
      <c r="Q475" s="12">
        <f t="shared" si="164"/>
        <v>0</v>
      </c>
      <c r="R475" s="5">
        <v>0</v>
      </c>
      <c r="S475" s="24">
        <v>0</v>
      </c>
      <c r="T475" s="26">
        <v>0</v>
      </c>
      <c r="U475" s="18">
        <f t="shared" si="165"/>
        <v>0</v>
      </c>
      <c r="V475" s="22">
        <f t="shared" si="166"/>
        <v>0</v>
      </c>
      <c r="W475" s="25">
        <f t="shared" si="167"/>
        <v>0</v>
      </c>
      <c r="X475" s="3"/>
      <c r="Y475" s="14"/>
      <c r="Z475" s="14"/>
      <c r="AA475" s="3"/>
      <c r="AB475" s="3">
        <v>6.783E-3</v>
      </c>
      <c r="AC475" s="11">
        <v>46313</v>
      </c>
      <c r="AD475" s="4">
        <v>92</v>
      </c>
      <c r="AE475" s="18">
        <f>(IF(K475&gt;0,K475+R475,R475)-(AD475*Ventas!AE472*1.0489))</f>
        <v>0</v>
      </c>
      <c r="AF475" s="3"/>
      <c r="AG475" s="22">
        <f t="shared" si="179"/>
        <v>0</v>
      </c>
      <c r="AH475" s="14"/>
      <c r="AI475" s="25">
        <f t="shared" si="168"/>
        <v>0</v>
      </c>
      <c r="AJ475" s="16"/>
      <c r="AK475" s="12">
        <f t="shared" si="169"/>
        <v>0</v>
      </c>
      <c r="AL475" s="19">
        <f t="shared" si="170"/>
        <v>0</v>
      </c>
      <c r="AM475" s="18">
        <f>(180*(Ventas!AE472*0.9644) - IF(AE475&gt;0,AE475,0))</f>
        <v>0</v>
      </c>
      <c r="AN475" s="18">
        <f t="shared" si="162"/>
        <v>0</v>
      </c>
      <c r="AO475" s="14"/>
      <c r="AP475" s="14">
        <f t="shared" si="171"/>
        <v>0</v>
      </c>
      <c r="AQ475" s="16">
        <f t="shared" si="172"/>
        <v>0</v>
      </c>
      <c r="AR475" s="37">
        <f>_xlfn.XLOOKUP(C475,[1]Hoja2!$C$6:$C$24,[1]Hoja2!$D$6:$D$24,0,2,1)</f>
        <v>0</v>
      </c>
      <c r="AS475" s="18">
        <f t="shared" si="173"/>
        <v>0</v>
      </c>
      <c r="AT475" s="14"/>
      <c r="AU475" s="37">
        <f>_xlfn.XLOOKUP(D475,[1]Hoja2!$E$6:$E$24,[1]Hoja2!$F$6:$F$24,0,2,1)</f>
        <v>0</v>
      </c>
      <c r="AV475" s="3">
        <v>0</v>
      </c>
      <c r="AW475" s="3"/>
      <c r="AX475" s="14">
        <v>0</v>
      </c>
      <c r="AY475" s="14"/>
      <c r="AZ475" s="16">
        <f>_xlfn.XLOOKUP(C475,[2]PI!$B$15:$B$99,[2]PI!$L$15:$L$99,0,2,1)</f>
        <v>0</v>
      </c>
      <c r="BA475" s="16">
        <f>_xlfn.XLOOKUP(D475,[2]PI!$B$15:$B$99,[2]PI!$L$15:$L$99,0,2,1)</f>
        <v>0</v>
      </c>
      <c r="BB475" s="3"/>
      <c r="BC475" s="3"/>
      <c r="BD475" s="14"/>
      <c r="BE475" s="14"/>
      <c r="BF475" s="16"/>
      <c r="BG475" s="16"/>
      <c r="BH475" s="12">
        <f t="shared" si="174"/>
        <v>0</v>
      </c>
      <c r="BI475" s="19">
        <f t="shared" si="175"/>
        <v>0</v>
      </c>
      <c r="BJ475" s="1" t="s">
        <v>35</v>
      </c>
      <c r="BK475">
        <f t="shared" si="176"/>
        <v>0</v>
      </c>
      <c r="BL475">
        <f t="shared" si="177"/>
        <v>0</v>
      </c>
    </row>
    <row r="476" spans="1:64" x14ac:dyDescent="0.25">
      <c r="A476" s="1" t="s">
        <v>1429</v>
      </c>
      <c r="B476" s="1" t="s">
        <v>1428</v>
      </c>
      <c r="C476" s="13" t="s">
        <v>1427</v>
      </c>
      <c r="D476" s="15"/>
      <c r="E476" s="17"/>
      <c r="F476" s="3"/>
      <c r="G476" s="14"/>
      <c r="H476" s="16"/>
      <c r="I476" s="11">
        <v>46221</v>
      </c>
      <c r="J476" s="4">
        <v>17</v>
      </c>
      <c r="K476" s="18">
        <f>(F476-(0)+0-(J476*Ventas!AE473*1))</f>
        <v>0</v>
      </c>
      <c r="L476" s="3"/>
      <c r="M476" s="22">
        <f t="shared" si="178"/>
        <v>0</v>
      </c>
      <c r="N476" s="14"/>
      <c r="O476" s="25">
        <f t="shared" si="163"/>
        <v>0</v>
      </c>
      <c r="P476" s="16"/>
      <c r="Q476" s="12">
        <f t="shared" si="164"/>
        <v>0</v>
      </c>
      <c r="R476" s="5">
        <v>0</v>
      </c>
      <c r="S476" s="24">
        <v>0</v>
      </c>
      <c r="T476" s="26">
        <v>0</v>
      </c>
      <c r="U476" s="18">
        <f t="shared" si="165"/>
        <v>0</v>
      </c>
      <c r="V476" s="22">
        <f t="shared" si="166"/>
        <v>0</v>
      </c>
      <c r="W476" s="25">
        <f t="shared" si="167"/>
        <v>0</v>
      </c>
      <c r="X476" s="3"/>
      <c r="Y476" s="14"/>
      <c r="Z476" s="14"/>
      <c r="AA476" s="3"/>
      <c r="AB476" s="3">
        <v>6.783E-3</v>
      </c>
      <c r="AC476" s="11">
        <v>46313</v>
      </c>
      <c r="AD476" s="4">
        <v>92</v>
      </c>
      <c r="AE476" s="18">
        <f>(IF(K476&gt;0,K476+R476,R476)-(AD476*Ventas!AE473*1.0489))</f>
        <v>0</v>
      </c>
      <c r="AF476" s="3"/>
      <c r="AG476" s="22">
        <f t="shared" si="179"/>
        <v>0</v>
      </c>
      <c r="AH476" s="14"/>
      <c r="AI476" s="25">
        <f t="shared" si="168"/>
        <v>0</v>
      </c>
      <c r="AJ476" s="16"/>
      <c r="AK476" s="12">
        <f t="shared" si="169"/>
        <v>0</v>
      </c>
      <c r="AL476" s="19">
        <f t="shared" si="170"/>
        <v>0</v>
      </c>
      <c r="AM476" s="18">
        <f>(180*(Ventas!AE473*0.9644) - IF(AE476&gt;0,AE476,0))</f>
        <v>0</v>
      </c>
      <c r="AN476" s="18">
        <f t="shared" si="162"/>
        <v>0</v>
      </c>
      <c r="AO476" s="14"/>
      <c r="AP476" s="14">
        <f t="shared" si="171"/>
        <v>0</v>
      </c>
      <c r="AQ476" s="16">
        <f t="shared" si="172"/>
        <v>0</v>
      </c>
      <c r="AR476" s="37">
        <f>_xlfn.XLOOKUP(C476,[1]Hoja2!$C$6:$C$24,[1]Hoja2!$D$6:$D$24,0,2,1)</f>
        <v>0</v>
      </c>
      <c r="AS476" s="18">
        <f t="shared" si="173"/>
        <v>0</v>
      </c>
      <c r="AT476" s="14"/>
      <c r="AU476" s="37">
        <f>_xlfn.XLOOKUP(D476,[1]Hoja2!$E$6:$E$24,[1]Hoja2!$F$6:$F$24,0,2,1)</f>
        <v>0</v>
      </c>
      <c r="AV476" s="3">
        <v>0</v>
      </c>
      <c r="AW476" s="3"/>
      <c r="AX476" s="14">
        <v>0</v>
      </c>
      <c r="AY476" s="14"/>
      <c r="AZ476" s="16">
        <f>_xlfn.XLOOKUP(C476,[2]PI!$B$15:$B$99,[2]PI!$L$15:$L$99,0,2,1)</f>
        <v>0</v>
      </c>
      <c r="BA476" s="16">
        <f>_xlfn.XLOOKUP(D476,[2]PI!$B$15:$B$99,[2]PI!$L$15:$L$99,0,2,1)</f>
        <v>0</v>
      </c>
      <c r="BB476" s="3"/>
      <c r="BC476" s="3"/>
      <c r="BD476" s="14"/>
      <c r="BE476" s="14"/>
      <c r="BF476" s="16"/>
      <c r="BG476" s="16"/>
      <c r="BH476" s="12">
        <f t="shared" si="174"/>
        <v>0</v>
      </c>
      <c r="BI476" s="19">
        <f t="shared" si="175"/>
        <v>0</v>
      </c>
      <c r="BJ476" s="1" t="s">
        <v>35</v>
      </c>
      <c r="BK476">
        <f t="shared" si="176"/>
        <v>0</v>
      </c>
      <c r="BL476">
        <f t="shared" si="177"/>
        <v>0</v>
      </c>
    </row>
    <row r="477" spans="1:64" x14ac:dyDescent="0.25">
      <c r="A477" s="1" t="s">
        <v>1432</v>
      </c>
      <c r="B477" s="1" t="s">
        <v>1431</v>
      </c>
      <c r="C477" s="13" t="s">
        <v>1430</v>
      </c>
      <c r="D477" s="15"/>
      <c r="E477" s="17"/>
      <c r="F477" s="5">
        <v>72</v>
      </c>
      <c r="G477" s="14"/>
      <c r="H477" s="16"/>
      <c r="I477" s="11">
        <v>46221</v>
      </c>
      <c r="J477" s="4">
        <v>17</v>
      </c>
      <c r="K477" s="18">
        <f>(F477-(0)+0-(J477*Ventas!AE474*1))</f>
        <v>62.023671428571426</v>
      </c>
      <c r="L477" s="20">
        <f>(K477/(Ventas!AE474*1)/80)</f>
        <v>1.3211303220623674</v>
      </c>
      <c r="M477" s="22">
        <f t="shared" si="178"/>
        <v>0</v>
      </c>
      <c r="N477" s="14"/>
      <c r="O477" s="25">
        <f t="shared" si="163"/>
        <v>0</v>
      </c>
      <c r="P477" s="16"/>
      <c r="Q477" s="12">
        <f t="shared" si="164"/>
        <v>62.023671428571426</v>
      </c>
      <c r="R477" s="5">
        <v>180</v>
      </c>
      <c r="S477" s="24">
        <v>0</v>
      </c>
      <c r="T477" s="26">
        <v>0</v>
      </c>
      <c r="U477" s="18">
        <f t="shared" si="165"/>
        <v>242.02367142857142</v>
      </c>
      <c r="V477" s="22">
        <f t="shared" si="166"/>
        <v>0</v>
      </c>
      <c r="W477" s="25">
        <f t="shared" si="167"/>
        <v>0</v>
      </c>
      <c r="X477" s="18">
        <v>3.55</v>
      </c>
      <c r="Y477" s="14"/>
      <c r="Z477" s="14"/>
      <c r="AA477" s="3"/>
      <c r="AB477" s="3"/>
      <c r="AC477" s="11">
        <v>46313</v>
      </c>
      <c r="AD477" s="4">
        <v>92</v>
      </c>
      <c r="AE477" s="18">
        <f>(IF(K477&gt;0,K477+R477,R477)-(AD477*Ventas!AE474*1.0489))</f>
        <v>185.39403992571425</v>
      </c>
      <c r="AF477" s="20">
        <f>(AE477/(Ventas!AE474*1.0489)/80)</f>
        <v>3.7648690315743019</v>
      </c>
      <c r="AG477" s="22">
        <f t="shared" si="179"/>
        <v>0</v>
      </c>
      <c r="AH477" s="14"/>
      <c r="AI477" s="25">
        <f t="shared" si="168"/>
        <v>0</v>
      </c>
      <c r="AJ477" s="16"/>
      <c r="AK477" s="12">
        <f t="shared" si="169"/>
        <v>185.39403992571425</v>
      </c>
      <c r="AL477" s="19">
        <f t="shared" si="170"/>
        <v>3.294260402627514</v>
      </c>
      <c r="AM477" s="18">
        <f>(180*(Ventas!AE474*0.9644) - IF(AE477&gt;0,AE477,0))</f>
        <v>-83.522814668571385</v>
      </c>
      <c r="AN477" s="18">
        <f t="shared" si="162"/>
        <v>0</v>
      </c>
      <c r="AO477" s="14"/>
      <c r="AP477" s="14">
        <f t="shared" si="171"/>
        <v>0</v>
      </c>
      <c r="AQ477" s="16">
        <f t="shared" si="172"/>
        <v>0</v>
      </c>
      <c r="AR477" s="37">
        <f>_xlfn.XLOOKUP(C477,[1]Hoja2!$C$6:$C$24,[1]Hoja2!$D$6:$D$24,0,2,1)</f>
        <v>0</v>
      </c>
      <c r="AS477" s="18">
        <f t="shared" si="173"/>
        <v>185.39403992571425</v>
      </c>
      <c r="AT477" s="14"/>
      <c r="AU477" s="37">
        <f>_xlfn.XLOOKUP(D477,[1]Hoja2!$E$6:$E$24,[1]Hoja2!$F$6:$F$24,0,2,1)</f>
        <v>0</v>
      </c>
      <c r="AV477" s="27">
        <v>0</v>
      </c>
      <c r="AW477" s="5">
        <v>3016</v>
      </c>
      <c r="AX477" s="14">
        <v>0</v>
      </c>
      <c r="AY477" s="14"/>
      <c r="AZ477" s="16">
        <f>_xlfn.XLOOKUP(C477,[2]PI!$B$15:$B$99,[2]PI!$L$15:$L$99,0,2,1)</f>
        <v>0</v>
      </c>
      <c r="BA477" s="16">
        <f>_xlfn.XLOOKUP(D477,[2]PI!$B$15:$B$99,[2]PI!$L$15:$L$99,0,2,1)</f>
        <v>0</v>
      </c>
      <c r="BB477" s="18">
        <f>(AS477-(90*Ventas!AE474*0.9644))</f>
        <v>134.4584272971428</v>
      </c>
      <c r="BC477" s="20">
        <f>(BB477/(Ventas!AE474*0.9644)/80)</f>
        <v>2.9697440141209923</v>
      </c>
      <c r="BD477" s="14"/>
      <c r="BE477" s="14"/>
      <c r="BF477" s="16"/>
      <c r="BG477" s="16"/>
      <c r="BH477" s="12">
        <f t="shared" si="174"/>
        <v>134.4584272971428</v>
      </c>
      <c r="BI477" s="19">
        <f t="shared" si="175"/>
        <v>2.5985260123558684</v>
      </c>
      <c r="BJ477" s="1" t="s">
        <v>35</v>
      </c>
      <c r="BK477">
        <f t="shared" si="176"/>
        <v>0</v>
      </c>
      <c r="BL477">
        <f t="shared" si="177"/>
        <v>0</v>
      </c>
    </row>
    <row r="478" spans="1:64" x14ac:dyDescent="0.25">
      <c r="A478" s="1" t="s">
        <v>1435</v>
      </c>
      <c r="B478" s="1" t="s">
        <v>1434</v>
      </c>
      <c r="C478" s="13" t="s">
        <v>1433</v>
      </c>
      <c r="D478" s="15"/>
      <c r="E478" s="17"/>
      <c r="F478" s="3"/>
      <c r="G478" s="14"/>
      <c r="H478" s="16"/>
      <c r="I478" s="11">
        <v>46221</v>
      </c>
      <c r="J478" s="4">
        <v>17</v>
      </c>
      <c r="K478" s="18">
        <f>(F478-(0)+0-(J478*Ventas!AE475*1))</f>
        <v>0</v>
      </c>
      <c r="L478" s="3"/>
      <c r="M478" s="22">
        <f t="shared" si="178"/>
        <v>0</v>
      </c>
      <c r="N478" s="14"/>
      <c r="O478" s="25">
        <f t="shared" si="163"/>
        <v>0</v>
      </c>
      <c r="P478" s="16"/>
      <c r="Q478" s="12">
        <f t="shared" si="164"/>
        <v>0</v>
      </c>
      <c r="R478" s="5">
        <v>0</v>
      </c>
      <c r="S478" s="24">
        <v>0</v>
      </c>
      <c r="T478" s="26">
        <v>0</v>
      </c>
      <c r="U478" s="18">
        <f t="shared" si="165"/>
        <v>0</v>
      </c>
      <c r="V478" s="22">
        <f t="shared" si="166"/>
        <v>0</v>
      </c>
      <c r="W478" s="25">
        <f t="shared" si="167"/>
        <v>0</v>
      </c>
      <c r="X478" s="3"/>
      <c r="Y478" s="14"/>
      <c r="Z478" s="14"/>
      <c r="AA478" s="3"/>
      <c r="AB478" s="3">
        <v>6.783E-3</v>
      </c>
      <c r="AC478" s="11">
        <v>46313</v>
      </c>
      <c r="AD478" s="4">
        <v>92</v>
      </c>
      <c r="AE478" s="18">
        <f>(IF(K478&gt;0,K478+R478,R478)-(AD478*Ventas!AE475*1.0489))</f>
        <v>0</v>
      </c>
      <c r="AF478" s="3"/>
      <c r="AG478" s="22">
        <f t="shared" si="179"/>
        <v>0</v>
      </c>
      <c r="AH478" s="14"/>
      <c r="AI478" s="25">
        <f t="shared" si="168"/>
        <v>0</v>
      </c>
      <c r="AJ478" s="16"/>
      <c r="AK478" s="12">
        <f t="shared" si="169"/>
        <v>0</v>
      </c>
      <c r="AL478" s="19">
        <f t="shared" si="170"/>
        <v>0</v>
      </c>
      <c r="AM478" s="18">
        <f>(180*(Ventas!AE475*0.9644) - IF(AE478&gt;0,AE478,0))</f>
        <v>0</v>
      </c>
      <c r="AN478" s="18">
        <f t="shared" si="162"/>
        <v>0</v>
      </c>
      <c r="AO478" s="14"/>
      <c r="AP478" s="14">
        <f t="shared" si="171"/>
        <v>0</v>
      </c>
      <c r="AQ478" s="16">
        <f t="shared" si="172"/>
        <v>0</v>
      </c>
      <c r="AR478" s="37">
        <f>_xlfn.XLOOKUP(C478,[1]Hoja2!$C$6:$C$24,[1]Hoja2!$D$6:$D$24,0,2,1)</f>
        <v>0</v>
      </c>
      <c r="AS478" s="18">
        <f t="shared" si="173"/>
        <v>0</v>
      </c>
      <c r="AT478" s="14"/>
      <c r="AU478" s="37">
        <f>_xlfn.XLOOKUP(D478,[1]Hoja2!$E$6:$E$24,[1]Hoja2!$F$6:$F$24,0,2,1)</f>
        <v>0</v>
      </c>
      <c r="AV478" s="3">
        <v>0</v>
      </c>
      <c r="AW478" s="3"/>
      <c r="AX478" s="14">
        <v>0</v>
      </c>
      <c r="AY478" s="14"/>
      <c r="AZ478" s="16">
        <f>_xlfn.XLOOKUP(C478,[2]PI!$B$15:$B$99,[2]PI!$L$15:$L$99,0,2,1)</f>
        <v>0</v>
      </c>
      <c r="BA478" s="16">
        <f>_xlfn.XLOOKUP(D478,[2]PI!$B$15:$B$99,[2]PI!$L$15:$L$99,0,2,1)</f>
        <v>0</v>
      </c>
      <c r="BB478" s="3"/>
      <c r="BC478" s="3"/>
      <c r="BD478" s="14"/>
      <c r="BE478" s="14"/>
      <c r="BF478" s="16"/>
      <c r="BG478" s="16"/>
      <c r="BH478" s="12">
        <f t="shared" si="174"/>
        <v>0</v>
      </c>
      <c r="BI478" s="19">
        <f t="shared" si="175"/>
        <v>0</v>
      </c>
      <c r="BJ478" s="1" t="s">
        <v>35</v>
      </c>
      <c r="BK478">
        <f t="shared" si="176"/>
        <v>0</v>
      </c>
      <c r="BL478">
        <f t="shared" si="177"/>
        <v>0</v>
      </c>
    </row>
    <row r="479" spans="1:64" x14ac:dyDescent="0.25">
      <c r="A479" s="1" t="s">
        <v>1438</v>
      </c>
      <c r="B479" s="1" t="s">
        <v>1437</v>
      </c>
      <c r="C479" s="13" t="s">
        <v>1436</v>
      </c>
      <c r="D479" s="15"/>
      <c r="E479" s="17"/>
      <c r="F479" s="3"/>
      <c r="G479" s="14"/>
      <c r="H479" s="16"/>
      <c r="I479" s="11">
        <v>46221</v>
      </c>
      <c r="J479" s="4">
        <v>17</v>
      </c>
      <c r="K479" s="18">
        <f>(F479-(0)+0-(J479*Ventas!AE476*1))</f>
        <v>-6.12</v>
      </c>
      <c r="L479" s="20">
        <f>(K479/(Ventas!AE476*1)/80)</f>
        <v>-0.21249999999999999</v>
      </c>
      <c r="M479" s="22">
        <f t="shared" si="178"/>
        <v>0</v>
      </c>
      <c r="N479" s="14"/>
      <c r="O479" s="25">
        <f t="shared" si="163"/>
        <v>0</v>
      </c>
      <c r="P479" s="16"/>
      <c r="Q479" s="12">
        <f t="shared" si="164"/>
        <v>-6.12</v>
      </c>
      <c r="R479" s="5">
        <v>20</v>
      </c>
      <c r="S479" s="24">
        <v>0</v>
      </c>
      <c r="T479" s="26">
        <v>0</v>
      </c>
      <c r="U479" s="18">
        <f t="shared" si="165"/>
        <v>20</v>
      </c>
      <c r="V479" s="22">
        <f t="shared" si="166"/>
        <v>0</v>
      </c>
      <c r="W479" s="25">
        <f t="shared" si="167"/>
        <v>0</v>
      </c>
      <c r="X479" s="18">
        <v>7.5</v>
      </c>
      <c r="Y479" s="14"/>
      <c r="Z479" s="14"/>
      <c r="AA479" s="3"/>
      <c r="AB479" s="3">
        <v>6.783E-3</v>
      </c>
      <c r="AC479" s="11">
        <v>46313</v>
      </c>
      <c r="AD479" s="4">
        <v>92</v>
      </c>
      <c r="AE479" s="18">
        <f>(IF(K479&gt;0,K479+R479,R479)-(AD479*Ventas!AE476*1.0489))</f>
        <v>-14.739567999999998</v>
      </c>
      <c r="AF479" s="20">
        <f>(AE479/(Ventas!AE476*1.0489)/80)</f>
        <v>-0.48793074225908628</v>
      </c>
      <c r="AG479" s="22">
        <f t="shared" si="179"/>
        <v>0</v>
      </c>
      <c r="AH479" s="14"/>
      <c r="AI479" s="25">
        <f t="shared" si="168"/>
        <v>0</v>
      </c>
      <c r="AJ479" s="16"/>
      <c r="AK479" s="12">
        <f t="shared" si="169"/>
        <v>-14.739567999999998</v>
      </c>
      <c r="AL479" s="19">
        <f t="shared" si="170"/>
        <v>-0.42693939947670051</v>
      </c>
      <c r="AM479" s="18">
        <f>(180*(Ventas!AE476*0.9644) - IF(AE479&gt;0,AE479,0))</f>
        <v>62.493119999999998</v>
      </c>
      <c r="AN479" s="18">
        <v>60</v>
      </c>
      <c r="AO479" s="14"/>
      <c r="AP479" s="14"/>
      <c r="AQ479" s="16">
        <f t="shared" si="172"/>
        <v>0.40698000000000001</v>
      </c>
      <c r="AR479" s="37">
        <f>_xlfn.XLOOKUP(C479,[1]Hoja2!$C$6:$C$24,[1]Hoja2!$D$6:$D$24,0,2,1)</f>
        <v>0</v>
      </c>
      <c r="AS479" s="18">
        <f t="shared" si="173"/>
        <v>60</v>
      </c>
      <c r="AT479" s="14"/>
      <c r="AU479" s="37">
        <f>_xlfn.XLOOKUP(D479,[1]Hoja2!$E$6:$E$24,[1]Hoja2!$F$6:$F$24,0,2,1)</f>
        <v>0</v>
      </c>
      <c r="AV479" s="27">
        <v>7</v>
      </c>
      <c r="AW479" s="5">
        <v>3016</v>
      </c>
      <c r="AX479" s="14">
        <v>0</v>
      </c>
      <c r="AY479" s="14"/>
      <c r="AZ479" s="16">
        <f>_xlfn.XLOOKUP(C479,[2]PI!$B$15:$B$99,[2]PI!$L$15:$L$99,0,2,1)</f>
        <v>7</v>
      </c>
      <c r="BA479" s="16">
        <f>_xlfn.XLOOKUP(D479,[2]PI!$B$15:$B$99,[2]PI!$L$15:$L$99,0,2,1)</f>
        <v>0</v>
      </c>
      <c r="BB479" s="18">
        <f>(AS479-(90*Ventas!AE476*0.9644))</f>
        <v>28.753440000000001</v>
      </c>
      <c r="BC479" s="20">
        <f>(BB479/(Ventas!AE476*0.9644)/80)</f>
        <v>1.0352377989769115</v>
      </c>
      <c r="BD479" s="14"/>
      <c r="BE479" s="14"/>
      <c r="BF479" s="16"/>
      <c r="BG479" s="16"/>
      <c r="BH479" s="12">
        <f t="shared" si="174"/>
        <v>28.753440000000001</v>
      </c>
      <c r="BI479" s="19">
        <f t="shared" si="175"/>
        <v>0.90583307410479752</v>
      </c>
      <c r="BJ479" s="1" t="s">
        <v>35</v>
      </c>
      <c r="BK479">
        <f t="shared" si="176"/>
        <v>420</v>
      </c>
      <c r="BL479">
        <f t="shared" si="177"/>
        <v>420</v>
      </c>
    </row>
    <row r="480" spans="1:64" x14ac:dyDescent="0.25">
      <c r="A480" s="1" t="s">
        <v>1441</v>
      </c>
      <c r="B480" s="1" t="s">
        <v>1440</v>
      </c>
      <c r="C480" s="13" t="s">
        <v>1439</v>
      </c>
      <c r="D480" s="15"/>
      <c r="E480" s="17"/>
      <c r="F480" s="5">
        <v>12</v>
      </c>
      <c r="G480" s="14"/>
      <c r="H480" s="16"/>
      <c r="I480" s="11">
        <v>46221</v>
      </c>
      <c r="J480" s="4">
        <v>17</v>
      </c>
      <c r="K480" s="18">
        <f>(F480-(0)+0-(J480*Ventas!AE477*1))</f>
        <v>10.259442857142856</v>
      </c>
      <c r="L480" s="20">
        <f>(K480/(Ventas!AE477*1)/80)</f>
        <v>1.2525481372959395</v>
      </c>
      <c r="M480" s="22">
        <f t="shared" si="178"/>
        <v>0</v>
      </c>
      <c r="N480" s="14"/>
      <c r="O480" s="25">
        <f t="shared" si="163"/>
        <v>0</v>
      </c>
      <c r="P480" s="16"/>
      <c r="Q480" s="12">
        <f t="shared" si="164"/>
        <v>10.259442857142856</v>
      </c>
      <c r="R480" s="5">
        <v>0</v>
      </c>
      <c r="S480" s="24">
        <v>0</v>
      </c>
      <c r="T480" s="26">
        <v>0</v>
      </c>
      <c r="U480" s="18">
        <f t="shared" si="165"/>
        <v>10.259442857142856</v>
      </c>
      <c r="V480" s="22">
        <f t="shared" si="166"/>
        <v>0</v>
      </c>
      <c r="W480" s="25">
        <f t="shared" si="167"/>
        <v>0</v>
      </c>
      <c r="X480" s="3"/>
      <c r="Y480" s="14"/>
      <c r="Z480" s="14"/>
      <c r="AA480" s="3"/>
      <c r="AB480" s="3">
        <v>6.783E-3</v>
      </c>
      <c r="AC480" s="11">
        <v>46313</v>
      </c>
      <c r="AD480" s="4">
        <v>92</v>
      </c>
      <c r="AE480" s="18">
        <f>(IF(K480&gt;0,K480+R480,R480)-(AD480*Ventas!AE477*1.0489))</f>
        <v>0.37934429142856807</v>
      </c>
      <c r="AF480" s="20">
        <f>(AE480/(Ventas!AE477*1.0489)/80)</f>
        <v>4.4154006383772822E-2</v>
      </c>
      <c r="AG480" s="22">
        <f t="shared" si="179"/>
        <v>0</v>
      </c>
      <c r="AH480" s="14"/>
      <c r="AI480" s="25">
        <f t="shared" si="168"/>
        <v>0</v>
      </c>
      <c r="AJ480" s="16"/>
      <c r="AK480" s="12">
        <f t="shared" si="169"/>
        <v>0.37934429142856807</v>
      </c>
      <c r="AL480" s="19">
        <f t="shared" si="170"/>
        <v>3.863475558580122E-2</v>
      </c>
      <c r="AM480" s="18">
        <f>(180*(Ventas!AE477*0.9644) - IF(AE480&gt;0,AE480,0))</f>
        <v>17.393996622857145</v>
      </c>
      <c r="AN480" s="18">
        <v>15</v>
      </c>
      <c r="AO480" s="14"/>
      <c r="AP480" s="14"/>
      <c r="AQ480" s="16">
        <f t="shared" si="172"/>
        <v>0.101745</v>
      </c>
      <c r="AR480" s="37">
        <f>_xlfn.XLOOKUP(C480,[1]Hoja2!$C$6:$C$24,[1]Hoja2!$D$6:$D$24,0,2,1)</f>
        <v>0</v>
      </c>
      <c r="AS480" s="18">
        <f t="shared" si="173"/>
        <v>15.379344291428568</v>
      </c>
      <c r="AT480" s="14"/>
      <c r="AU480" s="37">
        <f>_xlfn.XLOOKUP(D480,[1]Hoja2!$E$6:$E$24,[1]Hoja2!$F$6:$F$24,0,2,1)</f>
        <v>0</v>
      </c>
      <c r="AV480" s="27">
        <v>24</v>
      </c>
      <c r="AW480" s="5">
        <v>3016</v>
      </c>
      <c r="AX480" s="14">
        <v>0</v>
      </c>
      <c r="AY480" s="14"/>
      <c r="AZ480" s="16">
        <f>_xlfn.XLOOKUP(C480,[2]PI!$B$15:$B$99,[2]PI!$L$15:$L$99,0,2,1)</f>
        <v>24</v>
      </c>
      <c r="BA480" s="16">
        <f>_xlfn.XLOOKUP(D480,[2]PI!$B$15:$B$99,[2]PI!$L$15:$L$99,0,2,1)</f>
        <v>0</v>
      </c>
      <c r="BB480" s="18">
        <f>(AS480-(90*Ventas!AE477*0.9644))</f>
        <v>6.4926738342857089</v>
      </c>
      <c r="BC480" s="20">
        <f>(BB480/(Ventas!AE477*0.9644)/80)</f>
        <v>0.82193416519687224</v>
      </c>
      <c r="BD480" s="14"/>
      <c r="BE480" s="14"/>
      <c r="BF480" s="16"/>
      <c r="BG480" s="16"/>
      <c r="BH480" s="12">
        <f t="shared" si="174"/>
        <v>6.4926738342857089</v>
      </c>
      <c r="BI480" s="19">
        <f t="shared" si="175"/>
        <v>0.71919239454726325</v>
      </c>
      <c r="BJ480" s="1" t="s">
        <v>35</v>
      </c>
      <c r="BK480">
        <f t="shared" si="176"/>
        <v>360</v>
      </c>
      <c r="BL480">
        <f t="shared" si="177"/>
        <v>360</v>
      </c>
    </row>
    <row r="481" spans="1:64" x14ac:dyDescent="0.25">
      <c r="A481" s="1" t="s">
        <v>1444</v>
      </c>
      <c r="B481" s="1" t="s">
        <v>1443</v>
      </c>
      <c r="C481" s="13" t="s">
        <v>1442</v>
      </c>
      <c r="D481" s="15"/>
      <c r="E481" s="17"/>
      <c r="F481" s="5">
        <v>91</v>
      </c>
      <c r="G481" s="14"/>
      <c r="H481" s="16"/>
      <c r="I481" s="11">
        <v>46221</v>
      </c>
      <c r="J481" s="4">
        <v>17</v>
      </c>
      <c r="K481" s="18">
        <f>(F481-(0)+0-(J481*Ventas!AE478*1))</f>
        <v>90.537842857142863</v>
      </c>
      <c r="L481" s="20">
        <f>(K481/(Ventas!AE478*1)/80)</f>
        <v>41.629328691539676</v>
      </c>
      <c r="M481" s="22">
        <f t="shared" si="178"/>
        <v>0</v>
      </c>
      <c r="N481" s="14"/>
      <c r="O481" s="25">
        <f t="shared" si="163"/>
        <v>0</v>
      </c>
      <c r="P481" s="16"/>
      <c r="Q481" s="12">
        <f t="shared" si="164"/>
        <v>90.537842857142863</v>
      </c>
      <c r="R481" s="5">
        <v>0</v>
      </c>
      <c r="S481" s="24">
        <v>0</v>
      </c>
      <c r="T481" s="26">
        <v>0</v>
      </c>
      <c r="U481" s="18">
        <f t="shared" si="165"/>
        <v>90.537842857142863</v>
      </c>
      <c r="V481" s="22">
        <f t="shared" si="166"/>
        <v>0</v>
      </c>
      <c r="W481" s="25">
        <f t="shared" si="167"/>
        <v>0</v>
      </c>
      <c r="X481" s="3"/>
      <c r="Y481" s="14"/>
      <c r="Z481" s="14"/>
      <c r="AA481" s="3"/>
      <c r="AB481" s="3"/>
      <c r="AC481" s="11">
        <v>46313</v>
      </c>
      <c r="AD481" s="4">
        <v>92</v>
      </c>
      <c r="AE481" s="18">
        <f>(IF(K481&gt;0,K481+R481,R481)-(AD481*Ventas!AE478*1.0489))</f>
        <v>87.914454051428578</v>
      </c>
      <c r="AF481" s="20">
        <f>(AE481/(Ventas!AE478*1.0489)/80)</f>
        <v>38.53855819576669</v>
      </c>
      <c r="AG481" s="22">
        <f t="shared" si="179"/>
        <v>0</v>
      </c>
      <c r="AH481" s="14"/>
      <c r="AI481" s="25">
        <f t="shared" si="168"/>
        <v>0</v>
      </c>
      <c r="AJ481" s="16"/>
      <c r="AK481" s="12">
        <f t="shared" si="169"/>
        <v>87.914454051428578</v>
      </c>
      <c r="AL481" s="19">
        <f t="shared" si="170"/>
        <v>33.721238421295851</v>
      </c>
      <c r="AM481" s="18">
        <f>(180*(Ventas!AE478*0.9644) - IF(AE481&gt;0,AE481,0))</f>
        <v>-83.19523153714286</v>
      </c>
      <c r="AN481" s="18">
        <f>IF(AM481&gt;3,CEILING(AM481,5),0)</f>
        <v>0</v>
      </c>
      <c r="AO481" s="14"/>
      <c r="AP481" s="14">
        <f t="shared" ref="AP481:AP497" si="180">IF(AO481&gt;3,CEILING(AO481,5),0)</f>
        <v>0</v>
      </c>
      <c r="AQ481" s="16">
        <f t="shared" si="172"/>
        <v>0</v>
      </c>
      <c r="AR481" s="37">
        <f>_xlfn.XLOOKUP(C481,[1]Hoja2!$C$6:$C$24,[1]Hoja2!$D$6:$D$24,0,2,1)</f>
        <v>0</v>
      </c>
      <c r="AS481" s="18">
        <f t="shared" si="173"/>
        <v>87.914454051428578</v>
      </c>
      <c r="AT481" s="14"/>
      <c r="AU481" s="37">
        <f>_xlfn.XLOOKUP(D481,[1]Hoja2!$E$6:$E$24,[1]Hoja2!$F$6:$F$24,0,2,1)</f>
        <v>0</v>
      </c>
      <c r="AV481" s="27">
        <v>0</v>
      </c>
      <c r="AW481" s="5">
        <v>3016</v>
      </c>
      <c r="AX481" s="14">
        <v>0</v>
      </c>
      <c r="AY481" s="14"/>
      <c r="AZ481" s="16">
        <f>_xlfn.XLOOKUP(C481,[2]PI!$B$15:$B$99,[2]PI!$L$15:$L$99,0,2,1)</f>
        <v>0</v>
      </c>
      <c r="BA481" s="16">
        <f>_xlfn.XLOOKUP(D481,[2]PI!$B$15:$B$99,[2]PI!$L$15:$L$99,0,2,1)</f>
        <v>0</v>
      </c>
      <c r="BB481" s="18">
        <f>(AS481-(90*Ventas!AE478*0.9644))</f>
        <v>85.554842794285719</v>
      </c>
      <c r="BC481" s="20">
        <f>(BB481/(Ventas!AE478*0.9644)/80)</f>
        <v>40.790277573143591</v>
      </c>
      <c r="BD481" s="14"/>
      <c r="BE481" s="14"/>
      <c r="BF481" s="16"/>
      <c r="BG481" s="16"/>
      <c r="BH481" s="12">
        <f t="shared" si="174"/>
        <v>85.554842794285719</v>
      </c>
      <c r="BI481" s="19">
        <f t="shared" si="175"/>
        <v>35.691492876500639</v>
      </c>
      <c r="BJ481" s="1" t="s">
        <v>35</v>
      </c>
      <c r="BK481">
        <f t="shared" si="176"/>
        <v>0</v>
      </c>
      <c r="BL481">
        <f t="shared" si="177"/>
        <v>0</v>
      </c>
    </row>
    <row r="482" spans="1:64" x14ac:dyDescent="0.25">
      <c r="A482" s="1" t="s">
        <v>1447</v>
      </c>
      <c r="B482" s="1" t="s">
        <v>1446</v>
      </c>
      <c r="C482" s="13" t="s">
        <v>1445</v>
      </c>
      <c r="D482" s="15"/>
      <c r="E482" s="17"/>
      <c r="F482" s="5">
        <v>22</v>
      </c>
      <c r="G482" s="14"/>
      <c r="H482" s="16"/>
      <c r="I482" s="11">
        <v>46221</v>
      </c>
      <c r="J482" s="4">
        <v>17</v>
      </c>
      <c r="K482" s="18">
        <f>(F482-(0)+0-(J482*Ventas!AE479*1))</f>
        <v>20.972471428571428</v>
      </c>
      <c r="L482" s="20">
        <f>(K482/(Ventas!AE479*1)/80)</f>
        <v>4.3372518317182704</v>
      </c>
      <c r="M482" s="22">
        <f t="shared" si="178"/>
        <v>0</v>
      </c>
      <c r="N482" s="14"/>
      <c r="O482" s="25">
        <f t="shared" si="163"/>
        <v>0</v>
      </c>
      <c r="P482" s="16"/>
      <c r="Q482" s="12">
        <f t="shared" si="164"/>
        <v>20.972471428571428</v>
      </c>
      <c r="R482" s="5">
        <v>12</v>
      </c>
      <c r="S482" s="24">
        <v>0</v>
      </c>
      <c r="T482" s="26">
        <v>0</v>
      </c>
      <c r="U482" s="18">
        <f t="shared" si="165"/>
        <v>32.972471428571424</v>
      </c>
      <c r="V482" s="22">
        <f t="shared" si="166"/>
        <v>0</v>
      </c>
      <c r="W482" s="25">
        <f t="shared" si="167"/>
        <v>0</v>
      </c>
      <c r="X482" s="18">
        <v>8</v>
      </c>
      <c r="Y482" s="14"/>
      <c r="Z482" s="14"/>
      <c r="AA482" s="3"/>
      <c r="AB482" s="3"/>
      <c r="AC482" s="11">
        <v>46313</v>
      </c>
      <c r="AD482" s="4">
        <v>92</v>
      </c>
      <c r="AE482" s="18">
        <f>(IF(K482&gt;0,K482+R482,R482)-(AD482*Ventas!AE479*1.0489))</f>
        <v>27.139808245714281</v>
      </c>
      <c r="AF482" s="20">
        <f>(AE482/(Ventas!AE479*1.0489)/80)</f>
        <v>5.3510340823902611</v>
      </c>
      <c r="AG482" s="22">
        <f t="shared" si="179"/>
        <v>0</v>
      </c>
      <c r="AH482" s="14"/>
      <c r="AI482" s="25">
        <f t="shared" si="168"/>
        <v>0</v>
      </c>
      <c r="AJ482" s="16"/>
      <c r="AK482" s="12">
        <f t="shared" si="169"/>
        <v>27.139808245714281</v>
      </c>
      <c r="AL482" s="19">
        <f t="shared" si="170"/>
        <v>4.6821548220914782</v>
      </c>
      <c r="AM482" s="18">
        <f>(180*(Ventas!AE479*0.9644) - IF(AE482&gt;0,AE482,0))</f>
        <v>-16.647411788571425</v>
      </c>
      <c r="AN482" s="18">
        <f>IF(AM482&gt;3,CEILING(AM482,5),0)</f>
        <v>0</v>
      </c>
      <c r="AO482" s="14"/>
      <c r="AP482" s="14">
        <f t="shared" si="180"/>
        <v>0</v>
      </c>
      <c r="AQ482" s="16">
        <f t="shared" si="172"/>
        <v>0</v>
      </c>
      <c r="AR482" s="37">
        <f>_xlfn.XLOOKUP(C482,[1]Hoja2!$C$6:$C$24,[1]Hoja2!$D$6:$D$24,0,2,1)</f>
        <v>0</v>
      </c>
      <c r="AS482" s="18">
        <f t="shared" si="173"/>
        <v>27.139808245714281</v>
      </c>
      <c r="AT482" s="14"/>
      <c r="AU482" s="37">
        <f>_xlfn.XLOOKUP(D482,[1]Hoja2!$E$6:$E$24,[1]Hoja2!$F$6:$F$24,0,2,1)</f>
        <v>0</v>
      </c>
      <c r="AV482" s="27">
        <v>0</v>
      </c>
      <c r="AW482" s="5">
        <v>3016</v>
      </c>
      <c r="AX482" s="14">
        <v>0</v>
      </c>
      <c r="AY482" s="14"/>
      <c r="AZ482" s="16">
        <f>_xlfn.XLOOKUP(C482,[2]PI!$B$15:$B$99,[2]PI!$L$15:$L$99,0,2,1)</f>
        <v>0</v>
      </c>
      <c r="BA482" s="16">
        <f>_xlfn.XLOOKUP(D482,[2]PI!$B$15:$B$99,[2]PI!$L$15:$L$99,0,2,1)</f>
        <v>0</v>
      </c>
      <c r="BB482" s="18">
        <f>(AS482-(90*Ventas!AE479*0.9644))</f>
        <v>21.893610017142855</v>
      </c>
      <c r="BC482" s="20">
        <f>(BB482/(Ventas!AE479*0.9644)/80)</f>
        <v>4.6948876493354872</v>
      </c>
      <c r="BD482" s="14"/>
      <c r="BE482" s="14"/>
      <c r="BF482" s="16"/>
      <c r="BG482" s="16"/>
      <c r="BH482" s="12">
        <f t="shared" si="174"/>
        <v>21.893610017142855</v>
      </c>
      <c r="BI482" s="19">
        <f t="shared" si="175"/>
        <v>4.1080266931685516</v>
      </c>
      <c r="BJ482" s="1" t="s">
        <v>35</v>
      </c>
      <c r="BK482">
        <f t="shared" si="176"/>
        <v>0</v>
      </c>
      <c r="BL482">
        <f t="shared" si="177"/>
        <v>0</v>
      </c>
    </row>
    <row r="483" spans="1:64" x14ac:dyDescent="0.25">
      <c r="A483" s="1" t="s">
        <v>1450</v>
      </c>
      <c r="B483" s="1" t="s">
        <v>1449</v>
      </c>
      <c r="C483" s="13" t="s">
        <v>1448</v>
      </c>
      <c r="D483" s="15"/>
      <c r="E483" s="17"/>
      <c r="F483" s="3"/>
      <c r="G483" s="14"/>
      <c r="H483" s="16"/>
      <c r="I483" s="11">
        <v>46221</v>
      </c>
      <c r="J483" s="4">
        <v>17</v>
      </c>
      <c r="K483" s="18">
        <f>(F483-(0)+0-(J483*Ventas!AE480*1))</f>
        <v>-8.3788142857142862</v>
      </c>
      <c r="L483" s="20">
        <f>(K483/(Ventas!AE480*1)/80)</f>
        <v>-0.21249999999999999</v>
      </c>
      <c r="M483" s="22">
        <f t="shared" si="178"/>
        <v>0</v>
      </c>
      <c r="N483" s="14"/>
      <c r="O483" s="25">
        <f t="shared" si="163"/>
        <v>0</v>
      </c>
      <c r="P483" s="16"/>
      <c r="Q483" s="12">
        <f t="shared" si="164"/>
        <v>-8.3788142857142862</v>
      </c>
      <c r="R483" s="5">
        <v>50</v>
      </c>
      <c r="S483" s="24">
        <v>0</v>
      </c>
      <c r="T483" s="26">
        <v>0</v>
      </c>
      <c r="U483" s="18">
        <f t="shared" si="165"/>
        <v>50</v>
      </c>
      <c r="V483" s="22">
        <f t="shared" si="166"/>
        <v>0</v>
      </c>
      <c r="W483" s="25">
        <f t="shared" si="167"/>
        <v>0</v>
      </c>
      <c r="X483" s="18">
        <v>5.8</v>
      </c>
      <c r="Y483" s="14"/>
      <c r="Z483" s="14"/>
      <c r="AA483" s="3"/>
      <c r="AB483" s="3">
        <v>6.783E-3</v>
      </c>
      <c r="AC483" s="11">
        <v>46313</v>
      </c>
      <c r="AD483" s="4">
        <v>92</v>
      </c>
      <c r="AE483" s="18">
        <f>(IF(K483&gt;0,K483+R483,R483)-(AD483*Ventas!AE480*1.0489))</f>
        <v>2.4384985885714343</v>
      </c>
      <c r="AF483" s="20">
        <f>(AE483/(Ventas!AE480*1.0489)/80)</f>
        <v>5.896099352707377E-2</v>
      </c>
      <c r="AG483" s="22">
        <f t="shared" si="179"/>
        <v>0</v>
      </c>
      <c r="AH483" s="14"/>
      <c r="AI483" s="25">
        <f t="shared" si="168"/>
        <v>0</v>
      </c>
      <c r="AJ483" s="16"/>
      <c r="AK483" s="12">
        <f t="shared" si="169"/>
        <v>2.4384985885714343</v>
      </c>
      <c r="AL483" s="19">
        <f t="shared" si="170"/>
        <v>5.1590869336189546E-2</v>
      </c>
      <c r="AM483" s="18">
        <f>(180*(Ventas!AE480*0.9644) - IF(AE483&gt;0,AE483,0))</f>
        <v>83.120038439999988</v>
      </c>
      <c r="AN483" s="18">
        <v>80</v>
      </c>
      <c r="AO483" s="14"/>
      <c r="AP483" s="14">
        <f t="shared" si="180"/>
        <v>0</v>
      </c>
      <c r="AQ483" s="16">
        <f t="shared" si="172"/>
        <v>0.54264000000000001</v>
      </c>
      <c r="AR483" s="37">
        <f>_xlfn.XLOOKUP(C483,[1]Hoja2!$C$6:$C$24,[1]Hoja2!$D$6:$D$24,0,2,1)</f>
        <v>0</v>
      </c>
      <c r="AS483" s="18">
        <f t="shared" si="173"/>
        <v>82.438498588571434</v>
      </c>
      <c r="AT483" s="14"/>
      <c r="AU483" s="37">
        <f>_xlfn.XLOOKUP(D483,[1]Hoja2!$E$6:$E$24,[1]Hoja2!$F$6:$F$24,0,2,1)</f>
        <v>0</v>
      </c>
      <c r="AV483" s="27">
        <v>5.8</v>
      </c>
      <c r="AW483" s="5">
        <v>3016</v>
      </c>
      <c r="AX483" s="14">
        <v>0</v>
      </c>
      <c r="AY483" s="14"/>
      <c r="AZ483" s="16">
        <f>_xlfn.XLOOKUP(C483,[2]PI!$B$15:$B$99,[2]PI!$L$15:$L$99,0,2,1)</f>
        <v>5.8</v>
      </c>
      <c r="BA483" s="16">
        <f>_xlfn.XLOOKUP(D483,[2]PI!$B$15:$B$99,[2]PI!$L$15:$L$99,0,2,1)</f>
        <v>0</v>
      </c>
      <c r="BB483" s="18">
        <f>(AS483-(90*Ventas!AE480*0.9644))</f>
        <v>39.659230074285723</v>
      </c>
      <c r="BC483" s="20">
        <f>(BB483/(Ventas!AE480*0.9644)/80)</f>
        <v>1.0429499003395102</v>
      </c>
      <c r="BD483" s="14"/>
      <c r="BE483" s="14"/>
      <c r="BF483" s="16"/>
      <c r="BG483" s="16"/>
      <c r="BH483" s="12">
        <f t="shared" si="174"/>
        <v>39.659230074285723</v>
      </c>
      <c r="BI483" s="19">
        <f t="shared" si="175"/>
        <v>0.91258116279707147</v>
      </c>
      <c r="BJ483" s="1" t="s">
        <v>35</v>
      </c>
      <c r="BK483">
        <f t="shared" si="176"/>
        <v>464</v>
      </c>
      <c r="BL483">
        <f t="shared" si="177"/>
        <v>464</v>
      </c>
    </row>
    <row r="484" spans="1:64" x14ac:dyDescent="0.25">
      <c r="A484" s="1" t="s">
        <v>1453</v>
      </c>
      <c r="B484" s="1" t="s">
        <v>1452</v>
      </c>
      <c r="C484" s="13" t="s">
        <v>1451</v>
      </c>
      <c r="D484" s="15"/>
      <c r="E484" s="17"/>
      <c r="F484" s="5">
        <v>1</v>
      </c>
      <c r="G484" s="14"/>
      <c r="H484" s="16"/>
      <c r="I484" s="11">
        <v>46221</v>
      </c>
      <c r="J484" s="4">
        <v>17</v>
      </c>
      <c r="K484" s="18">
        <f>(F484-(0)+0-(J484*Ventas!AE481*1))</f>
        <v>0.83809523809523812</v>
      </c>
      <c r="L484" s="3"/>
      <c r="M484" s="22">
        <f t="shared" si="178"/>
        <v>0</v>
      </c>
      <c r="N484" s="14"/>
      <c r="O484" s="25">
        <f t="shared" si="163"/>
        <v>0</v>
      </c>
      <c r="P484" s="16"/>
      <c r="Q484" s="12">
        <f t="shared" si="164"/>
        <v>0.83809523809523812</v>
      </c>
      <c r="R484" s="5">
        <v>0</v>
      </c>
      <c r="S484" s="24">
        <v>0</v>
      </c>
      <c r="T484" s="26">
        <v>0</v>
      </c>
      <c r="U484" s="18">
        <f t="shared" si="165"/>
        <v>0.83809523809523812</v>
      </c>
      <c r="V484" s="22">
        <f t="shared" si="166"/>
        <v>0</v>
      </c>
      <c r="W484" s="25">
        <f t="shared" si="167"/>
        <v>0</v>
      </c>
      <c r="X484" s="3"/>
      <c r="Y484" s="14"/>
      <c r="Z484" s="14"/>
      <c r="AA484" s="3"/>
      <c r="AB484" s="3">
        <v>6.783E-3</v>
      </c>
      <c r="AC484" s="11">
        <v>46313</v>
      </c>
      <c r="AD484" s="4">
        <v>92</v>
      </c>
      <c r="AE484" s="18">
        <f>(IF(K484&gt;0,K484+R484,R484)-(AD484*Ventas!AE481*1.0489))</f>
        <v>-8.0940952380952225E-2</v>
      </c>
      <c r="AF484" s="3"/>
      <c r="AG484" s="22">
        <f t="shared" si="179"/>
        <v>0</v>
      </c>
      <c r="AH484" s="14"/>
      <c r="AI484" s="25">
        <f t="shared" si="168"/>
        <v>0</v>
      </c>
      <c r="AJ484" s="16"/>
      <c r="AK484" s="12">
        <f t="shared" si="169"/>
        <v>-8.0940952380952225E-2</v>
      </c>
      <c r="AL484" s="19">
        <f t="shared" si="170"/>
        <v>0</v>
      </c>
      <c r="AM484" s="18">
        <f>(180*(Ventas!AE481*0.9644) - IF(AE484&gt;0,AE484,0))</f>
        <v>1.6532571428571428</v>
      </c>
      <c r="AN484" s="18">
        <f t="shared" ref="AN484:AN490" si="181">IF(AM484&gt;3,CEILING(AM484,5),0)</f>
        <v>0</v>
      </c>
      <c r="AO484" s="14"/>
      <c r="AP484" s="14">
        <f t="shared" si="180"/>
        <v>0</v>
      </c>
      <c r="AQ484" s="16">
        <f t="shared" si="172"/>
        <v>0</v>
      </c>
      <c r="AR484" s="37">
        <f>_xlfn.XLOOKUP(C484,[1]Hoja2!$C$6:$C$24,[1]Hoja2!$D$6:$D$24,0,2,1)</f>
        <v>0</v>
      </c>
      <c r="AS484" s="18">
        <f t="shared" si="173"/>
        <v>0</v>
      </c>
      <c r="AT484" s="14"/>
      <c r="AU484" s="37">
        <f>_xlfn.XLOOKUP(D484,[1]Hoja2!$E$6:$E$24,[1]Hoja2!$F$6:$F$24,0,2,1)</f>
        <v>0</v>
      </c>
      <c r="AV484" s="3">
        <v>0</v>
      </c>
      <c r="AW484" s="3"/>
      <c r="AX484" s="14">
        <v>0</v>
      </c>
      <c r="AY484" s="14"/>
      <c r="AZ484" s="16">
        <f>_xlfn.XLOOKUP(C484,[2]PI!$B$15:$B$99,[2]PI!$L$15:$L$99,0,2,1)</f>
        <v>0</v>
      </c>
      <c r="BA484" s="16">
        <f>_xlfn.XLOOKUP(D484,[2]PI!$B$15:$B$99,[2]PI!$L$15:$L$99,0,2,1)</f>
        <v>0</v>
      </c>
      <c r="BB484" s="3"/>
      <c r="BC484" s="3"/>
      <c r="BD484" s="14"/>
      <c r="BE484" s="14"/>
      <c r="BF484" s="16"/>
      <c r="BG484" s="16"/>
      <c r="BH484" s="12">
        <f t="shared" si="174"/>
        <v>0</v>
      </c>
      <c r="BI484" s="19">
        <f t="shared" si="175"/>
        <v>0</v>
      </c>
      <c r="BJ484" s="1" t="s">
        <v>35</v>
      </c>
      <c r="BK484">
        <f t="shared" si="176"/>
        <v>0</v>
      </c>
      <c r="BL484">
        <f t="shared" si="177"/>
        <v>0</v>
      </c>
    </row>
    <row r="485" spans="1:64" x14ac:dyDescent="0.25">
      <c r="A485" s="1" t="s">
        <v>1456</v>
      </c>
      <c r="B485" s="1" t="s">
        <v>1455</v>
      </c>
      <c r="C485" s="13" t="s">
        <v>1454</v>
      </c>
      <c r="D485" s="15"/>
      <c r="E485" s="17"/>
      <c r="F485" s="5">
        <v>26</v>
      </c>
      <c r="G485" s="14"/>
      <c r="H485" s="16"/>
      <c r="I485" s="11">
        <v>46221</v>
      </c>
      <c r="J485" s="4">
        <v>17</v>
      </c>
      <c r="K485" s="18">
        <f>(F485-(0)+0-(J485*Ventas!AE482*1))</f>
        <v>8.2099857142857111</v>
      </c>
      <c r="L485" s="20">
        <f>(K485/(Ventas!AE482*1)/80)</f>
        <v>9.8067485290704776E-2</v>
      </c>
      <c r="M485" s="22">
        <f t="shared" si="178"/>
        <v>0</v>
      </c>
      <c r="N485" s="14"/>
      <c r="O485" s="25">
        <f t="shared" si="163"/>
        <v>0</v>
      </c>
      <c r="P485" s="16"/>
      <c r="Q485" s="12">
        <f t="shared" si="164"/>
        <v>8.2099857142857111</v>
      </c>
      <c r="R485" s="5">
        <v>120</v>
      </c>
      <c r="S485" s="24">
        <v>0</v>
      </c>
      <c r="T485" s="26">
        <v>0</v>
      </c>
      <c r="U485" s="18">
        <f t="shared" si="165"/>
        <v>128.20998571428572</v>
      </c>
      <c r="V485" s="22">
        <f t="shared" si="166"/>
        <v>0</v>
      </c>
      <c r="W485" s="25">
        <f t="shared" si="167"/>
        <v>0</v>
      </c>
      <c r="X485" s="18">
        <v>3</v>
      </c>
      <c r="Y485" s="14"/>
      <c r="Z485" s="14"/>
      <c r="AA485" s="3"/>
      <c r="AB485" s="3">
        <v>6.783E-3</v>
      </c>
      <c r="AC485" s="11">
        <v>46313</v>
      </c>
      <c r="AD485" s="4">
        <v>92</v>
      </c>
      <c r="AE485" s="18">
        <f>(IF(K485&gt;0,K485+R485,R485)-(AD485*Ventas!AE482*1.0489))</f>
        <v>27.22674862285713</v>
      </c>
      <c r="AF485" s="20">
        <f>(AE485/(Ventas!AE482*1.0489)/80)</f>
        <v>0.3100589941272871</v>
      </c>
      <c r="AG485" s="22">
        <f t="shared" si="179"/>
        <v>0</v>
      </c>
      <c r="AH485" s="14"/>
      <c r="AI485" s="25">
        <f t="shared" si="168"/>
        <v>0</v>
      </c>
      <c r="AJ485" s="16"/>
      <c r="AK485" s="12">
        <f t="shared" si="169"/>
        <v>27.22674862285713</v>
      </c>
      <c r="AL485" s="19">
        <f t="shared" si="170"/>
        <v>0.27130161986137624</v>
      </c>
      <c r="AM485" s="18">
        <f>(180*(Ventas!AE482*0.9644) - IF(AE485&gt;0,AE485,0))</f>
        <v>154.43231960571433</v>
      </c>
      <c r="AN485" s="42">
        <v>160</v>
      </c>
      <c r="AO485" s="14"/>
      <c r="AP485" s="14">
        <f t="shared" si="180"/>
        <v>0</v>
      </c>
      <c r="AQ485" s="16">
        <f t="shared" si="172"/>
        <v>1.08528</v>
      </c>
      <c r="AR485" s="37">
        <f>_xlfn.XLOOKUP(C485,[1]Hoja2!$C$6:$C$24,[1]Hoja2!$D$6:$D$24,0,2,1)</f>
        <v>0</v>
      </c>
      <c r="AS485" s="18">
        <f t="shared" si="173"/>
        <v>187.22674862285714</v>
      </c>
      <c r="AT485" s="14"/>
      <c r="AU485" s="37">
        <f>_xlfn.XLOOKUP(D485,[1]Hoja2!$E$6:$E$24,[1]Hoja2!$F$6:$F$24,0,2,1)</f>
        <v>0</v>
      </c>
      <c r="AV485" s="27">
        <v>3</v>
      </c>
      <c r="AW485" s="5">
        <v>3016</v>
      </c>
      <c r="AX485" s="14">
        <v>0</v>
      </c>
      <c r="AY485" s="14"/>
      <c r="AZ485" s="16">
        <f>_xlfn.XLOOKUP(C485,[2]PI!$B$15:$B$99,[2]PI!$L$15:$L$99,0,2,1)</f>
        <v>3</v>
      </c>
      <c r="BA485" s="16">
        <f>_xlfn.XLOOKUP(D485,[2]PI!$B$15:$B$99,[2]PI!$L$15:$L$99,0,2,1)</f>
        <v>0</v>
      </c>
      <c r="BB485" s="18">
        <f>(AS485-(90*Ventas!AE482*0.9644))</f>
        <v>96.397214508571409</v>
      </c>
      <c r="BC485" s="20">
        <f>(BB485/(Ventas!AE482*0.9644)/80)</f>
        <v>1.1939603938261996</v>
      </c>
      <c r="BD485" s="14"/>
      <c r="BE485" s="14"/>
      <c r="BF485" s="16"/>
      <c r="BG485" s="16"/>
      <c r="BH485" s="12">
        <f t="shared" si="174"/>
        <v>96.397214508571409</v>
      </c>
      <c r="BI485" s="19">
        <f t="shared" si="175"/>
        <v>1.0447153445979247</v>
      </c>
      <c r="BJ485" s="1" t="s">
        <v>35</v>
      </c>
      <c r="BK485">
        <f t="shared" si="176"/>
        <v>480</v>
      </c>
      <c r="BL485">
        <f t="shared" si="177"/>
        <v>480</v>
      </c>
    </row>
    <row r="486" spans="1:64" x14ac:dyDescent="0.25">
      <c r="A486" s="1" t="s">
        <v>1459</v>
      </c>
      <c r="B486" s="1" t="s">
        <v>1458</v>
      </c>
      <c r="C486" s="13" t="s">
        <v>1457</v>
      </c>
      <c r="D486" s="15"/>
      <c r="E486" s="17"/>
      <c r="F486" s="5">
        <v>88</v>
      </c>
      <c r="G486" s="14"/>
      <c r="H486" s="16"/>
      <c r="I486" s="11">
        <v>46221</v>
      </c>
      <c r="J486" s="4">
        <v>17</v>
      </c>
      <c r="K486" s="18">
        <f>(F486-(0)+0-(J486*Ventas!AE483*1))</f>
        <v>83.92</v>
      </c>
      <c r="L486" s="20">
        <f>(K486/(Ventas!AE483*1)/80)</f>
        <v>4.3708333333333336</v>
      </c>
      <c r="M486" s="22">
        <f t="shared" si="178"/>
        <v>0</v>
      </c>
      <c r="N486" s="14"/>
      <c r="O486" s="25">
        <f t="shared" si="163"/>
        <v>0</v>
      </c>
      <c r="P486" s="16"/>
      <c r="Q486" s="12">
        <f t="shared" si="164"/>
        <v>83.92</v>
      </c>
      <c r="R486" s="5">
        <v>20</v>
      </c>
      <c r="S486" s="24">
        <v>0</v>
      </c>
      <c r="T486" s="26">
        <v>0</v>
      </c>
      <c r="U486" s="18">
        <f t="shared" si="165"/>
        <v>103.92</v>
      </c>
      <c r="V486" s="22">
        <f t="shared" si="166"/>
        <v>0</v>
      </c>
      <c r="W486" s="25">
        <f t="shared" si="167"/>
        <v>0</v>
      </c>
      <c r="X486" s="18">
        <v>3.25</v>
      </c>
      <c r="Y486" s="14"/>
      <c r="Z486" s="14"/>
      <c r="AA486" s="3"/>
      <c r="AB486" s="3"/>
      <c r="AC486" s="11">
        <v>46313</v>
      </c>
      <c r="AD486" s="4">
        <v>92</v>
      </c>
      <c r="AE486" s="18">
        <f>(IF(K486&gt;0,K486+R486,R486)-(AD486*Ventas!AE483*1.0489))</f>
        <v>80.760288000000003</v>
      </c>
      <c r="AF486" s="20">
        <f>(AE486/(Ventas!AE483*1.0489)/80)</f>
        <v>4.0101677948326824</v>
      </c>
      <c r="AG486" s="22">
        <f t="shared" si="179"/>
        <v>0</v>
      </c>
      <c r="AH486" s="14"/>
      <c r="AI486" s="25">
        <f t="shared" si="168"/>
        <v>0</v>
      </c>
      <c r="AJ486" s="16"/>
      <c r="AK486" s="12">
        <f t="shared" si="169"/>
        <v>80.760288000000003</v>
      </c>
      <c r="AL486" s="19">
        <f t="shared" si="170"/>
        <v>3.5088968204785971</v>
      </c>
      <c r="AM486" s="18">
        <f>(180*(Ventas!AE483*0.9644) - IF(AE486&gt;0,AE486,0))</f>
        <v>-39.098208000000007</v>
      </c>
      <c r="AN486" s="18">
        <f t="shared" si="181"/>
        <v>0</v>
      </c>
      <c r="AO486" s="14"/>
      <c r="AP486" s="14">
        <f t="shared" si="180"/>
        <v>0</v>
      </c>
      <c r="AQ486" s="16">
        <f t="shared" si="172"/>
        <v>0</v>
      </c>
      <c r="AR486" s="37">
        <f>_xlfn.XLOOKUP(C486,[1]Hoja2!$C$6:$C$24,[1]Hoja2!$D$6:$D$24,0,2,1)</f>
        <v>0</v>
      </c>
      <c r="AS486" s="18">
        <f t="shared" si="173"/>
        <v>80.760288000000003</v>
      </c>
      <c r="AT486" s="14"/>
      <c r="AU486" s="37">
        <f>_xlfn.XLOOKUP(D486,[1]Hoja2!$E$6:$E$24,[1]Hoja2!$F$6:$F$24,0,2,1)</f>
        <v>0</v>
      </c>
      <c r="AV486" s="27">
        <v>0</v>
      </c>
      <c r="AW486" s="5">
        <v>3016</v>
      </c>
      <c r="AX486" s="14">
        <v>0</v>
      </c>
      <c r="AY486" s="14"/>
      <c r="AZ486" s="16">
        <f>_xlfn.XLOOKUP(C486,[2]PI!$B$15:$B$99,[2]PI!$L$15:$L$99,0,2,1)</f>
        <v>0</v>
      </c>
      <c r="BA486" s="16">
        <f>_xlfn.XLOOKUP(D486,[2]PI!$B$15:$B$99,[2]PI!$L$15:$L$99,0,2,1)</f>
        <v>0</v>
      </c>
      <c r="BB486" s="18">
        <f>(AS486-(90*Ventas!AE483*0.9644))</f>
        <v>59.929248000000001</v>
      </c>
      <c r="BC486" s="20">
        <f>(BB486/(Ventas!AE483*0.9644)/80)</f>
        <v>3.2365356698465368</v>
      </c>
      <c r="BD486" s="14"/>
      <c r="BE486" s="14"/>
      <c r="BF486" s="16"/>
      <c r="BG486" s="16"/>
      <c r="BH486" s="12">
        <f t="shared" si="174"/>
        <v>59.929248000000001</v>
      </c>
      <c r="BI486" s="19">
        <f t="shared" si="175"/>
        <v>2.8319687111157199</v>
      </c>
      <c r="BJ486" s="1" t="s">
        <v>35</v>
      </c>
      <c r="BK486">
        <f t="shared" si="176"/>
        <v>0</v>
      </c>
      <c r="BL486">
        <f t="shared" si="177"/>
        <v>0</v>
      </c>
    </row>
    <row r="487" spans="1:64" x14ac:dyDescent="0.25">
      <c r="A487" s="1" t="s">
        <v>1462</v>
      </c>
      <c r="B487" s="1" t="s">
        <v>1461</v>
      </c>
      <c r="C487" s="13" t="s">
        <v>1460</v>
      </c>
      <c r="D487" s="15"/>
      <c r="E487" s="17"/>
      <c r="F487" s="5">
        <v>30</v>
      </c>
      <c r="G487" s="14"/>
      <c r="H487" s="16"/>
      <c r="I487" s="11">
        <v>46221</v>
      </c>
      <c r="J487" s="4">
        <v>17</v>
      </c>
      <c r="K487" s="18">
        <f>(F487-(0)+0-(J487*Ventas!AE484*1))</f>
        <v>30</v>
      </c>
      <c r="L487" s="3"/>
      <c r="M487" s="22">
        <f t="shared" si="178"/>
        <v>0</v>
      </c>
      <c r="N487" s="14"/>
      <c r="O487" s="25">
        <f t="shared" si="163"/>
        <v>0</v>
      </c>
      <c r="P487" s="16"/>
      <c r="Q487" s="12">
        <f t="shared" si="164"/>
        <v>30</v>
      </c>
      <c r="R487" s="5">
        <v>0</v>
      </c>
      <c r="S487" s="24">
        <v>0</v>
      </c>
      <c r="T487" s="26">
        <v>0</v>
      </c>
      <c r="U487" s="18">
        <f t="shared" si="165"/>
        <v>30</v>
      </c>
      <c r="V487" s="22">
        <f t="shared" si="166"/>
        <v>0</v>
      </c>
      <c r="W487" s="25">
        <f t="shared" si="167"/>
        <v>0</v>
      </c>
      <c r="X487" s="3"/>
      <c r="Y487" s="14"/>
      <c r="Z487" s="14"/>
      <c r="AA487" s="3"/>
      <c r="AB487" s="3">
        <v>6.783E-3</v>
      </c>
      <c r="AC487" s="11">
        <v>46313</v>
      </c>
      <c r="AD487" s="4">
        <v>92</v>
      </c>
      <c r="AE487" s="18">
        <f>(IF(K487&gt;0,K487+R487,R487)-(AD487*Ventas!AE484*1.0489))</f>
        <v>30</v>
      </c>
      <c r="AF487" s="3"/>
      <c r="AG487" s="22">
        <f t="shared" si="179"/>
        <v>0</v>
      </c>
      <c r="AH487" s="14"/>
      <c r="AI487" s="25">
        <f t="shared" si="168"/>
        <v>0</v>
      </c>
      <c r="AJ487" s="16"/>
      <c r="AK487" s="12">
        <f t="shared" si="169"/>
        <v>30</v>
      </c>
      <c r="AL487" s="19">
        <f t="shared" si="170"/>
        <v>0</v>
      </c>
      <c r="AM487" s="18">
        <f>(180*(Ventas!AE484*0.9644) - IF(AE487&gt;0,AE487,0))</f>
        <v>-30</v>
      </c>
      <c r="AN487" s="18">
        <f t="shared" si="181"/>
        <v>0</v>
      </c>
      <c r="AO487" s="14"/>
      <c r="AP487" s="14">
        <f t="shared" si="180"/>
        <v>0</v>
      </c>
      <c r="AQ487" s="16">
        <f t="shared" si="172"/>
        <v>0</v>
      </c>
      <c r="AR487" s="37">
        <f>_xlfn.XLOOKUP(C487,[1]Hoja2!$C$6:$C$24,[1]Hoja2!$D$6:$D$24,0,2,1)</f>
        <v>0</v>
      </c>
      <c r="AS487" s="18">
        <f t="shared" si="173"/>
        <v>30</v>
      </c>
      <c r="AT487" s="14"/>
      <c r="AU487" s="37">
        <f>_xlfn.XLOOKUP(D487,[1]Hoja2!$E$6:$E$24,[1]Hoja2!$F$6:$F$24,0,2,1)</f>
        <v>0</v>
      </c>
      <c r="AV487" s="27">
        <v>0</v>
      </c>
      <c r="AW487" s="5">
        <v>3016</v>
      </c>
      <c r="AX487" s="14">
        <v>0</v>
      </c>
      <c r="AY487" s="14"/>
      <c r="AZ487" s="16">
        <f>_xlfn.XLOOKUP(C487,[2]PI!$B$15:$B$99,[2]PI!$L$15:$L$99,0,2,1)</f>
        <v>0</v>
      </c>
      <c r="BA487" s="16">
        <f>_xlfn.XLOOKUP(D487,[2]PI!$B$15:$B$99,[2]PI!$L$15:$L$99,0,2,1)</f>
        <v>0</v>
      </c>
      <c r="BB487" s="3"/>
      <c r="BC487" s="3"/>
      <c r="BD487" s="14"/>
      <c r="BE487" s="14"/>
      <c r="BF487" s="16"/>
      <c r="BG487" s="16"/>
      <c r="BH487" s="12">
        <f t="shared" si="174"/>
        <v>0</v>
      </c>
      <c r="BI487" s="19">
        <f t="shared" si="175"/>
        <v>0</v>
      </c>
      <c r="BJ487" s="1" t="s">
        <v>35</v>
      </c>
      <c r="BK487">
        <f t="shared" si="176"/>
        <v>0</v>
      </c>
      <c r="BL487">
        <f t="shared" si="177"/>
        <v>0</v>
      </c>
    </row>
    <row r="488" spans="1:64" x14ac:dyDescent="0.25">
      <c r="A488" s="1" t="s">
        <v>1465</v>
      </c>
      <c r="B488" s="1" t="s">
        <v>1464</v>
      </c>
      <c r="C488" s="13" t="s">
        <v>1463</v>
      </c>
      <c r="D488" s="15"/>
      <c r="E488" s="17"/>
      <c r="F488" s="5">
        <v>66</v>
      </c>
      <c r="G488" s="14"/>
      <c r="H488" s="16"/>
      <c r="I488" s="11">
        <v>46221</v>
      </c>
      <c r="J488" s="4">
        <v>17</v>
      </c>
      <c r="K488" s="18">
        <f>(F488-(0)+0-(J488*Ventas!AE485*1))</f>
        <v>65.857442857142857</v>
      </c>
      <c r="L488" s="20">
        <f>(K488/(Ventas!AE485*1)/80)</f>
        <v>98.169101362861994</v>
      </c>
      <c r="M488" s="22">
        <f t="shared" si="178"/>
        <v>0</v>
      </c>
      <c r="N488" s="14"/>
      <c r="O488" s="25">
        <f t="shared" si="163"/>
        <v>0</v>
      </c>
      <c r="P488" s="16"/>
      <c r="Q488" s="12">
        <f t="shared" si="164"/>
        <v>65.857442857142857</v>
      </c>
      <c r="R488" s="5">
        <v>0</v>
      </c>
      <c r="S488" s="24">
        <v>0</v>
      </c>
      <c r="T488" s="26">
        <v>0</v>
      </c>
      <c r="U488" s="18">
        <f t="shared" si="165"/>
        <v>65.857442857142857</v>
      </c>
      <c r="V488" s="22">
        <f t="shared" si="166"/>
        <v>0</v>
      </c>
      <c r="W488" s="25">
        <f t="shared" si="167"/>
        <v>0</v>
      </c>
      <c r="X488" s="3"/>
      <c r="Y488" s="14"/>
      <c r="Z488" s="14"/>
      <c r="AA488" s="3"/>
      <c r="AB488" s="3"/>
      <c r="AC488" s="11">
        <v>46313</v>
      </c>
      <c r="AD488" s="4">
        <v>92</v>
      </c>
      <c r="AE488" s="18">
        <f>(IF(K488&gt;0,K488+R488,R488)-(AD488*Ventas!AE485*1.0489))</f>
        <v>65.048231491428567</v>
      </c>
      <c r="AF488" s="20">
        <f>(AE488/(Ventas!AE485*1.0489)/80)</f>
        <v>92.442431464259698</v>
      </c>
      <c r="AG488" s="22">
        <f t="shared" si="179"/>
        <v>0</v>
      </c>
      <c r="AH488" s="14"/>
      <c r="AI488" s="25">
        <f t="shared" si="168"/>
        <v>0</v>
      </c>
      <c r="AJ488" s="16"/>
      <c r="AK488" s="12">
        <f t="shared" si="169"/>
        <v>65.048231491428567</v>
      </c>
      <c r="AL488" s="19">
        <f t="shared" si="170"/>
        <v>80.887127531227236</v>
      </c>
      <c r="AM488" s="18">
        <f>(180*(Ventas!AE485*0.9644) - IF(AE488&gt;0,AE488,0))</f>
        <v>-63.592538577142854</v>
      </c>
      <c r="AN488" s="18">
        <f t="shared" si="181"/>
        <v>0</v>
      </c>
      <c r="AO488" s="14"/>
      <c r="AP488" s="14">
        <f t="shared" si="180"/>
        <v>0</v>
      </c>
      <c r="AQ488" s="16">
        <f t="shared" si="172"/>
        <v>0</v>
      </c>
      <c r="AR488" s="37">
        <f>_xlfn.XLOOKUP(C488,[1]Hoja2!$C$6:$C$24,[1]Hoja2!$D$6:$D$24,0,2,1)</f>
        <v>0</v>
      </c>
      <c r="AS488" s="18">
        <f t="shared" si="173"/>
        <v>65.048231491428567</v>
      </c>
      <c r="AT488" s="14"/>
      <c r="AU488" s="37">
        <f>_xlfn.XLOOKUP(D488,[1]Hoja2!$E$6:$E$24,[1]Hoja2!$F$6:$F$24,0,2,1)</f>
        <v>0</v>
      </c>
      <c r="AV488" s="27">
        <v>0</v>
      </c>
      <c r="AW488" s="5">
        <v>3016</v>
      </c>
      <c r="AX488" s="14">
        <v>0</v>
      </c>
      <c r="AY488" s="14"/>
      <c r="AZ488" s="16">
        <f>_xlfn.XLOOKUP(C488,[2]PI!$B$15:$B$99,[2]PI!$L$15:$L$99,0,2,1)</f>
        <v>0</v>
      </c>
      <c r="BA488" s="16">
        <f>_xlfn.XLOOKUP(D488,[2]PI!$B$15:$B$99,[2]PI!$L$15:$L$99,0,2,1)</f>
        <v>0</v>
      </c>
      <c r="BB488" s="18">
        <f>(AS488-(90*Ventas!AE485*0.9644))</f>
        <v>64.320385034285707</v>
      </c>
      <c r="BC488" s="20">
        <f>(BB488/(Ventas!AE485*0.9644)/80)</f>
        <v>99.417167526816655</v>
      </c>
      <c r="BD488" s="14"/>
      <c r="BE488" s="14"/>
      <c r="BF488" s="16"/>
      <c r="BG488" s="16"/>
      <c r="BH488" s="12">
        <f t="shared" si="174"/>
        <v>64.320385034285707</v>
      </c>
      <c r="BI488" s="19">
        <f t="shared" si="175"/>
        <v>86.99002158596457</v>
      </c>
      <c r="BJ488" s="1" t="s">
        <v>35</v>
      </c>
      <c r="BK488">
        <f t="shared" si="176"/>
        <v>0</v>
      </c>
      <c r="BL488">
        <f t="shared" si="177"/>
        <v>0</v>
      </c>
    </row>
    <row r="489" spans="1:64" x14ac:dyDescent="0.25">
      <c r="A489" s="1" t="s">
        <v>1468</v>
      </c>
      <c r="B489" s="1" t="s">
        <v>1467</v>
      </c>
      <c r="C489" s="13" t="s">
        <v>1466</v>
      </c>
      <c r="D489" s="15"/>
      <c r="E489" s="17"/>
      <c r="F489" s="5">
        <v>16</v>
      </c>
      <c r="G489" s="14"/>
      <c r="H489" s="16"/>
      <c r="I489" s="11">
        <v>46221</v>
      </c>
      <c r="J489" s="4">
        <v>17</v>
      </c>
      <c r="K489" s="18">
        <f>(F489-(0)+0-(J489*Ventas!AE486*1))</f>
        <v>16</v>
      </c>
      <c r="L489" s="20" t="e">
        <f>(K489/(Ventas!AE486*1)/80)</f>
        <v>#DIV/0!</v>
      </c>
      <c r="M489" s="22">
        <f t="shared" si="178"/>
        <v>0</v>
      </c>
      <c r="N489" s="14"/>
      <c r="O489" s="25">
        <f t="shared" si="163"/>
        <v>0</v>
      </c>
      <c r="P489" s="16"/>
      <c r="Q489" s="12">
        <f t="shared" si="164"/>
        <v>16</v>
      </c>
      <c r="R489" s="5">
        <v>0</v>
      </c>
      <c r="S489" s="24">
        <v>0</v>
      </c>
      <c r="T489" s="26">
        <v>0</v>
      </c>
      <c r="U489" s="18">
        <f t="shared" si="165"/>
        <v>16</v>
      </c>
      <c r="V489" s="22">
        <f t="shared" si="166"/>
        <v>0</v>
      </c>
      <c r="W489" s="25">
        <f t="shared" si="167"/>
        <v>0</v>
      </c>
      <c r="X489" s="3"/>
      <c r="Y489" s="14"/>
      <c r="Z489" s="14"/>
      <c r="AA489" s="3"/>
      <c r="AB489" s="3"/>
      <c r="AC489" s="11">
        <v>46313</v>
      </c>
      <c r="AD489" s="4">
        <v>92</v>
      </c>
      <c r="AE489" s="18">
        <f>(IF(K489&gt;0,K489+R489,R489)-(AD489*Ventas!AE486*1.0489))</f>
        <v>16</v>
      </c>
      <c r="AF489" s="20" t="e">
        <f>(AE489/(Ventas!AE486*1.0489)/80)</f>
        <v>#DIV/0!</v>
      </c>
      <c r="AG489" s="22">
        <f t="shared" si="179"/>
        <v>0</v>
      </c>
      <c r="AH489" s="14"/>
      <c r="AI489" s="25">
        <f t="shared" si="168"/>
        <v>0</v>
      </c>
      <c r="AJ489" s="16"/>
      <c r="AK489" s="12">
        <f t="shared" si="169"/>
        <v>16</v>
      </c>
      <c r="AL489" s="19" t="e">
        <f t="shared" si="170"/>
        <v>#DIV/0!</v>
      </c>
      <c r="AM489" s="18">
        <f>(180*(Ventas!AE486*0.9644) - IF(AE489&gt;0,AE489,0))</f>
        <v>-16</v>
      </c>
      <c r="AN489" s="18">
        <f t="shared" si="181"/>
        <v>0</v>
      </c>
      <c r="AO489" s="14"/>
      <c r="AP489" s="14">
        <f t="shared" si="180"/>
        <v>0</v>
      </c>
      <c r="AQ489" s="16">
        <f t="shared" si="172"/>
        <v>0</v>
      </c>
      <c r="AR489" s="37">
        <f>_xlfn.XLOOKUP(C489,[1]Hoja2!$C$6:$C$24,[1]Hoja2!$D$6:$D$24,0,2,1)</f>
        <v>0</v>
      </c>
      <c r="AS489" s="18">
        <f t="shared" si="173"/>
        <v>16</v>
      </c>
      <c r="AT489" s="14"/>
      <c r="AU489" s="37">
        <f>_xlfn.XLOOKUP(D489,[1]Hoja2!$E$6:$E$24,[1]Hoja2!$F$6:$F$24,0,2,1)</f>
        <v>0</v>
      </c>
      <c r="AV489" s="27">
        <v>0</v>
      </c>
      <c r="AW489" s="5">
        <v>3016</v>
      </c>
      <c r="AX489" s="14">
        <v>0</v>
      </c>
      <c r="AY489" s="14"/>
      <c r="AZ489" s="16">
        <f>_xlfn.XLOOKUP(C489,[2]PI!$B$15:$B$99,[2]PI!$L$15:$L$99,0,2,1)</f>
        <v>0</v>
      </c>
      <c r="BA489" s="16">
        <f>_xlfn.XLOOKUP(D489,[2]PI!$B$15:$B$99,[2]PI!$L$15:$L$99,0,2,1)</f>
        <v>0</v>
      </c>
      <c r="BB489" s="18">
        <f>(AS489-(90*Ventas!AE486*0.9644))</f>
        <v>16</v>
      </c>
      <c r="BC489" s="20" t="e">
        <f>(BB489/(Ventas!AE486*0.9644)/80)</f>
        <v>#DIV/0!</v>
      </c>
      <c r="BD489" s="14"/>
      <c r="BE489" s="14"/>
      <c r="BF489" s="16"/>
      <c r="BG489" s="16"/>
      <c r="BH489" s="12">
        <f t="shared" si="174"/>
        <v>16</v>
      </c>
      <c r="BI489" s="19" t="e">
        <f t="shared" si="175"/>
        <v>#DIV/0!</v>
      </c>
      <c r="BJ489" s="1" t="s">
        <v>35</v>
      </c>
      <c r="BK489">
        <f t="shared" si="176"/>
        <v>0</v>
      </c>
      <c r="BL489">
        <f t="shared" si="177"/>
        <v>0</v>
      </c>
    </row>
    <row r="490" spans="1:64" x14ac:dyDescent="0.25">
      <c r="A490" s="1" t="s">
        <v>1471</v>
      </c>
      <c r="B490" s="1" t="s">
        <v>1470</v>
      </c>
      <c r="C490" s="13" t="s">
        <v>1469</v>
      </c>
      <c r="D490" s="15"/>
      <c r="E490" s="17"/>
      <c r="F490" s="3"/>
      <c r="G490" s="14"/>
      <c r="H490" s="16"/>
      <c r="I490" s="11">
        <v>46221</v>
      </c>
      <c r="J490" s="4">
        <v>17</v>
      </c>
      <c r="K490" s="18">
        <f>(F490-(0)+0-(J490*Ventas!AE487*1))</f>
        <v>-0.24285714285714288</v>
      </c>
      <c r="L490" s="3"/>
      <c r="M490" s="22">
        <f t="shared" si="178"/>
        <v>0</v>
      </c>
      <c r="N490" s="14"/>
      <c r="O490" s="25">
        <f t="shared" si="163"/>
        <v>0</v>
      </c>
      <c r="P490" s="16"/>
      <c r="Q490" s="12">
        <f t="shared" si="164"/>
        <v>-0.24285714285714288</v>
      </c>
      <c r="R490" s="5">
        <v>0</v>
      </c>
      <c r="S490" s="24">
        <v>0</v>
      </c>
      <c r="T490" s="26">
        <v>0</v>
      </c>
      <c r="U490" s="18">
        <f t="shared" si="165"/>
        <v>0</v>
      </c>
      <c r="V490" s="22">
        <f t="shared" si="166"/>
        <v>0</v>
      </c>
      <c r="W490" s="25">
        <f t="shared" si="167"/>
        <v>0</v>
      </c>
      <c r="X490" s="3"/>
      <c r="Y490" s="14"/>
      <c r="Z490" s="14"/>
      <c r="AA490" s="3"/>
      <c r="AB490" s="3">
        <v>6.783E-3</v>
      </c>
      <c r="AC490" s="11">
        <v>46313</v>
      </c>
      <c r="AD490" s="4">
        <v>92</v>
      </c>
      <c r="AE490" s="18">
        <f>(IF(K490&gt;0,K490+R490,R490)-(AD490*Ventas!AE487*1.0489))</f>
        <v>-1.3785542857142858</v>
      </c>
      <c r="AF490" s="3"/>
      <c r="AG490" s="22">
        <f t="shared" si="179"/>
        <v>0</v>
      </c>
      <c r="AH490" s="14"/>
      <c r="AI490" s="25">
        <f t="shared" si="168"/>
        <v>0</v>
      </c>
      <c r="AJ490" s="16"/>
      <c r="AK490" s="12">
        <f t="shared" si="169"/>
        <v>-1.3785542857142858</v>
      </c>
      <c r="AL490" s="19">
        <f t="shared" si="170"/>
        <v>0</v>
      </c>
      <c r="AM490" s="18">
        <f>(180*(Ventas!AE487*0.9644) - IF(AE490&gt;0,AE490,0))</f>
        <v>2.4798857142857145</v>
      </c>
      <c r="AN490" s="18">
        <f t="shared" si="181"/>
        <v>0</v>
      </c>
      <c r="AO490" s="14"/>
      <c r="AP490" s="14">
        <f t="shared" si="180"/>
        <v>0</v>
      </c>
      <c r="AQ490" s="16">
        <f t="shared" si="172"/>
        <v>0</v>
      </c>
      <c r="AR490" s="37">
        <f>_xlfn.XLOOKUP(C490,[1]Hoja2!$C$6:$C$24,[1]Hoja2!$D$6:$D$24,0,2,1)</f>
        <v>0</v>
      </c>
      <c r="AS490" s="18">
        <f t="shared" si="173"/>
        <v>0</v>
      </c>
      <c r="AT490" s="14"/>
      <c r="AU490" s="37">
        <f>_xlfn.XLOOKUP(D490,[1]Hoja2!$E$6:$E$24,[1]Hoja2!$F$6:$F$24,0,2,1)</f>
        <v>0</v>
      </c>
      <c r="AV490" s="3">
        <v>0</v>
      </c>
      <c r="AW490" s="3"/>
      <c r="AX490" s="14">
        <v>0</v>
      </c>
      <c r="AY490" s="14"/>
      <c r="AZ490" s="16">
        <f>_xlfn.XLOOKUP(C490,[2]PI!$B$15:$B$99,[2]PI!$L$15:$L$99,0,2,1)</f>
        <v>0</v>
      </c>
      <c r="BA490" s="16">
        <f>_xlfn.XLOOKUP(D490,[2]PI!$B$15:$B$99,[2]PI!$L$15:$L$99,0,2,1)</f>
        <v>0</v>
      </c>
      <c r="BB490" s="3"/>
      <c r="BC490" s="3"/>
      <c r="BD490" s="14"/>
      <c r="BE490" s="14"/>
      <c r="BF490" s="16"/>
      <c r="BG490" s="16"/>
      <c r="BH490" s="12">
        <f t="shared" si="174"/>
        <v>0</v>
      </c>
      <c r="BI490" s="19">
        <f t="shared" si="175"/>
        <v>0</v>
      </c>
      <c r="BJ490" s="1" t="s">
        <v>35</v>
      </c>
      <c r="BK490">
        <f t="shared" si="176"/>
        <v>0</v>
      </c>
      <c r="BL490">
        <f t="shared" si="177"/>
        <v>0</v>
      </c>
    </row>
    <row r="491" spans="1:64" x14ac:dyDescent="0.25">
      <c r="A491" s="1" t="s">
        <v>1474</v>
      </c>
      <c r="B491" s="1" t="s">
        <v>1473</v>
      </c>
      <c r="C491" s="13" t="s">
        <v>1472</v>
      </c>
      <c r="D491" s="15"/>
      <c r="E491" s="17"/>
      <c r="F491" s="5">
        <v>4</v>
      </c>
      <c r="G491" s="14"/>
      <c r="H491" s="16"/>
      <c r="I491" s="11">
        <v>46221</v>
      </c>
      <c r="J491" s="4">
        <v>17</v>
      </c>
      <c r="K491" s="18">
        <f>(F491-(0)+0-(J491*Ventas!AE488*1))</f>
        <v>0.59999999999999964</v>
      </c>
      <c r="L491" s="20">
        <f>(K491/(Ventas!AE488*1)/80)</f>
        <v>3.7499999999999978E-2</v>
      </c>
      <c r="M491" s="22">
        <f t="shared" si="178"/>
        <v>0</v>
      </c>
      <c r="N491" s="14"/>
      <c r="O491" s="25">
        <f t="shared" si="163"/>
        <v>0</v>
      </c>
      <c r="P491" s="16"/>
      <c r="Q491" s="12">
        <f t="shared" si="164"/>
        <v>0.59999999999999964</v>
      </c>
      <c r="R491" s="5">
        <v>15</v>
      </c>
      <c r="S491" s="24">
        <v>0</v>
      </c>
      <c r="T491" s="26">
        <v>0</v>
      </c>
      <c r="U491" s="18">
        <f t="shared" si="165"/>
        <v>15.6</v>
      </c>
      <c r="V491" s="22">
        <f t="shared" si="166"/>
        <v>0</v>
      </c>
      <c r="W491" s="25">
        <f t="shared" si="167"/>
        <v>0</v>
      </c>
      <c r="X491" s="18">
        <v>3.5</v>
      </c>
      <c r="Y491" s="14"/>
      <c r="Z491" s="14"/>
      <c r="AA491" s="3"/>
      <c r="AB491" s="3">
        <v>6.783E-3</v>
      </c>
      <c r="AC491" s="11">
        <v>46313</v>
      </c>
      <c r="AD491" s="4">
        <v>92</v>
      </c>
      <c r="AE491" s="18">
        <f>(IF(K491&gt;0,K491+R491,R491)-(AD491*Ventas!AE488*1.0489))</f>
        <v>-3.699760000000003</v>
      </c>
      <c r="AF491" s="20">
        <f>(AE491/(Ventas!AE488*1.0489)/80)</f>
        <v>-0.22045476213175727</v>
      </c>
      <c r="AG491" s="22">
        <f t="shared" si="179"/>
        <v>0</v>
      </c>
      <c r="AH491" s="14"/>
      <c r="AI491" s="25">
        <f t="shared" si="168"/>
        <v>0</v>
      </c>
      <c r="AJ491" s="16"/>
      <c r="AK491" s="12">
        <f t="shared" si="169"/>
        <v>-3.699760000000003</v>
      </c>
      <c r="AL491" s="19">
        <f t="shared" si="170"/>
        <v>-0.19289791686528762</v>
      </c>
      <c r="AM491" s="18">
        <f>(180*(Ventas!AE488*0.9644) - IF(AE491&gt;0,AE491,0))</f>
        <v>34.718400000000003</v>
      </c>
      <c r="AN491" s="42">
        <v>30</v>
      </c>
      <c r="AO491" s="14"/>
      <c r="AP491" s="14">
        <f t="shared" si="180"/>
        <v>0</v>
      </c>
      <c r="AQ491" s="16">
        <f t="shared" si="172"/>
        <v>0.20349</v>
      </c>
      <c r="AR491" s="37">
        <f>_xlfn.XLOOKUP(C491,[1]Hoja2!$C$6:$C$24,[1]Hoja2!$D$6:$D$24,0,2,1)</f>
        <v>0</v>
      </c>
      <c r="AS491" s="18">
        <f t="shared" si="173"/>
        <v>30</v>
      </c>
      <c r="AT491" s="14"/>
      <c r="AU491" s="37">
        <f>_xlfn.XLOOKUP(D491,[1]Hoja2!$E$6:$E$24,[1]Hoja2!$F$6:$F$24,0,2,1)</f>
        <v>0</v>
      </c>
      <c r="AV491" s="27">
        <v>3.5</v>
      </c>
      <c r="AW491" s="5">
        <v>3016</v>
      </c>
      <c r="AX491" s="14">
        <v>0</v>
      </c>
      <c r="AY491" s="14"/>
      <c r="AZ491" s="16">
        <f>_xlfn.XLOOKUP(C491,[2]PI!$B$15:$B$99,[2]PI!$L$15:$L$99,0,2,1)</f>
        <v>3.5</v>
      </c>
      <c r="BA491" s="16">
        <f>_xlfn.XLOOKUP(D491,[2]PI!$B$15:$B$99,[2]PI!$L$15:$L$99,0,2,1)</f>
        <v>0</v>
      </c>
      <c r="BB491" s="18">
        <f>(AS491-(90*Ventas!AE488*0.9644))</f>
        <v>12.640799999999999</v>
      </c>
      <c r="BC491" s="20">
        <f>(BB491/(Ventas!AE488*0.9644)/80)</f>
        <v>0.81921401907921998</v>
      </c>
      <c r="BD491" s="14"/>
      <c r="BE491" s="14"/>
      <c r="BF491" s="16"/>
      <c r="BG491" s="16"/>
      <c r="BH491" s="12">
        <f t="shared" si="174"/>
        <v>12.640799999999999</v>
      </c>
      <c r="BI491" s="19">
        <f t="shared" si="175"/>
        <v>0.71681226669431752</v>
      </c>
      <c r="BJ491" s="1" t="s">
        <v>35</v>
      </c>
      <c r="BK491">
        <f t="shared" si="176"/>
        <v>105</v>
      </c>
      <c r="BL491">
        <f t="shared" si="177"/>
        <v>105</v>
      </c>
    </row>
    <row r="492" spans="1:64" x14ac:dyDescent="0.25">
      <c r="A492" s="1" t="s">
        <v>1477</v>
      </c>
      <c r="B492" s="1" t="s">
        <v>1476</v>
      </c>
      <c r="C492" s="13" t="s">
        <v>1475</v>
      </c>
      <c r="D492" s="15"/>
      <c r="E492" s="17"/>
      <c r="F492" s="5">
        <v>27</v>
      </c>
      <c r="G492" s="14"/>
      <c r="H492" s="16"/>
      <c r="I492" s="11">
        <v>46221</v>
      </c>
      <c r="J492" s="4">
        <v>17</v>
      </c>
      <c r="K492" s="18">
        <f>(F492-(0)+0-(J492*Ventas!AE489*1))</f>
        <v>24.79</v>
      </c>
      <c r="L492" s="20">
        <f>(K492/(Ventas!AE489*1)/80)</f>
        <v>2.3836538461538459</v>
      </c>
      <c r="M492" s="22">
        <f t="shared" si="178"/>
        <v>0</v>
      </c>
      <c r="N492" s="14"/>
      <c r="O492" s="25">
        <f t="shared" si="163"/>
        <v>0</v>
      </c>
      <c r="P492" s="16"/>
      <c r="Q492" s="12">
        <f t="shared" si="164"/>
        <v>24.79</v>
      </c>
      <c r="R492" s="5">
        <v>0</v>
      </c>
      <c r="S492" s="24">
        <v>0</v>
      </c>
      <c r="T492" s="26">
        <v>0</v>
      </c>
      <c r="U492" s="18">
        <f t="shared" si="165"/>
        <v>24.79</v>
      </c>
      <c r="V492" s="22">
        <f t="shared" si="166"/>
        <v>0</v>
      </c>
      <c r="W492" s="25">
        <f t="shared" si="167"/>
        <v>0</v>
      </c>
      <c r="X492" s="3"/>
      <c r="Y492" s="14"/>
      <c r="Z492" s="14"/>
      <c r="AA492" s="3"/>
      <c r="AB492" s="3">
        <v>6.783E-3</v>
      </c>
      <c r="AC492" s="11">
        <v>46313</v>
      </c>
      <c r="AD492" s="4">
        <v>92</v>
      </c>
      <c r="AE492" s="18">
        <f>(IF(K492&gt;0,K492+R492,R492)-(AD492*Ventas!AE489*1.0489))</f>
        <v>12.245156</v>
      </c>
      <c r="AF492" s="20">
        <f>(AE492/(Ventas!AE489*1.0489)/80)</f>
        <v>1.1225272629934655</v>
      </c>
      <c r="AG492" s="22">
        <f t="shared" si="179"/>
        <v>0</v>
      </c>
      <c r="AH492" s="14"/>
      <c r="AI492" s="25">
        <f t="shared" si="168"/>
        <v>0</v>
      </c>
      <c r="AJ492" s="16"/>
      <c r="AK492" s="12">
        <f t="shared" si="169"/>
        <v>12.245156</v>
      </c>
      <c r="AL492" s="19">
        <f t="shared" si="170"/>
        <v>0.98221135511928237</v>
      </c>
      <c r="AM492" s="18">
        <f>(180*(Ventas!AE489*0.9644) - IF(AE492&gt;0,AE492,0))</f>
        <v>10.321804000000002</v>
      </c>
      <c r="AN492" s="42">
        <v>15</v>
      </c>
      <c r="AO492" s="14"/>
      <c r="AP492" s="14">
        <f t="shared" si="180"/>
        <v>0</v>
      </c>
      <c r="AQ492" s="16">
        <f t="shared" si="172"/>
        <v>0.101745</v>
      </c>
      <c r="AR492" s="37">
        <f>_xlfn.XLOOKUP(C492,[1]Hoja2!$C$6:$C$24,[1]Hoja2!$D$6:$D$24,0,2,1)</f>
        <v>0</v>
      </c>
      <c r="AS492" s="18">
        <f t="shared" si="173"/>
        <v>27.245156000000001</v>
      </c>
      <c r="AT492" s="14"/>
      <c r="AU492" s="37">
        <f>_xlfn.XLOOKUP(D492,[1]Hoja2!$E$6:$E$24,[1]Hoja2!$F$6:$F$24,0,2,1)</f>
        <v>0</v>
      </c>
      <c r="AV492" s="27">
        <v>5</v>
      </c>
      <c r="AW492" s="5">
        <v>3016</v>
      </c>
      <c r="AX492" s="14">
        <v>0</v>
      </c>
      <c r="AY492" s="14"/>
      <c r="AZ492" s="16">
        <f>_xlfn.XLOOKUP(C492,[2]PI!$B$15:$B$99,[2]PI!$L$15:$L$99,0,2,1)</f>
        <v>5</v>
      </c>
      <c r="BA492" s="16">
        <f>_xlfn.XLOOKUP(D492,[2]PI!$B$15:$B$99,[2]PI!$L$15:$L$99,0,2,1)</f>
        <v>0</v>
      </c>
      <c r="BB492" s="18">
        <f>(AS492-(90*Ventas!AE489*0.9644))</f>
        <v>15.961676000000001</v>
      </c>
      <c r="BC492" s="20">
        <f>(BB492/(Ventas!AE489*0.9644)/80)</f>
        <v>1.5914314998564272</v>
      </c>
      <c r="BD492" s="14"/>
      <c r="BE492" s="14"/>
      <c r="BF492" s="16"/>
      <c r="BG492" s="16"/>
      <c r="BH492" s="12">
        <f t="shared" si="174"/>
        <v>15.961676000000001</v>
      </c>
      <c r="BI492" s="19">
        <f t="shared" si="175"/>
        <v>1.3925025623743739</v>
      </c>
      <c r="BJ492" s="1" t="s">
        <v>35</v>
      </c>
      <c r="BK492">
        <f t="shared" si="176"/>
        <v>75</v>
      </c>
      <c r="BL492">
        <f t="shared" si="177"/>
        <v>75</v>
      </c>
    </row>
    <row r="493" spans="1:64" x14ac:dyDescent="0.25">
      <c r="A493" s="1" t="s">
        <v>1480</v>
      </c>
      <c r="B493" s="1" t="s">
        <v>1479</v>
      </c>
      <c r="C493" s="13" t="s">
        <v>1478</v>
      </c>
      <c r="D493" s="15"/>
      <c r="E493" s="17"/>
      <c r="F493" s="3"/>
      <c r="G493" s="14"/>
      <c r="H493" s="16"/>
      <c r="I493" s="11">
        <v>46221</v>
      </c>
      <c r="J493" s="4">
        <v>17</v>
      </c>
      <c r="K493" s="18">
        <f>(F493-(0)+0-(J493*Ventas!AE490*1))</f>
        <v>-1.170652380952381</v>
      </c>
      <c r="L493" s="20">
        <f>(K493/(Ventas!AE490*1)/80)</f>
        <v>-0.21249999999999999</v>
      </c>
      <c r="M493" s="22">
        <f t="shared" si="178"/>
        <v>0</v>
      </c>
      <c r="N493" s="14"/>
      <c r="O493" s="25">
        <f t="shared" si="163"/>
        <v>0</v>
      </c>
      <c r="P493" s="16"/>
      <c r="Q493" s="12">
        <f t="shared" si="164"/>
        <v>-1.170652380952381</v>
      </c>
      <c r="R493" s="5">
        <v>16</v>
      </c>
      <c r="S493" s="24">
        <v>0</v>
      </c>
      <c r="T493" s="26">
        <v>0</v>
      </c>
      <c r="U493" s="18">
        <f t="shared" si="165"/>
        <v>16</v>
      </c>
      <c r="V493" s="22">
        <f t="shared" si="166"/>
        <v>0</v>
      </c>
      <c r="W493" s="25">
        <f t="shared" si="167"/>
        <v>0</v>
      </c>
      <c r="X493" s="18">
        <v>5</v>
      </c>
      <c r="Y493" s="14"/>
      <c r="Z493" s="14"/>
      <c r="AA493" s="3"/>
      <c r="AB493" s="3">
        <v>6.783E-3</v>
      </c>
      <c r="AC493" s="11">
        <v>46313</v>
      </c>
      <c r="AD493" s="4">
        <v>92</v>
      </c>
      <c r="AE493" s="18">
        <f>(IF(K493&gt;0,K493+R493,R493)-(AD493*Ventas!AE490*1.0489))</f>
        <v>9.354908824761905</v>
      </c>
      <c r="AF493" s="20">
        <f>(AE493/(Ventas!AE490*1.0489)/80)</f>
        <v>1.6189612549734089</v>
      </c>
      <c r="AG493" s="22">
        <f t="shared" si="179"/>
        <v>0</v>
      </c>
      <c r="AH493" s="14"/>
      <c r="AI493" s="25">
        <f t="shared" si="168"/>
        <v>0</v>
      </c>
      <c r="AJ493" s="16"/>
      <c r="AK493" s="12">
        <f t="shared" si="169"/>
        <v>9.354908824761905</v>
      </c>
      <c r="AL493" s="19">
        <f t="shared" si="170"/>
        <v>1.4165910981017329</v>
      </c>
      <c r="AM493" s="18">
        <f>(180*(Ventas!AE490*0.9644) - IF(AE493&gt;0,AE493,0))</f>
        <v>2.5989669466666658</v>
      </c>
      <c r="AN493" s="18">
        <f>IF(AM493&gt;3,CEILING(AM493,5),0)</f>
        <v>0</v>
      </c>
      <c r="AO493" s="14"/>
      <c r="AP493" s="14">
        <f t="shared" si="180"/>
        <v>0</v>
      </c>
      <c r="AQ493" s="16">
        <f t="shared" si="172"/>
        <v>0</v>
      </c>
      <c r="AR493" s="37">
        <f>_xlfn.XLOOKUP(C493,[1]Hoja2!$C$6:$C$24,[1]Hoja2!$D$6:$D$24,0,2,1)</f>
        <v>0</v>
      </c>
      <c r="AS493" s="18">
        <f t="shared" si="173"/>
        <v>9.354908824761905</v>
      </c>
      <c r="AT493" s="14"/>
      <c r="AU493" s="37">
        <f>_xlfn.XLOOKUP(D493,[1]Hoja2!$E$6:$E$24,[1]Hoja2!$F$6:$F$24,0,2,1)</f>
        <v>0</v>
      </c>
      <c r="AV493" s="27">
        <v>0</v>
      </c>
      <c r="AW493" s="5">
        <v>3016</v>
      </c>
      <c r="AX493" s="14">
        <v>0</v>
      </c>
      <c r="AY493" s="14"/>
      <c r="AZ493" s="16">
        <f>_xlfn.XLOOKUP(C493,[2]PI!$B$15:$B$99,[2]PI!$L$15:$L$99,0,2,1)</f>
        <v>0</v>
      </c>
      <c r="BA493" s="16">
        <f>_xlfn.XLOOKUP(D493,[2]PI!$B$15:$B$99,[2]PI!$L$15:$L$99,0,2,1)</f>
        <v>0</v>
      </c>
      <c r="BB493" s="18">
        <f>(AS493-(90*Ventas!AE490*0.9644))</f>
        <v>3.3779709390476187</v>
      </c>
      <c r="BC493" s="20">
        <f>(BB493/(Ventas!AE490*0.9644)/80)</f>
        <v>0.63581341802323554</v>
      </c>
      <c r="BD493" s="14"/>
      <c r="BE493" s="14"/>
      <c r="BF493" s="16"/>
      <c r="BG493" s="16"/>
      <c r="BH493" s="12">
        <f t="shared" si="174"/>
        <v>3.3779709390476187</v>
      </c>
      <c r="BI493" s="19">
        <f t="shared" si="175"/>
        <v>0.55633674077033113</v>
      </c>
      <c r="BJ493" s="1" t="s">
        <v>35</v>
      </c>
      <c r="BK493">
        <f t="shared" si="176"/>
        <v>0</v>
      </c>
      <c r="BL493">
        <f t="shared" si="177"/>
        <v>0</v>
      </c>
    </row>
    <row r="494" spans="1:64" x14ac:dyDescent="0.25">
      <c r="A494" s="1" t="s">
        <v>1651</v>
      </c>
      <c r="B494" s="1" t="s">
        <v>1482</v>
      </c>
      <c r="C494" s="13" t="s">
        <v>1481</v>
      </c>
      <c r="D494" s="15"/>
      <c r="E494" s="17"/>
      <c r="F494" s="3"/>
      <c r="G494" s="14"/>
      <c r="H494" s="16"/>
      <c r="I494" s="11">
        <v>46221</v>
      </c>
      <c r="J494" s="4">
        <v>17</v>
      </c>
      <c r="K494" s="18">
        <f>(F494-(0)+0-(J494*Ventas!AE491*1))</f>
        <v>0</v>
      </c>
      <c r="L494" s="3"/>
      <c r="M494" s="22">
        <f t="shared" si="178"/>
        <v>0</v>
      </c>
      <c r="N494" s="14"/>
      <c r="O494" s="25">
        <f t="shared" si="163"/>
        <v>0</v>
      </c>
      <c r="P494" s="16"/>
      <c r="Q494" s="12">
        <f t="shared" si="164"/>
        <v>0</v>
      </c>
      <c r="R494" s="5">
        <v>0</v>
      </c>
      <c r="S494" s="24">
        <v>0</v>
      </c>
      <c r="T494" s="26">
        <v>0</v>
      </c>
      <c r="U494" s="18">
        <f t="shared" si="165"/>
        <v>0</v>
      </c>
      <c r="V494" s="22">
        <f t="shared" si="166"/>
        <v>0</v>
      </c>
      <c r="W494" s="25">
        <f t="shared" si="167"/>
        <v>0</v>
      </c>
      <c r="X494" s="3"/>
      <c r="Y494" s="14"/>
      <c r="Z494" s="14"/>
      <c r="AA494" s="3"/>
      <c r="AB494" s="3">
        <v>6.783E-3</v>
      </c>
      <c r="AC494" s="11">
        <v>46313</v>
      </c>
      <c r="AD494" s="4">
        <v>92</v>
      </c>
      <c r="AE494" s="18">
        <f>(IF(K494&gt;0,K494+R494,R494)-(AD494*Ventas!AE491*1.0489))</f>
        <v>0</v>
      </c>
      <c r="AF494" s="3"/>
      <c r="AG494" s="22">
        <f t="shared" si="179"/>
        <v>0</v>
      </c>
      <c r="AH494" s="14"/>
      <c r="AI494" s="25">
        <f t="shared" si="168"/>
        <v>0</v>
      </c>
      <c r="AJ494" s="16"/>
      <c r="AK494" s="12">
        <f t="shared" si="169"/>
        <v>0</v>
      </c>
      <c r="AL494" s="19">
        <f t="shared" si="170"/>
        <v>0</v>
      </c>
      <c r="AM494" s="18">
        <f>(180*(Ventas!AE491*0.9644) - IF(AE494&gt;0,AE494,0))</f>
        <v>0</v>
      </c>
      <c r="AN494" s="18">
        <f>IF(AM494&gt;3,CEILING(AM494,5),0)</f>
        <v>0</v>
      </c>
      <c r="AO494" s="14"/>
      <c r="AP494" s="14">
        <f t="shared" si="180"/>
        <v>0</v>
      </c>
      <c r="AQ494" s="16">
        <f t="shared" si="172"/>
        <v>0</v>
      </c>
      <c r="AR494" s="37">
        <f>_xlfn.XLOOKUP(C494,[1]Hoja2!$C$6:$C$24,[1]Hoja2!$D$6:$D$24,0,2,1)</f>
        <v>0</v>
      </c>
      <c r="AS494" s="18">
        <f t="shared" si="173"/>
        <v>0</v>
      </c>
      <c r="AT494" s="14"/>
      <c r="AU494" s="37">
        <f>_xlfn.XLOOKUP(D494,[1]Hoja2!$E$6:$E$24,[1]Hoja2!$F$6:$F$24,0,2,1)</f>
        <v>0</v>
      </c>
      <c r="AV494" s="3">
        <v>0</v>
      </c>
      <c r="AW494" s="3"/>
      <c r="AX494" s="14">
        <v>0</v>
      </c>
      <c r="AY494" s="14"/>
      <c r="AZ494" s="16">
        <f>_xlfn.XLOOKUP(C494,[2]PI!$B$15:$B$99,[2]PI!$L$15:$L$99,0,2,1)</f>
        <v>0</v>
      </c>
      <c r="BA494" s="16">
        <f>_xlfn.XLOOKUP(D494,[2]PI!$B$15:$B$99,[2]PI!$L$15:$L$99,0,2,1)</f>
        <v>0</v>
      </c>
      <c r="BB494" s="3"/>
      <c r="BC494" s="3"/>
      <c r="BD494" s="14"/>
      <c r="BE494" s="14"/>
      <c r="BF494" s="16"/>
      <c r="BG494" s="16"/>
      <c r="BH494" s="12">
        <f t="shared" si="174"/>
        <v>0</v>
      </c>
      <c r="BI494" s="19">
        <f t="shared" si="175"/>
        <v>0</v>
      </c>
      <c r="BJ494" s="1" t="s">
        <v>35</v>
      </c>
      <c r="BK494">
        <f t="shared" si="176"/>
        <v>0</v>
      </c>
      <c r="BL494">
        <f t="shared" si="177"/>
        <v>0</v>
      </c>
    </row>
    <row r="495" spans="1:64" x14ac:dyDescent="0.25">
      <c r="A495" s="1" t="s">
        <v>1652</v>
      </c>
      <c r="B495" s="1" t="s">
        <v>1484</v>
      </c>
      <c r="C495" s="13" t="s">
        <v>1483</v>
      </c>
      <c r="D495" s="15"/>
      <c r="E495" s="17"/>
      <c r="F495" s="3"/>
      <c r="G495" s="14"/>
      <c r="H495" s="16"/>
      <c r="I495" s="11">
        <v>46221</v>
      </c>
      <c r="J495" s="4">
        <v>17</v>
      </c>
      <c r="K495" s="18">
        <f>(F495-(0)+0-(J495*Ventas!AE492*1))</f>
        <v>-6.12</v>
      </c>
      <c r="L495" s="3"/>
      <c r="M495" s="22">
        <f t="shared" si="178"/>
        <v>0</v>
      </c>
      <c r="N495" s="14"/>
      <c r="O495" s="25">
        <f t="shared" si="163"/>
        <v>0</v>
      </c>
      <c r="P495" s="16"/>
      <c r="Q495" s="12">
        <f t="shared" si="164"/>
        <v>-6.12</v>
      </c>
      <c r="R495" s="5">
        <v>0</v>
      </c>
      <c r="S495" s="24">
        <v>0</v>
      </c>
      <c r="T495" s="26">
        <v>0</v>
      </c>
      <c r="U495" s="18">
        <f t="shared" si="165"/>
        <v>0</v>
      </c>
      <c r="V495" s="22">
        <f t="shared" si="166"/>
        <v>0</v>
      </c>
      <c r="W495" s="25">
        <f t="shared" si="167"/>
        <v>0</v>
      </c>
      <c r="X495" s="3"/>
      <c r="Y495" s="14"/>
      <c r="Z495" s="14"/>
      <c r="AA495" s="3"/>
      <c r="AB495" s="3">
        <v>6.783E-3</v>
      </c>
      <c r="AC495" s="11">
        <v>46313</v>
      </c>
      <c r="AD495" s="4">
        <v>92</v>
      </c>
      <c r="AE495" s="18">
        <f>(IF(K495&gt;0,K495+R495,R495)-(AD495*Ventas!AE492*1.0489))</f>
        <v>-34.739567999999998</v>
      </c>
      <c r="AF495" s="3"/>
      <c r="AG495" s="22">
        <f t="shared" si="179"/>
        <v>0</v>
      </c>
      <c r="AH495" s="14"/>
      <c r="AI495" s="25">
        <f t="shared" si="168"/>
        <v>0</v>
      </c>
      <c r="AJ495" s="16"/>
      <c r="AK495" s="12">
        <f t="shared" si="169"/>
        <v>-34.739567999999998</v>
      </c>
      <c r="AL495" s="19">
        <f t="shared" si="170"/>
        <v>0</v>
      </c>
      <c r="AM495" s="18">
        <f>(180*(Ventas!AE492*0.9644) - IF(AE495&gt;0,AE495,0))</f>
        <v>62.493119999999998</v>
      </c>
      <c r="AN495" s="18">
        <v>60</v>
      </c>
      <c r="AO495" s="14"/>
      <c r="AP495" s="14">
        <f t="shared" si="180"/>
        <v>0</v>
      </c>
      <c r="AQ495" s="16">
        <f t="shared" si="172"/>
        <v>0.40698000000000001</v>
      </c>
      <c r="AR495" s="37">
        <f>_xlfn.XLOOKUP(C495,[1]Hoja2!$C$6:$C$24,[1]Hoja2!$D$6:$D$24,0,2,1)</f>
        <v>0</v>
      </c>
      <c r="AS495" s="18">
        <f t="shared" si="173"/>
        <v>60</v>
      </c>
      <c r="AT495" s="14"/>
      <c r="AU495" s="37">
        <f>_xlfn.XLOOKUP(D495,[1]Hoja2!$E$6:$E$24,[1]Hoja2!$F$6:$F$24,0,2,1)</f>
        <v>0</v>
      </c>
      <c r="AV495" s="3">
        <v>11</v>
      </c>
      <c r="AW495" s="3"/>
      <c r="AX495" s="14">
        <v>0</v>
      </c>
      <c r="AY495" s="14"/>
      <c r="AZ495" s="16">
        <f>_xlfn.XLOOKUP(C495,[2]PI!$B$15:$B$99,[2]PI!$L$15:$L$99,0,2,1)</f>
        <v>11</v>
      </c>
      <c r="BA495" s="16">
        <f>_xlfn.XLOOKUP(D495,[2]PI!$B$15:$B$99,[2]PI!$L$15:$L$99,0,2,1)</f>
        <v>0</v>
      </c>
      <c r="BB495" s="3"/>
      <c r="BC495" s="3"/>
      <c r="BD495" s="14"/>
      <c r="BE495" s="14"/>
      <c r="BF495" s="16"/>
      <c r="BG495" s="16"/>
      <c r="BH495" s="12">
        <f t="shared" si="174"/>
        <v>0</v>
      </c>
      <c r="BI495" s="19">
        <f t="shared" si="175"/>
        <v>0</v>
      </c>
      <c r="BJ495" s="1" t="s">
        <v>35</v>
      </c>
      <c r="BK495">
        <f t="shared" si="176"/>
        <v>660</v>
      </c>
      <c r="BL495">
        <f t="shared" si="177"/>
        <v>660</v>
      </c>
    </row>
    <row r="496" spans="1:64" x14ac:dyDescent="0.25">
      <c r="A496" s="1" t="s">
        <v>1653</v>
      </c>
      <c r="B496" s="1" t="s">
        <v>1486</v>
      </c>
      <c r="C496" s="13" t="s">
        <v>1485</v>
      </c>
      <c r="D496" s="15"/>
      <c r="E496" s="17"/>
      <c r="F496" s="3"/>
      <c r="G496" s="14"/>
      <c r="H496" s="16"/>
      <c r="I496" s="11">
        <v>46221</v>
      </c>
      <c r="J496" s="4">
        <v>17</v>
      </c>
      <c r="K496" s="18">
        <f>(F496-(0)+0-(J496*Ventas!AE493*1))</f>
        <v>0</v>
      </c>
      <c r="L496" s="3"/>
      <c r="M496" s="22">
        <f t="shared" si="178"/>
        <v>0</v>
      </c>
      <c r="N496" s="14"/>
      <c r="O496" s="25">
        <f t="shared" si="163"/>
        <v>0</v>
      </c>
      <c r="P496" s="16"/>
      <c r="Q496" s="12">
        <f t="shared" si="164"/>
        <v>0</v>
      </c>
      <c r="R496" s="5">
        <v>0</v>
      </c>
      <c r="S496" s="24">
        <v>0</v>
      </c>
      <c r="T496" s="26">
        <v>0</v>
      </c>
      <c r="U496" s="18">
        <f t="shared" si="165"/>
        <v>0</v>
      </c>
      <c r="V496" s="22">
        <f t="shared" si="166"/>
        <v>0</v>
      </c>
      <c r="W496" s="25">
        <f t="shared" si="167"/>
        <v>0</v>
      </c>
      <c r="X496" s="3"/>
      <c r="Y496" s="14"/>
      <c r="Z496" s="14"/>
      <c r="AA496" s="3"/>
      <c r="AB496" s="3">
        <v>6.783E-3</v>
      </c>
      <c r="AC496" s="11">
        <v>46313</v>
      </c>
      <c r="AD496" s="4">
        <v>92</v>
      </c>
      <c r="AE496" s="18">
        <f>(IF(K496&gt;0,K496+R496,R496)-(AD496*Ventas!AE493*1.0489))</f>
        <v>0</v>
      </c>
      <c r="AF496" s="3"/>
      <c r="AG496" s="22">
        <f t="shared" si="179"/>
        <v>0</v>
      </c>
      <c r="AH496" s="14"/>
      <c r="AI496" s="25">
        <f t="shared" si="168"/>
        <v>0</v>
      </c>
      <c r="AJ496" s="16"/>
      <c r="AK496" s="12">
        <f t="shared" si="169"/>
        <v>0</v>
      </c>
      <c r="AL496" s="19">
        <f t="shared" si="170"/>
        <v>0</v>
      </c>
      <c r="AM496" s="18">
        <f>(180*(Ventas!AE493*0.9644) - IF(AE496&gt;0,AE496,0))</f>
        <v>0</v>
      </c>
      <c r="AN496" s="18">
        <f>IF(AM496&gt;3,CEILING(AM496,5),0)</f>
        <v>0</v>
      </c>
      <c r="AO496" s="14"/>
      <c r="AP496" s="14">
        <f t="shared" si="180"/>
        <v>0</v>
      </c>
      <c r="AQ496" s="16">
        <f t="shared" si="172"/>
        <v>0</v>
      </c>
      <c r="AR496" s="37">
        <f>_xlfn.XLOOKUP(C496,[1]Hoja2!$C$6:$C$24,[1]Hoja2!$D$6:$D$24,0,2,1)</f>
        <v>0</v>
      </c>
      <c r="AS496" s="18">
        <f t="shared" si="173"/>
        <v>0</v>
      </c>
      <c r="AT496" s="14"/>
      <c r="AU496" s="37">
        <f>_xlfn.XLOOKUP(D496,[1]Hoja2!$E$6:$E$24,[1]Hoja2!$F$6:$F$24,0,2,1)</f>
        <v>0</v>
      </c>
      <c r="AV496" s="3">
        <v>0</v>
      </c>
      <c r="AW496" s="3"/>
      <c r="AX496" s="14">
        <v>0</v>
      </c>
      <c r="AY496" s="14"/>
      <c r="AZ496" s="16">
        <f>_xlfn.XLOOKUP(C496,[2]PI!$B$15:$B$99,[2]PI!$L$15:$L$99,0,2,1)</f>
        <v>0</v>
      </c>
      <c r="BA496" s="16">
        <f>_xlfn.XLOOKUP(D496,[2]PI!$B$15:$B$99,[2]PI!$L$15:$L$99,0,2,1)</f>
        <v>0</v>
      </c>
      <c r="BB496" s="3"/>
      <c r="BC496" s="3"/>
      <c r="BD496" s="14"/>
      <c r="BE496" s="14"/>
      <c r="BF496" s="16"/>
      <c r="BG496" s="16"/>
      <c r="BH496" s="12">
        <f t="shared" si="174"/>
        <v>0</v>
      </c>
      <c r="BI496" s="19">
        <f t="shared" si="175"/>
        <v>0</v>
      </c>
      <c r="BJ496" s="1" t="s">
        <v>35</v>
      </c>
      <c r="BK496">
        <f t="shared" si="176"/>
        <v>0</v>
      </c>
      <c r="BL496">
        <f t="shared" si="177"/>
        <v>0</v>
      </c>
    </row>
    <row r="497" spans="1:64" x14ac:dyDescent="0.25">
      <c r="A497" s="1" t="s">
        <v>1654</v>
      </c>
      <c r="B497" s="1" t="s">
        <v>1488</v>
      </c>
      <c r="C497" s="13" t="s">
        <v>1487</v>
      </c>
      <c r="D497" s="15"/>
      <c r="E497" s="17"/>
      <c r="F497" s="5">
        <v>24</v>
      </c>
      <c r="G497" s="14"/>
      <c r="H497" s="16"/>
      <c r="I497" s="11">
        <v>46221</v>
      </c>
      <c r="J497" s="4">
        <v>17</v>
      </c>
      <c r="K497" s="18">
        <f>(F497-(0)+0-(J497*Ventas!AE494*1))</f>
        <v>18.899999999999999</v>
      </c>
      <c r="L497" s="3"/>
      <c r="M497" s="22">
        <f t="shared" si="178"/>
        <v>0</v>
      </c>
      <c r="N497" s="14"/>
      <c r="O497" s="25">
        <f t="shared" si="163"/>
        <v>0</v>
      </c>
      <c r="P497" s="16"/>
      <c r="Q497" s="12">
        <f t="shared" si="164"/>
        <v>18.899999999999999</v>
      </c>
      <c r="R497" s="5">
        <v>0</v>
      </c>
      <c r="S497" s="24">
        <v>0</v>
      </c>
      <c r="T497" s="26">
        <v>0</v>
      </c>
      <c r="U497" s="18">
        <f t="shared" si="165"/>
        <v>18.899999999999999</v>
      </c>
      <c r="V497" s="22">
        <f t="shared" si="166"/>
        <v>0</v>
      </c>
      <c r="W497" s="25">
        <f t="shared" si="167"/>
        <v>0</v>
      </c>
      <c r="X497" s="3"/>
      <c r="Y497" s="14"/>
      <c r="Z497" s="14"/>
      <c r="AA497" s="3"/>
      <c r="AB497" s="3">
        <v>6.783E-3</v>
      </c>
      <c r="AC497" s="11">
        <v>46313</v>
      </c>
      <c r="AD497" s="4">
        <v>92</v>
      </c>
      <c r="AE497" s="18">
        <f>(IF(K497&gt;0,K497+R497,R497)-(AD497*Ventas!AE494*1.0489))</f>
        <v>-10.049639999999997</v>
      </c>
      <c r="AF497" s="3"/>
      <c r="AG497" s="22">
        <f t="shared" si="179"/>
        <v>0</v>
      </c>
      <c r="AH497" s="14"/>
      <c r="AI497" s="25">
        <f t="shared" si="168"/>
        <v>0</v>
      </c>
      <c r="AJ497" s="16"/>
      <c r="AK497" s="12">
        <f t="shared" si="169"/>
        <v>-10.049639999999997</v>
      </c>
      <c r="AL497" s="19">
        <f t="shared" si="170"/>
        <v>0</v>
      </c>
      <c r="AM497" s="18">
        <f>(180*(Ventas!AE494*0.9644) - IF(AE497&gt;0,AE497,0))</f>
        <v>52.077600000000004</v>
      </c>
      <c r="AN497" s="18">
        <v>50</v>
      </c>
      <c r="AO497" s="14"/>
      <c r="AP497" s="14">
        <f t="shared" si="180"/>
        <v>0</v>
      </c>
      <c r="AQ497" s="16">
        <f t="shared" si="172"/>
        <v>0.33915000000000001</v>
      </c>
      <c r="AR497" s="37">
        <f>_xlfn.XLOOKUP(C497,[1]Hoja2!$C$6:$C$24,[1]Hoja2!$D$6:$D$24,0,2,1)</f>
        <v>0</v>
      </c>
      <c r="AS497" s="18">
        <f t="shared" si="173"/>
        <v>50</v>
      </c>
      <c r="AT497" s="14"/>
      <c r="AU497" s="37">
        <f>_xlfn.XLOOKUP(D497,[1]Hoja2!$E$6:$E$24,[1]Hoja2!$F$6:$F$24,0,2,1)</f>
        <v>0</v>
      </c>
      <c r="AV497" s="3">
        <v>7</v>
      </c>
      <c r="AW497" s="3"/>
      <c r="AX497" s="14">
        <v>0</v>
      </c>
      <c r="AY497" s="14"/>
      <c r="AZ497" s="16">
        <f>_xlfn.XLOOKUP(C497,[2]PI!$B$15:$B$99,[2]PI!$L$15:$L$99,0,2,1)</f>
        <v>7</v>
      </c>
      <c r="BA497" s="16">
        <f>_xlfn.XLOOKUP(D497,[2]PI!$B$15:$B$99,[2]PI!$L$15:$L$99,0,2,1)</f>
        <v>0</v>
      </c>
      <c r="BB497" s="3"/>
      <c r="BC497" s="3"/>
      <c r="BD497" s="14"/>
      <c r="BE497" s="14"/>
      <c r="BF497" s="16"/>
      <c r="BG497" s="16"/>
      <c r="BH497" s="12">
        <f t="shared" si="174"/>
        <v>0</v>
      </c>
      <c r="BI497" s="19">
        <f t="shared" si="175"/>
        <v>0</v>
      </c>
      <c r="BJ497" s="1" t="s">
        <v>35</v>
      </c>
      <c r="BK497">
        <f t="shared" si="176"/>
        <v>350</v>
      </c>
      <c r="BL497">
        <f t="shared" si="177"/>
        <v>350</v>
      </c>
    </row>
    <row r="498" spans="1:64" x14ac:dyDescent="0.25">
      <c r="A498" s="1">
        <v>5358137124232</v>
      </c>
      <c r="B498" s="1" t="s">
        <v>1650</v>
      </c>
      <c r="C498" s="13" t="s">
        <v>1647</v>
      </c>
      <c r="AB498">
        <v>1.8190000000000001E-3</v>
      </c>
      <c r="AN498">
        <v>1000</v>
      </c>
      <c r="AQ498" s="16">
        <f t="shared" si="172"/>
        <v>1.8190000000000002</v>
      </c>
      <c r="AV498" s="27">
        <v>1.6</v>
      </c>
      <c r="AX498">
        <v>0</v>
      </c>
      <c r="AZ498" s="16">
        <f>_xlfn.XLOOKUP(C498,[2]PI!$B$15:$B$99,[2]PI!$L$15:$L$99,0,2,1)</f>
        <v>1.6</v>
      </c>
      <c r="BA498" s="16">
        <f>_xlfn.XLOOKUP(D498,[2]PI!$B$15:$B$99,[2]PI!$L$15:$L$99,0,2,1)</f>
        <v>0</v>
      </c>
      <c r="BK498">
        <f t="shared" si="176"/>
        <v>1600</v>
      </c>
      <c r="BL498">
        <f t="shared" si="177"/>
        <v>1600</v>
      </c>
    </row>
    <row r="499" spans="1:64" x14ac:dyDescent="0.25">
      <c r="A499" s="1">
        <v>5358137124249</v>
      </c>
      <c r="B499" s="1" t="s">
        <v>1649</v>
      </c>
      <c r="C499" s="13" t="s">
        <v>1648</v>
      </c>
      <c r="AB499">
        <v>6.783E-3</v>
      </c>
      <c r="AN499">
        <v>150</v>
      </c>
      <c r="AQ499" s="16">
        <f t="shared" si="172"/>
        <v>1.01745</v>
      </c>
      <c r="AV499" s="27">
        <v>11</v>
      </c>
      <c r="AX499">
        <v>0</v>
      </c>
      <c r="AZ499" s="16">
        <f>_xlfn.XLOOKUP(C499,[2]PI!$B$15:$B$99,[2]PI!$L$15:$L$99,0,2,1)</f>
        <v>11</v>
      </c>
      <c r="BA499" s="16">
        <f>_xlfn.XLOOKUP(D499,[2]PI!$B$15:$B$99,[2]PI!$L$15:$L$99,0,2,1)</f>
        <v>0</v>
      </c>
      <c r="BK499">
        <f t="shared" si="176"/>
        <v>1650</v>
      </c>
      <c r="BL499">
        <f t="shared" si="177"/>
        <v>1650</v>
      </c>
    </row>
    <row r="500" spans="1:64" x14ac:dyDescent="0.25">
      <c r="A500" s="1"/>
      <c r="B500" s="1" t="s">
        <v>1581</v>
      </c>
      <c r="C500" s="13" t="s">
        <v>1580</v>
      </c>
      <c r="D500" s="15"/>
      <c r="E500" s="17"/>
      <c r="F500" s="5">
        <v>1</v>
      </c>
      <c r="G500" s="14"/>
      <c r="H500" s="16"/>
      <c r="I500" s="11">
        <v>46221</v>
      </c>
      <c r="J500" s="4">
        <v>17</v>
      </c>
      <c r="K500" s="18">
        <f>(F500-(0)+0-(J500*Ventas!AE529*1))</f>
        <v>1</v>
      </c>
      <c r="L500" s="3"/>
      <c r="M500" s="22">
        <f>(G500+0)</f>
        <v>0</v>
      </c>
      <c r="N500" s="14"/>
      <c r="O500" s="25">
        <f>(H500+0)</f>
        <v>0</v>
      </c>
      <c r="P500" s="16"/>
      <c r="Q500" s="12">
        <f>(K500+M500+O500)</f>
        <v>1</v>
      </c>
      <c r="R500" s="5">
        <v>0</v>
      </c>
      <c r="S500" s="24">
        <v>0</v>
      </c>
      <c r="T500" s="26">
        <v>0</v>
      </c>
      <c r="U500" s="18">
        <f>IF(K500&gt;0,K500+R500,R500)</f>
        <v>1</v>
      </c>
      <c r="V500" s="22">
        <f>IF(M500&gt;0,M500+S500,S500)</f>
        <v>0</v>
      </c>
      <c r="W500" s="25">
        <f>IF(O500&gt;0,O500+T500,T500)</f>
        <v>0</v>
      </c>
      <c r="X500" s="3"/>
      <c r="Y500" s="14"/>
      <c r="Z500" s="14"/>
      <c r="AA500" s="3"/>
      <c r="AB500" s="3">
        <v>6.783E-3</v>
      </c>
      <c r="AC500" s="11">
        <v>46313</v>
      </c>
      <c r="AD500" s="4">
        <v>92</v>
      </c>
      <c r="AE500" s="18">
        <f>(IF(K500&gt;0,K500+R500,R500)-(AD500*Ventas!AE529*1.0489))</f>
        <v>1</v>
      </c>
      <c r="AF500" s="3"/>
      <c r="AG500" s="22">
        <f>(G500+0)</f>
        <v>0</v>
      </c>
      <c r="AH500" s="14"/>
      <c r="AI500" s="25">
        <f>(H500+0)</f>
        <v>0</v>
      </c>
      <c r="AJ500" s="16"/>
      <c r="AK500" s="12">
        <f>(AE500+AG500+AI500)</f>
        <v>1</v>
      </c>
      <c r="AL500" s="19">
        <f>(((AF500*7)+(AH500*1)+(AJ500*0))/8)</f>
        <v>0</v>
      </c>
      <c r="AM500" s="18">
        <f>(180*(Ventas!AE529*0.9644) - IF(AE500&gt;0,AE500,0))</f>
        <v>-1</v>
      </c>
      <c r="AN500" s="18">
        <f>IF(AM500&gt;3,CEILING(AM500,5),0)</f>
        <v>0</v>
      </c>
      <c r="AO500" s="14"/>
      <c r="AP500" s="14">
        <f>IF(AO500&gt;3,CEILING(AO500,5),0)</f>
        <v>0</v>
      </c>
      <c r="AQ500" s="16">
        <f t="shared" si="172"/>
        <v>0</v>
      </c>
      <c r="AR500" s="37">
        <f>_xlfn.XLOOKUP(C500,[1]Hoja2!$C$6:$C$24,[1]Hoja2!$D$6:$D$24,0,2,1)</f>
        <v>0</v>
      </c>
      <c r="AS500" s="18">
        <f>IF(AE500&gt;0,AE500+IF(AN500&gt;0,AN500,0),AN500)</f>
        <v>1</v>
      </c>
      <c r="AT500" s="14"/>
      <c r="AU500" s="37">
        <f>_xlfn.XLOOKUP(D500,[1]Hoja2!$E$6:$E$24,[1]Hoja2!$F$6:$F$24,0,2,1)</f>
        <v>0</v>
      </c>
      <c r="AV500" s="3">
        <v>0</v>
      </c>
      <c r="AW500" s="3"/>
      <c r="AX500" s="14">
        <v>0</v>
      </c>
      <c r="AY500" s="14"/>
      <c r="AZ500" s="16">
        <f>_xlfn.XLOOKUP(C500,[2]PI!$B$15:$B$99,[2]PI!$L$15:$L$99,0,2,1)</f>
        <v>0</v>
      </c>
      <c r="BA500" s="16">
        <f>_xlfn.XLOOKUP(D500,[2]PI!$B$15:$B$99,[2]PI!$L$15:$L$99,0,2,1)</f>
        <v>0</v>
      </c>
      <c r="BB500" s="3"/>
      <c r="BC500" s="3"/>
      <c r="BD500" s="14"/>
      <c r="BE500" s="14"/>
      <c r="BF500" s="16"/>
      <c r="BG500" s="16"/>
      <c r="BH500" s="12">
        <f>(IF(BB500&gt;0,BB500,0)+IF(BD500&gt;0,BD500,0)+IF(BF500&gt;0,BF500,0))</f>
        <v>0</v>
      </c>
      <c r="BI500" s="19">
        <f>(((BC500*7)+(BE500*1)+(BG500*1))/8)</f>
        <v>0</v>
      </c>
      <c r="BJ500" s="1" t="s">
        <v>35</v>
      </c>
      <c r="BK500">
        <f t="shared" si="176"/>
        <v>0</v>
      </c>
      <c r="BL500">
        <f t="shared" si="177"/>
        <v>0</v>
      </c>
    </row>
  </sheetData>
  <mergeCells count="3">
    <mergeCell ref="I3:AB3"/>
    <mergeCell ref="AC3:AU3"/>
    <mergeCell ref="BB3:BI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Compras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Cabezas</dc:creator>
  <cp:lastModifiedBy>Rodrigo Cabezas</cp:lastModifiedBy>
  <dcterms:created xsi:type="dcterms:W3CDTF">2026-07-02T17:13:21Z</dcterms:created>
  <dcterms:modified xsi:type="dcterms:W3CDTF">2026-07-13T00:43:03Z</dcterms:modified>
</cp:coreProperties>
</file>